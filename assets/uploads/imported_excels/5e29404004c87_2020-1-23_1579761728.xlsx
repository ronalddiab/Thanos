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2" i="3" l="1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E13" i="3" l="1"/>
  <c r="E12" i="3" l="1"/>
  <c r="G16" i="3" l="1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F14" i="3" l="1"/>
  <c r="F13" i="3"/>
  <c r="F12" i="3"/>
  <c r="F11" i="3" l="1"/>
  <c r="F10" i="3" l="1"/>
  <c r="F9" i="3" l="1"/>
  <c r="F8" i="3" l="1"/>
  <c r="F7" i="3" l="1"/>
  <c r="E6" i="3"/>
  <c r="F6" i="3" l="1"/>
  <c r="E5" i="3"/>
  <c r="E4" i="3" l="1"/>
  <c r="F3" i="3" l="1"/>
  <c r="E3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E2" i="3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AC14" i="3" l="1"/>
  <c r="X14" i="3"/>
  <c r="T14" i="3"/>
  <c r="P14" i="3"/>
  <c r="V3" i="3"/>
  <c r="R3" i="3"/>
  <c r="E32" i="1" l="1"/>
  <c r="AJ3" i="3"/>
  <c r="AN3" i="3"/>
  <c r="AR3" i="3"/>
  <c r="AW3" i="3"/>
  <c r="BA3" i="3"/>
  <c r="BF3" i="3"/>
  <c r="BJ3" i="3"/>
  <c r="T3" i="3"/>
  <c r="BG3" i="3"/>
  <c r="M4" i="3"/>
  <c r="Q4" i="3"/>
  <c r="Y4" i="3"/>
  <c r="AD4" i="3"/>
  <c r="AF4" i="3"/>
  <c r="AH4" i="3"/>
  <c r="Z4" i="3"/>
  <c r="G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G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B14" i="3"/>
  <c r="X3" i="3"/>
  <c r="H3" i="3"/>
  <c r="L3" i="3"/>
  <c r="O3" i="3"/>
  <c r="S3" i="3"/>
  <c r="W3" i="3"/>
  <c r="AG3" i="3"/>
  <c r="AB3" i="3"/>
  <c r="G14" i="3"/>
  <c r="I14" i="3"/>
  <c r="J14" i="3"/>
  <c r="K14" i="3"/>
  <c r="N14" i="3"/>
  <c r="R14" i="3"/>
  <c r="V14" i="3"/>
  <c r="AA14" i="3"/>
  <c r="P3" i="3"/>
  <c r="U4" i="3"/>
  <c r="AM3" i="3"/>
  <c r="AQ3" i="3"/>
  <c r="AX3" i="3"/>
  <c r="BB3" i="3"/>
  <c r="BI3" i="3"/>
  <c r="M14" i="3"/>
  <c r="Q14" i="3"/>
  <c r="U14" i="3"/>
  <c r="Y14" i="3"/>
  <c r="Z14" i="3"/>
  <c r="AC3" i="3"/>
  <c r="AL3" i="3"/>
  <c r="AY3" i="3"/>
  <c r="I9" i="3"/>
  <c r="J9" i="3"/>
  <c r="AE3" i="3"/>
  <c r="AI3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U3" i="3"/>
  <c r="BK3" i="3"/>
  <c r="I5" i="3"/>
  <c r="J5" i="3"/>
  <c r="J13" i="3"/>
  <c r="I13" i="3"/>
  <c r="AP3" i="3"/>
  <c r="BD3" i="3"/>
  <c r="AN8" i="3"/>
  <c r="AU8" i="3"/>
  <c r="BA8" i="3"/>
  <c r="BG8" i="3"/>
  <c r="M9" i="3"/>
  <c r="AF9" i="3"/>
  <c r="K10" i="3"/>
  <c r="R10" i="3"/>
  <c r="AK10" i="3"/>
  <c r="AQ10" i="3"/>
  <c r="AX10" i="3"/>
  <c r="BC10" i="3"/>
  <c r="H11" i="3"/>
  <c r="L11" i="3"/>
  <c r="AE11" i="3"/>
  <c r="AB11" i="3"/>
  <c r="P12" i="3"/>
  <c r="AL12" i="3"/>
  <c r="AP12" i="3"/>
  <c r="AR12" i="3"/>
  <c r="AW12" i="3"/>
  <c r="AY12" i="3"/>
  <c r="BA12" i="3"/>
  <c r="BD12" i="3"/>
  <c r="BF12" i="3"/>
  <c r="BG12" i="3"/>
  <c r="BJ12" i="3"/>
  <c r="BK12" i="3"/>
  <c r="Q13" i="3"/>
  <c r="U13" i="3"/>
  <c r="AD13" i="3"/>
  <c r="AF13" i="3"/>
  <c r="AH13" i="3"/>
  <c r="Z13" i="3"/>
  <c r="AJ8" i="3"/>
  <c r="AP8" i="3"/>
  <c r="AW8" i="3"/>
  <c r="BD8" i="3"/>
  <c r="BJ8" i="3"/>
  <c r="U9" i="3"/>
  <c r="AD9" i="3"/>
  <c r="AH9" i="3"/>
  <c r="G10" i="3"/>
  <c r="I10" i="3"/>
  <c r="J10" i="3"/>
  <c r="V10" i="3"/>
  <c r="AO10" i="3"/>
  <c r="AT10" i="3"/>
  <c r="AZ10" i="3"/>
  <c r="BE10" i="3"/>
  <c r="BI10" i="3"/>
  <c r="O11" i="3"/>
  <c r="S11" i="3"/>
  <c r="AI11" i="3"/>
  <c r="T12" i="3"/>
  <c r="X12" i="3"/>
  <c r="AJ12" i="3"/>
  <c r="M13" i="3"/>
  <c r="G3" i="3"/>
  <c r="I3" i="3"/>
  <c r="N3" i="3"/>
  <c r="AA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L8" i="3"/>
  <c r="AR8" i="3"/>
  <c r="AY8" i="3"/>
  <c r="BF8" i="3"/>
  <c r="BK8" i="3"/>
  <c r="Q9" i="3"/>
  <c r="Y9" i="3"/>
  <c r="Z9" i="3"/>
  <c r="N10" i="3"/>
  <c r="AA10" i="3"/>
  <c r="AM10" i="3"/>
  <c r="AS10" i="3"/>
  <c r="BB10" i="3"/>
  <c r="BH10" i="3"/>
  <c r="W11" i="3"/>
  <c r="AG11" i="3"/>
  <c r="AC12" i="3"/>
  <c r="AN12" i="3"/>
  <c r="AU12" i="3"/>
  <c r="Y13" i="3"/>
  <c r="K3" i="3"/>
  <c r="AT3" i="3"/>
  <c r="BC3" i="3"/>
  <c r="M3" i="3"/>
  <c r="Q3" i="3"/>
  <c r="U3" i="3"/>
  <c r="Y3" i="3"/>
  <c r="AD3" i="3"/>
  <c r="AF3" i="3"/>
  <c r="AH3" i="3"/>
  <c r="Z3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Q11" i="3"/>
  <c r="U11" i="3"/>
  <c r="Y11" i="3"/>
  <c r="AD11" i="3"/>
  <c r="AF11" i="3"/>
  <c r="AH11" i="3"/>
  <c r="Z11" i="3"/>
  <c r="G12" i="3"/>
  <c r="J12" i="3"/>
  <c r="I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J3" i="3"/>
  <c r="K32" i="1"/>
  <c r="G32" i="1"/>
  <c r="B32" i="1"/>
  <c r="I32" i="1"/>
  <c r="M32" i="1"/>
  <c r="N32" i="1"/>
  <c r="B32" i="3"/>
  <c r="I29" i="1" l="1"/>
  <c r="I20" i="1"/>
  <c r="K16" i="1"/>
  <c r="I11" i="1"/>
  <c r="U44" i="4"/>
  <c r="K8" i="1"/>
  <c r="I8" i="1"/>
  <c r="AP2" i="3"/>
  <c r="Q2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2" i="3"/>
  <c r="I12" i="1"/>
  <c r="K19" i="1"/>
  <c r="K17" i="1"/>
  <c r="K18" i="1"/>
  <c r="DB9" i="4"/>
  <c r="G9" i="4"/>
  <c r="I13" i="1"/>
  <c r="K13" i="1"/>
  <c r="I21" i="1"/>
  <c r="K21" i="1"/>
  <c r="AA2" i="3"/>
  <c r="BD2" i="3"/>
  <c r="BC2" i="3"/>
  <c r="K22" i="1"/>
  <c r="BZ9" i="4"/>
  <c r="CH9" i="4"/>
  <c r="K11" i="1" l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K4" i="1"/>
  <c r="G24" i="1"/>
  <c r="AQ2" i="3"/>
  <c r="EA9" i="4"/>
  <c r="K12" i="1"/>
  <c r="K15" i="1"/>
  <c r="K24" i="1"/>
  <c r="I30" i="1"/>
  <c r="DH9" i="4"/>
  <c r="AN2" i="3"/>
  <c r="Z2" i="3"/>
  <c r="G2" i="1" s="1"/>
  <c r="I3" i="1"/>
  <c r="G5" i="1"/>
  <c r="EE9" i="4"/>
  <c r="DP9" i="4"/>
  <c r="AW9" i="4"/>
  <c r="AV48" i="4" s="1"/>
  <c r="G19" i="1"/>
  <c r="AF2" i="3"/>
  <c r="BY48" i="4"/>
  <c r="K6" i="1"/>
  <c r="AS2" i="3"/>
  <c r="BJ2" i="3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F47" i="4"/>
  <c r="AA44" i="4"/>
  <c r="AC2" i="3"/>
  <c r="AU2" i="3"/>
  <c r="EC9" i="4"/>
  <c r="EL9" i="4"/>
  <c r="BG2" i="3"/>
  <c r="FC9" i="4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I48" i="4"/>
  <c r="I49" i="4" s="1"/>
  <c r="I4" i="1"/>
  <c r="AP47" i="4"/>
  <c r="K26" i="1"/>
  <c r="I25" i="1"/>
  <c r="F44" i="4"/>
  <c r="K7" i="1"/>
  <c r="I10" i="1"/>
  <c r="K9" i="1"/>
  <c r="I17" i="1"/>
  <c r="I19" i="1"/>
  <c r="U47" i="4"/>
  <c r="AD2" i="3"/>
  <c r="AT2" i="3"/>
  <c r="S2" i="3"/>
  <c r="AB9" i="4"/>
  <c r="AA48" i="4" s="1"/>
  <c r="CL9" i="4"/>
  <c r="CK45" i="4" s="1"/>
  <c r="CB9" i="4"/>
  <c r="CA48" i="4" s="1"/>
  <c r="AH2" i="3"/>
  <c r="BB2" i="3"/>
  <c r="BK2" i="3"/>
  <c r="C47" i="4"/>
  <c r="AA47" i="4"/>
  <c r="AD44" i="4"/>
  <c r="AG44" i="4"/>
  <c r="BC48" i="4"/>
  <c r="BC49" i="4" s="1"/>
  <c r="AJ44" i="4"/>
  <c r="AS47" i="4"/>
  <c r="E19" i="1"/>
  <c r="CG48" i="4"/>
  <c r="DU9" i="4"/>
  <c r="AD45" i="4"/>
  <c r="K2" i="3"/>
  <c r="DJ9" i="4"/>
  <c r="DL9" i="4"/>
  <c r="AZ44" i="4"/>
  <c r="CF9" i="4"/>
  <c r="CE48" i="4" s="1"/>
  <c r="CK47" i="4"/>
  <c r="CQ47" i="4"/>
  <c r="AW2" i="3"/>
  <c r="AI2" i="3"/>
  <c r="AY2" i="3"/>
  <c r="I5" i="1"/>
  <c r="AM44" i="4"/>
  <c r="AM45" i="4"/>
  <c r="AO2" i="3"/>
  <c r="R2" i="3"/>
  <c r="AX2" i="3"/>
  <c r="N9" i="4"/>
  <c r="X2" i="3"/>
  <c r="EU9" i="4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AD48" i="4"/>
  <c r="BC45" i="4"/>
  <c r="AG2" i="3"/>
  <c r="CQ44" i="4"/>
  <c r="AM48" i="4"/>
  <c r="G12" i="1"/>
  <c r="G14" i="1"/>
  <c r="K48" i="4"/>
  <c r="K49" i="4" s="1"/>
  <c r="AP44" i="4"/>
  <c r="AT9" i="4"/>
  <c r="U2" i="3"/>
  <c r="DF9" i="4"/>
  <c r="BF44" i="4"/>
  <c r="X47" i="4"/>
  <c r="N2" i="3"/>
  <c r="Y9" i="4"/>
  <c r="G17" i="1"/>
  <c r="G18" i="1"/>
  <c r="CK44" i="4"/>
  <c r="AG47" i="4"/>
  <c r="AL2" i="3"/>
  <c r="DD9" i="4"/>
  <c r="CD9" i="4"/>
  <c r="CC48" i="4" s="1"/>
  <c r="BE2" i="3"/>
  <c r="FA9" i="4"/>
  <c r="BI2" i="3"/>
  <c r="K3" i="1"/>
  <c r="I9" i="1"/>
  <c r="I16" i="1"/>
  <c r="I23" i="1"/>
  <c r="I24" i="1"/>
  <c r="T2" i="3"/>
  <c r="AQ9" i="4"/>
  <c r="AK2" i="3"/>
  <c r="CX9" i="4"/>
  <c r="CN48" i="4"/>
  <c r="K14" i="1"/>
  <c r="O47" i="4"/>
  <c r="AD47" i="4"/>
  <c r="W2" i="3"/>
  <c r="BA9" i="4"/>
  <c r="EP9" i="4"/>
  <c r="BF2" i="3"/>
  <c r="EW9" i="4"/>
  <c r="C48" i="4"/>
  <c r="AJ47" i="4"/>
  <c r="AS44" i="4"/>
  <c r="CN44" i="4"/>
  <c r="I15" i="1"/>
  <c r="AV44" i="4"/>
  <c r="S9" i="4"/>
  <c r="R48" i="4" s="1"/>
  <c r="R49" i="4" s="1"/>
  <c r="CU9" i="4"/>
  <c r="CT48" i="4" s="1"/>
  <c r="CT49" i="4" s="1"/>
  <c r="E15" i="1"/>
  <c r="I18" i="1"/>
  <c r="G21" i="1"/>
  <c r="F48" i="4"/>
  <c r="DR9" i="4"/>
  <c r="DY9" i="4"/>
  <c r="I7" i="1"/>
  <c r="G25" i="1"/>
  <c r="G26" i="1"/>
  <c r="I26" i="1"/>
  <c r="K25" i="1"/>
  <c r="AM49" i="4" l="1"/>
  <c r="AA49" i="4"/>
  <c r="AJ48" i="4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<sst xmlns="http://schemas.openxmlformats.org/spreadsheetml/2006/main" count="412" uniqueCount="203">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</sst>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Pool - Feb-18"/>
      <sheetName val="Comparision summary 2016-17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9">
          <cell r="B9">
            <v>0.91</v>
          </cell>
        </row>
      </sheetData>
      <sheetData sheetId="48" refreshError="1"/>
      <sheetData sheetId="49">
        <row r="9">
          <cell r="B9">
            <v>0.97</v>
          </cell>
          <cell r="E9">
            <v>513964</v>
          </cell>
          <cell r="G9">
            <v>520</v>
          </cell>
          <cell r="H9">
            <v>685310</v>
          </cell>
          <cell r="J9">
            <v>419</v>
          </cell>
          <cell r="K9">
            <v>20997</v>
          </cell>
          <cell r="N9">
            <v>611938.4</v>
          </cell>
          <cell r="Q9">
            <v>156875</v>
          </cell>
          <cell r="S9">
            <v>93738</v>
          </cell>
          <cell r="U9">
            <v>103</v>
          </cell>
          <cell r="V9">
            <v>7002</v>
          </cell>
          <cell r="AB9">
            <v>5454545.04</v>
          </cell>
          <cell r="AD9">
            <v>2192.4</v>
          </cell>
          <cell r="AE9">
            <v>10633042.559999999</v>
          </cell>
          <cell r="AG9">
            <v>4823</v>
          </cell>
          <cell r="AH9">
            <v>9746241.1199999992</v>
          </cell>
          <cell r="AJ9">
            <v>1413</v>
          </cell>
          <cell r="AK9">
            <v>13136227.439999999</v>
          </cell>
          <cell r="AM9">
            <v>8818</v>
          </cell>
          <cell r="AN9">
            <v>13102074.719999999</v>
          </cell>
          <cell r="AP9">
            <v>0</v>
          </cell>
          <cell r="AQ9">
            <v>11920273.68</v>
          </cell>
          <cell r="AS9">
            <v>5359</v>
          </cell>
          <cell r="AT9">
            <v>10403863.68</v>
          </cell>
          <cell r="AV9">
            <v>4287</v>
          </cell>
          <cell r="AW9">
            <v>10044115.199999999</v>
          </cell>
          <cell r="AY9">
            <v>5116</v>
          </cell>
          <cell r="AZ9">
            <v>8035828.0800000001</v>
          </cell>
          <cell r="BB9">
            <v>3264</v>
          </cell>
          <cell r="BC9">
            <v>11880956.640000001</v>
          </cell>
          <cell r="BE9">
            <v>5700</v>
          </cell>
          <cell r="BJ9">
            <v>49283900</v>
          </cell>
          <cell r="BL9">
            <v>0</v>
          </cell>
          <cell r="BM9">
            <v>53881900</v>
          </cell>
          <cell r="BO9">
            <v>46800</v>
          </cell>
          <cell r="BP9">
            <v>47422600</v>
          </cell>
          <cell r="BR9">
            <v>0</v>
          </cell>
          <cell r="BS9">
            <v>3975240</v>
          </cell>
          <cell r="BV9">
            <v>0.56000000000000005</v>
          </cell>
          <cell r="BX9">
            <v>-0.06</v>
          </cell>
          <cell r="BY9">
            <v>44446.6</v>
          </cell>
          <cell r="CA9">
            <v>39319.800000000003</v>
          </cell>
          <cell r="CC9">
            <v>13136</v>
          </cell>
          <cell r="CE9">
            <v>16520.3</v>
          </cell>
          <cell r="CG9">
            <v>18896.099999999999</v>
          </cell>
          <cell r="CI9">
            <v>40193.599999999999</v>
          </cell>
          <cell r="CK9">
            <v>173910.2</v>
          </cell>
          <cell r="CM9">
            <v>83</v>
          </cell>
          <cell r="CN9">
            <v>125050.5</v>
          </cell>
          <cell r="CP9">
            <v>79</v>
          </cell>
          <cell r="CQ9">
            <v>233022.7</v>
          </cell>
          <cell r="CS9">
            <v>334</v>
          </cell>
          <cell r="CT9">
            <v>470923</v>
          </cell>
          <cell r="CW9">
            <v>323</v>
          </cell>
          <cell r="CY9">
            <v>1082.3</v>
          </cell>
          <cell r="DA9">
            <v>18438.599999999999</v>
          </cell>
          <cell r="DC9">
            <v>19086.099999999999</v>
          </cell>
          <cell r="DE9">
            <v>13313.2</v>
          </cell>
          <cell r="DG9">
            <v>17111.2</v>
          </cell>
          <cell r="DI9">
            <v>825</v>
          </cell>
          <cell r="DK9">
            <v>3570</v>
          </cell>
          <cell r="DM9">
            <v>875</v>
          </cell>
          <cell r="DO9">
            <v>1051.7</v>
          </cell>
          <cell r="DQ9">
            <v>16855</v>
          </cell>
          <cell r="DT9">
            <v>2728195.5</v>
          </cell>
          <cell r="DV9">
            <v>4462.2</v>
          </cell>
          <cell r="DX9">
            <v>1800486.9</v>
          </cell>
          <cell r="DZ9">
            <v>252459.5</v>
          </cell>
          <cell r="ED9">
            <v>400958.8</v>
          </cell>
          <cell r="EF9">
            <v>84547.3</v>
          </cell>
          <cell r="EI9">
            <v>6750400</v>
          </cell>
          <cell r="EK9">
            <v>594670</v>
          </cell>
          <cell r="EM9">
            <v>4595500</v>
          </cell>
          <cell r="EO9">
            <v>1987800</v>
          </cell>
          <cell r="EQ9">
            <v>676220</v>
          </cell>
          <cell r="ES9">
            <v>10699200</v>
          </cell>
          <cell r="EV9">
            <v>27562.799999999999</v>
          </cell>
          <cell r="EX9">
            <v>24129</v>
          </cell>
          <cell r="EZ9">
            <v>0</v>
          </cell>
          <cell r="FB9">
            <v>43515.199999999997</v>
          </cell>
          <cell r="FD9">
            <v>20226.400000000001</v>
          </cell>
        </row>
        <row r="10">
          <cell r="B10">
            <v>0.97</v>
          </cell>
          <cell r="E10">
            <v>514523</v>
          </cell>
          <cell r="H10">
            <v>685779</v>
          </cell>
          <cell r="K10">
            <v>21111</v>
          </cell>
          <cell r="N10">
            <v>612066.4</v>
          </cell>
          <cell r="Q10">
            <v>156875</v>
          </cell>
          <cell r="S10">
            <v>93815</v>
          </cell>
          <cell r="V10">
            <v>7015</v>
          </cell>
          <cell r="AB10">
            <v>5456640</v>
          </cell>
          <cell r="AE10">
            <v>10637914.559999999</v>
          </cell>
          <cell r="AH10">
            <v>9746436</v>
          </cell>
          <cell r="AK10">
            <v>13136665.919999998</v>
          </cell>
          <cell r="AN10">
            <v>13110698.16</v>
          </cell>
          <cell r="AQ10">
            <v>11926266.24</v>
          </cell>
          <cell r="AT10">
            <v>10408151.040000001</v>
          </cell>
          <cell r="AW10">
            <v>10049133.359999999</v>
          </cell>
          <cell r="AZ10">
            <v>8039141.04</v>
          </cell>
          <cell r="BC10">
            <v>11886413.280000001</v>
          </cell>
          <cell r="BJ10">
            <v>49283900</v>
          </cell>
          <cell r="BM10">
            <v>53881900</v>
          </cell>
          <cell r="BP10">
            <v>47462300</v>
          </cell>
          <cell r="BS10">
            <v>3979990</v>
          </cell>
          <cell r="BV10">
            <v>0.5</v>
          </cell>
          <cell r="BY10">
            <v>44462</v>
          </cell>
          <cell r="CA10">
            <v>39332</v>
          </cell>
          <cell r="CC10">
            <v>13142</v>
          </cell>
          <cell r="CE10">
            <v>16528</v>
          </cell>
          <cell r="CG10">
            <v>18899</v>
          </cell>
          <cell r="CI10">
            <v>40212</v>
          </cell>
          <cell r="CK10">
            <v>174003.8</v>
          </cell>
          <cell r="CN10">
            <v>125160.2</v>
          </cell>
          <cell r="CQ10">
            <v>233375.9</v>
          </cell>
          <cell r="CT10">
            <v>470923</v>
          </cell>
          <cell r="CW10">
            <v>323</v>
          </cell>
          <cell r="CY10">
            <v>1108.2</v>
          </cell>
          <cell r="DA10">
            <v>18456.8</v>
          </cell>
          <cell r="DC10">
            <v>19099.400000000001</v>
          </cell>
          <cell r="DE10">
            <v>13327</v>
          </cell>
          <cell r="DG10">
            <v>17119.7</v>
          </cell>
          <cell r="DI10">
            <v>825</v>
          </cell>
          <cell r="DK10">
            <v>3570</v>
          </cell>
          <cell r="DM10">
            <v>880</v>
          </cell>
          <cell r="DO10">
            <v>1056</v>
          </cell>
          <cell r="DQ10">
            <v>16865</v>
          </cell>
          <cell r="DT10">
            <v>2729727.3</v>
          </cell>
          <cell r="DV10">
            <v>4467.6000000000004</v>
          </cell>
          <cell r="DX10">
            <v>1801595</v>
          </cell>
          <cell r="DZ10">
            <v>252464.3</v>
          </cell>
          <cell r="ED10">
            <v>401542.6</v>
          </cell>
          <cell r="EF10">
            <v>84693.1</v>
          </cell>
          <cell r="EI10">
            <v>6753300</v>
          </cell>
          <cell r="EK10">
            <v>594950</v>
          </cell>
          <cell r="EM10">
            <v>4597100</v>
          </cell>
          <cell r="EO10">
            <v>1987800</v>
          </cell>
          <cell r="EQ10">
            <v>676360</v>
          </cell>
          <cell r="ES10">
            <v>10700000</v>
          </cell>
          <cell r="EV10">
            <v>27582.7</v>
          </cell>
          <cell r="EX10">
            <v>24145.3</v>
          </cell>
          <cell r="EZ10">
            <v>0</v>
          </cell>
          <cell r="FB10">
            <v>43532.7</v>
          </cell>
          <cell r="FD10">
            <v>20258.3</v>
          </cell>
        </row>
        <row r="11">
          <cell r="B11">
            <v>0.96</v>
          </cell>
          <cell r="E11">
            <v>515127</v>
          </cell>
          <cell r="F11">
            <v>552</v>
          </cell>
          <cell r="G11">
            <v>552</v>
          </cell>
          <cell r="H11">
            <v>686268</v>
          </cell>
          <cell r="I11">
            <v>489</v>
          </cell>
          <cell r="J11">
            <v>446</v>
          </cell>
          <cell r="K11">
            <v>21298</v>
          </cell>
          <cell r="L11">
            <v>187</v>
          </cell>
          <cell r="N11">
            <v>612208.80000000005</v>
          </cell>
          <cell r="O11">
            <v>142.40000000002328</v>
          </cell>
          <cell r="Q11">
            <v>156875</v>
          </cell>
          <cell r="R11">
            <v>0</v>
          </cell>
          <cell r="S11">
            <v>93918</v>
          </cell>
          <cell r="T11">
            <v>103</v>
          </cell>
          <cell r="U11">
            <v>88</v>
          </cell>
          <cell r="V11">
            <v>7039</v>
          </cell>
          <cell r="W11">
            <v>24</v>
          </cell>
          <cell r="AB11">
            <v>5458783.6799999997</v>
          </cell>
          <cell r="AC11">
            <v>2143.679999999702</v>
          </cell>
          <cell r="AD11">
            <v>2387.2799999993294</v>
          </cell>
          <cell r="AE11">
            <v>10642835.280000001</v>
          </cell>
          <cell r="AF11">
            <v>4920.7200000025332</v>
          </cell>
          <cell r="AG11">
            <v>5115.5999999996275</v>
          </cell>
          <cell r="AH11">
            <v>9746630.8800000008</v>
          </cell>
          <cell r="AI11">
            <v>194.88000000081956</v>
          </cell>
          <cell r="AJ11">
            <v>1218</v>
          </cell>
          <cell r="AK11">
            <v>13137737.76</v>
          </cell>
          <cell r="AL11">
            <v>1071.8400000017136</v>
          </cell>
          <cell r="AM11">
            <v>8623.4399999994785</v>
          </cell>
          <cell r="AN11">
            <v>13120490.880000001</v>
          </cell>
          <cell r="AO11">
            <v>9792.7200000006706</v>
          </cell>
          <cell r="AP11">
            <v>97.439999999478459</v>
          </cell>
          <cell r="AQ11">
            <v>11932258.799999999</v>
          </cell>
          <cell r="AR11">
            <v>5992.5599999986589</v>
          </cell>
          <cell r="AS11">
            <v>5602.8000000007451</v>
          </cell>
          <cell r="AT11">
            <v>10412730.719999999</v>
          </cell>
          <cell r="AU11">
            <v>4579.6799999978393</v>
          </cell>
          <cell r="AV11">
            <v>4141.2000000011176</v>
          </cell>
          <cell r="AW11">
            <v>10054248.959999999</v>
          </cell>
          <cell r="AX11">
            <v>5115.5999999996275</v>
          </cell>
          <cell r="AY11">
            <v>5213.0400000000373</v>
          </cell>
          <cell r="AZ11">
            <v>8042454</v>
          </cell>
          <cell r="BA11">
            <v>3312.9599999999627</v>
          </cell>
          <cell r="BB11">
            <v>3361.679999999702</v>
          </cell>
          <cell r="BC11">
            <v>11892016.08</v>
          </cell>
          <cell r="BD11">
            <v>5602.7999999988824</v>
          </cell>
          <cell r="BE11">
            <v>5797.6800000015646</v>
          </cell>
          <cell r="BJ11">
            <v>49283900</v>
          </cell>
          <cell r="BK11">
            <v>0</v>
          </cell>
          <cell r="BL11">
            <v>0</v>
          </cell>
          <cell r="BM11">
            <v>53881900</v>
          </cell>
          <cell r="BN11">
            <v>0</v>
          </cell>
          <cell r="BO11">
            <v>44000</v>
          </cell>
          <cell r="BP11">
            <v>47513800</v>
          </cell>
          <cell r="BQ11">
            <v>51500</v>
          </cell>
          <cell r="BR11">
            <v>0</v>
          </cell>
          <cell r="BS11">
            <v>3985250</v>
          </cell>
          <cell r="BT11">
            <v>5260</v>
          </cell>
          <cell r="BV11">
            <v>0.42</v>
          </cell>
          <cell r="BW11">
            <v>-8.0000000000000016E-2</v>
          </cell>
          <cell r="BX11">
            <v>0.14000000000000001</v>
          </cell>
          <cell r="BY11">
            <v>44479</v>
          </cell>
          <cell r="BZ11">
            <v>17</v>
          </cell>
          <cell r="CA11">
            <v>39346</v>
          </cell>
          <cell r="CB11">
            <v>14</v>
          </cell>
          <cell r="CC11">
            <v>13149</v>
          </cell>
          <cell r="CD11">
            <v>7</v>
          </cell>
          <cell r="CE11">
            <v>16538</v>
          </cell>
          <cell r="CF11">
            <v>10</v>
          </cell>
          <cell r="CG11">
            <v>18910</v>
          </cell>
          <cell r="CH11">
            <v>11</v>
          </cell>
          <cell r="CI11">
            <v>40238</v>
          </cell>
          <cell r="CJ11">
            <v>26</v>
          </cell>
          <cell r="CK11">
            <v>174090.6</v>
          </cell>
          <cell r="CL11">
            <v>86.800000000017462</v>
          </cell>
          <cell r="CM11">
            <v>84</v>
          </cell>
          <cell r="CN11">
            <v>125273</v>
          </cell>
          <cell r="CO11">
            <v>112.80000000000291</v>
          </cell>
          <cell r="CP11">
            <v>85</v>
          </cell>
          <cell r="CQ11">
            <v>233672.7</v>
          </cell>
          <cell r="CR11">
            <v>296.80000000001746</v>
          </cell>
          <cell r="CS11">
            <v>373</v>
          </cell>
          <cell r="CT11">
            <v>471049</v>
          </cell>
          <cell r="CU11">
            <v>126</v>
          </cell>
          <cell r="CW11">
            <v>323</v>
          </cell>
          <cell r="CX11">
            <v>0</v>
          </cell>
          <cell r="CY11">
            <v>1108.2</v>
          </cell>
          <cell r="CZ11">
            <v>0</v>
          </cell>
          <cell r="DA11">
            <v>18476.2</v>
          </cell>
          <cell r="DB11">
            <v>19.400000000001455</v>
          </cell>
          <cell r="DC11">
            <v>19115.2</v>
          </cell>
          <cell r="DD11">
            <v>15.799999999999272</v>
          </cell>
          <cell r="DE11">
            <v>13342.9</v>
          </cell>
          <cell r="DF11">
            <v>15.899999999999636</v>
          </cell>
          <cell r="DG11">
            <v>17127.099999999999</v>
          </cell>
          <cell r="DH11">
            <v>7.3999999999978172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884</v>
          </cell>
          <cell r="DN11">
            <v>4</v>
          </cell>
          <cell r="DO11">
            <v>1067</v>
          </cell>
          <cell r="DP11">
            <v>11</v>
          </cell>
          <cell r="DQ11">
            <v>16875</v>
          </cell>
          <cell r="DR11">
            <v>10</v>
          </cell>
          <cell r="DT11">
            <v>2731277.4</v>
          </cell>
          <cell r="DU11">
            <v>1550.1000000000931</v>
          </cell>
          <cell r="DV11">
            <v>4472.8999999999996</v>
          </cell>
          <cell r="DW11">
            <v>5.2999999999992724</v>
          </cell>
          <cell r="DX11">
            <v>1802712.7</v>
          </cell>
          <cell r="DY11">
            <v>1117.6999999999534</v>
          </cell>
          <cell r="DZ11">
            <v>252468.8</v>
          </cell>
          <cell r="EA11">
            <v>4.5</v>
          </cell>
          <cell r="ED11">
            <v>402212.3</v>
          </cell>
          <cell r="EE11">
            <v>669.70000000001164</v>
          </cell>
          <cell r="EF11">
            <v>84843.3</v>
          </cell>
          <cell r="EG11">
            <v>150.19999999999709</v>
          </cell>
          <cell r="EI11">
            <v>6756800</v>
          </cell>
          <cell r="EJ11">
            <v>3500</v>
          </cell>
          <cell r="EK11">
            <v>595260</v>
          </cell>
          <cell r="EL11">
            <v>310</v>
          </cell>
          <cell r="EM11">
            <v>4599000</v>
          </cell>
          <cell r="EN11">
            <v>1900</v>
          </cell>
          <cell r="EO11">
            <v>1987800</v>
          </cell>
          <cell r="EP11">
            <v>0</v>
          </cell>
          <cell r="EQ11">
            <v>676500</v>
          </cell>
          <cell r="ER11">
            <v>140</v>
          </cell>
          <cell r="ES11">
            <v>10702200</v>
          </cell>
          <cell r="ET11">
            <v>2200</v>
          </cell>
          <cell r="EV11">
            <v>27602.2</v>
          </cell>
          <cell r="EW11">
            <v>19.5</v>
          </cell>
          <cell r="EX11">
            <v>24162.1</v>
          </cell>
          <cell r="EY11">
            <v>16.799999999999272</v>
          </cell>
          <cell r="EZ11">
            <v>0</v>
          </cell>
          <cell r="FA11">
            <v>0</v>
          </cell>
          <cell r="FB11">
            <v>43567</v>
          </cell>
          <cell r="FD11">
            <v>20286.2</v>
          </cell>
          <cell r="FE11">
            <v>27.900000000001455</v>
          </cell>
        </row>
        <row r="12">
          <cell r="B12">
            <v>0.96</v>
          </cell>
          <cell r="E12">
            <v>515747</v>
          </cell>
          <cell r="F12">
            <v>553</v>
          </cell>
          <cell r="G12">
            <v>553</v>
          </cell>
          <cell r="H12">
            <v>686804</v>
          </cell>
          <cell r="I12">
            <v>536</v>
          </cell>
          <cell r="J12">
            <v>468</v>
          </cell>
          <cell r="K12">
            <v>21464</v>
          </cell>
          <cell r="L12">
            <v>166</v>
          </cell>
          <cell r="N12">
            <v>612339.9</v>
          </cell>
          <cell r="O12">
            <v>131.09999999997672</v>
          </cell>
          <cell r="Q12">
            <v>156875</v>
          </cell>
          <cell r="R12">
            <v>0</v>
          </cell>
          <cell r="S12">
            <v>94002</v>
          </cell>
          <cell r="T12">
            <v>84</v>
          </cell>
          <cell r="U12">
            <v>82</v>
          </cell>
          <cell r="V12">
            <v>7051</v>
          </cell>
          <cell r="W12">
            <v>12</v>
          </cell>
          <cell r="AB12">
            <v>5461073.5200000005</v>
          </cell>
          <cell r="AC12">
            <v>2289.8400000007823</v>
          </cell>
          <cell r="AD12">
            <v>2338.5599999995902</v>
          </cell>
          <cell r="AE12">
            <v>10647902.16</v>
          </cell>
          <cell r="AF12">
            <v>5066.8799999989569</v>
          </cell>
          <cell r="AG12">
            <v>5115.5999999996275</v>
          </cell>
          <cell r="AH12">
            <v>9746777.040000001</v>
          </cell>
          <cell r="AI12">
            <v>146.16000000014901</v>
          </cell>
          <cell r="AJ12">
            <v>1461.6000000005588</v>
          </cell>
          <cell r="AK12">
            <v>13138955.76</v>
          </cell>
          <cell r="AL12">
            <v>1218</v>
          </cell>
          <cell r="AM12">
            <v>9013.1999999992549</v>
          </cell>
          <cell r="AN12">
            <v>13130234.880000001</v>
          </cell>
          <cell r="AO12">
            <v>9744</v>
          </cell>
          <cell r="AP12">
            <v>0</v>
          </cell>
          <cell r="AQ12">
            <v>11938592.4</v>
          </cell>
          <cell r="AR12">
            <v>6333.6000000014901</v>
          </cell>
          <cell r="AS12">
            <v>5700.2400000002235</v>
          </cell>
          <cell r="AT12">
            <v>10417456.559999999</v>
          </cell>
          <cell r="AU12">
            <v>4725.839999999851</v>
          </cell>
          <cell r="AV12">
            <v>4579.6799999978393</v>
          </cell>
          <cell r="AW12">
            <v>10059656.880000001</v>
          </cell>
          <cell r="AX12">
            <v>5407.9200000017881</v>
          </cell>
          <cell r="AY12">
            <v>5359.2000000001863</v>
          </cell>
          <cell r="AZ12">
            <v>8045815.6800000006</v>
          </cell>
          <cell r="BA12">
            <v>3361.6800000006333</v>
          </cell>
          <cell r="BB12">
            <v>3459.1200000001118</v>
          </cell>
          <cell r="BC12">
            <v>11897618.880000001</v>
          </cell>
          <cell r="BD12">
            <v>5602.8000000007451</v>
          </cell>
          <cell r="BE12">
            <v>5895.1199999991804</v>
          </cell>
          <cell r="BJ12">
            <v>49283900</v>
          </cell>
          <cell r="BK12">
            <v>0</v>
          </cell>
          <cell r="BL12">
            <v>0</v>
          </cell>
          <cell r="BM12">
            <v>53881900</v>
          </cell>
          <cell r="BN12">
            <v>0</v>
          </cell>
          <cell r="BO12">
            <v>46800</v>
          </cell>
          <cell r="BP12">
            <v>47558600</v>
          </cell>
          <cell r="BQ12">
            <v>44800</v>
          </cell>
          <cell r="BR12">
            <v>0</v>
          </cell>
          <cell r="BS12">
            <v>3990750</v>
          </cell>
          <cell r="BT12">
            <v>5500</v>
          </cell>
          <cell r="BV12">
            <v>0.56999999999999995</v>
          </cell>
          <cell r="BW12">
            <v>0.14999999999999997</v>
          </cell>
          <cell r="BX12">
            <v>-8.0000000000000016E-2</v>
          </cell>
          <cell r="BY12">
            <v>44502</v>
          </cell>
          <cell r="BZ12">
            <v>23</v>
          </cell>
          <cell r="CA12">
            <v>39365</v>
          </cell>
          <cell r="CB12">
            <v>19</v>
          </cell>
          <cell r="CC12">
            <v>13156</v>
          </cell>
          <cell r="CD12">
            <v>7</v>
          </cell>
          <cell r="CE12">
            <v>16549</v>
          </cell>
          <cell r="CF12">
            <v>11</v>
          </cell>
          <cell r="CG12">
            <v>18924</v>
          </cell>
          <cell r="CH12">
            <v>14</v>
          </cell>
          <cell r="CI12">
            <v>40264</v>
          </cell>
          <cell r="CJ12">
            <v>26</v>
          </cell>
          <cell r="CK12">
            <v>174176.6</v>
          </cell>
          <cell r="CL12">
            <v>86</v>
          </cell>
          <cell r="CM12">
            <v>84</v>
          </cell>
          <cell r="CN12">
            <v>125381.6</v>
          </cell>
          <cell r="CO12">
            <v>108.60000000000582</v>
          </cell>
          <cell r="CP12">
            <v>89</v>
          </cell>
          <cell r="CQ12">
            <v>233974.85</v>
          </cell>
          <cell r="CR12">
            <v>302.14999999999418</v>
          </cell>
          <cell r="CS12">
            <v>351</v>
          </cell>
          <cell r="CT12">
            <v>471188</v>
          </cell>
          <cell r="CU12">
            <v>139</v>
          </cell>
          <cell r="CW12">
            <v>325</v>
          </cell>
          <cell r="CX12">
            <v>2</v>
          </cell>
          <cell r="CY12">
            <v>1122.3</v>
          </cell>
          <cell r="CZ12">
            <v>14.099999999999909</v>
          </cell>
          <cell r="DA12">
            <v>18496.599999999999</v>
          </cell>
          <cell r="DB12">
            <v>20.399999999997817</v>
          </cell>
          <cell r="DC12">
            <v>19132.599999999999</v>
          </cell>
          <cell r="DD12">
            <v>17.399999999997817</v>
          </cell>
          <cell r="DE12">
            <v>13359.1</v>
          </cell>
          <cell r="DF12">
            <v>16.200000000000728</v>
          </cell>
          <cell r="DG12">
            <v>17134.3</v>
          </cell>
          <cell r="DH12">
            <v>7.2000000000007276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888</v>
          </cell>
          <cell r="DN12">
            <v>4</v>
          </cell>
          <cell r="DO12">
            <v>1076</v>
          </cell>
          <cell r="DP12">
            <v>9</v>
          </cell>
          <cell r="DQ12">
            <v>16884</v>
          </cell>
          <cell r="DR12">
            <v>9</v>
          </cell>
          <cell r="DT12">
            <v>2732832.5</v>
          </cell>
          <cell r="DU12">
            <v>1555.1000000000931</v>
          </cell>
          <cell r="DV12">
            <v>4478.2</v>
          </cell>
          <cell r="DW12">
            <v>5.3000000000001819</v>
          </cell>
          <cell r="DX12">
            <v>1803795.6</v>
          </cell>
          <cell r="DY12">
            <v>1082.9000000001397</v>
          </cell>
          <cell r="DZ12">
            <v>252473</v>
          </cell>
          <cell r="EA12">
            <v>4.2000000000116415</v>
          </cell>
          <cell r="ED12">
            <v>402846.8</v>
          </cell>
          <cell r="EE12">
            <v>634.5</v>
          </cell>
          <cell r="EF12">
            <v>84992.9</v>
          </cell>
          <cell r="EG12">
            <v>149.59999999999127</v>
          </cell>
          <cell r="EI12">
            <v>6760300</v>
          </cell>
          <cell r="EJ12">
            <v>3500</v>
          </cell>
          <cell r="EK12">
            <v>595470</v>
          </cell>
          <cell r="EL12">
            <v>210</v>
          </cell>
          <cell r="EM12">
            <v>4600900</v>
          </cell>
          <cell r="EN12">
            <v>1900</v>
          </cell>
          <cell r="EO12">
            <v>1987800</v>
          </cell>
          <cell r="EP12">
            <v>0</v>
          </cell>
          <cell r="EQ12">
            <v>676640</v>
          </cell>
          <cell r="ER12">
            <v>140</v>
          </cell>
          <cell r="ES12">
            <v>10704100</v>
          </cell>
          <cell r="ET12">
            <v>1900</v>
          </cell>
          <cell r="EV12">
            <v>27622.2</v>
          </cell>
          <cell r="EX12">
            <v>24177.9</v>
          </cell>
          <cell r="EY12">
            <v>15.80000000000291</v>
          </cell>
          <cell r="EZ12">
            <v>0</v>
          </cell>
          <cell r="FA12">
            <v>0</v>
          </cell>
          <cell r="FB12">
            <v>43594.3</v>
          </cell>
          <cell r="FD12">
            <v>20313.8</v>
          </cell>
          <cell r="FE12">
            <v>27.599999999998545</v>
          </cell>
        </row>
        <row r="13">
          <cell r="B13">
            <v>0.95</v>
          </cell>
          <cell r="E13">
            <v>516364</v>
          </cell>
          <cell r="F13">
            <v>554</v>
          </cell>
          <cell r="G13">
            <v>554</v>
          </cell>
          <cell r="H13">
            <v>687431</v>
          </cell>
          <cell r="I13">
            <v>627</v>
          </cell>
          <cell r="J13">
            <v>430</v>
          </cell>
          <cell r="K13">
            <v>21572</v>
          </cell>
          <cell r="L13">
            <v>108</v>
          </cell>
          <cell r="N13">
            <v>612495.4</v>
          </cell>
          <cell r="O13">
            <v>155.5</v>
          </cell>
          <cell r="Q13">
            <v>156875</v>
          </cell>
          <cell r="R13">
            <v>0</v>
          </cell>
          <cell r="S13">
            <v>94104</v>
          </cell>
          <cell r="T13">
            <v>102</v>
          </cell>
          <cell r="U13">
            <v>107</v>
          </cell>
          <cell r="V13">
            <v>7073</v>
          </cell>
          <cell r="W13">
            <v>22</v>
          </cell>
          <cell r="AB13">
            <v>5463558.2400000002</v>
          </cell>
          <cell r="AC13">
            <v>2484.7199999997392</v>
          </cell>
          <cell r="AD13">
            <v>2241.1200000001118</v>
          </cell>
          <cell r="AE13">
            <v>10652822.880000001</v>
          </cell>
          <cell r="AF13">
            <v>4920.7200000006706</v>
          </cell>
          <cell r="AG13">
            <v>5018.160000000149</v>
          </cell>
          <cell r="AH13">
            <v>9753061.9199999999</v>
          </cell>
          <cell r="AI13">
            <v>6284.8799999989569</v>
          </cell>
          <cell r="AJ13">
            <v>1412.8799999998882</v>
          </cell>
          <cell r="AK13">
            <v>13139345.52</v>
          </cell>
          <cell r="AL13">
            <v>389.75999999977648</v>
          </cell>
          <cell r="AM13">
            <v>9500.4000000003725</v>
          </cell>
          <cell r="AN13">
            <v>13133499.119999999</v>
          </cell>
          <cell r="AO13">
            <v>3264.2399999983609</v>
          </cell>
          <cell r="AP13">
            <v>0</v>
          </cell>
          <cell r="AQ13">
            <v>11944877.280000001</v>
          </cell>
          <cell r="AR13">
            <v>6284.8800000008196</v>
          </cell>
          <cell r="AS13">
            <v>5651.5200000014156</v>
          </cell>
          <cell r="AT13">
            <v>10421841.359999999</v>
          </cell>
          <cell r="AU13">
            <v>4384.8000000007451</v>
          </cell>
          <cell r="AV13">
            <v>4384.8000000007451</v>
          </cell>
          <cell r="AW13">
            <v>10064723.76</v>
          </cell>
          <cell r="AX13">
            <v>5066.8799999989569</v>
          </cell>
          <cell r="AY13">
            <v>5261.7599999997765</v>
          </cell>
          <cell r="AZ13">
            <v>8049031.2000000002</v>
          </cell>
          <cell r="BA13">
            <v>3215.519999999553</v>
          </cell>
          <cell r="BB13">
            <v>3605.2800000002608</v>
          </cell>
          <cell r="BC13">
            <v>11903075.52</v>
          </cell>
          <cell r="BD13">
            <v>5456.6399999987334</v>
          </cell>
          <cell r="BE13">
            <v>5797.679999999702</v>
          </cell>
          <cell r="BJ13">
            <v>49313200</v>
          </cell>
          <cell r="BK13">
            <v>29300</v>
          </cell>
          <cell r="BL13">
            <v>0</v>
          </cell>
          <cell r="BM13">
            <v>53881900</v>
          </cell>
          <cell r="BN13">
            <v>0</v>
          </cell>
          <cell r="BO13">
            <v>48800</v>
          </cell>
          <cell r="BP13">
            <v>47576000</v>
          </cell>
          <cell r="BQ13">
            <v>17400</v>
          </cell>
          <cell r="BR13">
            <v>0</v>
          </cell>
          <cell r="BS13">
            <v>3996030</v>
          </cell>
          <cell r="BT13">
            <v>5280</v>
          </cell>
          <cell r="BV13">
            <v>0.49</v>
          </cell>
          <cell r="BW13">
            <v>-7.999999999999996E-2</v>
          </cell>
          <cell r="BX13">
            <v>0.12000000000000005</v>
          </cell>
          <cell r="BY13">
            <v>44523.7</v>
          </cell>
          <cell r="BZ13">
            <v>21.69999999999709</v>
          </cell>
          <cell r="CA13">
            <v>39383.4</v>
          </cell>
          <cell r="CB13">
            <v>18.400000000001455</v>
          </cell>
          <cell r="CC13">
            <v>13164</v>
          </cell>
          <cell r="CD13">
            <v>8</v>
          </cell>
          <cell r="CE13">
            <v>16560</v>
          </cell>
          <cell r="CF13">
            <v>11</v>
          </cell>
          <cell r="CG13">
            <v>18937</v>
          </cell>
          <cell r="CH13">
            <v>13</v>
          </cell>
          <cell r="CI13">
            <v>40293</v>
          </cell>
          <cell r="CJ13">
            <v>29</v>
          </cell>
          <cell r="CK13">
            <v>174265.3</v>
          </cell>
          <cell r="CL13">
            <v>88.699999999982538</v>
          </cell>
          <cell r="CM13">
            <v>86</v>
          </cell>
          <cell r="CN13">
            <v>125489.8</v>
          </cell>
          <cell r="CO13">
            <v>108.19999999999709</v>
          </cell>
          <cell r="CP13">
            <v>85</v>
          </cell>
          <cell r="CQ13">
            <v>234293.7</v>
          </cell>
          <cell r="CR13">
            <v>318.85000000000582</v>
          </cell>
          <cell r="CS13">
            <v>400</v>
          </cell>
          <cell r="CT13">
            <v>471338</v>
          </cell>
          <cell r="CU13">
            <v>150</v>
          </cell>
          <cell r="CW13">
            <v>325</v>
          </cell>
          <cell r="CX13">
            <v>0</v>
          </cell>
          <cell r="CY13">
            <v>1122.3</v>
          </cell>
          <cell r="CZ13">
            <v>0</v>
          </cell>
          <cell r="DA13">
            <v>18515</v>
          </cell>
          <cell r="DB13">
            <v>18.400000000001455</v>
          </cell>
          <cell r="DC13">
            <v>19145.599999999999</v>
          </cell>
          <cell r="DD13">
            <v>13</v>
          </cell>
          <cell r="DE13">
            <v>13375.6</v>
          </cell>
          <cell r="DF13">
            <v>16.5</v>
          </cell>
          <cell r="DG13">
            <v>17140.900000000001</v>
          </cell>
          <cell r="DH13">
            <v>6.6000000000021828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892</v>
          </cell>
          <cell r="DN13">
            <v>4</v>
          </cell>
          <cell r="DO13">
            <v>1082</v>
          </cell>
          <cell r="DP13">
            <v>6</v>
          </cell>
          <cell r="DQ13">
            <v>16894</v>
          </cell>
          <cell r="DR13">
            <v>10</v>
          </cell>
          <cell r="DT13">
            <v>2734353.8</v>
          </cell>
          <cell r="DU13">
            <v>1521.2999999998137</v>
          </cell>
          <cell r="DV13">
            <v>4483.1000000000004</v>
          </cell>
          <cell r="DW13">
            <v>4.9000000000005457</v>
          </cell>
          <cell r="DX13">
            <v>1804894.2</v>
          </cell>
          <cell r="DY13">
            <v>1098.5999999998603</v>
          </cell>
          <cell r="DZ13">
            <v>252477.2</v>
          </cell>
          <cell r="EA13">
            <v>4.2000000000116415</v>
          </cell>
          <cell r="ED13">
            <v>403422.9</v>
          </cell>
          <cell r="EE13">
            <v>576.10000000003492</v>
          </cell>
          <cell r="EF13">
            <v>85138.1</v>
          </cell>
          <cell r="EG13">
            <v>145.20000000001164</v>
          </cell>
          <cell r="EI13">
            <v>6763000</v>
          </cell>
          <cell r="EJ13">
            <v>2700</v>
          </cell>
          <cell r="EK13">
            <v>595870</v>
          </cell>
          <cell r="EL13">
            <v>400</v>
          </cell>
          <cell r="EM13">
            <v>4602500</v>
          </cell>
          <cell r="EN13">
            <v>1600</v>
          </cell>
          <cell r="EO13">
            <v>1987900</v>
          </cell>
          <cell r="EP13">
            <v>100</v>
          </cell>
          <cell r="EQ13">
            <v>676790</v>
          </cell>
          <cell r="ER13">
            <v>150</v>
          </cell>
          <cell r="ES13">
            <v>10705600</v>
          </cell>
          <cell r="ET13">
            <v>1500</v>
          </cell>
          <cell r="EV13">
            <v>27640.1</v>
          </cell>
          <cell r="EX13">
            <v>24194.2</v>
          </cell>
          <cell r="EY13">
            <v>16.299999999999272</v>
          </cell>
          <cell r="EZ13">
            <v>0</v>
          </cell>
          <cell r="FA13">
            <v>0</v>
          </cell>
          <cell r="FB13">
            <v>43627.8</v>
          </cell>
          <cell r="FD13">
            <v>20344</v>
          </cell>
          <cell r="FE13">
            <v>30.200000000000728</v>
          </cell>
        </row>
        <row r="14">
          <cell r="B14">
            <v>0.89</v>
          </cell>
          <cell r="E14">
            <v>516952</v>
          </cell>
          <cell r="F14">
            <v>447</v>
          </cell>
          <cell r="G14">
            <v>447</v>
          </cell>
          <cell r="H14">
            <v>687752</v>
          </cell>
          <cell r="I14">
            <v>321</v>
          </cell>
          <cell r="J14">
            <v>443</v>
          </cell>
          <cell r="K14">
            <v>21724</v>
          </cell>
          <cell r="L14">
            <v>152</v>
          </cell>
          <cell r="N14">
            <v>612637.1</v>
          </cell>
          <cell r="O14">
            <v>141.69999999995343</v>
          </cell>
          <cell r="Q14">
            <v>156875</v>
          </cell>
          <cell r="R14">
            <v>0</v>
          </cell>
          <cell r="S14">
            <v>94206</v>
          </cell>
          <cell r="T14">
            <v>102</v>
          </cell>
          <cell r="U14">
            <v>90</v>
          </cell>
          <cell r="V14">
            <v>7089</v>
          </cell>
          <cell r="W14">
            <v>16</v>
          </cell>
          <cell r="AB14">
            <v>5466189.1200000001</v>
          </cell>
          <cell r="AC14">
            <v>2630.8799999998882</v>
          </cell>
          <cell r="AD14">
            <v>2289.8400000007823</v>
          </cell>
          <cell r="AE14">
            <v>10657743.6</v>
          </cell>
          <cell r="AF14">
            <v>4920.7199999988079</v>
          </cell>
          <cell r="AG14">
            <v>5748.9600000008941</v>
          </cell>
          <cell r="AH14">
            <v>9762367.4399999995</v>
          </cell>
          <cell r="AI14">
            <v>9305.519999999553</v>
          </cell>
          <cell r="AJ14">
            <v>48.71999999973923</v>
          </cell>
          <cell r="AK14">
            <v>13139394.24</v>
          </cell>
          <cell r="AL14">
            <v>48.720000000670552</v>
          </cell>
          <cell r="AM14">
            <v>5651.519999999553</v>
          </cell>
          <cell r="AN14">
            <v>13133742.719999999</v>
          </cell>
          <cell r="AO14">
            <v>243.59999999962747</v>
          </cell>
          <cell r="AP14">
            <v>6772.0800000000745</v>
          </cell>
          <cell r="AQ14">
            <v>11951357.040000001</v>
          </cell>
          <cell r="AR14">
            <v>6479.7599999997765</v>
          </cell>
          <cell r="AS14">
            <v>6479.7599999997765</v>
          </cell>
          <cell r="AT14">
            <v>10426128.719999999</v>
          </cell>
          <cell r="AU14">
            <v>4287.359999999404</v>
          </cell>
          <cell r="AV14">
            <v>5066.8800000008196</v>
          </cell>
          <cell r="AW14">
            <v>10069644.48</v>
          </cell>
          <cell r="AX14">
            <v>4920.7200000006706</v>
          </cell>
          <cell r="AY14">
            <v>6138.7199999988079</v>
          </cell>
          <cell r="AZ14">
            <v>8052149.2800000003</v>
          </cell>
          <cell r="BA14">
            <v>3118.0800000000745</v>
          </cell>
          <cell r="BB14">
            <v>4141.1999999992549</v>
          </cell>
          <cell r="BC14">
            <v>11908483.439999999</v>
          </cell>
          <cell r="BD14">
            <v>5407.9199999999255</v>
          </cell>
          <cell r="BE14">
            <v>6772.0800000000745</v>
          </cell>
          <cell r="BJ14">
            <v>49361900</v>
          </cell>
          <cell r="BK14">
            <v>48700</v>
          </cell>
          <cell r="BL14">
            <v>0</v>
          </cell>
          <cell r="BM14">
            <v>53881900</v>
          </cell>
          <cell r="BN14">
            <v>0</v>
          </cell>
          <cell r="BO14">
            <v>17800</v>
          </cell>
          <cell r="BP14">
            <v>47576000</v>
          </cell>
          <cell r="BQ14">
            <v>0</v>
          </cell>
          <cell r="BR14">
            <v>24900</v>
          </cell>
          <cell r="BS14">
            <v>4000620</v>
          </cell>
          <cell r="BT14">
            <v>4590</v>
          </cell>
          <cell r="BV14">
            <v>0.4</v>
          </cell>
          <cell r="BW14">
            <v>-8.9999999999999969E-2</v>
          </cell>
          <cell r="BX14">
            <v>-9.0000000000000024E-2</v>
          </cell>
          <cell r="BY14">
            <v>44543</v>
          </cell>
          <cell r="BZ14">
            <v>19.30000000000291</v>
          </cell>
          <cell r="CA14">
            <v>39399</v>
          </cell>
          <cell r="CB14">
            <v>15.599999999998545</v>
          </cell>
          <cell r="CC14">
            <v>13171</v>
          </cell>
          <cell r="CD14">
            <v>7</v>
          </cell>
          <cell r="CE14">
            <v>16572</v>
          </cell>
          <cell r="CF14">
            <v>12</v>
          </cell>
          <cell r="CG14">
            <v>18951</v>
          </cell>
          <cell r="CH14">
            <v>14</v>
          </cell>
          <cell r="CI14">
            <v>40317</v>
          </cell>
          <cell r="CJ14">
            <v>24</v>
          </cell>
          <cell r="CK14">
            <v>174351</v>
          </cell>
          <cell r="CL14">
            <v>85.700000000011642</v>
          </cell>
          <cell r="CM14">
            <v>95</v>
          </cell>
          <cell r="CN14">
            <v>125618.9</v>
          </cell>
          <cell r="CO14">
            <v>129.09999999999127</v>
          </cell>
          <cell r="CP14">
            <v>90</v>
          </cell>
          <cell r="CQ14">
            <v>234621.4</v>
          </cell>
          <cell r="CR14">
            <v>327.69999999998254</v>
          </cell>
          <cell r="CS14">
            <v>433</v>
          </cell>
          <cell r="CT14">
            <v>471480</v>
          </cell>
          <cell r="CU14">
            <v>142</v>
          </cell>
          <cell r="CW14">
            <v>325</v>
          </cell>
          <cell r="CX14">
            <v>0</v>
          </cell>
          <cell r="CY14">
            <v>1122.3</v>
          </cell>
          <cell r="CZ14">
            <v>0</v>
          </cell>
          <cell r="DA14">
            <v>18533.2</v>
          </cell>
          <cell r="DB14">
            <v>18.200000000000728</v>
          </cell>
          <cell r="DC14">
            <v>19158.5</v>
          </cell>
          <cell r="DD14">
            <v>12.900000000001455</v>
          </cell>
          <cell r="DE14">
            <v>13388.5</v>
          </cell>
          <cell r="DF14">
            <v>12.899999999999636</v>
          </cell>
          <cell r="DG14">
            <v>17147.599999999999</v>
          </cell>
          <cell r="DH14">
            <v>6.6999999999970896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898</v>
          </cell>
          <cell r="DN14">
            <v>6</v>
          </cell>
          <cell r="DO14">
            <v>1085</v>
          </cell>
          <cell r="DP14">
            <v>3</v>
          </cell>
          <cell r="DQ14">
            <v>16904</v>
          </cell>
          <cell r="DR14">
            <v>10</v>
          </cell>
          <cell r="DT14">
            <v>2735858.1</v>
          </cell>
          <cell r="DU14">
            <v>1504.3000000002794</v>
          </cell>
          <cell r="DV14">
            <v>4488.1000000000004</v>
          </cell>
          <cell r="DW14">
            <v>5</v>
          </cell>
          <cell r="DX14">
            <v>1806002.3</v>
          </cell>
          <cell r="DY14">
            <v>1108.1000000000931</v>
          </cell>
          <cell r="DZ14">
            <v>252481.1</v>
          </cell>
          <cell r="EA14">
            <v>3.8999999999941792</v>
          </cell>
          <cell r="ED14">
            <v>403986</v>
          </cell>
          <cell r="EE14">
            <v>563.09999999997672</v>
          </cell>
          <cell r="EF14">
            <v>85280.4</v>
          </cell>
          <cell r="EG14">
            <v>142.29999999998836</v>
          </cell>
          <cell r="EI14">
            <v>6765800</v>
          </cell>
          <cell r="EJ14">
            <v>2800</v>
          </cell>
          <cell r="EK14">
            <v>596160</v>
          </cell>
          <cell r="EL14">
            <v>290</v>
          </cell>
          <cell r="EM14">
            <v>4604400</v>
          </cell>
          <cell r="EN14">
            <v>1900</v>
          </cell>
          <cell r="EO14">
            <v>1987900</v>
          </cell>
          <cell r="EP14">
            <v>0</v>
          </cell>
          <cell r="EQ14">
            <v>676940</v>
          </cell>
          <cell r="ER14">
            <v>150</v>
          </cell>
          <cell r="ES14">
            <v>10707000</v>
          </cell>
          <cell r="ET14">
            <v>1400</v>
          </cell>
          <cell r="EV14">
            <v>27658.2</v>
          </cell>
          <cell r="EX14">
            <v>24209.4</v>
          </cell>
          <cell r="EY14">
            <v>15.200000000000728</v>
          </cell>
          <cell r="EZ14">
            <v>0</v>
          </cell>
          <cell r="FA14">
            <v>0</v>
          </cell>
          <cell r="FB14">
            <v>43659.6</v>
          </cell>
          <cell r="FD14">
            <v>20368.400000000001</v>
          </cell>
          <cell r="FE14">
            <v>24.400000000001455</v>
          </cell>
        </row>
        <row r="15">
          <cell r="B15">
            <v>0.81</v>
          </cell>
          <cell r="E15">
            <v>517505</v>
          </cell>
          <cell r="F15">
            <v>399</v>
          </cell>
          <cell r="G15">
            <v>399</v>
          </cell>
          <cell r="H15">
            <v>688221</v>
          </cell>
          <cell r="I15">
            <v>469</v>
          </cell>
          <cell r="J15">
            <v>334</v>
          </cell>
          <cell r="K15">
            <v>21926</v>
          </cell>
          <cell r="L15">
            <v>202</v>
          </cell>
          <cell r="N15">
            <v>612793.5</v>
          </cell>
          <cell r="O15">
            <v>156.40000000002328</v>
          </cell>
          <cell r="Q15">
            <v>156875</v>
          </cell>
          <cell r="R15">
            <v>0</v>
          </cell>
          <cell r="S15">
            <v>94264</v>
          </cell>
          <cell r="T15">
            <v>58</v>
          </cell>
          <cell r="U15">
            <v>94</v>
          </cell>
          <cell r="V15">
            <v>7089</v>
          </cell>
          <cell r="W15">
            <v>0</v>
          </cell>
          <cell r="AB15">
            <v>5468673.8399999999</v>
          </cell>
          <cell r="AC15">
            <v>2484.7199999997392</v>
          </cell>
          <cell r="AD15">
            <v>2338.5599999995902</v>
          </cell>
          <cell r="AE15">
            <v>10662761.76</v>
          </cell>
          <cell r="AF15">
            <v>5018.160000000149</v>
          </cell>
          <cell r="AG15">
            <v>4774.5600000005215</v>
          </cell>
          <cell r="AH15">
            <v>9769919.040000001</v>
          </cell>
          <cell r="AI15">
            <v>7551.6000000014901</v>
          </cell>
          <cell r="AJ15">
            <v>0</v>
          </cell>
          <cell r="AK15">
            <v>13139394.24</v>
          </cell>
          <cell r="AL15">
            <v>0</v>
          </cell>
          <cell r="AM15">
            <v>1071.839999999851</v>
          </cell>
          <cell r="AN15">
            <v>13133742.719999999</v>
          </cell>
          <cell r="AO15">
            <v>0</v>
          </cell>
          <cell r="AP15">
            <v>8331.1199999991804</v>
          </cell>
          <cell r="AQ15">
            <v>11958031.68</v>
          </cell>
          <cell r="AR15">
            <v>6674.6399999987334</v>
          </cell>
          <cell r="AS15">
            <v>5554.0799999982119</v>
          </cell>
          <cell r="AT15">
            <v>10430416.08</v>
          </cell>
          <cell r="AU15">
            <v>4287.3600000012666</v>
          </cell>
          <cell r="AV15">
            <v>3848.8800000008196</v>
          </cell>
          <cell r="AW15">
            <v>10074516.48</v>
          </cell>
          <cell r="AX15">
            <v>4872</v>
          </cell>
          <cell r="AY15">
            <v>4725.8400000007823</v>
          </cell>
          <cell r="AZ15">
            <v>8055169.919999999</v>
          </cell>
          <cell r="BA15">
            <v>3020.6399999987334</v>
          </cell>
          <cell r="BB15">
            <v>3118.0800000000745</v>
          </cell>
          <cell r="BC15">
            <v>11913891.359999999</v>
          </cell>
          <cell r="BD15">
            <v>5407.9199999999255</v>
          </cell>
          <cell r="BE15">
            <v>5359.1999999992549</v>
          </cell>
          <cell r="BJ15">
            <v>49399200</v>
          </cell>
          <cell r="BK15">
            <v>37300</v>
          </cell>
          <cell r="BL15">
            <v>0</v>
          </cell>
          <cell r="BM15">
            <v>53881900</v>
          </cell>
          <cell r="BN15">
            <v>0</v>
          </cell>
          <cell r="BO15">
            <v>3000</v>
          </cell>
          <cell r="BP15">
            <v>47576000</v>
          </cell>
          <cell r="BQ15">
            <v>0</v>
          </cell>
          <cell r="BR15">
            <v>41300</v>
          </cell>
          <cell r="BS15">
            <v>4005300</v>
          </cell>
          <cell r="BT15">
            <v>4680</v>
          </cell>
          <cell r="BV15">
            <v>0.69</v>
          </cell>
          <cell r="BW15">
            <v>0.28999999999999992</v>
          </cell>
          <cell r="BX15">
            <v>7.0000000000000007E-2</v>
          </cell>
          <cell r="BY15">
            <v>44563</v>
          </cell>
          <cell r="BZ15">
            <v>20</v>
          </cell>
          <cell r="CA15">
            <v>39414</v>
          </cell>
          <cell r="CB15">
            <v>15</v>
          </cell>
          <cell r="CC15">
            <v>13178</v>
          </cell>
          <cell r="CD15">
            <v>7</v>
          </cell>
          <cell r="CE15">
            <v>16582</v>
          </cell>
          <cell r="CF15">
            <v>10</v>
          </cell>
          <cell r="CG15">
            <v>18961</v>
          </cell>
          <cell r="CH15">
            <v>10</v>
          </cell>
          <cell r="CI15">
            <v>40338</v>
          </cell>
          <cell r="CJ15">
            <v>21</v>
          </cell>
          <cell r="CK15">
            <v>174440.5</v>
          </cell>
          <cell r="CL15">
            <v>89.5</v>
          </cell>
          <cell r="CM15">
            <v>76</v>
          </cell>
          <cell r="CN15">
            <v>125731.3</v>
          </cell>
          <cell r="CO15">
            <v>112.40000000000873</v>
          </cell>
          <cell r="CP15">
            <v>75</v>
          </cell>
          <cell r="CQ15">
            <v>234993.3</v>
          </cell>
          <cell r="CR15">
            <v>371.89999999999418</v>
          </cell>
          <cell r="CS15">
            <v>281</v>
          </cell>
          <cell r="CT15">
            <v>471617</v>
          </cell>
          <cell r="CU15">
            <v>137</v>
          </cell>
          <cell r="CW15">
            <v>326.8</v>
          </cell>
          <cell r="CX15">
            <v>1.8000000000000114</v>
          </cell>
          <cell r="CY15">
            <v>1133.7</v>
          </cell>
          <cell r="CZ15">
            <v>11.400000000000091</v>
          </cell>
          <cell r="DA15">
            <v>18547.8</v>
          </cell>
          <cell r="DB15">
            <v>14.599999999998545</v>
          </cell>
          <cell r="DC15">
            <v>19171.8</v>
          </cell>
          <cell r="DD15">
            <v>13.299999999999272</v>
          </cell>
          <cell r="DE15">
            <v>13401.8</v>
          </cell>
          <cell r="DF15">
            <v>13.299999999999272</v>
          </cell>
          <cell r="DG15">
            <v>17154.8</v>
          </cell>
          <cell r="DH15">
            <v>7.2000000000007276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904</v>
          </cell>
          <cell r="DN15">
            <v>6</v>
          </cell>
          <cell r="DO15">
            <v>1089</v>
          </cell>
          <cell r="DP15">
            <v>4</v>
          </cell>
          <cell r="DQ15">
            <v>16913</v>
          </cell>
          <cell r="DR15">
            <v>9</v>
          </cell>
          <cell r="DT15">
            <v>2737321.9</v>
          </cell>
          <cell r="DU15">
            <v>1463.7999999998137</v>
          </cell>
          <cell r="DV15">
            <v>4493.2</v>
          </cell>
          <cell r="DW15">
            <v>5.0999999999994543</v>
          </cell>
          <cell r="DX15">
            <v>1807114.7</v>
          </cell>
          <cell r="DY15">
            <v>1112.3999999999069</v>
          </cell>
          <cell r="DZ15">
            <v>252485.7</v>
          </cell>
          <cell r="EA15">
            <v>4.6000000000058208</v>
          </cell>
          <cell r="ED15">
            <v>404573.3</v>
          </cell>
          <cell r="EE15">
            <v>587.29999999998836</v>
          </cell>
          <cell r="EF15">
            <v>85427.1</v>
          </cell>
          <cell r="EG15">
            <v>146.70000000001164</v>
          </cell>
          <cell r="EI15">
            <v>6767900</v>
          </cell>
          <cell r="EJ15">
            <v>2100</v>
          </cell>
          <cell r="EK15">
            <v>596460</v>
          </cell>
          <cell r="EL15">
            <v>300</v>
          </cell>
          <cell r="EM15">
            <v>4605900</v>
          </cell>
          <cell r="EN15">
            <v>1500</v>
          </cell>
          <cell r="EO15">
            <v>1987900</v>
          </cell>
          <cell r="EP15">
            <v>0</v>
          </cell>
          <cell r="EQ15">
            <v>677080</v>
          </cell>
          <cell r="ER15">
            <v>140</v>
          </cell>
          <cell r="ES15">
            <v>10708000</v>
          </cell>
          <cell r="ET15">
            <v>1000</v>
          </cell>
          <cell r="EV15">
            <v>27676.400000000001</v>
          </cell>
          <cell r="EX15">
            <v>24225.599999999999</v>
          </cell>
          <cell r="EY15">
            <v>16.19999999999709</v>
          </cell>
          <cell r="EZ15">
            <v>0</v>
          </cell>
          <cell r="FA15">
            <v>0</v>
          </cell>
          <cell r="FB15">
            <v>43692.5</v>
          </cell>
          <cell r="FD15">
            <v>20401.5</v>
          </cell>
          <cell r="FE15">
            <v>33.099999999998545</v>
          </cell>
        </row>
        <row r="16">
          <cell r="B16">
            <v>0.79</v>
          </cell>
          <cell r="E16">
            <v>518024</v>
          </cell>
          <cell r="F16">
            <v>596</v>
          </cell>
          <cell r="G16">
            <v>596</v>
          </cell>
          <cell r="H16">
            <v>688653</v>
          </cell>
          <cell r="I16">
            <v>432</v>
          </cell>
          <cell r="J16">
            <v>408</v>
          </cell>
          <cell r="K16">
            <v>22041</v>
          </cell>
          <cell r="L16">
            <v>115</v>
          </cell>
          <cell r="N16">
            <v>612929.9</v>
          </cell>
          <cell r="O16">
            <v>136.40000000002328</v>
          </cell>
          <cell r="Q16">
            <v>156875</v>
          </cell>
          <cell r="R16">
            <v>0</v>
          </cell>
          <cell r="S16">
            <v>94342</v>
          </cell>
          <cell r="T16">
            <v>78</v>
          </cell>
          <cell r="U16">
            <v>89</v>
          </cell>
          <cell r="V16">
            <v>7102</v>
          </cell>
          <cell r="W16">
            <v>13</v>
          </cell>
          <cell r="AB16">
            <v>5471109.8399999999</v>
          </cell>
          <cell r="AC16">
            <v>2436</v>
          </cell>
          <cell r="AD16">
            <v>2094.9599999999627</v>
          </cell>
          <cell r="AE16">
            <v>10667682.48</v>
          </cell>
          <cell r="AF16">
            <v>4920.7200000006706</v>
          </cell>
          <cell r="AG16">
            <v>4872</v>
          </cell>
          <cell r="AH16">
            <v>9777129.5999999996</v>
          </cell>
          <cell r="AI16">
            <v>7210.5599999986589</v>
          </cell>
          <cell r="AJ16">
            <v>341.04000000003725</v>
          </cell>
          <cell r="AK16">
            <v>13139589.119999999</v>
          </cell>
          <cell r="AL16">
            <v>194.87999999895692</v>
          </cell>
          <cell r="AM16">
            <v>1266.7200000025332</v>
          </cell>
          <cell r="AN16">
            <v>13133742.719999999</v>
          </cell>
          <cell r="AO16">
            <v>0</v>
          </cell>
          <cell r="AP16">
            <v>9159.3600000012666</v>
          </cell>
          <cell r="AQ16">
            <v>11964560.16</v>
          </cell>
          <cell r="AR16">
            <v>6528.480000000447</v>
          </cell>
          <cell r="AS16">
            <v>5651.5200000014156</v>
          </cell>
          <cell r="AT16">
            <v>10434654.719999999</v>
          </cell>
          <cell r="AU16">
            <v>4238.6399999987334</v>
          </cell>
          <cell r="AV16">
            <v>4384.7999999988824</v>
          </cell>
          <cell r="AW16">
            <v>10079583.359999999</v>
          </cell>
          <cell r="AX16">
            <v>5066.8799999989569</v>
          </cell>
          <cell r="AY16">
            <v>4774.5599999995902</v>
          </cell>
          <cell r="AZ16">
            <v>8058141.8399999999</v>
          </cell>
          <cell r="BA16">
            <v>2971.9200000008568</v>
          </cell>
          <cell r="BB16">
            <v>3215.5200000004843</v>
          </cell>
          <cell r="BC16">
            <v>11919201.84</v>
          </cell>
          <cell r="BD16">
            <v>5310.480000000447</v>
          </cell>
          <cell r="BE16">
            <v>5554.0800000019372</v>
          </cell>
          <cell r="BJ16">
            <v>49434500</v>
          </cell>
          <cell r="BK16">
            <v>35300</v>
          </cell>
          <cell r="BL16">
            <v>0</v>
          </cell>
          <cell r="BM16">
            <v>53881900</v>
          </cell>
          <cell r="BN16">
            <v>0</v>
          </cell>
          <cell r="BO16">
            <v>0</v>
          </cell>
          <cell r="BP16">
            <v>47576000</v>
          </cell>
          <cell r="BQ16">
            <v>0</v>
          </cell>
          <cell r="BR16">
            <v>43700</v>
          </cell>
          <cell r="BS16">
            <v>4010160</v>
          </cell>
          <cell r="BT16">
            <v>4860</v>
          </cell>
          <cell r="BV16">
            <v>0.56999999999999995</v>
          </cell>
          <cell r="BW16">
            <v>-0.12</v>
          </cell>
          <cell r="BX16">
            <v>-7.0000000000000007E-2</v>
          </cell>
          <cell r="BY16">
            <v>44581</v>
          </cell>
          <cell r="BZ16">
            <v>18</v>
          </cell>
          <cell r="CA16">
            <v>39427</v>
          </cell>
          <cell r="CB16">
            <v>13</v>
          </cell>
          <cell r="CC16">
            <v>13185</v>
          </cell>
          <cell r="CD16">
            <v>7</v>
          </cell>
          <cell r="CE16">
            <v>16593</v>
          </cell>
          <cell r="CF16">
            <v>11</v>
          </cell>
          <cell r="CG16">
            <v>18966</v>
          </cell>
          <cell r="CH16">
            <v>5</v>
          </cell>
          <cell r="CI16">
            <v>40362</v>
          </cell>
          <cell r="CJ16">
            <v>24</v>
          </cell>
          <cell r="CK16">
            <v>174527.9</v>
          </cell>
          <cell r="CL16">
            <v>87.399999999994179</v>
          </cell>
          <cell r="CM16">
            <v>89</v>
          </cell>
          <cell r="CN16">
            <v>125825.2</v>
          </cell>
          <cell r="CO16">
            <v>93.899999999994179</v>
          </cell>
          <cell r="CP16">
            <v>83</v>
          </cell>
          <cell r="CQ16">
            <v>235357.6</v>
          </cell>
          <cell r="CR16">
            <v>364.30000000001746</v>
          </cell>
          <cell r="CS16">
            <v>368</v>
          </cell>
          <cell r="CT16">
            <v>471765</v>
          </cell>
          <cell r="CU16">
            <v>148</v>
          </cell>
          <cell r="CW16">
            <v>327.8</v>
          </cell>
          <cell r="CX16">
            <v>1</v>
          </cell>
          <cell r="CY16">
            <v>1143.7</v>
          </cell>
          <cell r="CZ16">
            <v>10</v>
          </cell>
          <cell r="DA16">
            <v>18563.8</v>
          </cell>
          <cell r="DB16">
            <v>16</v>
          </cell>
          <cell r="DC16">
            <v>19184.3</v>
          </cell>
          <cell r="DD16">
            <v>12.5</v>
          </cell>
          <cell r="DE16">
            <v>13414.8</v>
          </cell>
          <cell r="DF16">
            <v>13</v>
          </cell>
          <cell r="DG16">
            <v>17161.8</v>
          </cell>
          <cell r="DH16">
            <v>7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909</v>
          </cell>
          <cell r="DN16">
            <v>5</v>
          </cell>
          <cell r="DO16">
            <v>1093</v>
          </cell>
          <cell r="DP16">
            <v>4</v>
          </cell>
          <cell r="DQ16">
            <v>16923</v>
          </cell>
          <cell r="DR16">
            <v>10</v>
          </cell>
          <cell r="DT16">
            <v>2738824.9</v>
          </cell>
          <cell r="DU16">
            <v>1503</v>
          </cell>
          <cell r="DV16">
            <v>4498</v>
          </cell>
          <cell r="DW16">
            <v>4.8000000000001819</v>
          </cell>
          <cell r="DX16">
            <v>1808223.2</v>
          </cell>
          <cell r="DY16">
            <v>1108.5</v>
          </cell>
          <cell r="DZ16">
            <v>252489.90000000002</v>
          </cell>
          <cell r="EA16">
            <v>4.2000000000116415</v>
          </cell>
          <cell r="ED16">
            <v>405152.8</v>
          </cell>
          <cell r="EE16">
            <v>579.5</v>
          </cell>
          <cell r="EF16">
            <v>85577.200000000012</v>
          </cell>
          <cell r="EG16">
            <v>150.10000000000582</v>
          </cell>
          <cell r="EI16">
            <v>6770400</v>
          </cell>
          <cell r="EJ16">
            <v>2500</v>
          </cell>
          <cell r="EK16">
            <v>596770</v>
          </cell>
          <cell r="EL16">
            <v>310</v>
          </cell>
          <cell r="EM16">
            <v>4607700</v>
          </cell>
          <cell r="EN16">
            <v>1800</v>
          </cell>
          <cell r="EO16">
            <v>1987900</v>
          </cell>
          <cell r="EP16">
            <v>0</v>
          </cell>
          <cell r="EQ16">
            <v>677240</v>
          </cell>
          <cell r="ER16">
            <v>160</v>
          </cell>
          <cell r="ES16">
            <v>10709200</v>
          </cell>
          <cell r="ET16">
            <v>1200</v>
          </cell>
          <cell r="EV16">
            <v>27695.4</v>
          </cell>
          <cell r="EX16">
            <v>24241.599999999999</v>
          </cell>
          <cell r="EY16">
            <v>16</v>
          </cell>
          <cell r="EZ16">
            <v>0</v>
          </cell>
          <cell r="FA16">
            <v>0</v>
          </cell>
          <cell r="FB16">
            <v>43724.5</v>
          </cell>
          <cell r="FD16">
            <v>20434.5</v>
          </cell>
          <cell r="FE16">
            <v>33</v>
          </cell>
        </row>
        <row r="17">
          <cell r="B17">
            <v>0.86</v>
          </cell>
          <cell r="E17">
            <v>518585</v>
          </cell>
          <cell r="F17">
            <v>1302</v>
          </cell>
          <cell r="G17">
            <v>1302</v>
          </cell>
          <cell r="H17">
            <v>689114</v>
          </cell>
          <cell r="I17">
            <v>461</v>
          </cell>
          <cell r="J17">
            <v>349</v>
          </cell>
          <cell r="K17">
            <v>22222</v>
          </cell>
          <cell r="L17">
            <v>181</v>
          </cell>
          <cell r="N17">
            <v>613090.5</v>
          </cell>
          <cell r="O17">
            <v>160.59999999997672</v>
          </cell>
          <cell r="Q17">
            <v>156875</v>
          </cell>
          <cell r="R17">
            <v>0</v>
          </cell>
          <cell r="S17">
            <v>94423</v>
          </cell>
          <cell r="T17">
            <v>81</v>
          </cell>
          <cell r="U17">
            <v>83</v>
          </cell>
          <cell r="V17">
            <v>7119</v>
          </cell>
          <cell r="W17">
            <v>17</v>
          </cell>
          <cell r="AB17">
            <v>5473594.5599999996</v>
          </cell>
          <cell r="AC17">
            <v>2484.7199999997392</v>
          </cell>
          <cell r="AD17">
            <v>2094.9599999999627</v>
          </cell>
          <cell r="AE17">
            <v>10672603.199999999</v>
          </cell>
          <cell r="AF17">
            <v>4920.7199999988079</v>
          </cell>
          <cell r="AG17">
            <v>4774.5599999986589</v>
          </cell>
          <cell r="AH17">
            <v>9784632.4800000004</v>
          </cell>
          <cell r="AI17">
            <v>7502.8800000008196</v>
          </cell>
          <cell r="AJ17">
            <v>0</v>
          </cell>
          <cell r="AK17">
            <v>13139637.879999999</v>
          </cell>
          <cell r="AL17">
            <v>48.759999999776483</v>
          </cell>
          <cell r="AM17">
            <v>1169.2799999974668</v>
          </cell>
          <cell r="AN17">
            <v>13133791.439999999</v>
          </cell>
          <cell r="AO17">
            <v>48.720000000670552</v>
          </cell>
          <cell r="AP17">
            <v>8867.0399999991059</v>
          </cell>
          <cell r="AQ17">
            <v>11971039.92</v>
          </cell>
          <cell r="AR17">
            <v>6479.7599999997765</v>
          </cell>
          <cell r="AS17">
            <v>5651.519999999553</v>
          </cell>
          <cell r="AT17">
            <v>10439039.52</v>
          </cell>
          <cell r="AU17">
            <v>4384.8000000007451</v>
          </cell>
          <cell r="AV17">
            <v>4092.480000000447</v>
          </cell>
          <cell r="AW17">
            <v>10084650.24</v>
          </cell>
          <cell r="AX17">
            <v>5066.8800000008196</v>
          </cell>
          <cell r="AY17">
            <v>4920.7200000006706</v>
          </cell>
          <cell r="AZ17">
            <v>8061503.5199999996</v>
          </cell>
          <cell r="BA17">
            <v>3361.679999999702</v>
          </cell>
          <cell r="BB17">
            <v>2971.9199999999255</v>
          </cell>
          <cell r="BC17">
            <v>11924512.319999998</v>
          </cell>
          <cell r="BD17">
            <v>5310.4799999985844</v>
          </cell>
          <cell r="BE17">
            <v>5505.359999999404</v>
          </cell>
          <cell r="BJ17">
            <v>49473800</v>
          </cell>
          <cell r="BK17">
            <v>39300</v>
          </cell>
          <cell r="BL17">
            <v>0</v>
          </cell>
          <cell r="BM17">
            <v>53881900</v>
          </cell>
          <cell r="BN17">
            <v>0</v>
          </cell>
          <cell r="BO17">
            <v>0</v>
          </cell>
          <cell r="BP17">
            <v>47576000</v>
          </cell>
          <cell r="BQ17">
            <v>0</v>
          </cell>
          <cell r="BR17">
            <v>43300</v>
          </cell>
          <cell r="BS17">
            <v>4015080</v>
          </cell>
          <cell r="BT17">
            <v>4920</v>
          </cell>
          <cell r="BV17">
            <v>0.48</v>
          </cell>
          <cell r="BW17">
            <v>-8.9999999999999969E-2</v>
          </cell>
          <cell r="BX17">
            <v>-5.0000000000000044E-2</v>
          </cell>
          <cell r="BY17">
            <v>44600</v>
          </cell>
          <cell r="BZ17">
            <v>19</v>
          </cell>
          <cell r="CA17">
            <v>39441</v>
          </cell>
          <cell r="CB17">
            <v>14</v>
          </cell>
          <cell r="CC17">
            <v>13192</v>
          </cell>
          <cell r="CD17">
            <v>7</v>
          </cell>
          <cell r="CE17">
            <v>16603</v>
          </cell>
          <cell r="CF17">
            <v>10</v>
          </cell>
          <cell r="CG17">
            <v>18973</v>
          </cell>
          <cell r="CH17">
            <v>7</v>
          </cell>
          <cell r="CI17">
            <v>40386</v>
          </cell>
          <cell r="CJ17">
            <v>24</v>
          </cell>
          <cell r="CK17">
            <v>174616</v>
          </cell>
          <cell r="CL17">
            <v>88.100000000005821</v>
          </cell>
          <cell r="CM17">
            <v>81</v>
          </cell>
          <cell r="CN17">
            <v>125925.2</v>
          </cell>
          <cell r="CO17">
            <v>100</v>
          </cell>
          <cell r="CP17">
            <v>79</v>
          </cell>
          <cell r="CQ17">
            <v>235710.9</v>
          </cell>
          <cell r="CR17">
            <v>353.29999999998836</v>
          </cell>
          <cell r="CS17">
            <v>387</v>
          </cell>
          <cell r="CT17">
            <v>471922</v>
          </cell>
          <cell r="CU17">
            <v>157</v>
          </cell>
          <cell r="CW17">
            <v>327.8</v>
          </cell>
          <cell r="CX17">
            <v>0</v>
          </cell>
          <cell r="CY17">
            <v>1143.7</v>
          </cell>
          <cell r="CZ17">
            <v>0</v>
          </cell>
          <cell r="DA17">
            <v>18575.599999999999</v>
          </cell>
          <cell r="DB17">
            <v>11.799999999999272</v>
          </cell>
          <cell r="DC17">
            <v>19198.599999999999</v>
          </cell>
          <cell r="DD17">
            <v>14.299999999999272</v>
          </cell>
          <cell r="DE17">
            <v>13427.8</v>
          </cell>
          <cell r="DF17">
            <v>13</v>
          </cell>
          <cell r="DG17">
            <v>17168.8</v>
          </cell>
          <cell r="DH17">
            <v>7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914</v>
          </cell>
          <cell r="DN17">
            <v>5</v>
          </cell>
          <cell r="DO17">
            <v>1100</v>
          </cell>
          <cell r="DP17">
            <v>7</v>
          </cell>
          <cell r="DQ17">
            <v>16933</v>
          </cell>
          <cell r="DR17">
            <v>10</v>
          </cell>
          <cell r="DT17">
            <v>2740200.2</v>
          </cell>
          <cell r="DU17">
            <v>1375.3000000002794</v>
          </cell>
          <cell r="DV17">
            <v>4502.2</v>
          </cell>
          <cell r="DW17">
            <v>4.1999999999998181</v>
          </cell>
          <cell r="DX17">
            <v>1809288.4</v>
          </cell>
          <cell r="DY17">
            <v>1065.1999999999534</v>
          </cell>
          <cell r="DZ17">
            <v>252494.1</v>
          </cell>
          <cell r="EA17">
            <v>4.1999999999825377</v>
          </cell>
          <cell r="ED17">
            <v>405733.5</v>
          </cell>
          <cell r="EE17">
            <v>580.70000000001164</v>
          </cell>
          <cell r="EF17">
            <v>85717.5</v>
          </cell>
          <cell r="EG17">
            <v>140.29999999998836</v>
          </cell>
          <cell r="EI17">
            <v>6771900</v>
          </cell>
          <cell r="EJ17">
            <v>1500</v>
          </cell>
          <cell r="EK17">
            <v>596970</v>
          </cell>
          <cell r="EL17">
            <v>200</v>
          </cell>
          <cell r="EM17">
            <v>4608600</v>
          </cell>
          <cell r="EN17">
            <v>900</v>
          </cell>
          <cell r="EO17">
            <v>1987900</v>
          </cell>
          <cell r="EP17">
            <v>0</v>
          </cell>
          <cell r="EQ17">
            <v>677340</v>
          </cell>
          <cell r="ER17">
            <v>100</v>
          </cell>
          <cell r="ES17">
            <v>10710100</v>
          </cell>
          <cell r="ET17">
            <v>900</v>
          </cell>
          <cell r="EV17">
            <v>27711.1</v>
          </cell>
          <cell r="EX17">
            <v>24256.6</v>
          </cell>
          <cell r="EY17">
            <v>15</v>
          </cell>
          <cell r="EZ17">
            <v>0</v>
          </cell>
          <cell r="FA17">
            <v>0</v>
          </cell>
          <cell r="FB17">
            <v>43760.5</v>
          </cell>
          <cell r="FD17">
            <v>20465.599999999999</v>
          </cell>
          <cell r="FE17">
            <v>31.099999999998545</v>
          </cell>
        </row>
        <row r="18">
          <cell r="B18">
            <v>0.82</v>
          </cell>
          <cell r="E18">
            <v>519112</v>
          </cell>
          <cell r="F18">
            <v>456</v>
          </cell>
          <cell r="G18">
            <v>456</v>
          </cell>
          <cell r="H18">
            <v>689566</v>
          </cell>
          <cell r="I18">
            <v>452</v>
          </cell>
          <cell r="J18">
            <v>447</v>
          </cell>
          <cell r="K18">
            <v>22354</v>
          </cell>
          <cell r="L18">
            <v>132</v>
          </cell>
          <cell r="N18">
            <v>613182.9</v>
          </cell>
          <cell r="O18">
            <v>92.400000000023283</v>
          </cell>
          <cell r="Q18">
            <v>156875</v>
          </cell>
          <cell r="R18">
            <v>0</v>
          </cell>
          <cell r="S18">
            <v>94503</v>
          </cell>
          <cell r="T18">
            <v>80</v>
          </cell>
          <cell r="U18">
            <v>90</v>
          </cell>
          <cell r="V18">
            <v>7133</v>
          </cell>
          <cell r="W18">
            <v>14</v>
          </cell>
          <cell r="AB18">
            <v>5476079.2799999993</v>
          </cell>
          <cell r="AC18">
            <v>2484.7199999997392</v>
          </cell>
          <cell r="AD18">
            <v>2241.1200000001118</v>
          </cell>
          <cell r="AE18">
            <v>10677523.92</v>
          </cell>
          <cell r="AF18">
            <v>4920.7200000006706</v>
          </cell>
          <cell r="AG18">
            <v>5115.6000000014901</v>
          </cell>
          <cell r="AH18">
            <v>9792720</v>
          </cell>
          <cell r="AI18">
            <v>8087.519999999553</v>
          </cell>
          <cell r="AJ18">
            <v>48.720000000670552</v>
          </cell>
          <cell r="AK18">
            <v>13139686.379999999</v>
          </cell>
          <cell r="AL18">
            <v>48.5</v>
          </cell>
          <cell r="AM18">
            <v>1364.160000000149</v>
          </cell>
          <cell r="AN18">
            <v>13133840.16</v>
          </cell>
          <cell r="AO18">
            <v>48.720000000670552</v>
          </cell>
          <cell r="AP18">
            <v>10182.480000000447</v>
          </cell>
          <cell r="AQ18">
            <v>11977568.4</v>
          </cell>
          <cell r="AR18">
            <v>6528.480000000447</v>
          </cell>
          <cell r="AS18">
            <v>5748.9599999990314</v>
          </cell>
          <cell r="AT18">
            <v>10443619.199999999</v>
          </cell>
          <cell r="AU18">
            <v>4579.679999999702</v>
          </cell>
          <cell r="AV18">
            <v>4433.519999999553</v>
          </cell>
          <cell r="AW18">
            <v>10089570.959999999</v>
          </cell>
          <cell r="AX18">
            <v>4920.7199999988079</v>
          </cell>
          <cell r="AY18">
            <v>5018.160000000149</v>
          </cell>
          <cell r="AZ18">
            <v>8064816.4800000004</v>
          </cell>
          <cell r="BA18">
            <v>3312.9600000008941</v>
          </cell>
          <cell r="BB18">
            <v>3459.1199999991804</v>
          </cell>
          <cell r="BC18">
            <v>11929968.959999999</v>
          </cell>
          <cell r="BD18">
            <v>5456.640000000596</v>
          </cell>
          <cell r="BE18">
            <v>5797.679999999702</v>
          </cell>
          <cell r="BJ18">
            <v>49516300</v>
          </cell>
          <cell r="BK18">
            <v>42500</v>
          </cell>
          <cell r="BL18">
            <v>0</v>
          </cell>
          <cell r="BM18">
            <v>53882000</v>
          </cell>
          <cell r="BN18">
            <v>100</v>
          </cell>
          <cell r="BO18">
            <v>0</v>
          </cell>
          <cell r="BP18">
            <v>47576000</v>
          </cell>
          <cell r="BQ18">
            <v>0</v>
          </cell>
          <cell r="BR18">
            <v>47700</v>
          </cell>
          <cell r="BS18">
            <v>4019700</v>
          </cell>
          <cell r="BT18">
            <v>4620</v>
          </cell>
          <cell r="BV18">
            <v>0.62</v>
          </cell>
          <cell r="BW18">
            <v>0.14000000000000001</v>
          </cell>
          <cell r="BX18">
            <v>-3.9999999999999925E-2</v>
          </cell>
          <cell r="BY18">
            <v>44620</v>
          </cell>
          <cell r="BZ18">
            <v>20</v>
          </cell>
          <cell r="CA18">
            <v>39459</v>
          </cell>
          <cell r="CB18">
            <v>18</v>
          </cell>
          <cell r="CC18">
            <v>13200</v>
          </cell>
          <cell r="CD18">
            <v>8</v>
          </cell>
          <cell r="CE18">
            <v>16614</v>
          </cell>
          <cell r="CF18">
            <v>11</v>
          </cell>
          <cell r="CG18">
            <v>18981</v>
          </cell>
          <cell r="CH18">
            <v>8</v>
          </cell>
          <cell r="CI18">
            <v>40410</v>
          </cell>
          <cell r="CJ18">
            <v>24</v>
          </cell>
          <cell r="CK18">
            <v>174699.7</v>
          </cell>
          <cell r="CL18">
            <v>83.700000000011642</v>
          </cell>
          <cell r="CM18">
            <v>84</v>
          </cell>
          <cell r="CN18">
            <v>126024.2</v>
          </cell>
          <cell r="CO18">
            <v>99</v>
          </cell>
          <cell r="CP18">
            <v>82</v>
          </cell>
          <cell r="CQ18">
            <v>236070.5</v>
          </cell>
          <cell r="CR18">
            <v>359.60000000000582</v>
          </cell>
          <cell r="CS18">
            <v>314</v>
          </cell>
          <cell r="CT18">
            <v>472089</v>
          </cell>
          <cell r="CU18">
            <v>167</v>
          </cell>
          <cell r="CW18">
            <v>327.8</v>
          </cell>
          <cell r="CX18">
            <v>0</v>
          </cell>
          <cell r="CY18">
            <v>1143.7</v>
          </cell>
          <cell r="CZ18">
            <v>0</v>
          </cell>
          <cell r="DA18">
            <v>18592.3</v>
          </cell>
          <cell r="DB18">
            <v>16.700000000000728</v>
          </cell>
          <cell r="DC18">
            <v>19215.400000000001</v>
          </cell>
          <cell r="DD18">
            <v>16.80000000000291</v>
          </cell>
          <cell r="DE18">
            <v>13440.5</v>
          </cell>
          <cell r="DF18">
            <v>12.700000000000728</v>
          </cell>
          <cell r="DG18">
            <v>17174.2</v>
          </cell>
          <cell r="DH18">
            <v>5.4000000000014552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920</v>
          </cell>
          <cell r="DN18">
            <v>6</v>
          </cell>
          <cell r="DO18">
            <v>1103</v>
          </cell>
          <cell r="DP18">
            <v>3</v>
          </cell>
          <cell r="DQ18">
            <v>16942</v>
          </cell>
          <cell r="DR18">
            <v>9</v>
          </cell>
          <cell r="DT18">
            <v>2741732.4</v>
          </cell>
          <cell r="DU18">
            <v>1532.1999999997206</v>
          </cell>
          <cell r="DV18">
            <v>4507.3</v>
          </cell>
          <cell r="DW18">
            <v>5.1000000000003638</v>
          </cell>
          <cell r="DX18">
            <v>1810387.7</v>
          </cell>
          <cell r="DY18">
            <v>1099.3000000000466</v>
          </cell>
          <cell r="DZ18">
            <v>252498.1</v>
          </cell>
          <cell r="EA18">
            <v>4</v>
          </cell>
          <cell r="ED18">
            <v>406316.4</v>
          </cell>
          <cell r="EE18">
            <v>582.90000000002328</v>
          </cell>
          <cell r="EF18">
            <v>85867.6</v>
          </cell>
          <cell r="EG18">
            <v>150.10000000000582</v>
          </cell>
          <cell r="EI18">
            <v>6774400</v>
          </cell>
          <cell r="EJ18">
            <v>2500</v>
          </cell>
          <cell r="EK18">
            <v>597260</v>
          </cell>
          <cell r="EL18">
            <v>290</v>
          </cell>
          <cell r="EM18">
            <v>4610300</v>
          </cell>
          <cell r="EN18">
            <v>1700</v>
          </cell>
          <cell r="EO18">
            <v>1987900</v>
          </cell>
          <cell r="EP18">
            <v>0</v>
          </cell>
          <cell r="EQ18">
            <v>677480</v>
          </cell>
          <cell r="ER18">
            <v>140</v>
          </cell>
          <cell r="ES18">
            <v>10711500</v>
          </cell>
          <cell r="ET18">
            <v>1400</v>
          </cell>
          <cell r="EV18">
            <v>27732.3</v>
          </cell>
          <cell r="EX18">
            <v>24272.5</v>
          </cell>
          <cell r="EY18">
            <v>15.900000000001455</v>
          </cell>
          <cell r="EZ18">
            <v>0</v>
          </cell>
          <cell r="FA18">
            <v>0</v>
          </cell>
          <cell r="FB18">
            <v>43792.5</v>
          </cell>
          <cell r="FD18">
            <v>20497</v>
          </cell>
          <cell r="FE18">
            <v>31.400000000001455</v>
          </cell>
        </row>
        <row r="19">
          <cell r="B19">
            <v>0.86</v>
          </cell>
          <cell r="E19">
            <v>519845</v>
          </cell>
          <cell r="F19">
            <v>509</v>
          </cell>
          <cell r="G19">
            <v>509</v>
          </cell>
          <cell r="H19">
            <v>690147</v>
          </cell>
          <cell r="I19">
            <v>581</v>
          </cell>
          <cell r="J19">
            <v>474</v>
          </cell>
          <cell r="K19">
            <v>22374</v>
          </cell>
          <cell r="L19">
            <v>20</v>
          </cell>
          <cell r="N19">
            <v>613182.9</v>
          </cell>
          <cell r="O19">
            <v>0</v>
          </cell>
          <cell r="Q19">
            <v>156875</v>
          </cell>
          <cell r="R19">
            <v>0</v>
          </cell>
          <cell r="S19">
            <v>94573</v>
          </cell>
          <cell r="T19">
            <v>70</v>
          </cell>
          <cell r="U19">
            <v>94</v>
          </cell>
          <cell r="V19">
            <v>7146</v>
          </cell>
          <cell r="W19">
            <v>13</v>
          </cell>
          <cell r="AB19">
            <v>5478563.4799999995</v>
          </cell>
          <cell r="AC19">
            <v>2484.2000000001863</v>
          </cell>
          <cell r="AD19">
            <v>2582.160000000149</v>
          </cell>
          <cell r="AE19">
            <v>10682444.619999999</v>
          </cell>
          <cell r="AF19">
            <v>4920.6999999992549</v>
          </cell>
          <cell r="AG19">
            <v>5213.0399999991059</v>
          </cell>
          <cell r="AH19">
            <v>9800222</v>
          </cell>
          <cell r="AI19">
            <v>7502</v>
          </cell>
          <cell r="AJ19">
            <v>194.87999999988824</v>
          </cell>
          <cell r="AK19">
            <v>13139880.93</v>
          </cell>
          <cell r="AL19">
            <v>194.55000000074506</v>
          </cell>
          <cell r="AM19">
            <v>779.52000000141561</v>
          </cell>
          <cell r="AN19">
            <v>13133888.880000001</v>
          </cell>
          <cell r="AO19">
            <v>48.720000000670552</v>
          </cell>
          <cell r="AP19">
            <v>10572.240000000224</v>
          </cell>
          <cell r="AQ19">
            <v>11984058.16</v>
          </cell>
          <cell r="AR19">
            <v>6489.7599999997765</v>
          </cell>
          <cell r="AS19">
            <v>5895.1200000010431</v>
          </cell>
          <cell r="AT19">
            <v>10448014.42</v>
          </cell>
          <cell r="AU19">
            <v>4395.2200000006706</v>
          </cell>
          <cell r="AV19">
            <v>4774.5600000005215</v>
          </cell>
          <cell r="AW19">
            <v>10094490.959999999</v>
          </cell>
          <cell r="AX19">
            <v>4920</v>
          </cell>
          <cell r="AY19">
            <v>5310.4799999985844</v>
          </cell>
          <cell r="AZ19">
            <v>8068178.3700000001</v>
          </cell>
          <cell r="BA19">
            <v>3361.8899999996647</v>
          </cell>
          <cell r="BB19">
            <v>3800.1600000010803</v>
          </cell>
          <cell r="BC19">
            <v>11935278.959999999</v>
          </cell>
          <cell r="BD19">
            <v>5310</v>
          </cell>
          <cell r="BE19">
            <v>5797.679999999702</v>
          </cell>
          <cell r="BJ19">
            <v>49556000</v>
          </cell>
          <cell r="BK19">
            <v>39700</v>
          </cell>
          <cell r="BL19">
            <v>0</v>
          </cell>
          <cell r="BM19">
            <v>53882000</v>
          </cell>
          <cell r="BN19">
            <v>0</v>
          </cell>
          <cell r="BO19">
            <v>0</v>
          </cell>
          <cell r="BP19">
            <v>47576000</v>
          </cell>
          <cell r="BQ19">
            <v>0</v>
          </cell>
          <cell r="BR19">
            <v>49600</v>
          </cell>
          <cell r="BS19">
            <v>4025950</v>
          </cell>
          <cell r="BT19">
            <v>6250</v>
          </cell>
          <cell r="BV19">
            <v>0.75</v>
          </cell>
          <cell r="BW19">
            <v>0.13</v>
          </cell>
          <cell r="BX19">
            <v>-3.0000000000000027E-2</v>
          </cell>
          <cell r="BY19">
            <v>44644</v>
          </cell>
          <cell r="BZ19">
            <v>24</v>
          </cell>
          <cell r="CA19">
            <v>39480</v>
          </cell>
          <cell r="CB19">
            <v>21</v>
          </cell>
          <cell r="CC19">
            <v>13209</v>
          </cell>
          <cell r="CD19">
            <v>9</v>
          </cell>
          <cell r="CE19">
            <v>16625</v>
          </cell>
          <cell r="CF19">
            <v>11</v>
          </cell>
          <cell r="CG19">
            <v>18991</v>
          </cell>
          <cell r="CH19">
            <v>10</v>
          </cell>
          <cell r="CI19">
            <v>40434</v>
          </cell>
          <cell r="CJ19">
            <v>24</v>
          </cell>
          <cell r="CK19">
            <v>174836.15</v>
          </cell>
          <cell r="CL19">
            <v>136.44999999998254</v>
          </cell>
          <cell r="CM19">
            <v>85</v>
          </cell>
          <cell r="CN19">
            <v>126172.27</v>
          </cell>
          <cell r="CO19">
            <v>148.07000000000698</v>
          </cell>
          <cell r="CP19">
            <v>82</v>
          </cell>
          <cell r="CQ19">
            <v>236517.92</v>
          </cell>
          <cell r="CR19">
            <v>447.42000000001281</v>
          </cell>
          <cell r="CS19">
            <v>414</v>
          </cell>
          <cell r="CT19">
            <v>472301</v>
          </cell>
          <cell r="CU19">
            <v>212</v>
          </cell>
          <cell r="CW19">
            <v>327.8</v>
          </cell>
          <cell r="CX19">
            <v>0</v>
          </cell>
          <cell r="CY19">
            <v>1143.7</v>
          </cell>
          <cell r="CZ19">
            <v>0</v>
          </cell>
          <cell r="DA19">
            <v>18608.3</v>
          </cell>
          <cell r="DB19">
            <v>16</v>
          </cell>
          <cell r="DC19">
            <v>19232.2</v>
          </cell>
          <cell r="DD19">
            <v>16.799999999999272</v>
          </cell>
          <cell r="DE19">
            <v>13453.5</v>
          </cell>
          <cell r="DF19">
            <v>13</v>
          </cell>
          <cell r="DG19">
            <v>17181.2</v>
          </cell>
          <cell r="DH19">
            <v>7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925</v>
          </cell>
          <cell r="DN19">
            <v>5</v>
          </cell>
          <cell r="DO19">
            <v>1108</v>
          </cell>
          <cell r="DP19">
            <v>5</v>
          </cell>
          <cell r="DQ19">
            <v>16942</v>
          </cell>
          <cell r="DR19">
            <v>0</v>
          </cell>
          <cell r="DT19">
            <v>2743109.9</v>
          </cell>
          <cell r="DU19">
            <v>1377.5</v>
          </cell>
          <cell r="DV19">
            <v>4511.8</v>
          </cell>
          <cell r="DW19">
            <v>4.5</v>
          </cell>
          <cell r="DX19">
            <v>1811485.2</v>
          </cell>
          <cell r="DY19">
            <v>1097.5</v>
          </cell>
          <cell r="DZ19">
            <v>252502.1</v>
          </cell>
          <cell r="EA19">
            <v>4</v>
          </cell>
          <cell r="ED19">
            <v>406899.80000000005</v>
          </cell>
          <cell r="EE19">
            <v>583.40000000002328</v>
          </cell>
          <cell r="EF19">
            <v>86018.6</v>
          </cell>
          <cell r="EG19">
            <v>151</v>
          </cell>
          <cell r="EI19">
            <v>6775900</v>
          </cell>
          <cell r="EJ19">
            <v>1500</v>
          </cell>
          <cell r="EK19">
            <v>597460</v>
          </cell>
          <cell r="EL19">
            <v>200</v>
          </cell>
          <cell r="EM19">
            <v>4611800</v>
          </cell>
          <cell r="EN19">
            <v>1500</v>
          </cell>
          <cell r="EO19">
            <v>1987900</v>
          </cell>
          <cell r="EP19">
            <v>0</v>
          </cell>
          <cell r="EQ19">
            <v>677600</v>
          </cell>
          <cell r="ER19">
            <v>120</v>
          </cell>
          <cell r="ES19">
            <v>10712700</v>
          </cell>
          <cell r="ET19">
            <v>1200</v>
          </cell>
          <cell r="EV19">
            <v>27753.3</v>
          </cell>
          <cell r="EX19">
            <v>24287.5</v>
          </cell>
          <cell r="EY19">
            <v>15</v>
          </cell>
          <cell r="EZ19">
            <v>0</v>
          </cell>
          <cell r="FA19">
            <v>0</v>
          </cell>
          <cell r="FB19">
            <v>43824.5</v>
          </cell>
          <cell r="FD19">
            <v>20528</v>
          </cell>
          <cell r="FE19">
            <v>31</v>
          </cell>
        </row>
        <row r="20">
          <cell r="B20">
            <v>0.72</v>
          </cell>
          <cell r="E20">
            <v>520275</v>
          </cell>
          <cell r="F20">
            <v>514</v>
          </cell>
          <cell r="G20">
            <v>514</v>
          </cell>
          <cell r="H20">
            <v>690498</v>
          </cell>
          <cell r="I20">
            <v>351</v>
          </cell>
          <cell r="J20">
            <v>433</v>
          </cell>
          <cell r="K20">
            <v>22377</v>
          </cell>
          <cell r="L20">
            <v>3</v>
          </cell>
          <cell r="N20">
            <v>613182.9</v>
          </cell>
          <cell r="O20">
            <v>0</v>
          </cell>
          <cell r="Q20">
            <v>156875</v>
          </cell>
          <cell r="R20">
            <v>0</v>
          </cell>
          <cell r="S20">
            <v>94635</v>
          </cell>
          <cell r="T20">
            <v>62</v>
          </cell>
          <cell r="U20">
            <v>93</v>
          </cell>
          <cell r="V20">
            <v>7157</v>
          </cell>
          <cell r="W20">
            <v>11</v>
          </cell>
          <cell r="AB20">
            <v>5480756.3999999994</v>
          </cell>
          <cell r="AC20">
            <v>2192.9199999999255</v>
          </cell>
          <cell r="AD20">
            <v>2679.5999999996275</v>
          </cell>
          <cell r="AE20">
            <v>10687267.92</v>
          </cell>
          <cell r="AF20">
            <v>4823.3000000007451</v>
          </cell>
          <cell r="AG20">
            <v>5115.6000000014901</v>
          </cell>
          <cell r="AH20">
            <v>9802220.4000000004</v>
          </cell>
          <cell r="AI20">
            <v>1998.4000000003725</v>
          </cell>
          <cell r="AJ20">
            <v>0</v>
          </cell>
          <cell r="AK20">
            <v>13145338.08</v>
          </cell>
          <cell r="AL20">
            <v>5457.1500000003725</v>
          </cell>
          <cell r="AM20">
            <v>633.35999999940395</v>
          </cell>
          <cell r="AN20">
            <v>13134376.08</v>
          </cell>
          <cell r="AO20">
            <v>487.19999999925494</v>
          </cell>
          <cell r="AP20">
            <v>9256.8000000007451</v>
          </cell>
          <cell r="AQ20">
            <v>11989212.48</v>
          </cell>
          <cell r="AR20">
            <v>5154.320000000298</v>
          </cell>
          <cell r="AS20">
            <v>5797.679999999702</v>
          </cell>
          <cell r="AT20">
            <v>10452632.4</v>
          </cell>
          <cell r="AU20">
            <v>21463.4</v>
          </cell>
          <cell r="AV20">
            <v>4579.679999999702</v>
          </cell>
          <cell r="AW20">
            <v>10099753.439999999</v>
          </cell>
          <cell r="AX20">
            <v>5262.480000000447</v>
          </cell>
          <cell r="AY20">
            <v>5213.0400000000373</v>
          </cell>
          <cell r="AZ20">
            <v>8071442.3999999994</v>
          </cell>
          <cell r="BA20">
            <v>3264.0299999993294</v>
          </cell>
          <cell r="BB20">
            <v>3507.8399999989197</v>
          </cell>
          <cell r="BC20">
            <v>11940833.52</v>
          </cell>
          <cell r="BD20">
            <v>5554.5600000005215</v>
          </cell>
          <cell r="BE20">
            <v>5797.679999999702</v>
          </cell>
          <cell r="BJ20">
            <v>49562800</v>
          </cell>
          <cell r="BK20">
            <v>6800</v>
          </cell>
          <cell r="BL20">
            <v>0</v>
          </cell>
          <cell r="BM20">
            <v>53909600</v>
          </cell>
          <cell r="BN20">
            <v>27600</v>
          </cell>
          <cell r="BO20">
            <v>0</v>
          </cell>
          <cell r="BP20">
            <v>47576000</v>
          </cell>
          <cell r="BQ20">
            <v>0</v>
          </cell>
          <cell r="BR20">
            <v>42800</v>
          </cell>
          <cell r="BS20">
            <v>4029580</v>
          </cell>
          <cell r="BT20">
            <v>3630</v>
          </cell>
          <cell r="BV20">
            <v>0.68</v>
          </cell>
          <cell r="BW20">
            <v>-6.9999999999999951E-2</v>
          </cell>
          <cell r="BX20">
            <v>4.0000000000000036E-2</v>
          </cell>
          <cell r="BY20">
            <v>44669</v>
          </cell>
          <cell r="BZ20">
            <v>25</v>
          </cell>
          <cell r="CA20">
            <v>39501</v>
          </cell>
          <cell r="CB20">
            <v>21</v>
          </cell>
          <cell r="CC20">
            <v>13217</v>
          </cell>
          <cell r="CD20">
            <v>8</v>
          </cell>
          <cell r="CE20">
            <v>16637</v>
          </cell>
          <cell r="CF20">
            <v>12</v>
          </cell>
          <cell r="CG20">
            <v>19004</v>
          </cell>
          <cell r="CH20">
            <v>13</v>
          </cell>
          <cell r="CI20">
            <v>40463</v>
          </cell>
          <cell r="CJ20">
            <v>29</v>
          </cell>
          <cell r="CK20">
            <v>174862.62</v>
          </cell>
          <cell r="CL20">
            <v>26.470000000001164</v>
          </cell>
          <cell r="CM20">
            <v>88</v>
          </cell>
          <cell r="CN20">
            <v>126246.55</v>
          </cell>
          <cell r="CO20">
            <v>74.279999999998836</v>
          </cell>
          <cell r="CP20">
            <v>90</v>
          </cell>
          <cell r="CQ20">
            <v>236749.62</v>
          </cell>
          <cell r="CR20">
            <v>231.69999999998254</v>
          </cell>
          <cell r="CS20">
            <v>479</v>
          </cell>
          <cell r="CT20">
            <v>472412</v>
          </cell>
          <cell r="CU20">
            <v>111</v>
          </cell>
          <cell r="CW20">
            <v>329.6</v>
          </cell>
          <cell r="CX20">
            <v>1.8000000000000114</v>
          </cell>
          <cell r="CY20">
            <v>1160.8599999999999</v>
          </cell>
          <cell r="CZ20">
            <v>17.159999999999854</v>
          </cell>
          <cell r="DA20">
            <v>18627.5</v>
          </cell>
          <cell r="DB20">
            <v>19.200000000000728</v>
          </cell>
          <cell r="DC20">
            <v>19246.900000000001</v>
          </cell>
          <cell r="DD20">
            <v>14.700000000000728</v>
          </cell>
          <cell r="DE20">
            <v>13463.7</v>
          </cell>
          <cell r="DF20">
            <v>10.200000000000728</v>
          </cell>
          <cell r="DG20">
            <v>17185.900000000001</v>
          </cell>
          <cell r="DH20">
            <v>4.7000000000007276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929</v>
          </cell>
          <cell r="DN20">
            <v>4</v>
          </cell>
          <cell r="DO20">
            <v>1114</v>
          </cell>
          <cell r="DP20">
            <v>6</v>
          </cell>
          <cell r="DQ20">
            <v>16942</v>
          </cell>
          <cell r="DR20">
            <v>0</v>
          </cell>
          <cell r="DT20">
            <v>2744772.7</v>
          </cell>
          <cell r="DU20">
            <v>1662.8000000002794</v>
          </cell>
          <cell r="DV20">
            <v>4516</v>
          </cell>
          <cell r="DW20">
            <v>4.1999999999998181</v>
          </cell>
          <cell r="DX20">
            <v>1812555.4</v>
          </cell>
          <cell r="DY20">
            <v>1070.1999999999534</v>
          </cell>
          <cell r="DZ20">
            <v>252506.71</v>
          </cell>
          <cell r="EA20">
            <v>4.6099999999860302</v>
          </cell>
          <cell r="ED20">
            <v>407442.99</v>
          </cell>
          <cell r="EE20">
            <v>543.18999999994412</v>
          </cell>
          <cell r="EF20">
            <v>86165.7</v>
          </cell>
          <cell r="EG20">
            <v>147.09999999999127</v>
          </cell>
          <cell r="EI20">
            <v>6779200</v>
          </cell>
          <cell r="EJ20">
            <v>3300</v>
          </cell>
          <cell r="EK20">
            <v>597820</v>
          </cell>
          <cell r="EL20">
            <v>360</v>
          </cell>
          <cell r="EM20">
            <v>4613200</v>
          </cell>
          <cell r="EN20">
            <v>1400</v>
          </cell>
          <cell r="EO20">
            <v>1988000</v>
          </cell>
          <cell r="EP20">
            <v>100</v>
          </cell>
          <cell r="EQ20">
            <v>677750</v>
          </cell>
          <cell r="ER20">
            <v>150</v>
          </cell>
          <cell r="ES20">
            <v>10713600</v>
          </cell>
          <cell r="ET20">
            <v>900</v>
          </cell>
          <cell r="EV20">
            <v>27770.6</v>
          </cell>
          <cell r="EX20">
            <v>24302.2</v>
          </cell>
          <cell r="EY20">
            <v>14.700000000000728</v>
          </cell>
          <cell r="EZ20">
            <v>0</v>
          </cell>
          <cell r="FA20">
            <v>0</v>
          </cell>
          <cell r="FB20">
            <v>43866.65</v>
          </cell>
          <cell r="FD20">
            <v>20555.57</v>
          </cell>
          <cell r="FE20">
            <v>27.569999999999709</v>
          </cell>
        </row>
        <row r="21">
          <cell r="B21">
            <v>0.79</v>
          </cell>
          <cell r="E21">
            <v>520895</v>
          </cell>
          <cell r="F21">
            <v>829</v>
          </cell>
          <cell r="G21">
            <v>829</v>
          </cell>
          <cell r="H21">
            <v>691091</v>
          </cell>
          <cell r="I21">
            <v>593</v>
          </cell>
          <cell r="J21">
            <v>391</v>
          </cell>
          <cell r="K21">
            <v>22390</v>
          </cell>
          <cell r="L21">
            <v>13</v>
          </cell>
          <cell r="N21">
            <v>613182.9</v>
          </cell>
          <cell r="O21">
            <v>0</v>
          </cell>
          <cell r="Q21">
            <v>156875</v>
          </cell>
          <cell r="R21">
            <v>0</v>
          </cell>
          <cell r="S21">
            <v>94684</v>
          </cell>
          <cell r="T21">
            <v>49</v>
          </cell>
          <cell r="U21">
            <v>74</v>
          </cell>
          <cell r="V21">
            <v>7165</v>
          </cell>
          <cell r="W21">
            <v>8</v>
          </cell>
          <cell r="AB21">
            <v>5482705.2000000002</v>
          </cell>
          <cell r="AC21">
            <v>1948.8000000007451</v>
          </cell>
          <cell r="AD21">
            <v>2630.8799999998882</v>
          </cell>
          <cell r="AE21">
            <v>10692188.640000001</v>
          </cell>
          <cell r="AF21">
            <v>4920.7200000006706</v>
          </cell>
          <cell r="AG21">
            <v>4969.4399999994785</v>
          </cell>
          <cell r="AH21">
            <v>9802317.8399999999</v>
          </cell>
          <cell r="AI21">
            <v>97.439999999478459</v>
          </cell>
          <cell r="AJ21">
            <v>97.439999999478459</v>
          </cell>
          <cell r="AK21">
            <v>13150843.439999999</v>
          </cell>
          <cell r="AL21">
            <v>5505.359999999404</v>
          </cell>
          <cell r="AM21">
            <v>48.719999998807907</v>
          </cell>
          <cell r="AN21">
            <v>13134960.719999999</v>
          </cell>
          <cell r="AO21">
            <v>584.6399999987334</v>
          </cell>
          <cell r="AP21">
            <v>8428.5600000005215</v>
          </cell>
          <cell r="AQ21">
            <v>11995156.319999998</v>
          </cell>
          <cell r="AR21">
            <v>5943.8399999979883</v>
          </cell>
          <cell r="AS21">
            <v>5797.679999999702</v>
          </cell>
          <cell r="AT21">
            <v>10456968.48</v>
          </cell>
          <cell r="AU21">
            <v>4336.0800000000745</v>
          </cell>
          <cell r="AV21">
            <v>4141.1999999992549</v>
          </cell>
          <cell r="AW21">
            <v>10104771.6</v>
          </cell>
          <cell r="AX21">
            <v>5018.160000000149</v>
          </cell>
          <cell r="AY21">
            <v>4823.2800000011921</v>
          </cell>
          <cell r="AZ21">
            <v>8074755.3599999994</v>
          </cell>
          <cell r="BA21">
            <v>3312.9599999999627</v>
          </cell>
          <cell r="BB21">
            <v>3361.6800000006333</v>
          </cell>
          <cell r="BC21">
            <v>11946241.439999999</v>
          </cell>
          <cell r="BD21">
            <v>5407.9199999999255</v>
          </cell>
          <cell r="BE21">
            <v>5651.519999999553</v>
          </cell>
          <cell r="BJ21">
            <v>49562900</v>
          </cell>
          <cell r="BK21">
            <v>100</v>
          </cell>
          <cell r="BL21">
            <v>0</v>
          </cell>
          <cell r="BM21">
            <v>53937200</v>
          </cell>
          <cell r="BN21">
            <v>27600</v>
          </cell>
          <cell r="BO21">
            <v>0</v>
          </cell>
          <cell r="BP21">
            <v>47576000</v>
          </cell>
          <cell r="BQ21">
            <v>0</v>
          </cell>
          <cell r="BR21">
            <v>37400</v>
          </cell>
          <cell r="BS21">
            <v>4033840</v>
          </cell>
          <cell r="BT21">
            <v>4260</v>
          </cell>
          <cell r="BV21">
            <v>0.6</v>
          </cell>
          <cell r="BW21">
            <v>-8.0000000000000071E-2</v>
          </cell>
          <cell r="BX21">
            <v>-0.06</v>
          </cell>
          <cell r="BY21">
            <v>44693</v>
          </cell>
          <cell r="BZ21">
            <v>24</v>
          </cell>
          <cell r="CA21">
            <v>39519</v>
          </cell>
          <cell r="CB21">
            <v>18</v>
          </cell>
          <cell r="CC21">
            <v>13226</v>
          </cell>
          <cell r="CD21">
            <v>9</v>
          </cell>
          <cell r="CE21">
            <v>16648</v>
          </cell>
          <cell r="CF21">
            <v>11</v>
          </cell>
          <cell r="CG21">
            <v>19017</v>
          </cell>
          <cell r="CH21">
            <v>13</v>
          </cell>
          <cell r="CI21">
            <v>40491</v>
          </cell>
          <cell r="CJ21">
            <v>28</v>
          </cell>
          <cell r="CK21">
            <v>174944.48</v>
          </cell>
          <cell r="CL21">
            <v>81.860000000015134</v>
          </cell>
          <cell r="CM21">
            <v>84</v>
          </cell>
          <cell r="CN21">
            <v>126350.85</v>
          </cell>
          <cell r="CO21">
            <v>104.30000000000291</v>
          </cell>
          <cell r="CP21">
            <v>87</v>
          </cell>
          <cell r="CQ21">
            <v>237064.08</v>
          </cell>
          <cell r="CR21">
            <v>314.45999999999185</v>
          </cell>
          <cell r="CS21">
            <v>378</v>
          </cell>
          <cell r="CT21">
            <v>472577</v>
          </cell>
          <cell r="CU21">
            <v>165</v>
          </cell>
          <cell r="CW21">
            <v>329.6</v>
          </cell>
          <cell r="CX21">
            <v>0</v>
          </cell>
          <cell r="CY21">
            <v>1160.8599999999999</v>
          </cell>
          <cell r="CZ21">
            <v>0</v>
          </cell>
          <cell r="DA21">
            <v>18643.5</v>
          </cell>
          <cell r="DB21">
            <v>16</v>
          </cell>
          <cell r="DC21">
            <v>19261</v>
          </cell>
          <cell r="DD21">
            <v>14.099999999998545</v>
          </cell>
          <cell r="DE21">
            <v>13475</v>
          </cell>
          <cell r="DF21">
            <v>11.299999999999272</v>
          </cell>
          <cell r="DG21">
            <v>17191.5</v>
          </cell>
          <cell r="DH21">
            <v>5.5999999999985448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934</v>
          </cell>
          <cell r="DN21">
            <v>5</v>
          </cell>
          <cell r="DO21">
            <v>1119</v>
          </cell>
          <cell r="DP21">
            <v>5</v>
          </cell>
          <cell r="DQ21">
            <v>16942</v>
          </cell>
          <cell r="DR21">
            <v>0</v>
          </cell>
          <cell r="DT21">
            <v>2746285.8</v>
          </cell>
          <cell r="DU21">
            <v>1513.0999999996275</v>
          </cell>
          <cell r="DV21">
            <v>4521.1000000000004</v>
          </cell>
          <cell r="DW21">
            <v>5.1000000000003638</v>
          </cell>
          <cell r="DX21">
            <v>1813625</v>
          </cell>
          <cell r="DY21">
            <v>1069.6000000000931</v>
          </cell>
          <cell r="DZ21">
            <v>252511.06</v>
          </cell>
          <cell r="EA21">
            <v>4.3500000000058208</v>
          </cell>
          <cell r="ED21">
            <v>408036.46</v>
          </cell>
          <cell r="EE21">
            <v>593.47000000003027</v>
          </cell>
          <cell r="EF21">
            <v>86314.1</v>
          </cell>
          <cell r="EG21">
            <v>148.40000000000873</v>
          </cell>
          <cell r="EI21">
            <v>6780500</v>
          </cell>
          <cell r="EJ21">
            <v>1300</v>
          </cell>
          <cell r="EK21">
            <v>598060</v>
          </cell>
          <cell r="EL21">
            <v>240</v>
          </cell>
          <cell r="EM21">
            <v>4614100</v>
          </cell>
          <cell r="EN21">
            <v>900</v>
          </cell>
          <cell r="EO21">
            <v>1988000</v>
          </cell>
          <cell r="EP21">
            <v>0</v>
          </cell>
          <cell r="EQ21">
            <v>677870</v>
          </cell>
          <cell r="ER21">
            <v>120</v>
          </cell>
          <cell r="ES21">
            <v>10714200</v>
          </cell>
          <cell r="ET21">
            <v>600</v>
          </cell>
          <cell r="EV21">
            <v>27789.54</v>
          </cell>
          <cell r="EX21">
            <v>24317.46</v>
          </cell>
          <cell r="EY21">
            <v>15.259999999998399</v>
          </cell>
          <cell r="EZ21">
            <v>0</v>
          </cell>
          <cell r="FA21">
            <v>0</v>
          </cell>
          <cell r="FB21">
            <v>43899.95</v>
          </cell>
          <cell r="FD21">
            <v>20583.25</v>
          </cell>
          <cell r="FE21">
            <v>27.680000000000291</v>
          </cell>
        </row>
        <row r="22">
          <cell r="B22">
            <v>0.92</v>
          </cell>
          <cell r="E22">
            <v>521362</v>
          </cell>
          <cell r="F22">
            <v>773</v>
          </cell>
          <cell r="G22">
            <v>773</v>
          </cell>
          <cell r="H22">
            <v>691526</v>
          </cell>
          <cell r="I22">
            <v>435</v>
          </cell>
          <cell r="J22">
            <v>373</v>
          </cell>
          <cell r="K22">
            <v>22403</v>
          </cell>
          <cell r="L22">
            <v>13</v>
          </cell>
          <cell r="N22">
            <v>613182.9</v>
          </cell>
          <cell r="O22">
            <v>0</v>
          </cell>
          <cell r="Q22">
            <v>156875</v>
          </cell>
          <cell r="R22">
            <v>0</v>
          </cell>
          <cell r="S22">
            <v>94741</v>
          </cell>
          <cell r="T22">
            <v>57</v>
          </cell>
          <cell r="U22">
            <v>78</v>
          </cell>
          <cell r="V22">
            <v>7174</v>
          </cell>
          <cell r="W22">
            <v>9</v>
          </cell>
          <cell r="AB22">
            <v>5484507.8399999999</v>
          </cell>
          <cell r="AC22">
            <v>1802.6399999996647</v>
          </cell>
          <cell r="AD22">
            <v>2533.4400000004098</v>
          </cell>
          <cell r="AE22">
            <v>10697060.640000001</v>
          </cell>
          <cell r="AF22">
            <v>4872</v>
          </cell>
          <cell r="AG22">
            <v>4920.7199999988079</v>
          </cell>
          <cell r="AH22">
            <v>9802415.2800000012</v>
          </cell>
          <cell r="AI22">
            <v>97.440000001341105</v>
          </cell>
          <cell r="AJ22">
            <v>48.71999999973923</v>
          </cell>
          <cell r="AK22">
            <v>13156300.08</v>
          </cell>
          <cell r="AL22">
            <v>5456.640000000596</v>
          </cell>
          <cell r="AM22">
            <v>48.720000002533197</v>
          </cell>
          <cell r="AN22">
            <v>13135447.919999998</v>
          </cell>
          <cell r="AO22">
            <v>487.19999999925494</v>
          </cell>
          <cell r="AP22">
            <v>8428.5599999986589</v>
          </cell>
          <cell r="AQ22">
            <v>12001538.640000001</v>
          </cell>
          <cell r="AR22">
            <v>6382.3200000021607</v>
          </cell>
          <cell r="AS22">
            <v>5797.6800000015646</v>
          </cell>
          <cell r="AT22">
            <v>10461402</v>
          </cell>
          <cell r="AU22">
            <v>4433.519999999553</v>
          </cell>
          <cell r="AV22">
            <v>3897.5999999996275</v>
          </cell>
          <cell r="AW22">
            <v>10109692.319999998</v>
          </cell>
          <cell r="AX22">
            <v>4920.7199999988079</v>
          </cell>
          <cell r="AY22">
            <v>4823.2799999983981</v>
          </cell>
          <cell r="AZ22">
            <v>8077873.4400000004</v>
          </cell>
          <cell r="BA22">
            <v>3118.0800000010058</v>
          </cell>
          <cell r="BB22">
            <v>2874.480000000447</v>
          </cell>
          <cell r="BC22">
            <v>11951795.52</v>
          </cell>
          <cell r="BD22">
            <v>5554.0800000000745</v>
          </cell>
          <cell r="BE22">
            <v>5602.8000000007451</v>
          </cell>
          <cell r="BJ22">
            <v>49562900</v>
          </cell>
          <cell r="BK22">
            <v>0</v>
          </cell>
          <cell r="BL22">
            <v>0</v>
          </cell>
          <cell r="BM22">
            <v>53965300</v>
          </cell>
          <cell r="BN22">
            <v>28100</v>
          </cell>
          <cell r="BO22">
            <v>0</v>
          </cell>
          <cell r="BP22">
            <v>47576000</v>
          </cell>
          <cell r="BQ22">
            <v>0</v>
          </cell>
          <cell r="BR22">
            <v>38200</v>
          </cell>
          <cell r="BS22">
            <v>4037440</v>
          </cell>
          <cell r="BT22">
            <v>3600</v>
          </cell>
          <cell r="BV22">
            <v>0.75</v>
          </cell>
          <cell r="BW22">
            <v>0.15000000000000002</v>
          </cell>
          <cell r="BX22">
            <v>0.06</v>
          </cell>
          <cell r="BY22">
            <v>44716</v>
          </cell>
          <cell r="BZ22">
            <v>23</v>
          </cell>
          <cell r="CA22">
            <v>39538</v>
          </cell>
          <cell r="CB22">
            <v>19</v>
          </cell>
          <cell r="CC22">
            <v>13235</v>
          </cell>
          <cell r="CD22">
            <v>9</v>
          </cell>
          <cell r="CE22">
            <v>16659</v>
          </cell>
          <cell r="CF22">
            <v>11</v>
          </cell>
          <cell r="CG22">
            <v>19028</v>
          </cell>
          <cell r="CH22">
            <v>11</v>
          </cell>
          <cell r="CI22">
            <v>40519</v>
          </cell>
          <cell r="CJ22">
            <v>28</v>
          </cell>
          <cell r="CK22">
            <v>175028.4</v>
          </cell>
          <cell r="CL22">
            <v>83.919999999983702</v>
          </cell>
          <cell r="CM22">
            <v>80</v>
          </cell>
          <cell r="CN22">
            <v>126446.16</v>
          </cell>
          <cell r="CO22">
            <v>95.309999999997672</v>
          </cell>
          <cell r="CP22">
            <v>85</v>
          </cell>
          <cell r="CQ22">
            <v>237413.8</v>
          </cell>
          <cell r="CR22">
            <v>349.72000000000116</v>
          </cell>
          <cell r="CS22">
            <v>380</v>
          </cell>
          <cell r="CT22">
            <v>472745</v>
          </cell>
          <cell r="CU22">
            <v>168</v>
          </cell>
          <cell r="CW22">
            <v>329.6</v>
          </cell>
          <cell r="CX22">
            <v>0</v>
          </cell>
          <cell r="CY22">
            <v>1160.8599999999999</v>
          </cell>
          <cell r="CZ22">
            <v>0</v>
          </cell>
          <cell r="DA22">
            <v>18658.400000000001</v>
          </cell>
          <cell r="DB22">
            <v>14.900000000001455</v>
          </cell>
          <cell r="DC22">
            <v>19273.400000000001</v>
          </cell>
          <cell r="DD22">
            <v>12.400000000001455</v>
          </cell>
          <cell r="DE22">
            <v>13485.7</v>
          </cell>
          <cell r="DF22">
            <v>10.700000000000728</v>
          </cell>
          <cell r="DG22">
            <v>17196.5</v>
          </cell>
          <cell r="DH22">
            <v>5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939</v>
          </cell>
          <cell r="DN22">
            <v>5</v>
          </cell>
          <cell r="DO22">
            <v>1123</v>
          </cell>
          <cell r="DP22">
            <v>4</v>
          </cell>
          <cell r="DQ22">
            <v>16942</v>
          </cell>
          <cell r="DR22">
            <v>0</v>
          </cell>
          <cell r="DT22">
            <v>2747693.7</v>
          </cell>
          <cell r="DU22">
            <v>1407.9000000003725</v>
          </cell>
          <cell r="DV22">
            <v>4525.6000000000004</v>
          </cell>
          <cell r="DW22">
            <v>4.5</v>
          </cell>
          <cell r="DX22">
            <v>1814651.2</v>
          </cell>
          <cell r="DY22">
            <v>1026.1999999999534</v>
          </cell>
          <cell r="DZ22">
            <v>252515.16</v>
          </cell>
          <cell r="EA22">
            <v>4.1000000000058208</v>
          </cell>
          <cell r="ED22">
            <v>408583.73</v>
          </cell>
          <cell r="EE22">
            <v>547.26999999996042</v>
          </cell>
          <cell r="EF22">
            <v>86456.4</v>
          </cell>
          <cell r="EG22">
            <v>142.29999999998836</v>
          </cell>
          <cell r="EI22">
            <v>6781700</v>
          </cell>
          <cell r="EJ22">
            <v>1200</v>
          </cell>
          <cell r="EK22">
            <v>598300</v>
          </cell>
          <cell r="EL22">
            <v>240</v>
          </cell>
          <cell r="EM22">
            <v>4614800</v>
          </cell>
          <cell r="EN22">
            <v>700</v>
          </cell>
          <cell r="EO22">
            <v>1988100</v>
          </cell>
          <cell r="EP22">
            <v>100</v>
          </cell>
          <cell r="EQ22">
            <v>677980</v>
          </cell>
          <cell r="ER22">
            <v>110</v>
          </cell>
          <cell r="ES22">
            <v>10715200</v>
          </cell>
          <cell r="ET22">
            <v>1000</v>
          </cell>
          <cell r="EV22">
            <v>27807.8</v>
          </cell>
          <cell r="EX22">
            <v>24331.97</v>
          </cell>
          <cell r="EY22">
            <v>14.510000000002037</v>
          </cell>
          <cell r="EZ22">
            <v>0</v>
          </cell>
          <cell r="FA22">
            <v>0</v>
          </cell>
          <cell r="FB22">
            <v>43936</v>
          </cell>
          <cell r="FD22">
            <v>20612.169999999998</v>
          </cell>
          <cell r="FE22">
            <v>28.919999999998254</v>
          </cell>
        </row>
        <row r="23">
          <cell r="B23">
            <v>0.92</v>
          </cell>
          <cell r="E23">
            <v>521839</v>
          </cell>
          <cell r="F23">
            <v>536</v>
          </cell>
          <cell r="G23">
            <v>536</v>
          </cell>
          <cell r="H23">
            <v>691926</v>
          </cell>
          <cell r="I23">
            <v>400</v>
          </cell>
          <cell r="J23">
            <v>424</v>
          </cell>
          <cell r="K23">
            <v>22417</v>
          </cell>
          <cell r="L23">
            <v>14</v>
          </cell>
          <cell r="N23">
            <v>613182.9</v>
          </cell>
          <cell r="O23">
            <v>0</v>
          </cell>
          <cell r="Q23">
            <v>156875</v>
          </cell>
          <cell r="R23">
            <v>0</v>
          </cell>
          <cell r="S23">
            <v>94779</v>
          </cell>
          <cell r="T23">
            <v>38</v>
          </cell>
          <cell r="U23">
            <v>84</v>
          </cell>
          <cell r="V23">
            <v>7174</v>
          </cell>
          <cell r="W23">
            <v>0</v>
          </cell>
          <cell r="AB23">
            <v>5486213.04</v>
          </cell>
          <cell r="AC23">
            <v>1705.2000000001863</v>
          </cell>
          <cell r="AD23">
            <v>2582.1599999992177</v>
          </cell>
          <cell r="AE23">
            <v>10701981.359999999</v>
          </cell>
          <cell r="AF23">
            <v>4920.7199999988079</v>
          </cell>
          <cell r="AG23">
            <v>5018.160000000149</v>
          </cell>
          <cell r="AH23">
            <v>9802561.4399999995</v>
          </cell>
          <cell r="AI23">
            <v>146.15999999828637</v>
          </cell>
          <cell r="AJ23">
            <v>6820.8000000007451</v>
          </cell>
          <cell r="AK23">
            <v>13161074.640000001</v>
          </cell>
          <cell r="AL23">
            <v>4774.5600000005215</v>
          </cell>
          <cell r="AM23">
            <v>48.719999998807907</v>
          </cell>
          <cell r="AN23">
            <v>13136081.280000001</v>
          </cell>
          <cell r="AO23">
            <v>633.36000000312924</v>
          </cell>
          <cell r="AP23">
            <v>2241.1199999991804</v>
          </cell>
          <cell r="AQ23">
            <v>12007774.799999999</v>
          </cell>
          <cell r="AR23">
            <v>6236.1599999982864</v>
          </cell>
          <cell r="AS23">
            <v>5846.4000000003725</v>
          </cell>
          <cell r="AT23">
            <v>10465640.640000001</v>
          </cell>
          <cell r="AU23">
            <v>4238.640000000596</v>
          </cell>
          <cell r="AV23">
            <v>3995.0400000009686</v>
          </cell>
          <cell r="AW23">
            <v>10114661.76</v>
          </cell>
          <cell r="AX23">
            <v>4969.4400000013411</v>
          </cell>
          <cell r="AY23">
            <v>4823.2800000011921</v>
          </cell>
          <cell r="AZ23">
            <v>8081235.1199999992</v>
          </cell>
          <cell r="BA23">
            <v>3361.6799999987707</v>
          </cell>
          <cell r="BB23">
            <v>2971.9199999999255</v>
          </cell>
          <cell r="BC23">
            <v>11957300.880000001</v>
          </cell>
          <cell r="BD23">
            <v>5505.3600000012666</v>
          </cell>
          <cell r="BE23">
            <v>5554.0800000000745</v>
          </cell>
          <cell r="BJ23">
            <v>49562900</v>
          </cell>
          <cell r="BK23">
            <v>0</v>
          </cell>
          <cell r="BL23">
            <v>37000</v>
          </cell>
          <cell r="BM23">
            <v>53988000</v>
          </cell>
          <cell r="BN23">
            <v>22700</v>
          </cell>
          <cell r="BO23">
            <v>0</v>
          </cell>
          <cell r="BP23">
            <v>47576000</v>
          </cell>
          <cell r="BQ23">
            <v>0</v>
          </cell>
          <cell r="BR23">
            <v>8300</v>
          </cell>
          <cell r="BS23">
            <v>4038170</v>
          </cell>
          <cell r="BT23">
            <v>730</v>
          </cell>
          <cell r="BV23">
            <v>0.66</v>
          </cell>
          <cell r="BW23">
            <v>-8.9999999999999969E-2</v>
          </cell>
          <cell r="BX23">
            <v>-5.0000000000000044E-2</v>
          </cell>
          <cell r="BY23">
            <v>44740</v>
          </cell>
          <cell r="BZ23">
            <v>24</v>
          </cell>
          <cell r="CA23">
            <v>39556</v>
          </cell>
          <cell r="CB23">
            <v>18</v>
          </cell>
          <cell r="CC23">
            <v>13242</v>
          </cell>
          <cell r="CD23">
            <v>7</v>
          </cell>
          <cell r="CE23">
            <v>16669</v>
          </cell>
          <cell r="CF23">
            <v>10</v>
          </cell>
          <cell r="CG23">
            <v>19040</v>
          </cell>
          <cell r="CH23">
            <v>12</v>
          </cell>
          <cell r="CI23">
            <v>40535</v>
          </cell>
          <cell r="CJ23">
            <v>16</v>
          </cell>
          <cell r="CK23">
            <v>175113.5</v>
          </cell>
          <cell r="CL23">
            <v>85.100000000005821</v>
          </cell>
          <cell r="CM23">
            <v>84</v>
          </cell>
          <cell r="CN23">
            <v>126544.9</v>
          </cell>
          <cell r="CO23">
            <v>98.739999999990687</v>
          </cell>
          <cell r="CP23">
            <v>85</v>
          </cell>
          <cell r="CQ23">
            <v>237764.5</v>
          </cell>
          <cell r="CR23">
            <v>350.70000000001164</v>
          </cell>
          <cell r="CS23">
            <v>380</v>
          </cell>
          <cell r="CT23">
            <v>472917</v>
          </cell>
          <cell r="CU23">
            <v>172</v>
          </cell>
          <cell r="CW23">
            <v>329.6</v>
          </cell>
          <cell r="CX23">
            <v>0</v>
          </cell>
          <cell r="CY23">
            <v>1160.8599999999999</v>
          </cell>
          <cell r="CZ23">
            <v>0</v>
          </cell>
          <cell r="DA23">
            <v>18671.8</v>
          </cell>
          <cell r="DB23">
            <v>13.399999999997817</v>
          </cell>
          <cell r="DC23">
            <v>19285.900000000001</v>
          </cell>
          <cell r="DD23">
            <v>12.5</v>
          </cell>
          <cell r="DE23">
            <v>13496.8</v>
          </cell>
          <cell r="DF23">
            <v>11.099999999998545</v>
          </cell>
          <cell r="DG23">
            <v>17201.8</v>
          </cell>
          <cell r="DH23">
            <v>5.2999999999992724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943</v>
          </cell>
          <cell r="DN23">
            <v>4</v>
          </cell>
          <cell r="DO23">
            <v>1127</v>
          </cell>
          <cell r="DP23">
            <v>4</v>
          </cell>
          <cell r="DQ23">
            <v>16942</v>
          </cell>
          <cell r="DR23">
            <v>0</v>
          </cell>
          <cell r="DT23">
            <v>2749126.9</v>
          </cell>
          <cell r="DU23">
            <v>1433.1999999997206</v>
          </cell>
          <cell r="DV23">
            <v>4530.1000000000004</v>
          </cell>
          <cell r="DW23">
            <v>4.5</v>
          </cell>
          <cell r="DX23">
            <v>1815669.4</v>
          </cell>
          <cell r="DY23">
            <v>1018.1999999999534</v>
          </cell>
          <cell r="DZ23">
            <v>252519.5</v>
          </cell>
          <cell r="EA23">
            <v>4.3399999999965075</v>
          </cell>
          <cell r="ED23">
            <v>409180.5</v>
          </cell>
          <cell r="EE23">
            <v>596.77000000001863</v>
          </cell>
          <cell r="EF23">
            <v>86602.9</v>
          </cell>
          <cell r="EG23">
            <v>146.5</v>
          </cell>
          <cell r="EI23">
            <v>6782800</v>
          </cell>
          <cell r="EJ23">
            <v>1100</v>
          </cell>
          <cell r="EK23">
            <v>598540</v>
          </cell>
          <cell r="EL23">
            <v>240</v>
          </cell>
          <cell r="EM23">
            <v>4615600</v>
          </cell>
          <cell r="EN23">
            <v>800</v>
          </cell>
          <cell r="EO23">
            <v>1988100</v>
          </cell>
          <cell r="EP23">
            <v>0</v>
          </cell>
          <cell r="EQ23">
            <v>678080</v>
          </cell>
          <cell r="ER23">
            <v>100</v>
          </cell>
          <cell r="ES23">
            <v>10715600</v>
          </cell>
          <cell r="ET23">
            <v>400</v>
          </cell>
          <cell r="EV23">
            <v>27824.3</v>
          </cell>
          <cell r="EX23">
            <v>24346</v>
          </cell>
          <cell r="EY23">
            <v>14.029999999998836</v>
          </cell>
          <cell r="EZ23">
            <v>0</v>
          </cell>
          <cell r="FA23">
            <v>0</v>
          </cell>
          <cell r="FB23">
            <v>43972.800000000003</v>
          </cell>
          <cell r="FD23">
            <v>20643.5</v>
          </cell>
          <cell r="FE23">
            <v>31.330000000001746</v>
          </cell>
        </row>
        <row r="24">
          <cell r="B24">
            <v>0.86</v>
          </cell>
          <cell r="E24">
            <v>522311</v>
          </cell>
          <cell r="F24">
            <v>519</v>
          </cell>
          <cell r="G24">
            <v>519</v>
          </cell>
          <cell r="H24">
            <v>692340</v>
          </cell>
          <cell r="I24">
            <v>414</v>
          </cell>
          <cell r="J24">
            <v>422</v>
          </cell>
          <cell r="K24">
            <v>22430</v>
          </cell>
          <cell r="L24">
            <v>13</v>
          </cell>
          <cell r="N24">
            <v>613238.4</v>
          </cell>
          <cell r="O24">
            <v>55.5</v>
          </cell>
          <cell r="Q24">
            <v>156875</v>
          </cell>
          <cell r="R24">
            <v>0</v>
          </cell>
          <cell r="S24">
            <v>94818</v>
          </cell>
          <cell r="T24">
            <v>39</v>
          </cell>
          <cell r="U24">
            <v>174</v>
          </cell>
          <cell r="V24">
            <v>7174</v>
          </cell>
          <cell r="W24">
            <v>0</v>
          </cell>
          <cell r="AB24">
            <v>5487918.2400000002</v>
          </cell>
          <cell r="AC24">
            <v>1705.2000000001863</v>
          </cell>
          <cell r="AD24">
            <v>2630.8800000008196</v>
          </cell>
          <cell r="AE24">
            <v>10706950.799999999</v>
          </cell>
          <cell r="AF24">
            <v>4969.4399999994785</v>
          </cell>
          <cell r="AG24">
            <v>5164.320000000298</v>
          </cell>
          <cell r="AH24">
            <v>9802707.5999999996</v>
          </cell>
          <cell r="AI24">
            <v>146.16000000014901</v>
          </cell>
          <cell r="AJ24">
            <v>8720.8799999989569</v>
          </cell>
          <cell r="AK24">
            <v>13165020.959999999</v>
          </cell>
          <cell r="AL24">
            <v>3946.3199999984354</v>
          </cell>
          <cell r="AM24">
            <v>48.720000000670552</v>
          </cell>
          <cell r="AN24">
            <v>13136714.640000001</v>
          </cell>
          <cell r="AO24">
            <v>633.35999999940395</v>
          </cell>
          <cell r="AP24">
            <v>974.40000000037253</v>
          </cell>
          <cell r="AQ24">
            <v>12014205.84</v>
          </cell>
          <cell r="AR24">
            <v>6431.0400000009686</v>
          </cell>
          <cell r="AS24">
            <v>5992.5599999986589</v>
          </cell>
          <cell r="AT24">
            <v>10470171.6</v>
          </cell>
          <cell r="AU24">
            <v>4530.9599999990314</v>
          </cell>
          <cell r="AV24">
            <v>4092.480000000447</v>
          </cell>
          <cell r="AW24">
            <v>10119679.92</v>
          </cell>
          <cell r="AX24">
            <v>5018.160000000149</v>
          </cell>
          <cell r="AY24">
            <v>4872</v>
          </cell>
          <cell r="AZ24">
            <v>8084937.8399999999</v>
          </cell>
          <cell r="BA24">
            <v>3702.7200000006706</v>
          </cell>
          <cell r="BB24">
            <v>3410.4000000003725</v>
          </cell>
          <cell r="BC24">
            <v>11962806.24</v>
          </cell>
          <cell r="BD24">
            <v>5505.359999999404</v>
          </cell>
          <cell r="BE24">
            <v>5700.2400000002235</v>
          </cell>
          <cell r="BJ24">
            <v>49563000</v>
          </cell>
          <cell r="BK24">
            <v>100</v>
          </cell>
          <cell r="BL24">
            <v>49600</v>
          </cell>
          <cell r="BM24">
            <v>54007900</v>
          </cell>
          <cell r="BN24">
            <v>19900</v>
          </cell>
          <cell r="BO24">
            <v>0</v>
          </cell>
          <cell r="BP24">
            <v>47576000</v>
          </cell>
          <cell r="BQ24">
            <v>0</v>
          </cell>
          <cell r="BR24">
            <v>0</v>
          </cell>
          <cell r="BS24">
            <v>4040560</v>
          </cell>
          <cell r="BT24">
            <v>2390</v>
          </cell>
          <cell r="BV24">
            <v>0.57999999999999996</v>
          </cell>
          <cell r="BW24">
            <v>-8.0000000000000071E-2</v>
          </cell>
          <cell r="BX24">
            <v>-0.06</v>
          </cell>
          <cell r="BY24">
            <v>44750</v>
          </cell>
          <cell r="BZ24">
            <v>10</v>
          </cell>
          <cell r="CA24">
            <v>39572</v>
          </cell>
          <cell r="CB24">
            <v>16</v>
          </cell>
          <cell r="CC24">
            <v>13244</v>
          </cell>
          <cell r="CD24">
            <v>2</v>
          </cell>
          <cell r="CE24">
            <v>16679</v>
          </cell>
          <cell r="CF24">
            <v>10</v>
          </cell>
          <cell r="CG24">
            <v>19050</v>
          </cell>
          <cell r="CH24">
            <v>10</v>
          </cell>
          <cell r="CI24">
            <v>40551</v>
          </cell>
          <cell r="CJ24">
            <v>16</v>
          </cell>
          <cell r="CK24">
            <v>175198.8</v>
          </cell>
          <cell r="CL24">
            <v>85.299999999988358</v>
          </cell>
          <cell r="CM24">
            <v>82</v>
          </cell>
          <cell r="CN24">
            <v>126642.3</v>
          </cell>
          <cell r="CO24">
            <v>97.400000000008731</v>
          </cell>
          <cell r="CP24">
            <v>83</v>
          </cell>
          <cell r="CQ24">
            <v>238085</v>
          </cell>
          <cell r="CR24">
            <v>320.5</v>
          </cell>
          <cell r="CS24">
            <v>356</v>
          </cell>
          <cell r="CT24">
            <v>473092</v>
          </cell>
          <cell r="CU24">
            <v>175</v>
          </cell>
          <cell r="CW24">
            <v>329.6</v>
          </cell>
          <cell r="CX24">
            <v>0</v>
          </cell>
          <cell r="CY24">
            <v>1160.8599999999999</v>
          </cell>
          <cell r="CZ24">
            <v>0</v>
          </cell>
          <cell r="DA24">
            <v>18685.3</v>
          </cell>
          <cell r="DB24">
            <v>13.5</v>
          </cell>
          <cell r="DC24">
            <v>19298.8</v>
          </cell>
          <cell r="DD24">
            <v>12.899999999997817</v>
          </cell>
          <cell r="DE24">
            <v>13506.9</v>
          </cell>
          <cell r="DF24">
            <v>10.100000000000364</v>
          </cell>
          <cell r="DG24">
            <v>17207.599999999999</v>
          </cell>
          <cell r="DH24">
            <v>5.7999999999992724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949</v>
          </cell>
          <cell r="DN24">
            <v>6</v>
          </cell>
          <cell r="DO24">
            <v>1130</v>
          </cell>
          <cell r="DP24">
            <v>3</v>
          </cell>
          <cell r="DQ24">
            <v>16942</v>
          </cell>
          <cell r="DR24">
            <v>0</v>
          </cell>
          <cell r="DT24">
            <v>2750553.2</v>
          </cell>
          <cell r="DU24">
            <v>1426.3000000002794</v>
          </cell>
          <cell r="DV24">
            <v>4534.3999999999996</v>
          </cell>
          <cell r="DW24">
            <v>4.2999999999992724</v>
          </cell>
          <cell r="DX24">
            <v>1816674.6</v>
          </cell>
          <cell r="DY24">
            <v>1005.2000000001863</v>
          </cell>
          <cell r="DZ24">
            <v>252523.8</v>
          </cell>
          <cell r="EA24">
            <v>4.2999999999883585</v>
          </cell>
          <cell r="ED24">
            <v>409779.4</v>
          </cell>
          <cell r="EE24">
            <v>598.90000000002328</v>
          </cell>
          <cell r="EF24">
            <v>86748.7</v>
          </cell>
          <cell r="EG24">
            <v>145.80000000000291</v>
          </cell>
          <cell r="EI24">
            <v>6783800</v>
          </cell>
          <cell r="EJ24">
            <v>1000</v>
          </cell>
          <cell r="EK24">
            <v>598740</v>
          </cell>
          <cell r="EL24">
            <v>200</v>
          </cell>
          <cell r="EM24">
            <v>4616100</v>
          </cell>
          <cell r="EN24">
            <v>500</v>
          </cell>
          <cell r="EO24">
            <v>1988200</v>
          </cell>
          <cell r="EP24">
            <v>100</v>
          </cell>
          <cell r="EQ24">
            <v>678170</v>
          </cell>
          <cell r="ER24">
            <v>90</v>
          </cell>
          <cell r="ES24">
            <v>10716100</v>
          </cell>
          <cell r="ET24">
            <v>500</v>
          </cell>
          <cell r="EV24">
            <v>27842.5</v>
          </cell>
          <cell r="EX24">
            <v>24359.4</v>
          </cell>
          <cell r="EY24">
            <v>13.400000000001455</v>
          </cell>
          <cell r="EZ24">
            <v>0</v>
          </cell>
          <cell r="FA24">
            <v>0</v>
          </cell>
          <cell r="FB24">
            <v>44007.4</v>
          </cell>
          <cell r="FD24">
            <v>20673.099999999999</v>
          </cell>
          <cell r="FE24">
            <v>29.599999999998545</v>
          </cell>
        </row>
        <row r="25">
          <cell r="B25">
            <v>0.61</v>
          </cell>
          <cell r="E25">
            <v>522756</v>
          </cell>
          <cell r="F25">
            <v>448</v>
          </cell>
          <cell r="G25">
            <v>448</v>
          </cell>
          <cell r="H25">
            <v>692747</v>
          </cell>
          <cell r="I25">
            <v>407</v>
          </cell>
          <cell r="J25">
            <v>352</v>
          </cell>
          <cell r="K25">
            <v>22562</v>
          </cell>
          <cell r="L25">
            <v>132</v>
          </cell>
          <cell r="N25">
            <v>613376.9</v>
          </cell>
          <cell r="O25">
            <v>138.5</v>
          </cell>
          <cell r="Q25">
            <v>156875</v>
          </cell>
          <cell r="R25">
            <v>0</v>
          </cell>
          <cell r="S25">
            <v>94855</v>
          </cell>
          <cell r="T25">
            <v>37</v>
          </cell>
          <cell r="U25">
            <v>0</v>
          </cell>
          <cell r="V25">
            <v>7174</v>
          </cell>
          <cell r="W25">
            <v>0</v>
          </cell>
          <cell r="AB25">
            <v>5489672.1599999992</v>
          </cell>
          <cell r="AC25">
            <v>1753.9199999989942</v>
          </cell>
          <cell r="AD25">
            <v>2582.160000000149</v>
          </cell>
          <cell r="AE25">
            <v>10711725.359999999</v>
          </cell>
          <cell r="AF25">
            <v>4774.5600000005215</v>
          </cell>
          <cell r="AG25">
            <v>5066.8799999989569</v>
          </cell>
          <cell r="AH25">
            <v>9802756.3199999984</v>
          </cell>
          <cell r="AI25">
            <v>48.719999998807907</v>
          </cell>
          <cell r="AJ25">
            <v>8623.4400000004098</v>
          </cell>
          <cell r="AK25">
            <v>13168967.280000001</v>
          </cell>
          <cell r="AL25">
            <v>3946.3200000021607</v>
          </cell>
          <cell r="AM25">
            <v>48.719999998807907</v>
          </cell>
          <cell r="AN25">
            <v>13137396.719999999</v>
          </cell>
          <cell r="AO25">
            <v>682.07999999821186</v>
          </cell>
          <cell r="AP25">
            <v>535.92000000178814</v>
          </cell>
          <cell r="AQ25">
            <v>12020783.040000001</v>
          </cell>
          <cell r="AR25">
            <v>6577.2000000011176</v>
          </cell>
          <cell r="AS25">
            <v>5992.5600000005215</v>
          </cell>
          <cell r="AT25">
            <v>10474848.719999999</v>
          </cell>
          <cell r="AU25">
            <v>4677.1199999991804</v>
          </cell>
          <cell r="AV25">
            <v>4238.640000000596</v>
          </cell>
          <cell r="AW25">
            <v>10124503.199999999</v>
          </cell>
          <cell r="AX25">
            <v>4823.2799999993294</v>
          </cell>
          <cell r="AY25">
            <v>4774.5599999995902</v>
          </cell>
          <cell r="AZ25">
            <v>8087958.4800000004</v>
          </cell>
          <cell r="BA25">
            <v>3020.640000000596</v>
          </cell>
          <cell r="BB25">
            <v>3361.679999999702</v>
          </cell>
          <cell r="BC25">
            <v>11968457.76</v>
          </cell>
          <cell r="BD25">
            <v>5651.519999999553</v>
          </cell>
          <cell r="BE25">
            <v>5797.679999999702</v>
          </cell>
          <cell r="BJ25">
            <v>49563000</v>
          </cell>
          <cell r="BK25">
            <v>0</v>
          </cell>
          <cell r="BL25">
            <v>47600</v>
          </cell>
          <cell r="BM25">
            <v>54028500</v>
          </cell>
          <cell r="BN25">
            <v>20600</v>
          </cell>
          <cell r="BO25">
            <v>0</v>
          </cell>
          <cell r="BP25">
            <v>47576000</v>
          </cell>
          <cell r="BQ25">
            <v>0</v>
          </cell>
          <cell r="BR25">
            <v>0</v>
          </cell>
          <cell r="BS25">
            <v>4042480</v>
          </cell>
          <cell r="BT25">
            <v>1920</v>
          </cell>
          <cell r="BV25">
            <v>0.72</v>
          </cell>
          <cell r="BW25">
            <v>0.14000000000000001</v>
          </cell>
          <cell r="BX25">
            <v>7.0000000000000007E-2</v>
          </cell>
          <cell r="BY25">
            <v>44770</v>
          </cell>
          <cell r="BZ25">
            <v>20</v>
          </cell>
          <cell r="CA25">
            <v>39587</v>
          </cell>
          <cell r="CB25">
            <v>15</v>
          </cell>
          <cell r="CC25">
            <v>13249</v>
          </cell>
          <cell r="CD25">
            <v>5</v>
          </cell>
          <cell r="CE25">
            <v>16691</v>
          </cell>
          <cell r="CF25">
            <v>12</v>
          </cell>
          <cell r="CG25">
            <v>19062</v>
          </cell>
          <cell r="CH25">
            <v>12</v>
          </cell>
          <cell r="CI25">
            <v>40575</v>
          </cell>
          <cell r="CJ25">
            <v>24</v>
          </cell>
          <cell r="CK25">
            <v>175282.88</v>
          </cell>
          <cell r="CL25">
            <v>84.080000000016298</v>
          </cell>
          <cell r="CM25">
            <v>93</v>
          </cell>
          <cell r="CN25">
            <v>126735</v>
          </cell>
          <cell r="CO25">
            <v>92.69999999999709</v>
          </cell>
          <cell r="CP25">
            <v>79</v>
          </cell>
          <cell r="CQ25">
            <v>238400.1</v>
          </cell>
          <cell r="CR25">
            <v>315.10000000000582</v>
          </cell>
          <cell r="CS25">
            <v>365</v>
          </cell>
          <cell r="CT25">
            <v>473264</v>
          </cell>
          <cell r="CU25">
            <v>172</v>
          </cell>
          <cell r="CW25">
            <v>329.6</v>
          </cell>
          <cell r="CX25">
            <v>0</v>
          </cell>
          <cell r="CY25">
            <v>1160.8599999999999</v>
          </cell>
          <cell r="CZ25">
            <v>0</v>
          </cell>
          <cell r="DA25">
            <v>18698.3</v>
          </cell>
          <cell r="DB25">
            <v>13</v>
          </cell>
          <cell r="DC25">
            <v>19311.3</v>
          </cell>
          <cell r="DD25">
            <v>12.5</v>
          </cell>
          <cell r="DE25">
            <v>13517.9</v>
          </cell>
          <cell r="DF25">
            <v>11</v>
          </cell>
          <cell r="DG25">
            <v>17212.899999999998</v>
          </cell>
          <cell r="DH25">
            <v>5.2999999999992724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954</v>
          </cell>
          <cell r="DN25">
            <v>5</v>
          </cell>
          <cell r="DO25">
            <v>1134</v>
          </cell>
          <cell r="DP25">
            <v>4</v>
          </cell>
          <cell r="DQ25">
            <v>16952</v>
          </cell>
          <cell r="DR25">
            <v>10</v>
          </cell>
          <cell r="DT25">
            <v>2751983.2</v>
          </cell>
          <cell r="DU25">
            <v>1430</v>
          </cell>
          <cell r="DV25">
            <v>4539.1000000000004</v>
          </cell>
          <cell r="DW25">
            <v>4.7000000000007276</v>
          </cell>
          <cell r="DX25">
            <v>1817677.1</v>
          </cell>
          <cell r="DY25">
            <v>1002.5</v>
          </cell>
          <cell r="DZ25">
            <v>252527.8</v>
          </cell>
          <cell r="EA25">
            <v>4</v>
          </cell>
          <cell r="ED25">
            <v>410365.4</v>
          </cell>
          <cell r="EE25">
            <v>586</v>
          </cell>
          <cell r="EF25">
            <v>86893.7</v>
          </cell>
          <cell r="EG25">
            <v>145</v>
          </cell>
          <cell r="EI25">
            <v>6785000</v>
          </cell>
          <cell r="EJ25">
            <v>1200</v>
          </cell>
          <cell r="EK25">
            <v>598980</v>
          </cell>
          <cell r="EL25">
            <v>240</v>
          </cell>
          <cell r="EM25">
            <v>4616700</v>
          </cell>
          <cell r="EN25">
            <v>600</v>
          </cell>
          <cell r="EO25">
            <v>1988300</v>
          </cell>
          <cell r="EP25">
            <v>100</v>
          </cell>
          <cell r="EQ25">
            <v>678270</v>
          </cell>
          <cell r="ER25">
            <v>100</v>
          </cell>
          <cell r="ES25">
            <v>10716600</v>
          </cell>
          <cell r="ET25">
            <v>500</v>
          </cell>
          <cell r="EV25">
            <v>27859.5</v>
          </cell>
          <cell r="EX25">
            <v>24371.4</v>
          </cell>
          <cell r="EY25">
            <v>12</v>
          </cell>
          <cell r="EZ25">
            <v>0</v>
          </cell>
          <cell r="FA25">
            <v>0</v>
          </cell>
          <cell r="FB25">
            <v>44039.4</v>
          </cell>
          <cell r="FD25">
            <v>20702.099999999999</v>
          </cell>
          <cell r="FE25">
            <v>29</v>
          </cell>
        </row>
        <row r="26">
          <cell r="B26">
            <v>0.61</v>
          </cell>
          <cell r="E26">
            <v>523254</v>
          </cell>
          <cell r="F26">
            <v>529</v>
          </cell>
          <cell r="G26">
            <v>529</v>
          </cell>
          <cell r="H26">
            <v>693199</v>
          </cell>
          <cell r="I26">
            <v>452</v>
          </cell>
          <cell r="J26">
            <v>418</v>
          </cell>
          <cell r="K26">
            <v>22691</v>
          </cell>
          <cell r="L26">
            <v>129</v>
          </cell>
          <cell r="N26">
            <v>613547.5</v>
          </cell>
          <cell r="O26">
            <v>170.59999999997672</v>
          </cell>
          <cell r="Q26">
            <v>156875</v>
          </cell>
          <cell r="R26">
            <v>0</v>
          </cell>
          <cell r="S26">
            <v>94918</v>
          </cell>
          <cell r="T26">
            <v>63</v>
          </cell>
          <cell r="U26">
            <v>122</v>
          </cell>
          <cell r="V26">
            <v>7188</v>
          </cell>
          <cell r="W26">
            <v>14</v>
          </cell>
          <cell r="AB26">
            <v>5491620.96</v>
          </cell>
          <cell r="AC26">
            <v>1948.8000000007451</v>
          </cell>
          <cell r="AD26">
            <v>2241.1200000001118</v>
          </cell>
          <cell r="AE26">
            <v>10716646.08</v>
          </cell>
          <cell r="AF26">
            <v>4920.7200000006706</v>
          </cell>
          <cell r="AG26">
            <v>4969.4400000013411</v>
          </cell>
          <cell r="AH26">
            <v>9802756.3199999984</v>
          </cell>
          <cell r="AI26">
            <v>0</v>
          </cell>
          <cell r="AJ26">
            <v>8915.7599999997765</v>
          </cell>
          <cell r="AK26">
            <v>13174667.52</v>
          </cell>
          <cell r="AL26">
            <v>5700.2399999983609</v>
          </cell>
          <cell r="AM26">
            <v>389.75999999977648</v>
          </cell>
          <cell r="AN26">
            <v>13137981.359999999</v>
          </cell>
          <cell r="AO26">
            <v>584.64000000059605</v>
          </cell>
          <cell r="AP26">
            <v>974.39999999850988</v>
          </cell>
          <cell r="AQ26">
            <v>12027116.640000001</v>
          </cell>
          <cell r="AR26">
            <v>6333.5999999996275</v>
          </cell>
          <cell r="AS26">
            <v>5797.679999999702</v>
          </cell>
          <cell r="AT26">
            <v>10479330.959999999</v>
          </cell>
          <cell r="AU26">
            <v>4482.2400000002235</v>
          </cell>
          <cell r="AV26">
            <v>4287.359999999404</v>
          </cell>
          <cell r="AW26">
            <v>10129472.640000001</v>
          </cell>
          <cell r="AX26">
            <v>4969.4400000013411</v>
          </cell>
          <cell r="AY26">
            <v>4969.4400000004098</v>
          </cell>
          <cell r="AZ26">
            <v>8091417.5999999996</v>
          </cell>
          <cell r="BA26">
            <v>3459.1199999991804</v>
          </cell>
          <cell r="BB26">
            <v>3459.1200000001118</v>
          </cell>
          <cell r="BC26">
            <v>11974109.280000001</v>
          </cell>
          <cell r="BD26">
            <v>5651.5200000014156</v>
          </cell>
          <cell r="BE26">
            <v>5700.2400000002235</v>
          </cell>
          <cell r="BJ26">
            <v>49563100</v>
          </cell>
          <cell r="BK26">
            <v>100</v>
          </cell>
          <cell r="BL26">
            <v>51600</v>
          </cell>
          <cell r="BM26">
            <v>54056100</v>
          </cell>
          <cell r="BN26">
            <v>27600</v>
          </cell>
          <cell r="BO26">
            <v>0</v>
          </cell>
          <cell r="BP26">
            <v>47576000</v>
          </cell>
          <cell r="BQ26">
            <v>0</v>
          </cell>
          <cell r="BR26">
            <v>0</v>
          </cell>
          <cell r="BS26">
            <v>4044890</v>
          </cell>
          <cell r="BT26">
            <v>2410</v>
          </cell>
          <cell r="BV26">
            <v>0.63</v>
          </cell>
          <cell r="BW26">
            <v>-8.9999999999999969E-2</v>
          </cell>
          <cell r="BX26">
            <v>-0.06</v>
          </cell>
          <cell r="BY26">
            <v>44789</v>
          </cell>
          <cell r="BZ26">
            <v>19</v>
          </cell>
          <cell r="CA26">
            <v>39603</v>
          </cell>
          <cell r="CB26">
            <v>16</v>
          </cell>
          <cell r="CC26">
            <v>13256</v>
          </cell>
          <cell r="CD26">
            <v>7</v>
          </cell>
          <cell r="CE26">
            <v>16701</v>
          </cell>
          <cell r="CF26">
            <v>10</v>
          </cell>
          <cell r="CG26">
            <v>19075</v>
          </cell>
          <cell r="CH26">
            <v>13</v>
          </cell>
          <cell r="CI26">
            <v>40600</v>
          </cell>
          <cell r="CJ26">
            <v>25</v>
          </cell>
          <cell r="CK26">
            <v>175367.88</v>
          </cell>
          <cell r="CL26">
            <v>85</v>
          </cell>
          <cell r="CM26">
            <v>86</v>
          </cell>
          <cell r="CN26">
            <v>126827.4</v>
          </cell>
          <cell r="CO26">
            <v>92.399999999994179</v>
          </cell>
          <cell r="CP26">
            <v>82</v>
          </cell>
          <cell r="CQ26">
            <v>238727.5</v>
          </cell>
          <cell r="CR26">
            <v>327.39999999999418</v>
          </cell>
          <cell r="CS26">
            <v>298</v>
          </cell>
          <cell r="CT26">
            <v>473437</v>
          </cell>
          <cell r="CU26">
            <v>173</v>
          </cell>
          <cell r="CW26">
            <v>329.6</v>
          </cell>
          <cell r="CX26">
            <v>0</v>
          </cell>
          <cell r="CY26">
            <v>1160.8599999999999</v>
          </cell>
          <cell r="CZ26">
            <v>0</v>
          </cell>
          <cell r="DA26">
            <v>18717</v>
          </cell>
          <cell r="DB26">
            <v>18.700000000000728</v>
          </cell>
          <cell r="DC26">
            <v>19330.8</v>
          </cell>
          <cell r="DD26">
            <v>19.5</v>
          </cell>
          <cell r="DE26">
            <v>13529.7</v>
          </cell>
          <cell r="DF26">
            <v>11.800000000001091</v>
          </cell>
          <cell r="DG26">
            <v>17218.900000000001</v>
          </cell>
          <cell r="DH26">
            <v>6.000000000003638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959</v>
          </cell>
          <cell r="DN26">
            <v>5</v>
          </cell>
          <cell r="DO26">
            <v>1140</v>
          </cell>
          <cell r="DP26">
            <v>6</v>
          </cell>
          <cell r="DQ26">
            <v>16962</v>
          </cell>
          <cell r="DR26">
            <v>10</v>
          </cell>
          <cell r="DT26">
            <v>2753587.2000000002</v>
          </cell>
          <cell r="DU26">
            <v>1604</v>
          </cell>
          <cell r="DV26">
            <v>4543.8</v>
          </cell>
          <cell r="DW26">
            <v>4.6999999999998181</v>
          </cell>
          <cell r="DX26">
            <v>1818784.3</v>
          </cell>
          <cell r="DY26">
            <v>1107.1999999999534</v>
          </cell>
          <cell r="DZ26">
            <v>252532.3</v>
          </cell>
          <cell r="EA26">
            <v>4.5</v>
          </cell>
          <cell r="ED26">
            <v>410994.8</v>
          </cell>
          <cell r="EE26">
            <v>629.39999999996508</v>
          </cell>
          <cell r="EF26">
            <v>87055.6</v>
          </cell>
          <cell r="EG26">
            <v>161.90000000000873</v>
          </cell>
          <cell r="EI26">
            <v>6786200</v>
          </cell>
          <cell r="EJ26">
            <v>1200</v>
          </cell>
          <cell r="EK26">
            <v>599200</v>
          </cell>
          <cell r="EL26">
            <v>220</v>
          </cell>
          <cell r="EM26">
            <v>4617200</v>
          </cell>
          <cell r="EN26">
            <v>500</v>
          </cell>
          <cell r="EO26">
            <v>1988300</v>
          </cell>
          <cell r="EP26">
            <v>0</v>
          </cell>
          <cell r="EQ26">
            <v>678370</v>
          </cell>
          <cell r="ER26">
            <v>100</v>
          </cell>
          <cell r="ES26">
            <v>10717000</v>
          </cell>
          <cell r="ET26">
            <v>400</v>
          </cell>
          <cell r="EV26">
            <v>27878.799999999999</v>
          </cell>
          <cell r="EX26">
            <v>24389.200000000001</v>
          </cell>
          <cell r="EY26">
            <v>17.799999999999272</v>
          </cell>
          <cell r="EZ26">
            <v>0</v>
          </cell>
          <cell r="FA26">
            <v>0</v>
          </cell>
          <cell r="FB26">
            <v>44078.6</v>
          </cell>
          <cell r="FD26">
            <v>20735.8</v>
          </cell>
          <cell r="FE26">
            <v>33.700000000000728</v>
          </cell>
        </row>
        <row r="27">
          <cell r="B27">
            <v>0.61</v>
          </cell>
          <cell r="E27">
            <v>523810</v>
          </cell>
          <cell r="F27">
            <v>496</v>
          </cell>
          <cell r="G27">
            <v>496</v>
          </cell>
          <cell r="H27">
            <v>693653</v>
          </cell>
          <cell r="I27">
            <v>454</v>
          </cell>
          <cell r="J27">
            <v>388</v>
          </cell>
          <cell r="K27">
            <v>22811</v>
          </cell>
          <cell r="L27">
            <v>120</v>
          </cell>
          <cell r="N27">
            <v>613686.30000000005</v>
          </cell>
          <cell r="O27">
            <v>138.80000000004657</v>
          </cell>
          <cell r="Q27">
            <v>156875</v>
          </cell>
          <cell r="R27">
            <v>0</v>
          </cell>
          <cell r="S27">
            <v>94987</v>
          </cell>
          <cell r="T27">
            <v>69</v>
          </cell>
          <cell r="U27">
            <v>50</v>
          </cell>
          <cell r="V27">
            <v>7210</v>
          </cell>
          <cell r="W27">
            <v>22</v>
          </cell>
          <cell r="AB27">
            <v>5493569.7599999998</v>
          </cell>
          <cell r="AC27">
            <v>1948.7999999998137</v>
          </cell>
          <cell r="AD27">
            <v>2241.1200000001118</v>
          </cell>
          <cell r="AE27">
            <v>10721420.640000001</v>
          </cell>
          <cell r="AF27">
            <v>4774.5600000005215</v>
          </cell>
          <cell r="AG27">
            <v>5066.8800000008196</v>
          </cell>
          <cell r="AH27">
            <v>9803097.3599999994</v>
          </cell>
          <cell r="AI27">
            <v>341.04000000096858</v>
          </cell>
          <cell r="AJ27">
            <v>7161.8400000007823</v>
          </cell>
          <cell r="AK27">
            <v>13174959.84</v>
          </cell>
          <cell r="AL27">
            <v>292.32000000029802</v>
          </cell>
          <cell r="AM27">
            <v>341.04000000096858</v>
          </cell>
          <cell r="AN27">
            <v>13144899.6</v>
          </cell>
          <cell r="AO27">
            <v>6918.2400000002235</v>
          </cell>
          <cell r="AP27">
            <v>535.91999999992549</v>
          </cell>
          <cell r="AQ27">
            <v>12033304.08</v>
          </cell>
          <cell r="AR27">
            <v>6187.4399999994785</v>
          </cell>
          <cell r="AS27">
            <v>5846.4000000003725</v>
          </cell>
          <cell r="AT27">
            <v>10484008.08</v>
          </cell>
          <cell r="AU27">
            <v>4677.1200000010431</v>
          </cell>
          <cell r="AV27">
            <v>4141.1999999992549</v>
          </cell>
          <cell r="AW27">
            <v>10134588.24</v>
          </cell>
          <cell r="AX27">
            <v>5115.5999999996275</v>
          </cell>
          <cell r="AY27">
            <v>4872</v>
          </cell>
          <cell r="AZ27">
            <v>8094974.1599999992</v>
          </cell>
          <cell r="BA27">
            <v>3556.5599999995902</v>
          </cell>
          <cell r="BB27">
            <v>3410.3999999994412</v>
          </cell>
          <cell r="BC27">
            <v>11979663.359999999</v>
          </cell>
          <cell r="BD27">
            <v>5554.0799999982119</v>
          </cell>
          <cell r="BE27">
            <v>5846.4000000003725</v>
          </cell>
          <cell r="BJ27">
            <v>49563100</v>
          </cell>
          <cell r="BK27">
            <v>0</v>
          </cell>
          <cell r="BL27">
            <v>0</v>
          </cell>
          <cell r="BM27">
            <v>54057800</v>
          </cell>
          <cell r="BN27">
            <v>1700</v>
          </cell>
          <cell r="BO27">
            <v>0</v>
          </cell>
          <cell r="BP27">
            <v>47606900</v>
          </cell>
          <cell r="BQ27">
            <v>30900</v>
          </cell>
          <cell r="BR27">
            <v>0</v>
          </cell>
          <cell r="BS27">
            <v>4048140</v>
          </cell>
          <cell r="BT27">
            <v>3250</v>
          </cell>
          <cell r="BV27">
            <v>0.51</v>
          </cell>
          <cell r="BW27">
            <v>-0.12</v>
          </cell>
          <cell r="BX27">
            <v>4.9999999999999989E-2</v>
          </cell>
          <cell r="BY27">
            <v>44801</v>
          </cell>
          <cell r="BZ27">
            <v>12</v>
          </cell>
          <cell r="CA27">
            <v>39616</v>
          </cell>
          <cell r="CB27">
            <v>13</v>
          </cell>
          <cell r="CC27">
            <v>13261</v>
          </cell>
          <cell r="CD27">
            <v>5</v>
          </cell>
          <cell r="CE27">
            <v>16713</v>
          </cell>
          <cell r="CF27">
            <v>12</v>
          </cell>
          <cell r="CG27">
            <v>19090</v>
          </cell>
          <cell r="CH27">
            <v>15</v>
          </cell>
          <cell r="CI27">
            <v>40625</v>
          </cell>
          <cell r="CJ27">
            <v>25</v>
          </cell>
          <cell r="CK27">
            <v>175452.7</v>
          </cell>
          <cell r="CL27">
            <v>84.820000000006985</v>
          </cell>
          <cell r="CM27">
            <v>89</v>
          </cell>
          <cell r="CN27">
            <v>126922.9</v>
          </cell>
          <cell r="CO27">
            <v>95.5</v>
          </cell>
          <cell r="CP27">
            <v>82</v>
          </cell>
          <cell r="CQ27">
            <v>239071.1</v>
          </cell>
          <cell r="CR27">
            <v>343.60000000000582</v>
          </cell>
          <cell r="CS27">
            <v>458</v>
          </cell>
          <cell r="CT27">
            <v>473610</v>
          </cell>
          <cell r="CU27">
            <v>173</v>
          </cell>
          <cell r="CW27">
            <v>332.2</v>
          </cell>
          <cell r="CX27">
            <v>2.5999999999999659</v>
          </cell>
          <cell r="CY27">
            <v>1193.7</v>
          </cell>
          <cell r="CZ27">
            <v>32.840000000000146</v>
          </cell>
          <cell r="DA27">
            <v>18729.7</v>
          </cell>
          <cell r="DB27">
            <v>12.700000000000728</v>
          </cell>
          <cell r="DC27">
            <v>19343.3</v>
          </cell>
          <cell r="DD27">
            <v>12.5</v>
          </cell>
          <cell r="DE27">
            <v>13540.5</v>
          </cell>
          <cell r="DF27">
            <v>10.799999999999272</v>
          </cell>
          <cell r="DG27">
            <v>17224.099999999999</v>
          </cell>
          <cell r="DH27">
            <v>5.1999999999970896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963</v>
          </cell>
          <cell r="DN27">
            <v>4</v>
          </cell>
          <cell r="DO27">
            <v>1143</v>
          </cell>
          <cell r="DP27">
            <v>3</v>
          </cell>
          <cell r="DQ27">
            <v>16971</v>
          </cell>
          <cell r="DR27">
            <v>9</v>
          </cell>
          <cell r="DT27">
            <v>2755068.4</v>
          </cell>
          <cell r="DU27">
            <v>1481.1999999997206</v>
          </cell>
          <cell r="DV27">
            <v>4547.8999999999996</v>
          </cell>
          <cell r="DW27">
            <v>4.0999999999994543</v>
          </cell>
          <cell r="DX27">
            <v>1819762.3</v>
          </cell>
          <cell r="DY27">
            <v>978</v>
          </cell>
          <cell r="DZ27">
            <v>252536.5</v>
          </cell>
          <cell r="EA27">
            <v>4.2000000000116415</v>
          </cell>
          <cell r="ED27">
            <v>411574.5</v>
          </cell>
          <cell r="EE27">
            <v>579.70000000001164</v>
          </cell>
          <cell r="EF27">
            <v>87200.4</v>
          </cell>
          <cell r="EG27">
            <v>144.79999999998836</v>
          </cell>
          <cell r="EI27">
            <v>6788500</v>
          </cell>
          <cell r="EJ27">
            <v>2300</v>
          </cell>
          <cell r="EK27">
            <v>599440</v>
          </cell>
          <cell r="EL27">
            <v>240</v>
          </cell>
          <cell r="EM27">
            <v>4618400</v>
          </cell>
          <cell r="EN27">
            <v>1200</v>
          </cell>
          <cell r="EO27">
            <v>1988300</v>
          </cell>
          <cell r="EP27">
            <v>0</v>
          </cell>
          <cell r="EQ27">
            <v>678470</v>
          </cell>
          <cell r="ER27">
            <v>100</v>
          </cell>
          <cell r="ES27">
            <v>10718500</v>
          </cell>
          <cell r="ET27">
            <v>1500</v>
          </cell>
          <cell r="EV27">
            <v>27896.2</v>
          </cell>
          <cell r="EX27">
            <v>24404.400000000001</v>
          </cell>
          <cell r="EY27">
            <v>15.200000000000728</v>
          </cell>
          <cell r="EZ27">
            <v>0</v>
          </cell>
          <cell r="FA27">
            <v>0</v>
          </cell>
          <cell r="FB27">
            <v>44113.1</v>
          </cell>
          <cell r="FD27">
            <v>20759.7</v>
          </cell>
          <cell r="FE27">
            <v>23.900000000001455</v>
          </cell>
        </row>
        <row r="28">
          <cell r="B28">
            <v>0.67</v>
          </cell>
          <cell r="E28">
            <v>524326</v>
          </cell>
          <cell r="F28">
            <v>542</v>
          </cell>
          <cell r="G28">
            <v>542</v>
          </cell>
          <cell r="H28">
            <v>694111</v>
          </cell>
          <cell r="I28">
            <v>458</v>
          </cell>
          <cell r="J28">
            <v>450</v>
          </cell>
          <cell r="K28">
            <v>22999</v>
          </cell>
          <cell r="L28">
            <v>188</v>
          </cell>
          <cell r="N28">
            <v>613876.4</v>
          </cell>
          <cell r="O28">
            <v>190.09999999997672</v>
          </cell>
          <cell r="Q28">
            <v>156875</v>
          </cell>
          <cell r="R28">
            <v>0</v>
          </cell>
          <cell r="S28">
            <v>95058</v>
          </cell>
          <cell r="T28">
            <v>71</v>
          </cell>
          <cell r="U28">
            <v>83</v>
          </cell>
          <cell r="V28">
            <v>7212</v>
          </cell>
          <cell r="W28">
            <v>2</v>
          </cell>
          <cell r="AB28">
            <v>5495616</v>
          </cell>
          <cell r="AC28">
            <v>2046.2400000002235</v>
          </cell>
          <cell r="AD28">
            <v>3069.359999999404</v>
          </cell>
          <cell r="AE28">
            <v>10726243.92</v>
          </cell>
          <cell r="AF28">
            <v>4823.2799999993294</v>
          </cell>
          <cell r="AG28">
            <v>5164.3199999984354</v>
          </cell>
          <cell r="AH28">
            <v>9803389.6799999997</v>
          </cell>
          <cell r="AI28">
            <v>292.32000000029802</v>
          </cell>
          <cell r="AJ28">
            <v>6625.9199999999255</v>
          </cell>
          <cell r="AK28">
            <v>13175008.559999999</v>
          </cell>
          <cell r="AL28">
            <v>48.719999998807907</v>
          </cell>
          <cell r="AM28">
            <v>146.16000000014901</v>
          </cell>
          <cell r="AN28">
            <v>13152499.919999998</v>
          </cell>
          <cell r="AO28">
            <v>7600.3199999984354</v>
          </cell>
          <cell r="AP28">
            <v>0</v>
          </cell>
          <cell r="AQ28">
            <v>12039588.959999999</v>
          </cell>
          <cell r="AR28">
            <v>6284.8799999989569</v>
          </cell>
          <cell r="AS28">
            <v>5943.8399999979883</v>
          </cell>
          <cell r="AT28">
            <v>10488636.48</v>
          </cell>
          <cell r="AU28">
            <v>4628.4000000003725</v>
          </cell>
          <cell r="AV28">
            <v>4530.9600000008941</v>
          </cell>
          <cell r="AW28">
            <v>10139801.280000001</v>
          </cell>
          <cell r="AX28">
            <v>5213.0400000009686</v>
          </cell>
          <cell r="AY28">
            <v>5164.3199999993667</v>
          </cell>
          <cell r="AZ28">
            <v>8098676.8800000008</v>
          </cell>
          <cell r="BA28">
            <v>3702.7200000016019</v>
          </cell>
          <cell r="BB28">
            <v>3702.7199999997392</v>
          </cell>
          <cell r="BC28">
            <v>11985266.16</v>
          </cell>
          <cell r="BD28">
            <v>5602.8000000007451</v>
          </cell>
          <cell r="BE28">
            <v>5602.7999999988824</v>
          </cell>
          <cell r="BJ28">
            <v>49563100</v>
          </cell>
          <cell r="BK28">
            <v>0</v>
          </cell>
          <cell r="BL28">
            <v>37600</v>
          </cell>
          <cell r="BM28">
            <v>54057800</v>
          </cell>
          <cell r="BN28">
            <v>0</v>
          </cell>
          <cell r="BO28">
            <v>0</v>
          </cell>
          <cell r="BP28">
            <v>47640900</v>
          </cell>
          <cell r="BQ28">
            <v>34000</v>
          </cell>
          <cell r="BR28">
            <v>0</v>
          </cell>
          <cell r="BS28">
            <v>4052500</v>
          </cell>
          <cell r="BT28">
            <v>4360</v>
          </cell>
          <cell r="BV28">
            <v>0.45</v>
          </cell>
          <cell r="BW28">
            <v>-0.06</v>
          </cell>
          <cell r="BX28">
            <v>8.0000000000000016E-2</v>
          </cell>
          <cell r="BY28">
            <v>44812</v>
          </cell>
          <cell r="BZ28">
            <v>11</v>
          </cell>
          <cell r="CA28">
            <v>39625</v>
          </cell>
          <cell r="CB28">
            <v>9</v>
          </cell>
          <cell r="CC28">
            <v>13265</v>
          </cell>
          <cell r="CD28">
            <v>4</v>
          </cell>
          <cell r="CE28">
            <v>16726</v>
          </cell>
          <cell r="CF28">
            <v>13</v>
          </cell>
          <cell r="CG28">
            <v>19105</v>
          </cell>
          <cell r="CH28">
            <v>15</v>
          </cell>
          <cell r="CI28">
            <v>40646</v>
          </cell>
          <cell r="CJ28">
            <v>21</v>
          </cell>
          <cell r="CK28">
            <v>175535.8</v>
          </cell>
          <cell r="CL28">
            <v>83.099999999976717</v>
          </cell>
          <cell r="CM28">
            <v>84</v>
          </cell>
          <cell r="CN28">
            <v>127016.6</v>
          </cell>
          <cell r="CO28">
            <v>93.700000000011642</v>
          </cell>
          <cell r="CP28">
            <v>91</v>
          </cell>
          <cell r="CQ28">
            <v>239470.8</v>
          </cell>
          <cell r="CR28">
            <v>399.69999999998254</v>
          </cell>
          <cell r="CS28">
            <v>435</v>
          </cell>
          <cell r="CT28">
            <v>473776</v>
          </cell>
          <cell r="CU28">
            <v>166</v>
          </cell>
          <cell r="CW28">
            <v>332.2</v>
          </cell>
          <cell r="CX28">
            <v>0</v>
          </cell>
          <cell r="CY28">
            <v>1193.7</v>
          </cell>
          <cell r="CZ28">
            <v>0</v>
          </cell>
          <cell r="DA28">
            <v>18742.5</v>
          </cell>
          <cell r="DB28">
            <v>12.799999999999272</v>
          </cell>
          <cell r="DC28">
            <v>19354.2</v>
          </cell>
          <cell r="DD28">
            <v>10.900000000001455</v>
          </cell>
          <cell r="DE28">
            <v>13549.9</v>
          </cell>
          <cell r="DF28">
            <v>9.3999999999996362</v>
          </cell>
          <cell r="DG28">
            <v>17229.900000000001</v>
          </cell>
          <cell r="DH28">
            <v>5.8000000000029104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967</v>
          </cell>
          <cell r="DN28">
            <v>4</v>
          </cell>
          <cell r="DO28">
            <v>1145</v>
          </cell>
          <cell r="DP28">
            <v>2</v>
          </cell>
          <cell r="DQ28">
            <v>16981</v>
          </cell>
          <cell r="DR28">
            <v>10</v>
          </cell>
          <cell r="DT28">
            <v>2756551.5</v>
          </cell>
          <cell r="DU28">
            <v>1483.1000000000931</v>
          </cell>
          <cell r="DV28">
            <v>4552.2</v>
          </cell>
          <cell r="DW28">
            <v>4.3000000000001819</v>
          </cell>
          <cell r="DX28">
            <v>1820821.6</v>
          </cell>
          <cell r="DY28">
            <v>1059.3000000000466</v>
          </cell>
          <cell r="DZ28">
            <v>252540.79999999999</v>
          </cell>
          <cell r="EA28">
            <v>4.2999999999883585</v>
          </cell>
          <cell r="ED28">
            <v>412179</v>
          </cell>
          <cell r="EE28">
            <v>604.5</v>
          </cell>
          <cell r="EF28">
            <v>87345.4</v>
          </cell>
          <cell r="EG28">
            <v>145</v>
          </cell>
          <cell r="EI28">
            <v>6790500</v>
          </cell>
          <cell r="EJ28">
            <v>2000</v>
          </cell>
          <cell r="EK28">
            <v>599690</v>
          </cell>
          <cell r="EL28">
            <v>250</v>
          </cell>
          <cell r="EM28">
            <v>4619400</v>
          </cell>
          <cell r="EN28">
            <v>1000</v>
          </cell>
          <cell r="EO28">
            <v>1988400</v>
          </cell>
          <cell r="EP28">
            <v>100</v>
          </cell>
          <cell r="EQ28">
            <v>678620</v>
          </cell>
          <cell r="ER28">
            <v>150</v>
          </cell>
          <cell r="ES28">
            <v>10719600</v>
          </cell>
          <cell r="ET28">
            <v>1100</v>
          </cell>
          <cell r="EV28">
            <v>27912.1</v>
          </cell>
          <cell r="EX28">
            <v>24417.8</v>
          </cell>
          <cell r="EY28">
            <v>13.399999999997817</v>
          </cell>
          <cell r="EZ28">
            <v>0</v>
          </cell>
          <cell r="FA28">
            <v>0</v>
          </cell>
          <cell r="FB28">
            <v>44148</v>
          </cell>
          <cell r="FD28">
            <v>20786.7</v>
          </cell>
          <cell r="FE28">
            <v>27</v>
          </cell>
        </row>
        <row r="29">
          <cell r="B29">
            <v>0.69</v>
          </cell>
          <cell r="E29">
            <v>524860</v>
          </cell>
          <cell r="F29">
            <v>486</v>
          </cell>
          <cell r="G29">
            <v>486</v>
          </cell>
          <cell r="H29">
            <v>694523</v>
          </cell>
          <cell r="I29">
            <v>412</v>
          </cell>
          <cell r="J29">
            <v>411</v>
          </cell>
          <cell r="K29">
            <v>23157</v>
          </cell>
          <cell r="L29">
            <v>158</v>
          </cell>
          <cell r="N29">
            <v>614074.69999999995</v>
          </cell>
          <cell r="O29">
            <v>198.29999999993015</v>
          </cell>
          <cell r="Q29">
            <v>156875</v>
          </cell>
          <cell r="R29">
            <v>0</v>
          </cell>
          <cell r="S29">
            <v>95132</v>
          </cell>
          <cell r="T29">
            <v>74</v>
          </cell>
          <cell r="U29">
            <v>62</v>
          </cell>
          <cell r="V29">
            <v>7223</v>
          </cell>
          <cell r="W29">
            <v>11</v>
          </cell>
          <cell r="AB29">
            <v>5497710.96</v>
          </cell>
          <cell r="AC29">
            <v>2094.9599999999627</v>
          </cell>
          <cell r="AD29">
            <v>2971.9199999999255</v>
          </cell>
          <cell r="AE29">
            <v>10731115.92</v>
          </cell>
          <cell r="AF29">
            <v>4872</v>
          </cell>
          <cell r="AG29">
            <v>5213.0400000009686</v>
          </cell>
          <cell r="AH29">
            <v>9803779.4399999995</v>
          </cell>
          <cell r="AI29">
            <v>389.75999999977648</v>
          </cell>
          <cell r="AJ29">
            <v>6431.0399999991059</v>
          </cell>
          <cell r="AK29">
            <v>13175057.280000001</v>
          </cell>
          <cell r="AL29">
            <v>48.720000002533197</v>
          </cell>
          <cell r="AM29">
            <v>48.720000000670552</v>
          </cell>
          <cell r="AN29">
            <v>13160879.76</v>
          </cell>
          <cell r="AO29">
            <v>8379.8400000017136</v>
          </cell>
          <cell r="AP29">
            <v>48.720000000670552</v>
          </cell>
          <cell r="AQ29">
            <v>12045971.280000001</v>
          </cell>
          <cell r="AR29">
            <v>6382.3200000021607</v>
          </cell>
          <cell r="AS29">
            <v>5992.5600000023842</v>
          </cell>
          <cell r="AT29">
            <v>10492875.119999999</v>
          </cell>
          <cell r="AU29">
            <v>4238.6399999987334</v>
          </cell>
          <cell r="AV29">
            <v>4189.9199999980628</v>
          </cell>
          <cell r="AW29">
            <v>10144722</v>
          </cell>
          <cell r="AX29">
            <v>4920.7199999988079</v>
          </cell>
          <cell r="AY29">
            <v>4969.4400000004098</v>
          </cell>
          <cell r="AZ29">
            <v>8102330.8800000008</v>
          </cell>
          <cell r="BA29">
            <v>3654</v>
          </cell>
          <cell r="BB29">
            <v>3605.2800000002608</v>
          </cell>
          <cell r="BC29">
            <v>11990820.24</v>
          </cell>
          <cell r="BD29">
            <v>5554.0800000000745</v>
          </cell>
          <cell r="BE29">
            <v>6090</v>
          </cell>
          <cell r="BJ29">
            <v>49563100</v>
          </cell>
          <cell r="BK29">
            <v>0</v>
          </cell>
          <cell r="BL29">
            <v>36000</v>
          </cell>
          <cell r="BM29">
            <v>54057800</v>
          </cell>
          <cell r="BN29">
            <v>0</v>
          </cell>
          <cell r="BO29">
            <v>0</v>
          </cell>
          <cell r="BP29">
            <v>47677400</v>
          </cell>
          <cell r="BQ29">
            <v>36500</v>
          </cell>
          <cell r="BR29">
            <v>0</v>
          </cell>
          <cell r="BS29">
            <v>4056140</v>
          </cell>
          <cell r="BT29">
            <v>3640</v>
          </cell>
          <cell r="BV29">
            <v>0.79</v>
          </cell>
          <cell r="BW29">
            <v>0.34</v>
          </cell>
          <cell r="BX29">
            <v>3.999999999999998E-2</v>
          </cell>
          <cell r="BY29">
            <v>44826</v>
          </cell>
          <cell r="BZ29">
            <v>14</v>
          </cell>
          <cell r="CA29">
            <v>39639</v>
          </cell>
          <cell r="CB29">
            <v>14</v>
          </cell>
          <cell r="CC29">
            <v>13270</v>
          </cell>
          <cell r="CD29">
            <v>5</v>
          </cell>
          <cell r="CE29">
            <v>16734</v>
          </cell>
          <cell r="CF29">
            <v>8</v>
          </cell>
          <cell r="CG29">
            <v>19113</v>
          </cell>
          <cell r="CH29">
            <v>8</v>
          </cell>
          <cell r="CI29">
            <v>40667</v>
          </cell>
          <cell r="CJ29">
            <v>21</v>
          </cell>
          <cell r="CK29">
            <v>175618.4</v>
          </cell>
          <cell r="CL29">
            <v>82.600000000005821</v>
          </cell>
          <cell r="CM29">
            <v>90</v>
          </cell>
          <cell r="CN29">
            <v>127109.7</v>
          </cell>
          <cell r="CO29">
            <v>93.099999999991269</v>
          </cell>
          <cell r="CP29">
            <v>84</v>
          </cell>
          <cell r="CQ29">
            <v>239870.1</v>
          </cell>
          <cell r="CR29">
            <v>399.30000000001746</v>
          </cell>
          <cell r="CS29">
            <v>499</v>
          </cell>
          <cell r="CT29">
            <v>473941</v>
          </cell>
          <cell r="CU29">
            <v>165</v>
          </cell>
          <cell r="CW29">
            <v>332.2</v>
          </cell>
          <cell r="CX29">
            <v>0</v>
          </cell>
          <cell r="CY29">
            <v>1193.7</v>
          </cell>
          <cell r="CZ29">
            <v>0</v>
          </cell>
          <cell r="DA29">
            <v>18759.3</v>
          </cell>
          <cell r="DB29">
            <v>16.799999999999272</v>
          </cell>
          <cell r="DC29">
            <v>19365.599999999999</v>
          </cell>
          <cell r="DD29">
            <v>11.399999999997817</v>
          </cell>
          <cell r="DE29">
            <v>13558.7</v>
          </cell>
          <cell r="DF29">
            <v>8.8000000000010914</v>
          </cell>
          <cell r="DG29">
            <v>17237</v>
          </cell>
          <cell r="DH29">
            <v>7.0999999999985448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971</v>
          </cell>
          <cell r="DN29">
            <v>4</v>
          </cell>
          <cell r="DO29">
            <v>1148</v>
          </cell>
          <cell r="DP29">
            <v>3</v>
          </cell>
          <cell r="DQ29">
            <v>16991</v>
          </cell>
          <cell r="DR29">
            <v>10</v>
          </cell>
          <cell r="DT29">
            <v>2758001.1</v>
          </cell>
          <cell r="DU29">
            <v>1449.6000000000931</v>
          </cell>
          <cell r="DV29">
            <v>4556.5</v>
          </cell>
          <cell r="DW29">
            <v>4.3000000000001819</v>
          </cell>
          <cell r="DX29">
            <v>1821838.7</v>
          </cell>
          <cell r="DY29">
            <v>1017.0999999998603</v>
          </cell>
          <cell r="DZ29">
            <v>252545</v>
          </cell>
          <cell r="EA29">
            <v>4.2000000000116415</v>
          </cell>
          <cell r="ED29">
            <v>412688.9</v>
          </cell>
          <cell r="EE29">
            <v>509.90000000002328</v>
          </cell>
          <cell r="EF29">
            <v>87491.1</v>
          </cell>
          <cell r="EG29">
            <v>145.70000000001164</v>
          </cell>
          <cell r="EI29">
            <v>6792900</v>
          </cell>
          <cell r="EJ29">
            <v>2400</v>
          </cell>
          <cell r="EK29">
            <v>599870</v>
          </cell>
          <cell r="EL29">
            <v>180</v>
          </cell>
          <cell r="EM29">
            <v>4620700</v>
          </cell>
          <cell r="EN29">
            <v>1300</v>
          </cell>
          <cell r="EO29">
            <v>1988400</v>
          </cell>
          <cell r="EP29">
            <v>0</v>
          </cell>
          <cell r="EQ29">
            <v>678770</v>
          </cell>
          <cell r="ER29">
            <v>150</v>
          </cell>
          <cell r="ES29">
            <v>10720500</v>
          </cell>
          <cell r="ET29">
            <v>900</v>
          </cell>
          <cell r="EV29">
            <v>27928.400000000001</v>
          </cell>
          <cell r="EX29">
            <v>24430.9</v>
          </cell>
          <cell r="EY29">
            <v>13.100000000002183</v>
          </cell>
          <cell r="EZ29">
            <v>0</v>
          </cell>
          <cell r="FA29">
            <v>0</v>
          </cell>
          <cell r="FB29">
            <v>44182</v>
          </cell>
          <cell r="FD29">
            <v>20814.7</v>
          </cell>
          <cell r="FE29">
            <v>28</v>
          </cell>
        </row>
        <row r="30">
          <cell r="E30">
            <v>525293</v>
          </cell>
          <cell r="F30">
            <v>403</v>
          </cell>
          <cell r="G30">
            <v>403</v>
          </cell>
          <cell r="H30">
            <v>694925</v>
          </cell>
          <cell r="I30">
            <v>402</v>
          </cell>
          <cell r="J30">
            <v>321</v>
          </cell>
          <cell r="K30">
            <v>23299</v>
          </cell>
          <cell r="L30">
            <v>142</v>
          </cell>
          <cell r="N30">
            <v>614135.69999999995</v>
          </cell>
          <cell r="O30">
            <v>61</v>
          </cell>
          <cell r="Q30">
            <v>156875</v>
          </cell>
          <cell r="R30">
            <v>0</v>
          </cell>
          <cell r="S30">
            <v>95182</v>
          </cell>
          <cell r="T30">
            <v>50</v>
          </cell>
          <cell r="U30">
            <v>58</v>
          </cell>
          <cell r="V30">
            <v>7223</v>
          </cell>
          <cell r="W30">
            <v>0</v>
          </cell>
          <cell r="AB30">
            <v>5499562.3200000003</v>
          </cell>
          <cell r="AC30">
            <v>1851.3600000003353</v>
          </cell>
          <cell r="AD30">
            <v>2923.2000000001863</v>
          </cell>
          <cell r="AE30">
            <v>10735841.76</v>
          </cell>
          <cell r="AF30">
            <v>4725.839999999851</v>
          </cell>
          <cell r="AG30">
            <v>4823.2799999993294</v>
          </cell>
          <cell r="AH30">
            <v>9804217.9199999999</v>
          </cell>
          <cell r="AI30">
            <v>438.48000000044703</v>
          </cell>
          <cell r="AJ30">
            <v>828.24000000115484</v>
          </cell>
          <cell r="AK30">
            <v>13175057.280000001</v>
          </cell>
          <cell r="AL30">
            <v>0</v>
          </cell>
          <cell r="AM30">
            <v>5407.9199999980628</v>
          </cell>
          <cell r="AN30">
            <v>13167456.959999999</v>
          </cell>
          <cell r="AO30">
            <v>6577.1999999992549</v>
          </cell>
          <cell r="AP30">
            <v>48.719999998807907</v>
          </cell>
          <cell r="AQ30">
            <v>12052207.439999999</v>
          </cell>
          <cell r="AR30">
            <v>6236.1599999982864</v>
          </cell>
          <cell r="AS30">
            <v>5700.2399999983609</v>
          </cell>
          <cell r="AT30">
            <v>10497065.040000001</v>
          </cell>
          <cell r="AU30">
            <v>4189.9200000017881</v>
          </cell>
          <cell r="AV30">
            <v>3800.1600000020117</v>
          </cell>
          <cell r="AW30">
            <v>10149594</v>
          </cell>
          <cell r="AX30">
            <v>4872</v>
          </cell>
          <cell r="AY30">
            <v>4579.6800000006333</v>
          </cell>
          <cell r="AZ30">
            <v>8105838.7199999988</v>
          </cell>
          <cell r="BA30">
            <v>3507.8399999979883</v>
          </cell>
          <cell r="BB30">
            <v>3069.3600000003353</v>
          </cell>
          <cell r="BC30">
            <v>11996130.719999999</v>
          </cell>
          <cell r="BD30">
            <v>5310.4799999985844</v>
          </cell>
          <cell r="BE30">
            <v>5554.0800000019372</v>
          </cell>
          <cell r="BJ30">
            <v>49563100</v>
          </cell>
          <cell r="BK30">
            <v>0</v>
          </cell>
          <cell r="BL30">
            <v>33300</v>
          </cell>
          <cell r="BM30">
            <v>54057800</v>
          </cell>
          <cell r="BN30">
            <v>0</v>
          </cell>
          <cell r="BO30">
            <v>0</v>
          </cell>
          <cell r="BP30">
            <v>47707500</v>
          </cell>
          <cell r="BQ30">
            <v>30100</v>
          </cell>
          <cell r="BR30">
            <v>0</v>
          </cell>
          <cell r="BS30">
            <v>4060060</v>
          </cell>
          <cell r="BT30">
            <v>3920</v>
          </cell>
          <cell r="BV30">
            <v>0.69</v>
          </cell>
          <cell r="BW30">
            <v>-0.10000000000000009</v>
          </cell>
          <cell r="BX30">
            <v>-8.9999999999999969E-2</v>
          </cell>
          <cell r="BY30">
            <v>44845</v>
          </cell>
          <cell r="BZ30">
            <v>19</v>
          </cell>
          <cell r="CA30">
            <v>39657</v>
          </cell>
          <cell r="CB30">
            <v>18</v>
          </cell>
          <cell r="CC30">
            <v>13278</v>
          </cell>
          <cell r="CD30">
            <v>8</v>
          </cell>
          <cell r="CE30">
            <v>16743</v>
          </cell>
          <cell r="CF30">
            <v>9</v>
          </cell>
          <cell r="CG30">
            <v>19126</v>
          </cell>
          <cell r="CH30">
            <v>13</v>
          </cell>
          <cell r="CI30">
            <v>40689</v>
          </cell>
          <cell r="CJ30">
            <v>22</v>
          </cell>
          <cell r="CK30">
            <v>175701.8</v>
          </cell>
          <cell r="CL30">
            <v>83.399999999994179</v>
          </cell>
          <cell r="CM30">
            <v>84</v>
          </cell>
          <cell r="CN30">
            <v>127199.9</v>
          </cell>
          <cell r="CO30">
            <v>90.19999999999709</v>
          </cell>
          <cell r="CP30">
            <v>80</v>
          </cell>
          <cell r="CQ30">
            <v>240262.8</v>
          </cell>
          <cell r="CR30">
            <v>392.69999999998254</v>
          </cell>
          <cell r="CS30">
            <v>476</v>
          </cell>
          <cell r="CT30">
            <v>474109</v>
          </cell>
          <cell r="CU30">
            <v>168</v>
          </cell>
          <cell r="CW30">
            <v>332.2</v>
          </cell>
          <cell r="CX30">
            <v>0</v>
          </cell>
          <cell r="CY30">
            <v>1193.7</v>
          </cell>
          <cell r="CZ30">
            <v>0</v>
          </cell>
          <cell r="DA30">
            <v>18770.099999999999</v>
          </cell>
          <cell r="DB30">
            <v>10.799999999999272</v>
          </cell>
          <cell r="DC30">
            <v>19375.7</v>
          </cell>
          <cell r="DD30">
            <v>10.100000000002183</v>
          </cell>
          <cell r="DE30">
            <v>13568.5</v>
          </cell>
          <cell r="DF30">
            <v>9.7999999999992724</v>
          </cell>
          <cell r="DG30">
            <v>17243.7</v>
          </cell>
          <cell r="DH30">
            <v>6.7000000000007276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976</v>
          </cell>
          <cell r="DN30">
            <v>5</v>
          </cell>
          <cell r="DO30">
            <v>1150</v>
          </cell>
          <cell r="DP30">
            <v>2</v>
          </cell>
          <cell r="DQ30">
            <v>17001</v>
          </cell>
          <cell r="DR30">
            <v>10</v>
          </cell>
          <cell r="DT30">
            <v>2759386.9</v>
          </cell>
          <cell r="DU30">
            <v>1385.7999999998137</v>
          </cell>
          <cell r="DV30">
            <v>4560.7</v>
          </cell>
          <cell r="DW30">
            <v>4.1999999999998181</v>
          </cell>
          <cell r="DX30">
            <v>1822884.4</v>
          </cell>
          <cell r="DY30">
            <v>1045.6999999999534</v>
          </cell>
          <cell r="DZ30">
            <v>252549.2</v>
          </cell>
          <cell r="EA30">
            <v>4.2000000000116415</v>
          </cell>
          <cell r="ED30">
            <v>413227.3</v>
          </cell>
          <cell r="EE30">
            <v>538.39999999996508</v>
          </cell>
          <cell r="EF30">
            <v>87636.6</v>
          </cell>
          <cell r="EG30">
            <v>145.5</v>
          </cell>
          <cell r="EI30">
            <v>6794700</v>
          </cell>
          <cell r="EJ30">
            <v>1800</v>
          </cell>
          <cell r="EK30">
            <v>600030</v>
          </cell>
          <cell r="EL30">
            <v>160</v>
          </cell>
          <cell r="EM30">
            <v>4621600</v>
          </cell>
          <cell r="EN30">
            <v>900</v>
          </cell>
          <cell r="EO30">
            <v>1988400</v>
          </cell>
          <cell r="EP30">
            <v>0</v>
          </cell>
          <cell r="EQ30">
            <v>678890</v>
          </cell>
          <cell r="ER30">
            <v>120</v>
          </cell>
          <cell r="ES30">
            <v>10721100</v>
          </cell>
          <cell r="ET30">
            <v>600</v>
          </cell>
          <cell r="EV30">
            <v>27945.3</v>
          </cell>
          <cell r="EX30">
            <v>24443</v>
          </cell>
          <cell r="EY30">
            <v>12.099999999998545</v>
          </cell>
          <cell r="EZ30">
            <v>0</v>
          </cell>
          <cell r="FA30">
            <v>0</v>
          </cell>
          <cell r="FB30">
            <v>44212.6</v>
          </cell>
          <cell r="FD30">
            <v>20840.400000000001</v>
          </cell>
          <cell r="FE30">
            <v>25.700000000000728</v>
          </cell>
        </row>
        <row r="31">
          <cell r="F31">
            <v>442</v>
          </cell>
          <cell r="G31">
            <v>442</v>
          </cell>
          <cell r="I31">
            <v>-694925</v>
          </cell>
          <cell r="J31">
            <v>390</v>
          </cell>
          <cell r="L31">
            <v>-23299</v>
          </cell>
          <cell r="O31">
            <v>-614135.69999999995</v>
          </cell>
          <cell r="Q31">
            <v>156875</v>
          </cell>
          <cell r="R31">
            <v>0</v>
          </cell>
          <cell r="T31">
            <v>-95182</v>
          </cell>
          <cell r="U31">
            <v>72</v>
          </cell>
          <cell r="W31">
            <v>-7223</v>
          </cell>
          <cell r="AC31">
            <v>-5499562.3200000003</v>
          </cell>
          <cell r="AD31">
            <v>2971.9199999999255</v>
          </cell>
          <cell r="AF31">
            <v>-10735841.76</v>
          </cell>
          <cell r="AG31">
            <v>5066.8800000008196</v>
          </cell>
          <cell r="AI31">
            <v>-9804217.9199999999</v>
          </cell>
          <cell r="AJ31">
            <v>0</v>
          </cell>
          <cell r="AL31">
            <v>-13175057.280000001</v>
          </cell>
          <cell r="AM31">
            <v>7015.6800000015646</v>
          </cell>
          <cell r="AO31">
            <v>-13167456.959999999</v>
          </cell>
          <cell r="AP31">
            <v>0</v>
          </cell>
          <cell r="AR31">
            <v>-12052207.439999999</v>
          </cell>
          <cell r="AS31">
            <v>5846.4000000003725</v>
          </cell>
          <cell r="AU31">
            <v>-10497065.040000001</v>
          </cell>
          <cell r="AV31">
            <v>4238.6399999987334</v>
          </cell>
          <cell r="AX31">
            <v>-10149594</v>
          </cell>
          <cell r="AY31">
            <v>4823.2799999983981</v>
          </cell>
          <cell r="BA31">
            <v>-8105838.7199999988</v>
          </cell>
          <cell r="BB31">
            <v>3118.0799999991432</v>
          </cell>
          <cell r="BD31">
            <v>-11996130.719999999</v>
          </cell>
          <cell r="BE31">
            <v>5602.7999999988824</v>
          </cell>
          <cell r="BK31">
            <v>-49563100</v>
          </cell>
          <cell r="BL31">
            <v>5200</v>
          </cell>
          <cell r="BN31">
            <v>-54057800</v>
          </cell>
          <cell r="BO31">
            <v>35000</v>
          </cell>
          <cell r="BQ31">
            <v>-47707500</v>
          </cell>
          <cell r="BR31">
            <v>0</v>
          </cell>
          <cell r="BT31">
            <v>-4060060</v>
          </cell>
          <cell r="BW31">
            <v>-0.69</v>
          </cell>
          <cell r="BX31">
            <v>-1.0000000000000009E-2</v>
          </cell>
          <cell r="BZ31">
            <v>-44845</v>
          </cell>
          <cell r="CB31">
            <v>-39657</v>
          </cell>
          <cell r="CD31">
            <v>-13278</v>
          </cell>
          <cell r="CF31">
            <v>-16743</v>
          </cell>
          <cell r="CH31">
            <v>-19126</v>
          </cell>
          <cell r="CJ31">
            <v>-40689</v>
          </cell>
          <cell r="CL31">
            <v>-175701.8</v>
          </cell>
          <cell r="CM31">
            <v>86</v>
          </cell>
          <cell r="CO31">
            <v>-127199.9</v>
          </cell>
          <cell r="CP31">
            <v>85</v>
          </cell>
          <cell r="CR31">
            <v>-240262.8</v>
          </cell>
          <cell r="CS31">
            <v>420</v>
          </cell>
          <cell r="CU31">
            <v>-474109</v>
          </cell>
          <cell r="CX31">
            <v>-332.2</v>
          </cell>
          <cell r="CY31">
            <v>938</v>
          </cell>
          <cell r="CZ31">
            <v>-255.70000000000005</v>
          </cell>
          <cell r="DB31">
            <v>-18770.099999999999</v>
          </cell>
          <cell r="DD31">
            <v>-19375.7</v>
          </cell>
          <cell r="DF31">
            <v>-13568.5</v>
          </cell>
          <cell r="DH31">
            <v>-17243.7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N31">
            <v>-976</v>
          </cell>
          <cell r="DP31">
            <v>-1150</v>
          </cell>
          <cell r="DR31">
            <v>-17001</v>
          </cell>
          <cell r="DU31">
            <v>-2759386.9</v>
          </cell>
          <cell r="DW31">
            <v>-4560.7</v>
          </cell>
          <cell r="DY31">
            <v>-1822884.4</v>
          </cell>
          <cell r="EA31">
            <v>-252549.2</v>
          </cell>
          <cell r="EE31">
            <v>-413227.3</v>
          </cell>
          <cell r="EG31">
            <v>-87636.6</v>
          </cell>
          <cell r="EJ31">
            <v>-6794700</v>
          </cell>
          <cell r="EL31">
            <v>-600030</v>
          </cell>
          <cell r="EN31">
            <v>-4621600</v>
          </cell>
          <cell r="EP31">
            <v>-1988400</v>
          </cell>
          <cell r="ER31">
            <v>-678890</v>
          </cell>
          <cell r="ET31">
            <v>-10721100</v>
          </cell>
          <cell r="EY31">
            <v>-24443</v>
          </cell>
          <cell r="EZ31">
            <v>0</v>
          </cell>
          <cell r="FA31">
            <v>0</v>
          </cell>
          <cell r="FE31">
            <v>-20840.400000000001</v>
          </cell>
        </row>
        <row r="32">
          <cell r="F32">
            <v>433</v>
          </cell>
          <cell r="G32">
            <v>433</v>
          </cell>
          <cell r="I32">
            <v>0</v>
          </cell>
          <cell r="J32">
            <v>339</v>
          </cell>
          <cell r="L32">
            <v>0</v>
          </cell>
          <cell r="O32">
            <v>0</v>
          </cell>
          <cell r="Q32">
            <v>156875</v>
          </cell>
          <cell r="R32">
            <v>0</v>
          </cell>
          <cell r="T32">
            <v>0</v>
          </cell>
          <cell r="U32">
            <v>68</v>
          </cell>
          <cell r="W32">
            <v>0</v>
          </cell>
          <cell r="AC32">
            <v>0</v>
          </cell>
          <cell r="AD32">
            <v>3166.8000000007451</v>
          </cell>
          <cell r="AF32">
            <v>0</v>
          </cell>
          <cell r="AG32">
            <v>5066.8800000008196</v>
          </cell>
          <cell r="AI32">
            <v>0</v>
          </cell>
          <cell r="AJ32">
            <v>0</v>
          </cell>
          <cell r="AL32">
            <v>0</v>
          </cell>
          <cell r="AM32">
            <v>7015.679999999702</v>
          </cell>
          <cell r="AO32">
            <v>0</v>
          </cell>
          <cell r="AP32">
            <v>0</v>
          </cell>
          <cell r="AR32">
            <v>0</v>
          </cell>
          <cell r="AS32">
            <v>5943.839999999851</v>
          </cell>
          <cell r="AU32">
            <v>0</v>
          </cell>
          <cell r="AV32">
            <v>4043.7600000016391</v>
          </cell>
          <cell r="AX32">
            <v>0</v>
          </cell>
          <cell r="AY32">
            <v>4969.4400000004098</v>
          </cell>
          <cell r="BA32">
            <v>0</v>
          </cell>
          <cell r="BB32">
            <v>3312.9600000008941</v>
          </cell>
          <cell r="BD32">
            <v>0</v>
          </cell>
          <cell r="BE32">
            <v>5992.5600000005215</v>
          </cell>
          <cell r="BK32">
            <v>0</v>
          </cell>
          <cell r="BL32">
            <v>0</v>
          </cell>
          <cell r="BN32">
            <v>0</v>
          </cell>
          <cell r="BO32">
            <v>60200</v>
          </cell>
          <cell r="BQ32">
            <v>0</v>
          </cell>
          <cell r="BR32">
            <v>0</v>
          </cell>
          <cell r="BT32">
            <v>0</v>
          </cell>
          <cell r="BW32">
            <v>0</v>
          </cell>
          <cell r="BX32">
            <v>0.13</v>
          </cell>
          <cell r="BZ32">
            <v>0</v>
          </cell>
          <cell r="CB32">
            <v>0</v>
          </cell>
          <cell r="CD32">
            <v>0</v>
          </cell>
          <cell r="CF32">
            <v>0</v>
          </cell>
          <cell r="CH32">
            <v>0</v>
          </cell>
          <cell r="CJ32">
            <v>0</v>
          </cell>
          <cell r="CL32">
            <v>0</v>
          </cell>
          <cell r="CM32">
            <v>88</v>
          </cell>
          <cell r="CO32">
            <v>0</v>
          </cell>
          <cell r="CP32">
            <v>85</v>
          </cell>
          <cell r="CR32">
            <v>0</v>
          </cell>
          <cell r="CS32">
            <v>510</v>
          </cell>
          <cell r="CU32">
            <v>0</v>
          </cell>
          <cell r="CX32">
            <v>0</v>
          </cell>
          <cell r="CZ32">
            <v>-938</v>
          </cell>
          <cell r="DB32">
            <v>0</v>
          </cell>
          <cell r="DD32">
            <v>0</v>
          </cell>
          <cell r="DF32">
            <v>0</v>
          </cell>
          <cell r="DH32">
            <v>0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N32">
            <v>0</v>
          </cell>
          <cell r="DP32">
            <v>0</v>
          </cell>
          <cell r="DR32">
            <v>0</v>
          </cell>
          <cell r="DU32">
            <v>0</v>
          </cell>
          <cell r="DW32">
            <v>0</v>
          </cell>
          <cell r="DY32">
            <v>0</v>
          </cell>
          <cell r="EA32">
            <v>0</v>
          </cell>
          <cell r="EE32">
            <v>0</v>
          </cell>
          <cell r="EG32">
            <v>0</v>
          </cell>
          <cell r="EJ32">
            <v>0</v>
          </cell>
          <cell r="EL32">
            <v>0</v>
          </cell>
          <cell r="EN32">
            <v>0</v>
          </cell>
          <cell r="EP32">
            <v>0</v>
          </cell>
          <cell r="ER32">
            <v>0</v>
          </cell>
          <cell r="ET32">
            <v>0</v>
          </cell>
          <cell r="EY32">
            <v>0</v>
          </cell>
          <cell r="EZ32">
            <v>0</v>
          </cell>
          <cell r="FA32">
            <v>0</v>
          </cell>
          <cell r="FE32">
            <v>0</v>
          </cell>
        </row>
        <row r="33">
          <cell r="F33">
            <v>484</v>
          </cell>
          <cell r="G33">
            <v>484</v>
          </cell>
          <cell r="I33">
            <v>0</v>
          </cell>
          <cell r="J33">
            <v>415</v>
          </cell>
          <cell r="L33">
            <v>0</v>
          </cell>
          <cell r="O33">
            <v>0</v>
          </cell>
          <cell r="Q33">
            <v>156875</v>
          </cell>
          <cell r="R33">
            <v>0</v>
          </cell>
          <cell r="T33">
            <v>0</v>
          </cell>
          <cell r="U33">
            <v>69</v>
          </cell>
          <cell r="W33">
            <v>0</v>
          </cell>
          <cell r="AC33">
            <v>0</v>
          </cell>
          <cell r="AD33">
            <v>3361.679999999702</v>
          </cell>
          <cell r="AF33">
            <v>0</v>
          </cell>
          <cell r="AG33">
            <v>5164.3199999984354</v>
          </cell>
          <cell r="AI33">
            <v>0</v>
          </cell>
          <cell r="AJ33">
            <v>146.15999999921769</v>
          </cell>
          <cell r="AL33">
            <v>0</v>
          </cell>
          <cell r="AM33">
            <v>7795.1999999992549</v>
          </cell>
          <cell r="AO33">
            <v>0</v>
          </cell>
          <cell r="AP33">
            <v>-48.719999998807907</v>
          </cell>
          <cell r="AR33">
            <v>0</v>
          </cell>
          <cell r="AS33">
            <v>6041.2800000011921</v>
          </cell>
          <cell r="AU33">
            <v>0</v>
          </cell>
          <cell r="AV33">
            <v>4238.6399999987334</v>
          </cell>
          <cell r="AX33">
            <v>0</v>
          </cell>
          <cell r="AY33">
            <v>4969.4400000004098</v>
          </cell>
          <cell r="BA33">
            <v>0</v>
          </cell>
          <cell r="BB33">
            <v>3800.1599999992177</v>
          </cell>
          <cell r="BD33">
            <v>0</v>
          </cell>
          <cell r="BE33">
            <v>5797.6799999978393</v>
          </cell>
          <cell r="BK33">
            <v>0</v>
          </cell>
          <cell r="BL33">
            <v>0</v>
          </cell>
          <cell r="BN33">
            <v>0</v>
          </cell>
          <cell r="BO33">
            <v>39000</v>
          </cell>
          <cell r="BQ33">
            <v>0</v>
          </cell>
          <cell r="BR33">
            <v>0</v>
          </cell>
          <cell r="BT33">
            <v>0</v>
          </cell>
          <cell r="BW33">
            <v>0</v>
          </cell>
          <cell r="BX33">
            <v>5.0000000000000044E-2</v>
          </cell>
          <cell r="BZ33">
            <v>0</v>
          </cell>
          <cell r="CB33">
            <v>0</v>
          </cell>
          <cell r="CD33">
            <v>0</v>
          </cell>
          <cell r="CF33">
            <v>0</v>
          </cell>
          <cell r="CH33">
            <v>0</v>
          </cell>
          <cell r="CJ33">
            <v>0</v>
          </cell>
          <cell r="CL33">
            <v>0</v>
          </cell>
          <cell r="CM33">
            <v>86</v>
          </cell>
          <cell r="CO33">
            <v>0</v>
          </cell>
          <cell r="CP33">
            <v>86</v>
          </cell>
          <cell r="CR33">
            <v>0</v>
          </cell>
          <cell r="CS33">
            <v>395</v>
          </cell>
          <cell r="CU33">
            <v>0</v>
          </cell>
          <cell r="CX33">
            <v>0</v>
          </cell>
          <cell r="CZ33">
            <v>0</v>
          </cell>
          <cell r="DB33">
            <v>0</v>
          </cell>
          <cell r="DD33">
            <v>0</v>
          </cell>
          <cell r="DF33">
            <v>0</v>
          </cell>
          <cell r="DH33">
            <v>0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N33">
            <v>0</v>
          </cell>
          <cell r="DP33">
            <v>0</v>
          </cell>
          <cell r="DR33">
            <v>0</v>
          </cell>
          <cell r="DU33">
            <v>0</v>
          </cell>
          <cell r="DW33">
            <v>0</v>
          </cell>
          <cell r="DY33">
            <v>0</v>
          </cell>
          <cell r="EA33">
            <v>0</v>
          </cell>
          <cell r="EE33">
            <v>0</v>
          </cell>
          <cell r="EG33">
            <v>0</v>
          </cell>
          <cell r="EJ33">
            <v>0</v>
          </cell>
          <cell r="EL33">
            <v>0</v>
          </cell>
          <cell r="EN33">
            <v>0</v>
          </cell>
          <cell r="EP33">
            <v>0</v>
          </cell>
          <cell r="ER33">
            <v>0</v>
          </cell>
          <cell r="ET33">
            <v>0</v>
          </cell>
          <cell r="EY33">
            <v>0</v>
          </cell>
          <cell r="EZ33">
            <v>0</v>
          </cell>
          <cell r="FA33">
            <v>0</v>
          </cell>
          <cell r="FE33">
            <v>0</v>
          </cell>
        </row>
        <row r="34">
          <cell r="F34">
            <v>480</v>
          </cell>
          <cell r="G34">
            <v>480</v>
          </cell>
          <cell r="I34">
            <v>0</v>
          </cell>
          <cell r="J34">
            <v>390</v>
          </cell>
          <cell r="L34">
            <v>0</v>
          </cell>
          <cell r="O34">
            <v>0</v>
          </cell>
          <cell r="Q34">
            <v>156875</v>
          </cell>
          <cell r="R34">
            <v>0</v>
          </cell>
          <cell r="T34">
            <v>0</v>
          </cell>
          <cell r="U34">
            <v>72</v>
          </cell>
          <cell r="W34">
            <v>0</v>
          </cell>
          <cell r="AC34">
            <v>0</v>
          </cell>
          <cell r="AD34">
            <v>3069.359999999404</v>
          </cell>
          <cell r="AF34">
            <v>0</v>
          </cell>
          <cell r="AG34">
            <v>5115.5999999996275</v>
          </cell>
          <cell r="AI34">
            <v>0</v>
          </cell>
          <cell r="AJ34">
            <v>243.59999999962747</v>
          </cell>
          <cell r="AL34">
            <v>0</v>
          </cell>
          <cell r="AM34">
            <v>8233.6800000015646</v>
          </cell>
          <cell r="AO34">
            <v>0</v>
          </cell>
          <cell r="AP34">
            <v>0</v>
          </cell>
          <cell r="AR34">
            <v>0</v>
          </cell>
          <cell r="AS34">
            <v>6090</v>
          </cell>
          <cell r="AU34">
            <v>0</v>
          </cell>
          <cell r="AV34">
            <v>4189.9199999999255</v>
          </cell>
          <cell r="AX34">
            <v>0</v>
          </cell>
          <cell r="AY34">
            <v>5066.8800000008196</v>
          </cell>
          <cell r="BA34">
            <v>0</v>
          </cell>
          <cell r="BB34">
            <v>3507.8400000007823</v>
          </cell>
          <cell r="BD34">
            <v>0</v>
          </cell>
          <cell r="BE34">
            <v>5992.5600000023842</v>
          </cell>
          <cell r="BK34">
            <v>0</v>
          </cell>
          <cell r="BL34">
            <v>0</v>
          </cell>
          <cell r="BN34">
            <v>0</v>
          </cell>
          <cell r="BO34">
            <v>32000</v>
          </cell>
          <cell r="BQ34">
            <v>0</v>
          </cell>
          <cell r="BR34">
            <v>0</v>
          </cell>
          <cell r="BT34">
            <v>0</v>
          </cell>
          <cell r="BW34">
            <v>0</v>
          </cell>
          <cell r="BX34">
            <v>3.9999999999999925E-2</v>
          </cell>
          <cell r="BZ34">
            <v>0</v>
          </cell>
          <cell r="CB34">
            <v>0</v>
          </cell>
          <cell r="CD34">
            <v>0</v>
          </cell>
          <cell r="CF34">
            <v>0</v>
          </cell>
          <cell r="CH34">
            <v>0</v>
          </cell>
          <cell r="CJ34">
            <v>0</v>
          </cell>
          <cell r="CL34">
            <v>0</v>
          </cell>
          <cell r="CM34">
            <v>87</v>
          </cell>
          <cell r="CO34">
            <v>0</v>
          </cell>
          <cell r="CP34">
            <v>90</v>
          </cell>
          <cell r="CR34">
            <v>0</v>
          </cell>
          <cell r="CS34">
            <v>396</v>
          </cell>
          <cell r="CU34">
            <v>0</v>
          </cell>
          <cell r="CX34">
            <v>0</v>
          </cell>
          <cell r="CZ34">
            <v>0</v>
          </cell>
          <cell r="DB34">
            <v>0</v>
          </cell>
          <cell r="DD34">
            <v>0</v>
          </cell>
          <cell r="DF34">
            <v>0</v>
          </cell>
          <cell r="DH34">
            <v>0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N34">
            <v>0</v>
          </cell>
          <cell r="DP34">
            <v>0</v>
          </cell>
          <cell r="DR34">
            <v>0</v>
          </cell>
          <cell r="DU34">
            <v>0</v>
          </cell>
          <cell r="DW34">
            <v>0</v>
          </cell>
          <cell r="DY34">
            <v>0</v>
          </cell>
          <cell r="EA34">
            <v>0</v>
          </cell>
          <cell r="EE34">
            <v>0</v>
          </cell>
          <cell r="EG34">
            <v>0</v>
          </cell>
          <cell r="EJ34">
            <v>0</v>
          </cell>
          <cell r="EL34">
            <v>0</v>
          </cell>
          <cell r="EN34">
            <v>0</v>
          </cell>
          <cell r="EP34">
            <v>0</v>
          </cell>
          <cell r="ER34">
            <v>0</v>
          </cell>
          <cell r="ET34">
            <v>0</v>
          </cell>
          <cell r="EY34">
            <v>0</v>
          </cell>
          <cell r="EZ34">
            <v>0</v>
          </cell>
          <cell r="FA34">
            <v>0</v>
          </cell>
          <cell r="FE34">
            <v>0</v>
          </cell>
        </row>
        <row r="35">
          <cell r="F35">
            <v>460</v>
          </cell>
          <cell r="G35">
            <v>460</v>
          </cell>
          <cell r="I35">
            <v>0</v>
          </cell>
          <cell r="J35">
            <v>378</v>
          </cell>
          <cell r="L35">
            <v>0</v>
          </cell>
          <cell r="O35">
            <v>0</v>
          </cell>
          <cell r="Q35">
            <v>156875</v>
          </cell>
          <cell r="R35">
            <v>0</v>
          </cell>
          <cell r="T35">
            <v>0</v>
          </cell>
          <cell r="U35">
            <v>88</v>
          </cell>
          <cell r="W35">
            <v>0</v>
          </cell>
          <cell r="AC35">
            <v>0</v>
          </cell>
          <cell r="AD35">
            <v>2094.9600000008941</v>
          </cell>
          <cell r="AF35">
            <v>0</v>
          </cell>
          <cell r="AG35">
            <v>5066.8800000008196</v>
          </cell>
          <cell r="AI35">
            <v>0</v>
          </cell>
          <cell r="AJ35">
            <v>1218</v>
          </cell>
          <cell r="AL35">
            <v>0</v>
          </cell>
          <cell r="AM35">
            <v>7259.2799999974668</v>
          </cell>
          <cell r="AO35">
            <v>0</v>
          </cell>
          <cell r="AP35">
            <v>97.439999999478459</v>
          </cell>
          <cell r="AR35">
            <v>0</v>
          </cell>
          <cell r="AS35">
            <v>6041.2799999993294</v>
          </cell>
          <cell r="AU35">
            <v>0</v>
          </cell>
          <cell r="AV35">
            <v>4141.2000000011176</v>
          </cell>
          <cell r="AX35">
            <v>0</v>
          </cell>
          <cell r="AY35">
            <v>5018.160000000149</v>
          </cell>
          <cell r="BA35">
            <v>0</v>
          </cell>
          <cell r="BB35">
            <v>3312.9599999999627</v>
          </cell>
          <cell r="BD35">
            <v>0</v>
          </cell>
          <cell r="BE35">
            <v>5895.1199999991804</v>
          </cell>
          <cell r="BK35">
            <v>0</v>
          </cell>
          <cell r="BL35">
            <v>0</v>
          </cell>
          <cell r="BN35">
            <v>0</v>
          </cell>
          <cell r="BO35">
            <v>46900</v>
          </cell>
          <cell r="BQ35">
            <v>0</v>
          </cell>
          <cell r="BR35">
            <v>0</v>
          </cell>
          <cell r="BT35">
            <v>0</v>
          </cell>
          <cell r="BW35">
            <v>0</v>
          </cell>
          <cell r="BX35">
            <v>-8.9999999999999969E-2</v>
          </cell>
          <cell r="BZ35">
            <v>0</v>
          </cell>
          <cell r="CB35">
            <v>0</v>
          </cell>
          <cell r="CD35">
            <v>0</v>
          </cell>
          <cell r="CF35">
            <v>0</v>
          </cell>
          <cell r="CH35">
            <v>0</v>
          </cell>
          <cell r="CJ35">
            <v>0</v>
          </cell>
          <cell r="CL35">
            <v>0</v>
          </cell>
          <cell r="CM35">
            <v>88</v>
          </cell>
          <cell r="CO35">
            <v>0</v>
          </cell>
          <cell r="CP35">
            <v>84</v>
          </cell>
          <cell r="CR35">
            <v>0</v>
          </cell>
          <cell r="CS35">
            <v>382</v>
          </cell>
          <cell r="CU35">
            <v>0</v>
          </cell>
          <cell r="CX35">
            <v>0</v>
          </cell>
          <cell r="CZ35">
            <v>0</v>
          </cell>
          <cell r="DB35">
            <v>0</v>
          </cell>
          <cell r="DD35">
            <v>0</v>
          </cell>
          <cell r="DF35">
            <v>0</v>
          </cell>
          <cell r="DH35">
            <v>0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N35">
            <v>0</v>
          </cell>
          <cell r="DP35">
            <v>0</v>
          </cell>
          <cell r="DR35">
            <v>0</v>
          </cell>
          <cell r="DU35">
            <v>0</v>
          </cell>
          <cell r="DW35">
            <v>0</v>
          </cell>
          <cell r="DY35">
            <v>0</v>
          </cell>
          <cell r="EA35">
            <v>0</v>
          </cell>
          <cell r="EE35">
            <v>0</v>
          </cell>
          <cell r="EG35">
            <v>0</v>
          </cell>
          <cell r="EJ35">
            <v>0</v>
          </cell>
          <cell r="EL35">
            <v>0</v>
          </cell>
          <cell r="EN35">
            <v>0</v>
          </cell>
          <cell r="EP35">
            <v>0</v>
          </cell>
          <cell r="ER35">
            <v>0</v>
          </cell>
          <cell r="ET35">
            <v>0</v>
          </cell>
          <cell r="EY35">
            <v>0</v>
          </cell>
          <cell r="EZ35">
            <v>0</v>
          </cell>
          <cell r="FA35">
            <v>0</v>
          </cell>
          <cell r="FE35">
            <v>0</v>
          </cell>
        </row>
        <row r="36">
          <cell r="F36">
            <v>490</v>
          </cell>
          <cell r="G36">
            <v>490</v>
          </cell>
          <cell r="I36">
            <v>0</v>
          </cell>
          <cell r="J36">
            <v>414</v>
          </cell>
          <cell r="L36">
            <v>0</v>
          </cell>
          <cell r="O36">
            <v>0</v>
          </cell>
          <cell r="Q36">
            <v>156875</v>
          </cell>
          <cell r="R36">
            <v>0</v>
          </cell>
          <cell r="T36">
            <v>0</v>
          </cell>
          <cell r="U36">
            <v>69</v>
          </cell>
          <cell r="W36">
            <v>0</v>
          </cell>
          <cell r="AC36">
            <v>0</v>
          </cell>
          <cell r="AD36">
            <v>2338.5599999995902</v>
          </cell>
          <cell r="AF36">
            <v>0</v>
          </cell>
          <cell r="AG36">
            <v>5066.8799999989569</v>
          </cell>
          <cell r="AI36">
            <v>0</v>
          </cell>
          <cell r="AJ36">
            <v>1023.1200000010431</v>
          </cell>
          <cell r="AL36">
            <v>0</v>
          </cell>
          <cell r="AM36">
            <v>7746.480000000447</v>
          </cell>
          <cell r="AO36">
            <v>0</v>
          </cell>
          <cell r="AP36">
            <v>194.88000000081956</v>
          </cell>
          <cell r="AR36">
            <v>0</v>
          </cell>
          <cell r="AS36">
            <v>5992.5600000005215</v>
          </cell>
          <cell r="AU36">
            <v>0</v>
          </cell>
          <cell r="AV36">
            <v>4141.1999999992549</v>
          </cell>
          <cell r="AX36">
            <v>0</v>
          </cell>
          <cell r="AY36">
            <v>4823.2799999983981</v>
          </cell>
          <cell r="BA36">
            <v>0</v>
          </cell>
          <cell r="BB36">
            <v>3312.9599999990314</v>
          </cell>
          <cell r="BD36">
            <v>0</v>
          </cell>
          <cell r="BE36">
            <v>5846.4000000003725</v>
          </cell>
          <cell r="BK36">
            <v>0</v>
          </cell>
          <cell r="BL36">
            <v>0</v>
          </cell>
          <cell r="BN36">
            <v>0</v>
          </cell>
          <cell r="BO36">
            <v>38600</v>
          </cell>
          <cell r="BQ36">
            <v>0</v>
          </cell>
          <cell r="BR36">
            <v>0</v>
          </cell>
          <cell r="BT36">
            <v>0</v>
          </cell>
          <cell r="BW36">
            <v>0</v>
          </cell>
          <cell r="BX36">
            <v>8.9999999999999969E-2</v>
          </cell>
          <cell r="BZ36">
            <v>0</v>
          </cell>
          <cell r="CB36">
            <v>0</v>
          </cell>
          <cell r="CD36">
            <v>0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M36">
            <v>83</v>
          </cell>
          <cell r="CO36">
            <v>0</v>
          </cell>
          <cell r="CP36">
            <v>80</v>
          </cell>
          <cell r="CR36">
            <v>0</v>
          </cell>
          <cell r="CS36">
            <v>370</v>
          </cell>
          <cell r="CU36">
            <v>0</v>
          </cell>
          <cell r="CX36">
            <v>0</v>
          </cell>
          <cell r="CZ36">
            <v>0</v>
          </cell>
          <cell r="DB36">
            <v>0</v>
          </cell>
          <cell r="DD36">
            <v>0</v>
          </cell>
          <cell r="DF36">
            <v>0</v>
          </cell>
          <cell r="DH36">
            <v>0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N36">
            <v>0</v>
          </cell>
          <cell r="DP36">
            <v>0</v>
          </cell>
          <cell r="DR36">
            <v>0</v>
          </cell>
          <cell r="DU36">
            <v>0</v>
          </cell>
          <cell r="DW36">
            <v>0</v>
          </cell>
          <cell r="DY36">
            <v>0</v>
          </cell>
          <cell r="EA36">
            <v>0</v>
          </cell>
          <cell r="EE36">
            <v>0</v>
          </cell>
          <cell r="EG36">
            <v>0</v>
          </cell>
          <cell r="EJ36">
            <v>0</v>
          </cell>
          <cell r="EL36">
            <v>0</v>
          </cell>
          <cell r="EN36">
            <v>0</v>
          </cell>
          <cell r="EP36">
            <v>0</v>
          </cell>
          <cell r="ER36">
            <v>0</v>
          </cell>
          <cell r="ET36">
            <v>0</v>
          </cell>
          <cell r="EY36">
            <v>0</v>
          </cell>
          <cell r="EZ36">
            <v>0</v>
          </cell>
          <cell r="FA36">
            <v>0</v>
          </cell>
          <cell r="FE36">
            <v>0</v>
          </cell>
        </row>
        <row r="37">
          <cell r="F37">
            <v>447</v>
          </cell>
          <cell r="G37">
            <v>447</v>
          </cell>
          <cell r="I37">
            <v>0</v>
          </cell>
          <cell r="J37">
            <v>335</v>
          </cell>
          <cell r="L37">
            <v>0</v>
          </cell>
          <cell r="O37">
            <v>0</v>
          </cell>
          <cell r="Q37">
            <v>156875</v>
          </cell>
          <cell r="R37">
            <v>0</v>
          </cell>
          <cell r="T37">
            <v>0</v>
          </cell>
          <cell r="U37">
            <v>101</v>
          </cell>
          <cell r="W37">
            <v>0</v>
          </cell>
          <cell r="AC37">
            <v>0</v>
          </cell>
          <cell r="AD37">
            <v>2143.679999999702</v>
          </cell>
          <cell r="AF37">
            <v>0</v>
          </cell>
          <cell r="AG37">
            <v>5115.5999999996275</v>
          </cell>
          <cell r="AI37">
            <v>0</v>
          </cell>
          <cell r="AJ37">
            <v>1023.1200000001118</v>
          </cell>
          <cell r="AL37">
            <v>0</v>
          </cell>
          <cell r="AM37">
            <v>1656.4800000023097</v>
          </cell>
          <cell r="AO37">
            <v>0</v>
          </cell>
          <cell r="AP37">
            <v>7551.5999999996275</v>
          </cell>
          <cell r="AR37">
            <v>0</v>
          </cell>
          <cell r="AS37">
            <v>5505.359999999404</v>
          </cell>
          <cell r="AU37">
            <v>0</v>
          </cell>
          <cell r="AV37">
            <v>3995.0400000009686</v>
          </cell>
          <cell r="AX37">
            <v>0</v>
          </cell>
          <cell r="AY37">
            <v>4823.2800000011921</v>
          </cell>
          <cell r="BA37">
            <v>0</v>
          </cell>
          <cell r="BB37">
            <v>3118.0800000010058</v>
          </cell>
          <cell r="BD37">
            <v>0</v>
          </cell>
          <cell r="BE37">
            <v>5846.3999999985099</v>
          </cell>
          <cell r="BK37">
            <v>0</v>
          </cell>
          <cell r="BL37">
            <v>0</v>
          </cell>
          <cell r="BN37">
            <v>0</v>
          </cell>
          <cell r="BO37">
            <v>9000</v>
          </cell>
          <cell r="BQ37">
            <v>0</v>
          </cell>
          <cell r="BR37">
            <v>33900</v>
          </cell>
          <cell r="BT37">
            <v>0</v>
          </cell>
          <cell r="BW37">
            <v>0</v>
          </cell>
          <cell r="BX37">
            <v>-8.9999999999999969E-2</v>
          </cell>
          <cell r="BZ37">
            <v>0</v>
          </cell>
          <cell r="CB37">
            <v>0</v>
          </cell>
          <cell r="CD37">
            <v>0</v>
          </cell>
          <cell r="CF37">
            <v>0</v>
          </cell>
          <cell r="CH37">
            <v>0</v>
          </cell>
          <cell r="CJ37">
            <v>0</v>
          </cell>
          <cell r="CL37">
            <v>0</v>
          </cell>
          <cell r="CM37">
            <v>83</v>
          </cell>
          <cell r="CO37">
            <v>0</v>
          </cell>
          <cell r="CP37">
            <v>80</v>
          </cell>
          <cell r="CR37">
            <v>0</v>
          </cell>
          <cell r="CS37">
            <v>371</v>
          </cell>
          <cell r="CU37">
            <v>0</v>
          </cell>
          <cell r="CX37">
            <v>0</v>
          </cell>
          <cell r="CZ37">
            <v>0</v>
          </cell>
          <cell r="DB37">
            <v>0</v>
          </cell>
          <cell r="DD37">
            <v>0</v>
          </cell>
          <cell r="DF37">
            <v>0</v>
          </cell>
          <cell r="DH37">
            <v>0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N37">
            <v>0</v>
          </cell>
          <cell r="DP37">
            <v>0</v>
          </cell>
          <cell r="DR37">
            <v>0</v>
          </cell>
          <cell r="DU37">
            <v>0</v>
          </cell>
          <cell r="DW37">
            <v>0</v>
          </cell>
          <cell r="DY37">
            <v>0</v>
          </cell>
          <cell r="EA37">
            <v>0</v>
          </cell>
          <cell r="EE37">
            <v>0</v>
          </cell>
          <cell r="EG37">
            <v>0</v>
          </cell>
          <cell r="EJ37">
            <v>0</v>
          </cell>
          <cell r="EL37">
            <v>0</v>
          </cell>
          <cell r="EN37">
            <v>0</v>
          </cell>
          <cell r="EP37">
            <v>0</v>
          </cell>
          <cell r="ER37">
            <v>0</v>
          </cell>
          <cell r="ET37">
            <v>0</v>
          </cell>
          <cell r="EY37">
            <v>0</v>
          </cell>
          <cell r="EZ37">
            <v>0</v>
          </cell>
          <cell r="FA37">
            <v>0</v>
          </cell>
          <cell r="FE37">
            <v>0</v>
          </cell>
        </row>
        <row r="38">
          <cell r="F38">
            <v>466</v>
          </cell>
          <cell r="G38">
            <v>466</v>
          </cell>
          <cell r="I38">
            <v>0</v>
          </cell>
          <cell r="J38">
            <v>384</v>
          </cell>
          <cell r="L38">
            <v>0</v>
          </cell>
          <cell r="O38">
            <v>0</v>
          </cell>
          <cell r="Q38">
            <v>156875</v>
          </cell>
          <cell r="R38">
            <v>0</v>
          </cell>
          <cell r="T38">
            <v>0</v>
          </cell>
          <cell r="U38">
            <v>95</v>
          </cell>
          <cell r="W38">
            <v>0</v>
          </cell>
          <cell r="AC38">
            <v>0</v>
          </cell>
          <cell r="AD38">
            <v>2289.839999999851</v>
          </cell>
          <cell r="AF38">
            <v>0</v>
          </cell>
          <cell r="AG38">
            <v>5310.4800000023097</v>
          </cell>
          <cell r="AI38">
            <v>0</v>
          </cell>
          <cell r="AJ38">
            <v>925.67999999970198</v>
          </cell>
          <cell r="AL38">
            <v>0</v>
          </cell>
          <cell r="AM38">
            <v>97.439999997615814</v>
          </cell>
          <cell r="AO38">
            <v>0</v>
          </cell>
          <cell r="AP38">
            <v>10572.240000000224</v>
          </cell>
          <cell r="AR38">
            <v>0</v>
          </cell>
          <cell r="AS38">
            <v>5000</v>
          </cell>
          <cell r="AU38">
            <v>0</v>
          </cell>
          <cell r="AV38">
            <v>4336.0799999982119</v>
          </cell>
          <cell r="AX38">
            <v>0</v>
          </cell>
          <cell r="AY38">
            <v>5213.0400000000373</v>
          </cell>
          <cell r="BA38">
            <v>0</v>
          </cell>
          <cell r="BB38">
            <v>3312.9599999999627</v>
          </cell>
          <cell r="BD38">
            <v>0</v>
          </cell>
          <cell r="BE38">
            <v>5992.5600000005215</v>
          </cell>
          <cell r="BK38">
            <v>0</v>
          </cell>
          <cell r="BL38">
            <v>0</v>
          </cell>
          <cell r="BN38">
            <v>0</v>
          </cell>
          <cell r="BO38">
            <v>0</v>
          </cell>
          <cell r="BQ38">
            <v>0</v>
          </cell>
          <cell r="BR38">
            <v>47000</v>
          </cell>
          <cell r="BT38">
            <v>0</v>
          </cell>
          <cell r="BW38">
            <v>0</v>
          </cell>
          <cell r="BX38">
            <v>-8.0000000000000016E-2</v>
          </cell>
          <cell r="BZ38">
            <v>0</v>
          </cell>
          <cell r="CB38">
            <v>0</v>
          </cell>
          <cell r="CD38">
            <v>0</v>
          </cell>
          <cell r="CF38">
            <v>0</v>
          </cell>
          <cell r="CH38">
            <v>0</v>
          </cell>
          <cell r="CJ38">
            <v>0</v>
          </cell>
          <cell r="CL38">
            <v>0</v>
          </cell>
          <cell r="CM38">
            <v>87</v>
          </cell>
          <cell r="CO38">
            <v>0</v>
          </cell>
          <cell r="CP38">
            <v>84</v>
          </cell>
          <cell r="CR38">
            <v>0</v>
          </cell>
          <cell r="CS38">
            <v>405</v>
          </cell>
          <cell r="CU38">
            <v>0</v>
          </cell>
          <cell r="CX38">
            <v>0</v>
          </cell>
          <cell r="CZ38">
            <v>0</v>
          </cell>
          <cell r="DB38">
            <v>0</v>
          </cell>
          <cell r="DD38">
            <v>0</v>
          </cell>
          <cell r="DF38">
            <v>0</v>
          </cell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N38">
            <v>0</v>
          </cell>
          <cell r="DP38">
            <v>0</v>
          </cell>
          <cell r="DR38">
            <v>0</v>
          </cell>
          <cell r="DU38">
            <v>0</v>
          </cell>
          <cell r="DW38">
            <v>0</v>
          </cell>
          <cell r="DY38">
            <v>0</v>
          </cell>
          <cell r="EA38">
            <v>0</v>
          </cell>
          <cell r="EE38">
            <v>0</v>
          </cell>
          <cell r="EG38">
            <v>0</v>
          </cell>
          <cell r="EJ38">
            <v>0</v>
          </cell>
          <cell r="EL38">
            <v>0</v>
          </cell>
          <cell r="EN38">
            <v>0</v>
          </cell>
          <cell r="EP38">
            <v>0</v>
          </cell>
          <cell r="ER38">
            <v>0</v>
          </cell>
          <cell r="ET38">
            <v>0</v>
          </cell>
          <cell r="EY38">
            <v>0</v>
          </cell>
          <cell r="EZ38">
            <v>0</v>
          </cell>
          <cell r="FA38">
            <v>0</v>
          </cell>
          <cell r="FE38">
            <v>0</v>
          </cell>
        </row>
        <row r="39">
          <cell r="F39">
            <v>374</v>
          </cell>
          <cell r="G39">
            <v>374</v>
          </cell>
          <cell r="I39">
            <v>0</v>
          </cell>
          <cell r="J39">
            <v>361</v>
          </cell>
          <cell r="L39">
            <v>0</v>
          </cell>
          <cell r="O39">
            <v>0</v>
          </cell>
          <cell r="Q39">
            <v>156875</v>
          </cell>
          <cell r="R39">
            <v>0</v>
          </cell>
          <cell r="T39">
            <v>0</v>
          </cell>
          <cell r="U39">
            <v>78</v>
          </cell>
          <cell r="W39">
            <v>0</v>
          </cell>
          <cell r="AC39">
            <v>0</v>
          </cell>
          <cell r="AD39">
            <v>2143.679999999702</v>
          </cell>
          <cell r="AF39">
            <v>0</v>
          </cell>
          <cell r="AG39">
            <v>4823.2799999974668</v>
          </cell>
          <cell r="AI39">
            <v>0</v>
          </cell>
          <cell r="AJ39">
            <v>779.51999999955297</v>
          </cell>
          <cell r="AL39">
            <v>0</v>
          </cell>
          <cell r="AM39">
            <v>48.720000000670552</v>
          </cell>
          <cell r="AO39">
            <v>0</v>
          </cell>
          <cell r="AP39">
            <v>8867.0400000009686</v>
          </cell>
          <cell r="AR39">
            <v>0</v>
          </cell>
          <cell r="AS39">
            <v>6254.320000000298</v>
          </cell>
          <cell r="AU39">
            <v>0</v>
          </cell>
          <cell r="AV39">
            <v>4141.2000000011176</v>
          </cell>
          <cell r="AX39">
            <v>0</v>
          </cell>
          <cell r="AY39">
            <v>4872</v>
          </cell>
          <cell r="BA39">
            <v>0</v>
          </cell>
          <cell r="BB39">
            <v>3118.0799999991432</v>
          </cell>
          <cell r="BD39">
            <v>0</v>
          </cell>
          <cell r="BE39">
            <v>5554.0800000000745</v>
          </cell>
          <cell r="BK39">
            <v>0</v>
          </cell>
          <cell r="BL39">
            <v>0</v>
          </cell>
          <cell r="BN39">
            <v>0</v>
          </cell>
          <cell r="BO39">
            <v>0</v>
          </cell>
          <cell r="BQ39">
            <v>0</v>
          </cell>
          <cell r="BR39">
            <v>42300</v>
          </cell>
          <cell r="BT39">
            <v>0</v>
          </cell>
          <cell r="BW39">
            <v>0</v>
          </cell>
          <cell r="BX39">
            <v>-7.0000000000000007E-2</v>
          </cell>
          <cell r="BZ39">
            <v>0</v>
          </cell>
          <cell r="CB39">
            <v>0</v>
          </cell>
          <cell r="CD39">
            <v>0</v>
          </cell>
          <cell r="CF39">
            <v>0</v>
          </cell>
          <cell r="CH39">
            <v>0</v>
          </cell>
          <cell r="CJ39">
            <v>0</v>
          </cell>
          <cell r="CL39">
            <v>0</v>
          </cell>
          <cell r="CM39">
            <v>85</v>
          </cell>
          <cell r="CO39">
            <v>0</v>
          </cell>
          <cell r="CP39">
            <v>84</v>
          </cell>
          <cell r="CR39">
            <v>0</v>
          </cell>
          <cell r="CS39">
            <v>398</v>
          </cell>
          <cell r="CU39">
            <v>0</v>
          </cell>
          <cell r="CX39">
            <v>0</v>
          </cell>
          <cell r="CZ39">
            <v>0</v>
          </cell>
          <cell r="DB39">
            <v>0</v>
          </cell>
          <cell r="DD39">
            <v>0</v>
          </cell>
          <cell r="DF39">
            <v>0</v>
          </cell>
          <cell r="DH39">
            <v>0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N39">
            <v>0</v>
          </cell>
          <cell r="DP39">
            <v>0</v>
          </cell>
          <cell r="DR39">
            <v>0</v>
          </cell>
          <cell r="DU39">
            <v>0</v>
          </cell>
          <cell r="DW39">
            <v>0</v>
          </cell>
          <cell r="DY39">
            <v>0</v>
          </cell>
          <cell r="EA39">
            <v>0</v>
          </cell>
          <cell r="EE39">
            <v>0</v>
          </cell>
          <cell r="EG39">
            <v>0</v>
          </cell>
          <cell r="EJ39">
            <v>0</v>
          </cell>
          <cell r="EL39">
            <v>0</v>
          </cell>
          <cell r="EN39">
            <v>0</v>
          </cell>
          <cell r="EP39">
            <v>0</v>
          </cell>
          <cell r="ER39">
            <v>0</v>
          </cell>
          <cell r="ET39">
            <v>0</v>
          </cell>
          <cell r="EY39">
            <v>0</v>
          </cell>
          <cell r="EZ39">
            <v>0</v>
          </cell>
          <cell r="FA39">
            <v>0</v>
          </cell>
          <cell r="FE39">
            <v>0</v>
          </cell>
        </row>
        <row r="40">
          <cell r="F40">
            <v>574</v>
          </cell>
          <cell r="G40">
            <v>574</v>
          </cell>
          <cell r="I40">
            <v>0</v>
          </cell>
          <cell r="J40">
            <v>399</v>
          </cell>
          <cell r="L40">
            <v>0</v>
          </cell>
          <cell r="O40">
            <v>0</v>
          </cell>
          <cell r="Q40">
            <v>156875</v>
          </cell>
          <cell r="R40">
            <v>0</v>
          </cell>
          <cell r="T40">
            <v>0</v>
          </cell>
          <cell r="U40">
            <v>86</v>
          </cell>
          <cell r="W40">
            <v>0</v>
          </cell>
          <cell r="AC40">
            <v>0</v>
          </cell>
          <cell r="AD40">
            <v>2338.5600000005215</v>
          </cell>
          <cell r="AF40">
            <v>0</v>
          </cell>
          <cell r="AG40">
            <v>5310.480000000447</v>
          </cell>
          <cell r="AI40">
            <v>0</v>
          </cell>
          <cell r="AJ40">
            <v>1266.7200000006706</v>
          </cell>
          <cell r="AL40">
            <v>0</v>
          </cell>
          <cell r="AM40">
            <v>194.87999999895692</v>
          </cell>
          <cell r="AO40">
            <v>0</v>
          </cell>
          <cell r="AP40">
            <v>9256.7999999988824</v>
          </cell>
          <cell r="AR40">
            <v>0</v>
          </cell>
          <cell r="AS40">
            <v>5943.839999999851</v>
          </cell>
          <cell r="AU40">
            <v>0</v>
          </cell>
          <cell r="AV40">
            <v>4530.9599999990314</v>
          </cell>
          <cell r="AX40">
            <v>0</v>
          </cell>
          <cell r="AY40">
            <v>4969.4400000004098</v>
          </cell>
          <cell r="BA40">
            <v>0</v>
          </cell>
          <cell r="BB40">
            <v>3751.4400000004098</v>
          </cell>
          <cell r="BD40">
            <v>0</v>
          </cell>
          <cell r="BE40">
            <v>5748.9600000008941</v>
          </cell>
          <cell r="BK40">
            <v>0</v>
          </cell>
          <cell r="BL40">
            <v>0</v>
          </cell>
          <cell r="BN40">
            <v>0</v>
          </cell>
          <cell r="BO40">
            <v>0</v>
          </cell>
          <cell r="BQ40">
            <v>0</v>
          </cell>
          <cell r="BR40">
            <v>85500</v>
          </cell>
          <cell r="BT40">
            <v>0</v>
          </cell>
          <cell r="BW40">
            <v>0</v>
          </cell>
          <cell r="BX40">
            <v>0.15000000000000002</v>
          </cell>
          <cell r="BZ40">
            <v>0</v>
          </cell>
          <cell r="CB40">
            <v>0</v>
          </cell>
          <cell r="CD40">
            <v>0</v>
          </cell>
          <cell r="CF40">
            <v>0</v>
          </cell>
          <cell r="CH40">
            <v>0</v>
          </cell>
          <cell r="CJ40">
            <v>0</v>
          </cell>
          <cell r="CL40">
            <v>0</v>
          </cell>
          <cell r="CM40">
            <v>88</v>
          </cell>
          <cell r="CO40">
            <v>0</v>
          </cell>
          <cell r="CP40">
            <v>77</v>
          </cell>
          <cell r="CR40">
            <v>0</v>
          </cell>
          <cell r="CS40">
            <v>392</v>
          </cell>
          <cell r="CU40">
            <v>0</v>
          </cell>
          <cell r="CX40">
            <v>0</v>
          </cell>
          <cell r="CZ40">
            <v>0</v>
          </cell>
          <cell r="DB40">
            <v>0</v>
          </cell>
          <cell r="DD40">
            <v>0</v>
          </cell>
          <cell r="DF40">
            <v>0</v>
          </cell>
          <cell r="DH40">
            <v>0</v>
          </cell>
          <cell r="DI40">
            <v>825</v>
          </cell>
          <cell r="DJ40">
            <v>0</v>
          </cell>
          <cell r="DK40">
            <v>3570</v>
          </cell>
          <cell r="DL40">
            <v>0</v>
          </cell>
          <cell r="DN40">
            <v>0</v>
          </cell>
          <cell r="DP40">
            <v>0</v>
          </cell>
          <cell r="DR40">
            <v>0</v>
          </cell>
          <cell r="DU40">
            <v>0</v>
          </cell>
          <cell r="DW40">
            <v>0</v>
          </cell>
          <cell r="DY40">
            <v>0</v>
          </cell>
          <cell r="EA40">
            <v>0</v>
          </cell>
          <cell r="EE40">
            <v>0</v>
          </cell>
          <cell r="EG40">
            <v>0</v>
          </cell>
          <cell r="EJ40">
            <v>0</v>
          </cell>
          <cell r="EL40">
            <v>0</v>
          </cell>
          <cell r="EN40">
            <v>0</v>
          </cell>
          <cell r="EP40">
            <v>0</v>
          </cell>
          <cell r="ER40">
            <v>0</v>
          </cell>
          <cell r="ET40">
            <v>0</v>
          </cell>
          <cell r="EY40">
            <v>0</v>
          </cell>
          <cell r="EZ40">
            <v>0</v>
          </cell>
          <cell r="FA40">
            <v>0</v>
          </cell>
          <cell r="FE40">
            <v>0</v>
          </cell>
        </row>
      </sheetData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11" sqref="C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2020</v>
      </c>
      <c r="E2" s="3">
        <f>Submetering!M2+Submetering!N2+Submetering!O2+Submetering!P2+Submetering!Q2+Submetering!R2+Submetering!S2+Submetering!T2+Submetering!U2+Submetering!V2</f>
        <v>40291.440000003204</v>
      </c>
      <c r="F2">
        <v>0.44447999999999999</v>
      </c>
      <c r="G2" s="3">
        <f>Submetering!Z2+Submetering!AA2+Submetering!AB2</f>
        <v>1051.7849999999175</v>
      </c>
      <c r="H2" s="241">
        <f>1.45/0.52</f>
        <v>2.7884615384615383</v>
      </c>
      <c r="I2" s="3">
        <f>Submetering!G2</f>
        <v>559</v>
      </c>
      <c r="J2">
        <v>13.83</v>
      </c>
      <c r="K2" s="3">
        <f>Submetering!I2</f>
        <v>128</v>
      </c>
      <c r="L2">
        <v>1.2</v>
      </c>
      <c r="M2" s="241">
        <f>Submetering!E2</f>
        <v>229.89</v>
      </c>
      <c r="N2">
        <f>Submetering!F2</f>
        <v>489</v>
      </c>
    </row>
    <row r="3" spans="1:14" x14ac:dyDescent="0.25">
      <c r="A3" t="s">
        <v>59</v>
      </c>
      <c r="B3">
        <f>B2+1</f>
        <v>2</v>
      </c>
      <c r="C3">
        <v>1</v>
      </c>
      <c r="D3">
        <v>2020</v>
      </c>
      <c r="E3" s="3">
        <f>Submetering!M3+Submetering!N3+Submetering!O3+Submetering!P3+Submetering!Q3+Submetering!R3+Submetering!S3+Submetering!T3+Submetering!U3+Submetering!V3</f>
        <v>42727.44000000041</v>
      </c>
      <c r="F3">
        <v>0.44447999999999999</v>
      </c>
      <c r="G3" s="3">
        <f>Submetering!Z3+Submetering!AA3+Submetering!AB3</f>
        <v>938.19600000007142</v>
      </c>
      <c r="H3" s="241">
        <f t="shared" ref="H3:H32" si="0">1.45/0.52</f>
        <v>2.7884615384615383</v>
      </c>
      <c r="I3" s="3">
        <f>Submetering!G3</f>
        <v>604</v>
      </c>
      <c r="J3">
        <v>13.83</v>
      </c>
      <c r="K3" s="3">
        <f>Submetering!I3</f>
        <v>142.40000000002328</v>
      </c>
      <c r="L3">
        <v>1.2</v>
      </c>
      <c r="M3" s="241">
        <f>Submetering!E3</f>
        <v>227.51999999999998</v>
      </c>
      <c r="N3">
        <f>Submetering!F3</f>
        <v>474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2020</v>
      </c>
      <c r="E4" s="3">
        <f>Submetering!M4+Submetering!N4+Submetering!O4+Submetering!P4+Submetering!Q4+Submetering!R4+Submetering!S4+Submetering!T4+Submetering!U4+Submetering!V4</f>
        <v>43896.720000004396</v>
      </c>
      <c r="F4">
        <v>0.44447999999999999</v>
      </c>
      <c r="G4" s="3">
        <f>Submetering!Z4+Submetering!AA4+Submetering!AB4</f>
        <v>938.85749999999996</v>
      </c>
      <c r="H4" s="241">
        <f t="shared" si="0"/>
        <v>2.7884615384615383</v>
      </c>
      <c r="I4" s="3">
        <f>Submetering!G4</f>
        <v>620</v>
      </c>
      <c r="J4">
        <v>13.83</v>
      </c>
      <c r="K4" s="3">
        <f>Submetering!I4</f>
        <v>131.09999999997672</v>
      </c>
      <c r="L4">
        <v>1.2</v>
      </c>
      <c r="M4" s="241">
        <f>Submetering!E4</f>
        <v>218.04000000000002</v>
      </c>
      <c r="N4">
        <f>Submetering!F4</f>
        <v>450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2020</v>
      </c>
      <c r="E5" s="3">
        <f>Submetering!M5+Submetering!N5+Submetering!O5+Submetering!P5+Submetering!Q5+Submetering!R5+Submetering!S5+Submetering!T5+Submetering!U5+Submetering!V5</f>
        <v>41753.039999996312</v>
      </c>
      <c r="F5">
        <v>0.44447999999999999</v>
      </c>
      <c r="G5" s="3">
        <f>Submetering!Z5+Submetering!AA5+Submetering!AB5</f>
        <v>974.76749999997242</v>
      </c>
      <c r="H5" s="241">
        <f t="shared" si="0"/>
        <v>2.7884615384615383</v>
      </c>
      <c r="I5" s="3">
        <f>Submetering!G5</f>
        <v>617</v>
      </c>
      <c r="J5">
        <v>13.83</v>
      </c>
      <c r="K5" s="3">
        <f>Submetering!I5</f>
        <v>155.5</v>
      </c>
      <c r="L5">
        <v>1.2</v>
      </c>
      <c r="M5" s="241">
        <f>Submetering!E5</f>
        <v>225.14999999999998</v>
      </c>
      <c r="N5">
        <f>Submetering!F5</f>
        <v>460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2020</v>
      </c>
      <c r="E6" s="3">
        <f>Submetering!M6+Submetering!N6+Submetering!O6+Submetering!P6+Submetering!Q6+Submetering!R6+Submetering!S6+Submetering!T6+Submetering!U6+Submetering!V6</f>
        <v>41363.279999998398</v>
      </c>
      <c r="F6">
        <v>0.44447999999999999</v>
      </c>
      <c r="G6" s="3">
        <f>Submetering!Z6+Submetering!AA6+Submetering!AB6</f>
        <v>1025.3249999999725</v>
      </c>
      <c r="H6" s="241">
        <f t="shared" si="0"/>
        <v>2.7884615384615383</v>
      </c>
      <c r="I6" s="3">
        <f>Submetering!G6</f>
        <v>588</v>
      </c>
      <c r="J6">
        <v>13.83</v>
      </c>
      <c r="K6" s="3">
        <f>Submetering!I6</f>
        <v>141.69999999995343</v>
      </c>
      <c r="L6">
        <v>1.2</v>
      </c>
      <c r="M6" s="241">
        <f>Submetering!E6</f>
        <v>210.93</v>
      </c>
      <c r="N6">
        <f>Submetering!F6</f>
        <v>411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2020</v>
      </c>
      <c r="E7" s="3">
        <f>Submetering!M7+Submetering!N7+Submetering!O7+Submetering!P7+Submetering!Q7+Submetering!R7+Submetering!S7+Submetering!T7+Submetering!U7+Submetering!V7</f>
        <v>39317.040000000037</v>
      </c>
      <c r="F7">
        <v>0.44447999999999999</v>
      </c>
      <c r="G7" s="3">
        <f>Submetering!Z7+Submetering!AA7+Submetering!AB7</f>
        <v>1084.4820000000054</v>
      </c>
      <c r="H7" s="241">
        <f t="shared" si="0"/>
        <v>2.7884615384615383</v>
      </c>
      <c r="I7" s="3">
        <f>Submetering!G7</f>
        <v>553</v>
      </c>
      <c r="J7">
        <v>13.83</v>
      </c>
      <c r="K7" s="3">
        <f>Submetering!I7</f>
        <v>156.40000000002328</v>
      </c>
      <c r="L7">
        <v>1.2</v>
      </c>
      <c r="M7" s="241">
        <f>Submetering!E7</f>
        <v>191.97</v>
      </c>
      <c r="N7">
        <f>Submetering!F7</f>
        <v>394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2020</v>
      </c>
      <c r="E8" s="282">
        <f>Submetering!M8+Submetering!N8+Submetering!O8+Submetering!P8+Submetering!Q8+Submetering!R8+Submetering!S8+Submetering!T8+Submetering!U8+Submetering!V8</f>
        <v>38878.559999997728</v>
      </c>
      <c r="F8" s="283">
        <v>0.44447999999999999</v>
      </c>
      <c r="G8" s="282">
        <f>Submetering!Z8+Submetering!AA8+Submetering!AB8</f>
        <v>1031.1840000000111</v>
      </c>
      <c r="H8" s="241">
        <f t="shared" si="0"/>
        <v>2.7884615384615383</v>
      </c>
      <c r="I8" s="282">
        <f>Submetering!G8</f>
        <v>519</v>
      </c>
      <c r="J8" s="283">
        <v>13.83</v>
      </c>
      <c r="K8" s="282">
        <f>Submetering!I8</f>
        <v>136.40000000002328</v>
      </c>
      <c r="L8" s="283">
        <v>1.2</v>
      </c>
      <c r="M8" s="284">
        <f>Submetering!E8</f>
        <v>187.23000000000002</v>
      </c>
      <c r="N8">
        <f>Submetering!F8</f>
        <v>368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2020</v>
      </c>
      <c r="E9" s="3">
        <f>Submetering!M9+Submetering!N9+Submetering!O9+Submetering!P9+Submetering!Q9+Submetering!R9+Submetering!S9+Submetering!T9+Submetering!U9+Submetering!V9</f>
        <v>39609.399999999441</v>
      </c>
      <c r="F9">
        <v>0.44447999999999999</v>
      </c>
      <c r="G9" s="3">
        <f>Submetering!Z9+Submetering!AA9+Submetering!AB9</f>
        <v>1023.245999999989</v>
      </c>
      <c r="H9" s="241">
        <f t="shared" si="0"/>
        <v>2.7884615384615383</v>
      </c>
      <c r="I9" s="3">
        <f>Submetering!G9</f>
        <v>561</v>
      </c>
      <c r="J9">
        <v>13.83</v>
      </c>
      <c r="K9" s="3">
        <f>Submetering!I9</f>
        <v>160.59999999997672</v>
      </c>
      <c r="L9">
        <v>1.2</v>
      </c>
      <c r="M9" s="241">
        <f>Submetering!E9</f>
        <v>203.82</v>
      </c>
      <c r="N9">
        <f>Submetering!F9</f>
        <v>390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2020</v>
      </c>
      <c r="E10" s="3">
        <f>Submetering!M10+Submetering!N10+Submetering!O10+Submetering!P10+Submetering!Q10+Submetering!R10+Submetering!S10+Submetering!T10+Submetering!U10+Submetering!V10</f>
        <v>40388.66000000108</v>
      </c>
      <c r="F10">
        <v>0.44447999999999999</v>
      </c>
      <c r="G10" s="3">
        <f>Submetering!Z10+Submetering!AA10+Submetering!AB10</f>
        <v>1024.9470000000329</v>
      </c>
      <c r="H10" s="241">
        <f t="shared" si="0"/>
        <v>2.7884615384615383</v>
      </c>
      <c r="I10" s="3">
        <f>Submetering!G10</f>
        <v>527</v>
      </c>
      <c r="J10">
        <v>13.83</v>
      </c>
      <c r="K10" s="3">
        <f>Submetering!I10</f>
        <v>92.400000000023283</v>
      </c>
      <c r="L10">
        <v>1.2</v>
      </c>
      <c r="M10" s="241">
        <f>Submetering!E10</f>
        <v>194.33999999999997</v>
      </c>
      <c r="N10">
        <f>Submetering!F10</f>
        <v>428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2020</v>
      </c>
      <c r="E11" s="3">
        <f>Submetering!M11+Submetering!N11+Submetering!O11+Submetering!P11+Submetering!Q11+Submetering!R11+Submetering!S11+Submetering!T11+Submetering!U11+Submetering!V11</f>
        <v>39627.040000000969</v>
      </c>
      <c r="F11">
        <v>0.44447999999999999</v>
      </c>
      <c r="G11" s="3">
        <f>Submetering!Z11+Submetering!AA11+Submetering!AB11</f>
        <v>1383.3666000000044</v>
      </c>
      <c r="H11" s="241">
        <f t="shared" si="0"/>
        <v>2.7884615384615383</v>
      </c>
      <c r="I11" s="3">
        <f>Submetering!G11</f>
        <v>733</v>
      </c>
      <c r="J11">
        <v>13.83</v>
      </c>
      <c r="K11" s="3">
        <f>Submetering!I11</f>
        <v>0</v>
      </c>
      <c r="L11">
        <v>1.2</v>
      </c>
      <c r="M11" s="241">
        <f>Submetering!E11</f>
        <v>203.82</v>
      </c>
      <c r="N11">
        <f>Submetering!F11</f>
        <v>403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2020</v>
      </c>
      <c r="E12" s="3">
        <f>Submetering!M12+Submetering!N12+Submetering!O12+Submetering!P12+Submetering!Q12+Submetering!R12+Submetering!S12+Submetering!T12+Submetering!U12+Submetering!V12</f>
        <v>38812.340000001714</v>
      </c>
      <c r="F12">
        <v>0.44447999999999999</v>
      </c>
      <c r="G12" s="3">
        <f>Submetering!Z12+Submetering!AA12+Submetering!AB12</f>
        <v>628.33049999996695</v>
      </c>
      <c r="H12" s="241">
        <f t="shared" si="0"/>
        <v>2.7884615384615383</v>
      </c>
      <c r="I12" s="3">
        <f>Submetering!G12</f>
        <v>430</v>
      </c>
      <c r="J12">
        <v>13.83</v>
      </c>
      <c r="K12" s="3">
        <f>Submetering!I12</f>
        <v>0</v>
      </c>
      <c r="L12">
        <v>1.2</v>
      </c>
      <c r="M12" s="241">
        <f>Submetering!E12</f>
        <v>170.64</v>
      </c>
      <c r="N12">
        <f>Submetering!F12</f>
        <v>316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2020</v>
      </c>
      <c r="E13" s="3">
        <f>Submetering!M13+Submetering!N13+Submetering!O13+Submetering!P13+Submetering!Q13+Submetering!R13+Submetering!S13+Submetering!T13+Submetering!U13+Submetering!V13</f>
        <v>37075.919999997132</v>
      </c>
      <c r="F13">
        <v>0.44447999999999999</v>
      </c>
      <c r="G13" s="3">
        <f>Submetering!Z13+Submetering!AA13+Submetering!AB13</f>
        <v>946.17180000001872</v>
      </c>
      <c r="H13" s="241">
        <f t="shared" si="0"/>
        <v>2.7884615384615383</v>
      </c>
      <c r="I13" s="3">
        <f>Submetering!G13</f>
        <v>620</v>
      </c>
      <c r="J13">
        <v>13.83</v>
      </c>
      <c r="K13" s="3">
        <f>Submetering!I13</f>
        <v>0</v>
      </c>
      <c r="L13">
        <v>1.2</v>
      </c>
      <c r="M13" s="241">
        <f>Submetering!E13</f>
        <v>187.23000000000002</v>
      </c>
      <c r="N13">
        <f>Submetering!F13</f>
        <v>304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2020</v>
      </c>
      <c r="E14" s="3">
        <f>Submetering!M14+Submetering!N14+Submetering!O14+Submetering!P14+Submetering!Q14+Submetering!R14+Submetering!S14+Submetering!T14+Submetering!U14+Submetering!V14</f>
        <v>37124.640000002459</v>
      </c>
      <c r="F14">
        <v>0.44447999999999999</v>
      </c>
      <c r="G14" s="3">
        <f>Submetering!Z14+Submetering!AA14+Submetering!AB14</f>
        <v>999.71549999996705</v>
      </c>
      <c r="H14" s="241">
        <f t="shared" si="0"/>
        <v>2.7884615384615383</v>
      </c>
      <c r="I14" s="3">
        <f>Submetering!G14</f>
        <v>467</v>
      </c>
      <c r="J14">
        <v>13.83</v>
      </c>
      <c r="K14" s="3">
        <f>Submetering!I14</f>
        <v>0</v>
      </c>
      <c r="L14">
        <v>1.2</v>
      </c>
      <c r="M14" s="241">
        <f>Submetering!E14</f>
        <v>218.04000000000002</v>
      </c>
      <c r="N14">
        <f>Submetering!F14</f>
        <v>355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2020</v>
      </c>
      <c r="E15" s="3">
        <f>Submetering!M15+Submetering!N15+Submetering!O15+Submetering!P15+Submetering!Q15+Submetering!R15+Submetering!S15+Submetering!T15+Submetering!U15+Submetering!V15</f>
        <v>36491.280000001192</v>
      </c>
      <c r="F15">
        <v>0.44447999999999999</v>
      </c>
      <c r="G15" s="3">
        <f>Submetering!Z15+Submetering!AA15+Submetering!AB15</f>
        <v>1010.2806000000153</v>
      </c>
      <c r="H15" s="241">
        <f t="shared" si="0"/>
        <v>2.7884615384615383</v>
      </c>
      <c r="I15" s="3">
        <f>Submetering!G15</f>
        <v>477</v>
      </c>
      <c r="J15">
        <v>13.83</v>
      </c>
      <c r="K15" s="3">
        <f>Submetering!I15</f>
        <v>0</v>
      </c>
      <c r="L15">
        <v>1.2</v>
      </c>
      <c r="M15" s="241">
        <f>Submetering!E15</f>
        <v>218.04000000000002</v>
      </c>
      <c r="N15">
        <f>Submetering!F15</f>
        <v>313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2020</v>
      </c>
      <c r="E16" s="3">
        <f>Submetering!M16+Submetering!N16+Submetering!O16+Submetering!P16+Submetering!Q16+Submetering!R16+Submetering!S16+Submetering!T16+Submetering!U16+Submetering!V16</f>
        <v>36588.719999997877</v>
      </c>
      <c r="F16">
        <v>0.44447999999999999</v>
      </c>
      <c r="G16" s="3">
        <f>Submetering!Z16+Submetering!AA16+Submetering!AB16</f>
        <v>951.04799999999454</v>
      </c>
      <c r="H16" s="241">
        <f t="shared" si="0"/>
        <v>2.7884615384615383</v>
      </c>
      <c r="I16" s="3">
        <f>Submetering!G16</f>
        <v>472</v>
      </c>
      <c r="J16">
        <v>13.83</v>
      </c>
      <c r="K16" s="3">
        <f>Submetering!I16</f>
        <v>55.5</v>
      </c>
      <c r="L16">
        <v>1.2</v>
      </c>
      <c r="M16" s="241">
        <f>Submetering!E16</f>
        <v>203.82</v>
      </c>
      <c r="N16">
        <f>Submetering!F16</f>
        <v>300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2020</v>
      </c>
      <c r="E17" s="3">
        <f>Submetering!M17+Submetering!N17+Submetering!O17+Submetering!P17+Submetering!Q17+Submetering!R17+Submetering!S17+Submetering!T17+Submetering!U17+Submetering!V17</f>
        <v>35955.359999998473</v>
      </c>
      <c r="F17">
        <v>0.44447999999999999</v>
      </c>
      <c r="G17" s="3">
        <f>Submetering!Z17+Submetering!AA17+Submetering!AB17</f>
        <v>929.65320000003635</v>
      </c>
      <c r="H17" s="241">
        <f t="shared" si="0"/>
        <v>2.7884615384615383</v>
      </c>
      <c r="I17" s="3">
        <f>Submetering!G17</f>
        <v>445</v>
      </c>
      <c r="J17">
        <v>13.83</v>
      </c>
      <c r="K17" s="3">
        <f>Submetering!I17</f>
        <v>138.5</v>
      </c>
      <c r="L17">
        <v>1.2</v>
      </c>
      <c r="M17" s="241">
        <f>Submetering!E17</f>
        <v>144.57</v>
      </c>
      <c r="N17">
        <f>Submetering!F17</f>
        <v>301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2020</v>
      </c>
      <c r="E18" s="3">
        <f>Submetering!M18+Submetering!N18+Submetering!O18+Submetering!P18+Submetering!Q18+Submetering!R18+Submetering!S18+Submetering!T18+Submetering!U18+Submetering!V18</f>
        <v>38050.320000002161</v>
      </c>
      <c r="F18">
        <v>0.44447999999999999</v>
      </c>
      <c r="G18" s="3">
        <f>Submetering!Z18+Submetering!AA18+Submetering!AB18</f>
        <v>954.07199999997795</v>
      </c>
      <c r="H18" s="241">
        <f t="shared" si="0"/>
        <v>2.7884615384615383</v>
      </c>
      <c r="I18" s="3">
        <f>Submetering!G18</f>
        <v>498</v>
      </c>
      <c r="J18">
        <v>13.83</v>
      </c>
      <c r="K18" s="3">
        <f>Submetering!I18</f>
        <v>170.59999999997672</v>
      </c>
      <c r="L18">
        <v>1.2</v>
      </c>
      <c r="M18" s="241">
        <f>Submetering!E18</f>
        <v>144.57</v>
      </c>
      <c r="N18">
        <f>Submetering!F18</f>
        <v>353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2020</v>
      </c>
      <c r="E19" s="3">
        <f>Submetering!M19+Submetering!N19+Submetering!O19+Submetering!P19+Submetering!Q19+Submetering!R19+Submetering!S19+Submetering!T19+Submetering!U19+Submetering!V19</f>
        <v>39365.759999999776</v>
      </c>
      <c r="F19">
        <v>0.44447999999999999</v>
      </c>
      <c r="G19" s="3">
        <f>Submetering!Z19+Submetering!AA19+Submetering!AB19</f>
        <v>990.20880000002421</v>
      </c>
      <c r="H19" s="241">
        <f t="shared" si="0"/>
        <v>2.7884615384615383</v>
      </c>
      <c r="I19" s="3">
        <f>Submetering!G19</f>
        <v>556</v>
      </c>
      <c r="J19">
        <v>13.83</v>
      </c>
      <c r="K19" s="3">
        <f>Submetering!I19</f>
        <v>138.80000000004657</v>
      </c>
      <c r="L19">
        <v>1.2</v>
      </c>
      <c r="M19" s="241">
        <f>Submetering!E19</f>
        <v>144.57</v>
      </c>
      <c r="N19">
        <f>Submetering!F19</f>
        <v>319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2020</v>
      </c>
      <c r="E20" s="3">
        <f>Submetering!M20+Submetering!N20+Submetering!O20+Submetering!P20+Submetering!Q20+Submetering!R20+Submetering!S20+Submetering!T20+Submetering!U20+Submetering!V20</f>
        <v>40242.719999999739</v>
      </c>
      <c r="F20">
        <v>0.44447999999999999</v>
      </c>
      <c r="G20" s="3">
        <f>Submetering!Z20+Submetering!AA20+Submetering!AB20</f>
        <v>1089.584999999945</v>
      </c>
      <c r="H20" s="241">
        <f t="shared" si="0"/>
        <v>2.7884615384615383</v>
      </c>
      <c r="I20" s="3">
        <f>Submetering!G20</f>
        <v>516</v>
      </c>
      <c r="J20">
        <v>13.83</v>
      </c>
      <c r="K20" s="3">
        <f>Submetering!I20</f>
        <v>190.09999999997672</v>
      </c>
      <c r="L20">
        <v>1.2</v>
      </c>
      <c r="M20" s="241">
        <f>Submetering!E20</f>
        <v>158.79000000000002</v>
      </c>
      <c r="N20">
        <f>Submetering!F20</f>
        <v>319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2020</v>
      </c>
      <c r="E21" s="3">
        <f>Submetering!M21+Submetering!N21+Submetering!O21+Submetering!P21+Submetering!Q21+Submetering!R21+Submetering!S21+Submetering!T21+Submetering!U21+Submetering!V21</f>
        <v>40535.040000003763</v>
      </c>
      <c r="F21">
        <v>0.44447999999999999</v>
      </c>
      <c r="G21" s="3">
        <f>Submetering!Z21+Submetering!AA21+Submetering!AB21</f>
        <v>1086.7500000000275</v>
      </c>
      <c r="H21" s="241">
        <f t="shared" si="0"/>
        <v>2.7884615384615383</v>
      </c>
      <c r="I21" s="3">
        <f>Submetering!G21</f>
        <v>534</v>
      </c>
      <c r="J21">
        <v>13.83</v>
      </c>
      <c r="K21" s="3">
        <f>Submetering!I21</f>
        <v>198.29999999993015</v>
      </c>
      <c r="L21">
        <v>1.2</v>
      </c>
      <c r="M21" s="241">
        <f>Submetering!E21</f>
        <v>163.53</v>
      </c>
      <c r="N21">
        <f>Submetering!F21</f>
        <v>322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2020</v>
      </c>
      <c r="E22" s="3">
        <f>Submetering!M22+Submetering!N22+Submetering!O22+Submetering!P22+Submetering!Q22+Submetering!R22+Submetering!S22+Submetering!T22+Submetering!U22+Submetering!V22</f>
        <v>37709.279999996535</v>
      </c>
      <c r="F22">
        <v>0.44447999999999999</v>
      </c>
      <c r="G22" s="3">
        <f>Submetering!Z22+Submetering!AA22+Submetering!AB22</f>
        <v>1070.3069999999504</v>
      </c>
      <c r="H22" s="241">
        <f t="shared" si="0"/>
        <v>2.7884615384615383</v>
      </c>
      <c r="I22" s="3">
        <f>Submetering!G22</f>
        <v>433</v>
      </c>
      <c r="J22">
        <v>13.83</v>
      </c>
      <c r="K22" s="3">
        <f>Submetering!I22</f>
        <v>61</v>
      </c>
      <c r="L22">
        <v>1.2</v>
      </c>
      <c r="M22" s="241">
        <f>Submetering!E22</f>
        <v>163.53</v>
      </c>
      <c r="N22">
        <f>Submetering!F22</f>
        <v>305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2020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41">
        <f t="shared" si="0"/>
        <v>2.7884615384615383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41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2020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41">
        <f t="shared" si="0"/>
        <v>2.7884615384615383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41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2020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41">
        <f t="shared" si="0"/>
        <v>2.7884615384615383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41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2020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41">
        <f t="shared" si="0"/>
        <v>2.7884615384615383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41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2020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41">
        <f t="shared" si="0"/>
        <v>2.7884615384615383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41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2020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41">
        <f t="shared" si="0"/>
        <v>2.7884615384615383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41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2020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41">
        <f t="shared" si="0"/>
        <v>2.7884615384615383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41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2020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41">
        <f t="shared" si="0"/>
        <v>2.7884615384615383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41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2020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41">
        <f t="shared" si="0"/>
        <v>2.7884615384615383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41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2020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41">
        <f t="shared" si="0"/>
        <v>2.7884615384615383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41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3" sqref="E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</v>
      </c>
      <c r="D2">
        <v>2020</v>
      </c>
      <c r="E2" s="78">
        <f>237*0.97</f>
        <v>229.89</v>
      </c>
      <c r="F2" s="79">
        <f>385+104</f>
        <v>489</v>
      </c>
      <c r="G2" s="3">
        <f>'DJB Daily Readings'!C10-'DJB Daily Readings'!C9</f>
        <v>559</v>
      </c>
      <c r="H2" s="3">
        <f>'DJB Daily Readings'!F10-'DJB Daily Readings'!F9</f>
        <v>469</v>
      </c>
      <c r="I2" s="3">
        <f>'DJB Daily Readings'!K10-'DJB Daily Readings'!K9</f>
        <v>128</v>
      </c>
      <c r="J2" s="3">
        <f>'DJB Daily Readings'!K10-'DJB Daily Readings'!K9</f>
        <v>128</v>
      </c>
      <c r="K2" s="3">
        <f>'DJB Daily Readings'!O10-'DJB Daily Readings'!O9</f>
        <v>77</v>
      </c>
      <c r="L2" s="3">
        <f>'DJB Daily Readings'!R10-'DJB Daily Readings'!R9</f>
        <v>13</v>
      </c>
      <c r="M2" s="3">
        <f>'DJB Daily Readings'!U10-'DJB Daily Readings'!U9</f>
        <v>2094.9599999999627</v>
      </c>
      <c r="N2" s="3">
        <f>'DJB Daily Readings'!X10-'DJB Daily Readings'!X9</f>
        <v>4872</v>
      </c>
      <c r="O2" s="3">
        <f>'DJB Daily Readings'!AA10-'DJB Daily Readings'!AA9</f>
        <v>194.88000000081956</v>
      </c>
      <c r="P2" s="3">
        <f>'DJB Daily Readings'!AD10-'DJB Daily Readings'!AD9</f>
        <v>438.47999999858439</v>
      </c>
      <c r="Q2" s="3">
        <f>'DJB Daily Readings'!AG10-'DJB Daily Readings'!AG9</f>
        <v>8623.4400000013411</v>
      </c>
      <c r="R2" s="3">
        <f>'DJB Daily Readings'!AJ10-'DJB Daily Readings'!AJ9</f>
        <v>5992.5600000005215</v>
      </c>
      <c r="S2" s="3">
        <f>'DJB Daily Readings'!AM10-'DJB Daily Readings'!AM9</f>
        <v>4287.3600000012666</v>
      </c>
      <c r="T2" s="3">
        <f>'DJB Daily Readings'!AP10-'DJB Daily Readings'!AP9</f>
        <v>5018.160000000149</v>
      </c>
      <c r="U2" s="3">
        <f>'DJB Daily Readings'!AS10-'DJB Daily Readings'!AS9</f>
        <v>3312.9599999999627</v>
      </c>
      <c r="V2" s="3">
        <f>'DJB Daily Readings'!AV10-'DJB Daily Readings'!AV9</f>
        <v>5456.640000000596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39700</v>
      </c>
      <c r="Z2" s="3">
        <f>('DJB Daily Readings'!CK10-'DJB Daily Readings'!CK9)*1.89</f>
        <v>176.903999999956</v>
      </c>
      <c r="AA2" s="3">
        <f>('DJB Daily Readings'!CN10-'DJB Daily Readings'!CN9)*1.89</f>
        <v>207.33299999999448</v>
      </c>
      <c r="AB2" s="3">
        <f>('DJB Daily Readings'!CQ10-'DJB Daily Readings'!CQ9)*1.89</f>
        <v>667.54799999996692</v>
      </c>
      <c r="AC2" s="3">
        <f>'DJB Daily Readings'!CT10-'DJB Daily Readings'!CT9</f>
        <v>0</v>
      </c>
      <c r="AD2" s="84">
        <f>('DJB Daily Readings'!BY10-'DJB Daily Readings'!BY9)*1.89</f>
        <v>29.106000000002748</v>
      </c>
      <c r="AE2" s="84">
        <f>('DJB Daily Readings'!CA10-'DJB Daily Readings'!CA9)*1.89</f>
        <v>23.057999999994497</v>
      </c>
      <c r="AF2" s="84">
        <f>('DJB Daily Readings'!CC10-'DJB Daily Readings'!CC9)*1.89</f>
        <v>11.34</v>
      </c>
      <c r="AG2" s="84">
        <f>('DJB Daily Readings'!CE10-'DJB Daily Readings'!CE9)*1.89</f>
        <v>14.553000000001374</v>
      </c>
      <c r="AH2" s="84">
        <f>('DJB Daily Readings'!CG10-'DJB Daily Readings'!CG9)*1.89</f>
        <v>5.4810000000027497</v>
      </c>
      <c r="AI2" s="84">
        <f>('DJB Daily Readings'!CI10-'DJB Daily Readings'!CI9)*1.89</f>
        <v>34.776000000002746</v>
      </c>
      <c r="AJ2" s="81">
        <f>'DJB Daily Readings'!CY10-'DJB Daily Readings'!CY9</f>
        <v>25.900000000000091</v>
      </c>
      <c r="AK2" s="81">
        <f>'DJB Daily Readings'!CW10-'DJB Daily Readings'!CW9</f>
        <v>0</v>
      </c>
      <c r="AL2" s="82">
        <f>'DJB Daily Readings'!DC10-'DJB Daily Readings'!DC9</f>
        <v>13.30000000000291</v>
      </c>
      <c r="AM2" s="82">
        <f>'DJB Daily Readings'!DA10-'DJB Daily Readings'!DA9</f>
        <v>18.200000000000728</v>
      </c>
      <c r="AN2" s="82">
        <f>'DJB Daily Readings'!DG10-'DJB Daily Readings'!DG9</f>
        <v>8.5</v>
      </c>
      <c r="AO2" s="82">
        <f>'DJB Daily Readings'!DE10-'DJB Daily Readings'!DE9</f>
        <v>13.799999999999272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4.2999999999999545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1531.7999999998137</v>
      </c>
      <c r="AW2" s="82">
        <f>'DJB Daily Readings'!DX10-'DJB Daily Readings'!DX9</f>
        <v>1108.1000000000931</v>
      </c>
      <c r="AX2" s="82">
        <f>'DJB Daily Readings'!DZ10-'DJB Daily Readings'!DZ9</f>
        <v>4.7999999999883585</v>
      </c>
      <c r="AY2" s="82">
        <f>'DJB Daily Readings'!EB10-'DJB Daily Readings'!EB9</f>
        <v>583.79999999998836</v>
      </c>
      <c r="AZ2" s="82">
        <f>'DJB Daily Readings'!ED10-'DJB Daily Readings'!ED9</f>
        <v>145.80000000000291</v>
      </c>
      <c r="BA2" s="82">
        <f>'DJB Daily Readings'!EG10-'DJB Daily Readings'!EG9</f>
        <v>2900</v>
      </c>
      <c r="BB2" s="82">
        <f>'DJB Daily Readings'!EI10-'DJB Daily Readings'!EI9</f>
        <v>280</v>
      </c>
      <c r="BC2" s="82">
        <f>'DJB Daily Readings'!EQ10-'DJB Daily Readings'!EQ9</f>
        <v>800</v>
      </c>
      <c r="BD2" s="82">
        <f>'DJB Daily Readings'!EK10-'DJB Daily Readings'!EK9</f>
        <v>1600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37.611000000002747</v>
      </c>
      <c r="BH2" s="82">
        <f>('DJB Daily Readings'!EV10-'DJB Daily Readings'!EV9)*1.89</f>
        <v>30.806999999998624</v>
      </c>
      <c r="BI2" s="82">
        <f>('DJB Daily Readings'!EZ10-'DJB Daily Readings'!EZ9)*1.89</f>
        <v>0</v>
      </c>
      <c r="BJ2" s="82">
        <f>('DJB Daily Readings'!EX10-'DJB Daily Readings'!EX9)*1.89</f>
        <v>33.074999999999996</v>
      </c>
      <c r="BK2" s="82">
        <f>('DJB Daily Readings'!FB10-'DJB Daily Readings'!FB9)*1.89</f>
        <v>60.290999999995869</v>
      </c>
    </row>
    <row r="3" spans="1:65" x14ac:dyDescent="0.25">
      <c r="A3" t="s">
        <v>59</v>
      </c>
      <c r="B3">
        <f>B2+1</f>
        <v>2</v>
      </c>
      <c r="C3">
        <v>1</v>
      </c>
      <c r="D3">
        <v>2020</v>
      </c>
      <c r="E3" s="78">
        <f>237*0.96</f>
        <v>227.51999999999998</v>
      </c>
      <c r="F3" s="79">
        <f>382+92</f>
        <v>474</v>
      </c>
      <c r="G3" s="3">
        <f>'DJB Daily Readings'!C11-'DJB Daily Readings'!C10</f>
        <v>604</v>
      </c>
      <c r="H3" s="3">
        <f>'DJB Daily Readings'!F11-'DJB Daily Readings'!F10</f>
        <v>489</v>
      </c>
      <c r="I3" s="3">
        <f>'DJB Daily Readings'!K11-'DJB Daily Readings'!K10</f>
        <v>142.40000000002328</v>
      </c>
      <c r="J3" s="3">
        <f>'DJB Daily Readings'!K11-'DJB Daily Readings'!K10</f>
        <v>142.40000000002328</v>
      </c>
      <c r="K3" s="3">
        <f>'DJB Daily Readings'!O11-'DJB Daily Readings'!O10</f>
        <v>103</v>
      </c>
      <c r="L3" s="3">
        <f>'DJB Daily Readings'!R11-'DJB Daily Readings'!R10</f>
        <v>24</v>
      </c>
      <c r="M3" s="3">
        <f>'DJB Daily Readings'!U11-'DJB Daily Readings'!U10</f>
        <v>2143.679999999702</v>
      </c>
      <c r="N3" s="3">
        <f>'DJB Daily Readings'!X11-'DJB Daily Readings'!X10</f>
        <v>4920.7200000025332</v>
      </c>
      <c r="O3" s="3">
        <f>'DJB Daily Readings'!AA11-'DJB Daily Readings'!AA10</f>
        <v>194.88000000081956</v>
      </c>
      <c r="P3" s="3">
        <f>'DJB Daily Readings'!AD11-'DJB Daily Readings'!AD10</f>
        <v>1071.8400000017136</v>
      </c>
      <c r="Q3" s="3">
        <f>'DJB Daily Readings'!AG11-'DJB Daily Readings'!AG10</f>
        <v>9792.7200000006706</v>
      </c>
      <c r="R3" s="3">
        <f>'DJB Daily Readings'!AJ11-'DJB Daily Readings'!AJ10</f>
        <v>5992.5599999986589</v>
      </c>
      <c r="S3" s="3">
        <f>'DJB Daily Readings'!AM11-'DJB Daily Readings'!AM10</f>
        <v>4579.6799999978393</v>
      </c>
      <c r="T3" s="3">
        <f>'DJB Daily Readings'!AP11-'DJB Daily Readings'!AP10</f>
        <v>5115.5999999996275</v>
      </c>
      <c r="U3" s="3">
        <f>'DJB Daily Readings'!AS11-'DJB Daily Readings'!AS10</f>
        <v>3312.9599999999627</v>
      </c>
      <c r="V3" s="3">
        <f>'DJB Daily Readings'!AV11-'DJB Daily Readings'!AV10</f>
        <v>5602.7999999988824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51500</v>
      </c>
      <c r="Z3" s="3">
        <f>('DJB Daily Readings'!CK11-'DJB Daily Readings'!CK10)*1.89</f>
        <v>164.05200000003299</v>
      </c>
      <c r="AA3" s="3">
        <f>('DJB Daily Readings'!CN11-'DJB Daily Readings'!CN10)*1.89</f>
        <v>213.19200000000549</v>
      </c>
      <c r="AB3" s="3">
        <f>('DJB Daily Readings'!CQ11-'DJB Daily Readings'!CQ10)*1.89</f>
        <v>560.95200000003297</v>
      </c>
      <c r="AC3" s="3">
        <f>'DJB Daily Readings'!CT11-'DJB Daily Readings'!CT10</f>
        <v>126</v>
      </c>
      <c r="AD3" s="84">
        <f>('DJB Daily Readings'!BY11-'DJB Daily Readings'!BY10)*1.89</f>
        <v>32.129999999999995</v>
      </c>
      <c r="AE3" s="84">
        <f>('DJB Daily Readings'!CA11-'DJB Daily Readings'!CA10)*1.89</f>
        <v>26.459999999999997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20.79</v>
      </c>
      <c r="AI3" s="84">
        <f>('DJB Daily Readings'!CI11-'DJB Daily Readings'!CI10)*1.89</f>
        <v>49.14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15.799999999999272</v>
      </c>
      <c r="AM3" s="82">
        <f>'DJB Daily Readings'!DA11-'DJB Daily Readings'!DA10</f>
        <v>19.400000000001455</v>
      </c>
      <c r="AN3" s="82">
        <f>'DJB Daily Readings'!DG11-'DJB Daily Readings'!DG10</f>
        <v>7.3999999999978172</v>
      </c>
      <c r="AO3" s="82">
        <f>'DJB Daily Readings'!DE11-'DJB Daily Readings'!DE10</f>
        <v>15.899999999999636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11</v>
      </c>
      <c r="AS3" s="82">
        <f>'DJB Daily Readings'!DM11-'DJB Daily Readings'!DM10</f>
        <v>4</v>
      </c>
      <c r="AT3" s="82">
        <f>'DJB Daily Readings'!DQ11-'DJB Daily Readings'!DQ10</f>
        <v>10</v>
      </c>
      <c r="AU3" s="82">
        <f>'DJB Daily Readings'!DT11-'DJB Daily Readings'!DT10</f>
        <v>1550.1000000000931</v>
      </c>
      <c r="AW3" s="82">
        <f>'DJB Daily Readings'!DX11-'DJB Daily Readings'!DX10</f>
        <v>1117.6999999999534</v>
      </c>
      <c r="AX3" s="82">
        <f>'DJB Daily Readings'!DZ11-'DJB Daily Readings'!DZ10</f>
        <v>4.5</v>
      </c>
      <c r="AY3" s="82">
        <f>'DJB Daily Readings'!EB11-'DJB Daily Readings'!EB10</f>
        <v>669.70000000001164</v>
      </c>
      <c r="AZ3" s="82">
        <f>'DJB Daily Readings'!ED11-'DJB Daily Readings'!ED10</f>
        <v>150.19999999999709</v>
      </c>
      <c r="BA3" s="82">
        <f>'DJB Daily Readings'!EG11-'DJB Daily Readings'!EG10</f>
        <v>3500</v>
      </c>
      <c r="BB3" s="82">
        <f>'DJB Daily Readings'!EI11-'DJB Daily Readings'!EI10</f>
        <v>310</v>
      </c>
      <c r="BC3" s="82">
        <f>'DJB Daily Readings'!EQ11-'DJB Daily Readings'!EQ10</f>
        <v>2200</v>
      </c>
      <c r="BD3" s="82">
        <f>'DJB Daily Readings'!EK11-'DJB Daily Readings'!EK10</f>
        <v>1900</v>
      </c>
      <c r="BE3" s="82">
        <f>'DJB Daily Readings'!EM11-'DJB Daily Readings'!EM10</f>
        <v>0</v>
      </c>
      <c r="BF3" s="82">
        <f>'DJB Daily Readings'!EO11-'DJB Daily Readings'!EO10</f>
        <v>140</v>
      </c>
      <c r="BG3" s="82">
        <f>('DJB Daily Readings'!ET11-'DJB Daily Readings'!ET10)*1.89</f>
        <v>36.854999999999997</v>
      </c>
      <c r="BH3" s="82">
        <f>('DJB Daily Readings'!EV11-'DJB Daily Readings'!EV10)*1.89</f>
        <v>31.751999999998624</v>
      </c>
      <c r="BI3" s="82">
        <f>('DJB Daily Readings'!EZ11-'DJB Daily Readings'!EZ10)*1.89</f>
        <v>0</v>
      </c>
      <c r="BJ3" s="82">
        <f>('DJB Daily Readings'!EX11-'DJB Daily Readings'!EX10)*1.89</f>
        <v>64.827000000005498</v>
      </c>
      <c r="BK3" s="82">
        <f>('DJB Daily Readings'!FB11-'DJB Daily Readings'!FB10)*1.89</f>
        <v>52.731000000002744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2020</v>
      </c>
      <c r="E4" s="78">
        <f>237*0.92</f>
        <v>218.04000000000002</v>
      </c>
      <c r="F4" s="79">
        <v>450</v>
      </c>
      <c r="G4" s="3">
        <f>'DJB Daily Readings'!C12-'DJB Daily Readings'!C11</f>
        <v>620</v>
      </c>
      <c r="H4" s="3">
        <f>'DJB Daily Readings'!F12-'DJB Daily Readings'!F11</f>
        <v>536</v>
      </c>
      <c r="I4" s="3">
        <f>'DJB Daily Readings'!K12-'DJB Daily Readings'!K11</f>
        <v>131.09999999997672</v>
      </c>
      <c r="J4" s="3">
        <f>'DJB Daily Readings'!K12-'DJB Daily Readings'!K11</f>
        <v>131.09999999997672</v>
      </c>
      <c r="K4" s="3">
        <f>'DJB Daily Readings'!O12-'DJB Daily Readings'!O11</f>
        <v>84</v>
      </c>
      <c r="L4" s="3">
        <f>'DJB Daily Readings'!R12-'DJB Daily Readings'!R11</f>
        <v>12</v>
      </c>
      <c r="M4" s="3">
        <f>'DJB Daily Readings'!U12-'DJB Daily Readings'!U11</f>
        <v>2289.8400000007823</v>
      </c>
      <c r="N4" s="3">
        <f>'DJB Daily Readings'!X12-'DJB Daily Readings'!X11</f>
        <v>5066.8799999989569</v>
      </c>
      <c r="O4" s="3">
        <f>'DJB Daily Readings'!AA12-'DJB Daily Readings'!AA11</f>
        <v>146.16000000014901</v>
      </c>
      <c r="P4" s="3">
        <f>'DJB Daily Readings'!AD12-'DJB Daily Readings'!AD11</f>
        <v>1218</v>
      </c>
      <c r="Q4" s="3">
        <f>'DJB Daily Readings'!AG12-'DJB Daily Readings'!AG11</f>
        <v>9744</v>
      </c>
      <c r="R4" s="3">
        <f>'DJB Daily Readings'!AJ12-'DJB Daily Readings'!AJ11</f>
        <v>6333.6000000014901</v>
      </c>
      <c r="S4" s="3">
        <f>'DJB Daily Readings'!AM12-'DJB Daily Readings'!AM11</f>
        <v>4725.839999999851</v>
      </c>
      <c r="T4" s="3">
        <f>'DJB Daily Readings'!AP12-'DJB Daily Readings'!AP11</f>
        <v>5407.9200000017881</v>
      </c>
      <c r="U4" s="3">
        <f>'DJB Daily Readings'!AS12-'DJB Daily Readings'!AS11</f>
        <v>3361.6800000006333</v>
      </c>
      <c r="V4" s="3">
        <f>'DJB Daily Readings'!AV12-'DJB Daily Readings'!AV11</f>
        <v>5602.8000000007451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44800</v>
      </c>
      <c r="Z4" s="3">
        <f>('DJB Daily Readings'!CK12-'DJB Daily Readings'!CK11)*1.89</f>
        <v>162.54</v>
      </c>
      <c r="AA4" s="3">
        <f>('DJB Daily Readings'!CN12-'DJB Daily Readings'!CN11)*1.89</f>
        <v>205.25400000001099</v>
      </c>
      <c r="AB4" s="3">
        <f>('DJB Daily Readings'!CQ12-'DJB Daily Readings'!CQ11)*1.89</f>
        <v>571.06349999998895</v>
      </c>
      <c r="AC4" s="3">
        <f>'DJB Daily Readings'!CT12-'DJB Daily Readings'!CT11</f>
        <v>139</v>
      </c>
      <c r="AD4" s="84">
        <f>('DJB Daily Readings'!BY12-'DJB Daily Readings'!BY11)*1.89</f>
        <v>43.47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14.099999999999909</v>
      </c>
      <c r="AK4" s="81">
        <f>'DJB Daily Readings'!CW12-'DJB Daily Readings'!CW11</f>
        <v>2</v>
      </c>
      <c r="AL4" s="82">
        <f>'DJB Daily Readings'!DC12-'DJB Daily Readings'!DC11</f>
        <v>17.399999999997817</v>
      </c>
      <c r="AM4" s="82">
        <f>'DJB Daily Readings'!DA12-'DJB Daily Readings'!DA11</f>
        <v>20.399999999997817</v>
      </c>
      <c r="AN4" s="82">
        <f>'DJB Daily Readings'!DG12-'DJB Daily Readings'!DG11</f>
        <v>7.2000000000007276</v>
      </c>
      <c r="AO4" s="82">
        <f>'DJB Daily Readings'!DE12-'DJB Daily Readings'!DE11</f>
        <v>16.200000000000728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9</v>
      </c>
      <c r="AS4" s="82">
        <f>'DJB Daily Readings'!DM12-'DJB Daily Readings'!DM11</f>
        <v>4</v>
      </c>
      <c r="AT4" s="82">
        <f>'DJB Daily Readings'!DQ12-'DJB Daily Readings'!DQ11</f>
        <v>9</v>
      </c>
      <c r="AU4" s="82">
        <f>'DJB Daily Readings'!DT12-'DJB Daily Readings'!DT11</f>
        <v>1555.1000000000931</v>
      </c>
      <c r="AW4" s="82">
        <f>'DJB Daily Readings'!DX12-'DJB Daily Readings'!DX11</f>
        <v>1082.9000000001397</v>
      </c>
      <c r="AX4" s="82">
        <f>'DJB Daily Readings'!DZ12-'DJB Daily Readings'!DZ11</f>
        <v>4.2000000000116415</v>
      </c>
      <c r="AY4" s="82">
        <f>'DJB Daily Readings'!EB12-'DJB Daily Readings'!EB11</f>
        <v>634.5</v>
      </c>
      <c r="AZ4" s="82">
        <f>'DJB Daily Readings'!ED12-'DJB Daily Readings'!ED11</f>
        <v>149.59999999999127</v>
      </c>
      <c r="BA4" s="82">
        <f>'DJB Daily Readings'!EG12-'DJB Daily Readings'!EG11</f>
        <v>3500</v>
      </c>
      <c r="BB4" s="82">
        <f>'DJB Daily Readings'!EI12-'DJB Daily Readings'!EI11</f>
        <v>210</v>
      </c>
      <c r="BC4" s="82">
        <f>'DJB Daily Readings'!EQ12-'DJB Daily Readings'!EQ11</f>
        <v>1900</v>
      </c>
      <c r="BD4" s="82">
        <f>'DJB Daily Readings'!EK12-'DJB Daily Readings'!EK11</f>
        <v>1900</v>
      </c>
      <c r="BE4" s="82">
        <f>'DJB Daily Readings'!EM12-'DJB Daily Readings'!EM11</f>
        <v>0</v>
      </c>
      <c r="BF4" s="82">
        <f>'DJB Daily Readings'!EO12-'DJB Daily Readings'!EO11</f>
        <v>140</v>
      </c>
      <c r="BG4" s="82">
        <f>('DJB Daily Readings'!ET12-'DJB Daily Readings'!ET11)*1.89</f>
        <v>37.799999999999997</v>
      </c>
      <c r="BH4" s="82">
        <f>('DJB Daily Readings'!EV12-'DJB Daily Readings'!EV11)*1.89</f>
        <v>29.862000000005498</v>
      </c>
      <c r="BI4" s="82">
        <f>('DJB Daily Readings'!EZ12-'DJB Daily Readings'!EZ11)*1.89</f>
        <v>0</v>
      </c>
      <c r="BJ4" s="82">
        <f>('DJB Daily Readings'!EX12-'DJB Daily Readings'!EX11)*1.89</f>
        <v>51.597000000005501</v>
      </c>
      <c r="BK4" s="82">
        <f>('DJB Daily Readings'!FB12-'DJB Daily Readings'!FB11)*1.89</f>
        <v>52.163999999997245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2020</v>
      </c>
      <c r="E5" s="78">
        <f>237*0.95</f>
        <v>225.14999999999998</v>
      </c>
      <c r="F5" s="79">
        <v>460</v>
      </c>
      <c r="G5" s="3">
        <f>'DJB Daily Readings'!C13-'DJB Daily Readings'!C12</f>
        <v>617</v>
      </c>
      <c r="H5" s="3">
        <f>'DJB Daily Readings'!F13-'DJB Daily Readings'!F12</f>
        <v>627</v>
      </c>
      <c r="I5" s="3">
        <f>'DJB Daily Readings'!K13-'DJB Daily Readings'!K12</f>
        <v>155.5</v>
      </c>
      <c r="J5" s="3">
        <f>'DJB Daily Readings'!K13-'DJB Daily Readings'!K12</f>
        <v>155.5</v>
      </c>
      <c r="K5" s="3">
        <f>'DJB Daily Readings'!O13-'DJB Daily Readings'!O12</f>
        <v>102</v>
      </c>
      <c r="L5" s="3">
        <f>'DJB Daily Readings'!R13-'DJB Daily Readings'!R12</f>
        <v>22</v>
      </c>
      <c r="M5" s="3">
        <f>'DJB Daily Readings'!U13-'DJB Daily Readings'!U12</f>
        <v>2484.7199999997392</v>
      </c>
      <c r="N5" s="3">
        <f>'DJB Daily Readings'!X13-'DJB Daily Readings'!X12</f>
        <v>4920.7200000006706</v>
      </c>
      <c r="O5" s="3">
        <f>'DJB Daily Readings'!AA13-'DJB Daily Readings'!AA12</f>
        <v>6284.8799999989569</v>
      </c>
      <c r="P5" s="3">
        <f>'DJB Daily Readings'!AD13-'DJB Daily Readings'!AD12</f>
        <v>389.75999999977648</v>
      </c>
      <c r="Q5" s="3">
        <f>'DJB Daily Readings'!AG13-'DJB Daily Readings'!AG12</f>
        <v>3264.2399999983609</v>
      </c>
      <c r="R5" s="3">
        <f>'DJB Daily Readings'!AJ13-'DJB Daily Readings'!AJ12</f>
        <v>6284.8800000008196</v>
      </c>
      <c r="S5" s="3">
        <f>'DJB Daily Readings'!AM13-'DJB Daily Readings'!AM12</f>
        <v>4384.8000000007451</v>
      </c>
      <c r="T5" s="3">
        <f>'DJB Daily Readings'!AP13-'DJB Daily Readings'!AP12</f>
        <v>5066.8799999989569</v>
      </c>
      <c r="U5" s="3">
        <f>'DJB Daily Readings'!AS13-'DJB Daily Readings'!AS12</f>
        <v>3215.519999999553</v>
      </c>
      <c r="V5" s="3">
        <f>'DJB Daily Readings'!AV13-'DJB Daily Readings'!AV12</f>
        <v>5456.6399999987334</v>
      </c>
      <c r="W5" s="3">
        <f>'DJB Daily Readings'!AZ13-'DJB Daily Readings'!AZ12</f>
        <v>29300</v>
      </c>
      <c r="X5" s="3">
        <f>'DJB Daily Readings'!BC13-'DJB Daily Readings'!BC12</f>
        <v>0</v>
      </c>
      <c r="Y5" s="3">
        <f>'DJB Daily Readings'!BF13-'DJB Daily Readings'!BF12</f>
        <v>17400</v>
      </c>
      <c r="Z5" s="3">
        <f>('DJB Daily Readings'!CK13-'DJB Daily Readings'!CK12)*1.89</f>
        <v>167.64299999996697</v>
      </c>
      <c r="AA5" s="3">
        <f>('DJB Daily Readings'!CN13-'DJB Daily Readings'!CN12)*1.89</f>
        <v>204.49799999999448</v>
      </c>
      <c r="AB5" s="3">
        <f>('DJB Daily Readings'!CQ13-'DJB Daily Readings'!CQ12)*1.89</f>
        <v>602.62650000001099</v>
      </c>
      <c r="AC5" s="3">
        <f>'DJB Daily Readings'!CT13-'DJB Daily Readings'!CT12</f>
        <v>150</v>
      </c>
      <c r="AD5" s="84">
        <f>('DJB Daily Readings'!BY13-'DJB Daily Readings'!BY12)*1.89</f>
        <v>41.012999999994499</v>
      </c>
      <c r="AE5" s="84">
        <f>('DJB Daily Readings'!CA13-'DJB Daily Readings'!CA12)*1.89</f>
        <v>34.776000000002746</v>
      </c>
      <c r="AF5" s="84">
        <f>('DJB Daily Readings'!CC13-'DJB Daily Readings'!CC12)*1.89</f>
        <v>15.12</v>
      </c>
      <c r="AG5" s="84">
        <f>('DJB Daily Readings'!CE13-'DJB Daily Readings'!CE12)*1.89</f>
        <v>20.79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13</v>
      </c>
      <c r="AM5" s="82">
        <f>'DJB Daily Readings'!DA13-'DJB Daily Readings'!DA12</f>
        <v>18.400000000001455</v>
      </c>
      <c r="AN5" s="82">
        <f>'DJB Daily Readings'!DG13-'DJB Daily Readings'!DG12</f>
        <v>6.6000000000021828</v>
      </c>
      <c r="AO5" s="82">
        <f>'DJB Daily Readings'!DE13-'DJB Daily Readings'!DE12</f>
        <v>16.5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6</v>
      </c>
      <c r="AS5" s="82">
        <f>'DJB Daily Readings'!DM13-'DJB Daily Readings'!DM12</f>
        <v>4</v>
      </c>
      <c r="AT5" s="82">
        <f>'DJB Daily Readings'!DQ13-'DJB Daily Readings'!DQ12</f>
        <v>10</v>
      </c>
      <c r="AU5" s="82">
        <f>'DJB Daily Readings'!DT13-'DJB Daily Readings'!DT12</f>
        <v>1521.2999999998137</v>
      </c>
      <c r="AW5" s="82">
        <f>'DJB Daily Readings'!DX13-'DJB Daily Readings'!DX12</f>
        <v>1098.5999999998603</v>
      </c>
      <c r="AX5" s="82">
        <f>'DJB Daily Readings'!DZ13-'DJB Daily Readings'!DZ12</f>
        <v>4.2000000000116415</v>
      </c>
      <c r="AY5" s="82">
        <f>'DJB Daily Readings'!EB13-'DJB Daily Readings'!EB12</f>
        <v>576.10000000003492</v>
      </c>
      <c r="AZ5" s="82">
        <f>'DJB Daily Readings'!ED13-'DJB Daily Readings'!ED12</f>
        <v>145.20000000001164</v>
      </c>
      <c r="BA5" s="82">
        <f>'DJB Daily Readings'!EG13-'DJB Daily Readings'!EG12</f>
        <v>2700</v>
      </c>
      <c r="BB5" s="82">
        <f>'DJB Daily Readings'!EI13-'DJB Daily Readings'!EI12</f>
        <v>400</v>
      </c>
      <c r="BC5" s="82">
        <f>'DJB Daily Readings'!EQ13-'DJB Daily Readings'!EQ12</f>
        <v>1500</v>
      </c>
      <c r="BD5" s="82">
        <f>'DJB Daily Readings'!EK13-'DJB Daily Readings'!EK12</f>
        <v>1600</v>
      </c>
      <c r="BE5" s="82">
        <f>'DJB Daily Readings'!EM13-'DJB Daily Readings'!EM12</f>
        <v>100</v>
      </c>
      <c r="BF5" s="82">
        <f>'DJB Daily Readings'!EO13-'DJB Daily Readings'!EO12</f>
        <v>150</v>
      </c>
      <c r="BG5" s="82">
        <f>('DJB Daily Readings'!ET13-'DJB Daily Readings'!ET12)*1.89</f>
        <v>33.830999999995875</v>
      </c>
      <c r="BH5" s="82">
        <f>('DJB Daily Readings'!EV13-'DJB Daily Readings'!EV12)*1.89</f>
        <v>30.806999999998624</v>
      </c>
      <c r="BI5" s="82">
        <f>('DJB Daily Readings'!EZ13-'DJB Daily Readings'!EZ12)*1.89</f>
        <v>0</v>
      </c>
      <c r="BJ5" s="82">
        <f>('DJB Daily Readings'!EX13-'DJB Daily Readings'!EX12)*1.89</f>
        <v>63.314999999999998</v>
      </c>
      <c r="BK5" s="82">
        <f>('DJB Daily Readings'!FB13-'DJB Daily Readings'!FB12)*1.89</f>
        <v>57.078000000001374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2020</v>
      </c>
      <c r="E6" s="78">
        <f>237*0.89</f>
        <v>210.93</v>
      </c>
      <c r="F6" s="79">
        <f>344+67</f>
        <v>411</v>
      </c>
      <c r="G6" s="3">
        <f>'DJB Daily Readings'!C14-'DJB Daily Readings'!C13</f>
        <v>588</v>
      </c>
      <c r="H6" s="3">
        <f>'DJB Daily Readings'!F14-'DJB Daily Readings'!F13</f>
        <v>321</v>
      </c>
      <c r="I6" s="3">
        <f>'DJB Daily Readings'!K14-'DJB Daily Readings'!K13</f>
        <v>141.69999999995343</v>
      </c>
      <c r="J6" s="3">
        <f>'DJB Daily Readings'!K14-'DJB Daily Readings'!K13</f>
        <v>141.69999999995343</v>
      </c>
      <c r="K6" s="3">
        <f>'DJB Daily Readings'!O14-'DJB Daily Readings'!O13</f>
        <v>102</v>
      </c>
      <c r="L6" s="3">
        <f>'DJB Daily Readings'!R14-'DJB Daily Readings'!R13</f>
        <v>16</v>
      </c>
      <c r="M6" s="3">
        <f>'DJB Daily Readings'!U14-'DJB Daily Readings'!U13</f>
        <v>2630.8799999998882</v>
      </c>
      <c r="N6" s="3">
        <f>'DJB Daily Readings'!X14-'DJB Daily Readings'!X13</f>
        <v>4920.7199999988079</v>
      </c>
      <c r="O6" s="3">
        <f>'DJB Daily Readings'!AA14-'DJB Daily Readings'!AA13</f>
        <v>9305.519999999553</v>
      </c>
      <c r="P6" s="3">
        <f>'DJB Daily Readings'!AD14-'DJB Daily Readings'!AD13</f>
        <v>48.720000000670552</v>
      </c>
      <c r="Q6" s="3">
        <f>'DJB Daily Readings'!AG14-'DJB Daily Readings'!AG13</f>
        <v>243.59999999962747</v>
      </c>
      <c r="R6" s="3">
        <f>'DJB Daily Readings'!AJ14-'DJB Daily Readings'!AJ13</f>
        <v>6479.7599999997765</v>
      </c>
      <c r="S6" s="3">
        <f>'DJB Daily Readings'!AM14-'DJB Daily Readings'!AM13</f>
        <v>4287.359999999404</v>
      </c>
      <c r="T6" s="3">
        <f>'DJB Daily Readings'!AP14-'DJB Daily Readings'!AP13</f>
        <v>4920.7200000006706</v>
      </c>
      <c r="U6" s="3">
        <f>'DJB Daily Readings'!AS14-'DJB Daily Readings'!AS13</f>
        <v>3118.0800000000745</v>
      </c>
      <c r="V6" s="3">
        <f>'DJB Daily Readings'!AV14-'DJB Daily Readings'!AV13</f>
        <v>5407.9199999999255</v>
      </c>
      <c r="W6" s="3">
        <f>'DJB Daily Readings'!AZ14-'DJB Daily Readings'!AZ13</f>
        <v>48700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161.97300000002198</v>
      </c>
      <c r="AA6" s="3">
        <f>('DJB Daily Readings'!CN14-'DJB Daily Readings'!CN13)*1.89</f>
        <v>243.99899999998348</v>
      </c>
      <c r="AB6" s="3">
        <f>('DJB Daily Readings'!CQ14-'DJB Daily Readings'!CQ13)*1.89</f>
        <v>619.35299999996698</v>
      </c>
      <c r="AC6" s="3">
        <f>'DJB Daily Readings'!CT14-'DJB Daily Readings'!CT13</f>
        <v>142</v>
      </c>
      <c r="AD6" s="84">
        <f>('DJB Daily Readings'!BY14-'DJB Daily Readings'!BY13)*1.89</f>
        <v>36.477000000005496</v>
      </c>
      <c r="AE6" s="84">
        <f>('DJB Daily Readings'!CA14-'DJB Daily Readings'!CA13)*1.89</f>
        <v>29.483999999997248</v>
      </c>
      <c r="AF6" s="84">
        <f>('DJB Daily Readings'!CC14-'DJB Daily Readings'!CC13)*1.89</f>
        <v>13.229999999999999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45.36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12.900000000001455</v>
      </c>
      <c r="AM6" s="82">
        <f>'DJB Daily Readings'!DA14-'DJB Daily Readings'!DA13</f>
        <v>18.200000000000728</v>
      </c>
      <c r="AN6" s="82">
        <f>'DJB Daily Readings'!DG14-'DJB Daily Readings'!DG13</f>
        <v>6.6999999999970896</v>
      </c>
      <c r="AO6" s="82">
        <f>'DJB Daily Readings'!DE14-'DJB Daily Readings'!DE13</f>
        <v>12.899999999999636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6</v>
      </c>
      <c r="AT6" s="82">
        <f>'DJB Daily Readings'!DQ14-'DJB Daily Readings'!DQ13</f>
        <v>10</v>
      </c>
      <c r="AU6" s="82">
        <f>'DJB Daily Readings'!DT14-'DJB Daily Readings'!DT13</f>
        <v>1504.3000000002794</v>
      </c>
      <c r="AW6" s="82">
        <f>'DJB Daily Readings'!DX14-'DJB Daily Readings'!DX13</f>
        <v>1108.1000000000931</v>
      </c>
      <c r="AX6" s="82">
        <f>'DJB Daily Readings'!DZ14-'DJB Daily Readings'!DZ13</f>
        <v>3.8999999999941792</v>
      </c>
      <c r="AY6" s="82">
        <f>'DJB Daily Readings'!EB14-'DJB Daily Readings'!EB13</f>
        <v>563.09999999997672</v>
      </c>
      <c r="AZ6" s="82">
        <f>'DJB Daily Readings'!ED14-'DJB Daily Readings'!ED13</f>
        <v>142.29999999998836</v>
      </c>
      <c r="BA6" s="82">
        <f>'DJB Daily Readings'!EG14-'DJB Daily Readings'!EG13</f>
        <v>2800</v>
      </c>
      <c r="BB6" s="82">
        <f>'DJB Daily Readings'!EI14-'DJB Daily Readings'!EI13</f>
        <v>290</v>
      </c>
      <c r="BC6" s="82">
        <f>'DJB Daily Readings'!EQ14-'DJB Daily Readings'!EQ13</f>
        <v>1400</v>
      </c>
      <c r="BD6" s="82">
        <f>'DJB Daily Readings'!EK14-'DJB Daily Readings'!EK13</f>
        <v>1900</v>
      </c>
      <c r="BE6" s="82">
        <f>'DJB Daily Readings'!EM14-'DJB Daily Readings'!EM13</f>
        <v>0</v>
      </c>
      <c r="BF6" s="82">
        <f>'DJB Daily Readings'!EO14-'DJB Daily Readings'!EO13</f>
        <v>150</v>
      </c>
      <c r="BG6" s="82">
        <f>('DJB Daily Readings'!ET14-'DJB Daily Readings'!ET13)*1.89</f>
        <v>34.209000000004124</v>
      </c>
      <c r="BH6" s="82">
        <f>('DJB Daily Readings'!EV14-'DJB Daily Readings'!EV13)*1.89</f>
        <v>28.728000000001373</v>
      </c>
      <c r="BI6" s="82">
        <f>('DJB Daily Readings'!EZ14-'DJB Daily Readings'!EZ13)*1.89</f>
        <v>0</v>
      </c>
      <c r="BJ6" s="82">
        <f>('DJB Daily Readings'!EX14-'DJB Daily Readings'!EX13)*1.89</f>
        <v>60.101999999991747</v>
      </c>
      <c r="BK6" s="82">
        <f>('DJB Daily Readings'!FB14-'DJB Daily Readings'!FB13)*1.89</f>
        <v>46.116000000002749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2020</v>
      </c>
      <c r="E7" s="79">
        <v>191.97</v>
      </c>
      <c r="F7" s="79">
        <f>327+67</f>
        <v>394</v>
      </c>
      <c r="G7" s="3">
        <f>'DJB Daily Readings'!C15-'DJB Daily Readings'!C14</f>
        <v>553</v>
      </c>
      <c r="H7" s="3">
        <f>'DJB Daily Readings'!F15-'DJB Daily Readings'!F14</f>
        <v>469</v>
      </c>
      <c r="I7" s="3">
        <f>'DJB Daily Readings'!K15-'DJB Daily Readings'!K14</f>
        <v>156.40000000002328</v>
      </c>
      <c r="J7" s="3">
        <f>'DJB Daily Readings'!K15-'DJB Daily Readings'!K14</f>
        <v>156.40000000002328</v>
      </c>
      <c r="K7" s="3">
        <f>'DJB Daily Readings'!O15-'DJB Daily Readings'!O14</f>
        <v>58</v>
      </c>
      <c r="L7" s="3">
        <f>'DJB Daily Readings'!R15-'DJB Daily Readings'!R14</f>
        <v>0</v>
      </c>
      <c r="M7" s="3">
        <f>'DJB Daily Readings'!U15-'DJB Daily Readings'!U14</f>
        <v>2484.7199999997392</v>
      </c>
      <c r="N7" s="3">
        <f>'DJB Daily Readings'!X15-'DJB Daily Readings'!X14</f>
        <v>5018.160000000149</v>
      </c>
      <c r="O7" s="3">
        <f>'DJB Daily Readings'!AA15-'DJB Daily Readings'!AA14</f>
        <v>7551.6000000014901</v>
      </c>
      <c r="P7" s="3">
        <f>'DJB Daily Readings'!AD15-'DJB Daily Readings'!AD14</f>
        <v>0</v>
      </c>
      <c r="Q7" s="3">
        <f>'DJB Daily Readings'!AG15-'DJB Daily Readings'!AG14</f>
        <v>0</v>
      </c>
      <c r="R7" s="3">
        <f>'DJB Daily Readings'!AJ15-'DJB Daily Readings'!AJ14</f>
        <v>6674.6399999987334</v>
      </c>
      <c r="S7" s="3">
        <f>'DJB Daily Readings'!AM15-'DJB Daily Readings'!AM14</f>
        <v>4287.3600000012666</v>
      </c>
      <c r="T7" s="3">
        <f>'DJB Daily Readings'!AP15-'DJB Daily Readings'!AP14</f>
        <v>4872</v>
      </c>
      <c r="U7" s="3">
        <f>'DJB Daily Readings'!AS15-'DJB Daily Readings'!AS14</f>
        <v>3020.6399999987334</v>
      </c>
      <c r="V7" s="3">
        <f>'DJB Daily Readings'!AV15-'DJB Daily Readings'!AV14</f>
        <v>5407.9199999999255</v>
      </c>
      <c r="W7" s="3">
        <f>'DJB Daily Readings'!AZ15-'DJB Daily Readings'!AZ14</f>
        <v>37300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169.155</v>
      </c>
      <c r="AA7" s="3">
        <f>('DJB Daily Readings'!CN15-'DJB Daily Readings'!CN14)*1.89</f>
        <v>212.43600000001649</v>
      </c>
      <c r="AB7" s="3">
        <f>('DJB Daily Readings'!CQ15-'DJB Daily Readings'!CQ14)*1.89</f>
        <v>702.89099999998894</v>
      </c>
      <c r="AC7" s="3">
        <f>'DJB Daily Readings'!CT15-'DJB Daily Readings'!CT14</f>
        <v>137</v>
      </c>
      <c r="AD7" s="84">
        <f>('DJB Daily Readings'!BY15-'DJB Daily Readings'!BY14)*1.89</f>
        <v>37.799999999999997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18.899999999999999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39.69</v>
      </c>
      <c r="AJ7" s="81">
        <f>'DJB Daily Readings'!CY15-'DJB Daily Readings'!CY14</f>
        <v>11.400000000000091</v>
      </c>
      <c r="AK7" s="81">
        <f>'DJB Daily Readings'!CW15-'DJB Daily Readings'!CW14</f>
        <v>1.8000000000000114</v>
      </c>
      <c r="AL7" s="82">
        <f>'DJB Daily Readings'!DC15-'DJB Daily Readings'!DC14</f>
        <v>13.299999999999272</v>
      </c>
      <c r="AM7" s="82">
        <f>'DJB Daily Readings'!DA15-'DJB Daily Readings'!DA14</f>
        <v>14.599999999998545</v>
      </c>
      <c r="AN7" s="82">
        <f>'DJB Daily Readings'!DG15-'DJB Daily Readings'!DG14</f>
        <v>7.2000000000007276</v>
      </c>
      <c r="AO7" s="82">
        <f>'DJB Daily Readings'!DE15-'DJB Daily Readings'!DE14</f>
        <v>13.299999999999272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4</v>
      </c>
      <c r="AS7" s="82">
        <f>'DJB Daily Readings'!DM15-'DJB Daily Readings'!DM14</f>
        <v>6</v>
      </c>
      <c r="AT7" s="82">
        <f>'DJB Daily Readings'!DQ15-'DJB Daily Readings'!DQ14</f>
        <v>9</v>
      </c>
      <c r="AU7" s="82">
        <f>'DJB Daily Readings'!DT15-'DJB Daily Readings'!DT14</f>
        <v>1463.7999999998137</v>
      </c>
      <c r="AW7" s="82">
        <f>'DJB Daily Readings'!DX15-'DJB Daily Readings'!DX14</f>
        <v>1112.3999999999069</v>
      </c>
      <c r="AX7" s="82">
        <f>'DJB Daily Readings'!DZ15-'DJB Daily Readings'!DZ14</f>
        <v>4.6000000000058208</v>
      </c>
      <c r="AY7" s="82">
        <f>'DJB Daily Readings'!EB15-'DJB Daily Readings'!EB14</f>
        <v>587.29999999998836</v>
      </c>
      <c r="AZ7" s="82">
        <f>'DJB Daily Readings'!ED15-'DJB Daily Readings'!ED14</f>
        <v>146.70000000001164</v>
      </c>
      <c r="BA7" s="82">
        <f>'DJB Daily Readings'!EG15-'DJB Daily Readings'!EG14</f>
        <v>2100</v>
      </c>
      <c r="BB7" s="82">
        <f>'DJB Daily Readings'!EI15-'DJB Daily Readings'!EI14</f>
        <v>300</v>
      </c>
      <c r="BC7" s="82">
        <f>'DJB Daily Readings'!EQ15-'DJB Daily Readings'!EQ14</f>
        <v>1000</v>
      </c>
      <c r="BD7" s="82">
        <f>'DJB Daily Readings'!EK15-'DJB Daily Readings'!EK14</f>
        <v>1500</v>
      </c>
      <c r="BE7" s="82">
        <f>'DJB Daily Readings'!EM15-'DJB Daily Readings'!EM14</f>
        <v>0</v>
      </c>
      <c r="BF7" s="82">
        <f>'DJB Daily Readings'!EO15-'DJB Daily Readings'!EO14</f>
        <v>140</v>
      </c>
      <c r="BG7" s="82">
        <f>('DJB Daily Readings'!ET15-'DJB Daily Readings'!ET14)*1.89</f>
        <v>34.398000000001375</v>
      </c>
      <c r="BH7" s="82">
        <f>('DJB Daily Readings'!EV15-'DJB Daily Readings'!EV14)*1.89</f>
        <v>30.617999999994499</v>
      </c>
      <c r="BI7" s="82">
        <f>('DJB Daily Readings'!EZ15-'DJB Daily Readings'!EZ14)*1.89</f>
        <v>0</v>
      </c>
      <c r="BJ7" s="82">
        <f>('DJB Daily Readings'!EX15-'DJB Daily Readings'!EX14)*1.89</f>
        <v>62.181000000002747</v>
      </c>
      <c r="BK7" s="82">
        <f>('DJB Daily Readings'!FB15-'DJB Daily Readings'!FB14)*1.89</f>
        <v>62.558999999997248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2020</v>
      </c>
      <c r="E8" s="79">
        <v>187.23000000000002</v>
      </c>
      <c r="F8" s="79">
        <f>303+65</f>
        <v>368</v>
      </c>
      <c r="G8" s="3">
        <f>'DJB Daily Readings'!C16-'DJB Daily Readings'!C15</f>
        <v>519</v>
      </c>
      <c r="H8" s="3">
        <f>'DJB Daily Readings'!F16-'DJB Daily Readings'!F15</f>
        <v>432</v>
      </c>
      <c r="I8" s="3">
        <f>'DJB Daily Readings'!K16-'DJB Daily Readings'!K15</f>
        <v>136.40000000002328</v>
      </c>
      <c r="J8" s="3">
        <f>'DJB Daily Readings'!K16-'DJB Daily Readings'!K15</f>
        <v>136.40000000002328</v>
      </c>
      <c r="K8" s="3">
        <f>'DJB Daily Readings'!O16-'DJB Daily Readings'!O15</f>
        <v>78</v>
      </c>
      <c r="L8" s="3">
        <f>'DJB Daily Readings'!R16-'DJB Daily Readings'!R15</f>
        <v>13</v>
      </c>
      <c r="M8" s="3">
        <f>'DJB Daily Readings'!U16-'DJB Daily Readings'!U15</f>
        <v>2436</v>
      </c>
      <c r="N8" s="3">
        <f>'DJB Daily Readings'!X16-'DJB Daily Readings'!X15</f>
        <v>4920.7200000006706</v>
      </c>
      <c r="O8" s="3">
        <f>'DJB Daily Readings'!AA16-'DJB Daily Readings'!AA15</f>
        <v>7210.5599999986589</v>
      </c>
      <c r="P8" s="3">
        <f>'DJB Daily Readings'!AD16-'DJB Daily Readings'!AD15</f>
        <v>194.87999999895692</v>
      </c>
      <c r="Q8" s="3">
        <f>'DJB Daily Readings'!AG16-'DJB Daily Readings'!AG15</f>
        <v>0</v>
      </c>
      <c r="R8" s="3">
        <f>'DJB Daily Readings'!AJ16-'DJB Daily Readings'!AJ15</f>
        <v>6528.480000000447</v>
      </c>
      <c r="S8" s="3">
        <f>'DJB Daily Readings'!AM16-'DJB Daily Readings'!AM15</f>
        <v>4238.6399999987334</v>
      </c>
      <c r="T8" s="3">
        <f>'DJB Daily Readings'!AP16-'DJB Daily Readings'!AP15</f>
        <v>5066.8799999989569</v>
      </c>
      <c r="U8" s="3">
        <f>'DJB Daily Readings'!AS16-'DJB Daily Readings'!AS15</f>
        <v>2971.9200000008568</v>
      </c>
      <c r="V8" s="3">
        <f>'DJB Daily Readings'!AV16-'DJB Daily Readings'!AV15</f>
        <v>5310.480000000447</v>
      </c>
      <c r="W8" s="3">
        <f>'DJB Daily Readings'!AZ16-'DJB Daily Readings'!AZ15</f>
        <v>35300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165.18599999998898</v>
      </c>
      <c r="AA8" s="3">
        <f>('DJB Daily Readings'!CN16-'DJB Daily Readings'!CN15)*1.89</f>
        <v>177.47099999998898</v>
      </c>
      <c r="AB8" s="3">
        <f>('DJB Daily Readings'!CQ16-'DJB Daily Readings'!CQ15)*1.89</f>
        <v>688.52700000003301</v>
      </c>
      <c r="AC8" s="3">
        <f>'DJB Daily Readings'!CT16-'DJB Daily Readings'!CT15</f>
        <v>148</v>
      </c>
      <c r="AD8" s="84">
        <f>('DJB Daily Readings'!BY16-'DJB Daily Readings'!BY15)*1.89</f>
        <v>34.019999999999996</v>
      </c>
      <c r="AE8" s="84">
        <f>('DJB Daily Readings'!CA16-'DJB Daily Readings'!CA15)*1.89</f>
        <v>24.57</v>
      </c>
      <c r="AF8" s="84">
        <f>('DJB Daily Readings'!CC16-'DJB Daily Readings'!CC15)*1.89</f>
        <v>13.229999999999999</v>
      </c>
      <c r="AG8" s="84">
        <f>('DJB Daily Readings'!CE16-'DJB Daily Readings'!CE15)*1.89</f>
        <v>20.79</v>
      </c>
      <c r="AH8" s="84">
        <f>('DJB Daily Readings'!CG16-'DJB Daily Readings'!CG15)*1.89</f>
        <v>9.4499999999999993</v>
      </c>
      <c r="AI8" s="84">
        <f>('DJB Daily Readings'!CI16-'DJB Daily Readings'!CI15)*1.89</f>
        <v>45.36</v>
      </c>
      <c r="AJ8" s="81">
        <f>'DJB Daily Readings'!CY16-'DJB Daily Readings'!CY15</f>
        <v>10</v>
      </c>
      <c r="AK8" s="81">
        <f>'DJB Daily Readings'!CW16-'DJB Daily Readings'!CW15</f>
        <v>1</v>
      </c>
      <c r="AL8" s="82">
        <f>'DJB Daily Readings'!DC16-'DJB Daily Readings'!DC15</f>
        <v>12.5</v>
      </c>
      <c r="AM8" s="82">
        <f>'DJB Daily Readings'!DA16-'DJB Daily Readings'!DA15</f>
        <v>16</v>
      </c>
      <c r="AN8" s="82">
        <f>'DJB Daily Readings'!DG16-'DJB Daily Readings'!DG15</f>
        <v>7</v>
      </c>
      <c r="AO8" s="82">
        <f>'DJB Daily Readings'!DE16-'DJB Daily Readings'!DE15</f>
        <v>13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4</v>
      </c>
      <c r="AS8" s="82">
        <f>'DJB Daily Readings'!DM16-'DJB Daily Readings'!DM15</f>
        <v>5</v>
      </c>
      <c r="AT8" s="82">
        <f>'DJB Daily Readings'!DQ16-'DJB Daily Readings'!DQ15</f>
        <v>10</v>
      </c>
      <c r="AU8" s="82">
        <f>'DJB Daily Readings'!DT16-'DJB Daily Readings'!DT15</f>
        <v>1503</v>
      </c>
      <c r="AW8" s="82">
        <f>'DJB Daily Readings'!DX16-'DJB Daily Readings'!DX15</f>
        <v>1108.5</v>
      </c>
      <c r="AX8" s="82">
        <f>'DJB Daily Readings'!DZ16-'DJB Daily Readings'!DZ15</f>
        <v>4.2000000000116415</v>
      </c>
      <c r="AY8" s="82">
        <f>'DJB Daily Readings'!EB16-'DJB Daily Readings'!EB15</f>
        <v>579.5</v>
      </c>
      <c r="AZ8" s="82">
        <f>'DJB Daily Readings'!ED16-'DJB Daily Readings'!ED15</f>
        <v>150.10000000000582</v>
      </c>
      <c r="BA8" s="82">
        <f>'DJB Daily Readings'!EG16-'DJB Daily Readings'!EG15</f>
        <v>2500</v>
      </c>
      <c r="BB8" s="82">
        <f>'DJB Daily Readings'!EI16-'DJB Daily Readings'!EI15</f>
        <v>310</v>
      </c>
      <c r="BC8" s="82">
        <f>'DJB Daily Readings'!EQ16-'DJB Daily Readings'!EQ15</f>
        <v>1200</v>
      </c>
      <c r="BD8" s="82">
        <f>'DJB Daily Readings'!EK16-'DJB Daily Readings'!EK15</f>
        <v>1800</v>
      </c>
      <c r="BE8" s="82">
        <f>'DJB Daily Readings'!EM16-'DJB Daily Readings'!EM15</f>
        <v>0</v>
      </c>
      <c r="BF8" s="82">
        <f>'DJB Daily Readings'!EO16-'DJB Daily Readings'!EO15</f>
        <v>160</v>
      </c>
      <c r="BG8" s="82">
        <f>('DJB Daily Readings'!ET16-'DJB Daily Readings'!ET15)*1.89</f>
        <v>35.909999999999997</v>
      </c>
      <c r="BH8" s="82">
        <f>('DJB Daily Readings'!EV16-'DJB Daily Readings'!EV15)*1.89</f>
        <v>30.24</v>
      </c>
      <c r="BI8" s="82">
        <f>('DJB Daily Readings'!EZ16-'DJB Daily Readings'!EZ15)*1.89</f>
        <v>0</v>
      </c>
      <c r="BJ8" s="82">
        <f>('DJB Daily Readings'!EX16-'DJB Daily Readings'!EX15)*1.89</f>
        <v>60.48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2020</v>
      </c>
      <c r="E9" s="79">
        <v>203.82</v>
      </c>
      <c r="F9" s="79">
        <f>331+59</f>
        <v>390</v>
      </c>
      <c r="G9" s="3">
        <f>'DJB Daily Readings'!C17-'DJB Daily Readings'!C16</f>
        <v>561</v>
      </c>
      <c r="H9" s="3">
        <f>'DJB Daily Readings'!F17-'DJB Daily Readings'!F16</f>
        <v>461</v>
      </c>
      <c r="I9" s="3">
        <f>'DJB Daily Readings'!K17-'DJB Daily Readings'!K16</f>
        <v>160.59999999997672</v>
      </c>
      <c r="J9" s="3">
        <f>'DJB Daily Readings'!K17-'DJB Daily Readings'!K16</f>
        <v>160.59999999997672</v>
      </c>
      <c r="K9" s="3">
        <f>'DJB Daily Readings'!O17-'DJB Daily Readings'!O16</f>
        <v>81</v>
      </c>
      <c r="L9" s="3">
        <f>'DJB Daily Readings'!R17-'DJB Daily Readings'!R16</f>
        <v>17</v>
      </c>
      <c r="M9" s="3">
        <f>'DJB Daily Readings'!U17-'DJB Daily Readings'!U16</f>
        <v>2484.7199999997392</v>
      </c>
      <c r="N9" s="3">
        <f>'DJB Daily Readings'!X17-'DJB Daily Readings'!X16</f>
        <v>4920.7199999988079</v>
      </c>
      <c r="O9" s="3">
        <f>'DJB Daily Readings'!AA17-'DJB Daily Readings'!AA16</f>
        <v>7502.8800000008196</v>
      </c>
      <c r="P9" s="3">
        <f>'DJB Daily Readings'!AD17-'DJB Daily Readings'!AD16</f>
        <v>48.759999999776483</v>
      </c>
      <c r="Q9" s="3">
        <f>'DJB Daily Readings'!AG17-'DJB Daily Readings'!AG16</f>
        <v>48.720000000670552</v>
      </c>
      <c r="R9" s="3">
        <f>'DJB Daily Readings'!AJ17-'DJB Daily Readings'!AJ16</f>
        <v>6479.7599999997765</v>
      </c>
      <c r="S9" s="3">
        <f>'DJB Daily Readings'!AM17-'DJB Daily Readings'!AM16</f>
        <v>4384.8000000007451</v>
      </c>
      <c r="T9" s="3">
        <f>'DJB Daily Readings'!AP17-'DJB Daily Readings'!AP16</f>
        <v>5066.8800000008196</v>
      </c>
      <c r="U9" s="3">
        <f>'DJB Daily Readings'!AS17-'DJB Daily Readings'!AS16</f>
        <v>3361.679999999702</v>
      </c>
      <c r="V9" s="3">
        <f>'DJB Daily Readings'!AV17-'DJB Daily Readings'!AV16</f>
        <v>5310.4799999985844</v>
      </c>
      <c r="W9" s="3">
        <f>'DJB Daily Readings'!AZ17-'DJB Daily Readings'!AZ16</f>
        <v>39300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166.50900000001099</v>
      </c>
      <c r="AA9" s="3">
        <f>('DJB Daily Readings'!CN17-'DJB Daily Readings'!CN16)*1.89</f>
        <v>189</v>
      </c>
      <c r="AB9" s="3">
        <f>('DJB Daily Readings'!CQ17-'DJB Daily Readings'!CQ16)*1.89</f>
        <v>667.73699999997791</v>
      </c>
      <c r="AC9" s="3">
        <f>'DJB Daily Readings'!CT17-'DJB Daily Readings'!CT16</f>
        <v>157</v>
      </c>
      <c r="AD9" s="84">
        <f>('DJB Daily Readings'!BY17-'DJB Daily Readings'!BY16)*1.89</f>
        <v>35.909999999999997</v>
      </c>
      <c r="AE9" s="84">
        <f>('DJB Daily Readings'!CA17-'DJB Daily Readings'!CA16)*1.89</f>
        <v>26.459999999999997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13.229999999999999</v>
      </c>
      <c r="AI9" s="84">
        <f>('DJB Daily Readings'!CI17-'DJB Daily Readings'!CI16)*1.89</f>
        <v>45.36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14.299999999999272</v>
      </c>
      <c r="AM9" s="82">
        <f>'DJB Daily Readings'!DA17-'DJB Daily Readings'!DA16</f>
        <v>11.799999999999272</v>
      </c>
      <c r="AN9" s="82">
        <f>'DJB Daily Readings'!DG17-'DJB Daily Readings'!DG16</f>
        <v>7</v>
      </c>
      <c r="AO9" s="82">
        <f>'DJB Daily Readings'!DE17-'DJB Daily Readings'!DE16</f>
        <v>13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7</v>
      </c>
      <c r="AS9" s="82">
        <f>'DJB Daily Readings'!DM17-'DJB Daily Readings'!DM16</f>
        <v>5</v>
      </c>
      <c r="AT9" s="82">
        <f>'DJB Daily Readings'!DQ17-'DJB Daily Readings'!DQ16</f>
        <v>10</v>
      </c>
      <c r="AU9" s="82">
        <f>'DJB Daily Readings'!DT17-'DJB Daily Readings'!DT16</f>
        <v>1375.3000000002794</v>
      </c>
      <c r="AW9" s="82">
        <f>'DJB Daily Readings'!DX17-'DJB Daily Readings'!DX16</f>
        <v>1065.1999999999534</v>
      </c>
      <c r="AX9" s="82">
        <f>'DJB Daily Readings'!DZ17-'DJB Daily Readings'!DZ16</f>
        <v>4.1999999999825377</v>
      </c>
      <c r="AY9" s="82">
        <f>'DJB Daily Readings'!EB17-'DJB Daily Readings'!EB16</f>
        <v>580.70000000001164</v>
      </c>
      <c r="AZ9" s="82">
        <f>'DJB Daily Readings'!ED17-'DJB Daily Readings'!ED16</f>
        <v>140.29999999998836</v>
      </c>
      <c r="BA9" s="82">
        <f>'DJB Daily Readings'!EG17-'DJB Daily Readings'!EG16</f>
        <v>1500</v>
      </c>
      <c r="BB9" s="82">
        <f>'DJB Daily Readings'!EI17-'DJB Daily Readings'!EI16</f>
        <v>200</v>
      </c>
      <c r="BC9" s="82">
        <f>'DJB Daily Readings'!EQ17-'DJB Daily Readings'!EQ16</f>
        <v>900</v>
      </c>
      <c r="BD9" s="82">
        <f>'DJB Daily Readings'!EK17-'DJB Daily Readings'!EK16</f>
        <v>900</v>
      </c>
      <c r="BE9" s="82">
        <f>'DJB Daily Readings'!EM17-'DJB Daily Readings'!EM16</f>
        <v>0</v>
      </c>
      <c r="BF9" s="82">
        <f>'DJB Daily Readings'!EO17-'DJB Daily Readings'!EO16</f>
        <v>100</v>
      </c>
      <c r="BG9" s="82">
        <f>('DJB Daily Readings'!ET17-'DJB Daily Readings'!ET16)*1.89</f>
        <v>29.672999999994499</v>
      </c>
      <c r="BH9" s="82">
        <f>('DJB Daily Readings'!EV17-'DJB Daily Readings'!EV16)*1.89</f>
        <v>28.349999999999998</v>
      </c>
      <c r="BI9" s="82">
        <f>('DJB Daily Readings'!EZ17-'DJB Daily Readings'!EZ16)*1.89</f>
        <v>0</v>
      </c>
      <c r="BJ9" s="82">
        <f>('DJB Daily Readings'!EX17-'DJB Daily Readings'!EX16)*1.89</f>
        <v>68.039999999999992</v>
      </c>
      <c r="BK9" s="82">
        <f>('DJB Daily Readings'!FB17-'DJB Daily Readings'!FB16)*1.89</f>
        <v>58.778999999997247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2020</v>
      </c>
      <c r="E10" s="79">
        <v>194.33999999999997</v>
      </c>
      <c r="F10" s="79">
        <f>367+61</f>
        <v>428</v>
      </c>
      <c r="G10" s="3">
        <f>'DJB Daily Readings'!C18-'DJB Daily Readings'!C17</f>
        <v>527</v>
      </c>
      <c r="H10" s="3">
        <f>'DJB Daily Readings'!F18-'DJB Daily Readings'!F17</f>
        <v>452</v>
      </c>
      <c r="I10" s="3">
        <f>'DJB Daily Readings'!K18-'DJB Daily Readings'!K17</f>
        <v>92.400000000023283</v>
      </c>
      <c r="J10" s="3">
        <f>'DJB Daily Readings'!K18-'DJB Daily Readings'!K17</f>
        <v>92.400000000023283</v>
      </c>
      <c r="K10" s="3">
        <f>'DJB Daily Readings'!O18-'DJB Daily Readings'!O17</f>
        <v>80</v>
      </c>
      <c r="L10" s="3">
        <f>'DJB Daily Readings'!R18-'DJB Daily Readings'!R17</f>
        <v>14</v>
      </c>
      <c r="M10" s="3">
        <f>'DJB Daily Readings'!U18-'DJB Daily Readings'!U17</f>
        <v>2484.7199999997392</v>
      </c>
      <c r="N10" s="3">
        <f>'DJB Daily Readings'!X18-'DJB Daily Readings'!X17</f>
        <v>4920.7200000006706</v>
      </c>
      <c r="O10" s="3">
        <f>'DJB Daily Readings'!AA18-'DJB Daily Readings'!AA17</f>
        <v>8087.519999999553</v>
      </c>
      <c r="P10" s="3">
        <f>'DJB Daily Readings'!AD18-'DJB Daily Readings'!AD17</f>
        <v>48.5</v>
      </c>
      <c r="Q10" s="3">
        <f>'DJB Daily Readings'!AG18-'DJB Daily Readings'!AG17</f>
        <v>48.720000000670552</v>
      </c>
      <c r="R10" s="3">
        <f>'DJB Daily Readings'!AJ18-'DJB Daily Readings'!AJ17</f>
        <v>6528.480000000447</v>
      </c>
      <c r="S10" s="3">
        <f>'DJB Daily Readings'!AM18-'DJB Daily Readings'!AM17</f>
        <v>4579.679999999702</v>
      </c>
      <c r="T10" s="3">
        <f>'DJB Daily Readings'!AP18-'DJB Daily Readings'!AP17</f>
        <v>4920.7199999988079</v>
      </c>
      <c r="U10" s="3">
        <f>'DJB Daily Readings'!AS18-'DJB Daily Readings'!AS17</f>
        <v>3312.9600000008941</v>
      </c>
      <c r="V10" s="3">
        <f>'DJB Daily Readings'!AV18-'DJB Daily Readings'!AV17</f>
        <v>5456.640000000596</v>
      </c>
      <c r="W10" s="3">
        <f>'DJB Daily Readings'!AZ18-'DJB Daily Readings'!AZ17</f>
        <v>42500</v>
      </c>
      <c r="X10" s="3">
        <f>'DJB Daily Readings'!BC18-'DJB Daily Readings'!BC17</f>
        <v>100</v>
      </c>
      <c r="Y10" s="3">
        <f>'DJB Daily Readings'!BF18-'DJB Daily Readings'!BF17</f>
        <v>0</v>
      </c>
      <c r="Z10" s="3">
        <f>('DJB Daily Readings'!CK18-'DJB Daily Readings'!CK17)*1.89</f>
        <v>158.19300000002198</v>
      </c>
      <c r="AA10" s="3">
        <f>('DJB Daily Readings'!CN18-'DJB Daily Readings'!CN17)*1.89</f>
        <v>187.10999999999999</v>
      </c>
      <c r="AB10" s="3">
        <f>('DJB Daily Readings'!CQ18-'DJB Daily Readings'!CQ17)*1.89</f>
        <v>679.64400000001092</v>
      </c>
      <c r="AC10" s="3">
        <f>'DJB Daily Readings'!CT18-'DJB Daily Readings'!CT17</f>
        <v>167</v>
      </c>
      <c r="AD10" s="84">
        <f>('DJB Daily Readings'!BY18-'DJB Daily Readings'!BY17)*1.89</f>
        <v>37.799999999999997</v>
      </c>
      <c r="AE10" s="84">
        <f>('DJB Daily Readings'!CA18-'DJB Daily Readings'!CA17)*1.89</f>
        <v>34.019999999999996</v>
      </c>
      <c r="AF10" s="84">
        <f>('DJB Daily Readings'!CC18-'DJB Daily Readings'!CC17)*1.89</f>
        <v>15.12</v>
      </c>
      <c r="AG10" s="84">
        <f>('DJB Daily Readings'!CE18-'DJB Daily Readings'!CE17)*1.89</f>
        <v>20.79</v>
      </c>
      <c r="AH10" s="84">
        <f>('DJB Daily Readings'!CG18-'DJB Daily Readings'!CG17)*1.89</f>
        <v>15.12</v>
      </c>
      <c r="AI10" s="84">
        <f>('DJB Daily Readings'!CI18-'DJB Daily Readings'!CI17)*1.89</f>
        <v>45.36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16.80000000000291</v>
      </c>
      <c r="AM10" s="82">
        <f>'DJB Daily Readings'!DA18-'DJB Daily Readings'!DA17</f>
        <v>16.700000000000728</v>
      </c>
      <c r="AN10" s="82">
        <f>'DJB Daily Readings'!DG18-'DJB Daily Readings'!DG17</f>
        <v>5.4000000000014552</v>
      </c>
      <c r="AO10" s="82">
        <f>'DJB Daily Readings'!DE18-'DJB Daily Readings'!DE17</f>
        <v>12.700000000000728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6</v>
      </c>
      <c r="AT10" s="82">
        <f>'DJB Daily Readings'!DQ18-'DJB Daily Readings'!DQ17</f>
        <v>9</v>
      </c>
      <c r="AU10" s="82">
        <f>'DJB Daily Readings'!DT18-'DJB Daily Readings'!DT17</f>
        <v>1532.1999999997206</v>
      </c>
      <c r="AW10" s="82">
        <f>'DJB Daily Readings'!DX18-'DJB Daily Readings'!DX17</f>
        <v>1099.3000000000466</v>
      </c>
      <c r="AX10" s="82">
        <f>'DJB Daily Readings'!DZ18-'DJB Daily Readings'!DZ17</f>
        <v>4</v>
      </c>
      <c r="AY10" s="82">
        <f>'DJB Daily Readings'!EB18-'DJB Daily Readings'!EB17</f>
        <v>582.90000000002328</v>
      </c>
      <c r="AZ10" s="82">
        <f>'DJB Daily Readings'!ED18-'DJB Daily Readings'!ED17</f>
        <v>150.10000000000582</v>
      </c>
      <c r="BA10" s="82">
        <f>'DJB Daily Readings'!EG18-'DJB Daily Readings'!EG17</f>
        <v>2500</v>
      </c>
      <c r="BB10" s="82">
        <f>'DJB Daily Readings'!EI18-'DJB Daily Readings'!EI17</f>
        <v>290</v>
      </c>
      <c r="BC10" s="82">
        <f>'DJB Daily Readings'!EQ18-'DJB Daily Readings'!EQ17</f>
        <v>1400</v>
      </c>
      <c r="BD10" s="82">
        <f>'DJB Daily Readings'!EK18-'DJB Daily Readings'!EK17</f>
        <v>1700</v>
      </c>
      <c r="BE10" s="82">
        <f>'DJB Daily Readings'!EM18-'DJB Daily Readings'!EM17</f>
        <v>0</v>
      </c>
      <c r="BF10" s="82">
        <f>'DJB Daily Readings'!EO18-'DJB Daily Readings'!EO17</f>
        <v>140</v>
      </c>
      <c r="BG10" s="82">
        <f>('DJB Daily Readings'!ET18-'DJB Daily Readings'!ET17)*1.89</f>
        <v>40.068000000001376</v>
      </c>
      <c r="BH10" s="82">
        <f>('DJB Daily Readings'!EV18-'DJB Daily Readings'!EV17)*1.89</f>
        <v>30.051000000002748</v>
      </c>
      <c r="BI10" s="82">
        <f>('DJB Daily Readings'!EZ18-'DJB Daily Readings'!EZ17)*1.89</f>
        <v>0</v>
      </c>
      <c r="BJ10" s="82">
        <f>('DJB Daily Readings'!EX18-'DJB Daily Readings'!EX17)*1.89</f>
        <v>60.48</v>
      </c>
      <c r="BK10" s="82">
        <f>('DJB Daily Readings'!FB18-'DJB Daily Readings'!FB17)*1.89</f>
        <v>59.346000000002746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2020</v>
      </c>
      <c r="E11" s="79">
        <v>203.82</v>
      </c>
      <c r="F11" s="79">
        <f>340+63</f>
        <v>403</v>
      </c>
      <c r="G11" s="3">
        <f>'DJB Daily Readings'!C19-'DJB Daily Readings'!C18</f>
        <v>733</v>
      </c>
      <c r="H11" s="3">
        <f>'DJB Daily Readings'!F19-'DJB Daily Readings'!F18</f>
        <v>581</v>
      </c>
      <c r="I11" s="3">
        <f>'DJB Daily Readings'!K19-'DJB Daily Readings'!K18</f>
        <v>0</v>
      </c>
      <c r="J11" s="3">
        <f>'DJB Daily Readings'!K19-'DJB Daily Readings'!K18</f>
        <v>0</v>
      </c>
      <c r="K11" s="3">
        <f>'DJB Daily Readings'!O19-'DJB Daily Readings'!O18</f>
        <v>70</v>
      </c>
      <c r="L11" s="3">
        <f>'DJB Daily Readings'!R19-'DJB Daily Readings'!R18</f>
        <v>13</v>
      </c>
      <c r="M11" s="3">
        <f>'DJB Daily Readings'!U19-'DJB Daily Readings'!U18</f>
        <v>2484.2000000001863</v>
      </c>
      <c r="N11" s="3">
        <f>'DJB Daily Readings'!X19-'DJB Daily Readings'!X18</f>
        <v>4920.6999999992549</v>
      </c>
      <c r="O11" s="3">
        <f>'DJB Daily Readings'!AA19-'DJB Daily Readings'!AA18</f>
        <v>7502</v>
      </c>
      <c r="P11" s="3">
        <f>'DJB Daily Readings'!AD19-'DJB Daily Readings'!AD18</f>
        <v>194.55000000074506</v>
      </c>
      <c r="Q11" s="3">
        <f>'DJB Daily Readings'!AG19-'DJB Daily Readings'!AG18</f>
        <v>48.720000000670552</v>
      </c>
      <c r="R11" s="3">
        <f>'DJB Daily Readings'!AJ19-'DJB Daily Readings'!AJ18</f>
        <v>6489.7599999997765</v>
      </c>
      <c r="S11" s="3">
        <f>'DJB Daily Readings'!AM19-'DJB Daily Readings'!AM18</f>
        <v>4395.2200000006706</v>
      </c>
      <c r="T11" s="3">
        <f>'DJB Daily Readings'!AP19-'DJB Daily Readings'!AP18</f>
        <v>4920</v>
      </c>
      <c r="U11" s="3">
        <f>'DJB Daily Readings'!AS19-'DJB Daily Readings'!AS18</f>
        <v>3361.8899999996647</v>
      </c>
      <c r="V11" s="3">
        <f>'DJB Daily Readings'!AV19-'DJB Daily Readings'!AV18</f>
        <v>5310</v>
      </c>
      <c r="W11" s="3">
        <f>'DJB Daily Readings'!AZ19-'DJB Daily Readings'!AZ18</f>
        <v>39700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257.89049999996701</v>
      </c>
      <c r="AA11" s="3">
        <f>('DJB Daily Readings'!CN19-'DJB Daily Readings'!CN18)*1.89</f>
        <v>279.8523000000132</v>
      </c>
      <c r="AB11" s="3">
        <f>('DJB Daily Readings'!CQ19-'DJB Daily Readings'!CQ18)*1.89</f>
        <v>845.62380000002418</v>
      </c>
      <c r="AC11" s="3">
        <f>'DJB Daily Readings'!CT19-'DJB Daily Readings'!CT18</f>
        <v>212</v>
      </c>
      <c r="AD11" s="84">
        <f>('DJB Daily Readings'!BY19-'DJB Daily Readings'!BY18)*1.89</f>
        <v>45.36</v>
      </c>
      <c r="AE11" s="84">
        <f>('DJB Daily Readings'!CA19-'DJB Daily Readings'!CA18)*1.89</f>
        <v>39.69</v>
      </c>
      <c r="AF11" s="84">
        <f>('DJB Daily Readings'!CC19-'DJB Daily Readings'!CC18)*1.89</f>
        <v>17.009999999999998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45.36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16.799999999999272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13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5</v>
      </c>
      <c r="AS11" s="82">
        <f>'DJB Daily Readings'!DM19-'DJB Daily Readings'!DM18</f>
        <v>5</v>
      </c>
      <c r="AT11" s="82">
        <f>'DJB Daily Readings'!DQ19-'DJB Daily Readings'!DQ18</f>
        <v>0</v>
      </c>
      <c r="AU11" s="82">
        <f>'DJB Daily Readings'!DT19-'DJB Daily Readings'!DT18</f>
        <v>1377.5</v>
      </c>
      <c r="AW11" s="82">
        <f>'DJB Daily Readings'!DX19-'DJB Daily Readings'!DX18</f>
        <v>1097.5</v>
      </c>
      <c r="AX11" s="82">
        <f>'DJB Daily Readings'!DZ19-'DJB Daily Readings'!DZ18</f>
        <v>4</v>
      </c>
      <c r="AY11" s="82">
        <f>'DJB Daily Readings'!EB19-'DJB Daily Readings'!EB18</f>
        <v>583.40000000002328</v>
      </c>
      <c r="AZ11" s="82">
        <f>'DJB Daily Readings'!ED19-'DJB Daily Readings'!ED18</f>
        <v>151</v>
      </c>
      <c r="BA11" s="82">
        <f>'DJB Daily Readings'!EG19-'DJB Daily Readings'!EG18</f>
        <v>1500</v>
      </c>
      <c r="BB11" s="82">
        <f>'DJB Daily Readings'!EI19-'DJB Daily Readings'!EI18</f>
        <v>200</v>
      </c>
      <c r="BC11" s="82">
        <f>'DJB Daily Readings'!EQ19-'DJB Daily Readings'!EQ18</f>
        <v>1200</v>
      </c>
      <c r="BD11" s="82">
        <f>'DJB Daily Readings'!EK19-'DJB Daily Readings'!EK18</f>
        <v>1500</v>
      </c>
      <c r="BE11" s="82">
        <f>'DJB Daily Readings'!EM19-'DJB Daily Readings'!EM18</f>
        <v>0</v>
      </c>
      <c r="BF11" s="82">
        <f>'DJB Daily Readings'!EO19-'DJB Daily Readings'!EO18</f>
        <v>120</v>
      </c>
      <c r="BG11" s="82">
        <f>('DJB Daily Readings'!ET19-'DJB Daily Readings'!ET18)*1.89</f>
        <v>39.69</v>
      </c>
      <c r="BH11" s="82">
        <f>('DJB Daily Readings'!EV19-'DJB Daily Readings'!EV18)*1.89</f>
        <v>28.349999999999998</v>
      </c>
      <c r="BI11" s="82">
        <f>('DJB Daily Readings'!EZ19-'DJB Daily Readings'!EZ18)*1.89</f>
        <v>0</v>
      </c>
      <c r="BJ11" s="82">
        <f>('DJB Daily Readings'!EX19-'DJB Daily Readings'!EX18)*1.89</f>
        <v>60.48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2020</v>
      </c>
      <c r="E12" s="78">
        <f>237*0.72</f>
        <v>170.64</v>
      </c>
      <c r="F12" s="79">
        <f>286+30</f>
        <v>316</v>
      </c>
      <c r="G12" s="3">
        <f>'DJB Daily Readings'!C20-'DJB Daily Readings'!C19</f>
        <v>430</v>
      </c>
      <c r="H12" s="3">
        <f>'DJB Daily Readings'!F20-'DJB Daily Readings'!F19</f>
        <v>351</v>
      </c>
      <c r="I12" s="3">
        <f>'DJB Daily Readings'!K20-'DJB Daily Readings'!K19</f>
        <v>0</v>
      </c>
      <c r="J12" s="3">
        <f>'DJB Daily Readings'!K20-'DJB Daily Readings'!K19</f>
        <v>0</v>
      </c>
      <c r="K12" s="3">
        <f>'DJB Daily Readings'!O20-'DJB Daily Readings'!O19</f>
        <v>62</v>
      </c>
      <c r="L12" s="3">
        <f>'DJB Daily Readings'!R20-'DJB Daily Readings'!R19</f>
        <v>11</v>
      </c>
      <c r="M12" s="3">
        <f>'DJB Daily Readings'!U20-'DJB Daily Readings'!U19</f>
        <v>2192.9199999999255</v>
      </c>
      <c r="N12" s="3">
        <f>'DJB Daily Readings'!X20-'DJB Daily Readings'!X19</f>
        <v>4823.3000000007451</v>
      </c>
      <c r="O12" s="3">
        <f>'DJB Daily Readings'!AA20-'DJB Daily Readings'!AA19</f>
        <v>1998.4000000003725</v>
      </c>
      <c r="P12" s="3">
        <f>'DJB Daily Readings'!AD20-'DJB Daily Readings'!AD19</f>
        <v>5457.1500000003725</v>
      </c>
      <c r="Q12" s="3">
        <f>'DJB Daily Readings'!AG20-'DJB Daily Readings'!AG19</f>
        <v>487.19999999925494</v>
      </c>
      <c r="R12" s="3">
        <f>'DJB Daily Readings'!AJ20-'DJB Daily Readings'!AJ19</f>
        <v>5154.320000000298</v>
      </c>
      <c r="S12" s="3">
        <f>'DJB Daily Readings'!AM20-'DJB Daily Readings'!AM19</f>
        <v>4617.980000000447</v>
      </c>
      <c r="T12" s="3">
        <f>'DJB Daily Readings'!AP20-'DJB Daily Readings'!AP19</f>
        <v>5262.480000000447</v>
      </c>
      <c r="U12" s="3">
        <f>'DJB Daily Readings'!AS20-'DJB Daily Readings'!AS19</f>
        <v>3264.0299999993294</v>
      </c>
      <c r="V12" s="3">
        <f>'DJB Daily Readings'!AV20-'DJB Daily Readings'!AV19</f>
        <v>5554.5600000005215</v>
      </c>
      <c r="W12" s="3">
        <f>'DJB Daily Readings'!AZ20-'DJB Daily Readings'!AZ19</f>
        <v>6800</v>
      </c>
      <c r="X12" s="3">
        <f>'DJB Daily Readings'!BC20-'DJB Daily Readings'!BC19</f>
        <v>27600</v>
      </c>
      <c r="Y12" s="3">
        <f>'DJB Daily Readings'!BF20-'DJB Daily Readings'!BF19</f>
        <v>0</v>
      </c>
      <c r="Z12" s="3">
        <f>('DJB Daily Readings'!CK20-'DJB Daily Readings'!CK19)*1.89</f>
        <v>50.028300000002197</v>
      </c>
      <c r="AA12" s="3">
        <f>('DJB Daily Readings'!CN20-'DJB Daily Readings'!CN19)*1.89</f>
        <v>140.3891999999978</v>
      </c>
      <c r="AB12" s="3">
        <f>('DJB Daily Readings'!CQ20-'DJB Daily Readings'!CQ19)*1.89</f>
        <v>437.91299999996698</v>
      </c>
      <c r="AC12" s="3">
        <f>'DJB Daily Readings'!CT20-'DJB Daily Readings'!CT19</f>
        <v>111</v>
      </c>
      <c r="AD12" s="84">
        <f>('DJB Daily Readings'!BY20-'DJB Daily Readings'!BY19)*1.89</f>
        <v>47.25</v>
      </c>
      <c r="AE12" s="84">
        <f>('DJB Daily Readings'!CA20-'DJB Daily Readings'!CA19)*1.89</f>
        <v>39.69</v>
      </c>
      <c r="AF12" s="84">
        <f>('DJB Daily Readings'!CC20-'DJB Daily Readings'!CC19)*1.89</f>
        <v>15.12</v>
      </c>
      <c r="AG12" s="84">
        <f>('DJB Daily Readings'!CE20-'DJB Daily Readings'!CE19)*1.89</f>
        <v>22.68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17.159999999999854</v>
      </c>
      <c r="AK12" s="81">
        <f>'DJB Daily Readings'!CW20-'DJB Daily Readings'!CW19</f>
        <v>1.8000000000000114</v>
      </c>
      <c r="AL12" s="82">
        <f>'DJB Daily Readings'!DC20-'DJB Daily Readings'!DC19</f>
        <v>14.700000000000728</v>
      </c>
      <c r="AM12" s="82">
        <f>'DJB Daily Readings'!DA20-'DJB Daily Readings'!DA19</f>
        <v>19.200000000000728</v>
      </c>
      <c r="AN12" s="82">
        <f>'DJB Daily Readings'!DG20-'DJB Daily Readings'!DG19</f>
        <v>4.7000000000007276</v>
      </c>
      <c r="AO12" s="82">
        <f>'DJB Daily Readings'!DE20-'DJB Daily Readings'!DE19</f>
        <v>10.200000000000728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6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1662.8000000002794</v>
      </c>
      <c r="AW12" s="82">
        <f>'DJB Daily Readings'!DX20-'DJB Daily Readings'!DX19</f>
        <v>1070.1999999999534</v>
      </c>
      <c r="AX12" s="82">
        <f>'DJB Daily Readings'!DZ20-'DJB Daily Readings'!DZ19</f>
        <v>4.6099999999860302</v>
      </c>
      <c r="AY12" s="82">
        <f>'DJB Daily Readings'!EB20-'DJB Daily Readings'!EB19</f>
        <v>543.18999999994412</v>
      </c>
      <c r="AZ12" s="82">
        <f>'DJB Daily Readings'!ED20-'DJB Daily Readings'!ED19</f>
        <v>147.09999999999127</v>
      </c>
      <c r="BA12" s="82">
        <f>'DJB Daily Readings'!EG20-'DJB Daily Readings'!EG19</f>
        <v>3300</v>
      </c>
      <c r="BB12" s="82">
        <f>'DJB Daily Readings'!EI20-'DJB Daily Readings'!EI19</f>
        <v>360</v>
      </c>
      <c r="BC12" s="82">
        <f>'DJB Daily Readings'!EQ20-'DJB Daily Readings'!EQ19</f>
        <v>900</v>
      </c>
      <c r="BD12" s="82">
        <f>'DJB Daily Readings'!EK20-'DJB Daily Readings'!EK19</f>
        <v>1400</v>
      </c>
      <c r="BE12" s="82">
        <f>'DJB Daily Readings'!EM20-'DJB Daily Readings'!EM19</f>
        <v>100</v>
      </c>
      <c r="BF12" s="82">
        <f>'DJB Daily Readings'!EO20-'DJB Daily Readings'!EO19</f>
        <v>150</v>
      </c>
      <c r="BG12" s="82">
        <f>('DJB Daily Readings'!ET20-'DJB Daily Readings'!ET19)*1.89</f>
        <v>32.696999999998624</v>
      </c>
      <c r="BH12" s="82">
        <f>('DJB Daily Readings'!EV20-'DJB Daily Readings'!EV19)*1.89</f>
        <v>27.783000000001373</v>
      </c>
      <c r="BI12" s="82">
        <f>('DJB Daily Readings'!EZ20-'DJB Daily Readings'!EZ19)*1.89</f>
        <v>0</v>
      </c>
      <c r="BJ12" s="82">
        <f>('DJB Daily Readings'!EX20-'DJB Daily Readings'!EX19)*1.89</f>
        <v>79.663500000002742</v>
      </c>
      <c r="BK12" s="82">
        <f>('DJB Daily Readings'!FB20-'DJB Daily Readings'!FB19)*1.89</f>
        <v>52.107299999999448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2020</v>
      </c>
      <c r="E13" s="78">
        <f>237*0.79</f>
        <v>187.23000000000002</v>
      </c>
      <c r="F13" s="79">
        <f>277+27</f>
        <v>304</v>
      </c>
      <c r="G13" s="3">
        <f>'DJB Daily Readings'!C21-'DJB Daily Readings'!C20</f>
        <v>620</v>
      </c>
      <c r="H13" s="3">
        <f>'DJB Daily Readings'!F21-'DJB Daily Readings'!F20</f>
        <v>593</v>
      </c>
      <c r="I13" s="3">
        <f>'DJB Daily Readings'!K21-'DJB Daily Readings'!K20</f>
        <v>0</v>
      </c>
      <c r="J13" s="3">
        <f>'DJB Daily Readings'!K21-'DJB Daily Readings'!K20</f>
        <v>0</v>
      </c>
      <c r="K13" s="3">
        <f>'DJB Daily Readings'!O21-'DJB Daily Readings'!O20</f>
        <v>49</v>
      </c>
      <c r="L13" s="3">
        <f>'DJB Daily Readings'!R21-'DJB Daily Readings'!R20</f>
        <v>8</v>
      </c>
      <c r="M13" s="3">
        <f>'DJB Daily Readings'!U21-'DJB Daily Readings'!U20</f>
        <v>1948.8000000007451</v>
      </c>
      <c r="N13" s="3">
        <f>'DJB Daily Readings'!X21-'DJB Daily Readings'!X20</f>
        <v>4920.7200000006706</v>
      </c>
      <c r="O13" s="3">
        <f>'DJB Daily Readings'!AA21-'DJB Daily Readings'!AA20</f>
        <v>97.439999999478459</v>
      </c>
      <c r="P13" s="3">
        <f>'DJB Daily Readings'!AD21-'DJB Daily Readings'!AD20</f>
        <v>5505.359999999404</v>
      </c>
      <c r="Q13" s="3">
        <f>'DJB Daily Readings'!AG21-'DJB Daily Readings'!AG20</f>
        <v>584.6399999987334</v>
      </c>
      <c r="R13" s="3">
        <f>'DJB Daily Readings'!AJ21-'DJB Daily Readings'!AJ20</f>
        <v>5943.8399999979883</v>
      </c>
      <c r="S13" s="3">
        <f>'DJB Daily Readings'!AM21-'DJB Daily Readings'!AM20</f>
        <v>4336.0800000000745</v>
      </c>
      <c r="T13" s="3">
        <f>'DJB Daily Readings'!AP21-'DJB Daily Readings'!AP20</f>
        <v>5018.160000000149</v>
      </c>
      <c r="U13" s="3">
        <f>'DJB Daily Readings'!AS21-'DJB Daily Readings'!AS20</f>
        <v>3312.9599999999627</v>
      </c>
      <c r="V13" s="3">
        <f>'DJB Daily Readings'!AV21-'DJB Daily Readings'!AV20</f>
        <v>5407.9199999999255</v>
      </c>
      <c r="W13" s="3">
        <f>'DJB Daily Readings'!AZ21-'DJB Daily Readings'!AZ20</f>
        <v>100</v>
      </c>
      <c r="X13" s="3">
        <f>'DJB Daily Readings'!BC21-'DJB Daily Readings'!BC20</f>
        <v>27600</v>
      </c>
      <c r="Y13" s="3">
        <f>'DJB Daily Readings'!BF21-'DJB Daily Readings'!BF20</f>
        <v>0</v>
      </c>
      <c r="Z13" s="3">
        <f>('DJB Daily Readings'!CK21-'DJB Daily Readings'!CK20)*1.89</f>
        <v>154.71540000002861</v>
      </c>
      <c r="AA13" s="3">
        <f>('DJB Daily Readings'!CN21-'DJB Daily Readings'!CN20)*1.89</f>
        <v>197.12700000000549</v>
      </c>
      <c r="AB13" s="3">
        <f>('DJB Daily Readings'!CQ21-'DJB Daily Readings'!CQ20)*1.89</f>
        <v>594.32939999998462</v>
      </c>
      <c r="AC13" s="3">
        <f>'DJB Daily Readings'!CT21-'DJB Daily Readings'!CT20</f>
        <v>165</v>
      </c>
      <c r="AD13" s="84">
        <f>('DJB Daily Readings'!BY21-'DJB Daily Readings'!BY20)*1.89</f>
        <v>45.36</v>
      </c>
      <c r="AE13" s="84">
        <f>('DJB Daily Readings'!CA21-'DJB Daily Readings'!CA20)*1.89</f>
        <v>34.019999999999996</v>
      </c>
      <c r="AF13" s="84">
        <f>('DJB Daily Readings'!CC21-'DJB Daily Readings'!CC20)*1.89</f>
        <v>17.009999999999998</v>
      </c>
      <c r="AG13" s="84">
        <f>('DJB Daily Readings'!CE21-'DJB Daily Readings'!CE20)*1.89</f>
        <v>20.79</v>
      </c>
      <c r="AH13" s="84">
        <f>('DJB Daily Readings'!CG21-'DJB Daily Readings'!CG20)*1.89</f>
        <v>24.57</v>
      </c>
      <c r="AI13" s="84">
        <f>('DJB Daily Readings'!CI21-'DJB Daily Readings'!CI20)*1.89</f>
        <v>52.919999999999995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14.099999999998545</v>
      </c>
      <c r="AM13" s="82">
        <f>'DJB Daily Readings'!DA21-'DJB Daily Readings'!DA20</f>
        <v>16</v>
      </c>
      <c r="AN13" s="82">
        <f>'DJB Daily Readings'!DG21-'DJB Daily Readings'!DG20</f>
        <v>5.5999999999985448</v>
      </c>
      <c r="AO13" s="82">
        <f>'DJB Daily Readings'!DE21-'DJB Daily Readings'!DE20</f>
        <v>11.299999999999272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5</v>
      </c>
      <c r="AS13" s="82">
        <f>'DJB Daily Readings'!DM21-'DJB Daily Readings'!DM20</f>
        <v>5</v>
      </c>
      <c r="AT13" s="82">
        <f>'DJB Daily Readings'!DQ21-'DJB Daily Readings'!DQ20</f>
        <v>0</v>
      </c>
      <c r="AU13" s="82">
        <f>'DJB Daily Readings'!DT21-'DJB Daily Readings'!DT20</f>
        <v>1513.0999999996275</v>
      </c>
      <c r="AW13" s="82">
        <f>'DJB Daily Readings'!DX21-'DJB Daily Readings'!DX20</f>
        <v>1069.6000000000931</v>
      </c>
      <c r="AX13" s="82">
        <f>'DJB Daily Readings'!DZ21-'DJB Daily Readings'!DZ20</f>
        <v>4.3500000000058208</v>
      </c>
      <c r="AY13" s="82">
        <f>'DJB Daily Readings'!EB21-'DJB Daily Readings'!EB20</f>
        <v>593.47000000003027</v>
      </c>
      <c r="AZ13" s="82">
        <f>'DJB Daily Readings'!ED21-'DJB Daily Readings'!ED20</f>
        <v>148.40000000000873</v>
      </c>
      <c r="BA13" s="82">
        <f>'DJB Daily Readings'!EG21-'DJB Daily Readings'!EG20</f>
        <v>1300</v>
      </c>
      <c r="BB13" s="82">
        <f>'DJB Daily Readings'!EI21-'DJB Daily Readings'!EI20</f>
        <v>240</v>
      </c>
      <c r="BC13" s="82">
        <f>'DJB Daily Readings'!EQ21-'DJB Daily Readings'!EQ20</f>
        <v>600</v>
      </c>
      <c r="BD13" s="82">
        <f>'DJB Daily Readings'!EK21-'DJB Daily Readings'!EK20</f>
        <v>900</v>
      </c>
      <c r="BE13" s="82">
        <f>'DJB Daily Readings'!EM21-'DJB Daily Readings'!EM20</f>
        <v>0</v>
      </c>
      <c r="BF13" s="82">
        <f>'DJB Daily Readings'!EO21-'DJB Daily Readings'!EO20</f>
        <v>120</v>
      </c>
      <c r="BG13" s="82">
        <f>('DJB Daily Readings'!ET21-'DJB Daily Readings'!ET20)*1.89</f>
        <v>35.796600000004396</v>
      </c>
      <c r="BH13" s="82">
        <f>('DJB Daily Readings'!EV21-'DJB Daily Readings'!EV20)*1.89</f>
        <v>28.841399999996973</v>
      </c>
      <c r="BI13" s="82">
        <f>('DJB Daily Readings'!EZ21-'DJB Daily Readings'!EZ20)*1.89</f>
        <v>0</v>
      </c>
      <c r="BJ13" s="82">
        <f>('DJB Daily Readings'!EX21-'DJB Daily Readings'!EX20)*1.89</f>
        <v>62.936999999991748</v>
      </c>
      <c r="BK13" s="82">
        <f>('DJB Daily Readings'!FB21-'DJB Daily Readings'!FB20)*1.89</f>
        <v>52.315200000000544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2020</v>
      </c>
      <c r="E14" s="78">
        <f>237*0.92</f>
        <v>218.04000000000002</v>
      </c>
      <c r="F14" s="79">
        <f>315+40</f>
        <v>355</v>
      </c>
      <c r="G14" s="3">
        <f>'DJB Daily Readings'!C22-'DJB Daily Readings'!C21</f>
        <v>467</v>
      </c>
      <c r="H14" s="3">
        <f>'DJB Daily Readings'!F22-'DJB Daily Readings'!F21</f>
        <v>435</v>
      </c>
      <c r="I14" s="3">
        <f>'DJB Daily Readings'!K22-'DJB Daily Readings'!K21</f>
        <v>0</v>
      </c>
      <c r="J14" s="3">
        <f>'DJB Daily Readings'!K22-'DJB Daily Readings'!K21</f>
        <v>0</v>
      </c>
      <c r="K14" s="3">
        <f>'DJB Daily Readings'!O22-'DJB Daily Readings'!O21</f>
        <v>57</v>
      </c>
      <c r="L14" s="3">
        <f>'DJB Daily Readings'!R22-'DJB Daily Readings'!R21</f>
        <v>9</v>
      </c>
      <c r="M14" s="3">
        <f>'DJB Daily Readings'!U22-'DJB Daily Readings'!U21</f>
        <v>1802.6399999996647</v>
      </c>
      <c r="N14" s="3">
        <f>'DJB Daily Readings'!X22-'DJB Daily Readings'!X21</f>
        <v>4872</v>
      </c>
      <c r="O14" s="3">
        <f>'DJB Daily Readings'!AA22-'DJB Daily Readings'!AA21</f>
        <v>97.440000001341105</v>
      </c>
      <c r="P14" s="3">
        <f>'DJB Daily Readings'!AD22-'DJB Daily Readings'!AD21</f>
        <v>5456.640000000596</v>
      </c>
      <c r="Q14" s="3">
        <f>'DJB Daily Readings'!AG22-'DJB Daily Readings'!AG21</f>
        <v>487.19999999925494</v>
      </c>
      <c r="R14" s="3">
        <f>'DJB Daily Readings'!AJ22-'DJB Daily Readings'!AJ21</f>
        <v>6382.3200000021607</v>
      </c>
      <c r="S14" s="3">
        <f>'DJB Daily Readings'!AM22-'DJB Daily Readings'!AM21</f>
        <v>4433.519999999553</v>
      </c>
      <c r="T14" s="3">
        <f>'DJB Daily Readings'!AP22-'DJB Daily Readings'!AP21</f>
        <v>4920.7199999988079</v>
      </c>
      <c r="U14" s="3">
        <f>'DJB Daily Readings'!AS22-'DJB Daily Readings'!AS21</f>
        <v>3118.0800000010058</v>
      </c>
      <c r="V14" s="3">
        <f>'DJB Daily Readings'!AV22-'DJB Daily Readings'!AV21</f>
        <v>5554.0800000000745</v>
      </c>
      <c r="W14" s="3">
        <f>'DJB Daily Readings'!AZ22-'DJB Daily Readings'!AZ21</f>
        <v>0</v>
      </c>
      <c r="X14" s="3">
        <f>'DJB Daily Readings'!BC22-'DJB Daily Readings'!BC21</f>
        <v>28100</v>
      </c>
      <c r="Y14" s="3">
        <f>'DJB Daily Readings'!BF22-'DJB Daily Readings'!BF21</f>
        <v>0</v>
      </c>
      <c r="Z14" s="3">
        <f>('DJB Daily Readings'!CK22-'DJB Daily Readings'!CK21)*1.89</f>
        <v>158.60879999996919</v>
      </c>
      <c r="AA14" s="3">
        <f>('DJB Daily Readings'!CN22-'DJB Daily Readings'!CN21)*1.89</f>
        <v>180.13589999999559</v>
      </c>
      <c r="AB14" s="3">
        <f>('DJB Daily Readings'!CQ22-'DJB Daily Readings'!CQ21)*1.89</f>
        <v>660.97080000000221</v>
      </c>
      <c r="AC14" s="3">
        <f>'DJB Daily Readings'!CT22-'DJB Daily Readings'!CT21</f>
        <v>168</v>
      </c>
      <c r="AD14" s="84">
        <v>0</v>
      </c>
      <c r="AE14" s="84">
        <v>0</v>
      </c>
      <c r="AF14" s="84">
        <v>0</v>
      </c>
      <c r="AG14" s="84">
        <v>0</v>
      </c>
      <c r="AH14" s="84">
        <v>0</v>
      </c>
      <c r="AI14" s="84">
        <v>0</v>
      </c>
      <c r="AJ14" s="82">
        <v>0</v>
      </c>
      <c r="AK14" s="82">
        <v>0</v>
      </c>
      <c r="AL14" s="82">
        <v>0</v>
      </c>
      <c r="AM14" s="82">
        <v>0</v>
      </c>
      <c r="AN14" s="82">
        <v>0</v>
      </c>
      <c r="AO14" s="82">
        <v>0</v>
      </c>
      <c r="AP14" s="82">
        <v>0</v>
      </c>
      <c r="AQ14" s="82">
        <v>0</v>
      </c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>
        <v>0</v>
      </c>
      <c r="AZ14" s="82">
        <v>0</v>
      </c>
      <c r="BA14" s="82">
        <v>0</v>
      </c>
      <c r="BB14" s="82">
        <v>0</v>
      </c>
      <c r="BC14" s="82">
        <v>0</v>
      </c>
      <c r="BD14" s="82">
        <v>0</v>
      </c>
      <c r="BE14" s="82">
        <v>0</v>
      </c>
      <c r="BF14" s="82">
        <v>0</v>
      </c>
      <c r="BG14" s="82">
        <v>0</v>
      </c>
      <c r="BH14" s="82">
        <v>0</v>
      </c>
      <c r="BI14" s="82">
        <v>0</v>
      </c>
      <c r="BJ14" s="82">
        <v>0</v>
      </c>
      <c r="BK14" s="82">
        <v>0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2020</v>
      </c>
      <c r="E15" s="78">
        <f>237*0.92</f>
        <v>218.04000000000002</v>
      </c>
      <c r="F15" s="79">
        <f>282+31</f>
        <v>313</v>
      </c>
      <c r="G15" s="3">
        <f>'DJB Daily Readings'!C23-'DJB Daily Readings'!C22</f>
        <v>477</v>
      </c>
      <c r="H15" s="3">
        <f>'DJB Daily Readings'!F23-'DJB Daily Readings'!F22</f>
        <v>400</v>
      </c>
      <c r="I15" s="3">
        <f>'DJB Daily Readings'!K23-'DJB Daily Readings'!K22</f>
        <v>0</v>
      </c>
      <c r="J15" s="3">
        <f>'DJB Daily Readings'!K23-'DJB Daily Readings'!K22</f>
        <v>0</v>
      </c>
      <c r="K15" s="3">
        <f>'DJB Daily Readings'!O23-'DJB Daily Readings'!O22</f>
        <v>38</v>
      </c>
      <c r="L15" s="3">
        <f>'DJB Daily Readings'!R23-'DJB Daily Readings'!R22</f>
        <v>0</v>
      </c>
      <c r="M15" s="3">
        <f>'DJB Daily Readings'!U23-'DJB Daily Readings'!U22</f>
        <v>1705.2000000001863</v>
      </c>
      <c r="N15" s="3">
        <f>'DJB Daily Readings'!X23-'DJB Daily Readings'!X22</f>
        <v>4920.7199999988079</v>
      </c>
      <c r="O15" s="3">
        <f>'DJB Daily Readings'!AA23-'DJB Daily Readings'!AA22</f>
        <v>146.15999999828637</v>
      </c>
      <c r="P15" s="3">
        <f>'DJB Daily Readings'!AD23-'DJB Daily Readings'!AD22</f>
        <v>4774.5600000005215</v>
      </c>
      <c r="Q15" s="3">
        <f>'DJB Daily Readings'!AG23-'DJB Daily Readings'!AG22</f>
        <v>633.36000000312924</v>
      </c>
      <c r="R15" s="3">
        <f>'DJB Daily Readings'!AJ23-'DJB Daily Readings'!AJ22</f>
        <v>6236.1599999982864</v>
      </c>
      <c r="S15" s="3">
        <f>'DJB Daily Readings'!AM23-'DJB Daily Readings'!AM22</f>
        <v>4238.640000000596</v>
      </c>
      <c r="T15" s="3">
        <f>'DJB Daily Readings'!AP23-'DJB Daily Readings'!AP22</f>
        <v>4969.4400000013411</v>
      </c>
      <c r="U15" s="3">
        <f>'DJB Daily Readings'!AS23-'DJB Daily Readings'!AS22</f>
        <v>3361.6799999987707</v>
      </c>
      <c r="V15" s="3">
        <f>'DJB Daily Readings'!AV23-'DJB Daily Readings'!AV22</f>
        <v>5505.3600000012666</v>
      </c>
      <c r="W15" s="3">
        <f>'DJB Daily Readings'!AZ23-'DJB Daily Readings'!AZ22</f>
        <v>0</v>
      </c>
      <c r="X15" s="3">
        <f>'DJB Daily Readings'!BC23-'DJB Daily Readings'!BC22</f>
        <v>22700</v>
      </c>
      <c r="Y15" s="3">
        <f>'DJB Daily Readings'!BF23-'DJB Daily Readings'!BF22</f>
        <v>0</v>
      </c>
      <c r="Z15" s="3">
        <f>('DJB Daily Readings'!CK23-'DJB Daily Readings'!CK22)*1.89</f>
        <v>160.839000000011</v>
      </c>
      <c r="AA15" s="3">
        <f>('DJB Daily Readings'!CN23-'DJB Daily Readings'!CN22)*1.89</f>
        <v>186.61859999998239</v>
      </c>
      <c r="AB15" s="3">
        <f>('DJB Daily Readings'!CQ23-'DJB Daily Readings'!CQ22)*1.89</f>
        <v>662.82300000002192</v>
      </c>
      <c r="AC15" s="3">
        <f>'DJB Daily Readings'!CT23-'DJB Daily Readings'!CT22</f>
        <v>172</v>
      </c>
      <c r="AD15" s="84">
        <v>0</v>
      </c>
      <c r="AE15" s="84">
        <v>0</v>
      </c>
      <c r="AF15" s="84">
        <v>0</v>
      </c>
      <c r="AG15" s="84">
        <v>0</v>
      </c>
      <c r="AH15" s="84">
        <v>0</v>
      </c>
      <c r="AI15" s="84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0</v>
      </c>
      <c r="AO15" s="82">
        <v>0</v>
      </c>
      <c r="AP15" s="82">
        <v>0</v>
      </c>
      <c r="AQ15" s="82">
        <v>0</v>
      </c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>
        <v>0</v>
      </c>
      <c r="AZ15" s="82">
        <v>0</v>
      </c>
      <c r="BA15" s="82">
        <v>0</v>
      </c>
      <c r="BB15" s="82">
        <v>0</v>
      </c>
      <c r="BC15" s="82">
        <v>0</v>
      </c>
      <c r="BD15" s="82">
        <v>0</v>
      </c>
      <c r="BE15" s="82">
        <v>0</v>
      </c>
      <c r="BF15" s="82">
        <v>0</v>
      </c>
      <c r="BG15" s="82">
        <v>0</v>
      </c>
      <c r="BH15" s="82">
        <v>0</v>
      </c>
      <c r="BI15" s="82">
        <v>0</v>
      </c>
      <c r="BJ15" s="82">
        <v>0</v>
      </c>
      <c r="BK15" s="82">
        <v>0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2020</v>
      </c>
      <c r="E16" s="78">
        <f>237*0.86</f>
        <v>203.82</v>
      </c>
      <c r="F16" s="79">
        <f>271+29</f>
        <v>300</v>
      </c>
      <c r="G16" s="3">
        <f>'DJB Daily Readings'!C24-'DJB Daily Readings'!C23</f>
        <v>472</v>
      </c>
      <c r="H16" s="3">
        <f>'DJB Daily Readings'!F24-'DJB Daily Readings'!F23</f>
        <v>414</v>
      </c>
      <c r="I16" s="3">
        <f>'DJB Daily Readings'!K24-'DJB Daily Readings'!K23</f>
        <v>55.5</v>
      </c>
      <c r="J16" s="3">
        <f>'DJB Daily Readings'!K24-'DJB Daily Readings'!K23</f>
        <v>55.5</v>
      </c>
      <c r="K16" s="3">
        <f>'DJB Daily Readings'!O24-'DJB Daily Readings'!O23</f>
        <v>39</v>
      </c>
      <c r="L16" s="3">
        <f>'DJB Daily Readings'!R24-'DJB Daily Readings'!R23</f>
        <v>0</v>
      </c>
      <c r="M16" s="3">
        <f>'DJB Daily Readings'!U24-'DJB Daily Readings'!U23</f>
        <v>1705.2000000001863</v>
      </c>
      <c r="N16" s="3">
        <f>'DJB Daily Readings'!X24-'DJB Daily Readings'!X23</f>
        <v>4969.4399999994785</v>
      </c>
      <c r="O16" s="3">
        <f>'DJB Daily Readings'!AA24-'DJB Daily Readings'!AA23</f>
        <v>146.16000000014901</v>
      </c>
      <c r="P16" s="3">
        <f>'DJB Daily Readings'!AD24-'DJB Daily Readings'!AD23</f>
        <v>3946.3199999984354</v>
      </c>
      <c r="Q16" s="3">
        <f>'DJB Daily Readings'!AG24-'DJB Daily Readings'!AG23</f>
        <v>633.35999999940395</v>
      </c>
      <c r="R16" s="3">
        <f>'DJB Daily Readings'!AJ24-'DJB Daily Readings'!AJ23</f>
        <v>6431.0400000009686</v>
      </c>
      <c r="S16" s="3">
        <f>'DJB Daily Readings'!AM24-'DJB Daily Readings'!AM23</f>
        <v>4530.9599999990314</v>
      </c>
      <c r="T16" s="3">
        <f>'DJB Daily Readings'!AP24-'DJB Daily Readings'!AP23</f>
        <v>5018.160000000149</v>
      </c>
      <c r="U16" s="3">
        <f>'DJB Daily Readings'!AS24-'DJB Daily Readings'!AS23</f>
        <v>3702.7200000006706</v>
      </c>
      <c r="V16" s="3">
        <f>'DJB Daily Readings'!AV24-'DJB Daily Readings'!AV23</f>
        <v>5505.359999999404</v>
      </c>
      <c r="W16" s="3">
        <f>'DJB Daily Readings'!AZ24-'DJB Daily Readings'!AZ23</f>
        <v>100</v>
      </c>
      <c r="X16" s="3">
        <f>'DJB Daily Readings'!BC24-'DJB Daily Readings'!BC23</f>
        <v>19900</v>
      </c>
      <c r="Y16" s="3">
        <f>'DJB Daily Readings'!BF24-'DJB Daily Readings'!BF23</f>
        <v>0</v>
      </c>
      <c r="Z16" s="3">
        <f>('DJB Daily Readings'!CK24-'DJB Daily Readings'!CK23)*1.89</f>
        <v>161.21699999997799</v>
      </c>
      <c r="AA16" s="3">
        <f>('DJB Daily Readings'!CN24-'DJB Daily Readings'!CN23)*1.89</f>
        <v>184.0860000000165</v>
      </c>
      <c r="AB16" s="3">
        <f>('DJB Daily Readings'!CQ24-'DJB Daily Readings'!CQ23)*1.89</f>
        <v>605.745</v>
      </c>
      <c r="AC16" s="3">
        <f>'DJB Daily Readings'!CT24-'DJB Daily Readings'!CT23</f>
        <v>175</v>
      </c>
      <c r="AD16" s="84">
        <v>0</v>
      </c>
      <c r="AE16" s="84">
        <v>0</v>
      </c>
      <c r="AF16" s="84">
        <v>0</v>
      </c>
      <c r="AG16" s="84">
        <v>0</v>
      </c>
      <c r="AH16" s="84">
        <v>0</v>
      </c>
      <c r="AI16" s="84">
        <v>0</v>
      </c>
      <c r="AJ16" s="82">
        <v>0</v>
      </c>
      <c r="AK16" s="82">
        <v>0</v>
      </c>
      <c r="AL16" s="82">
        <v>0</v>
      </c>
      <c r="AM16" s="82">
        <v>0</v>
      </c>
      <c r="AN16" s="82">
        <v>0</v>
      </c>
      <c r="AO16" s="82">
        <v>0</v>
      </c>
      <c r="AP16" s="82">
        <v>0</v>
      </c>
      <c r="AQ16" s="82">
        <v>0</v>
      </c>
      <c r="AR16" s="82">
        <v>0</v>
      </c>
      <c r="AS16" s="82">
        <v>0</v>
      </c>
      <c r="AT16" s="82">
        <v>0</v>
      </c>
      <c r="AU16" s="82">
        <v>0</v>
      </c>
      <c r="AV16" s="82">
        <v>0</v>
      </c>
      <c r="AW16" s="82">
        <v>0</v>
      </c>
      <c r="AX16" s="82">
        <v>0</v>
      </c>
      <c r="AY16" s="82">
        <v>0</v>
      </c>
      <c r="AZ16" s="82">
        <v>0</v>
      </c>
      <c r="BA16" s="82">
        <v>0</v>
      </c>
      <c r="BB16" s="82">
        <v>0</v>
      </c>
      <c r="BC16" s="82">
        <v>0</v>
      </c>
      <c r="BD16" s="82">
        <v>0</v>
      </c>
      <c r="BE16" s="82">
        <v>0</v>
      </c>
      <c r="BF16" s="82">
        <v>0</v>
      </c>
      <c r="BG16" s="82">
        <v>0</v>
      </c>
      <c r="BH16" s="82">
        <v>0</v>
      </c>
      <c r="BI16" s="82">
        <v>0</v>
      </c>
      <c r="BJ16" s="82">
        <v>0</v>
      </c>
      <c r="BK16" s="82">
        <v>0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2020</v>
      </c>
      <c r="E17" s="78">
        <f>237*0.61</f>
        <v>144.57</v>
      </c>
      <c r="F17" s="79">
        <f>265+36</f>
        <v>301</v>
      </c>
      <c r="G17" s="3">
        <f>'DJB Daily Readings'!C25-'DJB Daily Readings'!C24</f>
        <v>445</v>
      </c>
      <c r="H17" s="3">
        <f>'DJB Daily Readings'!F25-'DJB Daily Readings'!F24</f>
        <v>407</v>
      </c>
      <c r="I17" s="3">
        <f>'DJB Daily Readings'!K25-'DJB Daily Readings'!K24</f>
        <v>138.5</v>
      </c>
      <c r="J17" s="3">
        <f>'DJB Daily Readings'!K25-'DJB Daily Readings'!K24</f>
        <v>138.5</v>
      </c>
      <c r="K17" s="3">
        <f>'DJB Daily Readings'!O25-'DJB Daily Readings'!O24</f>
        <v>37</v>
      </c>
      <c r="L17" s="3">
        <f>'DJB Daily Readings'!R25-'DJB Daily Readings'!R24</f>
        <v>0</v>
      </c>
      <c r="M17" s="3">
        <f>'DJB Daily Readings'!U25-'DJB Daily Readings'!U24</f>
        <v>1753.9199999989942</v>
      </c>
      <c r="N17" s="3">
        <f>'DJB Daily Readings'!X25-'DJB Daily Readings'!X24</f>
        <v>4774.5600000005215</v>
      </c>
      <c r="O17" s="3">
        <f>'DJB Daily Readings'!AA25-'DJB Daily Readings'!AA24</f>
        <v>48.719999998807907</v>
      </c>
      <c r="P17" s="3">
        <f>'DJB Daily Readings'!AD25-'DJB Daily Readings'!AD24</f>
        <v>3946.3200000021607</v>
      </c>
      <c r="Q17" s="3">
        <f>'DJB Daily Readings'!AG25-'DJB Daily Readings'!AG24</f>
        <v>682.07999999821186</v>
      </c>
      <c r="R17" s="3">
        <f>'DJB Daily Readings'!AJ25-'DJB Daily Readings'!AJ24</f>
        <v>6577.2000000011176</v>
      </c>
      <c r="S17" s="3">
        <f>'DJB Daily Readings'!AM25-'DJB Daily Readings'!AM24</f>
        <v>4677.1199999991804</v>
      </c>
      <c r="T17" s="3">
        <f>'DJB Daily Readings'!AP25-'DJB Daily Readings'!AP24</f>
        <v>4823.2799999993294</v>
      </c>
      <c r="U17" s="3">
        <f>'DJB Daily Readings'!AS25-'DJB Daily Readings'!AS24</f>
        <v>3020.640000000596</v>
      </c>
      <c r="V17" s="3">
        <f>'DJB Daily Readings'!AV25-'DJB Daily Readings'!AV24</f>
        <v>5651.519999999553</v>
      </c>
      <c r="W17" s="3">
        <f>'DJB Daily Readings'!AZ25-'DJB Daily Readings'!AZ24</f>
        <v>0</v>
      </c>
      <c r="X17" s="3">
        <f>'DJB Daily Readings'!BC25-'DJB Daily Readings'!BC24</f>
        <v>20600</v>
      </c>
      <c r="Y17" s="3">
        <f>'DJB Daily Readings'!BF25-'DJB Daily Readings'!BF24</f>
        <v>0</v>
      </c>
      <c r="Z17" s="3">
        <f>('DJB Daily Readings'!CK25-'DJB Daily Readings'!CK24)*1.89</f>
        <v>158.91120000003079</v>
      </c>
      <c r="AA17" s="3">
        <f>('DJB Daily Readings'!CN25-'DJB Daily Readings'!CN24)*1.89</f>
        <v>175.20299999999449</v>
      </c>
      <c r="AB17" s="3">
        <f>('DJB Daily Readings'!CQ25-'DJB Daily Readings'!CQ24)*1.89</f>
        <v>595.53900000001101</v>
      </c>
      <c r="AC17" s="3">
        <f>'DJB Daily Readings'!CT25-'DJB Daily Readings'!CT24</f>
        <v>172</v>
      </c>
      <c r="AD17" s="84">
        <v>0</v>
      </c>
      <c r="AE17" s="84">
        <v>0</v>
      </c>
      <c r="AF17" s="84">
        <v>0</v>
      </c>
      <c r="AG17" s="84">
        <v>0</v>
      </c>
      <c r="AH17" s="84">
        <v>0</v>
      </c>
      <c r="AI17" s="84">
        <v>0</v>
      </c>
      <c r="AJ17" s="82">
        <v>0</v>
      </c>
      <c r="AK17" s="82">
        <v>0</v>
      </c>
      <c r="AL17" s="82">
        <v>0</v>
      </c>
      <c r="AM17" s="82">
        <v>0</v>
      </c>
      <c r="AN17" s="82">
        <v>0</v>
      </c>
      <c r="AO17" s="82">
        <v>0</v>
      </c>
      <c r="AP17" s="82">
        <v>0</v>
      </c>
      <c r="AQ17" s="82">
        <v>0</v>
      </c>
      <c r="AR17" s="82">
        <v>0</v>
      </c>
      <c r="AS17" s="82">
        <v>0</v>
      </c>
      <c r="AT17" s="82">
        <v>0</v>
      </c>
      <c r="AU17" s="82">
        <v>0</v>
      </c>
      <c r="AV17" s="82">
        <v>0</v>
      </c>
      <c r="AW17" s="82">
        <v>0</v>
      </c>
      <c r="AX17" s="82">
        <v>0</v>
      </c>
      <c r="AY17" s="82">
        <v>0</v>
      </c>
      <c r="AZ17" s="82">
        <v>0</v>
      </c>
      <c r="BA17" s="82">
        <v>0</v>
      </c>
      <c r="BB17" s="82">
        <v>0</v>
      </c>
      <c r="BC17" s="82">
        <v>0</v>
      </c>
      <c r="BD17" s="82">
        <v>0</v>
      </c>
      <c r="BE17" s="82">
        <v>0</v>
      </c>
      <c r="BF17" s="82">
        <v>0</v>
      </c>
      <c r="BG17" s="82">
        <v>0</v>
      </c>
      <c r="BH17" s="82">
        <v>0</v>
      </c>
      <c r="BI17" s="82">
        <v>0</v>
      </c>
      <c r="BJ17" s="82">
        <v>0</v>
      </c>
      <c r="BK17" s="82">
        <v>0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2020</v>
      </c>
      <c r="E18" s="78">
        <f>237*0.61</f>
        <v>144.57</v>
      </c>
      <c r="F18" s="79">
        <f>305+48</f>
        <v>353</v>
      </c>
      <c r="G18" s="3">
        <f>'DJB Daily Readings'!C26-'DJB Daily Readings'!C25</f>
        <v>498</v>
      </c>
      <c r="H18" s="3">
        <f>'DJB Daily Readings'!F26-'DJB Daily Readings'!F25</f>
        <v>452</v>
      </c>
      <c r="I18" s="3">
        <f>'DJB Daily Readings'!K26-'DJB Daily Readings'!K25</f>
        <v>170.59999999997672</v>
      </c>
      <c r="J18" s="3">
        <f>'DJB Daily Readings'!K26-'DJB Daily Readings'!K25</f>
        <v>170.59999999997672</v>
      </c>
      <c r="K18" s="3">
        <f>'DJB Daily Readings'!O26-'DJB Daily Readings'!O25</f>
        <v>63</v>
      </c>
      <c r="L18" s="3">
        <f>'DJB Daily Readings'!R26-'DJB Daily Readings'!R25</f>
        <v>14</v>
      </c>
      <c r="M18" s="3">
        <f>'DJB Daily Readings'!U26-'DJB Daily Readings'!U25</f>
        <v>1948.8000000007451</v>
      </c>
      <c r="N18" s="3">
        <f>'DJB Daily Readings'!X26-'DJB Daily Readings'!X25</f>
        <v>4920.7200000006706</v>
      </c>
      <c r="O18" s="3">
        <f>'DJB Daily Readings'!AA26-'DJB Daily Readings'!AA25</f>
        <v>0</v>
      </c>
      <c r="P18" s="3">
        <f>'DJB Daily Readings'!AD26-'DJB Daily Readings'!AD25</f>
        <v>5700.2399999983609</v>
      </c>
      <c r="Q18" s="3">
        <f>'DJB Daily Readings'!AG26-'DJB Daily Readings'!AG25</f>
        <v>584.64000000059605</v>
      </c>
      <c r="R18" s="3">
        <f>'DJB Daily Readings'!AJ26-'DJB Daily Readings'!AJ25</f>
        <v>6333.5999999996275</v>
      </c>
      <c r="S18" s="3">
        <f>'DJB Daily Readings'!AM26-'DJB Daily Readings'!AM25</f>
        <v>4482.2400000002235</v>
      </c>
      <c r="T18" s="3">
        <f>'DJB Daily Readings'!AP26-'DJB Daily Readings'!AP25</f>
        <v>4969.4400000013411</v>
      </c>
      <c r="U18" s="3">
        <f>'DJB Daily Readings'!AS26-'DJB Daily Readings'!AS25</f>
        <v>3459.1199999991804</v>
      </c>
      <c r="V18" s="3">
        <f>'DJB Daily Readings'!AV26-'DJB Daily Readings'!AV25</f>
        <v>5651.5200000014156</v>
      </c>
      <c r="W18" s="3">
        <f>'DJB Daily Readings'!AZ26-'DJB Daily Readings'!AZ25</f>
        <v>100</v>
      </c>
      <c r="X18" s="3">
        <f>'DJB Daily Readings'!BC26-'DJB Daily Readings'!BC25</f>
        <v>27600</v>
      </c>
      <c r="Y18" s="3">
        <f>'DJB Daily Readings'!BF26-'DJB Daily Readings'!BF25</f>
        <v>0</v>
      </c>
      <c r="Z18" s="3">
        <f>('DJB Daily Readings'!CK26-'DJB Daily Readings'!CK25)*1.89</f>
        <v>160.65</v>
      </c>
      <c r="AA18" s="3">
        <f>('DJB Daily Readings'!CN26-'DJB Daily Readings'!CN25)*1.89</f>
        <v>174.635999999989</v>
      </c>
      <c r="AB18" s="3">
        <f>('DJB Daily Readings'!CQ26-'DJB Daily Readings'!CQ25)*1.89</f>
        <v>618.78599999998892</v>
      </c>
      <c r="AC18" s="3">
        <f>'DJB Daily Readings'!CT26-'DJB Daily Readings'!CT25</f>
        <v>173</v>
      </c>
      <c r="AD18" s="84">
        <v>0</v>
      </c>
      <c r="AE18" s="84">
        <v>0</v>
      </c>
      <c r="AF18" s="84">
        <v>0</v>
      </c>
      <c r="AG18" s="84">
        <v>0</v>
      </c>
      <c r="AH18" s="84">
        <v>0</v>
      </c>
      <c r="AI18" s="84">
        <v>0</v>
      </c>
      <c r="AJ18" s="82">
        <v>0</v>
      </c>
      <c r="AK18" s="82">
        <v>0</v>
      </c>
      <c r="AL18" s="82">
        <v>0</v>
      </c>
      <c r="AM18" s="82">
        <v>0</v>
      </c>
      <c r="AN18" s="82">
        <v>0</v>
      </c>
      <c r="AO18" s="82">
        <v>0</v>
      </c>
      <c r="AP18" s="82">
        <v>0</v>
      </c>
      <c r="AQ18" s="82">
        <v>0</v>
      </c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>
        <v>0</v>
      </c>
      <c r="AZ18" s="82">
        <v>0</v>
      </c>
      <c r="BA18" s="82">
        <v>0</v>
      </c>
      <c r="BB18" s="82">
        <v>0</v>
      </c>
      <c r="BC18" s="82">
        <v>0</v>
      </c>
      <c r="BD18" s="82">
        <v>0</v>
      </c>
      <c r="BE18" s="82">
        <v>0</v>
      </c>
      <c r="BF18" s="82">
        <v>0</v>
      </c>
      <c r="BG18" s="82">
        <v>0</v>
      </c>
      <c r="BH18" s="82">
        <v>0</v>
      </c>
      <c r="BI18" s="82">
        <v>0</v>
      </c>
      <c r="BJ18" s="82">
        <v>0</v>
      </c>
      <c r="BK18" s="82">
        <v>0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2020</v>
      </c>
      <c r="E19" s="78">
        <f>237*0.61</f>
        <v>144.57</v>
      </c>
      <c r="F19" s="79">
        <f>278+41</f>
        <v>319</v>
      </c>
      <c r="G19" s="3">
        <f>'DJB Daily Readings'!C27-'DJB Daily Readings'!C26</f>
        <v>556</v>
      </c>
      <c r="H19" s="3">
        <f>'DJB Daily Readings'!F27-'DJB Daily Readings'!F26</f>
        <v>454</v>
      </c>
      <c r="I19" s="3">
        <f>'DJB Daily Readings'!K27-'DJB Daily Readings'!K26</f>
        <v>138.80000000004657</v>
      </c>
      <c r="J19" s="3">
        <f>'DJB Daily Readings'!K27-'DJB Daily Readings'!K26</f>
        <v>138.80000000004657</v>
      </c>
      <c r="K19" s="3">
        <f>'DJB Daily Readings'!O27-'DJB Daily Readings'!O26</f>
        <v>69</v>
      </c>
      <c r="L19" s="3">
        <f>'DJB Daily Readings'!R27-'DJB Daily Readings'!R26</f>
        <v>22</v>
      </c>
      <c r="M19" s="3">
        <f>'DJB Daily Readings'!U27-'DJB Daily Readings'!U26</f>
        <v>1948.7999999998137</v>
      </c>
      <c r="N19" s="3">
        <f>'DJB Daily Readings'!X27-'DJB Daily Readings'!X26</f>
        <v>4774.5600000005215</v>
      </c>
      <c r="O19" s="3">
        <f>'DJB Daily Readings'!AA27-'DJB Daily Readings'!AA26</f>
        <v>341.04000000096858</v>
      </c>
      <c r="P19" s="3">
        <f>'DJB Daily Readings'!AD27-'DJB Daily Readings'!AD26</f>
        <v>292.32000000029802</v>
      </c>
      <c r="Q19" s="3">
        <f>'DJB Daily Readings'!AG27-'DJB Daily Readings'!AG26</f>
        <v>6918.2400000002235</v>
      </c>
      <c r="R19" s="3">
        <f>'DJB Daily Readings'!AJ27-'DJB Daily Readings'!AJ26</f>
        <v>6187.4399999994785</v>
      </c>
      <c r="S19" s="3">
        <f>'DJB Daily Readings'!AM27-'DJB Daily Readings'!AM26</f>
        <v>4677.1200000010431</v>
      </c>
      <c r="T19" s="3">
        <f>'DJB Daily Readings'!AP27-'DJB Daily Readings'!AP26</f>
        <v>5115.5999999996275</v>
      </c>
      <c r="U19" s="3">
        <f>'DJB Daily Readings'!AS27-'DJB Daily Readings'!AS26</f>
        <v>3556.5599999995902</v>
      </c>
      <c r="V19" s="3">
        <f>'DJB Daily Readings'!AV27-'DJB Daily Readings'!AV26</f>
        <v>5554.0799999982119</v>
      </c>
      <c r="W19" s="3">
        <f>'DJB Daily Readings'!AZ27-'DJB Daily Readings'!AZ26</f>
        <v>0</v>
      </c>
      <c r="X19" s="3">
        <f>'DJB Daily Readings'!BC27-'DJB Daily Readings'!BC26</f>
        <v>1700</v>
      </c>
      <c r="Y19" s="3">
        <f>'DJB Daily Readings'!BF27-'DJB Daily Readings'!BF26</f>
        <v>30900</v>
      </c>
      <c r="Z19" s="3">
        <f>('DJB Daily Readings'!CK27-'DJB Daily Readings'!CK26)*1.89</f>
        <v>160.30980000001318</v>
      </c>
      <c r="AA19" s="3">
        <f>('DJB Daily Readings'!CN27-'DJB Daily Readings'!CN26)*1.89</f>
        <v>180.495</v>
      </c>
      <c r="AB19" s="3">
        <f>('DJB Daily Readings'!CQ27-'DJB Daily Readings'!CQ26)*1.89</f>
        <v>649.40400000001102</v>
      </c>
      <c r="AC19" s="3">
        <f>'DJB Daily Readings'!CT27-'DJB Daily Readings'!CT26</f>
        <v>173</v>
      </c>
      <c r="AD19" s="84">
        <v>0</v>
      </c>
      <c r="AE19" s="84">
        <v>0</v>
      </c>
      <c r="AF19" s="84">
        <v>0</v>
      </c>
      <c r="AG19" s="84">
        <v>0</v>
      </c>
      <c r="AH19" s="84">
        <v>0</v>
      </c>
      <c r="AI19" s="84">
        <v>0</v>
      </c>
      <c r="AJ19" s="82">
        <v>0</v>
      </c>
      <c r="AK19" s="82">
        <v>0</v>
      </c>
      <c r="AL19" s="82">
        <v>0</v>
      </c>
      <c r="AM19" s="82">
        <v>0</v>
      </c>
      <c r="AN19" s="82">
        <v>0</v>
      </c>
      <c r="AO19" s="82">
        <v>0</v>
      </c>
      <c r="AP19" s="82">
        <v>0</v>
      </c>
      <c r="AQ19" s="82">
        <v>0</v>
      </c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>
        <v>0</v>
      </c>
      <c r="AZ19" s="82">
        <v>0</v>
      </c>
      <c r="BA19" s="82">
        <v>0</v>
      </c>
      <c r="BB19" s="82">
        <v>0</v>
      </c>
      <c r="BC19" s="82">
        <v>0</v>
      </c>
      <c r="BD19" s="82">
        <v>0</v>
      </c>
      <c r="BE19" s="82">
        <v>0</v>
      </c>
      <c r="BF19" s="82">
        <v>0</v>
      </c>
      <c r="BG19" s="82">
        <v>0</v>
      </c>
      <c r="BH19" s="82">
        <v>0</v>
      </c>
      <c r="BI19" s="82">
        <v>0</v>
      </c>
      <c r="BJ19" s="82">
        <v>0</v>
      </c>
      <c r="BK19" s="82">
        <v>0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2020</v>
      </c>
      <c r="E20" s="78">
        <f>237*0.67</f>
        <v>158.79000000000002</v>
      </c>
      <c r="F20" s="79">
        <f>278+41</f>
        <v>319</v>
      </c>
      <c r="G20" s="3">
        <f>'DJB Daily Readings'!C28-'DJB Daily Readings'!C27</f>
        <v>516</v>
      </c>
      <c r="H20" s="3">
        <f>'DJB Daily Readings'!F28-'DJB Daily Readings'!F27</f>
        <v>458</v>
      </c>
      <c r="I20" s="3">
        <f>'DJB Daily Readings'!K28-'DJB Daily Readings'!K27</f>
        <v>190.09999999997672</v>
      </c>
      <c r="J20" s="3">
        <f>'DJB Daily Readings'!K28-'DJB Daily Readings'!K27</f>
        <v>190.09999999997672</v>
      </c>
      <c r="K20" s="3">
        <f>'DJB Daily Readings'!O28-'DJB Daily Readings'!O27</f>
        <v>71</v>
      </c>
      <c r="L20" s="3">
        <f>'DJB Daily Readings'!R28-'DJB Daily Readings'!R27</f>
        <v>2</v>
      </c>
      <c r="M20" s="3">
        <f>'DJB Daily Readings'!U28-'DJB Daily Readings'!U27</f>
        <v>2046.2400000002235</v>
      </c>
      <c r="N20" s="3">
        <f>'DJB Daily Readings'!X28-'DJB Daily Readings'!X27</f>
        <v>4823.2799999993294</v>
      </c>
      <c r="O20" s="3">
        <f>'DJB Daily Readings'!AA28-'DJB Daily Readings'!AA27</f>
        <v>292.32000000029802</v>
      </c>
      <c r="P20" s="3">
        <f>'DJB Daily Readings'!AD28-'DJB Daily Readings'!AD27</f>
        <v>48.719999998807907</v>
      </c>
      <c r="Q20" s="3">
        <f>'DJB Daily Readings'!AG28-'DJB Daily Readings'!AG27</f>
        <v>7600.3199999984354</v>
      </c>
      <c r="R20" s="3">
        <f>'DJB Daily Readings'!AJ28-'DJB Daily Readings'!AJ27</f>
        <v>6284.8799999989569</v>
      </c>
      <c r="S20" s="3">
        <f>'DJB Daily Readings'!AM28-'DJB Daily Readings'!AM27</f>
        <v>4628.4000000003725</v>
      </c>
      <c r="T20" s="3">
        <f>'DJB Daily Readings'!AP28-'DJB Daily Readings'!AP27</f>
        <v>5213.0400000009686</v>
      </c>
      <c r="U20" s="3">
        <f>'DJB Daily Readings'!AS28-'DJB Daily Readings'!AS27</f>
        <v>3702.7200000016019</v>
      </c>
      <c r="V20" s="3">
        <f>'DJB Daily Readings'!AV28-'DJB Daily Readings'!AV27</f>
        <v>5602.8000000007451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34000</v>
      </c>
      <c r="Z20" s="3">
        <f>('DJB Daily Readings'!CK28-'DJB Daily Readings'!CK27)*1.89</f>
        <v>157.058999999956</v>
      </c>
      <c r="AA20" s="3">
        <f>('DJB Daily Readings'!CN28-'DJB Daily Readings'!CN27)*1.89</f>
        <v>177.09300000002199</v>
      </c>
      <c r="AB20" s="3">
        <f>('DJB Daily Readings'!CQ28-'DJB Daily Readings'!CQ27)*1.89</f>
        <v>755.43299999996691</v>
      </c>
      <c r="AC20" s="3">
        <f>'DJB Daily Readings'!CT28-'DJB Daily Readings'!CT27</f>
        <v>166</v>
      </c>
      <c r="AD20" s="84">
        <v>0</v>
      </c>
      <c r="AE20" s="84">
        <v>0</v>
      </c>
      <c r="AF20" s="84">
        <v>0</v>
      </c>
      <c r="AG20" s="84">
        <v>0</v>
      </c>
      <c r="AH20" s="84">
        <v>0</v>
      </c>
      <c r="AI20" s="84">
        <v>0</v>
      </c>
      <c r="AJ20" s="82">
        <v>0</v>
      </c>
      <c r="AK20" s="82">
        <v>0</v>
      </c>
      <c r="AL20" s="82">
        <v>0</v>
      </c>
      <c r="AM20" s="82">
        <v>0</v>
      </c>
      <c r="AN20" s="82">
        <v>0</v>
      </c>
      <c r="AO20" s="82">
        <v>0</v>
      </c>
      <c r="AP20" s="82">
        <v>0</v>
      </c>
      <c r="AQ20" s="82">
        <v>0</v>
      </c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>
        <v>0</v>
      </c>
      <c r="AZ20" s="82">
        <v>0</v>
      </c>
      <c r="BA20" s="82">
        <v>0</v>
      </c>
      <c r="BB20" s="82">
        <v>0</v>
      </c>
      <c r="BC20" s="82">
        <v>0</v>
      </c>
      <c r="BD20" s="82">
        <v>0</v>
      </c>
      <c r="BE20" s="82">
        <v>0</v>
      </c>
      <c r="BF20" s="82">
        <v>0</v>
      </c>
      <c r="BG20" s="82">
        <v>0</v>
      </c>
      <c r="BH20" s="82">
        <v>0</v>
      </c>
      <c r="BI20" s="82">
        <v>0</v>
      </c>
      <c r="BJ20" s="82">
        <v>0</v>
      </c>
      <c r="BK20" s="82">
        <v>0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2020</v>
      </c>
      <c r="E21" s="78">
        <f>237*0.69</f>
        <v>163.53</v>
      </c>
      <c r="F21" s="79">
        <f>279+43</f>
        <v>322</v>
      </c>
      <c r="G21" s="3">
        <f>'DJB Daily Readings'!C29-'DJB Daily Readings'!C28</f>
        <v>534</v>
      </c>
      <c r="H21" s="3">
        <f>'DJB Daily Readings'!F29-'DJB Daily Readings'!F28</f>
        <v>412</v>
      </c>
      <c r="I21" s="3">
        <f>'DJB Daily Readings'!K29-'DJB Daily Readings'!K28</f>
        <v>198.29999999993015</v>
      </c>
      <c r="J21" s="3">
        <f>'DJB Daily Readings'!K29-'DJB Daily Readings'!K28</f>
        <v>198.29999999993015</v>
      </c>
      <c r="K21" s="3">
        <f>'DJB Daily Readings'!O29-'DJB Daily Readings'!O28</f>
        <v>74</v>
      </c>
      <c r="L21" s="3">
        <f>'DJB Daily Readings'!R29-'DJB Daily Readings'!R28</f>
        <v>11</v>
      </c>
      <c r="M21" s="3">
        <f>'DJB Daily Readings'!U29-'DJB Daily Readings'!U28</f>
        <v>2094.9599999999627</v>
      </c>
      <c r="N21" s="3">
        <f>'DJB Daily Readings'!X29-'DJB Daily Readings'!X28</f>
        <v>4872</v>
      </c>
      <c r="O21" s="3">
        <f>'DJB Daily Readings'!AA29-'DJB Daily Readings'!AA28</f>
        <v>389.75999999977648</v>
      </c>
      <c r="P21" s="3">
        <f>'DJB Daily Readings'!AD29-'DJB Daily Readings'!AD28</f>
        <v>48.720000002533197</v>
      </c>
      <c r="Q21" s="3">
        <f>'DJB Daily Readings'!AG29-'DJB Daily Readings'!AG28</f>
        <v>8379.8400000017136</v>
      </c>
      <c r="R21" s="3">
        <f>'DJB Daily Readings'!AJ29-'DJB Daily Readings'!AJ28</f>
        <v>6382.3200000021607</v>
      </c>
      <c r="S21" s="3">
        <f>'DJB Daily Readings'!AM29-'DJB Daily Readings'!AM28</f>
        <v>4238.6399999987334</v>
      </c>
      <c r="T21" s="3">
        <f>'DJB Daily Readings'!AP29-'DJB Daily Readings'!AP28</f>
        <v>4920.7199999988079</v>
      </c>
      <c r="U21" s="3">
        <f>'DJB Daily Readings'!AS29-'DJB Daily Readings'!AS28</f>
        <v>3654</v>
      </c>
      <c r="V21" s="3">
        <f>'DJB Daily Readings'!AV29-'DJB Daily Readings'!AV28</f>
        <v>5554.0800000000745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36500</v>
      </c>
      <c r="Z21" s="3">
        <f>('DJB Daily Readings'!CK29-'DJB Daily Readings'!CK28)*1.89</f>
        <v>156.114000000011</v>
      </c>
      <c r="AA21" s="3">
        <f>('DJB Daily Readings'!CN29-'DJB Daily Readings'!CN28)*1.89</f>
        <v>175.95899999998349</v>
      </c>
      <c r="AB21" s="3">
        <f>('DJB Daily Readings'!CQ29-'DJB Daily Readings'!CQ28)*1.89</f>
        <v>754.67700000003299</v>
      </c>
      <c r="AC21" s="3">
        <f>'DJB Daily Readings'!CT29-'DJB Daily Readings'!CT28</f>
        <v>165</v>
      </c>
      <c r="AD21" s="84">
        <v>0</v>
      </c>
      <c r="AE21" s="84">
        <v>0</v>
      </c>
      <c r="AF21" s="84">
        <v>0</v>
      </c>
      <c r="AG21" s="84">
        <v>0</v>
      </c>
      <c r="AH21" s="84">
        <v>0</v>
      </c>
      <c r="AI21" s="84">
        <v>0</v>
      </c>
      <c r="AJ21" s="82">
        <v>0</v>
      </c>
      <c r="AK21" s="82">
        <v>0</v>
      </c>
      <c r="AL21" s="82">
        <v>0</v>
      </c>
      <c r="AM21" s="82">
        <v>0</v>
      </c>
      <c r="AN21" s="82">
        <v>0</v>
      </c>
      <c r="AO21" s="82">
        <v>0</v>
      </c>
      <c r="AP21" s="82">
        <v>0</v>
      </c>
      <c r="AQ21" s="82">
        <v>0</v>
      </c>
      <c r="AR21" s="82">
        <v>0</v>
      </c>
      <c r="AS21" s="82">
        <v>0</v>
      </c>
      <c r="AT21" s="82">
        <v>0</v>
      </c>
      <c r="AU21" s="82">
        <v>0</v>
      </c>
      <c r="AV21" s="82">
        <v>0</v>
      </c>
      <c r="AW21" s="82">
        <v>0</v>
      </c>
      <c r="AX21" s="82">
        <v>0</v>
      </c>
      <c r="AY21" s="82">
        <v>0</v>
      </c>
      <c r="AZ21" s="82">
        <v>0</v>
      </c>
      <c r="BA21" s="82">
        <v>0</v>
      </c>
      <c r="BB21" s="82">
        <v>0</v>
      </c>
      <c r="BC21" s="82">
        <v>0</v>
      </c>
      <c r="BD21" s="82">
        <v>0</v>
      </c>
      <c r="BE21" s="82">
        <v>0</v>
      </c>
      <c r="BF21" s="82">
        <v>0</v>
      </c>
      <c r="BG21" s="82">
        <v>0</v>
      </c>
      <c r="BH21" s="82">
        <v>0</v>
      </c>
      <c r="BI21" s="82">
        <v>0</v>
      </c>
      <c r="BJ21" s="82">
        <v>0</v>
      </c>
      <c r="BK21" s="82">
        <v>0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2020</v>
      </c>
      <c r="E22" s="78">
        <f>237*0.69</f>
        <v>163.53</v>
      </c>
      <c r="F22" s="79">
        <f>272+33</f>
        <v>305</v>
      </c>
      <c r="G22" s="3">
        <f>'DJB Daily Readings'!C30-'DJB Daily Readings'!C29</f>
        <v>433</v>
      </c>
      <c r="H22" s="3">
        <f>'DJB Daily Readings'!F30-'DJB Daily Readings'!F29</f>
        <v>402</v>
      </c>
      <c r="I22" s="3">
        <f>'DJB Daily Readings'!K30-'DJB Daily Readings'!K29</f>
        <v>61</v>
      </c>
      <c r="J22" s="3">
        <f>'DJB Daily Readings'!K30-'DJB Daily Readings'!K29</f>
        <v>61</v>
      </c>
      <c r="K22" s="3">
        <f>'DJB Daily Readings'!O30-'DJB Daily Readings'!O29</f>
        <v>50</v>
      </c>
      <c r="L22" s="3">
        <f>'DJB Daily Readings'!R30-'DJB Daily Readings'!R29</f>
        <v>0</v>
      </c>
      <c r="M22" s="3">
        <f>'DJB Daily Readings'!U30-'DJB Daily Readings'!U29</f>
        <v>1851.3600000003353</v>
      </c>
      <c r="N22" s="3">
        <f>'DJB Daily Readings'!X30-'DJB Daily Readings'!X29</f>
        <v>4725.839999999851</v>
      </c>
      <c r="O22" s="3">
        <f>'DJB Daily Readings'!AA30-'DJB Daily Readings'!AA29</f>
        <v>438.48000000044703</v>
      </c>
      <c r="P22" s="3">
        <f>'DJB Daily Readings'!AD30-'DJB Daily Readings'!AD29</f>
        <v>0</v>
      </c>
      <c r="Q22" s="3">
        <f>'DJB Daily Readings'!AG30-'DJB Daily Readings'!AG29</f>
        <v>6577.1999999992549</v>
      </c>
      <c r="R22" s="3">
        <f>'DJB Daily Readings'!AJ30-'DJB Daily Readings'!AJ29</f>
        <v>6236.1599999982864</v>
      </c>
      <c r="S22" s="3">
        <f>'DJB Daily Readings'!AM30-'DJB Daily Readings'!AM29</f>
        <v>4189.9200000017881</v>
      </c>
      <c r="T22" s="3">
        <f>'DJB Daily Readings'!AP30-'DJB Daily Readings'!AP29</f>
        <v>4872</v>
      </c>
      <c r="U22" s="3">
        <f>'DJB Daily Readings'!AS30-'DJB Daily Readings'!AS29</f>
        <v>3507.8399999979883</v>
      </c>
      <c r="V22" s="3">
        <f>'DJB Daily Readings'!AV30-'DJB Daily Readings'!AV29</f>
        <v>5310.4799999985844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30100</v>
      </c>
      <c r="Z22" s="3">
        <f>('DJB Daily Readings'!CK30-'DJB Daily Readings'!CK29)*1.89</f>
        <v>157.62599999998898</v>
      </c>
      <c r="AA22" s="3">
        <f>('DJB Daily Readings'!CN30-'DJB Daily Readings'!CN29)*1.89</f>
        <v>170.47799999999449</v>
      </c>
      <c r="AB22" s="3">
        <f>('DJB Daily Readings'!CQ30-'DJB Daily Readings'!CQ29)*1.89</f>
        <v>742.20299999996701</v>
      </c>
      <c r="AC22" s="3">
        <f>'DJB Daily Readings'!CT30-'DJB Daily Readings'!CT29</f>
        <v>168</v>
      </c>
      <c r="AD22" s="84">
        <v>0</v>
      </c>
      <c r="AE22" s="84">
        <v>0</v>
      </c>
      <c r="AF22" s="84">
        <v>0</v>
      </c>
      <c r="AG22" s="84">
        <v>0</v>
      </c>
      <c r="AH22" s="84">
        <v>0</v>
      </c>
      <c r="AI22" s="84">
        <v>0</v>
      </c>
      <c r="AJ22" s="82">
        <v>0</v>
      </c>
      <c r="AK22" s="82">
        <v>0</v>
      </c>
      <c r="AL22" s="82">
        <v>0</v>
      </c>
      <c r="AM22" s="82">
        <v>0</v>
      </c>
      <c r="AN22" s="82">
        <v>0</v>
      </c>
      <c r="AO22" s="82">
        <v>0</v>
      </c>
      <c r="AP22" s="82">
        <v>0</v>
      </c>
      <c r="AQ22" s="82">
        <v>0</v>
      </c>
      <c r="AR22" s="82">
        <v>0</v>
      </c>
      <c r="AS22" s="82">
        <v>0</v>
      </c>
      <c r="AT22" s="82">
        <v>0</v>
      </c>
      <c r="AU22" s="82">
        <v>0</v>
      </c>
      <c r="AV22" s="82">
        <v>0</v>
      </c>
      <c r="AW22" s="82">
        <v>0</v>
      </c>
      <c r="AX22" s="82">
        <v>0</v>
      </c>
      <c r="AY22" s="82">
        <v>0</v>
      </c>
      <c r="AZ22" s="82">
        <v>0</v>
      </c>
      <c r="BA22" s="82">
        <v>0</v>
      </c>
      <c r="BB22" s="82">
        <v>0</v>
      </c>
      <c r="BC22" s="82">
        <v>0</v>
      </c>
      <c r="BD22" s="82">
        <v>0</v>
      </c>
      <c r="BE22" s="82">
        <v>0</v>
      </c>
      <c r="BF22" s="82">
        <v>0</v>
      </c>
      <c r="BG22" s="82">
        <v>0</v>
      </c>
      <c r="BH22" s="82">
        <v>0</v>
      </c>
      <c r="BI22" s="82">
        <v>0</v>
      </c>
      <c r="BJ22" s="82">
        <v>0</v>
      </c>
      <c r="BK22" s="82">
        <v>0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2020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</v>
      </c>
      <c r="D24">
        <v>2020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</v>
      </c>
      <c r="D25">
        <v>2020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</v>
      </c>
      <c r="D26">
        <v>2020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</v>
      </c>
      <c r="D27">
        <v>2020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</v>
      </c>
      <c r="D28">
        <v>2020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</v>
      </c>
      <c r="D29">
        <v>2020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</v>
      </c>
      <c r="D30">
        <v>2020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</v>
      </c>
      <c r="D31">
        <v>2020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</v>
      </c>
      <c r="D32">
        <v>2020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L24" sqref="L24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3" t="s">
        <v>109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443"/>
      <c r="AX1" s="443"/>
      <c r="AY1" s="443"/>
      <c r="AZ1" s="443"/>
      <c r="BA1" s="443"/>
      <c r="BB1" s="443"/>
      <c r="BC1" s="443"/>
      <c r="BD1" s="443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  <c r="BP1" s="443"/>
      <c r="BQ1" s="443"/>
      <c r="BR1" s="443"/>
      <c r="BS1" s="443"/>
      <c r="BT1" s="443"/>
      <c r="BU1" s="443"/>
      <c r="BV1" s="443"/>
      <c r="BW1" s="443"/>
      <c r="BX1" s="443"/>
      <c r="BY1" s="443"/>
      <c r="BZ1" s="443"/>
      <c r="CA1" s="443"/>
      <c r="CB1" s="443"/>
      <c r="CC1" s="443"/>
      <c r="CD1" s="443"/>
      <c r="CE1" s="443"/>
      <c r="CF1" s="443"/>
      <c r="CG1" s="443"/>
      <c r="CH1" s="443"/>
      <c r="CI1" s="443"/>
      <c r="CJ1" s="443"/>
      <c r="CK1" s="443"/>
      <c r="CL1" s="443"/>
      <c r="CM1" s="443"/>
      <c r="CN1" s="443"/>
      <c r="CO1" s="443"/>
      <c r="CP1" s="443"/>
      <c r="CQ1" s="443"/>
      <c r="CR1" s="443"/>
      <c r="CS1" s="443"/>
      <c r="CT1" s="443"/>
      <c r="CU1" s="443"/>
      <c r="CV1" s="443"/>
      <c r="CW1" s="443"/>
      <c r="CX1" s="443"/>
      <c r="CY1" s="443"/>
      <c r="CZ1" s="443"/>
      <c r="DA1" s="443"/>
      <c r="DB1" s="443"/>
      <c r="DC1" s="443"/>
      <c r="DD1" s="443"/>
      <c r="DE1" s="443"/>
      <c r="DF1" s="443"/>
      <c r="DG1" s="443"/>
      <c r="DH1" s="443"/>
      <c r="DI1" s="443"/>
      <c r="DJ1" s="443"/>
      <c r="DK1" s="443"/>
      <c r="DL1" s="443"/>
      <c r="DM1" s="443"/>
      <c r="DN1" s="443"/>
      <c r="DO1" s="443"/>
      <c r="DP1" s="443"/>
      <c r="DQ1" s="443"/>
      <c r="DR1" s="443"/>
      <c r="DS1" s="443"/>
      <c r="DT1" s="443"/>
      <c r="DU1" s="443"/>
      <c r="DV1" s="443"/>
      <c r="DW1" s="443"/>
      <c r="DX1" s="443"/>
      <c r="DY1" s="443"/>
      <c r="DZ1" s="443"/>
      <c r="EA1" s="443"/>
      <c r="EB1" s="443"/>
      <c r="EC1" s="443"/>
      <c r="ED1" s="443"/>
      <c r="EE1" s="443"/>
      <c r="EF1" s="443"/>
      <c r="EG1" s="443"/>
      <c r="EH1" s="443"/>
      <c r="EI1" s="443"/>
      <c r="EJ1" s="443"/>
      <c r="EK1" s="443"/>
      <c r="EL1" s="443"/>
      <c r="EM1" s="443"/>
      <c r="EN1" s="443"/>
      <c r="EO1" s="443"/>
      <c r="EP1" s="443"/>
      <c r="EQ1" s="443"/>
      <c r="ER1" s="443"/>
      <c r="ES1" s="443"/>
      <c r="ET1" s="443"/>
      <c r="EU1" s="443"/>
      <c r="EV1" s="443"/>
      <c r="EW1" s="443"/>
      <c r="EX1" s="443"/>
      <c r="EY1" s="443"/>
      <c r="EZ1" s="443"/>
      <c r="FA1" s="443"/>
      <c r="FB1" s="443"/>
      <c r="FC1" s="443"/>
    </row>
    <row r="2" spans="1:159" ht="16.5" customHeight="1" x14ac:dyDescent="0.25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  <c r="AH2" s="443"/>
      <c r="AI2" s="443"/>
      <c r="AJ2" s="443"/>
      <c r="AK2" s="443"/>
      <c r="AL2" s="443"/>
      <c r="AM2" s="443"/>
      <c r="AN2" s="443"/>
      <c r="AO2" s="443"/>
      <c r="AP2" s="443"/>
      <c r="AQ2" s="443"/>
      <c r="AR2" s="443"/>
      <c r="AS2" s="443"/>
      <c r="AT2" s="443"/>
      <c r="AU2" s="443"/>
      <c r="AV2" s="443"/>
      <c r="AW2" s="443"/>
      <c r="AX2" s="443"/>
      <c r="AY2" s="443"/>
      <c r="AZ2" s="443"/>
      <c r="BA2" s="443"/>
      <c r="BB2" s="443"/>
      <c r="BC2" s="443"/>
      <c r="BD2" s="443"/>
      <c r="BE2" s="443"/>
      <c r="BF2" s="443"/>
      <c r="BG2" s="443"/>
      <c r="BH2" s="443"/>
      <c r="BI2" s="443"/>
      <c r="BJ2" s="443"/>
      <c r="BK2" s="443"/>
      <c r="BL2" s="443"/>
      <c r="BM2" s="443"/>
      <c r="BN2" s="443"/>
      <c r="BO2" s="443"/>
      <c r="BP2" s="443"/>
      <c r="BQ2" s="443"/>
      <c r="BR2" s="443"/>
      <c r="BS2" s="443"/>
      <c r="BT2" s="443"/>
      <c r="BU2" s="443"/>
      <c r="BV2" s="443"/>
      <c r="BW2" s="443"/>
      <c r="BX2" s="443"/>
      <c r="BY2" s="443"/>
      <c r="BZ2" s="443"/>
      <c r="CA2" s="443"/>
      <c r="CB2" s="443"/>
      <c r="CC2" s="443"/>
      <c r="CD2" s="443"/>
      <c r="CE2" s="443"/>
      <c r="CF2" s="443"/>
      <c r="CG2" s="443"/>
      <c r="CH2" s="443"/>
      <c r="CI2" s="443"/>
      <c r="CJ2" s="443"/>
      <c r="CK2" s="443"/>
      <c r="CL2" s="443"/>
      <c r="CM2" s="443"/>
      <c r="CN2" s="443"/>
      <c r="CO2" s="443"/>
      <c r="CP2" s="443"/>
      <c r="CQ2" s="443"/>
      <c r="CR2" s="443"/>
      <c r="CS2" s="443"/>
      <c r="CT2" s="443"/>
      <c r="CU2" s="443"/>
      <c r="CV2" s="443"/>
      <c r="CW2" s="443"/>
      <c r="CX2" s="443"/>
      <c r="CY2" s="443"/>
      <c r="CZ2" s="443"/>
      <c r="DA2" s="443"/>
      <c r="DB2" s="443"/>
      <c r="DC2" s="443"/>
      <c r="DD2" s="443"/>
      <c r="DE2" s="443"/>
      <c r="DF2" s="443"/>
      <c r="DG2" s="443"/>
      <c r="DH2" s="443"/>
      <c r="DI2" s="443"/>
      <c r="DJ2" s="443"/>
      <c r="DK2" s="443"/>
      <c r="DL2" s="443"/>
      <c r="DM2" s="443"/>
      <c r="DN2" s="443"/>
      <c r="DO2" s="443"/>
      <c r="DP2" s="443"/>
      <c r="DQ2" s="443"/>
      <c r="DR2" s="443"/>
      <c r="DS2" s="443"/>
      <c r="DT2" s="443"/>
      <c r="DU2" s="443"/>
      <c r="DV2" s="443"/>
      <c r="DW2" s="443"/>
      <c r="DX2" s="443"/>
      <c r="DY2" s="443"/>
      <c r="DZ2" s="443"/>
      <c r="EA2" s="443"/>
      <c r="EB2" s="443"/>
      <c r="EC2" s="443"/>
      <c r="ED2" s="443"/>
      <c r="EE2" s="443"/>
      <c r="EF2" s="443"/>
      <c r="EG2" s="443"/>
      <c r="EH2" s="443"/>
      <c r="EI2" s="443"/>
      <c r="EJ2" s="443"/>
      <c r="EK2" s="443"/>
      <c r="EL2" s="443"/>
      <c r="EM2" s="443"/>
      <c r="EN2" s="443"/>
      <c r="EO2" s="443"/>
      <c r="EP2" s="443"/>
      <c r="EQ2" s="443"/>
      <c r="ER2" s="443"/>
      <c r="ES2" s="443"/>
      <c r="ET2" s="443"/>
      <c r="EU2" s="443"/>
      <c r="EV2" s="443"/>
      <c r="EW2" s="443"/>
      <c r="EX2" s="443"/>
      <c r="EY2" s="443"/>
      <c r="EZ2" s="443"/>
      <c r="FA2" s="443"/>
      <c r="FB2" s="443"/>
      <c r="FC2" s="443"/>
    </row>
    <row r="3" spans="1:159" ht="45" customHeight="1" x14ac:dyDescent="0.25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3"/>
      <c r="AX3" s="443"/>
      <c r="AY3" s="443"/>
      <c r="AZ3" s="443"/>
      <c r="BA3" s="443"/>
      <c r="BB3" s="443"/>
      <c r="BC3" s="443"/>
      <c r="BD3" s="443"/>
      <c r="BE3" s="443"/>
      <c r="BF3" s="443"/>
      <c r="BG3" s="443"/>
      <c r="BH3" s="443"/>
      <c r="BI3" s="443"/>
      <c r="BJ3" s="443"/>
      <c r="BK3" s="443"/>
      <c r="BL3" s="443"/>
      <c r="BM3" s="443"/>
      <c r="BN3" s="443"/>
      <c r="BO3" s="443"/>
      <c r="BP3" s="443"/>
      <c r="BQ3" s="443"/>
      <c r="BR3" s="443"/>
      <c r="BS3" s="443"/>
      <c r="BT3" s="443"/>
      <c r="BU3" s="443"/>
      <c r="BV3" s="443"/>
      <c r="BW3" s="443"/>
      <c r="BX3" s="443"/>
      <c r="BY3" s="443"/>
      <c r="BZ3" s="443"/>
      <c r="CA3" s="443"/>
      <c r="CB3" s="443"/>
      <c r="CC3" s="443"/>
      <c r="CD3" s="443"/>
      <c r="CE3" s="443"/>
      <c r="CF3" s="443"/>
      <c r="CG3" s="443"/>
      <c r="CH3" s="443"/>
      <c r="CI3" s="443"/>
      <c r="CJ3" s="443"/>
      <c r="CK3" s="443"/>
      <c r="CL3" s="443"/>
      <c r="CM3" s="443"/>
      <c r="CN3" s="443"/>
      <c r="CO3" s="443"/>
      <c r="CP3" s="443"/>
      <c r="CQ3" s="443"/>
      <c r="CR3" s="443"/>
      <c r="CS3" s="443"/>
      <c r="CT3" s="443"/>
      <c r="CU3" s="443"/>
      <c r="CV3" s="443"/>
      <c r="CW3" s="443"/>
      <c r="CX3" s="443"/>
      <c r="CY3" s="443"/>
      <c r="CZ3" s="443"/>
      <c r="DA3" s="443"/>
      <c r="DB3" s="443"/>
      <c r="DC3" s="443"/>
      <c r="DD3" s="443"/>
      <c r="DE3" s="443"/>
      <c r="DF3" s="443"/>
      <c r="DG3" s="443"/>
      <c r="DH3" s="443"/>
      <c r="DI3" s="443"/>
      <c r="DJ3" s="443"/>
      <c r="DK3" s="443"/>
      <c r="DL3" s="443"/>
      <c r="DM3" s="443"/>
      <c r="DN3" s="443"/>
      <c r="DO3" s="443"/>
      <c r="DP3" s="443"/>
      <c r="DQ3" s="443"/>
      <c r="DR3" s="443"/>
      <c r="DS3" s="443"/>
      <c r="DT3" s="443"/>
      <c r="DU3" s="443"/>
      <c r="DV3" s="443"/>
      <c r="DW3" s="443"/>
      <c r="DX3" s="443"/>
      <c r="DY3" s="443"/>
      <c r="DZ3" s="443"/>
      <c r="EA3" s="443"/>
      <c r="EB3" s="443"/>
      <c r="EC3" s="443"/>
      <c r="ED3" s="443"/>
      <c r="EE3" s="443"/>
      <c r="EF3" s="443"/>
      <c r="EG3" s="443"/>
      <c r="EH3" s="443"/>
      <c r="EI3" s="443"/>
      <c r="EJ3" s="443"/>
      <c r="EK3" s="443"/>
      <c r="EL3" s="443"/>
      <c r="EM3" s="443"/>
      <c r="EN3" s="443"/>
      <c r="EO3" s="443"/>
      <c r="EP3" s="443"/>
      <c r="EQ3" s="443"/>
      <c r="ER3" s="443"/>
      <c r="ES3" s="443"/>
      <c r="ET3" s="443"/>
      <c r="EU3" s="443"/>
      <c r="EV3" s="443"/>
      <c r="EW3" s="443"/>
      <c r="EX3" s="443"/>
      <c r="EY3" s="443"/>
      <c r="EZ3" s="443"/>
      <c r="FA3" s="443"/>
      <c r="FB3" s="443"/>
      <c r="FC3" s="443"/>
    </row>
    <row r="4" spans="1:159" ht="16.5" customHeight="1" x14ac:dyDescent="0.25">
      <c r="A4" s="443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3"/>
      <c r="AM4" s="443"/>
      <c r="AN4" s="443"/>
      <c r="AO4" s="443"/>
      <c r="AP4" s="443"/>
      <c r="AQ4" s="443"/>
      <c r="AR4" s="443"/>
      <c r="AS4" s="443"/>
      <c r="AT4" s="443"/>
      <c r="AU4" s="443"/>
      <c r="AV4" s="443"/>
      <c r="AW4" s="443"/>
      <c r="AX4" s="443"/>
      <c r="AY4" s="443"/>
      <c r="AZ4" s="443"/>
      <c r="BA4" s="443"/>
      <c r="BB4" s="443"/>
      <c r="BC4" s="443"/>
      <c r="BD4" s="443"/>
      <c r="BE4" s="443"/>
      <c r="BF4" s="443"/>
      <c r="BG4" s="443"/>
      <c r="BH4" s="443"/>
      <c r="BI4" s="443"/>
      <c r="BJ4" s="443"/>
      <c r="BK4" s="443"/>
      <c r="BL4" s="443"/>
      <c r="BM4" s="443"/>
      <c r="BN4" s="443"/>
      <c r="BO4" s="443"/>
      <c r="BP4" s="443"/>
      <c r="BQ4" s="443"/>
      <c r="BR4" s="443"/>
      <c r="BS4" s="443"/>
      <c r="BT4" s="443"/>
      <c r="BU4" s="443"/>
      <c r="BV4" s="443"/>
      <c r="BW4" s="443"/>
      <c r="BX4" s="443"/>
      <c r="BY4" s="443"/>
      <c r="BZ4" s="443"/>
      <c r="CA4" s="443"/>
      <c r="CB4" s="443"/>
      <c r="CC4" s="443"/>
      <c r="CD4" s="443"/>
      <c r="CE4" s="443"/>
      <c r="CF4" s="443"/>
      <c r="CG4" s="443"/>
      <c r="CH4" s="443"/>
      <c r="CI4" s="443"/>
      <c r="CJ4" s="443"/>
      <c r="CK4" s="443"/>
      <c r="CL4" s="443"/>
      <c r="CM4" s="443"/>
      <c r="CN4" s="443"/>
      <c r="CO4" s="443"/>
      <c r="CP4" s="443"/>
      <c r="CQ4" s="443"/>
      <c r="CR4" s="443"/>
      <c r="CS4" s="443"/>
      <c r="CT4" s="443"/>
      <c r="CU4" s="443"/>
      <c r="CV4" s="443"/>
      <c r="CW4" s="443"/>
      <c r="CX4" s="443"/>
      <c r="CY4" s="443"/>
      <c r="CZ4" s="443"/>
      <c r="DA4" s="443"/>
      <c r="DB4" s="443"/>
      <c r="DC4" s="443"/>
      <c r="DD4" s="443"/>
      <c r="DE4" s="443"/>
      <c r="DF4" s="443"/>
      <c r="DG4" s="443"/>
      <c r="DH4" s="443"/>
      <c r="DI4" s="443"/>
      <c r="DJ4" s="443"/>
      <c r="DK4" s="443"/>
      <c r="DL4" s="443"/>
      <c r="DM4" s="443"/>
      <c r="DN4" s="443"/>
      <c r="DO4" s="443"/>
      <c r="DP4" s="443"/>
      <c r="DQ4" s="443"/>
      <c r="DR4" s="443"/>
      <c r="DS4" s="443"/>
      <c r="DT4" s="443"/>
      <c r="DU4" s="443"/>
      <c r="DV4" s="443"/>
      <c r="DW4" s="443"/>
      <c r="DX4" s="443"/>
      <c r="DY4" s="443"/>
      <c r="DZ4" s="443"/>
      <c r="EA4" s="443"/>
      <c r="EB4" s="443"/>
      <c r="EC4" s="443"/>
      <c r="ED4" s="443"/>
      <c r="EE4" s="443"/>
      <c r="EF4" s="443"/>
      <c r="EG4" s="443"/>
      <c r="EH4" s="443"/>
      <c r="EI4" s="443"/>
      <c r="EJ4" s="443"/>
      <c r="EK4" s="443"/>
      <c r="EL4" s="443"/>
      <c r="EM4" s="443"/>
      <c r="EN4" s="443"/>
      <c r="EO4" s="443"/>
      <c r="EP4" s="443"/>
      <c r="EQ4" s="443"/>
      <c r="ER4" s="443"/>
      <c r="ES4" s="443"/>
      <c r="ET4" s="443"/>
      <c r="EU4" s="443"/>
      <c r="EV4" s="443"/>
      <c r="EW4" s="443"/>
      <c r="EX4" s="443"/>
      <c r="EY4" s="443"/>
      <c r="EZ4" s="443"/>
      <c r="FA4" s="443"/>
      <c r="FB4" s="443"/>
      <c r="FC4" s="443"/>
    </row>
    <row r="5" spans="1:159" ht="10.5" customHeight="1" thickBot="1" x14ac:dyDescent="0.3">
      <c r="A5" s="444"/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3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4"/>
      <c r="AG5" s="444"/>
      <c r="AH5" s="444"/>
      <c r="AI5" s="444"/>
      <c r="AJ5" s="444"/>
      <c r="AK5" s="444"/>
      <c r="AL5" s="444"/>
      <c r="AM5" s="444"/>
      <c r="AN5" s="444"/>
      <c r="AO5" s="444"/>
      <c r="AP5" s="444"/>
      <c r="AQ5" s="444"/>
      <c r="AR5" s="444"/>
      <c r="AS5" s="444"/>
      <c r="AT5" s="444"/>
      <c r="AU5" s="444"/>
      <c r="AV5" s="444"/>
      <c r="AW5" s="444"/>
      <c r="AX5" s="444"/>
      <c r="AY5" s="443"/>
      <c r="AZ5" s="444"/>
      <c r="BA5" s="444"/>
      <c r="BB5" s="444"/>
      <c r="BC5" s="444"/>
      <c r="BD5" s="444"/>
      <c r="BE5" s="444"/>
      <c r="BF5" s="444"/>
      <c r="BG5" s="444"/>
      <c r="BH5" s="444"/>
      <c r="BI5" s="444"/>
      <c r="BJ5" s="444"/>
      <c r="BK5" s="444"/>
      <c r="BL5" s="444"/>
      <c r="BM5" s="444"/>
      <c r="BN5" s="444"/>
      <c r="BO5" s="444"/>
      <c r="BP5" s="444"/>
      <c r="BQ5" s="444"/>
      <c r="BR5" s="444"/>
      <c r="BS5" s="444"/>
      <c r="BT5" s="444"/>
      <c r="BU5" s="443"/>
      <c r="BV5" s="444"/>
      <c r="BW5" s="444"/>
      <c r="BX5" s="444"/>
      <c r="BY5" s="444"/>
      <c r="BZ5" s="444"/>
      <c r="CA5" s="444"/>
      <c r="CB5" s="444"/>
      <c r="CC5" s="444"/>
      <c r="CD5" s="444"/>
      <c r="CE5" s="444"/>
      <c r="CF5" s="444"/>
      <c r="CG5" s="444"/>
      <c r="CH5" s="444"/>
      <c r="CI5" s="444"/>
      <c r="CJ5" s="444"/>
      <c r="CK5" s="444"/>
      <c r="CL5" s="444"/>
      <c r="CM5" s="444"/>
      <c r="CN5" s="444"/>
      <c r="CO5" s="444"/>
      <c r="CP5" s="444"/>
      <c r="CQ5" s="444"/>
      <c r="CR5" s="444"/>
      <c r="CS5" s="444"/>
      <c r="CT5" s="444"/>
      <c r="CU5" s="444"/>
      <c r="CV5" s="444"/>
      <c r="CW5" s="444"/>
      <c r="CX5" s="444"/>
      <c r="CY5" s="444"/>
      <c r="CZ5" s="444"/>
      <c r="DA5" s="444"/>
      <c r="DB5" s="444"/>
      <c r="DC5" s="444"/>
      <c r="DD5" s="444"/>
      <c r="DE5" s="444"/>
      <c r="DF5" s="444"/>
      <c r="DG5" s="444"/>
      <c r="DH5" s="444"/>
      <c r="DI5" s="444"/>
      <c r="DJ5" s="444"/>
      <c r="DK5" s="444"/>
      <c r="DL5" s="444"/>
      <c r="DM5" s="444"/>
      <c r="DN5" s="444"/>
      <c r="DO5" s="444"/>
      <c r="DP5" s="444"/>
      <c r="DQ5" s="444"/>
      <c r="DR5" s="444"/>
      <c r="DS5" s="443"/>
      <c r="DT5" s="444"/>
      <c r="DU5" s="444"/>
      <c r="DV5" s="444"/>
      <c r="DW5" s="444"/>
      <c r="DX5" s="444"/>
      <c r="DY5" s="444"/>
      <c r="DZ5" s="444"/>
      <c r="EA5" s="444"/>
      <c r="EB5" s="444"/>
      <c r="EC5" s="444"/>
      <c r="ED5" s="444"/>
      <c r="EE5" s="444"/>
      <c r="EF5" s="443"/>
      <c r="EG5" s="444"/>
      <c r="EH5" s="444"/>
      <c r="EI5" s="444"/>
      <c r="EJ5" s="444"/>
      <c r="EK5" s="444"/>
      <c r="EL5" s="444"/>
      <c r="EM5" s="444"/>
      <c r="EN5" s="444"/>
      <c r="EO5" s="444"/>
      <c r="EP5" s="444"/>
      <c r="EQ5" s="444"/>
      <c r="ER5" s="444"/>
      <c r="ES5" s="443"/>
      <c r="ET5" s="444"/>
      <c r="EU5" s="444"/>
      <c r="EV5" s="444"/>
      <c r="EW5" s="444"/>
      <c r="EX5" s="444"/>
      <c r="EY5" s="444"/>
      <c r="EZ5" s="444"/>
      <c r="FA5" s="444"/>
      <c r="FB5" s="444"/>
      <c r="FC5" s="444"/>
    </row>
    <row r="6" spans="1:159" ht="24.75" customHeight="1" thickBot="1" x14ac:dyDescent="0.3">
      <c r="A6" s="445" t="s">
        <v>195</v>
      </c>
      <c r="B6" s="446"/>
      <c r="C6" s="446"/>
      <c r="D6" s="446"/>
      <c r="E6" s="446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7"/>
      <c r="T6" s="474"/>
      <c r="U6" s="448" t="s">
        <v>196</v>
      </c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49"/>
      <c r="AN6" s="449"/>
      <c r="AO6" s="449"/>
      <c r="AP6" s="449"/>
      <c r="AQ6" s="449"/>
      <c r="AR6" s="449"/>
      <c r="AS6" s="449"/>
      <c r="AT6" s="449"/>
      <c r="AU6" s="449"/>
      <c r="AV6" s="449"/>
      <c r="AW6" s="449"/>
      <c r="AX6" s="450"/>
      <c r="AY6" s="491"/>
      <c r="AZ6" s="448" t="s">
        <v>197</v>
      </c>
      <c r="BA6" s="449"/>
      <c r="BB6" s="449"/>
      <c r="BC6" s="449"/>
      <c r="BD6" s="449"/>
      <c r="BE6" s="449"/>
      <c r="BF6" s="449"/>
      <c r="BG6" s="449"/>
      <c r="BH6" s="449"/>
      <c r="BI6" s="449"/>
      <c r="BJ6" s="449"/>
      <c r="BK6" s="449"/>
      <c r="BL6" s="449"/>
      <c r="BM6" s="449"/>
      <c r="BN6" s="449"/>
      <c r="BO6" s="449"/>
      <c r="BP6" s="449"/>
      <c r="BQ6" s="449"/>
      <c r="BR6" s="449"/>
      <c r="BS6" s="449"/>
      <c r="BT6" s="450"/>
      <c r="BU6" s="587"/>
      <c r="BV6" s="451" t="s">
        <v>198</v>
      </c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3"/>
      <c r="CV6" s="515"/>
      <c r="CW6" s="464" t="s">
        <v>199</v>
      </c>
      <c r="CX6" s="464"/>
      <c r="CY6" s="464"/>
      <c r="CZ6" s="464"/>
      <c r="DA6" s="464"/>
      <c r="DB6" s="464"/>
      <c r="DC6" s="464"/>
      <c r="DD6" s="464"/>
      <c r="DE6" s="464"/>
      <c r="DF6" s="464"/>
      <c r="DG6" s="464"/>
      <c r="DH6" s="464"/>
      <c r="DI6" s="464"/>
      <c r="DJ6" s="464"/>
      <c r="DK6" s="464"/>
      <c r="DL6" s="464"/>
      <c r="DM6" s="464"/>
      <c r="DN6" s="464"/>
      <c r="DO6" s="464"/>
      <c r="DP6" s="464"/>
      <c r="DQ6" s="464"/>
      <c r="DR6" s="465"/>
      <c r="DS6" s="531"/>
      <c r="DT6" s="539" t="s">
        <v>200</v>
      </c>
      <c r="DU6" s="540"/>
      <c r="DV6" s="540"/>
      <c r="DW6" s="540"/>
      <c r="DX6" s="540"/>
      <c r="DY6" s="540"/>
      <c r="DZ6" s="540"/>
      <c r="EA6" s="540"/>
      <c r="EB6" s="540"/>
      <c r="EC6" s="540"/>
      <c r="ED6" s="540"/>
      <c r="EE6" s="541"/>
      <c r="EF6" s="578"/>
      <c r="EG6" s="539" t="s">
        <v>201</v>
      </c>
      <c r="EH6" s="540"/>
      <c r="EI6" s="540"/>
      <c r="EJ6" s="540"/>
      <c r="EK6" s="540"/>
      <c r="EL6" s="540"/>
      <c r="EM6" s="540"/>
      <c r="EN6" s="540"/>
      <c r="EO6" s="540"/>
      <c r="EP6" s="540"/>
      <c r="EQ6" s="540"/>
      <c r="ER6" s="541"/>
      <c r="ES6" s="554"/>
      <c r="ET6" s="551" t="s">
        <v>202</v>
      </c>
      <c r="EU6" s="552"/>
      <c r="EV6" s="552"/>
      <c r="EW6" s="552"/>
      <c r="EX6" s="552"/>
      <c r="EY6" s="552"/>
      <c r="EZ6" s="552"/>
      <c r="FA6" s="552"/>
      <c r="FB6" s="552"/>
      <c r="FC6" s="553"/>
    </row>
    <row r="7" spans="1:159" ht="45" customHeight="1" thickBot="1" x14ac:dyDescent="0.3">
      <c r="A7" s="454" t="s">
        <v>18</v>
      </c>
      <c r="B7" s="456" t="s">
        <v>112</v>
      </c>
      <c r="C7" s="458" t="s">
        <v>113</v>
      </c>
      <c r="D7" s="459"/>
      <c r="E7" s="460"/>
      <c r="F7" s="461" t="s">
        <v>0</v>
      </c>
      <c r="G7" s="462"/>
      <c r="H7" s="463"/>
      <c r="I7" s="466" t="s">
        <v>1</v>
      </c>
      <c r="J7" s="466"/>
      <c r="K7" s="467" t="s">
        <v>114</v>
      </c>
      <c r="L7" s="468"/>
      <c r="M7" s="469" t="s">
        <v>115</v>
      </c>
      <c r="N7" s="463"/>
      <c r="O7" s="469" t="s">
        <v>2</v>
      </c>
      <c r="P7" s="462"/>
      <c r="Q7" s="463"/>
      <c r="R7" s="467" t="s">
        <v>116</v>
      </c>
      <c r="S7" s="470"/>
      <c r="T7" s="474"/>
      <c r="U7" s="471" t="s">
        <v>3</v>
      </c>
      <c r="V7" s="472"/>
      <c r="W7" s="473"/>
      <c r="X7" s="481" t="s">
        <v>4</v>
      </c>
      <c r="Y7" s="472"/>
      <c r="Z7" s="473"/>
      <c r="AA7" s="481" t="s">
        <v>5</v>
      </c>
      <c r="AB7" s="472"/>
      <c r="AC7" s="473"/>
      <c r="AD7" s="481" t="s">
        <v>6</v>
      </c>
      <c r="AE7" s="472"/>
      <c r="AF7" s="473"/>
      <c r="AG7" s="481" t="s">
        <v>7</v>
      </c>
      <c r="AH7" s="472"/>
      <c r="AI7" s="473"/>
      <c r="AJ7" s="482" t="s">
        <v>117</v>
      </c>
      <c r="AK7" s="483"/>
      <c r="AL7" s="484"/>
      <c r="AM7" s="482" t="s">
        <v>118</v>
      </c>
      <c r="AN7" s="483"/>
      <c r="AO7" s="484"/>
      <c r="AP7" s="481" t="s">
        <v>8</v>
      </c>
      <c r="AQ7" s="472"/>
      <c r="AR7" s="473"/>
      <c r="AS7" s="482" t="s">
        <v>119</v>
      </c>
      <c r="AT7" s="483"/>
      <c r="AU7" s="484"/>
      <c r="AV7" s="485" t="s">
        <v>9</v>
      </c>
      <c r="AW7" s="486"/>
      <c r="AX7" s="487"/>
      <c r="AY7" s="491"/>
      <c r="AZ7" s="488" t="s">
        <v>10</v>
      </c>
      <c r="BA7" s="486"/>
      <c r="BB7" s="489"/>
      <c r="BC7" s="490" t="s">
        <v>11</v>
      </c>
      <c r="BD7" s="490"/>
      <c r="BE7" s="490"/>
      <c r="BF7" s="490" t="s">
        <v>12</v>
      </c>
      <c r="BG7" s="490"/>
      <c r="BH7" s="490"/>
      <c r="BI7" s="503" t="s">
        <v>120</v>
      </c>
      <c r="BJ7" s="503"/>
      <c r="BK7" s="503" t="s">
        <v>121</v>
      </c>
      <c r="BL7" s="503"/>
      <c r="BM7" s="503" t="s">
        <v>122</v>
      </c>
      <c r="BN7" s="503"/>
      <c r="BO7" s="503" t="s">
        <v>123</v>
      </c>
      <c r="BP7" s="503"/>
      <c r="BQ7" s="504" t="s">
        <v>124</v>
      </c>
      <c r="BR7" s="505"/>
      <c r="BS7" s="506" t="s">
        <v>125</v>
      </c>
      <c r="BT7" s="507"/>
      <c r="BU7" s="588"/>
      <c r="BV7" s="590" t="s">
        <v>13</v>
      </c>
      <c r="BW7" s="509"/>
      <c r="BX7" s="510"/>
      <c r="BY7" s="591" t="s">
        <v>126</v>
      </c>
      <c r="BZ7" s="591"/>
      <c r="CA7" s="501" t="s">
        <v>127</v>
      </c>
      <c r="CB7" s="502"/>
      <c r="CC7" s="501" t="s">
        <v>128</v>
      </c>
      <c r="CD7" s="502"/>
      <c r="CE7" s="501" t="s">
        <v>129</v>
      </c>
      <c r="CF7" s="502"/>
      <c r="CG7" s="501" t="s">
        <v>130</v>
      </c>
      <c r="CH7" s="502"/>
      <c r="CI7" s="501" t="s">
        <v>131</v>
      </c>
      <c r="CJ7" s="502"/>
      <c r="CK7" s="508" t="s">
        <v>14</v>
      </c>
      <c r="CL7" s="509"/>
      <c r="CM7" s="510"/>
      <c r="CN7" s="508" t="s">
        <v>15</v>
      </c>
      <c r="CO7" s="509"/>
      <c r="CP7" s="510"/>
      <c r="CQ7" s="508" t="s">
        <v>16</v>
      </c>
      <c r="CR7" s="509"/>
      <c r="CS7" s="510"/>
      <c r="CT7" s="511" t="s">
        <v>17</v>
      </c>
      <c r="CU7" s="512"/>
      <c r="CV7" s="516"/>
      <c r="CW7" s="513" t="s">
        <v>82</v>
      </c>
      <c r="CX7" s="514"/>
      <c r="CY7" s="514"/>
      <c r="CZ7" s="514"/>
      <c r="DA7" s="520" t="s">
        <v>191</v>
      </c>
      <c r="DB7" s="459"/>
      <c r="DC7" s="459"/>
      <c r="DD7" s="521"/>
      <c r="DE7" s="520" t="s">
        <v>83</v>
      </c>
      <c r="DF7" s="459"/>
      <c r="DG7" s="459"/>
      <c r="DH7" s="459"/>
      <c r="DI7" s="513" t="s">
        <v>84</v>
      </c>
      <c r="DJ7" s="520"/>
      <c r="DK7" s="520"/>
      <c r="DL7" s="522"/>
      <c r="DM7" s="458" t="s">
        <v>85</v>
      </c>
      <c r="DN7" s="459"/>
      <c r="DO7" s="459"/>
      <c r="DP7" s="460"/>
      <c r="DQ7" s="458" t="s">
        <v>86</v>
      </c>
      <c r="DR7" s="460"/>
      <c r="DS7" s="532"/>
      <c r="DT7" s="529" t="s">
        <v>87</v>
      </c>
      <c r="DU7" s="530"/>
      <c r="DV7" s="537" t="s">
        <v>88</v>
      </c>
      <c r="DW7" s="530"/>
      <c r="DX7" s="538" t="s">
        <v>89</v>
      </c>
      <c r="DY7" s="537"/>
      <c r="DZ7" s="537" t="s">
        <v>90</v>
      </c>
      <c r="EA7" s="530"/>
      <c r="EB7" s="537" t="s">
        <v>91</v>
      </c>
      <c r="EC7" s="530"/>
      <c r="ED7" s="537" t="s">
        <v>92</v>
      </c>
      <c r="EE7" s="542"/>
      <c r="EF7" s="579"/>
      <c r="EG7" s="549" t="s">
        <v>93</v>
      </c>
      <c r="EH7" s="538"/>
      <c r="EI7" s="538" t="s">
        <v>94</v>
      </c>
      <c r="EJ7" s="538"/>
      <c r="EK7" s="538" t="s">
        <v>95</v>
      </c>
      <c r="EL7" s="538"/>
      <c r="EM7" s="538" t="s">
        <v>96</v>
      </c>
      <c r="EN7" s="538"/>
      <c r="EO7" s="538" t="s">
        <v>97</v>
      </c>
      <c r="EP7" s="538"/>
      <c r="EQ7" s="538" t="s">
        <v>98</v>
      </c>
      <c r="ER7" s="550"/>
      <c r="ES7" s="554"/>
      <c r="ET7" s="513" t="s">
        <v>99</v>
      </c>
      <c r="EU7" s="514"/>
      <c r="EV7" s="514" t="s">
        <v>100</v>
      </c>
      <c r="EW7" s="514"/>
      <c r="EX7" s="514" t="s">
        <v>101</v>
      </c>
      <c r="EY7" s="514"/>
      <c r="EZ7" s="514" t="s">
        <v>102</v>
      </c>
      <c r="FA7" s="514"/>
      <c r="FB7" s="514" t="s">
        <v>103</v>
      </c>
      <c r="FC7" s="522"/>
    </row>
    <row r="8" spans="1:159" s="4" customFormat="1" ht="44.25" customHeight="1" thickBot="1" x14ac:dyDescent="0.3">
      <c r="A8" s="455"/>
      <c r="B8" s="457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474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91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588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516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532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79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1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43830</v>
      </c>
      <c r="B9" s="212">
        <f>'[1]January -2020'!B9</f>
        <v>0.97</v>
      </c>
      <c r="C9" s="266">
        <f>'[1]January -2020'!E9</f>
        <v>513964</v>
      </c>
      <c r="D9" s="565">
        <f>C10-C9</f>
        <v>559</v>
      </c>
      <c r="E9" s="479">
        <f>'[1]January -2020'!G9</f>
        <v>520</v>
      </c>
      <c r="F9" s="170">
        <f>'[1]January -2020'!H9</f>
        <v>685310</v>
      </c>
      <c r="G9" s="477">
        <f>F10-F9</f>
        <v>469</v>
      </c>
      <c r="H9" s="479">
        <f>'[1]January -2020'!J9</f>
        <v>419</v>
      </c>
      <c r="I9" s="267">
        <f>'[1]January -2020'!K9</f>
        <v>20997</v>
      </c>
      <c r="J9" s="477">
        <f>I10-I9</f>
        <v>114</v>
      </c>
      <c r="K9" s="267">
        <f>'[1]January -2020'!N9</f>
        <v>611938.4</v>
      </c>
      <c r="L9" s="476">
        <f>K10-K9</f>
        <v>128</v>
      </c>
      <c r="M9" s="267">
        <f>'[1]January -2020'!Q9</f>
        <v>156875</v>
      </c>
      <c r="N9" s="476">
        <f>M10-M9</f>
        <v>0</v>
      </c>
      <c r="O9" s="267">
        <f>'[1]January -2020'!S9</f>
        <v>93738</v>
      </c>
      <c r="P9" s="477">
        <f>O10-O9</f>
        <v>77</v>
      </c>
      <c r="Q9" s="479">
        <f>'[1]January -2020'!U9</f>
        <v>103</v>
      </c>
      <c r="R9" s="267">
        <f>'[1]January -2020'!V9</f>
        <v>7002</v>
      </c>
      <c r="S9" s="567">
        <f>R10-R9</f>
        <v>13</v>
      </c>
      <c r="T9" s="475"/>
      <c r="U9" s="272">
        <f>'[1]January -2020'!AB9</f>
        <v>5454545.04</v>
      </c>
      <c r="V9" s="569">
        <f>U10-U9</f>
        <v>2094.9599999999627</v>
      </c>
      <c r="W9" s="495">
        <f>'[1]January -2020'!AD9</f>
        <v>2192.4</v>
      </c>
      <c r="X9" s="258">
        <f>'[1]January -2020'!AE9</f>
        <v>10633042.559999999</v>
      </c>
      <c r="Y9" s="477">
        <f>X10-X9</f>
        <v>4872</v>
      </c>
      <c r="Z9" s="495">
        <f>'[1]January -2020'!AG9</f>
        <v>4823</v>
      </c>
      <c r="AA9" s="258">
        <f>'[1]January -2020'!AH9</f>
        <v>9746241.1199999992</v>
      </c>
      <c r="AB9" s="477">
        <f>AA10-AA9</f>
        <v>194.88000000081956</v>
      </c>
      <c r="AC9" s="495">
        <f>'[1]January -2020'!AJ9</f>
        <v>1413</v>
      </c>
      <c r="AD9" s="258">
        <f>'[1]January -2020'!AK9</f>
        <v>13136227.439999999</v>
      </c>
      <c r="AE9" s="477">
        <f>AD10-AD9</f>
        <v>438.47999999858439</v>
      </c>
      <c r="AF9" s="495">
        <f>'[1]January -2020'!AM9</f>
        <v>8818</v>
      </c>
      <c r="AG9" s="258">
        <f>'[1]January -2020'!AN9</f>
        <v>13102074.719999999</v>
      </c>
      <c r="AH9" s="477">
        <f>AG10-AG9</f>
        <v>8623.4400000013411</v>
      </c>
      <c r="AI9" s="495">
        <f>'[1]January -2020'!AP9</f>
        <v>0</v>
      </c>
      <c r="AJ9" s="258">
        <f>'[1]January -2020'!AQ9</f>
        <v>11920273.68</v>
      </c>
      <c r="AK9" s="477">
        <f>AJ10-AJ9</f>
        <v>5992.5600000005215</v>
      </c>
      <c r="AL9" s="495">
        <f>'[1]January -2020'!AS9</f>
        <v>5359</v>
      </c>
      <c r="AM9" s="258">
        <f>'[1]January -2020'!AT9</f>
        <v>10403863.68</v>
      </c>
      <c r="AN9" s="477">
        <f>AM10-AM9</f>
        <v>4287.3600000012666</v>
      </c>
      <c r="AO9" s="495">
        <f>'[1]January -2020'!AV9</f>
        <v>4287</v>
      </c>
      <c r="AP9" s="258">
        <f>'[1]January -2020'!AW9</f>
        <v>10044115.199999999</v>
      </c>
      <c r="AQ9" s="477">
        <f>AP10-AP9</f>
        <v>5018.160000000149</v>
      </c>
      <c r="AR9" s="495">
        <f>'[1]January -2020'!AY9</f>
        <v>5116</v>
      </c>
      <c r="AS9" s="258">
        <f>'[1]January -2020'!AZ9</f>
        <v>8035828.0800000001</v>
      </c>
      <c r="AT9" s="477">
        <f>AS10-AS9</f>
        <v>3312.9599999999627</v>
      </c>
      <c r="AU9" s="495">
        <f>'[1]January -2020'!BB9</f>
        <v>3264</v>
      </c>
      <c r="AV9" s="258">
        <f>'[1]January -2020'!BC9</f>
        <v>11880956.640000001</v>
      </c>
      <c r="AW9" s="477">
        <f>AV10-AV9</f>
        <v>5456.640000000596</v>
      </c>
      <c r="AX9" s="497">
        <f>'[1]January -2020'!BE9</f>
        <v>5700</v>
      </c>
      <c r="AY9" s="492"/>
      <c r="AZ9" s="275">
        <f>'[1]January -2020'!BJ9</f>
        <v>49283900</v>
      </c>
      <c r="BA9" s="499">
        <f>AZ10-AZ9</f>
        <v>0</v>
      </c>
      <c r="BB9" s="493">
        <f>'[1]January -2020'!BL9</f>
        <v>0</v>
      </c>
      <c r="BC9" s="275">
        <f>'[1]January -2020'!BM9</f>
        <v>53881900</v>
      </c>
      <c r="BD9" s="499">
        <f>BC10-BC9</f>
        <v>0</v>
      </c>
      <c r="BE9" s="493">
        <f>'[1]January -2020'!BO9</f>
        <v>46800</v>
      </c>
      <c r="BF9" s="275">
        <f>'[1]January -2020'!BP9</f>
        <v>47422600</v>
      </c>
      <c r="BG9" s="499">
        <f>BF10-BF9</f>
        <v>39700</v>
      </c>
      <c r="BH9" s="493">
        <f>'[1]January -2020'!BR9</f>
        <v>0</v>
      </c>
      <c r="BI9" s="26"/>
      <c r="BJ9" s="476"/>
      <c r="BK9" s="26"/>
      <c r="BL9" s="26"/>
      <c r="BM9" s="26"/>
      <c r="BN9" s="26"/>
      <c r="BO9" s="26"/>
      <c r="BP9" s="26"/>
      <c r="BQ9" s="26"/>
      <c r="BR9" s="26"/>
      <c r="BS9" s="276">
        <f>'[1]January -2020'!BS9</f>
        <v>3975240</v>
      </c>
      <c r="BT9" s="572">
        <f>BS10-BS9</f>
        <v>4750</v>
      </c>
      <c r="BU9" s="588"/>
      <c r="BV9" s="88">
        <f>'[1]January -2020'!BV9</f>
        <v>0.56000000000000005</v>
      </c>
      <c r="BW9" s="583">
        <f>BV10-BV9</f>
        <v>-6.0000000000000053E-2</v>
      </c>
      <c r="BX9" s="585">
        <f>'[1]January -2020'!$BX$9:$BX$10</f>
        <v>-0.06</v>
      </c>
      <c r="BY9" s="89">
        <f>'[1]January -2020'!BY9</f>
        <v>44446.6</v>
      </c>
      <c r="BZ9" s="571">
        <f>BY10-BY9</f>
        <v>15.400000000001455</v>
      </c>
      <c r="CA9" s="89">
        <f>'[1]January -2020'!CA9</f>
        <v>39319.800000000003</v>
      </c>
      <c r="CB9" s="571">
        <f>CA10-CA9</f>
        <v>12.19999999999709</v>
      </c>
      <c r="CC9" s="89">
        <f>'[1]January -2020'!CC9</f>
        <v>13136</v>
      </c>
      <c r="CD9" s="571">
        <f>CC10-CC9</f>
        <v>6</v>
      </c>
      <c r="CE9" s="89">
        <f>'[1]January -2020'!CE9</f>
        <v>16520.3</v>
      </c>
      <c r="CF9" s="571">
        <f>CE10-CE9</f>
        <v>7.7000000000007276</v>
      </c>
      <c r="CG9" s="89">
        <f>'[1]January -2020'!CG9</f>
        <v>18896.099999999999</v>
      </c>
      <c r="CH9" s="571">
        <f>CG10-CG9</f>
        <v>2.9000000000014552</v>
      </c>
      <c r="CI9" s="89">
        <f>'[1]January -2020'!CI9</f>
        <v>40193.599999999999</v>
      </c>
      <c r="CJ9" s="571">
        <f>CI10-CI9</f>
        <v>18.400000000001455</v>
      </c>
      <c r="CK9" s="89">
        <f>'[1]January -2020'!CK9</f>
        <v>173910.2</v>
      </c>
      <c r="CL9" s="571">
        <f>CK10-CK9</f>
        <v>93.599999999976717</v>
      </c>
      <c r="CM9" s="523">
        <f>'[1]January -2020'!CM9</f>
        <v>83</v>
      </c>
      <c r="CN9" s="89">
        <f>'[1]January -2020'!CN9</f>
        <v>125050.5</v>
      </c>
      <c r="CO9" s="571">
        <f>CN10-CN9</f>
        <v>109.69999999999709</v>
      </c>
      <c r="CP9" s="523">
        <f>'[1]January -2020'!CP9</f>
        <v>79</v>
      </c>
      <c r="CQ9" s="89">
        <f>'[1]January -2020'!CQ9</f>
        <v>233022.7</v>
      </c>
      <c r="CR9" s="571">
        <f>CQ10-CQ9</f>
        <v>353.19999999998254</v>
      </c>
      <c r="CS9" s="523">
        <f>'[1]January -2020'!CS9</f>
        <v>334</v>
      </c>
      <c r="CT9" s="89">
        <f>'[1]January -2020'!CT9</f>
        <v>470923</v>
      </c>
      <c r="CU9" s="525">
        <f>CT10-CT9</f>
        <v>0</v>
      </c>
      <c r="CV9" s="516"/>
      <c r="CW9" s="259">
        <f>'[1]January -2020'!CW9</f>
        <v>323</v>
      </c>
      <c r="CX9" s="527">
        <f>CW10-CW9</f>
        <v>0</v>
      </c>
      <c r="CY9" s="260">
        <f>'[1]January -2020'!CY9</f>
        <v>1082.3</v>
      </c>
      <c r="CZ9" s="527">
        <f>CY10-CY9</f>
        <v>25.900000000000091</v>
      </c>
      <c r="DA9" s="260">
        <f>'[1]January -2020'!DA9</f>
        <v>18438.599999999999</v>
      </c>
      <c r="DB9" s="527">
        <f>DA10-DA9</f>
        <v>18.200000000000728</v>
      </c>
      <c r="DC9" s="260">
        <f>'[1]January -2020'!DC9</f>
        <v>19086.099999999999</v>
      </c>
      <c r="DD9" s="527">
        <f>DC10-DC9</f>
        <v>13.30000000000291</v>
      </c>
      <c r="DE9" s="260">
        <f>'[1]January -2020'!DE9</f>
        <v>13313.2</v>
      </c>
      <c r="DF9" s="527">
        <f>DE10-DE9</f>
        <v>13.799999999999272</v>
      </c>
      <c r="DG9" s="260">
        <f>'[1]January -2020'!DG9</f>
        <v>17111.2</v>
      </c>
      <c r="DH9" s="527">
        <f>DG10-DG9</f>
        <v>8.5</v>
      </c>
      <c r="DI9" s="260">
        <f>'[1]January -2020'!DI9</f>
        <v>825</v>
      </c>
      <c r="DJ9" s="527">
        <f>DI10-DI9</f>
        <v>0</v>
      </c>
      <c r="DK9" s="260">
        <f>'[1]January -2020'!DK9</f>
        <v>3570</v>
      </c>
      <c r="DL9" s="527">
        <f>DK10-DK9</f>
        <v>0</v>
      </c>
      <c r="DM9" s="260">
        <f>'[1]January -2020'!DM9</f>
        <v>875</v>
      </c>
      <c r="DN9" s="527">
        <f>DM10-DM9</f>
        <v>5</v>
      </c>
      <c r="DO9" s="260">
        <f>'[1]January -2020'!DO9</f>
        <v>1051.7</v>
      </c>
      <c r="DP9" s="527">
        <f>DO10-DO9</f>
        <v>4.2999999999999545</v>
      </c>
      <c r="DQ9" s="260">
        <f>'[1]January -2020'!DQ9</f>
        <v>16855</v>
      </c>
      <c r="DR9" s="581">
        <f>DQ10-DQ9</f>
        <v>10</v>
      </c>
      <c r="DS9" s="532"/>
      <c r="DT9" s="213">
        <f>'[1]January -2020'!DT9</f>
        <v>2728195.5</v>
      </c>
      <c r="DU9" s="545">
        <f>DT10-DT9</f>
        <v>1531.7999999998137</v>
      </c>
      <c r="DV9" s="93">
        <f>'[1]January -2020'!DV9</f>
        <v>4462.2</v>
      </c>
      <c r="DW9" s="543">
        <f>DV10-DV9</f>
        <v>5.4000000000005457</v>
      </c>
      <c r="DX9" s="93">
        <f>'[1]January -2020'!DX9</f>
        <v>1800486.9</v>
      </c>
      <c r="DY9" s="545">
        <f>DX10-DX9</f>
        <v>1108.1000000000931</v>
      </c>
      <c r="DZ9" s="93">
        <f>'[1]January -2020'!DZ9</f>
        <v>252459.5</v>
      </c>
      <c r="EA9" s="545">
        <f>DZ10-DZ9</f>
        <v>4.7999999999883585</v>
      </c>
      <c r="EB9" s="93">
        <f>'[1]January -2020'!ED9</f>
        <v>400958.8</v>
      </c>
      <c r="EC9" s="545">
        <f>EB10-EB9</f>
        <v>583.79999999998836</v>
      </c>
      <c r="ED9" s="93">
        <f>'[1]January -2020'!EF9</f>
        <v>84547.3</v>
      </c>
      <c r="EE9" s="547">
        <f>ED10-ED9</f>
        <v>145.80000000000291</v>
      </c>
      <c r="EF9" s="579"/>
      <c r="EG9" s="238">
        <f>'[1]January -2020'!EI9</f>
        <v>6750400</v>
      </c>
      <c r="EH9" s="556">
        <f>EG10-EG9</f>
        <v>2900</v>
      </c>
      <c r="EI9" s="92">
        <f>'[1]January -2020'!EK9</f>
        <v>594670</v>
      </c>
      <c r="EJ9" s="556">
        <f>EI10-EI9</f>
        <v>280</v>
      </c>
      <c r="EK9" s="92">
        <f>'[1]January -2020'!EM9</f>
        <v>4595500</v>
      </c>
      <c r="EL9" s="556">
        <f>EK10-EK9</f>
        <v>1600</v>
      </c>
      <c r="EM9" s="92">
        <f>'[1]January -2020'!EO9</f>
        <v>1987800</v>
      </c>
      <c r="EN9" s="556">
        <f>EM10-EM9</f>
        <v>0</v>
      </c>
      <c r="EO9" s="92">
        <f>'[1]January -2020'!EQ9</f>
        <v>676220</v>
      </c>
      <c r="EP9" s="556">
        <f>EO10-EO9</f>
        <v>140</v>
      </c>
      <c r="EQ9" s="92">
        <f>'[1]January -2020'!ES9</f>
        <v>10699200</v>
      </c>
      <c r="ER9" s="563">
        <f>EQ10-EQ9</f>
        <v>800</v>
      </c>
      <c r="ES9" s="554"/>
      <c r="ET9" s="293">
        <f>'[1]January -2020'!EV9</f>
        <v>27562.799999999999</v>
      </c>
      <c r="EU9" s="528">
        <f>ET10-ET9</f>
        <v>19.900000000001455</v>
      </c>
      <c r="EV9" s="294">
        <f>'[1]January -2020'!EX9</f>
        <v>24129</v>
      </c>
      <c r="EW9" s="528">
        <f>EV10-EV9</f>
        <v>16.299999999999272</v>
      </c>
      <c r="EX9" s="294">
        <f>'[1]January -2020'!FB9</f>
        <v>43515.199999999997</v>
      </c>
      <c r="EY9" s="528">
        <v>0</v>
      </c>
      <c r="EZ9" s="294">
        <f>'[1]January -2020'!EZ9</f>
        <v>0</v>
      </c>
      <c r="FA9" s="528">
        <f>EZ10-EZ9</f>
        <v>0</v>
      </c>
      <c r="FB9" s="294">
        <f>'[1]January -2020'!FD9</f>
        <v>20226.400000000001</v>
      </c>
      <c r="FC9" s="559">
        <f>FB10-FB9</f>
        <v>31.899999999997817</v>
      </c>
    </row>
    <row r="10" spans="1:159" ht="30" customHeight="1" x14ac:dyDescent="0.25">
      <c r="A10" s="210">
        <v>43831</v>
      </c>
      <c r="B10" s="212">
        <f>'[1]January -2020'!B10</f>
        <v>0.97</v>
      </c>
      <c r="C10" s="253">
        <f>'[1]January -2020'!E10</f>
        <v>514523</v>
      </c>
      <c r="D10" s="566"/>
      <c r="E10" s="480"/>
      <c r="F10" s="170">
        <f>'[1]January -2020'!H10</f>
        <v>685779</v>
      </c>
      <c r="G10" s="478"/>
      <c r="H10" s="480"/>
      <c r="I10" s="170">
        <f>'[1]January -2020'!K10</f>
        <v>21111</v>
      </c>
      <c r="J10" s="478"/>
      <c r="K10" s="170">
        <f>'[1]January -2020'!N10</f>
        <v>612066.4</v>
      </c>
      <c r="L10" s="477"/>
      <c r="M10" s="170">
        <f>'[1]January -2020'!Q10</f>
        <v>156875</v>
      </c>
      <c r="N10" s="477"/>
      <c r="O10" s="170">
        <f>'[1]January -2020'!S10</f>
        <v>93815</v>
      </c>
      <c r="P10" s="478"/>
      <c r="Q10" s="480"/>
      <c r="R10" s="170">
        <f>'[1]January -2020'!V10</f>
        <v>7015</v>
      </c>
      <c r="S10" s="568"/>
      <c r="T10" s="475"/>
      <c r="U10" s="171">
        <f>'[1]January -2020'!AB10</f>
        <v>5456640</v>
      </c>
      <c r="V10" s="570"/>
      <c r="W10" s="496"/>
      <c r="X10" s="94">
        <f>'[1]January -2020'!AE10</f>
        <v>10637914.559999999</v>
      </c>
      <c r="Y10" s="478"/>
      <c r="Z10" s="496"/>
      <c r="AA10" s="94">
        <f>'[1]January -2020'!AH10</f>
        <v>9746436</v>
      </c>
      <c r="AB10" s="478"/>
      <c r="AC10" s="496"/>
      <c r="AD10" s="94">
        <f>'[1]January -2020'!AK10</f>
        <v>13136665.919999998</v>
      </c>
      <c r="AE10" s="478"/>
      <c r="AF10" s="496"/>
      <c r="AG10" s="94">
        <f>'[1]January -2020'!AN10</f>
        <v>13110698.16</v>
      </c>
      <c r="AH10" s="478"/>
      <c r="AI10" s="496"/>
      <c r="AJ10" s="94">
        <f>'[1]January -2020'!AQ10</f>
        <v>11926266.24</v>
      </c>
      <c r="AK10" s="478"/>
      <c r="AL10" s="496"/>
      <c r="AM10" s="94">
        <f>'[1]January -2020'!AT10</f>
        <v>10408151.040000001</v>
      </c>
      <c r="AN10" s="478"/>
      <c r="AO10" s="496"/>
      <c r="AP10" s="94">
        <f>'[1]January -2020'!AW10</f>
        <v>10049133.359999999</v>
      </c>
      <c r="AQ10" s="478"/>
      <c r="AR10" s="496"/>
      <c r="AS10" s="94">
        <f>'[1]January -2020'!AZ10</f>
        <v>8039141.04</v>
      </c>
      <c r="AT10" s="478"/>
      <c r="AU10" s="496"/>
      <c r="AV10" s="94">
        <f>'[1]January -2020'!BC10</f>
        <v>11886413.280000001</v>
      </c>
      <c r="AW10" s="478"/>
      <c r="AX10" s="498"/>
      <c r="AY10" s="492"/>
      <c r="AZ10" s="95">
        <f>'[1]January -2020'!BJ10</f>
        <v>49283900</v>
      </c>
      <c r="BA10" s="500"/>
      <c r="BB10" s="494"/>
      <c r="BC10" s="95">
        <f>'[1]January -2020'!BM10</f>
        <v>53881900</v>
      </c>
      <c r="BD10" s="500"/>
      <c r="BE10" s="494"/>
      <c r="BF10" s="95">
        <f>'[1]January -2020'!BP10</f>
        <v>47462300</v>
      </c>
      <c r="BG10" s="500"/>
      <c r="BH10" s="494"/>
      <c r="BI10" s="25"/>
      <c r="BJ10" s="477"/>
      <c r="BK10" s="25"/>
      <c r="BL10" s="25"/>
      <c r="BM10" s="25"/>
      <c r="BN10" s="25"/>
      <c r="BO10" s="25"/>
      <c r="BP10" s="25"/>
      <c r="BQ10" s="25"/>
      <c r="BR10" s="25"/>
      <c r="BS10" s="90">
        <f>'[1]January -2020'!BS10</f>
        <v>3979990</v>
      </c>
      <c r="BT10" s="582"/>
      <c r="BU10" s="588"/>
      <c r="BV10" s="88">
        <f>'[1]January -2020'!BV10</f>
        <v>0.5</v>
      </c>
      <c r="BW10" s="584"/>
      <c r="BX10" s="586"/>
      <c r="BY10" s="89">
        <f>'[1]January -2020'!BY10</f>
        <v>44462</v>
      </c>
      <c r="BZ10" s="572"/>
      <c r="CA10" s="89">
        <f>'[1]January -2020'!CA10</f>
        <v>39332</v>
      </c>
      <c r="CB10" s="572"/>
      <c r="CC10" s="89">
        <f>'[1]January -2020'!CC10</f>
        <v>13142</v>
      </c>
      <c r="CD10" s="572"/>
      <c r="CE10" s="89">
        <f>'[1]January -2020'!CE10</f>
        <v>16528</v>
      </c>
      <c r="CF10" s="572"/>
      <c r="CG10" s="89">
        <f>'[1]January -2020'!CG10</f>
        <v>18899</v>
      </c>
      <c r="CH10" s="572"/>
      <c r="CI10" s="89">
        <f>'[1]January -2020'!CI10</f>
        <v>40212</v>
      </c>
      <c r="CJ10" s="572"/>
      <c r="CK10" s="89">
        <f>'[1]January -2020'!CK10</f>
        <v>174003.8</v>
      </c>
      <c r="CL10" s="572"/>
      <c r="CM10" s="524"/>
      <c r="CN10" s="89">
        <f>'[1]January -2020'!CN10</f>
        <v>125160.2</v>
      </c>
      <c r="CO10" s="572"/>
      <c r="CP10" s="524"/>
      <c r="CQ10" s="89">
        <f>'[1]January -2020'!CQ10</f>
        <v>233375.9</v>
      </c>
      <c r="CR10" s="572"/>
      <c r="CS10" s="524"/>
      <c r="CT10" s="89">
        <f>'[1]January -2020'!CT10</f>
        <v>470923</v>
      </c>
      <c r="CU10" s="526"/>
      <c r="CV10" s="516"/>
      <c r="CW10" s="208">
        <f>'[1]January -2020'!CW10</f>
        <v>323</v>
      </c>
      <c r="CX10" s="528"/>
      <c r="CY10" s="91">
        <f>'[1]January -2020'!CY10</f>
        <v>1108.2</v>
      </c>
      <c r="CZ10" s="528"/>
      <c r="DA10" s="91">
        <f>'[1]January -2020'!DA10</f>
        <v>18456.8</v>
      </c>
      <c r="DB10" s="528"/>
      <c r="DC10" s="91">
        <f>'[1]January -2020'!DC10</f>
        <v>19099.400000000001</v>
      </c>
      <c r="DD10" s="528"/>
      <c r="DE10" s="91">
        <f>'[1]January -2020'!DE10</f>
        <v>13327</v>
      </c>
      <c r="DF10" s="528"/>
      <c r="DG10" s="91">
        <f>'[1]January -2020'!DG10</f>
        <v>17119.7</v>
      </c>
      <c r="DH10" s="528"/>
      <c r="DI10" s="91">
        <f>'[1]January -2020'!DI10</f>
        <v>825</v>
      </c>
      <c r="DJ10" s="528"/>
      <c r="DK10" s="91">
        <f>'[1]January -2020'!DK10</f>
        <v>3570</v>
      </c>
      <c r="DL10" s="528"/>
      <c r="DM10" s="91">
        <f>'[1]January -2020'!DM10</f>
        <v>880</v>
      </c>
      <c r="DN10" s="528"/>
      <c r="DO10" s="91">
        <f>'[1]January -2020'!DO10</f>
        <v>1056</v>
      </c>
      <c r="DP10" s="528"/>
      <c r="DQ10" s="91">
        <f>'[1]January -2020'!DQ10</f>
        <v>16865</v>
      </c>
      <c r="DR10" s="559"/>
      <c r="DS10" s="532"/>
      <c r="DT10" s="213">
        <f>'[1]January -2020'!DT10</f>
        <v>2729727.3</v>
      </c>
      <c r="DU10" s="546"/>
      <c r="DV10" s="93">
        <f>'[1]January -2020'!DV10</f>
        <v>4467.6000000000004</v>
      </c>
      <c r="DW10" s="544"/>
      <c r="DX10" s="93">
        <f>'[1]January -2020'!DX10</f>
        <v>1801595</v>
      </c>
      <c r="DY10" s="546"/>
      <c r="DZ10" s="93">
        <f>'[1]January -2020'!DZ10</f>
        <v>252464.3</v>
      </c>
      <c r="EA10" s="546"/>
      <c r="EB10" s="93">
        <f>'[1]January -2020'!ED10</f>
        <v>401542.6</v>
      </c>
      <c r="EC10" s="546"/>
      <c r="ED10" s="93">
        <f>'[1]January -2020'!EF10</f>
        <v>84693.1</v>
      </c>
      <c r="EE10" s="548"/>
      <c r="EF10" s="579"/>
      <c r="EG10" s="238">
        <f>'[1]January -2020'!EI10</f>
        <v>6753300</v>
      </c>
      <c r="EH10" s="557"/>
      <c r="EI10" s="92">
        <f>'[1]January -2020'!EK10</f>
        <v>594950</v>
      </c>
      <c r="EJ10" s="557"/>
      <c r="EK10" s="92">
        <f>'[1]January -2020'!EM10</f>
        <v>4597100</v>
      </c>
      <c r="EL10" s="557"/>
      <c r="EM10" s="92">
        <f>'[1]January -2020'!EO10</f>
        <v>1987800</v>
      </c>
      <c r="EN10" s="557"/>
      <c r="EO10" s="92">
        <f>'[1]January -2020'!EQ10</f>
        <v>676360</v>
      </c>
      <c r="EP10" s="557"/>
      <c r="EQ10" s="92">
        <f>'[1]January -2020'!ES10</f>
        <v>10700000</v>
      </c>
      <c r="ER10" s="564"/>
      <c r="ES10" s="554"/>
      <c r="ET10" s="287">
        <f>'[1]January -2020'!EV10</f>
        <v>27582.7</v>
      </c>
      <c r="EU10" s="558"/>
      <c r="EV10" s="285">
        <f>'[1]January -2020'!EX10</f>
        <v>24145.3</v>
      </c>
      <c r="EW10" s="558"/>
      <c r="EX10" s="285">
        <f>'[1]January -2020'!FB10</f>
        <v>43532.7</v>
      </c>
      <c r="EY10" s="558"/>
      <c r="EZ10" s="285">
        <f>'[1]January -2020'!EZ10</f>
        <v>0</v>
      </c>
      <c r="FA10" s="558"/>
      <c r="FB10" s="285">
        <f>'[1]January -2020'!FD10</f>
        <v>20258.3</v>
      </c>
      <c r="FC10" s="560"/>
    </row>
    <row r="11" spans="1:159" ht="30" customHeight="1" x14ac:dyDescent="0.25">
      <c r="A11" s="210">
        <v>43832</v>
      </c>
      <c r="B11" s="212">
        <f>'[1]January -2020'!B11</f>
        <v>0.96</v>
      </c>
      <c r="C11" s="253">
        <f>'[1]January -2020'!E11</f>
        <v>515127</v>
      </c>
      <c r="D11" s="172">
        <f>'[1]January -2020'!F11</f>
        <v>552</v>
      </c>
      <c r="E11" s="170">
        <f>'[1]January -2020'!G11</f>
        <v>552</v>
      </c>
      <c r="F11" s="170">
        <f>'[1]January -2020'!H11</f>
        <v>686268</v>
      </c>
      <c r="G11" s="172">
        <f>'[1]January -2020'!I11</f>
        <v>489</v>
      </c>
      <c r="H11" s="170">
        <f>'[1]January -2020'!J11</f>
        <v>446</v>
      </c>
      <c r="I11" s="170">
        <f>'[1]January -2020'!K11</f>
        <v>21298</v>
      </c>
      <c r="J11" s="172">
        <f>'[1]January -2020'!L11</f>
        <v>187</v>
      </c>
      <c r="K11" s="170">
        <f>'[1]January -2020'!N11</f>
        <v>612208.80000000005</v>
      </c>
      <c r="L11" s="172">
        <f>'[1]January -2020'!O11</f>
        <v>142.40000000002328</v>
      </c>
      <c r="M11" s="170">
        <f>'[1]January -2020'!Q11</f>
        <v>156875</v>
      </c>
      <c r="N11" s="172">
        <f>'[1]January -2020'!R11</f>
        <v>0</v>
      </c>
      <c r="O11" s="170">
        <f>'[1]January -2020'!S11</f>
        <v>93918</v>
      </c>
      <c r="P11" s="172">
        <f>'[1]January -2020'!T11</f>
        <v>103</v>
      </c>
      <c r="Q11" s="170">
        <f>'[1]January -2020'!U11</f>
        <v>88</v>
      </c>
      <c r="R11" s="170">
        <f>'[1]January -2020'!V11</f>
        <v>7039</v>
      </c>
      <c r="S11" s="211">
        <f>'[1]January -2020'!W11</f>
        <v>24</v>
      </c>
      <c r="T11" s="475"/>
      <c r="U11" s="171">
        <f>'[1]January -2020'!AB11</f>
        <v>5458783.6799999997</v>
      </c>
      <c r="V11" s="242">
        <f>'[1]January -2020'!AC11</f>
        <v>2143.679999999702</v>
      </c>
      <c r="W11" s="94">
        <f>'[1]January -2020'!AD11</f>
        <v>2387.2799999993294</v>
      </c>
      <c r="X11" s="94">
        <f>'[1]January -2020'!AE11</f>
        <v>10642835.280000001</v>
      </c>
      <c r="Y11" s="242">
        <f>'[1]January -2020'!AF11</f>
        <v>4920.7200000025332</v>
      </c>
      <c r="Z11" s="94">
        <f>'[1]January -2020'!AG11</f>
        <v>5115.5999999996275</v>
      </c>
      <c r="AA11" s="94">
        <f>'[1]January -2020'!AH11</f>
        <v>9746630.8800000008</v>
      </c>
      <c r="AB11" s="254">
        <f>'[1]January -2020'!AI11</f>
        <v>194.88000000081956</v>
      </c>
      <c r="AC11" s="94">
        <f>'[1]January -2020'!AJ11</f>
        <v>1218</v>
      </c>
      <c r="AD11" s="94">
        <f>'[1]January -2020'!AK11</f>
        <v>13137737.76</v>
      </c>
      <c r="AE11" s="254">
        <f>'[1]January -2020'!AL11</f>
        <v>1071.8400000017136</v>
      </c>
      <c r="AF11" s="94">
        <f>'[1]January -2020'!AM11</f>
        <v>8623.4399999994785</v>
      </c>
      <c r="AG11" s="94">
        <f>'[1]January -2020'!AN11</f>
        <v>13120490.880000001</v>
      </c>
      <c r="AH11" s="254">
        <f>'[1]January -2020'!AO11</f>
        <v>9792.7200000006706</v>
      </c>
      <c r="AI11" s="94">
        <f>'[1]January -2020'!AP11</f>
        <v>97.439999999478459</v>
      </c>
      <c r="AJ11" s="94">
        <f>'[1]January -2020'!AQ11</f>
        <v>11932258.799999999</v>
      </c>
      <c r="AK11" s="254">
        <f>'[1]January -2020'!AR11</f>
        <v>5992.5599999986589</v>
      </c>
      <c r="AL11" s="94">
        <f>'[1]January -2020'!AS11</f>
        <v>5602.8000000007451</v>
      </c>
      <c r="AM11" s="94">
        <f>'[1]January -2020'!AT11</f>
        <v>10412730.719999999</v>
      </c>
      <c r="AN11" s="254">
        <f>'[1]January -2020'!AU11</f>
        <v>4579.6799999978393</v>
      </c>
      <c r="AO11" s="94">
        <f>'[1]January -2020'!AV11</f>
        <v>4141.2000000011176</v>
      </c>
      <c r="AP11" s="94">
        <f>'[1]January -2020'!AW11</f>
        <v>10054248.959999999</v>
      </c>
      <c r="AQ11" s="254">
        <f>'[1]January -2020'!AX11</f>
        <v>5115.5999999996275</v>
      </c>
      <c r="AR11" s="94">
        <f>'[1]January -2020'!AY11</f>
        <v>5213.0400000000373</v>
      </c>
      <c r="AS11" s="94">
        <f>'[1]January -2020'!AZ11</f>
        <v>8042454</v>
      </c>
      <c r="AT11" s="254">
        <f>'[1]January -2020'!BA11</f>
        <v>3312.9599999999627</v>
      </c>
      <c r="AU11" s="94">
        <f>'[1]January -2020'!BB11</f>
        <v>3361.679999999702</v>
      </c>
      <c r="AV11" s="94">
        <f>'[1]January -2020'!BC11</f>
        <v>11892016.08</v>
      </c>
      <c r="AW11" s="255">
        <f>'[1]January -2020'!BD11</f>
        <v>5602.7999999988824</v>
      </c>
      <c r="AX11" s="256">
        <f>'[1]January -2020'!BE11</f>
        <v>5797.6800000015646</v>
      </c>
      <c r="AY11" s="492"/>
      <c r="AZ11" s="95">
        <f>'[1]January -2020'!BJ11</f>
        <v>49283900</v>
      </c>
      <c r="BA11" s="181">
        <f>'[1]January -2020'!BK11</f>
        <v>0</v>
      </c>
      <c r="BB11" s="95">
        <f>'[1]January -2020'!BL11</f>
        <v>0</v>
      </c>
      <c r="BC11" s="95">
        <f>'[1]January -2020'!BM11</f>
        <v>53881900</v>
      </c>
      <c r="BD11" s="248">
        <f>'[1]January -2020'!BN11</f>
        <v>0</v>
      </c>
      <c r="BE11" s="95">
        <f>'[1]January -2020'!BO11</f>
        <v>44000</v>
      </c>
      <c r="BF11" s="95">
        <f>'[1]January -2020'!BP11</f>
        <v>47513800</v>
      </c>
      <c r="BG11" s="248">
        <f>'[1]January -2020'!BQ11</f>
        <v>51500</v>
      </c>
      <c r="BH11" s="95">
        <f>'[1]January -2020'!BR11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'[1]January -2020'!BS11</f>
        <v>3985250</v>
      </c>
      <c r="BT11" s="187">
        <f>'[1]January -2020'!BT11</f>
        <v>5260</v>
      </c>
      <c r="BU11" s="588"/>
      <c r="BV11" s="88">
        <f>'[1]January -2020'!BV11</f>
        <v>0.42</v>
      </c>
      <c r="BW11" s="244">
        <f>'[1]January -2020'!BW11</f>
        <v>-8.0000000000000016E-2</v>
      </c>
      <c r="BX11" s="88">
        <f>'[1]January -2020'!BX11</f>
        <v>0.14000000000000001</v>
      </c>
      <c r="BY11" s="89">
        <f>'[1]January -2020'!BY11</f>
        <v>44479</v>
      </c>
      <c r="BZ11" s="193">
        <f>'[1]January -2020'!BZ11</f>
        <v>17</v>
      </c>
      <c r="CA11" s="89">
        <f>'[1]January -2020'!CA11</f>
        <v>39346</v>
      </c>
      <c r="CB11" s="193">
        <f>'[1]January -2020'!CB11</f>
        <v>14</v>
      </c>
      <c r="CC11" s="89">
        <f>'[1]January -2020'!CC11</f>
        <v>13149</v>
      </c>
      <c r="CD11" s="193">
        <f>'[1]January -2020'!CD11</f>
        <v>7</v>
      </c>
      <c r="CE11" s="89">
        <f>'[1]January -2020'!CE11</f>
        <v>16538</v>
      </c>
      <c r="CF11" s="193">
        <f>'[1]January -2020'!CF11</f>
        <v>10</v>
      </c>
      <c r="CG11" s="89">
        <f>'[1]January -2020'!CG11</f>
        <v>18910</v>
      </c>
      <c r="CH11" s="193">
        <f>'[1]January -2020'!CH11</f>
        <v>11</v>
      </c>
      <c r="CI11" s="89">
        <f>'[1]January -2020'!CI11</f>
        <v>40238</v>
      </c>
      <c r="CJ11" s="193">
        <f>'[1]January -2020'!CJ11</f>
        <v>26</v>
      </c>
      <c r="CK11" s="89">
        <f>'[1]January -2020'!CK11</f>
        <v>174090.6</v>
      </c>
      <c r="CL11" s="249">
        <f>'[1]January -2020'!CL11</f>
        <v>86.800000000017462</v>
      </c>
      <c r="CM11" s="89">
        <f>'[1]January -2020'!CM11</f>
        <v>84</v>
      </c>
      <c r="CN11" s="89">
        <f>'[1]January -2020'!CN11</f>
        <v>125273</v>
      </c>
      <c r="CO11" s="249">
        <f>'[1]January -2020'!CO11</f>
        <v>112.80000000000291</v>
      </c>
      <c r="CP11" s="89">
        <f>'[1]January -2020'!CP11</f>
        <v>85</v>
      </c>
      <c r="CQ11" s="89">
        <f>'[1]January -2020'!CQ11</f>
        <v>233672.7</v>
      </c>
      <c r="CR11" s="249">
        <f>'[1]January -2020'!CR11</f>
        <v>296.80000000001746</v>
      </c>
      <c r="CS11" s="89">
        <f>'[1]January -2020'!CS11</f>
        <v>373</v>
      </c>
      <c r="CT11" s="89">
        <f>'[1]January -2020'!CT11</f>
        <v>471049</v>
      </c>
      <c r="CU11" s="193">
        <f>'[1]January -2020'!CU11</f>
        <v>126</v>
      </c>
      <c r="CV11" s="516"/>
      <c r="CW11" s="208">
        <f>'[1]January -2020'!CW11</f>
        <v>323</v>
      </c>
      <c r="CX11" s="200">
        <f>'[1]January -2020'!CX11</f>
        <v>0</v>
      </c>
      <c r="CY11" s="91">
        <f>'[1]January -2020'!CY11</f>
        <v>1108.2</v>
      </c>
      <c r="CZ11" s="200">
        <f>'[1]January -2020'!CZ11</f>
        <v>0</v>
      </c>
      <c r="DA11" s="91">
        <f>'[1]January -2020'!DA11</f>
        <v>18476.2</v>
      </c>
      <c r="DB11" s="200">
        <f>'[1]January -2020'!DB11</f>
        <v>19.400000000001455</v>
      </c>
      <c r="DC11" s="91">
        <f>'[1]January -2020'!DC11</f>
        <v>19115.2</v>
      </c>
      <c r="DD11" s="200">
        <f>'[1]January -2020'!DD11</f>
        <v>15.799999999999272</v>
      </c>
      <c r="DE11" s="91">
        <f>'[1]January -2020'!DE11</f>
        <v>13342.9</v>
      </c>
      <c r="DF11" s="200">
        <f>'[1]January -2020'!DF11</f>
        <v>15.899999999999636</v>
      </c>
      <c r="DG11" s="91">
        <f>'[1]January -2020'!DG11</f>
        <v>17127.099999999999</v>
      </c>
      <c r="DH11" s="200">
        <f>'[1]January -2020'!DH11</f>
        <v>7.3999999999978172</v>
      </c>
      <c r="DI11" s="91">
        <f>'[1]January -2020'!DI11</f>
        <v>825</v>
      </c>
      <c r="DJ11" s="200">
        <f>'[1]January -2020'!DJ11</f>
        <v>0</v>
      </c>
      <c r="DK11" s="91">
        <f>'[1]January -2020'!DK11</f>
        <v>3570</v>
      </c>
      <c r="DL11" s="200">
        <f>'[1]January -2020'!DL11</f>
        <v>0</v>
      </c>
      <c r="DM11" s="91">
        <f>'[1]January -2020'!DM11</f>
        <v>884</v>
      </c>
      <c r="DN11" s="200">
        <f>'[1]January -2020'!DN11</f>
        <v>4</v>
      </c>
      <c r="DO11" s="91">
        <f>'[1]January -2020'!DO11</f>
        <v>1067</v>
      </c>
      <c r="DP11" s="200">
        <f>'[1]January -2020'!DP11</f>
        <v>11</v>
      </c>
      <c r="DQ11" s="91">
        <f>'[1]January -2020'!DQ11</f>
        <v>16875</v>
      </c>
      <c r="DR11" s="209">
        <f>'[1]January -2020'!DR11</f>
        <v>10</v>
      </c>
      <c r="DS11" s="532"/>
      <c r="DT11" s="213">
        <f>'[1]January -2020'!DT11</f>
        <v>2731277.4</v>
      </c>
      <c r="DU11" s="224">
        <f>'[1]January -2020'!DU11</f>
        <v>1550.1000000000931</v>
      </c>
      <c r="DV11" s="93">
        <f>'[1]January -2020'!DV11</f>
        <v>4472.8999999999996</v>
      </c>
      <c r="DW11" s="218">
        <f>'[1]January -2020'!DW11</f>
        <v>5.2999999999992724</v>
      </c>
      <c r="DX11" s="93">
        <f>'[1]January -2020'!DX11</f>
        <v>1802712.7</v>
      </c>
      <c r="DY11" s="218">
        <f>'[1]January -2020'!DY11</f>
        <v>1117.6999999999534</v>
      </c>
      <c r="DZ11" s="93">
        <f>'[1]January -2020'!DZ11</f>
        <v>252468.8</v>
      </c>
      <c r="EA11" s="218">
        <f>'[1]January -2020'!EA11</f>
        <v>4.5</v>
      </c>
      <c r="EB11" s="93">
        <f>'[1]January -2020'!ED11</f>
        <v>402212.3</v>
      </c>
      <c r="EC11" s="218">
        <f>'[1]January -2020'!EE11</f>
        <v>669.70000000001164</v>
      </c>
      <c r="ED11" s="93">
        <f>'[1]January -2020'!EF11</f>
        <v>84843.3</v>
      </c>
      <c r="EE11" s="232">
        <f>'[1]January -2020'!EG11</f>
        <v>150.19999999999709</v>
      </c>
      <c r="EF11" s="579"/>
      <c r="EG11" s="238">
        <f>'[1]January -2020'!EI11</f>
        <v>6756800</v>
      </c>
      <c r="EH11" s="233">
        <f>'[1]January -2020'!EJ11</f>
        <v>3500</v>
      </c>
      <c r="EI11" s="92">
        <f>'[1]January -2020'!EK11</f>
        <v>595260</v>
      </c>
      <c r="EJ11" s="233">
        <f>'[1]January -2020'!EL11</f>
        <v>310</v>
      </c>
      <c r="EK11" s="92">
        <f>'[1]January -2020'!EM11</f>
        <v>4599000</v>
      </c>
      <c r="EL11" s="233">
        <f>'[1]January -2020'!EN11</f>
        <v>1900</v>
      </c>
      <c r="EM11" s="92">
        <f>'[1]January -2020'!EO11</f>
        <v>1987800</v>
      </c>
      <c r="EN11" s="233">
        <f>'[1]January -2020'!EP11</f>
        <v>0</v>
      </c>
      <c r="EO11" s="92">
        <f>'[1]January -2020'!EQ11</f>
        <v>676500</v>
      </c>
      <c r="EP11" s="233">
        <f>'[1]January -2020'!ER11</f>
        <v>140</v>
      </c>
      <c r="EQ11" s="92">
        <f>'[1]January -2020'!ES11</f>
        <v>10702200</v>
      </c>
      <c r="ER11" s="233">
        <f>'[1]January -2020'!ET11</f>
        <v>2200</v>
      </c>
      <c r="ES11" s="554"/>
      <c r="ET11" s="287">
        <f>'[1]January -2020'!EV11</f>
        <v>27602.2</v>
      </c>
      <c r="EU11" s="286">
        <f>'[1]January -2020'!$EW$11</f>
        <v>19.5</v>
      </c>
      <c r="EV11" s="285">
        <f>'[1]January -2020'!EX11</f>
        <v>24162.1</v>
      </c>
      <c r="EW11" s="286">
        <f>'[1]January -2020'!EY11</f>
        <v>16.799999999999272</v>
      </c>
      <c r="EX11" s="285">
        <f>'[1]January -2020'!FB11</f>
        <v>43567</v>
      </c>
      <c r="EY11" s="286">
        <f>'[1]January -2020'!FA11</f>
        <v>0</v>
      </c>
      <c r="EZ11" s="285">
        <f>'[1]January -2020'!EZ11</f>
        <v>0</v>
      </c>
      <c r="FA11" s="286">
        <f>'[1]January -2020'!FA11</f>
        <v>0</v>
      </c>
      <c r="FB11" s="285">
        <f>'[1]January -2020'!FD11</f>
        <v>20286.2</v>
      </c>
      <c r="FC11" s="288">
        <f>'[1]January -2020'!FE11</f>
        <v>27.900000000001455</v>
      </c>
    </row>
    <row r="12" spans="1:159" ht="30" customHeight="1" x14ac:dyDescent="0.25">
      <c r="A12" s="210">
        <v>43833</v>
      </c>
      <c r="B12" s="212">
        <f>'[1]January -2020'!B12</f>
        <v>0.96</v>
      </c>
      <c r="C12" s="253">
        <f>'[1]January -2020'!E12</f>
        <v>515747</v>
      </c>
      <c r="D12" s="172">
        <f>'[1]January -2020'!F12</f>
        <v>553</v>
      </c>
      <c r="E12" s="170">
        <f>'[1]January -2020'!G12</f>
        <v>553</v>
      </c>
      <c r="F12" s="170">
        <f>'[1]January -2020'!H12</f>
        <v>686804</v>
      </c>
      <c r="G12" s="172">
        <f>'[1]January -2020'!I12</f>
        <v>536</v>
      </c>
      <c r="H12" s="170">
        <f>'[1]January -2020'!J12</f>
        <v>468</v>
      </c>
      <c r="I12" s="170">
        <f>'[1]January -2020'!K12</f>
        <v>21464</v>
      </c>
      <c r="J12" s="172">
        <f>'[1]January -2020'!L12</f>
        <v>166</v>
      </c>
      <c r="K12" s="170">
        <f>'[1]January -2020'!N12</f>
        <v>612339.9</v>
      </c>
      <c r="L12" s="172">
        <f>'[1]January -2020'!O12</f>
        <v>131.09999999997672</v>
      </c>
      <c r="M12" s="170">
        <f>'[1]January -2020'!Q12</f>
        <v>156875</v>
      </c>
      <c r="N12" s="172">
        <f>'[1]January -2020'!R12</f>
        <v>0</v>
      </c>
      <c r="O12" s="170">
        <f>'[1]January -2020'!S12</f>
        <v>94002</v>
      </c>
      <c r="P12" s="172">
        <f>'[1]January -2020'!T12</f>
        <v>84</v>
      </c>
      <c r="Q12" s="170">
        <f>'[1]January -2020'!U12</f>
        <v>82</v>
      </c>
      <c r="R12" s="170">
        <f>'[1]January -2020'!V12</f>
        <v>7051</v>
      </c>
      <c r="S12" s="211">
        <f>'[1]January -2020'!W12</f>
        <v>12</v>
      </c>
      <c r="T12" s="475"/>
      <c r="U12" s="171">
        <f>'[1]January -2020'!AB12</f>
        <v>5461073.5200000005</v>
      </c>
      <c r="V12" s="254">
        <f>'[1]January -2020'!AC12</f>
        <v>2289.8400000007823</v>
      </c>
      <c r="W12" s="94">
        <f>'[1]January -2020'!AD12</f>
        <v>2338.5599999995902</v>
      </c>
      <c r="X12" s="94">
        <f>'[1]January -2020'!AE12</f>
        <v>10647902.16</v>
      </c>
      <c r="Y12" s="254">
        <f>'[1]January -2020'!AF12</f>
        <v>5066.8799999989569</v>
      </c>
      <c r="Z12" s="94">
        <f>'[1]January -2020'!AG12</f>
        <v>5115.5999999996275</v>
      </c>
      <c r="AA12" s="94">
        <f>'[1]January -2020'!AH12</f>
        <v>9746777.040000001</v>
      </c>
      <c r="AB12" s="254">
        <f>'[1]January -2020'!AI12</f>
        <v>146.16000000014901</v>
      </c>
      <c r="AC12" s="94">
        <f>'[1]January -2020'!AJ12</f>
        <v>1461.6000000005588</v>
      </c>
      <c r="AD12" s="94">
        <f>'[1]January -2020'!AK12</f>
        <v>13138955.76</v>
      </c>
      <c r="AE12" s="254">
        <f>'[1]January -2020'!AL12</f>
        <v>1218</v>
      </c>
      <c r="AF12" s="94">
        <f>'[1]January -2020'!AM12</f>
        <v>9013.1999999992549</v>
      </c>
      <c r="AG12" s="94">
        <f>'[1]January -2020'!AN12</f>
        <v>13130234.880000001</v>
      </c>
      <c r="AH12" s="254">
        <f>'[1]January -2020'!AO12</f>
        <v>9744</v>
      </c>
      <c r="AI12" s="94">
        <f>'[1]January -2020'!AP12</f>
        <v>0</v>
      </c>
      <c r="AJ12" s="94">
        <f>'[1]January -2020'!AQ12</f>
        <v>11938592.4</v>
      </c>
      <c r="AK12" s="254">
        <f>'[1]January -2020'!AR12</f>
        <v>6333.6000000014901</v>
      </c>
      <c r="AL12" s="94">
        <f>'[1]January -2020'!AS12</f>
        <v>5700.2400000002235</v>
      </c>
      <c r="AM12" s="94">
        <f>'[1]January -2020'!AT12</f>
        <v>10417456.559999999</v>
      </c>
      <c r="AN12" s="254">
        <f>'[1]January -2020'!AU12</f>
        <v>4725.839999999851</v>
      </c>
      <c r="AO12" s="94">
        <f>'[1]January -2020'!AV12</f>
        <v>4579.6799999978393</v>
      </c>
      <c r="AP12" s="94">
        <f>'[1]January -2020'!AW12</f>
        <v>10059656.880000001</v>
      </c>
      <c r="AQ12" s="254">
        <f>'[1]January -2020'!AX12</f>
        <v>5407.9200000017881</v>
      </c>
      <c r="AR12" s="94">
        <f>'[1]January -2020'!AY12</f>
        <v>5359.2000000001863</v>
      </c>
      <c r="AS12" s="94">
        <f>'[1]January -2020'!AZ12</f>
        <v>8045815.6800000006</v>
      </c>
      <c r="AT12" s="254">
        <f>'[1]January -2020'!BA12</f>
        <v>3361.6800000006333</v>
      </c>
      <c r="AU12" s="94">
        <f>'[1]January -2020'!BB12</f>
        <v>3459.1200000001118</v>
      </c>
      <c r="AV12" s="94">
        <f>'[1]January -2020'!BC12</f>
        <v>11897618.880000001</v>
      </c>
      <c r="AW12" s="255">
        <f>'[1]January -2020'!BD12</f>
        <v>5602.8000000007451</v>
      </c>
      <c r="AX12" s="256">
        <f>'[1]January -2020'!BE12</f>
        <v>5895.1199999991804</v>
      </c>
      <c r="AY12" s="492"/>
      <c r="AZ12" s="95">
        <f>'[1]January -2020'!BJ12</f>
        <v>49283900</v>
      </c>
      <c r="BA12" s="181">
        <f>'[1]January -2020'!BK12</f>
        <v>0</v>
      </c>
      <c r="BB12" s="95">
        <f>'[1]January -2020'!BL12</f>
        <v>0</v>
      </c>
      <c r="BC12" s="95">
        <f>'[1]January -2020'!BM12</f>
        <v>53881900</v>
      </c>
      <c r="BD12" s="248">
        <f>'[1]January -2020'!BN12</f>
        <v>0</v>
      </c>
      <c r="BE12" s="95">
        <f>'[1]January -2020'!BO12</f>
        <v>46800</v>
      </c>
      <c r="BF12" s="95">
        <f>'[1]January -2020'!BP12</f>
        <v>47558600</v>
      </c>
      <c r="BG12" s="248">
        <f>'[1]January -2020'!BQ12</f>
        <v>44800</v>
      </c>
      <c r="BH12" s="95">
        <f>'[1]January -2020'!BR12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'[1]January -2020'!BS12</f>
        <v>3990750</v>
      </c>
      <c r="BT12" s="187">
        <f>'[1]January -2020'!BT12</f>
        <v>5500</v>
      </c>
      <c r="BU12" s="588"/>
      <c r="BV12" s="88">
        <f>'[1]January -2020'!BV12</f>
        <v>0.56999999999999995</v>
      </c>
      <c r="BW12" s="244">
        <f>'[1]January -2020'!BW12</f>
        <v>0.14999999999999997</v>
      </c>
      <c r="BX12" s="88">
        <f>'[1]January -2020'!BX12</f>
        <v>-8.0000000000000016E-2</v>
      </c>
      <c r="BY12" s="89">
        <f>'[1]January -2020'!BY12</f>
        <v>44502</v>
      </c>
      <c r="BZ12" s="193">
        <f>'[1]January -2020'!BZ12</f>
        <v>23</v>
      </c>
      <c r="CA12" s="89">
        <f>'[1]January -2020'!CA12</f>
        <v>39365</v>
      </c>
      <c r="CB12" s="193">
        <f>'[1]January -2020'!CB12</f>
        <v>19</v>
      </c>
      <c r="CC12" s="89">
        <f>'[1]January -2020'!CC12</f>
        <v>13156</v>
      </c>
      <c r="CD12" s="193">
        <f>'[1]January -2020'!CD12</f>
        <v>7</v>
      </c>
      <c r="CE12" s="89">
        <f>'[1]January -2020'!CE12</f>
        <v>16549</v>
      </c>
      <c r="CF12" s="193">
        <f>'[1]January -2020'!CF12</f>
        <v>11</v>
      </c>
      <c r="CG12" s="89">
        <f>'[1]January -2020'!CG12</f>
        <v>18924</v>
      </c>
      <c r="CH12" s="193">
        <f>'[1]January -2020'!CH12</f>
        <v>14</v>
      </c>
      <c r="CI12" s="89">
        <f>'[1]January -2020'!CI12</f>
        <v>40264</v>
      </c>
      <c r="CJ12" s="193">
        <f>'[1]January -2020'!CJ12</f>
        <v>26</v>
      </c>
      <c r="CK12" s="89">
        <f>'[1]January -2020'!CK12</f>
        <v>174176.6</v>
      </c>
      <c r="CL12" s="249">
        <f>'[1]January -2020'!CL12</f>
        <v>86</v>
      </c>
      <c r="CM12" s="89">
        <f>'[1]January -2020'!CM12</f>
        <v>84</v>
      </c>
      <c r="CN12" s="89">
        <f>'[1]January -2020'!CN12</f>
        <v>125381.6</v>
      </c>
      <c r="CO12" s="249">
        <f>'[1]January -2020'!CO12</f>
        <v>108.60000000000582</v>
      </c>
      <c r="CP12" s="89">
        <f>'[1]January -2020'!CP12</f>
        <v>89</v>
      </c>
      <c r="CQ12" s="89">
        <f>'[1]January -2020'!CQ12</f>
        <v>233974.85</v>
      </c>
      <c r="CR12" s="249">
        <f>'[1]January -2020'!CR12</f>
        <v>302.14999999999418</v>
      </c>
      <c r="CS12" s="89">
        <f>'[1]January -2020'!CS12</f>
        <v>351</v>
      </c>
      <c r="CT12" s="89">
        <f>'[1]January -2020'!CT12</f>
        <v>471188</v>
      </c>
      <c r="CU12" s="193">
        <f>'[1]January -2020'!CU12</f>
        <v>139</v>
      </c>
      <c r="CV12" s="516"/>
      <c r="CW12" s="208">
        <f>'[1]January -2020'!CW12</f>
        <v>325</v>
      </c>
      <c r="CX12" s="200">
        <f>'[1]January -2020'!CX12</f>
        <v>2</v>
      </c>
      <c r="CY12" s="91">
        <f>'[1]January -2020'!CY12</f>
        <v>1122.3</v>
      </c>
      <c r="CZ12" s="200">
        <f>'[1]January -2020'!CZ12</f>
        <v>14.099999999999909</v>
      </c>
      <c r="DA12" s="91">
        <f>'[1]January -2020'!DA12</f>
        <v>18496.599999999999</v>
      </c>
      <c r="DB12" s="200">
        <f>'[1]January -2020'!DB12</f>
        <v>20.399999999997817</v>
      </c>
      <c r="DC12" s="91">
        <f>'[1]January -2020'!DC12</f>
        <v>19132.599999999999</v>
      </c>
      <c r="DD12" s="200">
        <f>'[1]January -2020'!DD12</f>
        <v>17.399999999997817</v>
      </c>
      <c r="DE12" s="91">
        <f>'[1]January -2020'!DE12</f>
        <v>13359.1</v>
      </c>
      <c r="DF12" s="200">
        <f>'[1]January -2020'!DF12</f>
        <v>16.200000000000728</v>
      </c>
      <c r="DG12" s="91">
        <f>'[1]January -2020'!DG12</f>
        <v>17134.3</v>
      </c>
      <c r="DH12" s="200">
        <f>'[1]January -2020'!DH12</f>
        <v>7.2000000000007276</v>
      </c>
      <c r="DI12" s="91">
        <f>'[1]January -2020'!DI12</f>
        <v>825</v>
      </c>
      <c r="DJ12" s="200">
        <f>'[1]January -2020'!DJ12</f>
        <v>0</v>
      </c>
      <c r="DK12" s="91">
        <f>'[1]January -2020'!DK12</f>
        <v>3570</v>
      </c>
      <c r="DL12" s="200">
        <f>'[1]January -2020'!DL12</f>
        <v>0</v>
      </c>
      <c r="DM12" s="91">
        <f>'[1]January -2020'!DM12</f>
        <v>888</v>
      </c>
      <c r="DN12" s="200">
        <f>'[1]January -2020'!DN12</f>
        <v>4</v>
      </c>
      <c r="DO12" s="91">
        <f>'[1]January -2020'!DO12</f>
        <v>1076</v>
      </c>
      <c r="DP12" s="200">
        <f>'[1]January -2020'!DP12</f>
        <v>9</v>
      </c>
      <c r="DQ12" s="91">
        <f>'[1]January -2020'!DQ12</f>
        <v>16884</v>
      </c>
      <c r="DR12" s="209">
        <f>'[1]January -2020'!DR12</f>
        <v>9</v>
      </c>
      <c r="DS12" s="532"/>
      <c r="DT12" s="213">
        <f>'[1]January -2020'!DT12</f>
        <v>2732832.5</v>
      </c>
      <c r="DU12" s="224">
        <f>'[1]January -2020'!DU12</f>
        <v>1555.1000000000931</v>
      </c>
      <c r="DV12" s="93">
        <f>'[1]January -2020'!DV12</f>
        <v>4478.2</v>
      </c>
      <c r="DW12" s="218">
        <f>'[1]January -2020'!DW12</f>
        <v>5.3000000000001819</v>
      </c>
      <c r="DX12" s="93">
        <f>'[1]January -2020'!DX12</f>
        <v>1803795.6</v>
      </c>
      <c r="DY12" s="218">
        <f>'[1]January -2020'!DY12</f>
        <v>1082.9000000001397</v>
      </c>
      <c r="DZ12" s="93">
        <f>'[1]January -2020'!DZ12</f>
        <v>252473</v>
      </c>
      <c r="EA12" s="218">
        <f>'[1]January -2020'!EA12</f>
        <v>4.2000000000116415</v>
      </c>
      <c r="EB12" s="93">
        <f>'[1]January -2020'!ED12</f>
        <v>402846.8</v>
      </c>
      <c r="EC12" s="218">
        <f>'[1]January -2020'!EE12</f>
        <v>634.5</v>
      </c>
      <c r="ED12" s="93">
        <f>'[1]January -2020'!EF12</f>
        <v>84992.9</v>
      </c>
      <c r="EE12" s="232">
        <f>'[1]January -2020'!EG12</f>
        <v>149.59999999999127</v>
      </c>
      <c r="EF12" s="579"/>
      <c r="EG12" s="238">
        <f>'[1]January -2020'!EI12</f>
        <v>6760300</v>
      </c>
      <c r="EH12" s="233">
        <f>'[1]January -2020'!EJ12</f>
        <v>3500</v>
      </c>
      <c r="EI12" s="92">
        <f>'[1]January -2020'!EK12</f>
        <v>595470</v>
      </c>
      <c r="EJ12" s="233">
        <f>'[1]January -2020'!EL12</f>
        <v>210</v>
      </c>
      <c r="EK12" s="92">
        <f>'[1]January -2020'!EM12</f>
        <v>4600900</v>
      </c>
      <c r="EL12" s="233">
        <f>'[1]January -2020'!EN12</f>
        <v>1900</v>
      </c>
      <c r="EM12" s="92">
        <f>'[1]January -2020'!EO12</f>
        <v>1987800</v>
      </c>
      <c r="EN12" s="233">
        <f>'[1]January -2020'!EP12</f>
        <v>0</v>
      </c>
      <c r="EO12" s="92">
        <f>'[1]January -2020'!EQ12</f>
        <v>676640</v>
      </c>
      <c r="EP12" s="233">
        <f>'[1]January -2020'!ER12</f>
        <v>140</v>
      </c>
      <c r="EQ12" s="92">
        <f>'[1]January -2020'!ES12</f>
        <v>10704100</v>
      </c>
      <c r="ER12" s="233">
        <f>'[1]January -2020'!ET12</f>
        <v>1900</v>
      </c>
      <c r="ES12" s="554"/>
      <c r="ET12" s="287">
        <f>'[1]January -2020'!EV12</f>
        <v>27622.2</v>
      </c>
      <c r="EU12" s="286">
        <f>'[1]January -2020'!$EW$11</f>
        <v>19.5</v>
      </c>
      <c r="EV12" s="285">
        <f>'[1]January -2020'!EX12</f>
        <v>24177.9</v>
      </c>
      <c r="EW12" s="286">
        <f>'[1]January -2020'!EY12</f>
        <v>15.80000000000291</v>
      </c>
      <c r="EX12" s="285">
        <f>'[1]January -2020'!FB12</f>
        <v>43594.3</v>
      </c>
      <c r="EY12" s="286">
        <f>'[1]January -2020'!FA12</f>
        <v>0</v>
      </c>
      <c r="EZ12" s="285">
        <f>'[1]January -2020'!EZ12</f>
        <v>0</v>
      </c>
      <c r="FA12" s="286">
        <f>'[1]January -2020'!FA12</f>
        <v>0</v>
      </c>
      <c r="FB12" s="285">
        <f>'[1]January -2020'!FD12</f>
        <v>20313.8</v>
      </c>
      <c r="FC12" s="288">
        <f>'[1]January -2020'!FE12</f>
        <v>27.599999999998545</v>
      </c>
    </row>
    <row r="13" spans="1:159" ht="30" customHeight="1" x14ac:dyDescent="0.25">
      <c r="A13" s="210">
        <v>43834</v>
      </c>
      <c r="B13" s="212">
        <f>'[1]January -2020'!B13</f>
        <v>0.95</v>
      </c>
      <c r="C13" s="253">
        <f>'[1]January -2020'!E13</f>
        <v>516364</v>
      </c>
      <c r="D13" s="172">
        <f>'[1]January -2020'!F13</f>
        <v>554</v>
      </c>
      <c r="E13" s="170">
        <f>'[1]January -2020'!G13</f>
        <v>554</v>
      </c>
      <c r="F13" s="170">
        <f>'[1]January -2020'!H13</f>
        <v>687431</v>
      </c>
      <c r="G13" s="172">
        <f>'[1]January -2020'!I13</f>
        <v>627</v>
      </c>
      <c r="H13" s="170">
        <f>'[1]January -2020'!J13</f>
        <v>430</v>
      </c>
      <c r="I13" s="170">
        <f>'[1]January -2020'!K13</f>
        <v>21572</v>
      </c>
      <c r="J13" s="172">
        <f>'[1]January -2020'!L13</f>
        <v>108</v>
      </c>
      <c r="K13" s="170">
        <f>'[1]January -2020'!N13</f>
        <v>612495.4</v>
      </c>
      <c r="L13" s="172">
        <f>'[1]January -2020'!O13</f>
        <v>155.5</v>
      </c>
      <c r="M13" s="170">
        <f>'[1]January -2020'!Q13</f>
        <v>156875</v>
      </c>
      <c r="N13" s="172">
        <f>'[1]January -2020'!R13</f>
        <v>0</v>
      </c>
      <c r="O13" s="170">
        <f>'[1]January -2020'!S13</f>
        <v>94104</v>
      </c>
      <c r="P13" s="172">
        <f>'[1]January -2020'!T13</f>
        <v>102</v>
      </c>
      <c r="Q13" s="170">
        <f>'[1]January -2020'!U13</f>
        <v>107</v>
      </c>
      <c r="R13" s="170">
        <f>'[1]January -2020'!V13</f>
        <v>7073</v>
      </c>
      <c r="S13" s="211">
        <f>'[1]January -2020'!W13</f>
        <v>22</v>
      </c>
      <c r="T13" s="475"/>
      <c r="U13" s="171">
        <f>'[1]January -2020'!AB13</f>
        <v>5463558.2400000002</v>
      </c>
      <c r="V13" s="254">
        <f>'[1]January -2020'!AC13</f>
        <v>2484.7199999997392</v>
      </c>
      <c r="W13" s="94">
        <f>'[1]January -2020'!AD13</f>
        <v>2241.1200000001118</v>
      </c>
      <c r="X13" s="94">
        <f>'[1]January -2020'!AE13</f>
        <v>10652822.880000001</v>
      </c>
      <c r="Y13" s="254">
        <f>'[1]January -2020'!AF13</f>
        <v>4920.7200000006706</v>
      </c>
      <c r="Z13" s="94">
        <f>'[1]January -2020'!AG13</f>
        <v>5018.160000000149</v>
      </c>
      <c r="AA13" s="94">
        <f>'[1]January -2020'!AH13</f>
        <v>9753061.9199999999</v>
      </c>
      <c r="AB13" s="254">
        <f>'[1]January -2020'!AI13</f>
        <v>6284.8799999989569</v>
      </c>
      <c r="AC13" s="94">
        <f>'[1]January -2020'!AJ13</f>
        <v>1412.8799999998882</v>
      </c>
      <c r="AD13" s="94">
        <f>'[1]January -2020'!AK13</f>
        <v>13139345.52</v>
      </c>
      <c r="AE13" s="254">
        <f>'[1]January -2020'!AL13</f>
        <v>389.75999999977648</v>
      </c>
      <c r="AF13" s="94">
        <f>'[1]January -2020'!AM13</f>
        <v>9500.4000000003725</v>
      </c>
      <c r="AG13" s="94">
        <f>'[1]January -2020'!AN13</f>
        <v>13133499.119999999</v>
      </c>
      <c r="AH13" s="254">
        <f>'[1]January -2020'!AO13</f>
        <v>3264.2399999983609</v>
      </c>
      <c r="AI13" s="94">
        <f>'[1]January -2020'!AP13</f>
        <v>0</v>
      </c>
      <c r="AJ13" s="94">
        <f>'[1]January -2020'!AQ13</f>
        <v>11944877.280000001</v>
      </c>
      <c r="AK13" s="254">
        <f>'[1]January -2020'!AR13</f>
        <v>6284.8800000008196</v>
      </c>
      <c r="AL13" s="94">
        <f>'[1]January -2020'!AS13</f>
        <v>5651.5200000014156</v>
      </c>
      <c r="AM13" s="94">
        <f>'[1]January -2020'!AT13</f>
        <v>10421841.359999999</v>
      </c>
      <c r="AN13" s="254">
        <f>'[1]January -2020'!AU13</f>
        <v>4384.8000000007451</v>
      </c>
      <c r="AO13" s="94">
        <f>'[1]January -2020'!AV13</f>
        <v>4384.8000000007451</v>
      </c>
      <c r="AP13" s="94">
        <f>'[1]January -2020'!AW13</f>
        <v>10064723.76</v>
      </c>
      <c r="AQ13" s="254">
        <f>'[1]January -2020'!AX13</f>
        <v>5066.8799999989569</v>
      </c>
      <c r="AR13" s="94">
        <f>'[1]January -2020'!AY13</f>
        <v>5261.7599999997765</v>
      </c>
      <c r="AS13" s="94">
        <f>'[1]January -2020'!AZ13</f>
        <v>8049031.2000000002</v>
      </c>
      <c r="AT13" s="254">
        <f>'[1]January -2020'!BA13</f>
        <v>3215.519999999553</v>
      </c>
      <c r="AU13" s="94">
        <f>'[1]January -2020'!BB13</f>
        <v>3605.2800000002608</v>
      </c>
      <c r="AV13" s="94">
        <f>'[1]January -2020'!BC13</f>
        <v>11903075.52</v>
      </c>
      <c r="AW13" s="255">
        <f>'[1]January -2020'!BD13</f>
        <v>5456.6399999987334</v>
      </c>
      <c r="AX13" s="256">
        <f>'[1]January -2020'!BE13</f>
        <v>5797.679999999702</v>
      </c>
      <c r="AY13" s="492"/>
      <c r="AZ13" s="95">
        <f>'[1]January -2020'!BJ13</f>
        <v>49313200</v>
      </c>
      <c r="BA13" s="181">
        <f>'[1]January -2020'!BK13</f>
        <v>29300</v>
      </c>
      <c r="BB13" s="95">
        <f>'[1]January -2020'!BL13</f>
        <v>0</v>
      </c>
      <c r="BC13" s="95">
        <f>'[1]January -2020'!BM13</f>
        <v>53881900</v>
      </c>
      <c r="BD13" s="248">
        <f>'[1]January -2020'!BN13</f>
        <v>0</v>
      </c>
      <c r="BE13" s="95">
        <f>'[1]January -2020'!BO13</f>
        <v>48800</v>
      </c>
      <c r="BF13" s="95">
        <f>'[1]January -2020'!BP13</f>
        <v>47576000</v>
      </c>
      <c r="BG13" s="248">
        <f>'[1]January -2020'!BQ13</f>
        <v>17400</v>
      </c>
      <c r="BH13" s="95">
        <f>'[1]January -2020'!BR13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'[1]January -2020'!BS13</f>
        <v>3996030</v>
      </c>
      <c r="BT13" s="187">
        <f>'[1]January -2020'!BT13</f>
        <v>5280</v>
      </c>
      <c r="BU13" s="588"/>
      <c r="BV13" s="88">
        <f>'[1]January -2020'!BV13</f>
        <v>0.49</v>
      </c>
      <c r="BW13" s="244">
        <f>'[1]January -2020'!BW13</f>
        <v>-7.999999999999996E-2</v>
      </c>
      <c r="BX13" s="88">
        <f>'[1]January -2020'!BX13</f>
        <v>0.12000000000000005</v>
      </c>
      <c r="BY13" s="89">
        <f>'[1]January -2020'!BY13</f>
        <v>44523.7</v>
      </c>
      <c r="BZ13" s="193">
        <f>'[1]January -2020'!BZ13</f>
        <v>21.69999999999709</v>
      </c>
      <c r="CA13" s="89">
        <f>'[1]January -2020'!CA13</f>
        <v>39383.4</v>
      </c>
      <c r="CB13" s="193">
        <f>'[1]January -2020'!CB13</f>
        <v>18.400000000001455</v>
      </c>
      <c r="CC13" s="89">
        <f>'[1]January -2020'!CC13</f>
        <v>13164</v>
      </c>
      <c r="CD13" s="193">
        <f>'[1]January -2020'!CD13</f>
        <v>8</v>
      </c>
      <c r="CE13" s="89">
        <f>'[1]January -2020'!CE13</f>
        <v>16560</v>
      </c>
      <c r="CF13" s="193">
        <f>'[1]January -2020'!CF13</f>
        <v>11</v>
      </c>
      <c r="CG13" s="89">
        <f>'[1]January -2020'!CG13</f>
        <v>18937</v>
      </c>
      <c r="CH13" s="193">
        <f>'[1]January -2020'!CH13</f>
        <v>13</v>
      </c>
      <c r="CI13" s="89">
        <f>'[1]January -2020'!CI13</f>
        <v>40293</v>
      </c>
      <c r="CJ13" s="193">
        <f>'[1]January -2020'!CJ13</f>
        <v>29</v>
      </c>
      <c r="CK13" s="89">
        <f>'[1]January -2020'!CK13</f>
        <v>174265.3</v>
      </c>
      <c r="CL13" s="249">
        <f>'[1]January -2020'!CL13</f>
        <v>88.699999999982538</v>
      </c>
      <c r="CM13" s="89">
        <f>'[1]January -2020'!CM13</f>
        <v>86</v>
      </c>
      <c r="CN13" s="89">
        <f>'[1]January -2020'!CN13</f>
        <v>125489.8</v>
      </c>
      <c r="CO13" s="249">
        <f>'[1]January -2020'!CO13</f>
        <v>108.19999999999709</v>
      </c>
      <c r="CP13" s="89">
        <f>'[1]January -2020'!CP13</f>
        <v>85</v>
      </c>
      <c r="CQ13" s="89">
        <f>'[1]January -2020'!CQ13</f>
        <v>234293.7</v>
      </c>
      <c r="CR13" s="249">
        <f>'[1]January -2020'!CR13</f>
        <v>318.85000000000582</v>
      </c>
      <c r="CS13" s="89">
        <f>'[1]January -2020'!CS13</f>
        <v>400</v>
      </c>
      <c r="CT13" s="89">
        <f>'[1]January -2020'!CT13</f>
        <v>471338</v>
      </c>
      <c r="CU13" s="193">
        <f>'[1]January -2020'!CU13</f>
        <v>150</v>
      </c>
      <c r="CV13" s="516"/>
      <c r="CW13" s="208">
        <f>'[1]January -2020'!CW13</f>
        <v>325</v>
      </c>
      <c r="CX13" s="200">
        <f>'[1]January -2020'!CX13</f>
        <v>0</v>
      </c>
      <c r="CY13" s="91">
        <f>'[1]January -2020'!CY13</f>
        <v>1122.3</v>
      </c>
      <c r="CZ13" s="200">
        <f>'[1]January -2020'!CZ13</f>
        <v>0</v>
      </c>
      <c r="DA13" s="91">
        <f>'[1]January -2020'!DA13</f>
        <v>18515</v>
      </c>
      <c r="DB13" s="200">
        <f>'[1]January -2020'!DB13</f>
        <v>18.400000000001455</v>
      </c>
      <c r="DC13" s="91">
        <f>'[1]January -2020'!DC13</f>
        <v>19145.599999999999</v>
      </c>
      <c r="DD13" s="200">
        <f>'[1]January -2020'!DD13</f>
        <v>13</v>
      </c>
      <c r="DE13" s="91">
        <f>'[1]January -2020'!DE13</f>
        <v>13375.6</v>
      </c>
      <c r="DF13" s="200">
        <f>'[1]January -2020'!DF13</f>
        <v>16.5</v>
      </c>
      <c r="DG13" s="91">
        <f>'[1]January -2020'!DG13</f>
        <v>17140.900000000001</v>
      </c>
      <c r="DH13" s="200">
        <f>'[1]January -2020'!DH13</f>
        <v>6.6000000000021828</v>
      </c>
      <c r="DI13" s="91">
        <f>'[1]January -2020'!DI13</f>
        <v>825</v>
      </c>
      <c r="DJ13" s="200">
        <f>'[1]January -2020'!DJ13</f>
        <v>0</v>
      </c>
      <c r="DK13" s="91">
        <f>'[1]January -2020'!DK13</f>
        <v>3570</v>
      </c>
      <c r="DL13" s="200">
        <f>'[1]January -2020'!DL13</f>
        <v>0</v>
      </c>
      <c r="DM13" s="91">
        <f>'[1]January -2020'!DM13</f>
        <v>892</v>
      </c>
      <c r="DN13" s="200">
        <f>'[1]January -2020'!DN13</f>
        <v>4</v>
      </c>
      <c r="DO13" s="91">
        <f>'[1]January -2020'!DO13</f>
        <v>1082</v>
      </c>
      <c r="DP13" s="200">
        <f>'[1]January -2020'!DP13</f>
        <v>6</v>
      </c>
      <c r="DQ13" s="91">
        <f>'[1]January -2020'!DQ13</f>
        <v>16894</v>
      </c>
      <c r="DR13" s="209">
        <f>'[1]January -2020'!DR13</f>
        <v>10</v>
      </c>
      <c r="DS13" s="532"/>
      <c r="DT13" s="213">
        <f>'[1]January -2020'!DT13</f>
        <v>2734353.8</v>
      </c>
      <c r="DU13" s="224">
        <f>'[1]January -2020'!DU13</f>
        <v>1521.2999999998137</v>
      </c>
      <c r="DV13" s="93">
        <f>'[1]January -2020'!DV13</f>
        <v>4483.1000000000004</v>
      </c>
      <c r="DW13" s="218">
        <f>'[1]January -2020'!DW13</f>
        <v>4.9000000000005457</v>
      </c>
      <c r="DX13" s="93">
        <f>'[1]January -2020'!DX13</f>
        <v>1804894.2</v>
      </c>
      <c r="DY13" s="218">
        <f>'[1]January -2020'!DY13</f>
        <v>1098.5999999998603</v>
      </c>
      <c r="DZ13" s="93">
        <f>'[1]January -2020'!DZ13</f>
        <v>252477.2</v>
      </c>
      <c r="EA13" s="218">
        <f>'[1]January -2020'!EA13</f>
        <v>4.2000000000116415</v>
      </c>
      <c r="EB13" s="93">
        <f>'[1]January -2020'!ED13</f>
        <v>403422.9</v>
      </c>
      <c r="EC13" s="218">
        <f>'[1]January -2020'!EE13</f>
        <v>576.10000000003492</v>
      </c>
      <c r="ED13" s="93">
        <f>'[1]January -2020'!EF13</f>
        <v>85138.1</v>
      </c>
      <c r="EE13" s="232">
        <f>'[1]January -2020'!EG13</f>
        <v>145.20000000001164</v>
      </c>
      <c r="EF13" s="579"/>
      <c r="EG13" s="238">
        <f>'[1]January -2020'!EI13</f>
        <v>6763000</v>
      </c>
      <c r="EH13" s="233">
        <f>'[1]January -2020'!EJ13</f>
        <v>2700</v>
      </c>
      <c r="EI13" s="92">
        <f>'[1]January -2020'!EK13</f>
        <v>595870</v>
      </c>
      <c r="EJ13" s="233">
        <f>'[1]January -2020'!EL13</f>
        <v>400</v>
      </c>
      <c r="EK13" s="92">
        <f>'[1]January -2020'!EM13</f>
        <v>4602500</v>
      </c>
      <c r="EL13" s="233">
        <f>'[1]January -2020'!EN13</f>
        <v>1600</v>
      </c>
      <c r="EM13" s="92">
        <f>'[1]January -2020'!EO13</f>
        <v>1987900</v>
      </c>
      <c r="EN13" s="233">
        <f>'[1]January -2020'!EP13</f>
        <v>100</v>
      </c>
      <c r="EO13" s="92">
        <f>'[1]January -2020'!EQ13</f>
        <v>676790</v>
      </c>
      <c r="EP13" s="233">
        <f>'[1]January -2020'!ER13</f>
        <v>150</v>
      </c>
      <c r="EQ13" s="92">
        <f>'[1]January -2020'!ES13</f>
        <v>10705600</v>
      </c>
      <c r="ER13" s="233">
        <f>'[1]January -2020'!ET13</f>
        <v>1500</v>
      </c>
      <c r="ES13" s="554"/>
      <c r="ET13" s="287">
        <f>'[1]January -2020'!EV13</f>
        <v>27640.1</v>
      </c>
      <c r="EU13" s="286">
        <f>'[1]January -2020'!$EW$11</f>
        <v>19.5</v>
      </c>
      <c r="EV13" s="285">
        <f>'[1]January -2020'!EX13</f>
        <v>24194.2</v>
      </c>
      <c r="EW13" s="286">
        <f>'[1]January -2020'!EY13</f>
        <v>16.299999999999272</v>
      </c>
      <c r="EX13" s="285">
        <f>'[1]January -2020'!FB13</f>
        <v>43627.8</v>
      </c>
      <c r="EY13" s="286">
        <f>'[1]January -2020'!FA13</f>
        <v>0</v>
      </c>
      <c r="EZ13" s="285">
        <f>'[1]January -2020'!EZ13</f>
        <v>0</v>
      </c>
      <c r="FA13" s="286">
        <f>'[1]January -2020'!FA13</f>
        <v>0</v>
      </c>
      <c r="FB13" s="285">
        <f>'[1]January -2020'!FD13</f>
        <v>20344</v>
      </c>
      <c r="FC13" s="288">
        <f>'[1]January -2020'!FE13</f>
        <v>30.200000000000728</v>
      </c>
    </row>
    <row r="14" spans="1:159" ht="30" customHeight="1" x14ac:dyDescent="0.25">
      <c r="A14" s="210">
        <v>43835</v>
      </c>
      <c r="B14" s="212">
        <f>'[1]January -2020'!B14</f>
        <v>0.89</v>
      </c>
      <c r="C14" s="253">
        <f>'[1]January -2020'!E14</f>
        <v>516952</v>
      </c>
      <c r="D14" s="172">
        <f>'[1]January -2020'!F14</f>
        <v>447</v>
      </c>
      <c r="E14" s="170">
        <f>'[1]January -2020'!G14</f>
        <v>447</v>
      </c>
      <c r="F14" s="170">
        <f>'[1]January -2020'!H14</f>
        <v>687752</v>
      </c>
      <c r="G14" s="172">
        <f>'[1]January -2020'!I14</f>
        <v>321</v>
      </c>
      <c r="H14" s="170">
        <f>'[1]January -2020'!J14</f>
        <v>443</v>
      </c>
      <c r="I14" s="170">
        <f>'[1]January -2020'!K14</f>
        <v>21724</v>
      </c>
      <c r="J14" s="172">
        <f>'[1]January -2020'!L14</f>
        <v>152</v>
      </c>
      <c r="K14" s="170">
        <f>'[1]January -2020'!N14</f>
        <v>612637.1</v>
      </c>
      <c r="L14" s="172">
        <f>'[1]January -2020'!O14</f>
        <v>141.69999999995343</v>
      </c>
      <c r="M14" s="170">
        <f>'[1]January -2020'!Q14</f>
        <v>156875</v>
      </c>
      <c r="N14" s="172">
        <f>'[1]January -2020'!R14</f>
        <v>0</v>
      </c>
      <c r="O14" s="170">
        <f>'[1]January -2020'!S14</f>
        <v>94206</v>
      </c>
      <c r="P14" s="172">
        <f>'[1]January -2020'!T14</f>
        <v>102</v>
      </c>
      <c r="Q14" s="170">
        <f>'[1]January -2020'!U14</f>
        <v>90</v>
      </c>
      <c r="R14" s="170">
        <f>'[1]January -2020'!V14</f>
        <v>7089</v>
      </c>
      <c r="S14" s="211">
        <f>'[1]January -2020'!W14</f>
        <v>16</v>
      </c>
      <c r="T14" s="475"/>
      <c r="U14" s="171">
        <f>'[1]January -2020'!AB14</f>
        <v>5466189.1200000001</v>
      </c>
      <c r="V14" s="254">
        <f>'[1]January -2020'!AC14</f>
        <v>2630.8799999998882</v>
      </c>
      <c r="W14" s="94">
        <f>'[1]January -2020'!AD14</f>
        <v>2289.8400000007823</v>
      </c>
      <c r="X14" s="94">
        <f>'[1]January -2020'!AE14</f>
        <v>10657743.6</v>
      </c>
      <c r="Y14" s="254">
        <f>'[1]January -2020'!AF14</f>
        <v>4920.7199999988079</v>
      </c>
      <c r="Z14" s="94">
        <f>'[1]January -2020'!AG14</f>
        <v>5748.9600000008941</v>
      </c>
      <c r="AA14" s="94">
        <f>'[1]January -2020'!AH14</f>
        <v>9762367.4399999995</v>
      </c>
      <c r="AB14" s="254">
        <f>'[1]January -2020'!AI14</f>
        <v>9305.519999999553</v>
      </c>
      <c r="AC14" s="94">
        <f>'[1]January -2020'!AJ14</f>
        <v>48.71999999973923</v>
      </c>
      <c r="AD14" s="94">
        <f>'[1]January -2020'!AK14</f>
        <v>13139394.24</v>
      </c>
      <c r="AE14" s="254">
        <f>'[1]January -2020'!AL14</f>
        <v>48.720000000670552</v>
      </c>
      <c r="AF14" s="94">
        <f>'[1]January -2020'!AM14</f>
        <v>5651.519999999553</v>
      </c>
      <c r="AG14" s="94">
        <f>'[1]January -2020'!AN14</f>
        <v>13133742.719999999</v>
      </c>
      <c r="AH14" s="254">
        <f>'[1]January -2020'!AO14</f>
        <v>243.59999999962747</v>
      </c>
      <c r="AI14" s="94">
        <f>'[1]January -2020'!AP14</f>
        <v>6772.0800000000745</v>
      </c>
      <c r="AJ14" s="94">
        <f>'[1]January -2020'!AQ14</f>
        <v>11951357.040000001</v>
      </c>
      <c r="AK14" s="254">
        <f>'[1]January -2020'!AR14</f>
        <v>6479.7599999997765</v>
      </c>
      <c r="AL14" s="94">
        <f>'[1]January -2020'!AS14</f>
        <v>6479.7599999997765</v>
      </c>
      <c r="AM14" s="94">
        <f>'[1]January -2020'!AT14</f>
        <v>10426128.719999999</v>
      </c>
      <c r="AN14" s="254">
        <f>'[1]January -2020'!AU14</f>
        <v>4287.359999999404</v>
      </c>
      <c r="AO14" s="94">
        <f>'[1]January -2020'!AV14</f>
        <v>5066.8800000008196</v>
      </c>
      <c r="AP14" s="94">
        <f>'[1]January -2020'!AW14</f>
        <v>10069644.48</v>
      </c>
      <c r="AQ14" s="254">
        <f>'[1]January -2020'!AX14</f>
        <v>4920.7200000006706</v>
      </c>
      <c r="AR14" s="94">
        <f>'[1]January -2020'!AY14</f>
        <v>6138.7199999988079</v>
      </c>
      <c r="AS14" s="94">
        <f>'[1]January -2020'!AZ14</f>
        <v>8052149.2800000003</v>
      </c>
      <c r="AT14" s="254">
        <f>'[1]January -2020'!BA14</f>
        <v>3118.0800000000745</v>
      </c>
      <c r="AU14" s="94">
        <f>'[1]January -2020'!BB14</f>
        <v>4141.1999999992549</v>
      </c>
      <c r="AV14" s="94">
        <f>'[1]January -2020'!BC14</f>
        <v>11908483.439999999</v>
      </c>
      <c r="AW14" s="255">
        <f>'[1]January -2020'!BD14</f>
        <v>5407.9199999999255</v>
      </c>
      <c r="AX14" s="256">
        <f>'[1]January -2020'!BE14</f>
        <v>6772.0800000000745</v>
      </c>
      <c r="AY14" s="492"/>
      <c r="AZ14" s="95">
        <f>'[1]January -2020'!BJ14</f>
        <v>49361900</v>
      </c>
      <c r="BA14" s="181">
        <f>'[1]January -2020'!BK14</f>
        <v>48700</v>
      </c>
      <c r="BB14" s="95">
        <f>'[1]January -2020'!BL14</f>
        <v>0</v>
      </c>
      <c r="BC14" s="95">
        <f>'[1]January -2020'!BM14</f>
        <v>53881900</v>
      </c>
      <c r="BD14" s="248">
        <f>'[1]January -2020'!BN14</f>
        <v>0</v>
      </c>
      <c r="BE14" s="95">
        <f>'[1]January -2020'!BO14</f>
        <v>17800</v>
      </c>
      <c r="BF14" s="95">
        <f>'[1]January -2020'!BP14</f>
        <v>47576000</v>
      </c>
      <c r="BG14" s="248">
        <f>'[1]January -2020'!BQ14</f>
        <v>0</v>
      </c>
      <c r="BH14" s="95">
        <f>'[1]January -2020'!BR14</f>
        <v>24900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'[1]January -2020'!BS14</f>
        <v>4000620</v>
      </c>
      <c r="BT14" s="187">
        <f>'[1]January -2020'!BT14</f>
        <v>4590</v>
      </c>
      <c r="BU14" s="588"/>
      <c r="BV14" s="88">
        <f>'[1]January -2020'!BV14</f>
        <v>0.4</v>
      </c>
      <c r="BW14" s="244">
        <f>'[1]January -2020'!BW14</f>
        <v>-8.9999999999999969E-2</v>
      </c>
      <c r="BX14" s="88">
        <f>'[1]January -2020'!BX14</f>
        <v>-9.0000000000000024E-2</v>
      </c>
      <c r="BY14" s="89">
        <f>'[1]January -2020'!BY14</f>
        <v>44543</v>
      </c>
      <c r="BZ14" s="193">
        <f>'[1]January -2020'!BZ14</f>
        <v>19.30000000000291</v>
      </c>
      <c r="CA14" s="89">
        <f>'[1]January -2020'!CA14</f>
        <v>39399</v>
      </c>
      <c r="CB14" s="193">
        <f>'[1]January -2020'!CB14</f>
        <v>15.599999999998545</v>
      </c>
      <c r="CC14" s="89">
        <f>'[1]January -2020'!CC14</f>
        <v>13171</v>
      </c>
      <c r="CD14" s="193">
        <f>'[1]January -2020'!CD14</f>
        <v>7</v>
      </c>
      <c r="CE14" s="89">
        <f>'[1]January -2020'!CE14</f>
        <v>16572</v>
      </c>
      <c r="CF14" s="193">
        <f>'[1]January -2020'!CF14</f>
        <v>12</v>
      </c>
      <c r="CG14" s="89">
        <f>'[1]January -2020'!CG14</f>
        <v>18951</v>
      </c>
      <c r="CH14" s="193">
        <f>'[1]January -2020'!CH14</f>
        <v>14</v>
      </c>
      <c r="CI14" s="89">
        <f>'[1]January -2020'!CI14</f>
        <v>40317</v>
      </c>
      <c r="CJ14" s="193">
        <f>'[1]January -2020'!CJ14</f>
        <v>24</v>
      </c>
      <c r="CK14" s="89">
        <f>'[1]January -2020'!CK14</f>
        <v>174351</v>
      </c>
      <c r="CL14" s="249">
        <f>'[1]January -2020'!CL14</f>
        <v>85.700000000011642</v>
      </c>
      <c r="CM14" s="89">
        <f>'[1]January -2020'!CM14</f>
        <v>95</v>
      </c>
      <c r="CN14" s="89">
        <f>'[1]January -2020'!CN14</f>
        <v>125618.9</v>
      </c>
      <c r="CO14" s="249">
        <f>'[1]January -2020'!CO14</f>
        <v>129.09999999999127</v>
      </c>
      <c r="CP14" s="89">
        <f>'[1]January -2020'!CP14</f>
        <v>90</v>
      </c>
      <c r="CQ14" s="89">
        <f>'[1]January -2020'!CQ14</f>
        <v>234621.4</v>
      </c>
      <c r="CR14" s="249">
        <f>'[1]January -2020'!CR14</f>
        <v>327.69999999998254</v>
      </c>
      <c r="CS14" s="89">
        <f>'[1]January -2020'!CS14</f>
        <v>433</v>
      </c>
      <c r="CT14" s="89">
        <f>'[1]January -2020'!CT14</f>
        <v>471480</v>
      </c>
      <c r="CU14" s="193">
        <f>'[1]January -2020'!CU14</f>
        <v>142</v>
      </c>
      <c r="CV14" s="516"/>
      <c r="CW14" s="208">
        <f>'[1]January -2020'!CW14</f>
        <v>325</v>
      </c>
      <c r="CX14" s="200">
        <f>'[1]January -2020'!CX14</f>
        <v>0</v>
      </c>
      <c r="CY14" s="91">
        <f>'[1]January -2020'!CY14</f>
        <v>1122.3</v>
      </c>
      <c r="CZ14" s="200">
        <f>'[1]January -2020'!CZ14</f>
        <v>0</v>
      </c>
      <c r="DA14" s="91">
        <f>'[1]January -2020'!DA14</f>
        <v>18533.2</v>
      </c>
      <c r="DB14" s="200">
        <f>'[1]January -2020'!DB14</f>
        <v>18.200000000000728</v>
      </c>
      <c r="DC14" s="91">
        <f>'[1]January -2020'!DC14</f>
        <v>19158.5</v>
      </c>
      <c r="DD14" s="200">
        <f>'[1]January -2020'!DD14</f>
        <v>12.900000000001455</v>
      </c>
      <c r="DE14" s="91">
        <f>'[1]January -2020'!DE14</f>
        <v>13388.5</v>
      </c>
      <c r="DF14" s="200">
        <f>'[1]January -2020'!DF14</f>
        <v>12.899999999999636</v>
      </c>
      <c r="DG14" s="91">
        <f>'[1]January -2020'!DG14</f>
        <v>17147.599999999999</v>
      </c>
      <c r="DH14" s="200">
        <f>'[1]January -2020'!DH14</f>
        <v>6.6999999999970896</v>
      </c>
      <c r="DI14" s="91">
        <f>'[1]January -2020'!DI14</f>
        <v>825</v>
      </c>
      <c r="DJ14" s="200">
        <f>'[1]January -2020'!DJ14</f>
        <v>0</v>
      </c>
      <c r="DK14" s="91">
        <f>'[1]January -2020'!DK14</f>
        <v>3570</v>
      </c>
      <c r="DL14" s="200">
        <f>'[1]January -2020'!DL14</f>
        <v>0</v>
      </c>
      <c r="DM14" s="91">
        <f>'[1]January -2020'!DM14</f>
        <v>898</v>
      </c>
      <c r="DN14" s="200">
        <f>'[1]January -2020'!DN14</f>
        <v>6</v>
      </c>
      <c r="DO14" s="91">
        <f>'[1]January -2020'!DO14</f>
        <v>1085</v>
      </c>
      <c r="DP14" s="200">
        <f>'[1]January -2020'!DP14</f>
        <v>3</v>
      </c>
      <c r="DQ14" s="91">
        <f>'[1]January -2020'!DQ14</f>
        <v>16904</v>
      </c>
      <c r="DR14" s="209">
        <f>'[1]January -2020'!DR14</f>
        <v>10</v>
      </c>
      <c r="DS14" s="532"/>
      <c r="DT14" s="213">
        <f>'[1]January -2020'!DT14</f>
        <v>2735858.1</v>
      </c>
      <c r="DU14" s="224">
        <f>'[1]January -2020'!DU14</f>
        <v>1504.3000000002794</v>
      </c>
      <c r="DV14" s="93">
        <f>'[1]January -2020'!DV14</f>
        <v>4488.1000000000004</v>
      </c>
      <c r="DW14" s="218">
        <f>'[1]January -2020'!DW14</f>
        <v>5</v>
      </c>
      <c r="DX14" s="93">
        <f>'[1]January -2020'!DX14</f>
        <v>1806002.3</v>
      </c>
      <c r="DY14" s="218">
        <f>'[1]January -2020'!DY14</f>
        <v>1108.1000000000931</v>
      </c>
      <c r="DZ14" s="93">
        <f>'[1]January -2020'!DZ14</f>
        <v>252481.1</v>
      </c>
      <c r="EA14" s="218">
        <f>'[1]January -2020'!EA14</f>
        <v>3.8999999999941792</v>
      </c>
      <c r="EB14" s="93">
        <f>'[1]January -2020'!ED14</f>
        <v>403986</v>
      </c>
      <c r="EC14" s="218">
        <f>'[1]January -2020'!EE14</f>
        <v>563.09999999997672</v>
      </c>
      <c r="ED14" s="93">
        <f>'[1]January -2020'!EF14</f>
        <v>85280.4</v>
      </c>
      <c r="EE14" s="232">
        <f>'[1]January -2020'!EG14</f>
        <v>142.29999999998836</v>
      </c>
      <c r="EF14" s="579"/>
      <c r="EG14" s="238">
        <f>'[1]January -2020'!EI14</f>
        <v>6765800</v>
      </c>
      <c r="EH14" s="233">
        <f>'[1]January -2020'!EJ14</f>
        <v>2800</v>
      </c>
      <c r="EI14" s="92">
        <f>'[1]January -2020'!EK14</f>
        <v>596160</v>
      </c>
      <c r="EJ14" s="233">
        <f>'[1]January -2020'!EL14</f>
        <v>290</v>
      </c>
      <c r="EK14" s="92">
        <f>'[1]January -2020'!EM14</f>
        <v>4604400</v>
      </c>
      <c r="EL14" s="233">
        <f>'[1]January -2020'!EN14</f>
        <v>1900</v>
      </c>
      <c r="EM14" s="92">
        <f>'[1]January -2020'!EO14</f>
        <v>1987900</v>
      </c>
      <c r="EN14" s="233">
        <f>'[1]January -2020'!EP14</f>
        <v>0</v>
      </c>
      <c r="EO14" s="92">
        <f>'[1]January -2020'!EQ14</f>
        <v>676940</v>
      </c>
      <c r="EP14" s="233">
        <f>'[1]January -2020'!ER14</f>
        <v>150</v>
      </c>
      <c r="EQ14" s="92">
        <f>'[1]January -2020'!ES14</f>
        <v>10707000</v>
      </c>
      <c r="ER14" s="233">
        <f>'[1]January -2020'!ET14</f>
        <v>1400</v>
      </c>
      <c r="ES14" s="554"/>
      <c r="ET14" s="287">
        <f>'[1]January -2020'!EV14</f>
        <v>27658.2</v>
      </c>
      <c r="EU14" s="286">
        <f>'[1]January -2020'!$EW$11</f>
        <v>19.5</v>
      </c>
      <c r="EV14" s="285">
        <f>'[1]January -2020'!EX14</f>
        <v>24209.4</v>
      </c>
      <c r="EW14" s="286">
        <f>'[1]January -2020'!EY14</f>
        <v>15.200000000000728</v>
      </c>
      <c r="EX14" s="285">
        <f>'[1]January -2020'!FB14</f>
        <v>43659.6</v>
      </c>
      <c r="EY14" s="286">
        <f>'[1]January -2020'!FA14</f>
        <v>0</v>
      </c>
      <c r="EZ14" s="285">
        <f>'[1]January -2020'!EZ14</f>
        <v>0</v>
      </c>
      <c r="FA14" s="286">
        <f>'[1]January -2020'!FA14</f>
        <v>0</v>
      </c>
      <c r="FB14" s="285">
        <f>'[1]January -2020'!FD14</f>
        <v>20368.400000000001</v>
      </c>
      <c r="FC14" s="288">
        <f>'[1]January -2020'!FE14</f>
        <v>24.400000000001455</v>
      </c>
    </row>
    <row r="15" spans="1:159" ht="30" customHeight="1" x14ac:dyDescent="0.25">
      <c r="A15" s="210">
        <v>43836</v>
      </c>
      <c r="B15" s="212">
        <f>'[1]January -2020'!B15</f>
        <v>0.81</v>
      </c>
      <c r="C15" s="253">
        <f>'[1]January -2020'!E15</f>
        <v>517505</v>
      </c>
      <c r="D15" s="172">
        <f>'[1]January -2020'!F15</f>
        <v>399</v>
      </c>
      <c r="E15" s="170">
        <f>'[1]January -2020'!G15</f>
        <v>399</v>
      </c>
      <c r="F15" s="170">
        <f>'[1]January -2020'!H15</f>
        <v>688221</v>
      </c>
      <c r="G15" s="172">
        <f>'[1]January -2020'!I15</f>
        <v>469</v>
      </c>
      <c r="H15" s="170">
        <f>'[1]January -2020'!J15</f>
        <v>334</v>
      </c>
      <c r="I15" s="170">
        <f>'[1]January -2020'!K15</f>
        <v>21926</v>
      </c>
      <c r="J15" s="172">
        <f>'[1]January -2020'!L15</f>
        <v>202</v>
      </c>
      <c r="K15" s="170">
        <f>'[1]January -2020'!N15</f>
        <v>612793.5</v>
      </c>
      <c r="L15" s="172">
        <f>'[1]January -2020'!O15</f>
        <v>156.40000000002328</v>
      </c>
      <c r="M15" s="170">
        <f>'[1]January -2020'!Q15</f>
        <v>156875</v>
      </c>
      <c r="N15" s="172">
        <f>'[1]January -2020'!R15</f>
        <v>0</v>
      </c>
      <c r="O15" s="170">
        <f>'[1]January -2020'!S15</f>
        <v>94264</v>
      </c>
      <c r="P15" s="172">
        <f>'[1]January -2020'!T15</f>
        <v>58</v>
      </c>
      <c r="Q15" s="170">
        <f>'[1]January -2020'!U15</f>
        <v>94</v>
      </c>
      <c r="R15" s="170">
        <f>'[1]January -2020'!V15</f>
        <v>7089</v>
      </c>
      <c r="S15" s="211">
        <f>'[1]January -2020'!W15</f>
        <v>0</v>
      </c>
      <c r="T15" s="475"/>
      <c r="U15" s="171">
        <f>'[1]January -2020'!AB15</f>
        <v>5468673.8399999999</v>
      </c>
      <c r="V15" s="254">
        <f>'[1]January -2020'!AC15</f>
        <v>2484.7199999997392</v>
      </c>
      <c r="W15" s="94">
        <f>'[1]January -2020'!AD15</f>
        <v>2338.5599999995902</v>
      </c>
      <c r="X15" s="94">
        <f>'[1]January -2020'!AE15</f>
        <v>10662761.76</v>
      </c>
      <c r="Y15" s="254">
        <f>'[1]January -2020'!AF15</f>
        <v>5018.160000000149</v>
      </c>
      <c r="Z15" s="94">
        <f>'[1]January -2020'!AG15</f>
        <v>4774.5600000005215</v>
      </c>
      <c r="AA15" s="94">
        <f>'[1]January -2020'!AH15</f>
        <v>9769919.040000001</v>
      </c>
      <c r="AB15" s="254">
        <f>'[1]January -2020'!AI15</f>
        <v>7551.6000000014901</v>
      </c>
      <c r="AC15" s="94">
        <f>'[1]January -2020'!AJ15</f>
        <v>0</v>
      </c>
      <c r="AD15" s="94">
        <f>'[1]January -2020'!AK15</f>
        <v>13139394.24</v>
      </c>
      <c r="AE15" s="254">
        <f>'[1]January -2020'!AL15</f>
        <v>0</v>
      </c>
      <c r="AF15" s="94">
        <f>'[1]January -2020'!AM15</f>
        <v>1071.839999999851</v>
      </c>
      <c r="AG15" s="94">
        <f>'[1]January -2020'!AN15</f>
        <v>13133742.719999999</v>
      </c>
      <c r="AH15" s="254">
        <f>'[1]January -2020'!AO15</f>
        <v>0</v>
      </c>
      <c r="AI15" s="94">
        <f>'[1]January -2020'!AP15</f>
        <v>8331.1199999991804</v>
      </c>
      <c r="AJ15" s="94">
        <f>'[1]January -2020'!AQ15</f>
        <v>11958031.68</v>
      </c>
      <c r="AK15" s="254">
        <f>'[1]January -2020'!AR15</f>
        <v>6674.6399999987334</v>
      </c>
      <c r="AL15" s="94">
        <f>'[1]January -2020'!AS15</f>
        <v>5554.0799999982119</v>
      </c>
      <c r="AM15" s="94">
        <f>'[1]January -2020'!AT15</f>
        <v>10430416.08</v>
      </c>
      <c r="AN15" s="254">
        <f>'[1]January -2020'!AU15</f>
        <v>4287.3600000012666</v>
      </c>
      <c r="AO15" s="94">
        <f>'[1]January -2020'!AV15</f>
        <v>3848.8800000008196</v>
      </c>
      <c r="AP15" s="94">
        <f>'[1]January -2020'!AW15</f>
        <v>10074516.48</v>
      </c>
      <c r="AQ15" s="254">
        <f>'[1]January -2020'!AX15</f>
        <v>4872</v>
      </c>
      <c r="AR15" s="94">
        <f>'[1]January -2020'!AY15</f>
        <v>4725.8400000007823</v>
      </c>
      <c r="AS15" s="94">
        <f>'[1]January -2020'!AZ15</f>
        <v>8055169.919999999</v>
      </c>
      <c r="AT15" s="254">
        <f>'[1]January -2020'!BA15</f>
        <v>3020.6399999987334</v>
      </c>
      <c r="AU15" s="94">
        <f>'[1]January -2020'!BB15</f>
        <v>3118.0800000000745</v>
      </c>
      <c r="AV15" s="94">
        <f>'[1]January -2020'!BC15</f>
        <v>11913891.359999999</v>
      </c>
      <c r="AW15" s="255">
        <f>'[1]January -2020'!BD15</f>
        <v>5407.9199999999255</v>
      </c>
      <c r="AX15" s="256">
        <f>'[1]January -2020'!BE15</f>
        <v>5359.1999999992549</v>
      </c>
      <c r="AY15" s="492"/>
      <c r="AZ15" s="95">
        <f>'[1]January -2020'!BJ15</f>
        <v>49399200</v>
      </c>
      <c r="BA15" s="181">
        <f>'[1]January -2020'!BK15</f>
        <v>37300</v>
      </c>
      <c r="BB15" s="95">
        <f>'[1]January -2020'!BL15</f>
        <v>0</v>
      </c>
      <c r="BC15" s="95">
        <f>'[1]January -2020'!BM15</f>
        <v>53881900</v>
      </c>
      <c r="BD15" s="248">
        <f>'[1]January -2020'!BN15</f>
        <v>0</v>
      </c>
      <c r="BE15" s="95">
        <f>'[1]January -2020'!BO15</f>
        <v>3000</v>
      </c>
      <c r="BF15" s="95">
        <f>'[1]January -2020'!BP15</f>
        <v>47576000</v>
      </c>
      <c r="BG15" s="248">
        <f>'[1]January -2020'!BQ15</f>
        <v>0</v>
      </c>
      <c r="BH15" s="95">
        <f>'[1]January -2020'!BR15</f>
        <v>41300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'[1]January -2020'!BS15</f>
        <v>4005300</v>
      </c>
      <c r="BT15" s="187">
        <f>'[1]January -2020'!BT15</f>
        <v>4680</v>
      </c>
      <c r="BU15" s="588"/>
      <c r="BV15" s="88">
        <f>'[1]January -2020'!BV15</f>
        <v>0.69</v>
      </c>
      <c r="BW15" s="244">
        <f>'[1]January -2020'!BW15</f>
        <v>0.28999999999999992</v>
      </c>
      <c r="BX15" s="88">
        <f>'[1]January -2020'!BX15</f>
        <v>7.0000000000000007E-2</v>
      </c>
      <c r="BY15" s="89">
        <f>'[1]January -2020'!BY15</f>
        <v>44563</v>
      </c>
      <c r="BZ15" s="193">
        <f>'[1]January -2020'!BZ15</f>
        <v>20</v>
      </c>
      <c r="CA15" s="89">
        <f>'[1]January -2020'!CA15</f>
        <v>39414</v>
      </c>
      <c r="CB15" s="193">
        <f>'[1]January -2020'!CB15</f>
        <v>15</v>
      </c>
      <c r="CC15" s="89">
        <f>'[1]January -2020'!CC15</f>
        <v>13178</v>
      </c>
      <c r="CD15" s="193">
        <f>'[1]January -2020'!CD15</f>
        <v>7</v>
      </c>
      <c r="CE15" s="89">
        <f>'[1]January -2020'!CE15</f>
        <v>16582</v>
      </c>
      <c r="CF15" s="193">
        <f>'[1]January -2020'!CF15</f>
        <v>10</v>
      </c>
      <c r="CG15" s="89">
        <f>'[1]January -2020'!CG15</f>
        <v>18961</v>
      </c>
      <c r="CH15" s="193">
        <f>'[1]January -2020'!CH15</f>
        <v>10</v>
      </c>
      <c r="CI15" s="89">
        <f>'[1]January -2020'!CI15</f>
        <v>40338</v>
      </c>
      <c r="CJ15" s="193">
        <f>'[1]January -2020'!CJ15</f>
        <v>21</v>
      </c>
      <c r="CK15" s="89">
        <f>'[1]January -2020'!CK15</f>
        <v>174440.5</v>
      </c>
      <c r="CL15" s="249">
        <f>'[1]January -2020'!CL15</f>
        <v>89.5</v>
      </c>
      <c r="CM15" s="89">
        <f>'[1]January -2020'!CM15</f>
        <v>76</v>
      </c>
      <c r="CN15" s="89">
        <f>'[1]January -2020'!CN15</f>
        <v>125731.3</v>
      </c>
      <c r="CO15" s="249">
        <f>'[1]January -2020'!CO15</f>
        <v>112.40000000000873</v>
      </c>
      <c r="CP15" s="89">
        <f>'[1]January -2020'!CP15</f>
        <v>75</v>
      </c>
      <c r="CQ15" s="89">
        <f>'[1]January -2020'!CQ15</f>
        <v>234993.3</v>
      </c>
      <c r="CR15" s="249">
        <f>'[1]January -2020'!CR15</f>
        <v>371.89999999999418</v>
      </c>
      <c r="CS15" s="89">
        <f>'[1]January -2020'!CS15</f>
        <v>281</v>
      </c>
      <c r="CT15" s="89">
        <f>'[1]January -2020'!CT15</f>
        <v>471617</v>
      </c>
      <c r="CU15" s="193">
        <f>'[1]January -2020'!CU15</f>
        <v>137</v>
      </c>
      <c r="CV15" s="516"/>
      <c r="CW15" s="208">
        <f>'[1]January -2020'!CW15</f>
        <v>326.8</v>
      </c>
      <c r="CX15" s="200">
        <f>'[1]January -2020'!CX15</f>
        <v>1.8000000000000114</v>
      </c>
      <c r="CY15" s="91">
        <f>'[1]January -2020'!CY15</f>
        <v>1133.7</v>
      </c>
      <c r="CZ15" s="200">
        <f>'[1]January -2020'!CZ15</f>
        <v>11.400000000000091</v>
      </c>
      <c r="DA15" s="91">
        <f>'[1]January -2020'!DA15</f>
        <v>18547.8</v>
      </c>
      <c r="DB15" s="200">
        <f>'[1]January -2020'!DB15</f>
        <v>14.599999999998545</v>
      </c>
      <c r="DC15" s="91">
        <f>'[1]January -2020'!DC15</f>
        <v>19171.8</v>
      </c>
      <c r="DD15" s="200">
        <f>'[1]January -2020'!DD15</f>
        <v>13.299999999999272</v>
      </c>
      <c r="DE15" s="91">
        <f>'[1]January -2020'!DE15</f>
        <v>13401.8</v>
      </c>
      <c r="DF15" s="200">
        <f>'[1]January -2020'!DF15</f>
        <v>13.299999999999272</v>
      </c>
      <c r="DG15" s="91">
        <f>'[1]January -2020'!DG15</f>
        <v>17154.8</v>
      </c>
      <c r="DH15" s="200">
        <f>'[1]January -2020'!DH15</f>
        <v>7.2000000000007276</v>
      </c>
      <c r="DI15" s="91">
        <f>'[1]January -2020'!DI15</f>
        <v>825</v>
      </c>
      <c r="DJ15" s="200">
        <f>'[1]January -2020'!DJ15</f>
        <v>0</v>
      </c>
      <c r="DK15" s="91">
        <f>'[1]January -2020'!DK15</f>
        <v>3570</v>
      </c>
      <c r="DL15" s="200">
        <f>'[1]January -2020'!DL15</f>
        <v>0</v>
      </c>
      <c r="DM15" s="91">
        <f>'[1]January -2020'!DM15</f>
        <v>904</v>
      </c>
      <c r="DN15" s="200">
        <f>'[1]January -2020'!DN15</f>
        <v>6</v>
      </c>
      <c r="DO15" s="91">
        <f>'[1]January -2020'!DO15</f>
        <v>1089</v>
      </c>
      <c r="DP15" s="200">
        <f>'[1]January -2020'!DP15</f>
        <v>4</v>
      </c>
      <c r="DQ15" s="91">
        <f>'[1]January -2020'!DQ15</f>
        <v>16913</v>
      </c>
      <c r="DR15" s="209">
        <f>'[1]January -2020'!DR15</f>
        <v>9</v>
      </c>
      <c r="DS15" s="532"/>
      <c r="DT15" s="213">
        <f>'[1]January -2020'!DT15</f>
        <v>2737321.9</v>
      </c>
      <c r="DU15" s="224">
        <f>'[1]January -2020'!DU15</f>
        <v>1463.7999999998137</v>
      </c>
      <c r="DV15" s="93">
        <f>'[1]January -2020'!DV15</f>
        <v>4493.2</v>
      </c>
      <c r="DW15" s="218">
        <f>'[1]January -2020'!DW15</f>
        <v>5.0999999999994543</v>
      </c>
      <c r="DX15" s="93">
        <f>'[1]January -2020'!DX15</f>
        <v>1807114.7</v>
      </c>
      <c r="DY15" s="218">
        <f>'[1]January -2020'!DY15</f>
        <v>1112.3999999999069</v>
      </c>
      <c r="DZ15" s="93">
        <f>'[1]January -2020'!DZ15</f>
        <v>252485.7</v>
      </c>
      <c r="EA15" s="218">
        <f>'[1]January -2020'!EA15</f>
        <v>4.6000000000058208</v>
      </c>
      <c r="EB15" s="93">
        <f>'[1]January -2020'!ED15</f>
        <v>404573.3</v>
      </c>
      <c r="EC15" s="218">
        <f>'[1]January -2020'!EE15</f>
        <v>587.29999999998836</v>
      </c>
      <c r="ED15" s="93">
        <f>'[1]January -2020'!EF15</f>
        <v>85427.1</v>
      </c>
      <c r="EE15" s="232">
        <f>'[1]January -2020'!EG15</f>
        <v>146.70000000001164</v>
      </c>
      <c r="EF15" s="579"/>
      <c r="EG15" s="238">
        <f>'[1]January -2020'!EI15</f>
        <v>6767900</v>
      </c>
      <c r="EH15" s="233">
        <f>'[1]January -2020'!EJ15</f>
        <v>2100</v>
      </c>
      <c r="EI15" s="92">
        <f>'[1]January -2020'!EK15</f>
        <v>596460</v>
      </c>
      <c r="EJ15" s="233">
        <f>'[1]January -2020'!EL15</f>
        <v>300</v>
      </c>
      <c r="EK15" s="92">
        <f>'[1]January -2020'!EM15</f>
        <v>4605900</v>
      </c>
      <c r="EL15" s="233">
        <f>'[1]January -2020'!EN15</f>
        <v>1500</v>
      </c>
      <c r="EM15" s="92">
        <f>'[1]January -2020'!EO15</f>
        <v>1987900</v>
      </c>
      <c r="EN15" s="233">
        <f>'[1]January -2020'!EP15</f>
        <v>0</v>
      </c>
      <c r="EO15" s="92">
        <f>'[1]January -2020'!EQ15</f>
        <v>677080</v>
      </c>
      <c r="EP15" s="233">
        <f>'[1]January -2020'!ER15</f>
        <v>140</v>
      </c>
      <c r="EQ15" s="92">
        <f>'[1]January -2020'!ES15</f>
        <v>10708000</v>
      </c>
      <c r="ER15" s="233">
        <f>'[1]January -2020'!ET15</f>
        <v>1000</v>
      </c>
      <c r="ES15" s="554"/>
      <c r="ET15" s="287">
        <f>'[1]January -2020'!EV15</f>
        <v>27676.400000000001</v>
      </c>
      <c r="EU15" s="286">
        <f>'[1]January -2020'!$EW$11</f>
        <v>19.5</v>
      </c>
      <c r="EV15" s="285">
        <f>'[1]January -2020'!EX15</f>
        <v>24225.599999999999</v>
      </c>
      <c r="EW15" s="286">
        <f>'[1]January -2020'!EY15</f>
        <v>16.19999999999709</v>
      </c>
      <c r="EX15" s="285">
        <f>'[1]January -2020'!FB15</f>
        <v>43692.5</v>
      </c>
      <c r="EY15" s="286">
        <f>'[1]January -2020'!FA15</f>
        <v>0</v>
      </c>
      <c r="EZ15" s="285">
        <f>'[1]January -2020'!EZ15</f>
        <v>0</v>
      </c>
      <c r="FA15" s="286">
        <f>'[1]January -2020'!FA15</f>
        <v>0</v>
      </c>
      <c r="FB15" s="285">
        <f>'[1]January -2020'!FD15</f>
        <v>20401.5</v>
      </c>
      <c r="FC15" s="288">
        <f>'[1]January -2020'!FE15</f>
        <v>33.099999999998545</v>
      </c>
    </row>
    <row r="16" spans="1:159" ht="30" customHeight="1" x14ac:dyDescent="0.25">
      <c r="A16" s="210">
        <v>43837</v>
      </c>
      <c r="B16" s="212">
        <f>'[1]January -2020'!B16</f>
        <v>0.79</v>
      </c>
      <c r="C16" s="253">
        <f>'[1]January -2020'!E16</f>
        <v>518024</v>
      </c>
      <c r="D16" s="172">
        <f>'[1]January -2020'!F16</f>
        <v>596</v>
      </c>
      <c r="E16" s="170">
        <f>'[1]January -2020'!G16</f>
        <v>596</v>
      </c>
      <c r="F16" s="170">
        <f>'[1]January -2020'!H16</f>
        <v>688653</v>
      </c>
      <c r="G16" s="172">
        <f>'[1]January -2020'!I16</f>
        <v>432</v>
      </c>
      <c r="H16" s="170">
        <f>'[1]January -2020'!J16</f>
        <v>408</v>
      </c>
      <c r="I16" s="170">
        <f>'[1]January -2020'!K16</f>
        <v>22041</v>
      </c>
      <c r="J16" s="172">
        <f>'[1]January -2020'!L16</f>
        <v>115</v>
      </c>
      <c r="K16" s="170">
        <f>'[1]January -2020'!N16</f>
        <v>612929.9</v>
      </c>
      <c r="L16" s="172">
        <f>'[1]January -2020'!O16</f>
        <v>136.40000000002328</v>
      </c>
      <c r="M16" s="170">
        <f>'[1]January -2020'!Q16</f>
        <v>156875</v>
      </c>
      <c r="N16" s="172">
        <f>'[1]January -2020'!R16</f>
        <v>0</v>
      </c>
      <c r="O16" s="170">
        <f>'[1]January -2020'!S16</f>
        <v>94342</v>
      </c>
      <c r="P16" s="172">
        <f>'[1]January -2020'!T16</f>
        <v>78</v>
      </c>
      <c r="Q16" s="170">
        <f>'[1]January -2020'!U16</f>
        <v>89</v>
      </c>
      <c r="R16" s="170">
        <f>'[1]January -2020'!V16</f>
        <v>7102</v>
      </c>
      <c r="S16" s="211">
        <f>'[1]January -2020'!W16</f>
        <v>13</v>
      </c>
      <c r="T16" s="475"/>
      <c r="U16" s="171">
        <f>'[1]January -2020'!AB16</f>
        <v>5471109.8399999999</v>
      </c>
      <c r="V16" s="254">
        <f>'[1]January -2020'!AC16</f>
        <v>2436</v>
      </c>
      <c r="W16" s="94">
        <f>'[1]January -2020'!AD16</f>
        <v>2094.9599999999627</v>
      </c>
      <c r="X16" s="94">
        <f>'[1]January -2020'!AE16</f>
        <v>10667682.48</v>
      </c>
      <c r="Y16" s="254">
        <f>'[1]January -2020'!AF16</f>
        <v>4920.7200000006706</v>
      </c>
      <c r="Z16" s="94">
        <f>'[1]January -2020'!AG16</f>
        <v>4872</v>
      </c>
      <c r="AA16" s="94">
        <f>'[1]January -2020'!AH16</f>
        <v>9777129.5999999996</v>
      </c>
      <c r="AB16" s="254">
        <f>'[1]January -2020'!AI16</f>
        <v>7210.5599999986589</v>
      </c>
      <c r="AC16" s="94">
        <f>'[1]January -2020'!AJ16</f>
        <v>341.04000000003725</v>
      </c>
      <c r="AD16" s="94">
        <f>'[1]January -2020'!AK16</f>
        <v>13139589.119999999</v>
      </c>
      <c r="AE16" s="254">
        <f>'[1]January -2020'!AL16</f>
        <v>194.87999999895692</v>
      </c>
      <c r="AF16" s="94">
        <f>'[1]January -2020'!AM16</f>
        <v>1266.7200000025332</v>
      </c>
      <c r="AG16" s="94">
        <f>'[1]January -2020'!AN16</f>
        <v>13133742.719999999</v>
      </c>
      <c r="AH16" s="254">
        <f>'[1]January -2020'!AO16</f>
        <v>0</v>
      </c>
      <c r="AI16" s="94">
        <f>'[1]January -2020'!AP16</f>
        <v>9159.3600000012666</v>
      </c>
      <c r="AJ16" s="94">
        <f>'[1]January -2020'!AQ16</f>
        <v>11964560.16</v>
      </c>
      <c r="AK16" s="254">
        <f>'[1]January -2020'!AR16</f>
        <v>6528.480000000447</v>
      </c>
      <c r="AL16" s="94">
        <f>'[1]January -2020'!AS16</f>
        <v>5651.5200000014156</v>
      </c>
      <c r="AM16" s="94">
        <f>'[1]January -2020'!AT16</f>
        <v>10434654.719999999</v>
      </c>
      <c r="AN16" s="254">
        <f>'[1]January -2020'!AU16</f>
        <v>4238.6399999987334</v>
      </c>
      <c r="AO16" s="94">
        <f>'[1]January -2020'!AV16</f>
        <v>4384.7999999988824</v>
      </c>
      <c r="AP16" s="94">
        <f>'[1]January -2020'!AW16</f>
        <v>10079583.359999999</v>
      </c>
      <c r="AQ16" s="254">
        <f>'[1]January -2020'!AX16</f>
        <v>5066.8799999989569</v>
      </c>
      <c r="AR16" s="94">
        <f>'[1]January -2020'!AY16</f>
        <v>4774.5599999995902</v>
      </c>
      <c r="AS16" s="94">
        <f>'[1]January -2020'!AZ16</f>
        <v>8058141.8399999999</v>
      </c>
      <c r="AT16" s="254">
        <f>'[1]January -2020'!BA16</f>
        <v>2971.9200000008568</v>
      </c>
      <c r="AU16" s="94">
        <f>'[1]January -2020'!BB16</f>
        <v>3215.5200000004843</v>
      </c>
      <c r="AV16" s="94">
        <f>'[1]January -2020'!BC16</f>
        <v>11919201.84</v>
      </c>
      <c r="AW16" s="255">
        <f>'[1]January -2020'!BD16</f>
        <v>5310.480000000447</v>
      </c>
      <c r="AX16" s="256">
        <f>'[1]January -2020'!BE16</f>
        <v>5554.0800000019372</v>
      </c>
      <c r="AY16" s="492"/>
      <c r="AZ16" s="95">
        <f>'[1]January -2020'!BJ16</f>
        <v>49434500</v>
      </c>
      <c r="BA16" s="181">
        <f>'[1]January -2020'!BK16</f>
        <v>35300</v>
      </c>
      <c r="BB16" s="95">
        <f>'[1]January -2020'!BL16</f>
        <v>0</v>
      </c>
      <c r="BC16" s="95">
        <f>'[1]January -2020'!BM16</f>
        <v>53881900</v>
      </c>
      <c r="BD16" s="248">
        <f>'[1]January -2020'!BN16</f>
        <v>0</v>
      </c>
      <c r="BE16" s="95">
        <f>'[1]January -2020'!BO16</f>
        <v>0</v>
      </c>
      <c r="BF16" s="95">
        <f>'[1]January -2020'!BP16</f>
        <v>47576000</v>
      </c>
      <c r="BG16" s="248">
        <f>'[1]January -2020'!BQ16</f>
        <v>0</v>
      </c>
      <c r="BH16" s="95">
        <f>'[1]January -2020'!BR16</f>
        <v>43700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'[1]January -2020'!BS16</f>
        <v>4010160</v>
      </c>
      <c r="BT16" s="187">
        <f>'[1]January -2020'!BT16</f>
        <v>4860</v>
      </c>
      <c r="BU16" s="588"/>
      <c r="BV16" s="88">
        <f>'[1]January -2020'!BV16</f>
        <v>0.56999999999999995</v>
      </c>
      <c r="BW16" s="244">
        <f>'[1]January -2020'!BW16</f>
        <v>-0.12</v>
      </c>
      <c r="BX16" s="88">
        <f>'[1]January -2020'!BX16</f>
        <v>-7.0000000000000007E-2</v>
      </c>
      <c r="BY16" s="89">
        <f>'[1]January -2020'!BY16</f>
        <v>44581</v>
      </c>
      <c r="BZ16" s="193">
        <f>'[1]January -2020'!BZ16</f>
        <v>18</v>
      </c>
      <c r="CA16" s="89">
        <f>'[1]January -2020'!CA16</f>
        <v>39427</v>
      </c>
      <c r="CB16" s="193">
        <f>'[1]January -2020'!CB16</f>
        <v>13</v>
      </c>
      <c r="CC16" s="89">
        <f>'[1]January -2020'!CC16</f>
        <v>13185</v>
      </c>
      <c r="CD16" s="193">
        <f>'[1]January -2020'!CD16</f>
        <v>7</v>
      </c>
      <c r="CE16" s="89">
        <f>'[1]January -2020'!CE16</f>
        <v>16593</v>
      </c>
      <c r="CF16" s="193">
        <f>'[1]January -2020'!CF16</f>
        <v>11</v>
      </c>
      <c r="CG16" s="89">
        <f>'[1]January -2020'!CG16</f>
        <v>18966</v>
      </c>
      <c r="CH16" s="193">
        <f>'[1]January -2020'!CH16</f>
        <v>5</v>
      </c>
      <c r="CI16" s="89">
        <f>'[1]January -2020'!CI16</f>
        <v>40362</v>
      </c>
      <c r="CJ16" s="193">
        <f>'[1]January -2020'!CJ16</f>
        <v>24</v>
      </c>
      <c r="CK16" s="89">
        <f>'[1]January -2020'!CK16</f>
        <v>174527.9</v>
      </c>
      <c r="CL16" s="249">
        <f>'[1]January -2020'!CL16</f>
        <v>87.399999999994179</v>
      </c>
      <c r="CM16" s="89">
        <f>'[1]January -2020'!CM16</f>
        <v>89</v>
      </c>
      <c r="CN16" s="89">
        <f>'[1]January -2020'!CN16</f>
        <v>125825.2</v>
      </c>
      <c r="CO16" s="249">
        <f>'[1]January -2020'!CO16</f>
        <v>93.899999999994179</v>
      </c>
      <c r="CP16" s="89">
        <f>'[1]January -2020'!CP16</f>
        <v>83</v>
      </c>
      <c r="CQ16" s="89">
        <f>'[1]January -2020'!CQ16</f>
        <v>235357.6</v>
      </c>
      <c r="CR16" s="249">
        <f>'[1]January -2020'!CR16</f>
        <v>364.30000000001746</v>
      </c>
      <c r="CS16" s="89">
        <f>'[1]January -2020'!CS16</f>
        <v>368</v>
      </c>
      <c r="CT16" s="89">
        <f>'[1]January -2020'!CT16</f>
        <v>471765</v>
      </c>
      <c r="CU16" s="193">
        <f>'[1]January -2020'!CU16</f>
        <v>148</v>
      </c>
      <c r="CV16" s="516"/>
      <c r="CW16" s="208">
        <f>'[1]January -2020'!CW16</f>
        <v>327.8</v>
      </c>
      <c r="CX16" s="200">
        <f>'[1]January -2020'!CX16</f>
        <v>1</v>
      </c>
      <c r="CY16" s="91">
        <f>'[1]January -2020'!CY16</f>
        <v>1143.7</v>
      </c>
      <c r="CZ16" s="200">
        <f>'[1]January -2020'!CZ16</f>
        <v>10</v>
      </c>
      <c r="DA16" s="91">
        <f>'[1]January -2020'!DA16</f>
        <v>18563.8</v>
      </c>
      <c r="DB16" s="200">
        <f>'[1]January -2020'!DB16</f>
        <v>16</v>
      </c>
      <c r="DC16" s="91">
        <f>'[1]January -2020'!DC16</f>
        <v>19184.3</v>
      </c>
      <c r="DD16" s="200">
        <f>'[1]January -2020'!DD16</f>
        <v>12.5</v>
      </c>
      <c r="DE16" s="91">
        <f>'[1]January -2020'!DE16</f>
        <v>13414.8</v>
      </c>
      <c r="DF16" s="200">
        <f>'[1]January -2020'!DF16</f>
        <v>13</v>
      </c>
      <c r="DG16" s="91">
        <f>'[1]January -2020'!DG16</f>
        <v>17161.8</v>
      </c>
      <c r="DH16" s="200">
        <f>'[1]January -2020'!DH16</f>
        <v>7</v>
      </c>
      <c r="DI16" s="91">
        <f>'[1]January -2020'!DI16</f>
        <v>825</v>
      </c>
      <c r="DJ16" s="200">
        <f>'[1]January -2020'!DJ16</f>
        <v>0</v>
      </c>
      <c r="DK16" s="91">
        <f>'[1]January -2020'!DK16</f>
        <v>3570</v>
      </c>
      <c r="DL16" s="200">
        <f>'[1]January -2020'!DL16</f>
        <v>0</v>
      </c>
      <c r="DM16" s="91">
        <f>'[1]January -2020'!DM16</f>
        <v>909</v>
      </c>
      <c r="DN16" s="200">
        <f>'[1]January -2020'!DN16</f>
        <v>5</v>
      </c>
      <c r="DO16" s="91">
        <f>'[1]January -2020'!DO16</f>
        <v>1093</v>
      </c>
      <c r="DP16" s="200">
        <f>'[1]January -2020'!DP16</f>
        <v>4</v>
      </c>
      <c r="DQ16" s="91">
        <f>'[1]January -2020'!DQ16</f>
        <v>16923</v>
      </c>
      <c r="DR16" s="209">
        <f>'[1]January -2020'!DR16</f>
        <v>10</v>
      </c>
      <c r="DS16" s="532"/>
      <c r="DT16" s="213">
        <f>'[1]January -2020'!DT16</f>
        <v>2738824.9</v>
      </c>
      <c r="DU16" s="224">
        <f>'[1]January -2020'!DU16</f>
        <v>1503</v>
      </c>
      <c r="DV16" s="93">
        <f>'[1]January -2020'!DV16</f>
        <v>4498</v>
      </c>
      <c r="DW16" s="218">
        <f>'[1]January -2020'!DW16</f>
        <v>4.8000000000001819</v>
      </c>
      <c r="DX16" s="93">
        <f>'[1]January -2020'!DX16</f>
        <v>1808223.2</v>
      </c>
      <c r="DY16" s="218">
        <f>'[1]January -2020'!DY16</f>
        <v>1108.5</v>
      </c>
      <c r="DZ16" s="93">
        <f>'[1]January -2020'!DZ16</f>
        <v>252489.90000000002</v>
      </c>
      <c r="EA16" s="218">
        <f>'[1]January -2020'!EA16</f>
        <v>4.2000000000116415</v>
      </c>
      <c r="EB16" s="93">
        <f>'[1]January -2020'!ED16</f>
        <v>405152.8</v>
      </c>
      <c r="EC16" s="218">
        <f>'[1]January -2020'!EE16</f>
        <v>579.5</v>
      </c>
      <c r="ED16" s="93">
        <f>'[1]January -2020'!EF16</f>
        <v>85577.200000000012</v>
      </c>
      <c r="EE16" s="232">
        <f>'[1]January -2020'!EG16</f>
        <v>150.10000000000582</v>
      </c>
      <c r="EF16" s="579"/>
      <c r="EG16" s="238">
        <f>'[1]January -2020'!EI16</f>
        <v>6770400</v>
      </c>
      <c r="EH16" s="233">
        <f>'[1]January -2020'!EJ16</f>
        <v>2500</v>
      </c>
      <c r="EI16" s="92">
        <f>'[1]January -2020'!EK16</f>
        <v>596770</v>
      </c>
      <c r="EJ16" s="233">
        <f>'[1]January -2020'!EL16</f>
        <v>310</v>
      </c>
      <c r="EK16" s="92">
        <f>'[1]January -2020'!EM16</f>
        <v>4607700</v>
      </c>
      <c r="EL16" s="233">
        <f>'[1]January -2020'!EN16</f>
        <v>1800</v>
      </c>
      <c r="EM16" s="92">
        <f>'[1]January -2020'!EO16</f>
        <v>1987900</v>
      </c>
      <c r="EN16" s="233">
        <f>'[1]January -2020'!EP16</f>
        <v>0</v>
      </c>
      <c r="EO16" s="92">
        <f>'[1]January -2020'!EQ16</f>
        <v>677240</v>
      </c>
      <c r="EP16" s="233">
        <f>'[1]January -2020'!ER16</f>
        <v>160</v>
      </c>
      <c r="EQ16" s="92">
        <f>'[1]January -2020'!ES16</f>
        <v>10709200</v>
      </c>
      <c r="ER16" s="233">
        <f>'[1]January -2020'!ET16</f>
        <v>1200</v>
      </c>
      <c r="ES16" s="554"/>
      <c r="ET16" s="287">
        <f>'[1]January -2020'!EV16</f>
        <v>27695.4</v>
      </c>
      <c r="EU16" s="286">
        <f>'[1]January -2020'!$EW$11</f>
        <v>19.5</v>
      </c>
      <c r="EV16" s="285">
        <f>'[1]January -2020'!EX16</f>
        <v>24241.599999999999</v>
      </c>
      <c r="EW16" s="286">
        <f>'[1]January -2020'!EY16</f>
        <v>16</v>
      </c>
      <c r="EX16" s="285">
        <f>'[1]January -2020'!FB16</f>
        <v>43724.5</v>
      </c>
      <c r="EY16" s="286">
        <f>'[1]January -2020'!FA16</f>
        <v>0</v>
      </c>
      <c r="EZ16" s="285">
        <f>'[1]January -2020'!EZ16</f>
        <v>0</v>
      </c>
      <c r="FA16" s="286">
        <f>'[1]January -2020'!FA16</f>
        <v>0</v>
      </c>
      <c r="FB16" s="285">
        <f>'[1]January -2020'!FD16</f>
        <v>20434.5</v>
      </c>
      <c r="FC16" s="288">
        <f>'[1]January -2020'!FE16</f>
        <v>33</v>
      </c>
    </row>
    <row r="17" spans="1:159" ht="30" customHeight="1" x14ac:dyDescent="0.25">
      <c r="A17" s="210">
        <v>43838</v>
      </c>
      <c r="B17" s="212">
        <f>'[1]January -2020'!B17</f>
        <v>0.86</v>
      </c>
      <c r="C17" s="253">
        <f>'[1]January -2020'!E17</f>
        <v>518585</v>
      </c>
      <c r="D17" s="172">
        <f>'[1]January -2020'!F17</f>
        <v>1302</v>
      </c>
      <c r="E17" s="170">
        <f>'[1]January -2020'!G17</f>
        <v>1302</v>
      </c>
      <c r="F17" s="170">
        <f>'[1]January -2020'!H17</f>
        <v>689114</v>
      </c>
      <c r="G17" s="172">
        <f>'[1]January -2020'!I17</f>
        <v>461</v>
      </c>
      <c r="H17" s="170">
        <f>'[1]January -2020'!J17</f>
        <v>349</v>
      </c>
      <c r="I17" s="170">
        <f>'[1]January -2020'!K17</f>
        <v>22222</v>
      </c>
      <c r="J17" s="172">
        <f>'[1]January -2020'!L17</f>
        <v>181</v>
      </c>
      <c r="K17" s="170">
        <f>'[1]January -2020'!N17</f>
        <v>613090.5</v>
      </c>
      <c r="L17" s="172">
        <f>'[1]January -2020'!O17</f>
        <v>160.59999999997672</v>
      </c>
      <c r="M17" s="170">
        <f>'[1]January -2020'!Q17</f>
        <v>156875</v>
      </c>
      <c r="N17" s="172">
        <f>'[1]January -2020'!R17</f>
        <v>0</v>
      </c>
      <c r="O17" s="170">
        <f>'[1]January -2020'!S17</f>
        <v>94423</v>
      </c>
      <c r="P17" s="172">
        <f>'[1]January -2020'!T17</f>
        <v>81</v>
      </c>
      <c r="Q17" s="170">
        <f>'[1]January -2020'!U17</f>
        <v>83</v>
      </c>
      <c r="R17" s="170">
        <f>'[1]January -2020'!V17</f>
        <v>7119</v>
      </c>
      <c r="S17" s="211">
        <f>'[1]January -2020'!W17</f>
        <v>17</v>
      </c>
      <c r="T17" s="475"/>
      <c r="U17" s="171">
        <f>'[1]January -2020'!AB17</f>
        <v>5473594.5599999996</v>
      </c>
      <c r="V17" s="254">
        <f>'[1]January -2020'!AC17</f>
        <v>2484.7199999997392</v>
      </c>
      <c r="W17" s="94">
        <f>'[1]January -2020'!AD17</f>
        <v>2094.9599999999627</v>
      </c>
      <c r="X17" s="94">
        <f>'[1]January -2020'!AE17</f>
        <v>10672603.199999999</v>
      </c>
      <c r="Y17" s="254">
        <f>'[1]January -2020'!AF17</f>
        <v>4920.7199999988079</v>
      </c>
      <c r="Z17" s="94">
        <f>'[1]January -2020'!AG17</f>
        <v>4774.5599999986589</v>
      </c>
      <c r="AA17" s="94">
        <f>'[1]January -2020'!AH17</f>
        <v>9784632.4800000004</v>
      </c>
      <c r="AB17" s="254">
        <f>'[1]January -2020'!AI17</f>
        <v>7502.8800000008196</v>
      </c>
      <c r="AC17" s="94">
        <f>'[1]January -2020'!AJ17</f>
        <v>0</v>
      </c>
      <c r="AD17" s="94">
        <f>'[1]January -2020'!AK17</f>
        <v>13139637.879999999</v>
      </c>
      <c r="AE17" s="254">
        <f>'[1]January -2020'!AL17</f>
        <v>48.759999999776483</v>
      </c>
      <c r="AF17" s="94">
        <f>'[1]January -2020'!AM17</f>
        <v>1169.2799999974668</v>
      </c>
      <c r="AG17" s="94">
        <f>'[1]January -2020'!AN17</f>
        <v>13133791.439999999</v>
      </c>
      <c r="AH17" s="254">
        <f>'[1]January -2020'!AO17</f>
        <v>48.720000000670552</v>
      </c>
      <c r="AI17" s="94">
        <f>'[1]January -2020'!AP17</f>
        <v>8867.0399999991059</v>
      </c>
      <c r="AJ17" s="94">
        <f>'[1]January -2020'!AQ17</f>
        <v>11971039.92</v>
      </c>
      <c r="AK17" s="254">
        <f>'[1]January -2020'!AR17</f>
        <v>6479.7599999997765</v>
      </c>
      <c r="AL17" s="94">
        <f>'[1]January -2020'!AS17</f>
        <v>5651.519999999553</v>
      </c>
      <c r="AM17" s="94">
        <f>'[1]January -2020'!AT17</f>
        <v>10439039.52</v>
      </c>
      <c r="AN17" s="254">
        <f>'[1]January -2020'!AU17</f>
        <v>4384.8000000007451</v>
      </c>
      <c r="AO17" s="94">
        <f>'[1]January -2020'!AV17</f>
        <v>4092.480000000447</v>
      </c>
      <c r="AP17" s="94">
        <f>'[1]January -2020'!AW17</f>
        <v>10084650.24</v>
      </c>
      <c r="AQ17" s="254">
        <f>'[1]January -2020'!AX17</f>
        <v>5066.8800000008196</v>
      </c>
      <c r="AR17" s="94">
        <f>'[1]January -2020'!AY17</f>
        <v>4920.7200000006706</v>
      </c>
      <c r="AS17" s="94">
        <f>'[1]January -2020'!AZ17</f>
        <v>8061503.5199999996</v>
      </c>
      <c r="AT17" s="254">
        <f>'[1]January -2020'!BA17</f>
        <v>3361.679999999702</v>
      </c>
      <c r="AU17" s="94">
        <f>'[1]January -2020'!BB17</f>
        <v>2971.9199999999255</v>
      </c>
      <c r="AV17" s="94">
        <f>'[1]January -2020'!BC17</f>
        <v>11924512.319999998</v>
      </c>
      <c r="AW17" s="255">
        <f>'[1]January -2020'!BD17</f>
        <v>5310.4799999985844</v>
      </c>
      <c r="AX17" s="256">
        <f>'[1]January -2020'!BE17</f>
        <v>5505.359999999404</v>
      </c>
      <c r="AY17" s="492"/>
      <c r="AZ17" s="95">
        <f>'[1]January -2020'!BJ17</f>
        <v>49473800</v>
      </c>
      <c r="BA17" s="181">
        <f>'[1]January -2020'!BK17</f>
        <v>39300</v>
      </c>
      <c r="BB17" s="95">
        <f>'[1]January -2020'!BL17</f>
        <v>0</v>
      </c>
      <c r="BC17" s="95">
        <f>'[1]January -2020'!BM17</f>
        <v>53881900</v>
      </c>
      <c r="BD17" s="248">
        <f>'[1]January -2020'!BN17</f>
        <v>0</v>
      </c>
      <c r="BE17" s="95">
        <f>'[1]January -2020'!BO17</f>
        <v>0</v>
      </c>
      <c r="BF17" s="95">
        <f>'[1]January -2020'!BP17</f>
        <v>47576000</v>
      </c>
      <c r="BG17" s="248">
        <f>'[1]January -2020'!BQ17</f>
        <v>0</v>
      </c>
      <c r="BH17" s="95">
        <f>'[1]January -2020'!BR17</f>
        <v>43300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'[1]January -2020'!BS17</f>
        <v>4015080</v>
      </c>
      <c r="BT17" s="187">
        <f>'[1]January -2020'!BT17</f>
        <v>4920</v>
      </c>
      <c r="BU17" s="588"/>
      <c r="BV17" s="88">
        <f>'[1]January -2020'!BV17</f>
        <v>0.48</v>
      </c>
      <c r="BW17" s="244">
        <f>'[1]January -2020'!BW17</f>
        <v>-8.9999999999999969E-2</v>
      </c>
      <c r="BX17" s="88">
        <f>'[1]January -2020'!BX17</f>
        <v>-5.0000000000000044E-2</v>
      </c>
      <c r="BY17" s="89">
        <f>'[1]January -2020'!BY17</f>
        <v>44600</v>
      </c>
      <c r="BZ17" s="193">
        <f>'[1]January -2020'!BZ17</f>
        <v>19</v>
      </c>
      <c r="CA17" s="89">
        <f>'[1]January -2020'!CA17</f>
        <v>39441</v>
      </c>
      <c r="CB17" s="193">
        <f>'[1]January -2020'!CB17</f>
        <v>14</v>
      </c>
      <c r="CC17" s="89">
        <f>'[1]January -2020'!CC17</f>
        <v>13192</v>
      </c>
      <c r="CD17" s="193">
        <f>'[1]January -2020'!CD17</f>
        <v>7</v>
      </c>
      <c r="CE17" s="89">
        <f>'[1]January -2020'!CE17</f>
        <v>16603</v>
      </c>
      <c r="CF17" s="193">
        <f>'[1]January -2020'!CF17</f>
        <v>10</v>
      </c>
      <c r="CG17" s="89">
        <f>'[1]January -2020'!CG17</f>
        <v>18973</v>
      </c>
      <c r="CH17" s="193">
        <f>'[1]January -2020'!CH17</f>
        <v>7</v>
      </c>
      <c r="CI17" s="89">
        <f>'[1]January -2020'!CI17</f>
        <v>40386</v>
      </c>
      <c r="CJ17" s="193">
        <f>'[1]January -2020'!CJ17</f>
        <v>24</v>
      </c>
      <c r="CK17" s="89">
        <f>'[1]January -2020'!CK17</f>
        <v>174616</v>
      </c>
      <c r="CL17" s="249">
        <f>'[1]January -2020'!CL17</f>
        <v>88.100000000005821</v>
      </c>
      <c r="CM17" s="89">
        <f>'[1]January -2020'!CM17</f>
        <v>81</v>
      </c>
      <c r="CN17" s="89">
        <f>'[1]January -2020'!CN17</f>
        <v>125925.2</v>
      </c>
      <c r="CO17" s="249">
        <f>'[1]January -2020'!CO17</f>
        <v>100</v>
      </c>
      <c r="CP17" s="89">
        <f>'[1]January -2020'!CP17</f>
        <v>79</v>
      </c>
      <c r="CQ17" s="89">
        <f>'[1]January -2020'!CQ17</f>
        <v>235710.9</v>
      </c>
      <c r="CR17" s="249">
        <f>'[1]January -2020'!CR17</f>
        <v>353.29999999998836</v>
      </c>
      <c r="CS17" s="89">
        <f>'[1]January -2020'!CS17</f>
        <v>387</v>
      </c>
      <c r="CT17" s="89">
        <f>'[1]January -2020'!CT17</f>
        <v>471922</v>
      </c>
      <c r="CU17" s="193">
        <f>'[1]January -2020'!CU17</f>
        <v>157</v>
      </c>
      <c r="CV17" s="516"/>
      <c r="CW17" s="208">
        <f>'[1]January -2020'!CW17</f>
        <v>327.8</v>
      </c>
      <c r="CX17" s="200">
        <f>'[1]January -2020'!CX17</f>
        <v>0</v>
      </c>
      <c r="CY17" s="91">
        <f>'[1]January -2020'!CY17</f>
        <v>1143.7</v>
      </c>
      <c r="CZ17" s="200">
        <f>'[1]January -2020'!CZ17</f>
        <v>0</v>
      </c>
      <c r="DA17" s="91">
        <f>'[1]January -2020'!DA17</f>
        <v>18575.599999999999</v>
      </c>
      <c r="DB17" s="200">
        <f>'[1]January -2020'!DB17</f>
        <v>11.799999999999272</v>
      </c>
      <c r="DC17" s="91">
        <f>'[1]January -2020'!DC17</f>
        <v>19198.599999999999</v>
      </c>
      <c r="DD17" s="200">
        <f>'[1]January -2020'!DD17</f>
        <v>14.299999999999272</v>
      </c>
      <c r="DE17" s="91">
        <f>'[1]January -2020'!DE17</f>
        <v>13427.8</v>
      </c>
      <c r="DF17" s="200">
        <f>'[1]January -2020'!DF17</f>
        <v>13</v>
      </c>
      <c r="DG17" s="91">
        <f>'[1]January -2020'!DG17</f>
        <v>17168.8</v>
      </c>
      <c r="DH17" s="200">
        <f>'[1]January -2020'!DH17</f>
        <v>7</v>
      </c>
      <c r="DI17" s="91">
        <f>'[1]January -2020'!DI17</f>
        <v>825</v>
      </c>
      <c r="DJ17" s="200">
        <f>'[1]January -2020'!DJ17</f>
        <v>0</v>
      </c>
      <c r="DK17" s="91">
        <f>'[1]January -2020'!DK17</f>
        <v>3570</v>
      </c>
      <c r="DL17" s="200">
        <f>'[1]January -2020'!DL17</f>
        <v>0</v>
      </c>
      <c r="DM17" s="91">
        <f>'[1]January -2020'!DM17</f>
        <v>914</v>
      </c>
      <c r="DN17" s="200">
        <f>'[1]January -2020'!DN17</f>
        <v>5</v>
      </c>
      <c r="DO17" s="91">
        <f>'[1]January -2020'!DO17</f>
        <v>1100</v>
      </c>
      <c r="DP17" s="200">
        <f>'[1]January -2020'!DP17</f>
        <v>7</v>
      </c>
      <c r="DQ17" s="91">
        <f>'[1]January -2020'!DQ17</f>
        <v>16933</v>
      </c>
      <c r="DR17" s="209">
        <f>'[1]January -2020'!DR17</f>
        <v>10</v>
      </c>
      <c r="DS17" s="532"/>
      <c r="DT17" s="213">
        <f>'[1]January -2020'!DT17</f>
        <v>2740200.2</v>
      </c>
      <c r="DU17" s="224">
        <f>'[1]January -2020'!DU17</f>
        <v>1375.3000000002794</v>
      </c>
      <c r="DV17" s="93">
        <f>'[1]January -2020'!DV17</f>
        <v>4502.2</v>
      </c>
      <c r="DW17" s="218">
        <f>'[1]January -2020'!DW17</f>
        <v>4.1999999999998181</v>
      </c>
      <c r="DX17" s="93">
        <f>'[1]January -2020'!DX17</f>
        <v>1809288.4</v>
      </c>
      <c r="DY17" s="218">
        <f>'[1]January -2020'!DY17</f>
        <v>1065.1999999999534</v>
      </c>
      <c r="DZ17" s="93">
        <f>'[1]January -2020'!DZ17</f>
        <v>252494.1</v>
      </c>
      <c r="EA17" s="218">
        <f>'[1]January -2020'!EA17</f>
        <v>4.1999999999825377</v>
      </c>
      <c r="EB17" s="93">
        <f>'[1]January -2020'!ED17</f>
        <v>405733.5</v>
      </c>
      <c r="EC17" s="218">
        <f>'[1]January -2020'!EE17</f>
        <v>580.70000000001164</v>
      </c>
      <c r="ED17" s="93">
        <f>'[1]January -2020'!EF17</f>
        <v>85717.5</v>
      </c>
      <c r="EE17" s="232">
        <f>'[1]January -2020'!EG17</f>
        <v>140.29999999998836</v>
      </c>
      <c r="EF17" s="579"/>
      <c r="EG17" s="238">
        <f>'[1]January -2020'!EI17</f>
        <v>6771900</v>
      </c>
      <c r="EH17" s="233">
        <f>'[1]January -2020'!EJ17</f>
        <v>1500</v>
      </c>
      <c r="EI17" s="92">
        <f>'[1]January -2020'!EK17</f>
        <v>596970</v>
      </c>
      <c r="EJ17" s="233">
        <f>'[1]January -2020'!EL17</f>
        <v>200</v>
      </c>
      <c r="EK17" s="92">
        <f>'[1]January -2020'!EM17</f>
        <v>4608600</v>
      </c>
      <c r="EL17" s="233">
        <f>'[1]January -2020'!EN17</f>
        <v>900</v>
      </c>
      <c r="EM17" s="92">
        <f>'[1]January -2020'!EO17</f>
        <v>1987900</v>
      </c>
      <c r="EN17" s="233">
        <f>'[1]January -2020'!EP17</f>
        <v>0</v>
      </c>
      <c r="EO17" s="92">
        <f>'[1]January -2020'!EQ17</f>
        <v>677340</v>
      </c>
      <c r="EP17" s="233">
        <f>'[1]January -2020'!ER17</f>
        <v>100</v>
      </c>
      <c r="EQ17" s="92">
        <f>'[1]January -2020'!ES17</f>
        <v>10710100</v>
      </c>
      <c r="ER17" s="233">
        <f>'[1]January -2020'!ET17</f>
        <v>900</v>
      </c>
      <c r="ES17" s="554"/>
      <c r="ET17" s="287">
        <f>'[1]January -2020'!EV17</f>
        <v>27711.1</v>
      </c>
      <c r="EU17" s="286">
        <f>'[1]January -2020'!$EW$11</f>
        <v>19.5</v>
      </c>
      <c r="EV17" s="285">
        <f>'[1]January -2020'!EX17</f>
        <v>24256.6</v>
      </c>
      <c r="EW17" s="286">
        <f>'[1]January -2020'!EY17</f>
        <v>15</v>
      </c>
      <c r="EX17" s="285">
        <f>'[1]January -2020'!FB17</f>
        <v>43760.5</v>
      </c>
      <c r="EY17" s="286">
        <f>'[1]January -2020'!FA17</f>
        <v>0</v>
      </c>
      <c r="EZ17" s="285">
        <f>'[1]January -2020'!EZ17</f>
        <v>0</v>
      </c>
      <c r="FA17" s="286">
        <f>'[1]January -2020'!FA17</f>
        <v>0</v>
      </c>
      <c r="FB17" s="285">
        <f>'[1]January -2020'!FD17</f>
        <v>20465.599999999999</v>
      </c>
      <c r="FC17" s="288">
        <f>'[1]January -2020'!FE17</f>
        <v>31.099999999998545</v>
      </c>
    </row>
    <row r="18" spans="1:159" ht="30" customHeight="1" x14ac:dyDescent="0.25">
      <c r="A18" s="210">
        <v>43839</v>
      </c>
      <c r="B18" s="212">
        <f>'[1]January -2020'!B18</f>
        <v>0.82</v>
      </c>
      <c r="C18" s="253">
        <f>'[1]January -2020'!E18</f>
        <v>519112</v>
      </c>
      <c r="D18" s="172">
        <f>'[1]January -2020'!F18</f>
        <v>456</v>
      </c>
      <c r="E18" s="170">
        <f>'[1]January -2020'!G18</f>
        <v>456</v>
      </c>
      <c r="F18" s="170">
        <f>'[1]January -2020'!H18</f>
        <v>689566</v>
      </c>
      <c r="G18" s="172">
        <f>'[1]January -2020'!I18</f>
        <v>452</v>
      </c>
      <c r="H18" s="170">
        <f>'[1]January -2020'!J18</f>
        <v>447</v>
      </c>
      <c r="I18" s="170">
        <f>'[1]January -2020'!K18</f>
        <v>22354</v>
      </c>
      <c r="J18" s="172">
        <f>'[1]January -2020'!L18</f>
        <v>132</v>
      </c>
      <c r="K18" s="170">
        <f>'[1]January -2020'!N18</f>
        <v>613182.9</v>
      </c>
      <c r="L18" s="172">
        <f>'[1]January -2020'!O18</f>
        <v>92.400000000023283</v>
      </c>
      <c r="M18" s="170">
        <f>'[1]January -2020'!Q18</f>
        <v>156875</v>
      </c>
      <c r="N18" s="172">
        <f>'[1]January -2020'!R18</f>
        <v>0</v>
      </c>
      <c r="O18" s="170">
        <f>'[1]January -2020'!S18</f>
        <v>94503</v>
      </c>
      <c r="P18" s="172">
        <f>'[1]January -2020'!T18</f>
        <v>80</v>
      </c>
      <c r="Q18" s="170">
        <f>'[1]January -2020'!U18</f>
        <v>90</v>
      </c>
      <c r="R18" s="170">
        <f>'[1]January -2020'!V18</f>
        <v>7133</v>
      </c>
      <c r="S18" s="211">
        <f>'[1]January -2020'!W18</f>
        <v>14</v>
      </c>
      <c r="T18" s="475"/>
      <c r="U18" s="171">
        <f>'[1]January -2020'!AB18</f>
        <v>5476079.2799999993</v>
      </c>
      <c r="V18" s="254">
        <f>'[1]January -2020'!AC18</f>
        <v>2484.7199999997392</v>
      </c>
      <c r="W18" s="94">
        <f>'[1]January -2020'!AD18</f>
        <v>2241.1200000001118</v>
      </c>
      <c r="X18" s="94">
        <f>'[1]January -2020'!AE18</f>
        <v>10677523.92</v>
      </c>
      <c r="Y18" s="254">
        <f>'[1]January -2020'!AF18</f>
        <v>4920.7200000006706</v>
      </c>
      <c r="Z18" s="94">
        <f>'[1]January -2020'!AG18</f>
        <v>5115.6000000014901</v>
      </c>
      <c r="AA18" s="94">
        <f>'[1]January -2020'!AH18</f>
        <v>9792720</v>
      </c>
      <c r="AB18" s="254">
        <f>'[1]January -2020'!AI18</f>
        <v>8087.519999999553</v>
      </c>
      <c r="AC18" s="94">
        <f>'[1]January -2020'!AJ18</f>
        <v>48.720000000670552</v>
      </c>
      <c r="AD18" s="94">
        <f>'[1]January -2020'!AK18</f>
        <v>13139686.379999999</v>
      </c>
      <c r="AE18" s="254">
        <f>'[1]January -2020'!AL18</f>
        <v>48.5</v>
      </c>
      <c r="AF18" s="94">
        <f>'[1]January -2020'!AM18</f>
        <v>1364.160000000149</v>
      </c>
      <c r="AG18" s="94">
        <f>'[1]January -2020'!AN18</f>
        <v>13133840.16</v>
      </c>
      <c r="AH18" s="254">
        <f>'[1]January -2020'!AO18</f>
        <v>48.720000000670552</v>
      </c>
      <c r="AI18" s="94">
        <f>'[1]January -2020'!AP18</f>
        <v>10182.480000000447</v>
      </c>
      <c r="AJ18" s="94">
        <f>'[1]January -2020'!AQ18</f>
        <v>11977568.4</v>
      </c>
      <c r="AK18" s="254">
        <f>'[1]January -2020'!AR18</f>
        <v>6528.480000000447</v>
      </c>
      <c r="AL18" s="94">
        <f>'[1]January -2020'!AS18</f>
        <v>5748.9599999990314</v>
      </c>
      <c r="AM18" s="94">
        <f>'[1]January -2020'!AT18</f>
        <v>10443619.199999999</v>
      </c>
      <c r="AN18" s="254">
        <f>'[1]January -2020'!AU18</f>
        <v>4579.679999999702</v>
      </c>
      <c r="AO18" s="94">
        <f>'[1]January -2020'!AV18</f>
        <v>4433.519999999553</v>
      </c>
      <c r="AP18" s="94">
        <f>'[1]January -2020'!AW18</f>
        <v>10089570.959999999</v>
      </c>
      <c r="AQ18" s="254">
        <f>'[1]January -2020'!AX18</f>
        <v>4920.7199999988079</v>
      </c>
      <c r="AR18" s="94">
        <f>'[1]January -2020'!AY18</f>
        <v>5018.160000000149</v>
      </c>
      <c r="AS18" s="94">
        <f>'[1]January -2020'!AZ18</f>
        <v>8064816.4800000004</v>
      </c>
      <c r="AT18" s="254">
        <f>'[1]January -2020'!BA18</f>
        <v>3312.9600000008941</v>
      </c>
      <c r="AU18" s="94">
        <f>'[1]January -2020'!BB18</f>
        <v>3459.1199999991804</v>
      </c>
      <c r="AV18" s="94">
        <f>'[1]January -2020'!BC18</f>
        <v>11929968.959999999</v>
      </c>
      <c r="AW18" s="255">
        <f>'[1]January -2020'!BD18</f>
        <v>5456.640000000596</v>
      </c>
      <c r="AX18" s="256">
        <f>'[1]January -2020'!BE18</f>
        <v>5797.679999999702</v>
      </c>
      <c r="AY18" s="492"/>
      <c r="AZ18" s="95">
        <f>'[1]January -2020'!BJ18</f>
        <v>49516300</v>
      </c>
      <c r="BA18" s="181">
        <f>'[1]January -2020'!BK18</f>
        <v>42500</v>
      </c>
      <c r="BB18" s="95">
        <f>'[1]January -2020'!BL18</f>
        <v>0</v>
      </c>
      <c r="BC18" s="95">
        <f>'[1]January -2020'!BM18</f>
        <v>53882000</v>
      </c>
      <c r="BD18" s="248">
        <f>'[1]January -2020'!BN18</f>
        <v>100</v>
      </c>
      <c r="BE18" s="95">
        <f>'[1]January -2020'!BO18</f>
        <v>0</v>
      </c>
      <c r="BF18" s="95">
        <f>'[1]January -2020'!BP18</f>
        <v>47576000</v>
      </c>
      <c r="BG18" s="248">
        <f>'[1]January -2020'!BQ18</f>
        <v>0</v>
      </c>
      <c r="BH18" s="95">
        <f>'[1]January -2020'!BR18</f>
        <v>47700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'[1]January -2020'!BS18</f>
        <v>4019700</v>
      </c>
      <c r="BT18" s="187">
        <f>'[1]January -2020'!BT18</f>
        <v>4620</v>
      </c>
      <c r="BU18" s="588"/>
      <c r="BV18" s="88">
        <f>'[1]January -2020'!BV18</f>
        <v>0.62</v>
      </c>
      <c r="BW18" s="244">
        <f>'[1]January -2020'!BW18</f>
        <v>0.14000000000000001</v>
      </c>
      <c r="BX18" s="88">
        <f>'[1]January -2020'!BX18</f>
        <v>-3.9999999999999925E-2</v>
      </c>
      <c r="BY18" s="89">
        <f>'[1]January -2020'!BY18</f>
        <v>44620</v>
      </c>
      <c r="BZ18" s="193">
        <f>'[1]January -2020'!BZ18</f>
        <v>20</v>
      </c>
      <c r="CA18" s="89">
        <f>'[1]January -2020'!CA18</f>
        <v>39459</v>
      </c>
      <c r="CB18" s="193">
        <f>'[1]January -2020'!CB18</f>
        <v>18</v>
      </c>
      <c r="CC18" s="89">
        <f>'[1]January -2020'!CC18</f>
        <v>13200</v>
      </c>
      <c r="CD18" s="193">
        <f>'[1]January -2020'!CD18</f>
        <v>8</v>
      </c>
      <c r="CE18" s="89">
        <f>'[1]January -2020'!CE18</f>
        <v>16614</v>
      </c>
      <c r="CF18" s="193">
        <f>'[1]January -2020'!CF18</f>
        <v>11</v>
      </c>
      <c r="CG18" s="89">
        <f>'[1]January -2020'!CG18</f>
        <v>18981</v>
      </c>
      <c r="CH18" s="193">
        <f>'[1]January -2020'!CH18</f>
        <v>8</v>
      </c>
      <c r="CI18" s="89">
        <f>'[1]January -2020'!CI18</f>
        <v>40410</v>
      </c>
      <c r="CJ18" s="193">
        <f>'[1]January -2020'!CJ18</f>
        <v>24</v>
      </c>
      <c r="CK18" s="89">
        <f>'[1]January -2020'!CK18</f>
        <v>174699.7</v>
      </c>
      <c r="CL18" s="249">
        <f>'[1]January -2020'!CL18</f>
        <v>83.700000000011642</v>
      </c>
      <c r="CM18" s="89">
        <f>'[1]January -2020'!CM18</f>
        <v>84</v>
      </c>
      <c r="CN18" s="89">
        <f>'[1]January -2020'!CN18</f>
        <v>126024.2</v>
      </c>
      <c r="CO18" s="249">
        <f>'[1]January -2020'!CO18</f>
        <v>99</v>
      </c>
      <c r="CP18" s="89">
        <f>'[1]January -2020'!CP18</f>
        <v>82</v>
      </c>
      <c r="CQ18" s="89">
        <f>'[1]January -2020'!CQ18</f>
        <v>236070.5</v>
      </c>
      <c r="CR18" s="249">
        <f>'[1]January -2020'!CR18</f>
        <v>359.60000000000582</v>
      </c>
      <c r="CS18" s="89">
        <f>'[1]January -2020'!CS18</f>
        <v>314</v>
      </c>
      <c r="CT18" s="89">
        <f>'[1]January -2020'!CT18</f>
        <v>472089</v>
      </c>
      <c r="CU18" s="193">
        <f>'[1]January -2020'!CU18</f>
        <v>167</v>
      </c>
      <c r="CV18" s="516"/>
      <c r="CW18" s="208">
        <f>'[1]January -2020'!CW18</f>
        <v>327.8</v>
      </c>
      <c r="CX18" s="200">
        <f>'[1]January -2020'!CX18</f>
        <v>0</v>
      </c>
      <c r="CY18" s="91">
        <f>'[1]January -2020'!CY18</f>
        <v>1143.7</v>
      </c>
      <c r="CZ18" s="200">
        <f>'[1]January -2020'!CZ18</f>
        <v>0</v>
      </c>
      <c r="DA18" s="91">
        <f>'[1]January -2020'!DA18</f>
        <v>18592.3</v>
      </c>
      <c r="DB18" s="200">
        <f>'[1]January -2020'!DB18</f>
        <v>16.700000000000728</v>
      </c>
      <c r="DC18" s="91">
        <f>'[1]January -2020'!DC18</f>
        <v>19215.400000000001</v>
      </c>
      <c r="DD18" s="200">
        <f>'[1]January -2020'!DD18</f>
        <v>16.80000000000291</v>
      </c>
      <c r="DE18" s="91">
        <f>'[1]January -2020'!DE18</f>
        <v>13440.5</v>
      </c>
      <c r="DF18" s="200">
        <f>'[1]January -2020'!DF18</f>
        <v>12.700000000000728</v>
      </c>
      <c r="DG18" s="91">
        <f>'[1]January -2020'!DG18</f>
        <v>17174.2</v>
      </c>
      <c r="DH18" s="200">
        <f>'[1]January -2020'!DH18</f>
        <v>5.4000000000014552</v>
      </c>
      <c r="DI18" s="91">
        <f>'[1]January -2020'!DI18</f>
        <v>825</v>
      </c>
      <c r="DJ18" s="200">
        <f>'[1]January -2020'!DJ18</f>
        <v>0</v>
      </c>
      <c r="DK18" s="91">
        <f>'[1]January -2020'!DK18</f>
        <v>3570</v>
      </c>
      <c r="DL18" s="200">
        <f>'[1]January -2020'!DL18</f>
        <v>0</v>
      </c>
      <c r="DM18" s="91">
        <f>'[1]January -2020'!DM18</f>
        <v>920</v>
      </c>
      <c r="DN18" s="200">
        <f>'[1]January -2020'!DN18</f>
        <v>6</v>
      </c>
      <c r="DO18" s="91">
        <f>'[1]January -2020'!DO18</f>
        <v>1103</v>
      </c>
      <c r="DP18" s="200">
        <f>'[1]January -2020'!DP18</f>
        <v>3</v>
      </c>
      <c r="DQ18" s="91">
        <f>'[1]January -2020'!DQ18</f>
        <v>16942</v>
      </c>
      <c r="DR18" s="209">
        <f>'[1]January -2020'!DR18</f>
        <v>9</v>
      </c>
      <c r="DS18" s="532"/>
      <c r="DT18" s="213">
        <f>'[1]January -2020'!DT18</f>
        <v>2741732.4</v>
      </c>
      <c r="DU18" s="224">
        <f>'[1]January -2020'!DU18</f>
        <v>1532.1999999997206</v>
      </c>
      <c r="DV18" s="93">
        <f>'[1]January -2020'!DV18</f>
        <v>4507.3</v>
      </c>
      <c r="DW18" s="218">
        <f>'[1]January -2020'!DW18</f>
        <v>5.1000000000003638</v>
      </c>
      <c r="DX18" s="93">
        <f>'[1]January -2020'!DX18</f>
        <v>1810387.7</v>
      </c>
      <c r="DY18" s="218">
        <f>'[1]January -2020'!DY18</f>
        <v>1099.3000000000466</v>
      </c>
      <c r="DZ18" s="93">
        <f>'[1]January -2020'!DZ18</f>
        <v>252498.1</v>
      </c>
      <c r="EA18" s="218">
        <f>'[1]January -2020'!EA18</f>
        <v>4</v>
      </c>
      <c r="EB18" s="93">
        <f>'[1]January -2020'!ED18</f>
        <v>406316.4</v>
      </c>
      <c r="EC18" s="218">
        <f>'[1]January -2020'!EE18</f>
        <v>582.90000000002328</v>
      </c>
      <c r="ED18" s="93">
        <f>'[1]January -2020'!EF18</f>
        <v>85867.6</v>
      </c>
      <c r="EE18" s="232">
        <f>'[1]January -2020'!EG18</f>
        <v>150.10000000000582</v>
      </c>
      <c r="EF18" s="579"/>
      <c r="EG18" s="238">
        <f>'[1]January -2020'!EI18</f>
        <v>6774400</v>
      </c>
      <c r="EH18" s="233">
        <f>'[1]January -2020'!EJ18</f>
        <v>2500</v>
      </c>
      <c r="EI18" s="92">
        <f>'[1]January -2020'!EK18</f>
        <v>597260</v>
      </c>
      <c r="EJ18" s="233">
        <f>'[1]January -2020'!EL18</f>
        <v>290</v>
      </c>
      <c r="EK18" s="92">
        <f>'[1]January -2020'!EM18</f>
        <v>4610300</v>
      </c>
      <c r="EL18" s="233">
        <f>'[1]January -2020'!EN18</f>
        <v>1700</v>
      </c>
      <c r="EM18" s="92">
        <f>'[1]January -2020'!EO18</f>
        <v>1987900</v>
      </c>
      <c r="EN18" s="233">
        <f>'[1]January -2020'!EP18</f>
        <v>0</v>
      </c>
      <c r="EO18" s="92">
        <f>'[1]January -2020'!EQ18</f>
        <v>677480</v>
      </c>
      <c r="EP18" s="233">
        <f>'[1]January -2020'!ER18</f>
        <v>140</v>
      </c>
      <c r="EQ18" s="92">
        <f>'[1]January -2020'!ES18</f>
        <v>10711500</v>
      </c>
      <c r="ER18" s="233">
        <f>'[1]January -2020'!ET18</f>
        <v>1400</v>
      </c>
      <c r="ES18" s="554"/>
      <c r="ET18" s="287">
        <f>'[1]January -2020'!EV18</f>
        <v>27732.3</v>
      </c>
      <c r="EU18" s="286">
        <f>'[1]January -2020'!$EW$11</f>
        <v>19.5</v>
      </c>
      <c r="EV18" s="285">
        <f>'[1]January -2020'!EX18</f>
        <v>24272.5</v>
      </c>
      <c r="EW18" s="286">
        <f>'[1]January -2020'!EY18</f>
        <v>15.900000000001455</v>
      </c>
      <c r="EX18" s="285">
        <f>'[1]January -2020'!FB18</f>
        <v>43792.5</v>
      </c>
      <c r="EY18" s="286">
        <f>'[1]January -2020'!FA18</f>
        <v>0</v>
      </c>
      <c r="EZ18" s="285">
        <f>'[1]January -2020'!EZ18</f>
        <v>0</v>
      </c>
      <c r="FA18" s="286">
        <f>'[1]January -2020'!FA18</f>
        <v>0</v>
      </c>
      <c r="FB18" s="285">
        <f>'[1]January -2020'!FD18</f>
        <v>20497</v>
      </c>
      <c r="FC18" s="288">
        <f>'[1]January -2020'!FE18</f>
        <v>31.400000000001455</v>
      </c>
    </row>
    <row r="19" spans="1:159" ht="30" customHeight="1" x14ac:dyDescent="0.25">
      <c r="A19" s="210">
        <v>43840</v>
      </c>
      <c r="B19" s="212">
        <f>'[1]January -2020'!B19</f>
        <v>0.86</v>
      </c>
      <c r="C19" s="253">
        <f>'[1]January -2020'!E19</f>
        <v>519845</v>
      </c>
      <c r="D19" s="172">
        <f>'[1]January -2020'!F19</f>
        <v>509</v>
      </c>
      <c r="E19" s="170">
        <f>'[1]January -2020'!G19</f>
        <v>509</v>
      </c>
      <c r="F19" s="170">
        <f>'[1]January -2020'!H19</f>
        <v>690147</v>
      </c>
      <c r="G19" s="172">
        <f>'[1]January -2020'!I19</f>
        <v>581</v>
      </c>
      <c r="H19" s="170">
        <f>'[1]January -2020'!J19</f>
        <v>474</v>
      </c>
      <c r="I19" s="170">
        <f>'[1]January -2020'!K19</f>
        <v>22374</v>
      </c>
      <c r="J19" s="172">
        <f>'[1]January -2020'!L19</f>
        <v>20</v>
      </c>
      <c r="K19" s="170">
        <f>'[1]January -2020'!N19</f>
        <v>613182.9</v>
      </c>
      <c r="L19" s="172">
        <f>'[1]January -2020'!O19</f>
        <v>0</v>
      </c>
      <c r="M19" s="170">
        <f>'[1]January -2020'!Q19</f>
        <v>156875</v>
      </c>
      <c r="N19" s="172">
        <f>'[1]January -2020'!R19</f>
        <v>0</v>
      </c>
      <c r="O19" s="170">
        <f>'[1]January -2020'!S19</f>
        <v>94573</v>
      </c>
      <c r="P19" s="172">
        <f>'[1]January -2020'!T19</f>
        <v>70</v>
      </c>
      <c r="Q19" s="170">
        <f>'[1]January -2020'!U19</f>
        <v>94</v>
      </c>
      <c r="R19" s="170">
        <f>'[1]January -2020'!V19</f>
        <v>7146</v>
      </c>
      <c r="S19" s="211">
        <f>'[1]January -2020'!W19</f>
        <v>13</v>
      </c>
      <c r="T19" s="475"/>
      <c r="U19" s="171">
        <f>'[1]January -2020'!AB19</f>
        <v>5478563.4799999995</v>
      </c>
      <c r="V19" s="254">
        <f>'[1]January -2020'!AC19</f>
        <v>2484.2000000001863</v>
      </c>
      <c r="W19" s="94">
        <f>'[1]January -2020'!AD19</f>
        <v>2582.160000000149</v>
      </c>
      <c r="X19" s="94">
        <f>'[1]January -2020'!AE19</f>
        <v>10682444.619999999</v>
      </c>
      <c r="Y19" s="254">
        <f>'[1]January -2020'!AF19</f>
        <v>4920.6999999992549</v>
      </c>
      <c r="Z19" s="94">
        <f>'[1]January -2020'!AG19</f>
        <v>5213.0399999991059</v>
      </c>
      <c r="AA19" s="94">
        <f>'[1]January -2020'!AH19</f>
        <v>9800222</v>
      </c>
      <c r="AB19" s="254">
        <f>'[1]January -2020'!AI19</f>
        <v>7502</v>
      </c>
      <c r="AC19" s="94">
        <f>'[1]January -2020'!AJ19</f>
        <v>194.87999999988824</v>
      </c>
      <c r="AD19" s="94">
        <f>'[1]January -2020'!AK19</f>
        <v>13139880.93</v>
      </c>
      <c r="AE19" s="254">
        <f>'[1]January -2020'!AL19</f>
        <v>194.55000000074506</v>
      </c>
      <c r="AF19" s="94">
        <f>'[1]January -2020'!AM19</f>
        <v>779.52000000141561</v>
      </c>
      <c r="AG19" s="94">
        <f>'[1]January -2020'!AN19</f>
        <v>13133888.880000001</v>
      </c>
      <c r="AH19" s="254">
        <f>'[1]January -2020'!AO19</f>
        <v>48.720000000670552</v>
      </c>
      <c r="AI19" s="94">
        <f>'[1]January -2020'!AP19</f>
        <v>10572.240000000224</v>
      </c>
      <c r="AJ19" s="94">
        <f>'[1]January -2020'!AQ19</f>
        <v>11984058.16</v>
      </c>
      <c r="AK19" s="254">
        <f>'[1]January -2020'!AR19</f>
        <v>6489.7599999997765</v>
      </c>
      <c r="AL19" s="94">
        <f>'[1]January -2020'!AS19</f>
        <v>5895.1200000010431</v>
      </c>
      <c r="AM19" s="94">
        <f>'[1]January -2020'!AT19</f>
        <v>10448014.42</v>
      </c>
      <c r="AN19" s="254">
        <f>'[1]January -2020'!AU19</f>
        <v>4395.2200000006706</v>
      </c>
      <c r="AO19" s="94">
        <f>'[1]January -2020'!AV19</f>
        <v>4774.5600000005215</v>
      </c>
      <c r="AP19" s="94">
        <f>'[1]January -2020'!AW19</f>
        <v>10094490.959999999</v>
      </c>
      <c r="AQ19" s="254">
        <f>'[1]January -2020'!AX19</f>
        <v>4920</v>
      </c>
      <c r="AR19" s="94">
        <f>'[1]January -2020'!AY19</f>
        <v>5310.4799999985844</v>
      </c>
      <c r="AS19" s="94">
        <f>'[1]January -2020'!AZ19</f>
        <v>8068178.3700000001</v>
      </c>
      <c r="AT19" s="254">
        <f>'[1]January -2020'!BA19</f>
        <v>3361.8899999996647</v>
      </c>
      <c r="AU19" s="94">
        <f>'[1]January -2020'!BB19</f>
        <v>3800.1600000010803</v>
      </c>
      <c r="AV19" s="94">
        <f>'[1]January -2020'!BC19</f>
        <v>11935278.959999999</v>
      </c>
      <c r="AW19" s="255">
        <f>'[1]January -2020'!BD19</f>
        <v>5310</v>
      </c>
      <c r="AX19" s="256">
        <f>'[1]January -2020'!BE19</f>
        <v>5797.679999999702</v>
      </c>
      <c r="AY19" s="492"/>
      <c r="AZ19" s="95">
        <f>'[1]January -2020'!BJ19</f>
        <v>49556000</v>
      </c>
      <c r="BA19" s="181">
        <f>'[1]January -2020'!BK19</f>
        <v>39700</v>
      </c>
      <c r="BB19" s="95">
        <f>'[1]January -2020'!BL19</f>
        <v>0</v>
      </c>
      <c r="BC19" s="95">
        <f>'[1]January -2020'!BM19</f>
        <v>53882000</v>
      </c>
      <c r="BD19" s="248">
        <f>'[1]January -2020'!BN19</f>
        <v>0</v>
      </c>
      <c r="BE19" s="95">
        <f>'[1]January -2020'!BO19</f>
        <v>0</v>
      </c>
      <c r="BF19" s="95">
        <f>'[1]January -2020'!BP19</f>
        <v>47576000</v>
      </c>
      <c r="BG19" s="248">
        <f>'[1]January -2020'!BQ19</f>
        <v>0</v>
      </c>
      <c r="BH19" s="95">
        <f>'[1]January -2020'!BR19</f>
        <v>49600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'[1]January -2020'!BS19</f>
        <v>4025950</v>
      </c>
      <c r="BT19" s="187">
        <f>'[1]January -2020'!BT19</f>
        <v>6250</v>
      </c>
      <c r="BU19" s="588"/>
      <c r="BV19" s="88">
        <f>'[1]January -2020'!BV19</f>
        <v>0.75</v>
      </c>
      <c r="BW19" s="244">
        <f>'[1]January -2020'!BW19</f>
        <v>0.13</v>
      </c>
      <c r="BX19" s="88">
        <f>'[1]January -2020'!BX19</f>
        <v>-3.0000000000000027E-2</v>
      </c>
      <c r="BY19" s="89">
        <f>'[1]January -2020'!BY19</f>
        <v>44644</v>
      </c>
      <c r="BZ19" s="193">
        <f>'[1]January -2020'!BZ19</f>
        <v>24</v>
      </c>
      <c r="CA19" s="89">
        <f>'[1]January -2020'!CA19</f>
        <v>39480</v>
      </c>
      <c r="CB19" s="193">
        <f>'[1]January -2020'!CB19</f>
        <v>21</v>
      </c>
      <c r="CC19" s="89">
        <f>'[1]January -2020'!CC19</f>
        <v>13209</v>
      </c>
      <c r="CD19" s="193">
        <f>'[1]January -2020'!CD19</f>
        <v>9</v>
      </c>
      <c r="CE19" s="89">
        <f>'[1]January -2020'!CE19</f>
        <v>16625</v>
      </c>
      <c r="CF19" s="193">
        <f>'[1]January -2020'!CF19</f>
        <v>11</v>
      </c>
      <c r="CG19" s="89">
        <f>'[1]January -2020'!CG19</f>
        <v>18991</v>
      </c>
      <c r="CH19" s="193">
        <f>'[1]January -2020'!CH19</f>
        <v>10</v>
      </c>
      <c r="CI19" s="89">
        <f>'[1]January -2020'!CI19</f>
        <v>40434</v>
      </c>
      <c r="CJ19" s="193">
        <f>'[1]January -2020'!CJ19</f>
        <v>24</v>
      </c>
      <c r="CK19" s="89">
        <f>'[1]January -2020'!CK19</f>
        <v>174836.15</v>
      </c>
      <c r="CL19" s="249">
        <f>'[1]January -2020'!CL19</f>
        <v>136.44999999998254</v>
      </c>
      <c r="CM19" s="89">
        <f>'[1]January -2020'!CM19</f>
        <v>85</v>
      </c>
      <c r="CN19" s="89">
        <f>'[1]January -2020'!CN19</f>
        <v>126172.27</v>
      </c>
      <c r="CO19" s="249">
        <f>'[1]January -2020'!CO19</f>
        <v>148.07000000000698</v>
      </c>
      <c r="CP19" s="89">
        <f>'[1]January -2020'!CP19</f>
        <v>82</v>
      </c>
      <c r="CQ19" s="89">
        <f>'[1]January -2020'!CQ19</f>
        <v>236517.92</v>
      </c>
      <c r="CR19" s="249">
        <f>'[1]January -2020'!CR19</f>
        <v>447.42000000001281</v>
      </c>
      <c r="CS19" s="89">
        <f>'[1]January -2020'!CS19</f>
        <v>414</v>
      </c>
      <c r="CT19" s="89">
        <f>'[1]January -2020'!CT19</f>
        <v>472301</v>
      </c>
      <c r="CU19" s="193">
        <f>'[1]January -2020'!CU19</f>
        <v>212</v>
      </c>
      <c r="CV19" s="516"/>
      <c r="CW19" s="208">
        <f>'[1]January -2020'!CW19</f>
        <v>327.8</v>
      </c>
      <c r="CX19" s="200">
        <f>'[1]January -2020'!CX19</f>
        <v>0</v>
      </c>
      <c r="CY19" s="91">
        <f>'[1]January -2020'!CY19</f>
        <v>1143.7</v>
      </c>
      <c r="CZ19" s="200">
        <f>'[1]January -2020'!CZ19</f>
        <v>0</v>
      </c>
      <c r="DA19" s="91">
        <f>'[1]January -2020'!DA19</f>
        <v>18608.3</v>
      </c>
      <c r="DB19" s="200">
        <f>'[1]January -2020'!DB19</f>
        <v>16</v>
      </c>
      <c r="DC19" s="91">
        <f>'[1]January -2020'!DC19</f>
        <v>19232.2</v>
      </c>
      <c r="DD19" s="200">
        <f>'[1]January -2020'!DD19</f>
        <v>16.799999999999272</v>
      </c>
      <c r="DE19" s="91">
        <f>'[1]January -2020'!DE19</f>
        <v>13453.5</v>
      </c>
      <c r="DF19" s="200">
        <f>'[1]January -2020'!DF19</f>
        <v>13</v>
      </c>
      <c r="DG19" s="91">
        <f>'[1]January -2020'!DG19</f>
        <v>17181.2</v>
      </c>
      <c r="DH19" s="200">
        <f>'[1]January -2020'!DH19</f>
        <v>7</v>
      </c>
      <c r="DI19" s="91">
        <f>'[1]January -2020'!DI19</f>
        <v>825</v>
      </c>
      <c r="DJ19" s="200">
        <f>'[1]January -2020'!DJ19</f>
        <v>0</v>
      </c>
      <c r="DK19" s="91">
        <f>'[1]January -2020'!DK19</f>
        <v>3570</v>
      </c>
      <c r="DL19" s="200">
        <f>'[1]January -2020'!DL19</f>
        <v>0</v>
      </c>
      <c r="DM19" s="91">
        <f>'[1]January -2020'!DM19</f>
        <v>925</v>
      </c>
      <c r="DN19" s="200">
        <f>'[1]January -2020'!DN19</f>
        <v>5</v>
      </c>
      <c r="DO19" s="91">
        <f>'[1]January -2020'!DO19</f>
        <v>1108</v>
      </c>
      <c r="DP19" s="200">
        <f>'[1]January -2020'!DP19</f>
        <v>5</v>
      </c>
      <c r="DQ19" s="91">
        <f>'[1]January -2020'!DQ19</f>
        <v>16942</v>
      </c>
      <c r="DR19" s="209">
        <f>'[1]January -2020'!DR19</f>
        <v>0</v>
      </c>
      <c r="DS19" s="532"/>
      <c r="DT19" s="213">
        <f>'[1]January -2020'!DT19</f>
        <v>2743109.9</v>
      </c>
      <c r="DU19" s="224">
        <f>'[1]January -2020'!DU19</f>
        <v>1377.5</v>
      </c>
      <c r="DV19" s="93">
        <f>'[1]January -2020'!DV19</f>
        <v>4511.8</v>
      </c>
      <c r="DW19" s="218">
        <f>'[1]January -2020'!DW19</f>
        <v>4.5</v>
      </c>
      <c r="DX19" s="93">
        <f>'[1]January -2020'!DX19</f>
        <v>1811485.2</v>
      </c>
      <c r="DY19" s="218">
        <f>'[1]January -2020'!DY19</f>
        <v>1097.5</v>
      </c>
      <c r="DZ19" s="93">
        <f>'[1]January -2020'!DZ19</f>
        <v>252502.1</v>
      </c>
      <c r="EA19" s="218">
        <f>'[1]January -2020'!EA19</f>
        <v>4</v>
      </c>
      <c r="EB19" s="93">
        <f>'[1]January -2020'!ED19</f>
        <v>406899.80000000005</v>
      </c>
      <c r="EC19" s="218">
        <f>'[1]January -2020'!EE19</f>
        <v>583.40000000002328</v>
      </c>
      <c r="ED19" s="93">
        <f>'[1]January -2020'!EF19</f>
        <v>86018.6</v>
      </c>
      <c r="EE19" s="232">
        <f>'[1]January -2020'!EG19</f>
        <v>151</v>
      </c>
      <c r="EF19" s="579"/>
      <c r="EG19" s="238">
        <f>'[1]January -2020'!EI19</f>
        <v>6775900</v>
      </c>
      <c r="EH19" s="233">
        <f>'[1]January -2020'!EJ19</f>
        <v>1500</v>
      </c>
      <c r="EI19" s="92">
        <f>'[1]January -2020'!EK19</f>
        <v>597460</v>
      </c>
      <c r="EJ19" s="233">
        <f>'[1]January -2020'!EL19</f>
        <v>200</v>
      </c>
      <c r="EK19" s="92">
        <f>'[1]January -2020'!EM19</f>
        <v>4611800</v>
      </c>
      <c r="EL19" s="233">
        <f>'[1]January -2020'!EN19</f>
        <v>1500</v>
      </c>
      <c r="EM19" s="92">
        <f>'[1]January -2020'!EO19</f>
        <v>1987900</v>
      </c>
      <c r="EN19" s="233">
        <f>'[1]January -2020'!EP19</f>
        <v>0</v>
      </c>
      <c r="EO19" s="92">
        <f>'[1]January -2020'!EQ19</f>
        <v>677600</v>
      </c>
      <c r="EP19" s="233">
        <f>'[1]January -2020'!ER19</f>
        <v>120</v>
      </c>
      <c r="EQ19" s="92">
        <f>'[1]January -2020'!ES19</f>
        <v>10712700</v>
      </c>
      <c r="ER19" s="233">
        <f>'[1]January -2020'!ET19</f>
        <v>1200</v>
      </c>
      <c r="ES19" s="554"/>
      <c r="ET19" s="287">
        <f>'[1]January -2020'!EV19</f>
        <v>27753.3</v>
      </c>
      <c r="EU19" s="286">
        <f>'[1]January -2020'!$EW$11</f>
        <v>19.5</v>
      </c>
      <c r="EV19" s="285">
        <f>'[1]January -2020'!EX19</f>
        <v>24287.5</v>
      </c>
      <c r="EW19" s="286">
        <f>'[1]January -2020'!EY19</f>
        <v>15</v>
      </c>
      <c r="EX19" s="285">
        <f>'[1]January -2020'!FB19</f>
        <v>43824.5</v>
      </c>
      <c r="EY19" s="286">
        <f>'[1]January -2020'!FA19</f>
        <v>0</v>
      </c>
      <c r="EZ19" s="285">
        <f>'[1]January -2020'!EZ19</f>
        <v>0</v>
      </c>
      <c r="FA19" s="286">
        <f>'[1]January -2020'!FA19</f>
        <v>0</v>
      </c>
      <c r="FB19" s="285">
        <f>'[1]January -2020'!FD19</f>
        <v>20528</v>
      </c>
      <c r="FC19" s="288">
        <f>'[1]January -2020'!FE19</f>
        <v>31</v>
      </c>
    </row>
    <row r="20" spans="1:159" ht="30" customHeight="1" x14ac:dyDescent="0.25">
      <c r="A20" s="210">
        <v>43841</v>
      </c>
      <c r="B20" s="212">
        <f>'[1]January -2020'!B20</f>
        <v>0.72</v>
      </c>
      <c r="C20" s="253">
        <f>'[1]January -2020'!E20</f>
        <v>520275</v>
      </c>
      <c r="D20" s="172">
        <f>'[1]January -2020'!F20</f>
        <v>514</v>
      </c>
      <c r="E20" s="170">
        <f>'[1]January -2020'!G20</f>
        <v>514</v>
      </c>
      <c r="F20" s="170">
        <f>'[1]January -2020'!H20</f>
        <v>690498</v>
      </c>
      <c r="G20" s="172">
        <f>'[1]January -2020'!I20</f>
        <v>351</v>
      </c>
      <c r="H20" s="170">
        <f>'[1]January -2020'!J20</f>
        <v>433</v>
      </c>
      <c r="I20" s="170">
        <f>'[1]January -2020'!K20</f>
        <v>22377</v>
      </c>
      <c r="J20" s="172">
        <f>'[1]January -2020'!L20</f>
        <v>3</v>
      </c>
      <c r="K20" s="170">
        <f>'[1]January -2020'!N20</f>
        <v>613182.9</v>
      </c>
      <c r="L20" s="172">
        <f>'[1]January -2020'!O20</f>
        <v>0</v>
      </c>
      <c r="M20" s="170">
        <f>'[1]January -2020'!Q20</f>
        <v>156875</v>
      </c>
      <c r="N20" s="172">
        <f>'[1]January -2020'!R20</f>
        <v>0</v>
      </c>
      <c r="O20" s="170">
        <f>'[1]January -2020'!S20</f>
        <v>94635</v>
      </c>
      <c r="P20" s="172">
        <f>'[1]January -2020'!T20</f>
        <v>62</v>
      </c>
      <c r="Q20" s="170">
        <f>'[1]January -2020'!U20</f>
        <v>93</v>
      </c>
      <c r="R20" s="170">
        <f>'[1]January -2020'!V20</f>
        <v>7157</v>
      </c>
      <c r="S20" s="211">
        <f>'[1]January -2020'!W20</f>
        <v>11</v>
      </c>
      <c r="T20" s="475"/>
      <c r="U20" s="171">
        <f>'[1]January -2020'!AB20</f>
        <v>5480756.3999999994</v>
      </c>
      <c r="V20" s="254">
        <f>'[1]January -2020'!AC20</f>
        <v>2192.9199999999255</v>
      </c>
      <c r="W20" s="94">
        <f>'[1]January -2020'!AD20</f>
        <v>2679.5999999996275</v>
      </c>
      <c r="X20" s="94">
        <f>'[1]January -2020'!AE20</f>
        <v>10687267.92</v>
      </c>
      <c r="Y20" s="254">
        <f>'[1]January -2020'!AF20</f>
        <v>4823.3000000007451</v>
      </c>
      <c r="Z20" s="94">
        <f>'[1]January -2020'!AG20</f>
        <v>5115.6000000014901</v>
      </c>
      <c r="AA20" s="94">
        <f>'[1]January -2020'!AH20</f>
        <v>9802220.4000000004</v>
      </c>
      <c r="AB20" s="254">
        <f>'[1]January -2020'!AI20</f>
        <v>1998.4000000003725</v>
      </c>
      <c r="AC20" s="94">
        <f>'[1]January -2020'!AJ20</f>
        <v>0</v>
      </c>
      <c r="AD20" s="94">
        <f>'[1]January -2020'!AK20</f>
        <v>13145338.08</v>
      </c>
      <c r="AE20" s="254">
        <f>'[1]January -2020'!AL20</f>
        <v>5457.1500000003725</v>
      </c>
      <c r="AF20" s="94">
        <f>'[1]January -2020'!AM20</f>
        <v>633.35999999940395</v>
      </c>
      <c r="AG20" s="94">
        <f>'[1]January -2020'!AN20</f>
        <v>13134376.08</v>
      </c>
      <c r="AH20" s="254">
        <f>'[1]January -2020'!AO20</f>
        <v>487.19999999925494</v>
      </c>
      <c r="AI20" s="94">
        <f>'[1]January -2020'!AP20</f>
        <v>9256.8000000007451</v>
      </c>
      <c r="AJ20" s="94">
        <f>'[1]January -2020'!AQ20</f>
        <v>11989212.48</v>
      </c>
      <c r="AK20" s="254">
        <f>'[1]January -2020'!AR20</f>
        <v>5154.320000000298</v>
      </c>
      <c r="AL20" s="94">
        <f>'[1]January -2020'!AS20</f>
        <v>5797.679999999702</v>
      </c>
      <c r="AM20" s="94">
        <f>'[1]January -2020'!AT20</f>
        <v>10452632.4</v>
      </c>
      <c r="AN20" s="254">
        <f>'[1]January -2020'!AU20</f>
        <v>21463.4</v>
      </c>
      <c r="AO20" s="94">
        <f>'[1]January -2020'!AV20</f>
        <v>4579.679999999702</v>
      </c>
      <c r="AP20" s="94">
        <f>'[1]January -2020'!AW20</f>
        <v>10099753.439999999</v>
      </c>
      <c r="AQ20" s="254">
        <f>'[1]January -2020'!AX20</f>
        <v>5262.480000000447</v>
      </c>
      <c r="AR20" s="94">
        <f>'[1]January -2020'!AY20</f>
        <v>5213.0400000000373</v>
      </c>
      <c r="AS20" s="94">
        <f>'[1]January -2020'!AZ20</f>
        <v>8071442.3999999994</v>
      </c>
      <c r="AT20" s="254">
        <f>'[1]January -2020'!BA20</f>
        <v>3264.0299999993294</v>
      </c>
      <c r="AU20" s="94">
        <f>'[1]January -2020'!BB20</f>
        <v>3507.8399999989197</v>
      </c>
      <c r="AV20" s="94">
        <f>'[1]January -2020'!BC20</f>
        <v>11940833.52</v>
      </c>
      <c r="AW20" s="255">
        <f>'[1]January -2020'!BD20</f>
        <v>5554.5600000005215</v>
      </c>
      <c r="AX20" s="256">
        <f>'[1]January -2020'!BE20</f>
        <v>5797.679999999702</v>
      </c>
      <c r="AY20" s="492"/>
      <c r="AZ20" s="95">
        <f>'[1]January -2020'!BJ20</f>
        <v>49562800</v>
      </c>
      <c r="BA20" s="181">
        <f>'[1]January -2020'!BK20</f>
        <v>6800</v>
      </c>
      <c r="BB20" s="95">
        <f>'[1]January -2020'!BL20</f>
        <v>0</v>
      </c>
      <c r="BC20" s="95">
        <f>'[1]January -2020'!BM20</f>
        <v>53909600</v>
      </c>
      <c r="BD20" s="248">
        <f>'[1]January -2020'!BN20</f>
        <v>27600</v>
      </c>
      <c r="BE20" s="95">
        <f>'[1]January -2020'!BO20</f>
        <v>0</v>
      </c>
      <c r="BF20" s="95">
        <f>'[1]January -2020'!BP20</f>
        <v>47576000</v>
      </c>
      <c r="BG20" s="248">
        <f>'[1]January -2020'!BQ20</f>
        <v>0</v>
      </c>
      <c r="BH20" s="95">
        <f>'[1]January -2020'!BR20</f>
        <v>42800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'[1]January -2020'!BS20</f>
        <v>4029580</v>
      </c>
      <c r="BT20" s="187">
        <f>'[1]January -2020'!BT20</f>
        <v>3630</v>
      </c>
      <c r="BU20" s="588"/>
      <c r="BV20" s="88">
        <f>'[1]January -2020'!BV20</f>
        <v>0.68</v>
      </c>
      <c r="BW20" s="244">
        <f>'[1]January -2020'!BW20</f>
        <v>-6.9999999999999951E-2</v>
      </c>
      <c r="BX20" s="88">
        <f>'[1]January -2020'!BX20</f>
        <v>4.0000000000000036E-2</v>
      </c>
      <c r="BY20" s="89">
        <f>'[1]January -2020'!BY20</f>
        <v>44669</v>
      </c>
      <c r="BZ20" s="193">
        <f>'[1]January -2020'!BZ20</f>
        <v>25</v>
      </c>
      <c r="CA20" s="89">
        <f>'[1]January -2020'!CA20</f>
        <v>39501</v>
      </c>
      <c r="CB20" s="193">
        <f>'[1]January -2020'!CB20</f>
        <v>21</v>
      </c>
      <c r="CC20" s="89">
        <f>'[1]January -2020'!CC20</f>
        <v>13217</v>
      </c>
      <c r="CD20" s="193">
        <f>'[1]January -2020'!CD20</f>
        <v>8</v>
      </c>
      <c r="CE20" s="89">
        <f>'[1]January -2020'!CE20</f>
        <v>16637</v>
      </c>
      <c r="CF20" s="193">
        <f>'[1]January -2020'!CF20</f>
        <v>12</v>
      </c>
      <c r="CG20" s="89">
        <f>'[1]January -2020'!CG20</f>
        <v>19004</v>
      </c>
      <c r="CH20" s="193">
        <f>'[1]January -2020'!CH20</f>
        <v>13</v>
      </c>
      <c r="CI20" s="89">
        <f>'[1]January -2020'!CI20</f>
        <v>40463</v>
      </c>
      <c r="CJ20" s="193">
        <f>'[1]January -2020'!CJ20</f>
        <v>29</v>
      </c>
      <c r="CK20" s="89">
        <f>'[1]January -2020'!CK20</f>
        <v>174862.62</v>
      </c>
      <c r="CL20" s="249">
        <f>'[1]January -2020'!CL20</f>
        <v>26.470000000001164</v>
      </c>
      <c r="CM20" s="89">
        <f>'[1]January -2020'!CM20</f>
        <v>88</v>
      </c>
      <c r="CN20" s="89">
        <f>'[1]January -2020'!CN20</f>
        <v>126246.55</v>
      </c>
      <c r="CO20" s="249">
        <f>'[1]January -2020'!CO20</f>
        <v>74.279999999998836</v>
      </c>
      <c r="CP20" s="89">
        <f>'[1]January -2020'!CP20</f>
        <v>90</v>
      </c>
      <c r="CQ20" s="89">
        <f>'[1]January -2020'!CQ20</f>
        <v>236749.62</v>
      </c>
      <c r="CR20" s="249">
        <f>'[1]January -2020'!CR20</f>
        <v>231.69999999998254</v>
      </c>
      <c r="CS20" s="89">
        <f>'[1]January -2020'!CS20</f>
        <v>479</v>
      </c>
      <c r="CT20" s="89">
        <f>'[1]January -2020'!CT20</f>
        <v>472412</v>
      </c>
      <c r="CU20" s="193">
        <f>'[1]January -2020'!CU20</f>
        <v>111</v>
      </c>
      <c r="CV20" s="516"/>
      <c r="CW20" s="208">
        <f>'[1]January -2020'!CW20</f>
        <v>329.6</v>
      </c>
      <c r="CX20" s="200">
        <f>'[1]January -2020'!CX20</f>
        <v>1.8000000000000114</v>
      </c>
      <c r="CY20" s="91">
        <f>'[1]January -2020'!CY20</f>
        <v>1160.8599999999999</v>
      </c>
      <c r="CZ20" s="200">
        <f>'[1]January -2020'!CZ20</f>
        <v>17.159999999999854</v>
      </c>
      <c r="DA20" s="91">
        <f>'[1]January -2020'!DA20</f>
        <v>18627.5</v>
      </c>
      <c r="DB20" s="200">
        <f>'[1]January -2020'!DB20</f>
        <v>19.200000000000728</v>
      </c>
      <c r="DC20" s="91">
        <f>'[1]January -2020'!DC20</f>
        <v>19246.900000000001</v>
      </c>
      <c r="DD20" s="200">
        <f>'[1]January -2020'!DD20</f>
        <v>14.700000000000728</v>
      </c>
      <c r="DE20" s="91">
        <f>'[1]January -2020'!DE20</f>
        <v>13463.7</v>
      </c>
      <c r="DF20" s="200">
        <f>'[1]January -2020'!DF20</f>
        <v>10.200000000000728</v>
      </c>
      <c r="DG20" s="91">
        <f>'[1]January -2020'!DG20</f>
        <v>17185.900000000001</v>
      </c>
      <c r="DH20" s="200">
        <f>'[1]January -2020'!DH20</f>
        <v>4.7000000000007276</v>
      </c>
      <c r="DI20" s="91">
        <f>'[1]January -2020'!DI20</f>
        <v>825</v>
      </c>
      <c r="DJ20" s="200">
        <f>'[1]January -2020'!DJ20</f>
        <v>0</v>
      </c>
      <c r="DK20" s="91">
        <f>'[1]January -2020'!DK20</f>
        <v>3570</v>
      </c>
      <c r="DL20" s="200">
        <f>'[1]January -2020'!DL20</f>
        <v>0</v>
      </c>
      <c r="DM20" s="91">
        <f>'[1]January -2020'!DM20</f>
        <v>929</v>
      </c>
      <c r="DN20" s="200">
        <f>'[1]January -2020'!DN20</f>
        <v>4</v>
      </c>
      <c r="DO20" s="91">
        <f>'[1]January -2020'!DO20</f>
        <v>1114</v>
      </c>
      <c r="DP20" s="200">
        <f>'[1]January -2020'!DP20</f>
        <v>6</v>
      </c>
      <c r="DQ20" s="91">
        <f>'[1]January -2020'!DQ20</f>
        <v>16942</v>
      </c>
      <c r="DR20" s="209">
        <f>'[1]January -2020'!DR20</f>
        <v>0</v>
      </c>
      <c r="DS20" s="532"/>
      <c r="DT20" s="213">
        <f>'[1]January -2020'!DT20</f>
        <v>2744772.7</v>
      </c>
      <c r="DU20" s="224">
        <f>'[1]January -2020'!DU20</f>
        <v>1662.8000000002794</v>
      </c>
      <c r="DV20" s="93">
        <f>'[1]January -2020'!DV20</f>
        <v>4516</v>
      </c>
      <c r="DW20" s="218">
        <f>'[1]January -2020'!DW20</f>
        <v>4.1999999999998181</v>
      </c>
      <c r="DX20" s="93">
        <f>'[1]January -2020'!DX20</f>
        <v>1812555.4</v>
      </c>
      <c r="DY20" s="218">
        <f>'[1]January -2020'!DY20</f>
        <v>1070.1999999999534</v>
      </c>
      <c r="DZ20" s="93">
        <f>'[1]January -2020'!DZ20</f>
        <v>252506.71</v>
      </c>
      <c r="EA20" s="218">
        <f>'[1]January -2020'!EA20</f>
        <v>4.6099999999860302</v>
      </c>
      <c r="EB20" s="93">
        <f>'[1]January -2020'!ED20</f>
        <v>407442.99</v>
      </c>
      <c r="EC20" s="218">
        <f>'[1]January -2020'!EE20</f>
        <v>543.18999999994412</v>
      </c>
      <c r="ED20" s="93">
        <f>'[1]January -2020'!EF20</f>
        <v>86165.7</v>
      </c>
      <c r="EE20" s="232">
        <f>'[1]January -2020'!EG20</f>
        <v>147.09999999999127</v>
      </c>
      <c r="EF20" s="579"/>
      <c r="EG20" s="238">
        <f>'[1]January -2020'!EI20</f>
        <v>6779200</v>
      </c>
      <c r="EH20" s="233">
        <f>'[1]January -2020'!EJ20</f>
        <v>3300</v>
      </c>
      <c r="EI20" s="92">
        <f>'[1]January -2020'!EK20</f>
        <v>597820</v>
      </c>
      <c r="EJ20" s="233">
        <f>'[1]January -2020'!EL20</f>
        <v>360</v>
      </c>
      <c r="EK20" s="92">
        <f>'[1]January -2020'!EM20</f>
        <v>4613200</v>
      </c>
      <c r="EL20" s="233">
        <f>'[1]January -2020'!EN20</f>
        <v>1400</v>
      </c>
      <c r="EM20" s="92">
        <f>'[1]January -2020'!EO20</f>
        <v>1988000</v>
      </c>
      <c r="EN20" s="233">
        <f>'[1]January -2020'!EP20</f>
        <v>100</v>
      </c>
      <c r="EO20" s="92">
        <f>'[1]January -2020'!EQ20</f>
        <v>677750</v>
      </c>
      <c r="EP20" s="233">
        <f>'[1]January -2020'!ER20</f>
        <v>150</v>
      </c>
      <c r="EQ20" s="92">
        <f>'[1]January -2020'!ES20</f>
        <v>10713600</v>
      </c>
      <c r="ER20" s="233">
        <f>'[1]January -2020'!ET20</f>
        <v>900</v>
      </c>
      <c r="ES20" s="554"/>
      <c r="ET20" s="287">
        <f>'[1]January -2020'!EV20</f>
        <v>27770.6</v>
      </c>
      <c r="EU20" s="286">
        <f>'[1]January -2020'!$EW$11</f>
        <v>19.5</v>
      </c>
      <c r="EV20" s="285">
        <f>'[1]January -2020'!EX20</f>
        <v>24302.2</v>
      </c>
      <c r="EW20" s="286">
        <f>'[1]January -2020'!EY20</f>
        <v>14.700000000000728</v>
      </c>
      <c r="EX20" s="285">
        <f>'[1]January -2020'!FB20</f>
        <v>43866.65</v>
      </c>
      <c r="EY20" s="286">
        <f>'[1]January -2020'!FA20</f>
        <v>0</v>
      </c>
      <c r="EZ20" s="285">
        <f>'[1]January -2020'!EZ20</f>
        <v>0</v>
      </c>
      <c r="FA20" s="286">
        <f>'[1]January -2020'!FA20</f>
        <v>0</v>
      </c>
      <c r="FB20" s="285">
        <f>'[1]January -2020'!FD20</f>
        <v>20555.57</v>
      </c>
      <c r="FC20" s="288">
        <f>'[1]January -2020'!FE20</f>
        <v>27.569999999999709</v>
      </c>
    </row>
    <row r="21" spans="1:159" ht="30" customHeight="1" x14ac:dyDescent="0.25">
      <c r="A21" s="210">
        <v>43842</v>
      </c>
      <c r="B21" s="212">
        <f>'[1]January -2020'!B21</f>
        <v>0.79</v>
      </c>
      <c r="C21" s="253">
        <f>'[1]January -2020'!E21</f>
        <v>520895</v>
      </c>
      <c r="D21" s="172">
        <f>'[1]January -2020'!F21</f>
        <v>829</v>
      </c>
      <c r="E21" s="170">
        <f>'[1]January -2020'!G21</f>
        <v>829</v>
      </c>
      <c r="F21" s="170">
        <f>'[1]January -2020'!H21</f>
        <v>691091</v>
      </c>
      <c r="G21" s="172">
        <f>'[1]January -2020'!I21</f>
        <v>593</v>
      </c>
      <c r="H21" s="170">
        <f>'[1]January -2020'!J21</f>
        <v>391</v>
      </c>
      <c r="I21" s="170">
        <f>'[1]January -2020'!K21</f>
        <v>22390</v>
      </c>
      <c r="J21" s="172">
        <f>'[1]January -2020'!L21</f>
        <v>13</v>
      </c>
      <c r="K21" s="170">
        <f>'[1]January -2020'!N21</f>
        <v>613182.9</v>
      </c>
      <c r="L21" s="172">
        <f>'[1]January -2020'!O21</f>
        <v>0</v>
      </c>
      <c r="M21" s="170">
        <f>'[1]January -2020'!Q21</f>
        <v>156875</v>
      </c>
      <c r="N21" s="172">
        <f>'[1]January -2020'!R21</f>
        <v>0</v>
      </c>
      <c r="O21" s="170">
        <f>'[1]January -2020'!S21</f>
        <v>94684</v>
      </c>
      <c r="P21" s="172">
        <f>'[1]January -2020'!T21</f>
        <v>49</v>
      </c>
      <c r="Q21" s="170">
        <f>'[1]January -2020'!U21</f>
        <v>74</v>
      </c>
      <c r="R21" s="170">
        <f>'[1]January -2020'!V21</f>
        <v>7165</v>
      </c>
      <c r="S21" s="211">
        <f>'[1]January -2020'!W21</f>
        <v>8</v>
      </c>
      <c r="T21" s="475"/>
      <c r="U21" s="171">
        <f>'[1]January -2020'!AB21</f>
        <v>5482705.2000000002</v>
      </c>
      <c r="V21" s="254">
        <f>'[1]January -2020'!AC21</f>
        <v>1948.8000000007451</v>
      </c>
      <c r="W21" s="94">
        <f>'[1]January -2020'!AD21</f>
        <v>2630.8799999998882</v>
      </c>
      <c r="X21" s="94">
        <f>'[1]January -2020'!AE21</f>
        <v>10692188.640000001</v>
      </c>
      <c r="Y21" s="254">
        <f>'[1]January -2020'!AF21</f>
        <v>4920.7200000006706</v>
      </c>
      <c r="Z21" s="94">
        <f>'[1]January -2020'!AG21</f>
        <v>4969.4399999994785</v>
      </c>
      <c r="AA21" s="94">
        <f>'[1]January -2020'!AH21</f>
        <v>9802317.8399999999</v>
      </c>
      <c r="AB21" s="254">
        <f>'[1]January -2020'!AI21</f>
        <v>97.439999999478459</v>
      </c>
      <c r="AC21" s="94">
        <f>'[1]January -2020'!AJ21</f>
        <v>97.439999999478459</v>
      </c>
      <c r="AD21" s="94">
        <f>'[1]January -2020'!AK21</f>
        <v>13150843.439999999</v>
      </c>
      <c r="AE21" s="254">
        <f>'[1]January -2020'!AL21</f>
        <v>5505.359999999404</v>
      </c>
      <c r="AF21" s="94">
        <f>'[1]January -2020'!AM21</f>
        <v>48.719999998807907</v>
      </c>
      <c r="AG21" s="94">
        <f>'[1]January -2020'!AN21</f>
        <v>13134960.719999999</v>
      </c>
      <c r="AH21" s="254">
        <f>'[1]January -2020'!AO21</f>
        <v>584.6399999987334</v>
      </c>
      <c r="AI21" s="94">
        <f>'[1]January -2020'!AP21</f>
        <v>8428.5600000005215</v>
      </c>
      <c r="AJ21" s="94">
        <f>'[1]January -2020'!AQ21</f>
        <v>11995156.319999998</v>
      </c>
      <c r="AK21" s="254">
        <f>'[1]January -2020'!AR21</f>
        <v>5943.8399999979883</v>
      </c>
      <c r="AL21" s="94">
        <f>'[1]January -2020'!AS21</f>
        <v>5797.679999999702</v>
      </c>
      <c r="AM21" s="94">
        <f>'[1]January -2020'!AT21</f>
        <v>10456968.48</v>
      </c>
      <c r="AN21" s="254">
        <f>'[1]January -2020'!AU21</f>
        <v>4336.0800000000745</v>
      </c>
      <c r="AO21" s="295">
        <f>'[1]January -2020'!AV21</f>
        <v>4141.1999999992549</v>
      </c>
      <c r="AP21" s="94">
        <f>'[1]January -2020'!AW21</f>
        <v>10104771.6</v>
      </c>
      <c r="AQ21" s="254">
        <f>'[1]January -2020'!AX21</f>
        <v>5018.160000000149</v>
      </c>
      <c r="AR21" s="94">
        <f>'[1]January -2020'!AY21</f>
        <v>4823.2800000011921</v>
      </c>
      <c r="AS21" s="94">
        <f>'[1]January -2020'!AZ21</f>
        <v>8074755.3599999994</v>
      </c>
      <c r="AT21" s="254">
        <f>'[1]January -2020'!BA21</f>
        <v>3312.9599999999627</v>
      </c>
      <c r="AU21" s="94">
        <f>'[1]January -2020'!BB21</f>
        <v>3361.6800000006333</v>
      </c>
      <c r="AV21" s="94">
        <f>'[1]January -2020'!BC21</f>
        <v>11946241.439999999</v>
      </c>
      <c r="AW21" s="255">
        <f>'[1]January -2020'!BD21</f>
        <v>5407.9199999999255</v>
      </c>
      <c r="AX21" s="256">
        <f>'[1]January -2020'!BE21</f>
        <v>5651.519999999553</v>
      </c>
      <c r="AY21" s="492"/>
      <c r="AZ21" s="95">
        <f>'[1]January -2020'!BJ21</f>
        <v>49562900</v>
      </c>
      <c r="BA21" s="181">
        <f>'[1]January -2020'!BK21</f>
        <v>100</v>
      </c>
      <c r="BB21" s="95">
        <f>'[1]January -2020'!BL21</f>
        <v>0</v>
      </c>
      <c r="BC21" s="95">
        <f>'[1]January -2020'!BM21</f>
        <v>53937200</v>
      </c>
      <c r="BD21" s="248">
        <f>'[1]January -2020'!BN21</f>
        <v>27600</v>
      </c>
      <c r="BE21" s="95">
        <f>'[1]January -2020'!BO21</f>
        <v>0</v>
      </c>
      <c r="BF21" s="95">
        <f>'[1]January -2020'!BP21</f>
        <v>47576000</v>
      </c>
      <c r="BG21" s="248">
        <f>'[1]January -2020'!BQ21</f>
        <v>0</v>
      </c>
      <c r="BH21" s="95">
        <f>'[1]January -2020'!BR21</f>
        <v>37400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'[1]January -2020'!BS21</f>
        <v>4033840</v>
      </c>
      <c r="BT21" s="187">
        <f>'[1]January -2020'!BT21</f>
        <v>4260</v>
      </c>
      <c r="BU21" s="588"/>
      <c r="BV21" s="88">
        <f>'[1]January -2020'!BV21</f>
        <v>0.6</v>
      </c>
      <c r="BW21" s="244">
        <f>'[1]January -2020'!BW21</f>
        <v>-8.0000000000000071E-2</v>
      </c>
      <c r="BX21" s="88">
        <f>'[1]January -2020'!BX21</f>
        <v>-0.06</v>
      </c>
      <c r="BY21" s="89">
        <f>'[1]January -2020'!BY21</f>
        <v>44693</v>
      </c>
      <c r="BZ21" s="193">
        <f>'[1]January -2020'!BZ21</f>
        <v>24</v>
      </c>
      <c r="CA21" s="89">
        <f>'[1]January -2020'!CA21</f>
        <v>39519</v>
      </c>
      <c r="CB21" s="193">
        <f>'[1]January -2020'!CB21</f>
        <v>18</v>
      </c>
      <c r="CC21" s="89">
        <f>'[1]January -2020'!CC21</f>
        <v>13226</v>
      </c>
      <c r="CD21" s="193">
        <f>'[1]January -2020'!CD21</f>
        <v>9</v>
      </c>
      <c r="CE21" s="89">
        <f>'[1]January -2020'!CE21</f>
        <v>16648</v>
      </c>
      <c r="CF21" s="193">
        <f>'[1]January -2020'!CF21</f>
        <v>11</v>
      </c>
      <c r="CG21" s="89">
        <f>'[1]January -2020'!CG21</f>
        <v>19017</v>
      </c>
      <c r="CH21" s="193">
        <f>'[1]January -2020'!CH21</f>
        <v>13</v>
      </c>
      <c r="CI21" s="89">
        <f>'[1]January -2020'!CI21</f>
        <v>40491</v>
      </c>
      <c r="CJ21" s="193">
        <f>'[1]January -2020'!CJ21</f>
        <v>28</v>
      </c>
      <c r="CK21" s="89">
        <f>'[1]January -2020'!CK21</f>
        <v>174944.48</v>
      </c>
      <c r="CL21" s="249">
        <f>'[1]January -2020'!CL21</f>
        <v>81.860000000015134</v>
      </c>
      <c r="CM21" s="89">
        <f>'[1]January -2020'!CM21</f>
        <v>84</v>
      </c>
      <c r="CN21" s="89">
        <f>'[1]January -2020'!CN21</f>
        <v>126350.85</v>
      </c>
      <c r="CO21" s="249">
        <f>'[1]January -2020'!CO21</f>
        <v>104.30000000000291</v>
      </c>
      <c r="CP21" s="89">
        <f>'[1]January -2020'!CP21</f>
        <v>87</v>
      </c>
      <c r="CQ21" s="89">
        <f>'[1]January -2020'!CQ21</f>
        <v>237064.08</v>
      </c>
      <c r="CR21" s="249">
        <f>'[1]January -2020'!CR21</f>
        <v>314.45999999999185</v>
      </c>
      <c r="CS21" s="89">
        <f>'[1]January -2020'!CS21</f>
        <v>378</v>
      </c>
      <c r="CT21" s="89">
        <f>'[1]January -2020'!CT21</f>
        <v>472577</v>
      </c>
      <c r="CU21" s="193">
        <f>'[1]January -2020'!CU21</f>
        <v>165</v>
      </c>
      <c r="CV21" s="516"/>
      <c r="CW21" s="208">
        <f>'[1]January -2020'!CW21</f>
        <v>329.6</v>
      </c>
      <c r="CX21" s="200">
        <f>'[1]January -2020'!CX21</f>
        <v>0</v>
      </c>
      <c r="CY21" s="91">
        <f>'[1]January -2020'!CY21</f>
        <v>1160.8599999999999</v>
      </c>
      <c r="CZ21" s="200">
        <f>'[1]January -2020'!CZ21</f>
        <v>0</v>
      </c>
      <c r="DA21" s="91">
        <f>'[1]January -2020'!DA21</f>
        <v>18643.5</v>
      </c>
      <c r="DB21" s="200">
        <f>'[1]January -2020'!DB21</f>
        <v>16</v>
      </c>
      <c r="DC21" s="91">
        <f>'[1]January -2020'!DC21</f>
        <v>19261</v>
      </c>
      <c r="DD21" s="200">
        <f>'[1]January -2020'!DD21</f>
        <v>14.099999999998545</v>
      </c>
      <c r="DE21" s="91">
        <f>'[1]January -2020'!DE21</f>
        <v>13475</v>
      </c>
      <c r="DF21" s="200">
        <f>'[1]January -2020'!DF21</f>
        <v>11.299999999999272</v>
      </c>
      <c r="DG21" s="91">
        <f>'[1]January -2020'!DG21</f>
        <v>17191.5</v>
      </c>
      <c r="DH21" s="200">
        <f>'[1]January -2020'!DH21</f>
        <v>5.5999999999985448</v>
      </c>
      <c r="DI21" s="91">
        <f>'[1]January -2020'!DI21</f>
        <v>825</v>
      </c>
      <c r="DJ21" s="200">
        <f>'[1]January -2020'!DJ21</f>
        <v>0</v>
      </c>
      <c r="DK21" s="91">
        <f>'[1]January -2020'!DK21</f>
        <v>3570</v>
      </c>
      <c r="DL21" s="200">
        <f>'[1]January -2020'!DL21</f>
        <v>0</v>
      </c>
      <c r="DM21" s="91">
        <f>'[1]January -2020'!DM21</f>
        <v>934</v>
      </c>
      <c r="DN21" s="200">
        <f>'[1]January -2020'!DN21</f>
        <v>5</v>
      </c>
      <c r="DO21" s="91">
        <f>'[1]January -2020'!DO21</f>
        <v>1119</v>
      </c>
      <c r="DP21" s="200">
        <f>'[1]January -2020'!DP21</f>
        <v>5</v>
      </c>
      <c r="DQ21" s="91">
        <f>'[1]January -2020'!DQ21</f>
        <v>16942</v>
      </c>
      <c r="DR21" s="209">
        <f>'[1]January -2020'!DR21</f>
        <v>0</v>
      </c>
      <c r="DS21" s="532"/>
      <c r="DT21" s="213">
        <f>'[1]January -2020'!DT21</f>
        <v>2746285.8</v>
      </c>
      <c r="DU21" s="224">
        <f>'[1]January -2020'!DU21</f>
        <v>1513.0999999996275</v>
      </c>
      <c r="DV21" s="93">
        <f>'[1]January -2020'!DV21</f>
        <v>4521.1000000000004</v>
      </c>
      <c r="DW21" s="218">
        <f>'[1]January -2020'!DW21</f>
        <v>5.1000000000003638</v>
      </c>
      <c r="DX21" s="93">
        <f>'[1]January -2020'!DX21</f>
        <v>1813625</v>
      </c>
      <c r="DY21" s="218">
        <f>'[1]January -2020'!DY21</f>
        <v>1069.6000000000931</v>
      </c>
      <c r="DZ21" s="93">
        <f>'[1]January -2020'!DZ21</f>
        <v>252511.06</v>
      </c>
      <c r="EA21" s="218">
        <f>'[1]January -2020'!EA21</f>
        <v>4.3500000000058208</v>
      </c>
      <c r="EB21" s="93">
        <f>'[1]January -2020'!ED21</f>
        <v>408036.46</v>
      </c>
      <c r="EC21" s="218">
        <f>'[1]January -2020'!EE21</f>
        <v>593.47000000003027</v>
      </c>
      <c r="ED21" s="93">
        <f>'[1]January -2020'!EF21</f>
        <v>86314.1</v>
      </c>
      <c r="EE21" s="232">
        <f>'[1]January -2020'!EG21</f>
        <v>148.40000000000873</v>
      </c>
      <c r="EF21" s="579"/>
      <c r="EG21" s="238">
        <f>'[1]January -2020'!EI21</f>
        <v>6780500</v>
      </c>
      <c r="EH21" s="233">
        <f>'[1]January -2020'!EJ21</f>
        <v>1300</v>
      </c>
      <c r="EI21" s="92">
        <f>'[1]January -2020'!EK21</f>
        <v>598060</v>
      </c>
      <c r="EJ21" s="233">
        <f>'[1]January -2020'!EL21</f>
        <v>240</v>
      </c>
      <c r="EK21" s="92">
        <f>'[1]January -2020'!EM21</f>
        <v>4614100</v>
      </c>
      <c r="EL21" s="233">
        <f>'[1]January -2020'!EN21</f>
        <v>900</v>
      </c>
      <c r="EM21" s="92">
        <f>'[1]January -2020'!EO21</f>
        <v>1988000</v>
      </c>
      <c r="EN21" s="233">
        <f>'[1]January -2020'!EP21</f>
        <v>0</v>
      </c>
      <c r="EO21" s="92">
        <f>'[1]January -2020'!EQ21</f>
        <v>677870</v>
      </c>
      <c r="EP21" s="233">
        <f>'[1]January -2020'!ER21</f>
        <v>120</v>
      </c>
      <c r="EQ21" s="92">
        <f>'[1]January -2020'!ES21</f>
        <v>10714200</v>
      </c>
      <c r="ER21" s="233">
        <f>'[1]January -2020'!ET21</f>
        <v>600</v>
      </c>
      <c r="ES21" s="554"/>
      <c r="ET21" s="287">
        <f>'[1]January -2020'!EV21</f>
        <v>27789.54</v>
      </c>
      <c r="EU21" s="286">
        <f>'[1]January -2020'!$EW$11</f>
        <v>19.5</v>
      </c>
      <c r="EV21" s="285">
        <f>'[1]January -2020'!EX21</f>
        <v>24317.46</v>
      </c>
      <c r="EW21" s="286">
        <f>'[1]January -2020'!EY21</f>
        <v>15.259999999998399</v>
      </c>
      <c r="EX21" s="285">
        <f>'[1]January -2020'!FB21</f>
        <v>43899.95</v>
      </c>
      <c r="EY21" s="286">
        <f>'[1]January -2020'!FA21</f>
        <v>0</v>
      </c>
      <c r="EZ21" s="285">
        <f>'[1]January -2020'!EZ21</f>
        <v>0</v>
      </c>
      <c r="FA21" s="286">
        <f>'[1]January -2020'!FA21</f>
        <v>0</v>
      </c>
      <c r="FB21" s="285">
        <f>'[1]January -2020'!FD21</f>
        <v>20583.25</v>
      </c>
      <c r="FC21" s="288">
        <f>'[1]January -2020'!FE21</f>
        <v>27.680000000000291</v>
      </c>
    </row>
    <row r="22" spans="1:159" ht="30" customHeight="1" x14ac:dyDescent="0.25">
      <c r="A22" s="210">
        <v>43843</v>
      </c>
      <c r="B22" s="212">
        <f>'[1]January -2020'!B22</f>
        <v>0.92</v>
      </c>
      <c r="C22" s="253">
        <f>'[1]January -2020'!E22</f>
        <v>521362</v>
      </c>
      <c r="D22" s="172">
        <f>'[1]January -2020'!F22</f>
        <v>773</v>
      </c>
      <c r="E22" s="170">
        <f>'[1]January -2020'!G22</f>
        <v>773</v>
      </c>
      <c r="F22" s="170">
        <f>'[1]January -2020'!H22</f>
        <v>691526</v>
      </c>
      <c r="G22" s="172">
        <f>'[1]January -2020'!I22</f>
        <v>435</v>
      </c>
      <c r="H22" s="170">
        <f>'[1]January -2020'!J22</f>
        <v>373</v>
      </c>
      <c r="I22" s="170">
        <f>'[1]January -2020'!K22</f>
        <v>22403</v>
      </c>
      <c r="J22" s="172">
        <f>'[1]January -2020'!L22</f>
        <v>13</v>
      </c>
      <c r="K22" s="170">
        <f>'[1]January -2020'!N22</f>
        <v>613182.9</v>
      </c>
      <c r="L22" s="172">
        <f>'[1]January -2020'!O22</f>
        <v>0</v>
      </c>
      <c r="M22" s="170">
        <f>'[1]January -2020'!Q22</f>
        <v>156875</v>
      </c>
      <c r="N22" s="172">
        <f>'[1]January -2020'!R22</f>
        <v>0</v>
      </c>
      <c r="O22" s="170">
        <f>'[1]January -2020'!S22</f>
        <v>94741</v>
      </c>
      <c r="P22" s="172">
        <f>'[1]January -2020'!T22</f>
        <v>57</v>
      </c>
      <c r="Q22" s="170">
        <f>'[1]January -2020'!U22</f>
        <v>78</v>
      </c>
      <c r="R22" s="170">
        <f>'[1]January -2020'!V22</f>
        <v>7174</v>
      </c>
      <c r="S22" s="211">
        <f>'[1]January -2020'!W22</f>
        <v>9</v>
      </c>
      <c r="T22" s="475"/>
      <c r="U22" s="171">
        <f>'[1]January -2020'!AB22</f>
        <v>5484507.8399999999</v>
      </c>
      <c r="V22" s="254">
        <f>'[1]January -2020'!AC22</f>
        <v>1802.6399999996647</v>
      </c>
      <c r="W22" s="94">
        <f>'[1]January -2020'!AD22</f>
        <v>2533.4400000004098</v>
      </c>
      <c r="X22" s="94">
        <f>'[1]January -2020'!AE22</f>
        <v>10697060.640000001</v>
      </c>
      <c r="Y22" s="254">
        <f>'[1]January -2020'!AF22</f>
        <v>4872</v>
      </c>
      <c r="Z22" s="94">
        <f>'[1]January -2020'!AG22</f>
        <v>4920.7199999988079</v>
      </c>
      <c r="AA22" s="94">
        <f>'[1]January -2020'!AH22</f>
        <v>9802415.2800000012</v>
      </c>
      <c r="AB22" s="254">
        <f>'[1]January -2020'!AI22</f>
        <v>97.440000001341105</v>
      </c>
      <c r="AC22" s="94">
        <f>'[1]January -2020'!AJ22</f>
        <v>48.71999999973923</v>
      </c>
      <c r="AD22" s="94">
        <f>'[1]January -2020'!AK22</f>
        <v>13156300.08</v>
      </c>
      <c r="AE22" s="254">
        <f>'[1]January -2020'!AL22</f>
        <v>5456.640000000596</v>
      </c>
      <c r="AF22" s="94">
        <f>'[1]January -2020'!AM22</f>
        <v>48.720000002533197</v>
      </c>
      <c r="AG22" s="94">
        <f>'[1]January -2020'!AN22</f>
        <v>13135447.919999998</v>
      </c>
      <c r="AH22" s="254">
        <f>'[1]January -2020'!AO22</f>
        <v>487.19999999925494</v>
      </c>
      <c r="AI22" s="94">
        <f>'[1]January -2020'!AP22</f>
        <v>8428.5599999986589</v>
      </c>
      <c r="AJ22" s="94">
        <f>'[1]January -2020'!AQ22</f>
        <v>12001538.640000001</v>
      </c>
      <c r="AK22" s="254">
        <f>'[1]January -2020'!AR22</f>
        <v>6382.3200000021607</v>
      </c>
      <c r="AL22" s="94">
        <f>'[1]January -2020'!AS22</f>
        <v>5797.6800000015646</v>
      </c>
      <c r="AM22" s="94">
        <f>'[1]January -2020'!AT22</f>
        <v>10461402</v>
      </c>
      <c r="AN22" s="254">
        <f>'[1]January -2020'!AU22</f>
        <v>4433.519999999553</v>
      </c>
      <c r="AO22" s="295">
        <f>'[1]January -2020'!AV22</f>
        <v>3897.5999999996275</v>
      </c>
      <c r="AP22" s="94">
        <f>'[1]January -2020'!AW22</f>
        <v>10109692.319999998</v>
      </c>
      <c r="AQ22" s="254">
        <f>'[1]January -2020'!AX22</f>
        <v>4920.7199999988079</v>
      </c>
      <c r="AR22" s="94">
        <f>'[1]January -2020'!AY22</f>
        <v>4823.2799999983981</v>
      </c>
      <c r="AS22" s="94">
        <f>'[1]January -2020'!AZ22</f>
        <v>8077873.4400000004</v>
      </c>
      <c r="AT22" s="254">
        <f>'[1]January -2020'!BA22</f>
        <v>3118.0800000010058</v>
      </c>
      <c r="AU22" s="94">
        <f>'[1]January -2020'!BB22</f>
        <v>2874.480000000447</v>
      </c>
      <c r="AV22" s="94">
        <f>'[1]January -2020'!BC22</f>
        <v>11951795.52</v>
      </c>
      <c r="AW22" s="255">
        <f>'[1]January -2020'!BD22</f>
        <v>5554.0800000000745</v>
      </c>
      <c r="AX22" s="256">
        <f>'[1]January -2020'!BE22</f>
        <v>5602.8000000007451</v>
      </c>
      <c r="AY22" s="492"/>
      <c r="AZ22" s="95">
        <f>'[1]January -2020'!BJ22</f>
        <v>49562900</v>
      </c>
      <c r="BA22" s="181">
        <f>'[1]January -2020'!BK22</f>
        <v>0</v>
      </c>
      <c r="BB22" s="95">
        <f>'[1]January -2020'!BL22</f>
        <v>0</v>
      </c>
      <c r="BC22" s="95">
        <f>'[1]January -2020'!BM22</f>
        <v>53965300</v>
      </c>
      <c r="BD22" s="248">
        <f>'[1]January -2020'!BN22</f>
        <v>28100</v>
      </c>
      <c r="BE22" s="95">
        <f>'[1]January -2020'!BO22</f>
        <v>0</v>
      </c>
      <c r="BF22" s="95">
        <f>'[1]January -2020'!BP22</f>
        <v>47576000</v>
      </c>
      <c r="BG22" s="248">
        <f>'[1]January -2020'!BQ22</f>
        <v>0</v>
      </c>
      <c r="BH22" s="95">
        <f>'[1]January -2020'!BR22</f>
        <v>38200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'[1]January -2020'!BS22</f>
        <v>4037440</v>
      </c>
      <c r="BT22" s="187">
        <f>'[1]January -2020'!BT22</f>
        <v>3600</v>
      </c>
      <c r="BU22" s="588"/>
      <c r="BV22" s="88">
        <f>'[1]January -2020'!BV22</f>
        <v>0.75</v>
      </c>
      <c r="BW22" s="244">
        <f>'[1]January -2020'!BW22</f>
        <v>0.15000000000000002</v>
      </c>
      <c r="BX22" s="88">
        <f>'[1]January -2020'!BX22</f>
        <v>0.06</v>
      </c>
      <c r="BY22" s="89">
        <f>'[1]January -2020'!BY22</f>
        <v>44716</v>
      </c>
      <c r="BZ22" s="193">
        <f>'[1]January -2020'!BZ22</f>
        <v>23</v>
      </c>
      <c r="CA22" s="89">
        <f>'[1]January -2020'!CA22</f>
        <v>39538</v>
      </c>
      <c r="CB22" s="193">
        <f>'[1]January -2020'!CB22</f>
        <v>19</v>
      </c>
      <c r="CC22" s="89">
        <f>'[1]January -2020'!CC22</f>
        <v>13235</v>
      </c>
      <c r="CD22" s="193">
        <f>'[1]January -2020'!CD22</f>
        <v>9</v>
      </c>
      <c r="CE22" s="89">
        <f>'[1]January -2020'!CE22</f>
        <v>16659</v>
      </c>
      <c r="CF22" s="193">
        <f>'[1]January -2020'!CF22</f>
        <v>11</v>
      </c>
      <c r="CG22" s="89">
        <f>'[1]January -2020'!CG22</f>
        <v>19028</v>
      </c>
      <c r="CH22" s="193">
        <f>'[1]January -2020'!CH22</f>
        <v>11</v>
      </c>
      <c r="CI22" s="89">
        <f>'[1]January -2020'!CI22</f>
        <v>40519</v>
      </c>
      <c r="CJ22" s="193">
        <f>'[1]January -2020'!CJ22</f>
        <v>28</v>
      </c>
      <c r="CK22" s="89">
        <f>'[1]January -2020'!CK22</f>
        <v>175028.4</v>
      </c>
      <c r="CL22" s="249">
        <f>'[1]January -2020'!CL22</f>
        <v>83.919999999983702</v>
      </c>
      <c r="CM22" s="89">
        <f>'[1]January -2020'!CM22</f>
        <v>80</v>
      </c>
      <c r="CN22" s="89">
        <f>'[1]January -2020'!CN22</f>
        <v>126446.16</v>
      </c>
      <c r="CO22" s="249">
        <f>'[1]January -2020'!CO22</f>
        <v>95.309999999997672</v>
      </c>
      <c r="CP22" s="89">
        <f>'[1]January -2020'!CP22</f>
        <v>85</v>
      </c>
      <c r="CQ22" s="89">
        <f>'[1]January -2020'!CQ22</f>
        <v>237413.8</v>
      </c>
      <c r="CR22" s="249">
        <f>'[1]January -2020'!CR22</f>
        <v>349.72000000000116</v>
      </c>
      <c r="CS22" s="89">
        <f>'[1]January -2020'!CS22</f>
        <v>380</v>
      </c>
      <c r="CT22" s="89">
        <f>'[1]January -2020'!CT22</f>
        <v>472745</v>
      </c>
      <c r="CU22" s="193">
        <f>'[1]January -2020'!CU22</f>
        <v>168</v>
      </c>
      <c r="CV22" s="516"/>
      <c r="CW22" s="208">
        <f>'[1]January -2020'!CW22</f>
        <v>329.6</v>
      </c>
      <c r="CX22" s="200">
        <f>'[1]January -2020'!CX22</f>
        <v>0</v>
      </c>
      <c r="CY22" s="91">
        <f>'[1]January -2020'!CY22</f>
        <v>1160.8599999999999</v>
      </c>
      <c r="CZ22" s="200">
        <f>'[1]January -2020'!CZ22</f>
        <v>0</v>
      </c>
      <c r="DA22" s="91">
        <f>'[1]January -2020'!DA22</f>
        <v>18658.400000000001</v>
      </c>
      <c r="DB22" s="200">
        <f>'[1]January -2020'!DB22</f>
        <v>14.900000000001455</v>
      </c>
      <c r="DC22" s="91">
        <f>'[1]January -2020'!DC22</f>
        <v>19273.400000000001</v>
      </c>
      <c r="DD22" s="200">
        <f>'[1]January -2020'!DD22</f>
        <v>12.400000000001455</v>
      </c>
      <c r="DE22" s="91">
        <f>'[1]January -2020'!DE22</f>
        <v>13485.7</v>
      </c>
      <c r="DF22" s="200">
        <f>'[1]January -2020'!DF22</f>
        <v>10.700000000000728</v>
      </c>
      <c r="DG22" s="91">
        <f>'[1]January -2020'!DG22</f>
        <v>17196.5</v>
      </c>
      <c r="DH22" s="200">
        <f>'[1]January -2020'!DH22</f>
        <v>5</v>
      </c>
      <c r="DI22" s="91">
        <f>'[1]January -2020'!DI22</f>
        <v>825</v>
      </c>
      <c r="DJ22" s="200">
        <f>'[1]January -2020'!DJ22</f>
        <v>0</v>
      </c>
      <c r="DK22" s="91">
        <f>'[1]January -2020'!DK22</f>
        <v>3570</v>
      </c>
      <c r="DL22" s="200">
        <f>'[1]January -2020'!DL22</f>
        <v>0</v>
      </c>
      <c r="DM22" s="91">
        <f>'[1]January -2020'!DM22</f>
        <v>939</v>
      </c>
      <c r="DN22" s="200">
        <f>'[1]January -2020'!DN22</f>
        <v>5</v>
      </c>
      <c r="DO22" s="91">
        <f>'[1]January -2020'!DO22</f>
        <v>1123</v>
      </c>
      <c r="DP22" s="200">
        <f>'[1]January -2020'!DP22</f>
        <v>4</v>
      </c>
      <c r="DQ22" s="91">
        <f>'[1]January -2020'!DQ22</f>
        <v>16942</v>
      </c>
      <c r="DR22" s="209">
        <f>'[1]January -2020'!DR22</f>
        <v>0</v>
      </c>
      <c r="DS22" s="532"/>
      <c r="DT22" s="213">
        <f>'[1]January -2020'!DT22</f>
        <v>2747693.7</v>
      </c>
      <c r="DU22" s="224">
        <f>'[1]January -2020'!DU22</f>
        <v>1407.9000000003725</v>
      </c>
      <c r="DV22" s="93">
        <f>'[1]January -2020'!DV22</f>
        <v>4525.6000000000004</v>
      </c>
      <c r="DW22" s="218">
        <f>'[1]January -2020'!DW22</f>
        <v>4.5</v>
      </c>
      <c r="DX22" s="93">
        <f>'[1]January -2020'!DX22</f>
        <v>1814651.2</v>
      </c>
      <c r="DY22" s="218">
        <f>'[1]January -2020'!DY22</f>
        <v>1026.1999999999534</v>
      </c>
      <c r="DZ22" s="93">
        <f>'[1]January -2020'!DZ22</f>
        <v>252515.16</v>
      </c>
      <c r="EA22" s="218">
        <f>'[1]January -2020'!EA22</f>
        <v>4.1000000000058208</v>
      </c>
      <c r="EB22" s="93">
        <f>'[1]January -2020'!ED22</f>
        <v>408583.73</v>
      </c>
      <c r="EC22" s="218">
        <f>'[1]January -2020'!EE22</f>
        <v>547.26999999996042</v>
      </c>
      <c r="ED22" s="93">
        <f>'[1]January -2020'!EF22</f>
        <v>86456.4</v>
      </c>
      <c r="EE22" s="232">
        <f>'[1]January -2020'!EG22</f>
        <v>142.29999999998836</v>
      </c>
      <c r="EF22" s="579"/>
      <c r="EG22" s="238">
        <f>'[1]January -2020'!EI22</f>
        <v>6781700</v>
      </c>
      <c r="EH22" s="233">
        <f>'[1]January -2020'!EJ22</f>
        <v>1200</v>
      </c>
      <c r="EI22" s="92">
        <f>'[1]January -2020'!EK22</f>
        <v>598300</v>
      </c>
      <c r="EJ22" s="233">
        <f>'[1]January -2020'!EL22</f>
        <v>240</v>
      </c>
      <c r="EK22" s="92">
        <f>'[1]January -2020'!EM22</f>
        <v>4614800</v>
      </c>
      <c r="EL22" s="233">
        <f>'[1]January -2020'!EN22</f>
        <v>700</v>
      </c>
      <c r="EM22" s="92">
        <f>'[1]January -2020'!EO22</f>
        <v>1988100</v>
      </c>
      <c r="EN22" s="233">
        <f>'[1]January -2020'!EP22</f>
        <v>100</v>
      </c>
      <c r="EO22" s="92">
        <f>'[1]January -2020'!EQ22</f>
        <v>677980</v>
      </c>
      <c r="EP22" s="233">
        <f>'[1]January -2020'!ER22</f>
        <v>110</v>
      </c>
      <c r="EQ22" s="92">
        <f>'[1]January -2020'!ES22</f>
        <v>10715200</v>
      </c>
      <c r="ER22" s="233">
        <f>'[1]January -2020'!ET22</f>
        <v>1000</v>
      </c>
      <c r="ES22" s="554"/>
      <c r="ET22" s="287">
        <f>'[1]January -2020'!EV22</f>
        <v>27807.8</v>
      </c>
      <c r="EU22" s="286">
        <f>'[1]January -2020'!$EW$11</f>
        <v>19.5</v>
      </c>
      <c r="EV22" s="285">
        <f>'[1]January -2020'!EX22</f>
        <v>24331.97</v>
      </c>
      <c r="EW22" s="286">
        <f>'[1]January -2020'!EY22</f>
        <v>14.510000000002037</v>
      </c>
      <c r="EX22" s="285">
        <f>'[1]January -2020'!FB22</f>
        <v>43936</v>
      </c>
      <c r="EY22" s="286">
        <f>'[1]January -2020'!FA22</f>
        <v>0</v>
      </c>
      <c r="EZ22" s="285">
        <f>'[1]January -2020'!EZ22</f>
        <v>0</v>
      </c>
      <c r="FA22" s="286">
        <f>'[1]January -2020'!FA22</f>
        <v>0</v>
      </c>
      <c r="FB22" s="285">
        <f>'[1]January -2020'!FD22</f>
        <v>20612.169999999998</v>
      </c>
      <c r="FC22" s="288">
        <f>'[1]January -2020'!FE22</f>
        <v>28.919999999998254</v>
      </c>
    </row>
    <row r="23" spans="1:159" ht="30" customHeight="1" x14ac:dyDescent="0.25">
      <c r="A23" s="210">
        <v>43844</v>
      </c>
      <c r="B23" s="212">
        <f>'[1]January -2020'!B23</f>
        <v>0.92</v>
      </c>
      <c r="C23" s="253">
        <f>'[1]January -2020'!E23</f>
        <v>521839</v>
      </c>
      <c r="D23" s="172">
        <f>'[1]January -2020'!F23</f>
        <v>536</v>
      </c>
      <c r="E23" s="170">
        <f>'[1]January -2020'!G23</f>
        <v>536</v>
      </c>
      <c r="F23" s="170">
        <f>'[1]January -2020'!H23</f>
        <v>691926</v>
      </c>
      <c r="G23" s="172">
        <f>'[1]January -2020'!I23</f>
        <v>400</v>
      </c>
      <c r="H23" s="170">
        <f>'[1]January -2020'!J23</f>
        <v>424</v>
      </c>
      <c r="I23" s="170">
        <f>'[1]January -2020'!K23</f>
        <v>22417</v>
      </c>
      <c r="J23" s="172">
        <f>'[1]January -2020'!L23</f>
        <v>14</v>
      </c>
      <c r="K23" s="170">
        <f>'[1]January -2020'!N23</f>
        <v>613182.9</v>
      </c>
      <c r="L23" s="172">
        <f>'[1]January -2020'!O23</f>
        <v>0</v>
      </c>
      <c r="M23" s="170">
        <f>'[1]January -2020'!Q23</f>
        <v>156875</v>
      </c>
      <c r="N23" s="172">
        <f>'[1]January -2020'!R23</f>
        <v>0</v>
      </c>
      <c r="O23" s="170">
        <f>'[1]January -2020'!S23</f>
        <v>94779</v>
      </c>
      <c r="P23" s="172">
        <f>'[1]January -2020'!T23</f>
        <v>38</v>
      </c>
      <c r="Q23" s="170">
        <f>'[1]January -2020'!U23</f>
        <v>84</v>
      </c>
      <c r="R23" s="170">
        <f>'[1]January -2020'!V23</f>
        <v>7174</v>
      </c>
      <c r="S23" s="211">
        <f>'[1]January -2020'!W23</f>
        <v>0</v>
      </c>
      <c r="T23" s="475"/>
      <c r="U23" s="171">
        <f>'[1]January -2020'!AB23</f>
        <v>5486213.04</v>
      </c>
      <c r="V23" s="254">
        <f>'[1]January -2020'!AC23</f>
        <v>1705.2000000001863</v>
      </c>
      <c r="W23" s="94">
        <f>'[1]January -2020'!AD23</f>
        <v>2582.1599999992177</v>
      </c>
      <c r="X23" s="94">
        <f>'[1]January -2020'!AE23</f>
        <v>10701981.359999999</v>
      </c>
      <c r="Y23" s="254">
        <f>'[1]January -2020'!AF23</f>
        <v>4920.7199999988079</v>
      </c>
      <c r="Z23" s="94">
        <f>'[1]January -2020'!AG23</f>
        <v>5018.160000000149</v>
      </c>
      <c r="AA23" s="94">
        <f>'[1]January -2020'!AH23</f>
        <v>9802561.4399999995</v>
      </c>
      <c r="AB23" s="254">
        <f>'[1]January -2020'!AI23</f>
        <v>146.15999999828637</v>
      </c>
      <c r="AC23" s="94">
        <f>'[1]January -2020'!AJ23</f>
        <v>6820.8000000007451</v>
      </c>
      <c r="AD23" s="94">
        <f>'[1]January -2020'!AK23</f>
        <v>13161074.640000001</v>
      </c>
      <c r="AE23" s="254">
        <f>'[1]January -2020'!AL23</f>
        <v>4774.5600000005215</v>
      </c>
      <c r="AF23" s="94">
        <f>'[1]January -2020'!AM23</f>
        <v>48.719999998807907</v>
      </c>
      <c r="AG23" s="94">
        <f>'[1]January -2020'!AN23</f>
        <v>13136081.280000001</v>
      </c>
      <c r="AH23" s="254">
        <f>'[1]January -2020'!AO23</f>
        <v>633.36000000312924</v>
      </c>
      <c r="AI23" s="94">
        <f>'[1]January -2020'!AP23</f>
        <v>2241.1199999991804</v>
      </c>
      <c r="AJ23" s="94">
        <f>'[1]January -2020'!AQ23</f>
        <v>12007774.799999999</v>
      </c>
      <c r="AK23" s="254">
        <f>'[1]January -2020'!AR23</f>
        <v>6236.1599999982864</v>
      </c>
      <c r="AL23" s="94">
        <f>'[1]January -2020'!AS23</f>
        <v>5846.4000000003725</v>
      </c>
      <c r="AM23" s="94">
        <f>'[1]January -2020'!AT23</f>
        <v>10465640.640000001</v>
      </c>
      <c r="AN23" s="254">
        <f>'[1]January -2020'!AU23</f>
        <v>4238.640000000596</v>
      </c>
      <c r="AO23" s="94">
        <f>'[1]January -2020'!AV23</f>
        <v>3995.0400000009686</v>
      </c>
      <c r="AP23" s="94">
        <f>'[1]January -2020'!AW23</f>
        <v>10114661.76</v>
      </c>
      <c r="AQ23" s="254">
        <f>'[1]January -2020'!AX23</f>
        <v>4969.4400000013411</v>
      </c>
      <c r="AR23" s="94">
        <f>'[1]January -2020'!AY23</f>
        <v>4823.2800000011921</v>
      </c>
      <c r="AS23" s="94">
        <f>'[1]January -2020'!AZ23</f>
        <v>8081235.1199999992</v>
      </c>
      <c r="AT23" s="254">
        <f>'[1]January -2020'!BA23</f>
        <v>3361.6799999987707</v>
      </c>
      <c r="AU23" s="94">
        <f>'[1]January -2020'!BB23</f>
        <v>2971.9199999999255</v>
      </c>
      <c r="AV23" s="94">
        <f>'[1]January -2020'!BC23</f>
        <v>11957300.880000001</v>
      </c>
      <c r="AW23" s="255">
        <f>'[1]January -2020'!BD23</f>
        <v>5505.3600000012666</v>
      </c>
      <c r="AX23" s="256">
        <f>'[1]January -2020'!BE23</f>
        <v>5554.0800000000745</v>
      </c>
      <c r="AY23" s="492"/>
      <c r="AZ23" s="95">
        <f>'[1]January -2020'!BJ23</f>
        <v>49562900</v>
      </c>
      <c r="BA23" s="181">
        <f>'[1]January -2020'!BK23</f>
        <v>0</v>
      </c>
      <c r="BB23" s="95">
        <f>'[1]January -2020'!BL23</f>
        <v>37000</v>
      </c>
      <c r="BC23" s="95">
        <f>'[1]January -2020'!BM23</f>
        <v>53988000</v>
      </c>
      <c r="BD23" s="248">
        <f>'[1]January -2020'!BN23</f>
        <v>22700</v>
      </c>
      <c r="BE23" s="95">
        <f>'[1]January -2020'!BO23</f>
        <v>0</v>
      </c>
      <c r="BF23" s="95">
        <f>'[1]January -2020'!BP23</f>
        <v>47576000</v>
      </c>
      <c r="BG23" s="248">
        <f>'[1]January -2020'!BQ23</f>
        <v>0</v>
      </c>
      <c r="BH23" s="95">
        <f>'[1]January -2020'!BR23</f>
        <v>8300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'[1]January -2020'!BS23</f>
        <v>4038170</v>
      </c>
      <c r="BT23" s="187">
        <f>'[1]January -2020'!BT23</f>
        <v>730</v>
      </c>
      <c r="BU23" s="588"/>
      <c r="BV23" s="88">
        <f>'[1]January -2020'!BV23</f>
        <v>0.66</v>
      </c>
      <c r="BW23" s="244">
        <f>'[1]January -2020'!BW23</f>
        <v>-8.9999999999999969E-2</v>
      </c>
      <c r="BX23" s="88">
        <f>'[1]January -2020'!BX23</f>
        <v>-5.0000000000000044E-2</v>
      </c>
      <c r="BY23" s="89">
        <f>'[1]January -2020'!BY23</f>
        <v>44740</v>
      </c>
      <c r="BZ23" s="193">
        <f>'[1]January -2020'!BZ23</f>
        <v>24</v>
      </c>
      <c r="CA23" s="89">
        <f>'[1]January -2020'!CA23</f>
        <v>39556</v>
      </c>
      <c r="CB23" s="193">
        <f>'[1]January -2020'!CB23</f>
        <v>18</v>
      </c>
      <c r="CC23" s="89">
        <f>'[1]January -2020'!CC23</f>
        <v>13242</v>
      </c>
      <c r="CD23" s="193">
        <f>'[1]January -2020'!CD23</f>
        <v>7</v>
      </c>
      <c r="CE23" s="89">
        <f>'[1]January -2020'!CE23</f>
        <v>16669</v>
      </c>
      <c r="CF23" s="193">
        <f>'[1]January -2020'!CF23</f>
        <v>10</v>
      </c>
      <c r="CG23" s="89">
        <f>'[1]January -2020'!CG23</f>
        <v>19040</v>
      </c>
      <c r="CH23" s="193">
        <f>'[1]January -2020'!CH23</f>
        <v>12</v>
      </c>
      <c r="CI23" s="89">
        <f>'[1]January -2020'!CI23</f>
        <v>40535</v>
      </c>
      <c r="CJ23" s="193">
        <f>'[1]January -2020'!CJ23</f>
        <v>16</v>
      </c>
      <c r="CK23" s="89">
        <f>'[1]January -2020'!CK23</f>
        <v>175113.5</v>
      </c>
      <c r="CL23" s="249">
        <f>'[1]January -2020'!CL23</f>
        <v>85.100000000005821</v>
      </c>
      <c r="CM23" s="89">
        <f>'[1]January -2020'!CM23</f>
        <v>84</v>
      </c>
      <c r="CN23" s="89">
        <f>'[1]January -2020'!CN23</f>
        <v>126544.9</v>
      </c>
      <c r="CO23" s="249">
        <f>'[1]January -2020'!CO23</f>
        <v>98.739999999990687</v>
      </c>
      <c r="CP23" s="89">
        <f>'[1]January -2020'!CP23</f>
        <v>85</v>
      </c>
      <c r="CQ23" s="89">
        <f>'[1]January -2020'!CQ23</f>
        <v>237764.5</v>
      </c>
      <c r="CR23" s="249">
        <f>'[1]January -2020'!CR23</f>
        <v>350.70000000001164</v>
      </c>
      <c r="CS23" s="89">
        <f>'[1]January -2020'!CS23</f>
        <v>380</v>
      </c>
      <c r="CT23" s="89">
        <f>'[1]January -2020'!CT23</f>
        <v>472917</v>
      </c>
      <c r="CU23" s="193">
        <f>'[1]January -2020'!CU23</f>
        <v>172</v>
      </c>
      <c r="CV23" s="516"/>
      <c r="CW23" s="208">
        <f>'[1]January -2020'!CW23</f>
        <v>329.6</v>
      </c>
      <c r="CX23" s="200">
        <f>'[1]January -2020'!CX23</f>
        <v>0</v>
      </c>
      <c r="CY23" s="91">
        <f>'[1]January -2020'!CY23</f>
        <v>1160.8599999999999</v>
      </c>
      <c r="CZ23" s="200">
        <f>'[1]January -2020'!CZ23</f>
        <v>0</v>
      </c>
      <c r="DA23" s="91">
        <f>'[1]January -2020'!DA23</f>
        <v>18671.8</v>
      </c>
      <c r="DB23" s="200">
        <f>'[1]January -2020'!DB23</f>
        <v>13.399999999997817</v>
      </c>
      <c r="DC23" s="91">
        <f>'[1]January -2020'!DC23</f>
        <v>19285.900000000001</v>
      </c>
      <c r="DD23" s="200">
        <f>'[1]January -2020'!DD23</f>
        <v>12.5</v>
      </c>
      <c r="DE23" s="91">
        <f>'[1]January -2020'!DE23</f>
        <v>13496.8</v>
      </c>
      <c r="DF23" s="200">
        <f>'[1]January -2020'!DF23</f>
        <v>11.099999999998545</v>
      </c>
      <c r="DG23" s="91">
        <f>'[1]January -2020'!DG23</f>
        <v>17201.8</v>
      </c>
      <c r="DH23" s="200">
        <f>'[1]January -2020'!DH23</f>
        <v>5.2999999999992724</v>
      </c>
      <c r="DI23" s="91">
        <f>'[1]January -2020'!DI23</f>
        <v>825</v>
      </c>
      <c r="DJ23" s="200">
        <f>'[1]January -2020'!DJ23</f>
        <v>0</v>
      </c>
      <c r="DK23" s="91">
        <f>'[1]January -2020'!DK23</f>
        <v>3570</v>
      </c>
      <c r="DL23" s="200">
        <f>'[1]January -2020'!DL23</f>
        <v>0</v>
      </c>
      <c r="DM23" s="91">
        <f>'[1]January -2020'!DM23</f>
        <v>943</v>
      </c>
      <c r="DN23" s="200">
        <f>'[1]January -2020'!DN23</f>
        <v>4</v>
      </c>
      <c r="DO23" s="91">
        <f>'[1]January -2020'!DO23</f>
        <v>1127</v>
      </c>
      <c r="DP23" s="200">
        <f>'[1]January -2020'!DP23</f>
        <v>4</v>
      </c>
      <c r="DQ23" s="91">
        <f>'[1]January -2020'!DQ23</f>
        <v>16942</v>
      </c>
      <c r="DR23" s="209">
        <f>'[1]January -2020'!DR23</f>
        <v>0</v>
      </c>
      <c r="DS23" s="532"/>
      <c r="DT23" s="213">
        <f>'[1]January -2020'!DT23</f>
        <v>2749126.9</v>
      </c>
      <c r="DU23" s="224">
        <f>'[1]January -2020'!DU23</f>
        <v>1433.1999999997206</v>
      </c>
      <c r="DV23" s="93">
        <f>'[1]January -2020'!DV23</f>
        <v>4530.1000000000004</v>
      </c>
      <c r="DW23" s="218">
        <f>'[1]January -2020'!DW23</f>
        <v>4.5</v>
      </c>
      <c r="DX23" s="93">
        <f>'[1]January -2020'!DX23</f>
        <v>1815669.4</v>
      </c>
      <c r="DY23" s="218">
        <f>'[1]January -2020'!DY23</f>
        <v>1018.1999999999534</v>
      </c>
      <c r="DZ23" s="93">
        <f>'[1]January -2020'!DZ23</f>
        <v>252519.5</v>
      </c>
      <c r="EA23" s="218">
        <f>'[1]January -2020'!EA23</f>
        <v>4.3399999999965075</v>
      </c>
      <c r="EB23" s="93">
        <f>'[1]January -2020'!ED23</f>
        <v>409180.5</v>
      </c>
      <c r="EC23" s="218">
        <f>'[1]January -2020'!EE23</f>
        <v>596.77000000001863</v>
      </c>
      <c r="ED23" s="93">
        <f>'[1]January -2020'!EF23</f>
        <v>86602.9</v>
      </c>
      <c r="EE23" s="232">
        <f>'[1]January -2020'!EG23</f>
        <v>146.5</v>
      </c>
      <c r="EF23" s="579"/>
      <c r="EG23" s="238">
        <f>'[1]January -2020'!EI23</f>
        <v>6782800</v>
      </c>
      <c r="EH23" s="233">
        <f>'[1]January -2020'!EJ23</f>
        <v>1100</v>
      </c>
      <c r="EI23" s="92">
        <f>'[1]January -2020'!EK23</f>
        <v>598540</v>
      </c>
      <c r="EJ23" s="233">
        <f>'[1]January -2020'!EL23</f>
        <v>240</v>
      </c>
      <c r="EK23" s="92">
        <f>'[1]January -2020'!EM23</f>
        <v>4615600</v>
      </c>
      <c r="EL23" s="233">
        <f>'[1]January -2020'!EN23</f>
        <v>800</v>
      </c>
      <c r="EM23" s="92">
        <f>'[1]January -2020'!EO23</f>
        <v>1988100</v>
      </c>
      <c r="EN23" s="233">
        <f>'[1]January -2020'!EP23</f>
        <v>0</v>
      </c>
      <c r="EO23" s="92">
        <f>'[1]January -2020'!EQ23</f>
        <v>678080</v>
      </c>
      <c r="EP23" s="233">
        <f>'[1]January -2020'!ER23</f>
        <v>100</v>
      </c>
      <c r="EQ23" s="92">
        <f>'[1]January -2020'!ES23</f>
        <v>10715600</v>
      </c>
      <c r="ER23" s="233">
        <f>'[1]January -2020'!ET23</f>
        <v>400</v>
      </c>
      <c r="ES23" s="554"/>
      <c r="ET23" s="287">
        <f>'[1]January -2020'!EV23</f>
        <v>27824.3</v>
      </c>
      <c r="EU23" s="286">
        <f>'[1]January -2020'!$EW$11</f>
        <v>19.5</v>
      </c>
      <c r="EV23" s="285">
        <f>'[1]January -2020'!EX23</f>
        <v>24346</v>
      </c>
      <c r="EW23" s="286">
        <f>'[1]January -2020'!EY23</f>
        <v>14.029999999998836</v>
      </c>
      <c r="EX23" s="285">
        <f>'[1]January -2020'!FB23</f>
        <v>43972.800000000003</v>
      </c>
      <c r="EY23" s="286">
        <f>'[1]January -2020'!FA23</f>
        <v>0</v>
      </c>
      <c r="EZ23" s="285">
        <f>'[1]January -2020'!EZ23</f>
        <v>0</v>
      </c>
      <c r="FA23" s="286">
        <f>'[1]January -2020'!FA23</f>
        <v>0</v>
      </c>
      <c r="FB23" s="285">
        <f>'[1]January -2020'!FD23</f>
        <v>20643.5</v>
      </c>
      <c r="FC23" s="288">
        <f>'[1]January -2020'!FE23</f>
        <v>31.330000000001746</v>
      </c>
    </row>
    <row r="24" spans="1:159" ht="30" customHeight="1" x14ac:dyDescent="0.25">
      <c r="A24" s="210">
        <v>43845</v>
      </c>
      <c r="B24" s="212">
        <f>'[1]January -2020'!B24</f>
        <v>0.86</v>
      </c>
      <c r="C24" s="253">
        <f>'[1]January -2020'!E24</f>
        <v>522311</v>
      </c>
      <c r="D24" s="172">
        <f>'[1]January -2020'!F24</f>
        <v>519</v>
      </c>
      <c r="E24" s="170">
        <f>'[1]January -2020'!G24</f>
        <v>519</v>
      </c>
      <c r="F24" s="170">
        <f>'[1]January -2020'!H24</f>
        <v>692340</v>
      </c>
      <c r="G24" s="172">
        <f>'[1]January -2020'!I24</f>
        <v>414</v>
      </c>
      <c r="H24" s="170">
        <f>'[1]January -2020'!J24</f>
        <v>422</v>
      </c>
      <c r="I24" s="170">
        <f>'[1]January -2020'!K24</f>
        <v>22430</v>
      </c>
      <c r="J24" s="172">
        <f>'[1]January -2020'!L24</f>
        <v>13</v>
      </c>
      <c r="K24" s="170">
        <f>'[1]January -2020'!N24</f>
        <v>613238.4</v>
      </c>
      <c r="L24" s="172">
        <f>'[1]January -2020'!O24</f>
        <v>55.5</v>
      </c>
      <c r="M24" s="170">
        <f>'[1]January -2020'!Q24</f>
        <v>156875</v>
      </c>
      <c r="N24" s="172">
        <f>'[1]January -2020'!R24</f>
        <v>0</v>
      </c>
      <c r="O24" s="170">
        <f>'[1]January -2020'!S24</f>
        <v>94818</v>
      </c>
      <c r="P24" s="172">
        <f>'[1]January -2020'!T24</f>
        <v>39</v>
      </c>
      <c r="Q24" s="170">
        <f>'[1]January -2020'!U24</f>
        <v>174</v>
      </c>
      <c r="R24" s="170">
        <f>'[1]January -2020'!V24</f>
        <v>7174</v>
      </c>
      <c r="S24" s="211">
        <f>'[1]January -2020'!W24</f>
        <v>0</v>
      </c>
      <c r="T24" s="475"/>
      <c r="U24" s="171">
        <f>'[1]January -2020'!AB24</f>
        <v>5487918.2400000002</v>
      </c>
      <c r="V24" s="254">
        <f>'[1]January -2020'!AC24</f>
        <v>1705.2000000001863</v>
      </c>
      <c r="W24" s="94">
        <f>'[1]January -2020'!AD24</f>
        <v>2630.8800000008196</v>
      </c>
      <c r="X24" s="94">
        <f>'[1]January -2020'!AE24</f>
        <v>10706950.799999999</v>
      </c>
      <c r="Y24" s="254">
        <f>'[1]January -2020'!AF24</f>
        <v>4969.4399999994785</v>
      </c>
      <c r="Z24" s="94">
        <f>'[1]January -2020'!AG24</f>
        <v>5164.320000000298</v>
      </c>
      <c r="AA24" s="94">
        <f>'[1]January -2020'!AH24</f>
        <v>9802707.5999999996</v>
      </c>
      <c r="AB24" s="254">
        <f>'[1]January -2020'!AI24</f>
        <v>146.16000000014901</v>
      </c>
      <c r="AC24" s="94">
        <f>'[1]January -2020'!AJ24</f>
        <v>8720.8799999989569</v>
      </c>
      <c r="AD24" s="94">
        <f>'[1]January -2020'!AK24</f>
        <v>13165020.959999999</v>
      </c>
      <c r="AE24" s="254">
        <f>'[1]January -2020'!AL24</f>
        <v>3946.3199999984354</v>
      </c>
      <c r="AF24" s="94">
        <f>'[1]January -2020'!AM24</f>
        <v>48.720000000670552</v>
      </c>
      <c r="AG24" s="94">
        <f>'[1]January -2020'!AN24</f>
        <v>13136714.640000001</v>
      </c>
      <c r="AH24" s="254">
        <f>'[1]January -2020'!AO24</f>
        <v>633.35999999940395</v>
      </c>
      <c r="AI24" s="94">
        <f>'[1]January -2020'!AP24</f>
        <v>974.40000000037253</v>
      </c>
      <c r="AJ24" s="94">
        <f>'[1]January -2020'!AQ24</f>
        <v>12014205.84</v>
      </c>
      <c r="AK24" s="254">
        <f>'[1]January -2020'!AR24</f>
        <v>6431.0400000009686</v>
      </c>
      <c r="AL24" s="94">
        <f>'[1]January -2020'!AS24</f>
        <v>5992.5599999986589</v>
      </c>
      <c r="AM24" s="94">
        <f>'[1]January -2020'!AT24</f>
        <v>10470171.6</v>
      </c>
      <c r="AN24" s="254">
        <f>'[1]January -2020'!AU24</f>
        <v>4530.9599999990314</v>
      </c>
      <c r="AO24" s="94">
        <f>'[1]January -2020'!AV24</f>
        <v>4092.480000000447</v>
      </c>
      <c r="AP24" s="94">
        <f>'[1]January -2020'!AW24</f>
        <v>10119679.92</v>
      </c>
      <c r="AQ24" s="254">
        <f>'[1]January -2020'!AX24</f>
        <v>5018.160000000149</v>
      </c>
      <c r="AR24" s="94">
        <f>'[1]January -2020'!AY24</f>
        <v>4872</v>
      </c>
      <c r="AS24" s="94">
        <f>'[1]January -2020'!AZ24</f>
        <v>8084937.8399999999</v>
      </c>
      <c r="AT24" s="254">
        <f>'[1]January -2020'!BA24</f>
        <v>3702.7200000006706</v>
      </c>
      <c r="AU24" s="94">
        <f>'[1]January -2020'!BB24</f>
        <v>3410.4000000003725</v>
      </c>
      <c r="AV24" s="94">
        <f>'[1]January -2020'!BC24</f>
        <v>11962806.24</v>
      </c>
      <c r="AW24" s="255">
        <f>'[1]January -2020'!BD24</f>
        <v>5505.359999999404</v>
      </c>
      <c r="AX24" s="256">
        <f>'[1]January -2020'!BE24</f>
        <v>5700.2400000002235</v>
      </c>
      <c r="AY24" s="492"/>
      <c r="AZ24" s="95">
        <f>'[1]January -2020'!BJ24</f>
        <v>49563000</v>
      </c>
      <c r="BA24" s="181">
        <f>'[1]January -2020'!BK24</f>
        <v>100</v>
      </c>
      <c r="BB24" s="95">
        <f>'[1]January -2020'!BL24</f>
        <v>49600</v>
      </c>
      <c r="BC24" s="95">
        <f>'[1]January -2020'!BM24</f>
        <v>54007900</v>
      </c>
      <c r="BD24" s="248">
        <f>'[1]January -2020'!BN24</f>
        <v>19900</v>
      </c>
      <c r="BE24" s="95">
        <f>'[1]January -2020'!BO24</f>
        <v>0</v>
      </c>
      <c r="BF24" s="95">
        <f>'[1]January -2020'!BP24</f>
        <v>47576000</v>
      </c>
      <c r="BG24" s="248">
        <f>'[1]January -2020'!BQ24</f>
        <v>0</v>
      </c>
      <c r="BH24" s="95">
        <f>'[1]January -2020'!BR24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'[1]January -2020'!BS24</f>
        <v>4040560</v>
      </c>
      <c r="BT24" s="187">
        <f>'[1]January -2020'!BT24</f>
        <v>2390</v>
      </c>
      <c r="BU24" s="588"/>
      <c r="BV24" s="88">
        <f>'[1]January -2020'!BV24</f>
        <v>0.57999999999999996</v>
      </c>
      <c r="BW24" s="244">
        <f>'[1]January -2020'!BW24</f>
        <v>-8.0000000000000071E-2</v>
      </c>
      <c r="BX24" s="88">
        <f>'[1]January -2020'!BX24</f>
        <v>-0.06</v>
      </c>
      <c r="BY24" s="89">
        <f>'[1]January -2020'!BY24</f>
        <v>44750</v>
      </c>
      <c r="BZ24" s="193">
        <f>'[1]January -2020'!BZ24</f>
        <v>10</v>
      </c>
      <c r="CA24" s="89">
        <f>'[1]January -2020'!CA24</f>
        <v>39572</v>
      </c>
      <c r="CB24" s="193">
        <f>'[1]January -2020'!CB24</f>
        <v>16</v>
      </c>
      <c r="CC24" s="89">
        <f>'[1]January -2020'!CC24</f>
        <v>13244</v>
      </c>
      <c r="CD24" s="193">
        <f>'[1]January -2020'!CD24</f>
        <v>2</v>
      </c>
      <c r="CE24" s="89">
        <f>'[1]January -2020'!CE24</f>
        <v>16679</v>
      </c>
      <c r="CF24" s="193">
        <f>'[1]January -2020'!CF24</f>
        <v>10</v>
      </c>
      <c r="CG24" s="89">
        <f>'[1]January -2020'!CG24</f>
        <v>19050</v>
      </c>
      <c r="CH24" s="193">
        <f>'[1]January -2020'!CH24</f>
        <v>10</v>
      </c>
      <c r="CI24" s="89">
        <f>'[1]January -2020'!CI24</f>
        <v>40551</v>
      </c>
      <c r="CJ24" s="193">
        <f>'[1]January -2020'!CJ24</f>
        <v>16</v>
      </c>
      <c r="CK24" s="89">
        <f>'[1]January -2020'!CK24</f>
        <v>175198.8</v>
      </c>
      <c r="CL24" s="249">
        <f>'[1]January -2020'!CL24</f>
        <v>85.299999999988358</v>
      </c>
      <c r="CM24" s="89">
        <f>'[1]January -2020'!CM24</f>
        <v>82</v>
      </c>
      <c r="CN24" s="89">
        <f>'[1]January -2020'!CN24</f>
        <v>126642.3</v>
      </c>
      <c r="CO24" s="249">
        <f>'[1]January -2020'!CO24</f>
        <v>97.400000000008731</v>
      </c>
      <c r="CP24" s="89">
        <f>'[1]January -2020'!CP24</f>
        <v>83</v>
      </c>
      <c r="CQ24" s="89">
        <f>'[1]January -2020'!CQ24</f>
        <v>238085</v>
      </c>
      <c r="CR24" s="249">
        <f>'[1]January -2020'!CR24</f>
        <v>320.5</v>
      </c>
      <c r="CS24" s="89">
        <f>'[1]January -2020'!CS24</f>
        <v>356</v>
      </c>
      <c r="CT24" s="89">
        <f>'[1]January -2020'!CT24</f>
        <v>473092</v>
      </c>
      <c r="CU24" s="193">
        <f>'[1]January -2020'!CU24</f>
        <v>175</v>
      </c>
      <c r="CV24" s="516"/>
      <c r="CW24" s="208">
        <f>'[1]January -2020'!CW24</f>
        <v>329.6</v>
      </c>
      <c r="CX24" s="200">
        <f>'[1]January -2020'!CX24</f>
        <v>0</v>
      </c>
      <c r="CY24" s="91">
        <f>'[1]January -2020'!CY24</f>
        <v>1160.8599999999999</v>
      </c>
      <c r="CZ24" s="200">
        <f>'[1]January -2020'!CZ24</f>
        <v>0</v>
      </c>
      <c r="DA24" s="91">
        <f>'[1]January -2020'!DA24</f>
        <v>18685.3</v>
      </c>
      <c r="DB24" s="200">
        <f>'[1]January -2020'!DB24</f>
        <v>13.5</v>
      </c>
      <c r="DC24" s="91">
        <f>'[1]January -2020'!DC24</f>
        <v>19298.8</v>
      </c>
      <c r="DD24" s="200">
        <f>'[1]January -2020'!DD24</f>
        <v>12.899999999997817</v>
      </c>
      <c r="DE24" s="91">
        <f>'[1]January -2020'!DE24</f>
        <v>13506.9</v>
      </c>
      <c r="DF24" s="200">
        <f>'[1]January -2020'!DF24</f>
        <v>10.100000000000364</v>
      </c>
      <c r="DG24" s="91">
        <f>'[1]January -2020'!DG24</f>
        <v>17207.599999999999</v>
      </c>
      <c r="DH24" s="200">
        <f>'[1]January -2020'!DH24</f>
        <v>5.7999999999992724</v>
      </c>
      <c r="DI24" s="91">
        <f>'[1]January -2020'!DI24</f>
        <v>825</v>
      </c>
      <c r="DJ24" s="200">
        <f>'[1]January -2020'!DJ24</f>
        <v>0</v>
      </c>
      <c r="DK24" s="91">
        <f>'[1]January -2020'!DK24</f>
        <v>3570</v>
      </c>
      <c r="DL24" s="200">
        <f>'[1]January -2020'!DL24</f>
        <v>0</v>
      </c>
      <c r="DM24" s="91">
        <f>'[1]January -2020'!DM24</f>
        <v>949</v>
      </c>
      <c r="DN24" s="200">
        <f>'[1]January -2020'!DN24</f>
        <v>6</v>
      </c>
      <c r="DO24" s="91">
        <f>'[1]January -2020'!DO24</f>
        <v>1130</v>
      </c>
      <c r="DP24" s="200">
        <f>'[1]January -2020'!DP24</f>
        <v>3</v>
      </c>
      <c r="DQ24" s="91">
        <f>'[1]January -2020'!DQ24</f>
        <v>16942</v>
      </c>
      <c r="DR24" s="209">
        <f>'[1]January -2020'!DR24</f>
        <v>0</v>
      </c>
      <c r="DS24" s="532"/>
      <c r="DT24" s="213">
        <f>'[1]January -2020'!DT24</f>
        <v>2750553.2</v>
      </c>
      <c r="DU24" s="224">
        <f>'[1]January -2020'!DU24</f>
        <v>1426.3000000002794</v>
      </c>
      <c r="DV24" s="93">
        <f>'[1]January -2020'!DV24</f>
        <v>4534.3999999999996</v>
      </c>
      <c r="DW24" s="218">
        <f>'[1]January -2020'!DW24</f>
        <v>4.2999999999992724</v>
      </c>
      <c r="DX24" s="93">
        <f>'[1]January -2020'!DX24</f>
        <v>1816674.6</v>
      </c>
      <c r="DY24" s="218">
        <f>'[1]January -2020'!DY24</f>
        <v>1005.2000000001863</v>
      </c>
      <c r="DZ24" s="93">
        <f>'[1]January -2020'!DZ24</f>
        <v>252523.8</v>
      </c>
      <c r="EA24" s="218">
        <f>'[1]January -2020'!EA24</f>
        <v>4.2999999999883585</v>
      </c>
      <c r="EB24" s="93">
        <f>'[1]January -2020'!ED24</f>
        <v>409779.4</v>
      </c>
      <c r="EC24" s="218">
        <f>'[1]January -2020'!EE24</f>
        <v>598.90000000002328</v>
      </c>
      <c r="ED24" s="93">
        <f>'[1]January -2020'!EF24</f>
        <v>86748.7</v>
      </c>
      <c r="EE24" s="232">
        <f>'[1]January -2020'!EG24</f>
        <v>145.80000000000291</v>
      </c>
      <c r="EF24" s="579"/>
      <c r="EG24" s="238">
        <f>'[1]January -2020'!EI24</f>
        <v>6783800</v>
      </c>
      <c r="EH24" s="233">
        <f>'[1]January -2020'!EJ24</f>
        <v>1000</v>
      </c>
      <c r="EI24" s="92">
        <f>'[1]January -2020'!EK24</f>
        <v>598740</v>
      </c>
      <c r="EJ24" s="233">
        <f>'[1]January -2020'!EL24</f>
        <v>200</v>
      </c>
      <c r="EK24" s="92">
        <f>'[1]January -2020'!EM24</f>
        <v>4616100</v>
      </c>
      <c r="EL24" s="233">
        <f>'[1]January -2020'!EN24</f>
        <v>500</v>
      </c>
      <c r="EM24" s="92">
        <f>'[1]January -2020'!EO24</f>
        <v>1988200</v>
      </c>
      <c r="EN24" s="233">
        <f>'[1]January -2020'!EP24</f>
        <v>100</v>
      </c>
      <c r="EO24" s="92">
        <f>'[1]January -2020'!EQ24</f>
        <v>678170</v>
      </c>
      <c r="EP24" s="233">
        <f>'[1]January -2020'!ER24</f>
        <v>90</v>
      </c>
      <c r="EQ24" s="92">
        <f>'[1]January -2020'!ES24</f>
        <v>10716100</v>
      </c>
      <c r="ER24" s="233">
        <f>'[1]January -2020'!ET24</f>
        <v>500</v>
      </c>
      <c r="ES24" s="554"/>
      <c r="ET24" s="287">
        <f>'[1]January -2020'!EV24</f>
        <v>27842.5</v>
      </c>
      <c r="EU24" s="286">
        <f>'[1]January -2020'!$EW$11</f>
        <v>19.5</v>
      </c>
      <c r="EV24" s="285">
        <f>'[1]January -2020'!EX24</f>
        <v>24359.4</v>
      </c>
      <c r="EW24" s="286">
        <f>'[1]January -2020'!EY24</f>
        <v>13.400000000001455</v>
      </c>
      <c r="EX24" s="285">
        <f>'[1]January -2020'!FB24</f>
        <v>44007.4</v>
      </c>
      <c r="EY24" s="286">
        <f>'[1]January -2020'!FA24</f>
        <v>0</v>
      </c>
      <c r="EZ24" s="285">
        <f>'[1]January -2020'!EZ24</f>
        <v>0</v>
      </c>
      <c r="FA24" s="286">
        <f>'[1]January -2020'!FA24</f>
        <v>0</v>
      </c>
      <c r="FB24" s="285">
        <f>'[1]January -2020'!FD24</f>
        <v>20673.099999999999</v>
      </c>
      <c r="FC24" s="288">
        <f>'[1]January -2020'!FE24</f>
        <v>29.599999999998545</v>
      </c>
    </row>
    <row r="25" spans="1:159" ht="30" customHeight="1" x14ac:dyDescent="0.25">
      <c r="A25" s="210">
        <v>43846</v>
      </c>
      <c r="B25" s="212">
        <f>'[1]January -2020'!B25</f>
        <v>0.61</v>
      </c>
      <c r="C25" s="253">
        <f>'[1]January -2020'!E25</f>
        <v>522756</v>
      </c>
      <c r="D25" s="172">
        <f>'[1]January -2020'!F25</f>
        <v>448</v>
      </c>
      <c r="E25" s="170">
        <f>'[1]January -2020'!G25</f>
        <v>448</v>
      </c>
      <c r="F25" s="170">
        <f>'[1]January -2020'!H25</f>
        <v>692747</v>
      </c>
      <c r="G25" s="172">
        <f>'[1]January -2020'!I25</f>
        <v>407</v>
      </c>
      <c r="H25" s="170">
        <f>'[1]January -2020'!J25</f>
        <v>352</v>
      </c>
      <c r="I25" s="170">
        <f>'[1]January -2020'!K25</f>
        <v>22562</v>
      </c>
      <c r="J25" s="172">
        <f>'[1]January -2020'!L25</f>
        <v>132</v>
      </c>
      <c r="K25" s="170">
        <f>'[1]January -2020'!N25</f>
        <v>613376.9</v>
      </c>
      <c r="L25" s="172">
        <f>'[1]January -2020'!O25</f>
        <v>138.5</v>
      </c>
      <c r="M25" s="170">
        <f>'[1]January -2020'!Q25</f>
        <v>156875</v>
      </c>
      <c r="N25" s="172">
        <f>'[1]January -2020'!R25</f>
        <v>0</v>
      </c>
      <c r="O25" s="170">
        <f>'[1]January -2020'!S25</f>
        <v>94855</v>
      </c>
      <c r="P25" s="172">
        <f>'[1]January -2020'!T25</f>
        <v>37</v>
      </c>
      <c r="Q25" s="170">
        <f>'[1]January -2020'!U25</f>
        <v>0</v>
      </c>
      <c r="R25" s="170">
        <f>'[1]January -2020'!V25</f>
        <v>7174</v>
      </c>
      <c r="S25" s="211">
        <f>'[1]January -2020'!W25</f>
        <v>0</v>
      </c>
      <c r="T25" s="475"/>
      <c r="U25" s="171">
        <f>'[1]January -2020'!AB25</f>
        <v>5489672.1599999992</v>
      </c>
      <c r="V25" s="254">
        <f>'[1]January -2020'!AC25</f>
        <v>1753.9199999989942</v>
      </c>
      <c r="W25" s="94">
        <f>'[1]January -2020'!AD25</f>
        <v>2582.160000000149</v>
      </c>
      <c r="X25" s="94">
        <f>'[1]January -2020'!AE25</f>
        <v>10711725.359999999</v>
      </c>
      <c r="Y25" s="254">
        <f>'[1]January -2020'!AF25</f>
        <v>4774.5600000005215</v>
      </c>
      <c r="Z25" s="94">
        <f>'[1]January -2020'!AG25</f>
        <v>5066.8799999989569</v>
      </c>
      <c r="AA25" s="94">
        <f>'[1]January -2020'!AH25</f>
        <v>9802756.3199999984</v>
      </c>
      <c r="AB25" s="254">
        <f>'[1]January -2020'!AI25</f>
        <v>48.719999998807907</v>
      </c>
      <c r="AC25" s="94">
        <f>'[1]January -2020'!AJ25</f>
        <v>8623.4400000004098</v>
      </c>
      <c r="AD25" s="94">
        <f>'[1]January -2020'!AK25</f>
        <v>13168967.280000001</v>
      </c>
      <c r="AE25" s="254">
        <f>'[1]January -2020'!AL25</f>
        <v>3946.3200000021607</v>
      </c>
      <c r="AF25" s="94">
        <f>'[1]January -2020'!AM25</f>
        <v>48.719999998807907</v>
      </c>
      <c r="AG25" s="94">
        <f>'[1]January -2020'!AN25</f>
        <v>13137396.719999999</v>
      </c>
      <c r="AH25" s="254">
        <f>'[1]January -2020'!AO25</f>
        <v>682.07999999821186</v>
      </c>
      <c r="AI25" s="94">
        <f>'[1]January -2020'!AP25</f>
        <v>535.92000000178814</v>
      </c>
      <c r="AJ25" s="94">
        <f>'[1]January -2020'!AQ25</f>
        <v>12020783.040000001</v>
      </c>
      <c r="AK25" s="254">
        <f>'[1]January -2020'!AR25</f>
        <v>6577.2000000011176</v>
      </c>
      <c r="AL25" s="94">
        <f>'[1]January -2020'!AS25</f>
        <v>5992.5600000005215</v>
      </c>
      <c r="AM25" s="94">
        <f>'[1]January -2020'!AT25</f>
        <v>10474848.719999999</v>
      </c>
      <c r="AN25" s="254">
        <f>'[1]January -2020'!AU25</f>
        <v>4677.1199999991804</v>
      </c>
      <c r="AO25" s="94">
        <f>'[1]January -2020'!AV25</f>
        <v>4238.640000000596</v>
      </c>
      <c r="AP25" s="94">
        <f>'[1]January -2020'!AW25</f>
        <v>10124503.199999999</v>
      </c>
      <c r="AQ25" s="254">
        <f>'[1]January -2020'!AX25</f>
        <v>4823.2799999993294</v>
      </c>
      <c r="AR25" s="94">
        <f>'[1]January -2020'!AY25</f>
        <v>4774.5599999995902</v>
      </c>
      <c r="AS25" s="94">
        <f>'[1]January -2020'!AZ25</f>
        <v>8087958.4800000004</v>
      </c>
      <c r="AT25" s="254">
        <f>'[1]January -2020'!BA25</f>
        <v>3020.640000000596</v>
      </c>
      <c r="AU25" s="94">
        <f>'[1]January -2020'!BB25</f>
        <v>3361.679999999702</v>
      </c>
      <c r="AV25" s="94">
        <f>'[1]January -2020'!BC25</f>
        <v>11968457.76</v>
      </c>
      <c r="AW25" s="255">
        <f>'[1]January -2020'!BD25</f>
        <v>5651.519999999553</v>
      </c>
      <c r="AX25" s="256">
        <f>'[1]January -2020'!BE25</f>
        <v>5797.679999999702</v>
      </c>
      <c r="AY25" s="492"/>
      <c r="AZ25" s="95">
        <f>'[1]January -2020'!BJ25</f>
        <v>49563000</v>
      </c>
      <c r="BA25" s="181">
        <f>'[1]January -2020'!BK25</f>
        <v>0</v>
      </c>
      <c r="BB25" s="95">
        <f>'[1]January -2020'!BL25</f>
        <v>47600</v>
      </c>
      <c r="BC25" s="95">
        <f>'[1]January -2020'!BM25</f>
        <v>54028500</v>
      </c>
      <c r="BD25" s="248">
        <f>'[1]January -2020'!BN25</f>
        <v>20600</v>
      </c>
      <c r="BE25" s="95">
        <f>'[1]January -2020'!BO25</f>
        <v>0</v>
      </c>
      <c r="BF25" s="95">
        <f>'[1]January -2020'!BP25</f>
        <v>47576000</v>
      </c>
      <c r="BG25" s="248">
        <f>'[1]January -2020'!BQ25</f>
        <v>0</v>
      </c>
      <c r="BH25" s="95">
        <f>'[1]January -2020'!BR25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'[1]January -2020'!BS25</f>
        <v>4042480</v>
      </c>
      <c r="BT25" s="187">
        <f>'[1]January -2020'!BT25</f>
        <v>1920</v>
      </c>
      <c r="BU25" s="588"/>
      <c r="BV25" s="88">
        <f>'[1]January -2020'!BV25</f>
        <v>0.72</v>
      </c>
      <c r="BW25" s="244">
        <f>'[1]January -2020'!BW25</f>
        <v>0.14000000000000001</v>
      </c>
      <c r="BX25" s="88">
        <f>'[1]January -2020'!BX25</f>
        <v>7.0000000000000007E-2</v>
      </c>
      <c r="BY25" s="89">
        <f>'[1]January -2020'!BY25</f>
        <v>44770</v>
      </c>
      <c r="BZ25" s="193">
        <f>'[1]January -2020'!BZ25</f>
        <v>20</v>
      </c>
      <c r="CA25" s="89">
        <f>'[1]January -2020'!CA25</f>
        <v>39587</v>
      </c>
      <c r="CB25" s="193">
        <f>'[1]January -2020'!CB25</f>
        <v>15</v>
      </c>
      <c r="CC25" s="89">
        <f>'[1]January -2020'!CC25</f>
        <v>13249</v>
      </c>
      <c r="CD25" s="193">
        <f>'[1]January -2020'!CD25</f>
        <v>5</v>
      </c>
      <c r="CE25" s="89">
        <f>'[1]January -2020'!CE25</f>
        <v>16691</v>
      </c>
      <c r="CF25" s="193">
        <f>'[1]January -2020'!CF25</f>
        <v>12</v>
      </c>
      <c r="CG25" s="89">
        <f>'[1]January -2020'!CG25</f>
        <v>19062</v>
      </c>
      <c r="CH25" s="193">
        <f>'[1]January -2020'!CH25</f>
        <v>12</v>
      </c>
      <c r="CI25" s="89">
        <f>'[1]January -2020'!CI25</f>
        <v>40575</v>
      </c>
      <c r="CJ25" s="193">
        <f>'[1]January -2020'!CJ25</f>
        <v>24</v>
      </c>
      <c r="CK25" s="89">
        <f>'[1]January -2020'!CK25</f>
        <v>175282.88</v>
      </c>
      <c r="CL25" s="249">
        <f>'[1]January -2020'!CL25</f>
        <v>84.080000000016298</v>
      </c>
      <c r="CM25" s="89">
        <f>'[1]January -2020'!CM25</f>
        <v>93</v>
      </c>
      <c r="CN25" s="89">
        <f>'[1]January -2020'!CN25</f>
        <v>126735</v>
      </c>
      <c r="CO25" s="249">
        <f>'[1]January -2020'!CO25</f>
        <v>92.69999999999709</v>
      </c>
      <c r="CP25" s="89">
        <f>'[1]January -2020'!CP25</f>
        <v>79</v>
      </c>
      <c r="CQ25" s="89">
        <f>'[1]January -2020'!CQ25</f>
        <v>238400.1</v>
      </c>
      <c r="CR25" s="249">
        <f>'[1]January -2020'!CR25</f>
        <v>315.10000000000582</v>
      </c>
      <c r="CS25" s="89">
        <f>'[1]January -2020'!CS25</f>
        <v>365</v>
      </c>
      <c r="CT25" s="89">
        <f>'[1]January -2020'!CT25</f>
        <v>473264</v>
      </c>
      <c r="CU25" s="193">
        <f>'[1]January -2020'!CU25</f>
        <v>172</v>
      </c>
      <c r="CV25" s="516"/>
      <c r="CW25" s="208">
        <f>'[1]January -2020'!CW25</f>
        <v>329.6</v>
      </c>
      <c r="CX25" s="200">
        <f>'[1]January -2020'!CX25</f>
        <v>0</v>
      </c>
      <c r="CY25" s="91">
        <f>'[1]January -2020'!CY25</f>
        <v>1160.8599999999999</v>
      </c>
      <c r="CZ25" s="200">
        <f>'[1]January -2020'!CZ25</f>
        <v>0</v>
      </c>
      <c r="DA25" s="91">
        <f>'[1]January -2020'!DA25</f>
        <v>18698.3</v>
      </c>
      <c r="DB25" s="200">
        <f>'[1]January -2020'!DB25</f>
        <v>13</v>
      </c>
      <c r="DC25" s="91">
        <f>'[1]January -2020'!DC25</f>
        <v>19311.3</v>
      </c>
      <c r="DD25" s="200">
        <f>'[1]January -2020'!DD25</f>
        <v>12.5</v>
      </c>
      <c r="DE25" s="91">
        <f>'[1]January -2020'!DE25</f>
        <v>13517.9</v>
      </c>
      <c r="DF25" s="200">
        <f>'[1]January -2020'!DF25</f>
        <v>11</v>
      </c>
      <c r="DG25" s="91">
        <f>'[1]January -2020'!DG25</f>
        <v>17212.899999999998</v>
      </c>
      <c r="DH25" s="200">
        <f>'[1]January -2020'!DH25</f>
        <v>5.2999999999992724</v>
      </c>
      <c r="DI25" s="91">
        <f>'[1]January -2020'!DI25</f>
        <v>825</v>
      </c>
      <c r="DJ25" s="200">
        <f>'[1]January -2020'!DJ25</f>
        <v>0</v>
      </c>
      <c r="DK25" s="91">
        <f>'[1]January -2020'!DK25</f>
        <v>3570</v>
      </c>
      <c r="DL25" s="200">
        <f>'[1]January -2020'!DL25</f>
        <v>0</v>
      </c>
      <c r="DM25" s="91">
        <f>'[1]January -2020'!DM25</f>
        <v>954</v>
      </c>
      <c r="DN25" s="200">
        <f>'[1]January -2020'!DN25</f>
        <v>5</v>
      </c>
      <c r="DO25" s="91">
        <f>'[1]January -2020'!DO25</f>
        <v>1134</v>
      </c>
      <c r="DP25" s="200">
        <f>'[1]January -2020'!DP25</f>
        <v>4</v>
      </c>
      <c r="DQ25" s="91">
        <f>'[1]January -2020'!DQ25</f>
        <v>16952</v>
      </c>
      <c r="DR25" s="209">
        <f>'[1]January -2020'!DR25</f>
        <v>10</v>
      </c>
      <c r="DS25" s="532"/>
      <c r="DT25" s="213">
        <f>'[1]January -2020'!DT25</f>
        <v>2751983.2</v>
      </c>
      <c r="DU25" s="224">
        <f>'[1]January -2020'!DU25</f>
        <v>1430</v>
      </c>
      <c r="DV25" s="93">
        <f>'[1]January -2020'!DV25</f>
        <v>4539.1000000000004</v>
      </c>
      <c r="DW25" s="218">
        <f>'[1]January -2020'!DW25</f>
        <v>4.7000000000007276</v>
      </c>
      <c r="DX25" s="93">
        <f>'[1]January -2020'!DX25</f>
        <v>1817677.1</v>
      </c>
      <c r="DY25" s="218">
        <f>'[1]January -2020'!DY25</f>
        <v>1002.5</v>
      </c>
      <c r="DZ25" s="93">
        <f>'[1]January -2020'!DZ25</f>
        <v>252527.8</v>
      </c>
      <c r="EA25" s="218">
        <f>'[1]January -2020'!EA25</f>
        <v>4</v>
      </c>
      <c r="EB25" s="93">
        <f>'[1]January -2020'!ED25</f>
        <v>410365.4</v>
      </c>
      <c r="EC25" s="218">
        <f>'[1]January -2020'!EE25</f>
        <v>586</v>
      </c>
      <c r="ED25" s="93">
        <f>'[1]January -2020'!EF25</f>
        <v>86893.7</v>
      </c>
      <c r="EE25" s="232">
        <f>'[1]January -2020'!EG25</f>
        <v>145</v>
      </c>
      <c r="EF25" s="579"/>
      <c r="EG25" s="238">
        <f>'[1]January -2020'!EI25</f>
        <v>6785000</v>
      </c>
      <c r="EH25" s="233">
        <f>'[1]January -2020'!EJ25</f>
        <v>1200</v>
      </c>
      <c r="EI25" s="92">
        <f>'[1]January -2020'!EK25</f>
        <v>598980</v>
      </c>
      <c r="EJ25" s="233">
        <f>'[1]January -2020'!EL25</f>
        <v>240</v>
      </c>
      <c r="EK25" s="92">
        <f>'[1]January -2020'!EM25</f>
        <v>4616700</v>
      </c>
      <c r="EL25" s="233">
        <f>'[1]January -2020'!EN25</f>
        <v>600</v>
      </c>
      <c r="EM25" s="92">
        <f>'[1]January -2020'!EO25</f>
        <v>1988300</v>
      </c>
      <c r="EN25" s="233">
        <f>'[1]January -2020'!EP25</f>
        <v>100</v>
      </c>
      <c r="EO25" s="92">
        <f>'[1]January -2020'!EQ25</f>
        <v>678270</v>
      </c>
      <c r="EP25" s="233">
        <f>'[1]January -2020'!ER25</f>
        <v>100</v>
      </c>
      <c r="EQ25" s="92">
        <f>'[1]January -2020'!ES25</f>
        <v>10716600</v>
      </c>
      <c r="ER25" s="233">
        <f>'[1]January -2020'!ET25</f>
        <v>500</v>
      </c>
      <c r="ES25" s="554"/>
      <c r="ET25" s="287">
        <f>'[1]January -2020'!EV25</f>
        <v>27859.5</v>
      </c>
      <c r="EU25" s="286">
        <f>'[1]January -2020'!$EW$11</f>
        <v>19.5</v>
      </c>
      <c r="EV25" s="285">
        <f>'[1]January -2020'!EX25</f>
        <v>24371.4</v>
      </c>
      <c r="EW25" s="286">
        <f>'[1]January -2020'!EY25</f>
        <v>12</v>
      </c>
      <c r="EX25" s="285">
        <f>'[1]January -2020'!FB25</f>
        <v>44039.4</v>
      </c>
      <c r="EY25" s="286">
        <f>'[1]January -2020'!FA25</f>
        <v>0</v>
      </c>
      <c r="EZ25" s="285">
        <f>'[1]January -2020'!EZ25</f>
        <v>0</v>
      </c>
      <c r="FA25" s="286">
        <f>'[1]January -2020'!FA25</f>
        <v>0</v>
      </c>
      <c r="FB25" s="285">
        <f>'[1]January -2020'!FD25</f>
        <v>20702.099999999999</v>
      </c>
      <c r="FC25" s="288">
        <f>'[1]January -2020'!FE25</f>
        <v>29</v>
      </c>
    </row>
    <row r="26" spans="1:159" ht="30" customHeight="1" x14ac:dyDescent="0.25">
      <c r="A26" s="210">
        <v>43847</v>
      </c>
      <c r="B26" s="212">
        <f>'[1]January -2020'!B26</f>
        <v>0.61</v>
      </c>
      <c r="C26" s="253">
        <f>'[1]January -2020'!E26</f>
        <v>523254</v>
      </c>
      <c r="D26" s="172">
        <f>'[1]January -2020'!F26</f>
        <v>529</v>
      </c>
      <c r="E26" s="170">
        <f>'[1]January -2020'!G26</f>
        <v>529</v>
      </c>
      <c r="F26" s="170">
        <f>'[1]January -2020'!H26</f>
        <v>693199</v>
      </c>
      <c r="G26" s="172">
        <f>'[1]January -2020'!I26</f>
        <v>452</v>
      </c>
      <c r="H26" s="170">
        <f>'[1]January -2020'!J26</f>
        <v>418</v>
      </c>
      <c r="I26" s="170">
        <f>'[1]January -2020'!K26</f>
        <v>22691</v>
      </c>
      <c r="J26" s="172">
        <f>'[1]January -2020'!L26</f>
        <v>129</v>
      </c>
      <c r="K26" s="170">
        <f>'[1]January -2020'!N26</f>
        <v>613547.5</v>
      </c>
      <c r="L26" s="172">
        <f>'[1]January -2020'!O26</f>
        <v>170.59999999997672</v>
      </c>
      <c r="M26" s="170">
        <f>'[1]January -2020'!Q26</f>
        <v>156875</v>
      </c>
      <c r="N26" s="172">
        <f>'[1]January -2020'!R26</f>
        <v>0</v>
      </c>
      <c r="O26" s="170">
        <f>'[1]January -2020'!S26</f>
        <v>94918</v>
      </c>
      <c r="P26" s="172">
        <f>'[1]January -2020'!T26</f>
        <v>63</v>
      </c>
      <c r="Q26" s="170">
        <f>'[1]January -2020'!U26</f>
        <v>122</v>
      </c>
      <c r="R26" s="170">
        <f>'[1]January -2020'!V26</f>
        <v>7188</v>
      </c>
      <c r="S26" s="211">
        <f>'[1]January -2020'!W26</f>
        <v>14</v>
      </c>
      <c r="T26" s="475"/>
      <c r="U26" s="171">
        <f>'[1]January -2020'!AB26</f>
        <v>5491620.96</v>
      </c>
      <c r="V26" s="254">
        <f>'[1]January -2020'!AC26</f>
        <v>1948.8000000007451</v>
      </c>
      <c r="W26" s="94">
        <f>'[1]January -2020'!AD26</f>
        <v>2241.1200000001118</v>
      </c>
      <c r="X26" s="94">
        <f>'[1]January -2020'!AE26</f>
        <v>10716646.08</v>
      </c>
      <c r="Y26" s="254">
        <f>'[1]January -2020'!AF26</f>
        <v>4920.7200000006706</v>
      </c>
      <c r="Z26" s="94">
        <f>'[1]January -2020'!AG26</f>
        <v>4969.4400000013411</v>
      </c>
      <c r="AA26" s="94">
        <f>'[1]January -2020'!AH26</f>
        <v>9802756.3199999984</v>
      </c>
      <c r="AB26" s="254">
        <f>'[1]January -2020'!AI26</f>
        <v>0</v>
      </c>
      <c r="AC26" s="94">
        <f>'[1]January -2020'!AJ26</f>
        <v>8915.7599999997765</v>
      </c>
      <c r="AD26" s="94">
        <f>'[1]January -2020'!AK26</f>
        <v>13174667.52</v>
      </c>
      <c r="AE26" s="254">
        <f>'[1]January -2020'!AL26</f>
        <v>5700.2399999983609</v>
      </c>
      <c r="AF26" s="94">
        <f>'[1]January -2020'!AM26</f>
        <v>389.75999999977648</v>
      </c>
      <c r="AG26" s="94">
        <f>'[1]January -2020'!AN26</f>
        <v>13137981.359999999</v>
      </c>
      <c r="AH26" s="254">
        <f>'[1]January -2020'!AO26</f>
        <v>584.64000000059605</v>
      </c>
      <c r="AI26" s="94">
        <f>'[1]January -2020'!AP26</f>
        <v>974.39999999850988</v>
      </c>
      <c r="AJ26" s="94">
        <f>'[1]January -2020'!AQ26</f>
        <v>12027116.640000001</v>
      </c>
      <c r="AK26" s="254">
        <f>'[1]January -2020'!AR26</f>
        <v>6333.5999999996275</v>
      </c>
      <c r="AL26" s="94">
        <f>'[1]January -2020'!AS26</f>
        <v>5797.679999999702</v>
      </c>
      <c r="AM26" s="94">
        <f>'[1]January -2020'!AT26</f>
        <v>10479330.959999999</v>
      </c>
      <c r="AN26" s="254">
        <f>'[1]January -2020'!AU26</f>
        <v>4482.2400000002235</v>
      </c>
      <c r="AO26" s="94">
        <f>'[1]January -2020'!AV26</f>
        <v>4287.359999999404</v>
      </c>
      <c r="AP26" s="94">
        <f>'[1]January -2020'!AW26</f>
        <v>10129472.640000001</v>
      </c>
      <c r="AQ26" s="254">
        <f>'[1]January -2020'!AX26</f>
        <v>4969.4400000013411</v>
      </c>
      <c r="AR26" s="94">
        <f>'[1]January -2020'!AY26</f>
        <v>4969.4400000004098</v>
      </c>
      <c r="AS26" s="94">
        <f>'[1]January -2020'!AZ26</f>
        <v>8091417.5999999996</v>
      </c>
      <c r="AT26" s="254">
        <f>'[1]January -2020'!BA26</f>
        <v>3459.1199999991804</v>
      </c>
      <c r="AU26" s="94">
        <f>'[1]January -2020'!BB26</f>
        <v>3459.1200000001118</v>
      </c>
      <c r="AV26" s="94">
        <f>'[1]January -2020'!BC26</f>
        <v>11974109.280000001</v>
      </c>
      <c r="AW26" s="255">
        <f>'[1]January -2020'!BD26</f>
        <v>5651.5200000014156</v>
      </c>
      <c r="AX26" s="256">
        <f>'[1]January -2020'!BE26</f>
        <v>5700.2400000002235</v>
      </c>
      <c r="AY26" s="492"/>
      <c r="AZ26" s="95">
        <f>'[1]January -2020'!BJ26</f>
        <v>49563100</v>
      </c>
      <c r="BA26" s="181">
        <f>'[1]January -2020'!BK26</f>
        <v>100</v>
      </c>
      <c r="BB26" s="95">
        <f>'[1]January -2020'!BL26</f>
        <v>51600</v>
      </c>
      <c r="BC26" s="95">
        <f>'[1]January -2020'!BM26</f>
        <v>54056100</v>
      </c>
      <c r="BD26" s="248">
        <f>'[1]January -2020'!BN26</f>
        <v>27600</v>
      </c>
      <c r="BE26" s="95">
        <f>'[1]January -2020'!BO26</f>
        <v>0</v>
      </c>
      <c r="BF26" s="95">
        <f>'[1]January -2020'!BP26</f>
        <v>47576000</v>
      </c>
      <c r="BG26" s="248">
        <f>'[1]January -2020'!BQ26</f>
        <v>0</v>
      </c>
      <c r="BH26" s="95">
        <f>'[1]January -2020'!BR26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'[1]January -2020'!BS26</f>
        <v>4044890</v>
      </c>
      <c r="BT26" s="187">
        <f>'[1]January -2020'!BT26</f>
        <v>2410</v>
      </c>
      <c r="BU26" s="588"/>
      <c r="BV26" s="88">
        <f>'[1]January -2020'!BV26</f>
        <v>0.63</v>
      </c>
      <c r="BW26" s="244">
        <f>'[1]January -2020'!BW26</f>
        <v>-8.9999999999999969E-2</v>
      </c>
      <c r="BX26" s="88">
        <f>'[1]January -2020'!BX26</f>
        <v>-0.06</v>
      </c>
      <c r="BY26" s="89">
        <f>'[1]January -2020'!BY26</f>
        <v>44789</v>
      </c>
      <c r="BZ26" s="193">
        <f>'[1]January -2020'!BZ26</f>
        <v>19</v>
      </c>
      <c r="CA26" s="89">
        <f>'[1]January -2020'!CA26</f>
        <v>39603</v>
      </c>
      <c r="CB26" s="193">
        <f>'[1]January -2020'!CB26</f>
        <v>16</v>
      </c>
      <c r="CC26" s="89">
        <f>'[1]January -2020'!CC26</f>
        <v>13256</v>
      </c>
      <c r="CD26" s="193">
        <f>'[1]January -2020'!CD26</f>
        <v>7</v>
      </c>
      <c r="CE26" s="89">
        <f>'[1]January -2020'!CE26</f>
        <v>16701</v>
      </c>
      <c r="CF26" s="193">
        <f>'[1]January -2020'!CF26</f>
        <v>10</v>
      </c>
      <c r="CG26" s="89">
        <f>'[1]January -2020'!CG26</f>
        <v>19075</v>
      </c>
      <c r="CH26" s="193">
        <f>'[1]January -2020'!CH26</f>
        <v>13</v>
      </c>
      <c r="CI26" s="89">
        <f>'[1]January -2020'!CI26</f>
        <v>40600</v>
      </c>
      <c r="CJ26" s="193">
        <f>'[1]January -2020'!CJ26</f>
        <v>25</v>
      </c>
      <c r="CK26" s="89">
        <f>'[1]January -2020'!CK26</f>
        <v>175367.88</v>
      </c>
      <c r="CL26" s="249">
        <f>'[1]January -2020'!CL26</f>
        <v>85</v>
      </c>
      <c r="CM26" s="89">
        <f>'[1]January -2020'!CM26</f>
        <v>86</v>
      </c>
      <c r="CN26" s="89">
        <f>'[1]January -2020'!CN26</f>
        <v>126827.4</v>
      </c>
      <c r="CO26" s="249">
        <f>'[1]January -2020'!CO26</f>
        <v>92.399999999994179</v>
      </c>
      <c r="CP26" s="89">
        <f>'[1]January -2020'!CP26</f>
        <v>82</v>
      </c>
      <c r="CQ26" s="89">
        <f>'[1]January -2020'!CQ26</f>
        <v>238727.5</v>
      </c>
      <c r="CR26" s="249">
        <f>'[1]January -2020'!CR26</f>
        <v>327.39999999999418</v>
      </c>
      <c r="CS26" s="89">
        <f>'[1]January -2020'!CS26</f>
        <v>298</v>
      </c>
      <c r="CT26" s="89">
        <f>'[1]January -2020'!CT26</f>
        <v>473437</v>
      </c>
      <c r="CU26" s="193">
        <f>'[1]January -2020'!CU26</f>
        <v>173</v>
      </c>
      <c r="CV26" s="516"/>
      <c r="CW26" s="208">
        <f>'[1]January -2020'!CW26</f>
        <v>329.6</v>
      </c>
      <c r="CX26" s="200">
        <f>'[1]January -2020'!CX26</f>
        <v>0</v>
      </c>
      <c r="CY26" s="91">
        <f>'[1]January -2020'!CY26</f>
        <v>1160.8599999999999</v>
      </c>
      <c r="CZ26" s="200">
        <f>'[1]January -2020'!CZ26</f>
        <v>0</v>
      </c>
      <c r="DA26" s="91">
        <f>'[1]January -2020'!DA26</f>
        <v>18717</v>
      </c>
      <c r="DB26" s="200">
        <f>'[1]January -2020'!DB26</f>
        <v>18.700000000000728</v>
      </c>
      <c r="DC26" s="91">
        <f>'[1]January -2020'!DC26</f>
        <v>19330.8</v>
      </c>
      <c r="DD26" s="200">
        <f>'[1]January -2020'!DD26</f>
        <v>19.5</v>
      </c>
      <c r="DE26" s="91">
        <f>'[1]January -2020'!DE26</f>
        <v>13529.7</v>
      </c>
      <c r="DF26" s="200">
        <f>'[1]January -2020'!DF26</f>
        <v>11.800000000001091</v>
      </c>
      <c r="DG26" s="91">
        <f>'[1]January -2020'!DG26</f>
        <v>17218.900000000001</v>
      </c>
      <c r="DH26" s="200">
        <f>'[1]January -2020'!DH26</f>
        <v>6.000000000003638</v>
      </c>
      <c r="DI26" s="91">
        <f>'[1]January -2020'!DI26</f>
        <v>825</v>
      </c>
      <c r="DJ26" s="200">
        <f>'[1]January -2020'!DJ26</f>
        <v>0</v>
      </c>
      <c r="DK26" s="91">
        <f>'[1]January -2020'!DK26</f>
        <v>3570</v>
      </c>
      <c r="DL26" s="200">
        <f>'[1]January -2020'!DL26</f>
        <v>0</v>
      </c>
      <c r="DM26" s="91">
        <f>'[1]January -2020'!DM26</f>
        <v>959</v>
      </c>
      <c r="DN26" s="200">
        <f>'[1]January -2020'!DN26</f>
        <v>5</v>
      </c>
      <c r="DO26" s="91">
        <f>'[1]January -2020'!DO26</f>
        <v>1140</v>
      </c>
      <c r="DP26" s="200">
        <f>'[1]January -2020'!DP26</f>
        <v>6</v>
      </c>
      <c r="DQ26" s="91">
        <f>'[1]January -2020'!DQ26</f>
        <v>16962</v>
      </c>
      <c r="DR26" s="209">
        <f>'[1]January -2020'!DR26</f>
        <v>10</v>
      </c>
      <c r="DS26" s="532"/>
      <c r="DT26" s="213">
        <f>'[1]January -2020'!DT26</f>
        <v>2753587.2000000002</v>
      </c>
      <c r="DU26" s="224">
        <f>'[1]January -2020'!DU26</f>
        <v>1604</v>
      </c>
      <c r="DV26" s="93">
        <f>'[1]January -2020'!DV26</f>
        <v>4543.8</v>
      </c>
      <c r="DW26" s="218">
        <f>'[1]January -2020'!DW26</f>
        <v>4.6999999999998181</v>
      </c>
      <c r="DX26" s="93">
        <f>'[1]January -2020'!DX26</f>
        <v>1818784.3</v>
      </c>
      <c r="DY26" s="218">
        <f>'[1]January -2020'!DY26</f>
        <v>1107.1999999999534</v>
      </c>
      <c r="DZ26" s="93">
        <f>'[1]January -2020'!DZ26</f>
        <v>252532.3</v>
      </c>
      <c r="EA26" s="218">
        <f>'[1]January -2020'!EA26</f>
        <v>4.5</v>
      </c>
      <c r="EB26" s="93">
        <f>'[1]January -2020'!ED26</f>
        <v>410994.8</v>
      </c>
      <c r="EC26" s="218">
        <f>'[1]January -2020'!EE26</f>
        <v>629.39999999996508</v>
      </c>
      <c r="ED26" s="93">
        <f>'[1]January -2020'!EF26</f>
        <v>87055.6</v>
      </c>
      <c r="EE26" s="232">
        <f>'[1]January -2020'!EG26</f>
        <v>161.90000000000873</v>
      </c>
      <c r="EF26" s="579"/>
      <c r="EG26" s="238">
        <f>'[1]January -2020'!EI26</f>
        <v>6786200</v>
      </c>
      <c r="EH26" s="233">
        <f>'[1]January -2020'!EJ26</f>
        <v>1200</v>
      </c>
      <c r="EI26" s="92">
        <f>'[1]January -2020'!EK26</f>
        <v>599200</v>
      </c>
      <c r="EJ26" s="233">
        <f>'[1]January -2020'!EL26</f>
        <v>220</v>
      </c>
      <c r="EK26" s="92">
        <f>'[1]January -2020'!EM26</f>
        <v>4617200</v>
      </c>
      <c r="EL26" s="233">
        <f>'[1]January -2020'!EN26</f>
        <v>500</v>
      </c>
      <c r="EM26" s="92">
        <f>'[1]January -2020'!EO26</f>
        <v>1988300</v>
      </c>
      <c r="EN26" s="233">
        <f>'[1]January -2020'!EP26</f>
        <v>0</v>
      </c>
      <c r="EO26" s="92">
        <f>'[1]January -2020'!EQ26</f>
        <v>678370</v>
      </c>
      <c r="EP26" s="233">
        <f>'[1]January -2020'!ER26</f>
        <v>100</v>
      </c>
      <c r="EQ26" s="92">
        <f>'[1]January -2020'!ES26</f>
        <v>10717000</v>
      </c>
      <c r="ER26" s="233">
        <f>'[1]January -2020'!ET26</f>
        <v>400</v>
      </c>
      <c r="ES26" s="554"/>
      <c r="ET26" s="287">
        <f>'[1]January -2020'!EV26</f>
        <v>27878.799999999999</v>
      </c>
      <c r="EU26" s="286">
        <f>'[1]January -2020'!$EW$11</f>
        <v>19.5</v>
      </c>
      <c r="EV26" s="285">
        <f>'[1]January -2020'!EX26</f>
        <v>24389.200000000001</v>
      </c>
      <c r="EW26" s="286">
        <f>'[1]January -2020'!EY26</f>
        <v>17.799999999999272</v>
      </c>
      <c r="EX26" s="285">
        <f>'[1]January -2020'!FB26</f>
        <v>44078.6</v>
      </c>
      <c r="EY26" s="286">
        <f>'[1]January -2020'!FA26</f>
        <v>0</v>
      </c>
      <c r="EZ26" s="285">
        <f>'[1]January -2020'!EZ26</f>
        <v>0</v>
      </c>
      <c r="FA26" s="286">
        <f>'[1]January -2020'!FA26</f>
        <v>0</v>
      </c>
      <c r="FB26" s="285">
        <f>'[1]January -2020'!FD26</f>
        <v>20735.8</v>
      </c>
      <c r="FC26" s="288">
        <f>'[1]January -2020'!FE26</f>
        <v>33.700000000000728</v>
      </c>
    </row>
    <row r="27" spans="1:159" ht="30" customHeight="1" x14ac:dyDescent="0.25">
      <c r="A27" s="210">
        <v>43848</v>
      </c>
      <c r="B27" s="212">
        <f>'[1]January -2020'!B27</f>
        <v>0.61</v>
      </c>
      <c r="C27" s="253">
        <f>'[1]January -2020'!E27</f>
        <v>523810</v>
      </c>
      <c r="D27" s="172">
        <f>'[1]January -2020'!F27</f>
        <v>496</v>
      </c>
      <c r="E27" s="170">
        <f>'[1]January -2020'!G27</f>
        <v>496</v>
      </c>
      <c r="F27" s="170">
        <f>'[1]January -2020'!H27</f>
        <v>693653</v>
      </c>
      <c r="G27" s="172">
        <f>'[1]January -2020'!I27</f>
        <v>454</v>
      </c>
      <c r="H27" s="170">
        <f>'[1]January -2020'!J27</f>
        <v>388</v>
      </c>
      <c r="I27" s="170">
        <f>'[1]January -2020'!K27</f>
        <v>22811</v>
      </c>
      <c r="J27" s="172">
        <f>'[1]January -2020'!L27</f>
        <v>120</v>
      </c>
      <c r="K27" s="170">
        <f>'[1]January -2020'!N27</f>
        <v>613686.30000000005</v>
      </c>
      <c r="L27" s="172">
        <f>'[1]January -2020'!O27</f>
        <v>138.80000000004657</v>
      </c>
      <c r="M27" s="170">
        <f>'[1]January -2020'!Q27</f>
        <v>156875</v>
      </c>
      <c r="N27" s="172">
        <f>'[1]January -2020'!R27</f>
        <v>0</v>
      </c>
      <c r="O27" s="170">
        <f>'[1]January -2020'!S27</f>
        <v>94987</v>
      </c>
      <c r="P27" s="172">
        <f>'[1]January -2020'!T27</f>
        <v>69</v>
      </c>
      <c r="Q27" s="170">
        <f>'[1]January -2020'!U27</f>
        <v>50</v>
      </c>
      <c r="R27" s="170">
        <f>'[1]January -2020'!V27</f>
        <v>7210</v>
      </c>
      <c r="S27" s="211">
        <f>'[1]January -2020'!W27</f>
        <v>22</v>
      </c>
      <c r="T27" s="475"/>
      <c r="U27" s="171">
        <f>'[1]January -2020'!AB27</f>
        <v>5493569.7599999998</v>
      </c>
      <c r="V27" s="254">
        <f>'[1]January -2020'!AC27</f>
        <v>1948.7999999998137</v>
      </c>
      <c r="W27" s="94">
        <f>'[1]January -2020'!AD27</f>
        <v>2241.1200000001118</v>
      </c>
      <c r="X27" s="94">
        <f>'[1]January -2020'!AE27</f>
        <v>10721420.640000001</v>
      </c>
      <c r="Y27" s="254">
        <f>'[1]January -2020'!AF27</f>
        <v>4774.5600000005215</v>
      </c>
      <c r="Z27" s="94">
        <f>'[1]January -2020'!AG27</f>
        <v>5066.8800000008196</v>
      </c>
      <c r="AA27" s="94">
        <f>'[1]January -2020'!AH27</f>
        <v>9803097.3599999994</v>
      </c>
      <c r="AB27" s="254">
        <f>'[1]January -2020'!AI27</f>
        <v>341.04000000096858</v>
      </c>
      <c r="AC27" s="94">
        <f>'[1]January -2020'!AJ27</f>
        <v>7161.8400000007823</v>
      </c>
      <c r="AD27" s="94">
        <f>'[1]January -2020'!AK27</f>
        <v>13174959.84</v>
      </c>
      <c r="AE27" s="254">
        <f>'[1]January -2020'!AL27</f>
        <v>292.32000000029802</v>
      </c>
      <c r="AF27" s="94">
        <f>'[1]January -2020'!AM27</f>
        <v>341.04000000096858</v>
      </c>
      <c r="AG27" s="94">
        <f>'[1]January -2020'!AN27</f>
        <v>13144899.6</v>
      </c>
      <c r="AH27" s="254">
        <f>'[1]January -2020'!AO27</f>
        <v>6918.2400000002235</v>
      </c>
      <c r="AI27" s="94">
        <f>'[1]January -2020'!AP27</f>
        <v>535.91999999992549</v>
      </c>
      <c r="AJ27" s="94">
        <f>'[1]January -2020'!AQ27</f>
        <v>12033304.08</v>
      </c>
      <c r="AK27" s="254">
        <f>'[1]January -2020'!AR27</f>
        <v>6187.4399999994785</v>
      </c>
      <c r="AL27" s="94">
        <f>'[1]January -2020'!AS27</f>
        <v>5846.4000000003725</v>
      </c>
      <c r="AM27" s="94">
        <f>'[1]January -2020'!AT27</f>
        <v>10484008.08</v>
      </c>
      <c r="AN27" s="254">
        <f>'[1]January -2020'!AU27</f>
        <v>4677.1200000010431</v>
      </c>
      <c r="AO27" s="94">
        <f>'[1]January -2020'!AV27</f>
        <v>4141.1999999992549</v>
      </c>
      <c r="AP27" s="94">
        <f>'[1]January -2020'!AW27</f>
        <v>10134588.24</v>
      </c>
      <c r="AQ27" s="254">
        <f>'[1]January -2020'!AX27</f>
        <v>5115.5999999996275</v>
      </c>
      <c r="AR27" s="94">
        <f>'[1]January -2020'!AY27</f>
        <v>4872</v>
      </c>
      <c r="AS27" s="94">
        <f>'[1]January -2020'!AZ27</f>
        <v>8094974.1599999992</v>
      </c>
      <c r="AT27" s="254">
        <f>'[1]January -2020'!BA27</f>
        <v>3556.5599999995902</v>
      </c>
      <c r="AU27" s="94">
        <f>'[1]January -2020'!BB27</f>
        <v>3410.3999999994412</v>
      </c>
      <c r="AV27" s="94">
        <f>'[1]January -2020'!BC27</f>
        <v>11979663.359999999</v>
      </c>
      <c r="AW27" s="255">
        <f>'[1]January -2020'!BD27</f>
        <v>5554.0799999982119</v>
      </c>
      <c r="AX27" s="256">
        <f>'[1]January -2020'!BE27</f>
        <v>5846.4000000003725</v>
      </c>
      <c r="AY27" s="492"/>
      <c r="AZ27" s="95">
        <f>'[1]January -2020'!BJ27</f>
        <v>49563100</v>
      </c>
      <c r="BA27" s="181">
        <f>'[1]January -2020'!BK27</f>
        <v>0</v>
      </c>
      <c r="BB27" s="95">
        <f>'[1]January -2020'!BL27</f>
        <v>0</v>
      </c>
      <c r="BC27" s="95">
        <f>'[1]January -2020'!BM27</f>
        <v>54057800</v>
      </c>
      <c r="BD27" s="248">
        <f>'[1]January -2020'!BN27</f>
        <v>1700</v>
      </c>
      <c r="BE27" s="95">
        <f>'[1]January -2020'!BO27</f>
        <v>0</v>
      </c>
      <c r="BF27" s="95">
        <f>'[1]January -2020'!BP27</f>
        <v>47606900</v>
      </c>
      <c r="BG27" s="248">
        <f>'[1]January -2020'!BQ27</f>
        <v>30900</v>
      </c>
      <c r="BH27" s="95">
        <f>'[1]January -2020'!BR27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'[1]January -2020'!BS27</f>
        <v>4048140</v>
      </c>
      <c r="BT27" s="187">
        <f>'[1]January -2020'!BT27</f>
        <v>3250</v>
      </c>
      <c r="BU27" s="588"/>
      <c r="BV27" s="88">
        <f>'[1]January -2020'!BV27</f>
        <v>0.51</v>
      </c>
      <c r="BW27" s="244">
        <f>'[1]January -2020'!BW27</f>
        <v>-0.12</v>
      </c>
      <c r="BX27" s="88">
        <f>'[1]January -2020'!BX27</f>
        <v>4.9999999999999989E-2</v>
      </c>
      <c r="BY27" s="89">
        <f>'[1]January -2020'!BY27</f>
        <v>44801</v>
      </c>
      <c r="BZ27" s="193">
        <f>'[1]January -2020'!BZ27</f>
        <v>12</v>
      </c>
      <c r="CA27" s="89">
        <f>'[1]January -2020'!CA27</f>
        <v>39616</v>
      </c>
      <c r="CB27" s="193">
        <f>'[1]January -2020'!CB27</f>
        <v>13</v>
      </c>
      <c r="CC27" s="89">
        <f>'[1]January -2020'!CC27</f>
        <v>13261</v>
      </c>
      <c r="CD27" s="193">
        <f>'[1]January -2020'!CD27</f>
        <v>5</v>
      </c>
      <c r="CE27" s="89">
        <f>'[1]January -2020'!CE27</f>
        <v>16713</v>
      </c>
      <c r="CF27" s="193">
        <f>'[1]January -2020'!CF27</f>
        <v>12</v>
      </c>
      <c r="CG27" s="89">
        <f>'[1]January -2020'!CG27</f>
        <v>19090</v>
      </c>
      <c r="CH27" s="193">
        <f>'[1]January -2020'!CH27</f>
        <v>15</v>
      </c>
      <c r="CI27" s="89">
        <f>'[1]January -2020'!CI27</f>
        <v>40625</v>
      </c>
      <c r="CJ27" s="193">
        <f>'[1]January -2020'!CJ27</f>
        <v>25</v>
      </c>
      <c r="CK27" s="89">
        <f>'[1]January -2020'!CK27</f>
        <v>175452.7</v>
      </c>
      <c r="CL27" s="249">
        <f>'[1]January -2020'!CL27</f>
        <v>84.820000000006985</v>
      </c>
      <c r="CM27" s="89">
        <f>'[1]January -2020'!CM27</f>
        <v>89</v>
      </c>
      <c r="CN27" s="89">
        <f>'[1]January -2020'!CN27</f>
        <v>126922.9</v>
      </c>
      <c r="CO27" s="249">
        <f>'[1]January -2020'!CO27</f>
        <v>95.5</v>
      </c>
      <c r="CP27" s="89">
        <f>'[1]January -2020'!CP27</f>
        <v>82</v>
      </c>
      <c r="CQ27" s="89">
        <f>'[1]January -2020'!CQ27</f>
        <v>239071.1</v>
      </c>
      <c r="CR27" s="249">
        <f>'[1]January -2020'!CR27</f>
        <v>343.60000000000582</v>
      </c>
      <c r="CS27" s="89">
        <f>'[1]January -2020'!CS27</f>
        <v>458</v>
      </c>
      <c r="CT27" s="89">
        <f>'[1]January -2020'!CT27</f>
        <v>473610</v>
      </c>
      <c r="CU27" s="193">
        <f>'[1]January -2020'!CU27</f>
        <v>173</v>
      </c>
      <c r="CV27" s="516"/>
      <c r="CW27" s="208">
        <f>'[1]January -2020'!CW27</f>
        <v>332.2</v>
      </c>
      <c r="CX27" s="200">
        <f>'[1]January -2020'!CX27</f>
        <v>2.5999999999999659</v>
      </c>
      <c r="CY27" s="91">
        <f>'[1]January -2020'!CY27</f>
        <v>1193.7</v>
      </c>
      <c r="CZ27" s="200">
        <f>'[1]January -2020'!CZ27</f>
        <v>32.840000000000146</v>
      </c>
      <c r="DA27" s="91">
        <f>'[1]January -2020'!DA27</f>
        <v>18729.7</v>
      </c>
      <c r="DB27" s="200">
        <f>'[1]January -2020'!DB27</f>
        <v>12.700000000000728</v>
      </c>
      <c r="DC27" s="91">
        <f>'[1]January -2020'!DC27</f>
        <v>19343.3</v>
      </c>
      <c r="DD27" s="200">
        <f>'[1]January -2020'!DD27</f>
        <v>12.5</v>
      </c>
      <c r="DE27" s="91">
        <f>'[1]January -2020'!DE27</f>
        <v>13540.5</v>
      </c>
      <c r="DF27" s="200">
        <f>'[1]January -2020'!DF27</f>
        <v>10.799999999999272</v>
      </c>
      <c r="DG27" s="91">
        <f>'[1]January -2020'!DG27</f>
        <v>17224.099999999999</v>
      </c>
      <c r="DH27" s="200">
        <f>'[1]January -2020'!DH27</f>
        <v>5.1999999999970896</v>
      </c>
      <c r="DI27" s="91">
        <f>'[1]January -2020'!DI27</f>
        <v>825</v>
      </c>
      <c r="DJ27" s="200">
        <f>'[1]January -2020'!DJ27</f>
        <v>0</v>
      </c>
      <c r="DK27" s="91">
        <f>'[1]January -2020'!DK27</f>
        <v>3570</v>
      </c>
      <c r="DL27" s="200">
        <f>'[1]January -2020'!DL27</f>
        <v>0</v>
      </c>
      <c r="DM27" s="91">
        <f>'[1]January -2020'!DM27</f>
        <v>963</v>
      </c>
      <c r="DN27" s="200">
        <f>'[1]January -2020'!DN27</f>
        <v>4</v>
      </c>
      <c r="DO27" s="91">
        <f>'[1]January -2020'!DO27</f>
        <v>1143</v>
      </c>
      <c r="DP27" s="200">
        <f>'[1]January -2020'!DP27</f>
        <v>3</v>
      </c>
      <c r="DQ27" s="91">
        <f>'[1]January -2020'!DQ27</f>
        <v>16971</v>
      </c>
      <c r="DR27" s="209">
        <f>'[1]January -2020'!DR27</f>
        <v>9</v>
      </c>
      <c r="DS27" s="532"/>
      <c r="DT27" s="213">
        <f>'[1]January -2020'!DT27</f>
        <v>2755068.4</v>
      </c>
      <c r="DU27" s="224">
        <f>'[1]January -2020'!DU27</f>
        <v>1481.1999999997206</v>
      </c>
      <c r="DV27" s="93">
        <f>'[1]January -2020'!DV27</f>
        <v>4547.8999999999996</v>
      </c>
      <c r="DW27" s="218">
        <f>'[1]January -2020'!DW27</f>
        <v>4.0999999999994543</v>
      </c>
      <c r="DX27" s="93">
        <f>'[1]January -2020'!DX27</f>
        <v>1819762.3</v>
      </c>
      <c r="DY27" s="218">
        <f>'[1]January -2020'!DY27</f>
        <v>978</v>
      </c>
      <c r="DZ27" s="93">
        <f>'[1]January -2020'!DZ27</f>
        <v>252536.5</v>
      </c>
      <c r="EA27" s="218">
        <f>'[1]January -2020'!EA27</f>
        <v>4.2000000000116415</v>
      </c>
      <c r="EB27" s="93">
        <f>'[1]January -2020'!ED27</f>
        <v>411574.5</v>
      </c>
      <c r="EC27" s="218">
        <f>'[1]January -2020'!EE27</f>
        <v>579.70000000001164</v>
      </c>
      <c r="ED27" s="93">
        <f>'[1]January -2020'!EF27</f>
        <v>87200.4</v>
      </c>
      <c r="EE27" s="232">
        <f>'[1]January -2020'!EG27</f>
        <v>144.79999999998836</v>
      </c>
      <c r="EF27" s="579"/>
      <c r="EG27" s="238">
        <f>'[1]January -2020'!EI27</f>
        <v>6788500</v>
      </c>
      <c r="EH27" s="233">
        <f>'[1]January -2020'!EJ27</f>
        <v>2300</v>
      </c>
      <c r="EI27" s="92">
        <f>'[1]January -2020'!EK27</f>
        <v>599440</v>
      </c>
      <c r="EJ27" s="233">
        <f>'[1]January -2020'!EL27</f>
        <v>240</v>
      </c>
      <c r="EK27" s="92">
        <f>'[1]January -2020'!EM27</f>
        <v>4618400</v>
      </c>
      <c r="EL27" s="233">
        <f>'[1]January -2020'!EN27</f>
        <v>1200</v>
      </c>
      <c r="EM27" s="92">
        <f>'[1]January -2020'!EO27</f>
        <v>1988300</v>
      </c>
      <c r="EN27" s="233">
        <f>'[1]January -2020'!EP27</f>
        <v>0</v>
      </c>
      <c r="EO27" s="92">
        <f>'[1]January -2020'!EQ27</f>
        <v>678470</v>
      </c>
      <c r="EP27" s="233">
        <f>'[1]January -2020'!ER27</f>
        <v>100</v>
      </c>
      <c r="EQ27" s="92">
        <f>'[1]January -2020'!ES27</f>
        <v>10718500</v>
      </c>
      <c r="ER27" s="233">
        <f>'[1]January -2020'!ET27</f>
        <v>1500</v>
      </c>
      <c r="ES27" s="554"/>
      <c r="ET27" s="287">
        <f>'[1]January -2020'!EV27</f>
        <v>27896.2</v>
      </c>
      <c r="EU27" s="286">
        <f>'[1]January -2020'!$EW$11</f>
        <v>19.5</v>
      </c>
      <c r="EV27" s="285">
        <f>'[1]January -2020'!EX27</f>
        <v>24404.400000000001</v>
      </c>
      <c r="EW27" s="286">
        <f>'[1]January -2020'!EY27</f>
        <v>15.200000000000728</v>
      </c>
      <c r="EX27" s="285">
        <f>'[1]January -2020'!FB27</f>
        <v>44113.1</v>
      </c>
      <c r="EY27" s="286">
        <f>'[1]January -2020'!FA27</f>
        <v>0</v>
      </c>
      <c r="EZ27" s="285">
        <f>'[1]January -2020'!EZ27</f>
        <v>0</v>
      </c>
      <c r="FA27" s="286">
        <f>'[1]January -2020'!FA27</f>
        <v>0</v>
      </c>
      <c r="FB27" s="285">
        <f>'[1]January -2020'!FD27</f>
        <v>20759.7</v>
      </c>
      <c r="FC27" s="288">
        <f>'[1]January -2020'!FE27</f>
        <v>23.900000000001455</v>
      </c>
    </row>
    <row r="28" spans="1:159" ht="30" customHeight="1" x14ac:dyDescent="0.25">
      <c r="A28" s="210">
        <v>43849</v>
      </c>
      <c r="B28" s="212">
        <f>'[1]January -2020'!B28</f>
        <v>0.67</v>
      </c>
      <c r="C28" s="253">
        <f>'[1]January -2020'!E28</f>
        <v>524326</v>
      </c>
      <c r="D28" s="172">
        <f>'[1]January -2020'!F28</f>
        <v>542</v>
      </c>
      <c r="E28" s="170">
        <f>'[1]January -2020'!G28</f>
        <v>542</v>
      </c>
      <c r="F28" s="170">
        <f>'[1]January -2020'!H28</f>
        <v>694111</v>
      </c>
      <c r="G28" s="172">
        <f>'[1]January -2020'!I28</f>
        <v>458</v>
      </c>
      <c r="H28" s="170">
        <f>'[1]January -2020'!J28</f>
        <v>450</v>
      </c>
      <c r="I28" s="170">
        <f>'[1]January -2020'!K28</f>
        <v>22999</v>
      </c>
      <c r="J28" s="172">
        <f>'[1]January -2020'!L28</f>
        <v>188</v>
      </c>
      <c r="K28" s="170">
        <f>'[1]January -2020'!N28</f>
        <v>613876.4</v>
      </c>
      <c r="L28" s="172">
        <f>'[1]January -2020'!O28</f>
        <v>190.09999999997672</v>
      </c>
      <c r="M28" s="170">
        <f>'[1]January -2020'!Q28</f>
        <v>156875</v>
      </c>
      <c r="N28" s="172">
        <f>'[1]January -2020'!R28</f>
        <v>0</v>
      </c>
      <c r="O28" s="170">
        <f>'[1]January -2020'!S28</f>
        <v>95058</v>
      </c>
      <c r="P28" s="172">
        <f>'[1]January -2020'!T28</f>
        <v>71</v>
      </c>
      <c r="Q28" s="170">
        <f>'[1]January -2020'!U28</f>
        <v>83</v>
      </c>
      <c r="R28" s="170">
        <f>'[1]January -2020'!V28</f>
        <v>7212</v>
      </c>
      <c r="S28" s="211">
        <f>'[1]January -2020'!W28</f>
        <v>2</v>
      </c>
      <c r="T28" s="475"/>
      <c r="U28" s="171">
        <f>'[1]January -2020'!AB28</f>
        <v>5495616</v>
      </c>
      <c r="V28" s="254">
        <f>'[1]January -2020'!AC28</f>
        <v>2046.2400000002235</v>
      </c>
      <c r="W28" s="94">
        <f>'[1]January -2020'!AD28</f>
        <v>3069.359999999404</v>
      </c>
      <c r="X28" s="94">
        <f>'[1]January -2020'!AE28</f>
        <v>10726243.92</v>
      </c>
      <c r="Y28" s="254">
        <f>'[1]January -2020'!AF28</f>
        <v>4823.2799999993294</v>
      </c>
      <c r="Z28" s="94">
        <f>'[1]January -2020'!AG28</f>
        <v>5164.3199999984354</v>
      </c>
      <c r="AA28" s="94">
        <f>'[1]January -2020'!AH28</f>
        <v>9803389.6799999997</v>
      </c>
      <c r="AB28" s="254">
        <f>'[1]January -2020'!AI28</f>
        <v>292.32000000029802</v>
      </c>
      <c r="AC28" s="94">
        <f>'[1]January -2020'!AJ28</f>
        <v>6625.9199999999255</v>
      </c>
      <c r="AD28" s="94">
        <f>'[1]January -2020'!AK28</f>
        <v>13175008.559999999</v>
      </c>
      <c r="AE28" s="254">
        <f>'[1]January -2020'!AL28</f>
        <v>48.719999998807907</v>
      </c>
      <c r="AF28" s="94">
        <f>'[1]January -2020'!AM28</f>
        <v>146.16000000014901</v>
      </c>
      <c r="AG28" s="94">
        <f>'[1]January -2020'!AN28</f>
        <v>13152499.919999998</v>
      </c>
      <c r="AH28" s="254">
        <f>'[1]January -2020'!AO28</f>
        <v>7600.3199999984354</v>
      </c>
      <c r="AI28" s="94">
        <f>'[1]January -2020'!AP28</f>
        <v>0</v>
      </c>
      <c r="AJ28" s="94">
        <f>'[1]January -2020'!AQ28</f>
        <v>12039588.959999999</v>
      </c>
      <c r="AK28" s="254">
        <f>'[1]January -2020'!AR28</f>
        <v>6284.8799999989569</v>
      </c>
      <c r="AL28" s="94">
        <f>'[1]January -2020'!AS28</f>
        <v>5943.8399999979883</v>
      </c>
      <c r="AM28" s="94">
        <f>'[1]January -2020'!AT28</f>
        <v>10488636.48</v>
      </c>
      <c r="AN28" s="254">
        <f>'[1]January -2020'!AU28</f>
        <v>4628.4000000003725</v>
      </c>
      <c r="AO28" s="94">
        <f>'[1]January -2020'!AV28</f>
        <v>4530.9600000008941</v>
      </c>
      <c r="AP28" s="94">
        <f>'[1]January -2020'!AW28</f>
        <v>10139801.280000001</v>
      </c>
      <c r="AQ28" s="254">
        <f>'[1]January -2020'!AX28</f>
        <v>5213.0400000009686</v>
      </c>
      <c r="AR28" s="94">
        <f>'[1]January -2020'!AY28</f>
        <v>5164.3199999993667</v>
      </c>
      <c r="AS28" s="94">
        <f>'[1]January -2020'!AZ28</f>
        <v>8098676.8800000008</v>
      </c>
      <c r="AT28" s="254">
        <f>'[1]January -2020'!BA28</f>
        <v>3702.7200000016019</v>
      </c>
      <c r="AU28" s="94">
        <f>'[1]January -2020'!BB28</f>
        <v>3702.7199999997392</v>
      </c>
      <c r="AV28" s="94">
        <f>'[1]January -2020'!BC28</f>
        <v>11985266.16</v>
      </c>
      <c r="AW28" s="255">
        <f>'[1]January -2020'!BD28</f>
        <v>5602.8000000007451</v>
      </c>
      <c r="AX28" s="256">
        <f>'[1]January -2020'!BE28</f>
        <v>5602.7999999988824</v>
      </c>
      <c r="AY28" s="492"/>
      <c r="AZ28" s="95">
        <f>'[1]January -2020'!BJ28</f>
        <v>49563100</v>
      </c>
      <c r="BA28" s="181">
        <f>'[1]January -2020'!BK28</f>
        <v>0</v>
      </c>
      <c r="BB28" s="95">
        <f>'[1]January -2020'!BL28</f>
        <v>37600</v>
      </c>
      <c r="BC28" s="95">
        <f>'[1]January -2020'!BM28</f>
        <v>54057800</v>
      </c>
      <c r="BD28" s="248">
        <f>'[1]January -2020'!BN28</f>
        <v>0</v>
      </c>
      <c r="BE28" s="95">
        <f>'[1]January -2020'!BO28</f>
        <v>0</v>
      </c>
      <c r="BF28" s="95">
        <f>'[1]January -2020'!BP28</f>
        <v>47640900</v>
      </c>
      <c r="BG28" s="248">
        <f>'[1]January -2020'!BQ28</f>
        <v>34000</v>
      </c>
      <c r="BH28" s="95">
        <f>'[1]January -2020'!BR28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'[1]January -2020'!BS28</f>
        <v>4052500</v>
      </c>
      <c r="BT28" s="187">
        <f>'[1]January -2020'!BT28</f>
        <v>4360</v>
      </c>
      <c r="BU28" s="588"/>
      <c r="BV28" s="88">
        <f>'[1]January -2020'!BV28</f>
        <v>0.45</v>
      </c>
      <c r="BW28" s="244">
        <f>'[1]January -2020'!BW28</f>
        <v>-0.06</v>
      </c>
      <c r="BX28" s="88">
        <f>'[1]January -2020'!BX28</f>
        <v>8.0000000000000016E-2</v>
      </c>
      <c r="BY28" s="89">
        <f>'[1]January -2020'!BY28</f>
        <v>44812</v>
      </c>
      <c r="BZ28" s="193">
        <f>'[1]January -2020'!BZ28</f>
        <v>11</v>
      </c>
      <c r="CA28" s="89">
        <f>'[1]January -2020'!CA28</f>
        <v>39625</v>
      </c>
      <c r="CB28" s="193">
        <f>'[1]January -2020'!CB28</f>
        <v>9</v>
      </c>
      <c r="CC28" s="89">
        <f>'[1]January -2020'!CC28</f>
        <v>13265</v>
      </c>
      <c r="CD28" s="193">
        <f>'[1]January -2020'!CD28</f>
        <v>4</v>
      </c>
      <c r="CE28" s="89">
        <f>'[1]January -2020'!CE28</f>
        <v>16726</v>
      </c>
      <c r="CF28" s="193">
        <f>'[1]January -2020'!CF28</f>
        <v>13</v>
      </c>
      <c r="CG28" s="89">
        <f>'[1]January -2020'!CG28</f>
        <v>19105</v>
      </c>
      <c r="CH28" s="193">
        <f>'[1]January -2020'!CH28</f>
        <v>15</v>
      </c>
      <c r="CI28" s="89">
        <f>'[1]January -2020'!CI28</f>
        <v>40646</v>
      </c>
      <c r="CJ28" s="193">
        <f>'[1]January -2020'!CJ28</f>
        <v>21</v>
      </c>
      <c r="CK28" s="89">
        <f>'[1]January -2020'!CK28</f>
        <v>175535.8</v>
      </c>
      <c r="CL28" s="249">
        <f>'[1]January -2020'!CL28</f>
        <v>83.099999999976717</v>
      </c>
      <c r="CM28" s="89">
        <f>'[1]January -2020'!CM28</f>
        <v>84</v>
      </c>
      <c r="CN28" s="89">
        <f>'[1]January -2020'!CN28</f>
        <v>127016.6</v>
      </c>
      <c r="CO28" s="249">
        <f>'[1]January -2020'!CO28</f>
        <v>93.700000000011642</v>
      </c>
      <c r="CP28" s="89">
        <f>'[1]January -2020'!CP28</f>
        <v>91</v>
      </c>
      <c r="CQ28" s="89">
        <f>'[1]January -2020'!CQ28</f>
        <v>239470.8</v>
      </c>
      <c r="CR28" s="249">
        <f>'[1]January -2020'!CR28</f>
        <v>399.69999999998254</v>
      </c>
      <c r="CS28" s="89">
        <f>'[1]January -2020'!CS28</f>
        <v>435</v>
      </c>
      <c r="CT28" s="89">
        <f>'[1]January -2020'!CT28</f>
        <v>473776</v>
      </c>
      <c r="CU28" s="193">
        <f>'[1]January -2020'!CU28</f>
        <v>166</v>
      </c>
      <c r="CV28" s="516"/>
      <c r="CW28" s="208">
        <f>'[1]January -2020'!CW28</f>
        <v>332.2</v>
      </c>
      <c r="CX28" s="200">
        <f>'[1]January -2020'!CX28</f>
        <v>0</v>
      </c>
      <c r="CY28" s="91">
        <f>'[1]January -2020'!CY28</f>
        <v>1193.7</v>
      </c>
      <c r="CZ28" s="200">
        <f>'[1]January -2020'!CZ28</f>
        <v>0</v>
      </c>
      <c r="DA28" s="91">
        <f>'[1]January -2020'!DA28</f>
        <v>18742.5</v>
      </c>
      <c r="DB28" s="200">
        <f>'[1]January -2020'!DB28</f>
        <v>12.799999999999272</v>
      </c>
      <c r="DC28" s="91">
        <f>'[1]January -2020'!DC28</f>
        <v>19354.2</v>
      </c>
      <c r="DD28" s="200">
        <f>'[1]January -2020'!DD28</f>
        <v>10.900000000001455</v>
      </c>
      <c r="DE28" s="91">
        <f>'[1]January -2020'!DE28</f>
        <v>13549.9</v>
      </c>
      <c r="DF28" s="200">
        <f>'[1]January -2020'!DF28</f>
        <v>9.3999999999996362</v>
      </c>
      <c r="DG28" s="91">
        <f>'[1]January -2020'!DG28</f>
        <v>17229.900000000001</v>
      </c>
      <c r="DH28" s="200">
        <f>'[1]January -2020'!DH28</f>
        <v>5.8000000000029104</v>
      </c>
      <c r="DI28" s="91">
        <f>'[1]January -2020'!DI28</f>
        <v>825</v>
      </c>
      <c r="DJ28" s="200">
        <f>'[1]January -2020'!DJ28</f>
        <v>0</v>
      </c>
      <c r="DK28" s="91">
        <f>'[1]January -2020'!DK28</f>
        <v>3570</v>
      </c>
      <c r="DL28" s="200">
        <f>'[1]January -2020'!DL28</f>
        <v>0</v>
      </c>
      <c r="DM28" s="91">
        <f>'[1]January -2020'!DM28</f>
        <v>967</v>
      </c>
      <c r="DN28" s="200">
        <f>'[1]January -2020'!DN28</f>
        <v>4</v>
      </c>
      <c r="DO28" s="91">
        <f>'[1]January -2020'!DO28</f>
        <v>1145</v>
      </c>
      <c r="DP28" s="200">
        <f>'[1]January -2020'!DP28</f>
        <v>2</v>
      </c>
      <c r="DQ28" s="91">
        <f>'[1]January -2020'!DQ28</f>
        <v>16981</v>
      </c>
      <c r="DR28" s="209">
        <f>'[1]January -2020'!DR28</f>
        <v>10</v>
      </c>
      <c r="DS28" s="532"/>
      <c r="DT28" s="213">
        <f>'[1]January -2020'!DT28</f>
        <v>2756551.5</v>
      </c>
      <c r="DU28" s="224">
        <f>'[1]January -2020'!DU28</f>
        <v>1483.1000000000931</v>
      </c>
      <c r="DV28" s="93">
        <f>'[1]January -2020'!DV28</f>
        <v>4552.2</v>
      </c>
      <c r="DW28" s="218">
        <f>'[1]January -2020'!DW28</f>
        <v>4.3000000000001819</v>
      </c>
      <c r="DX28" s="93">
        <f>'[1]January -2020'!DX28</f>
        <v>1820821.6</v>
      </c>
      <c r="DY28" s="218">
        <f>'[1]January -2020'!DY28</f>
        <v>1059.3000000000466</v>
      </c>
      <c r="DZ28" s="93">
        <f>'[1]January -2020'!DZ28</f>
        <v>252540.79999999999</v>
      </c>
      <c r="EA28" s="218">
        <f>'[1]January -2020'!EA28</f>
        <v>4.2999999999883585</v>
      </c>
      <c r="EB28" s="93">
        <f>'[1]January -2020'!ED28</f>
        <v>412179</v>
      </c>
      <c r="EC28" s="218">
        <f>'[1]January -2020'!EE28</f>
        <v>604.5</v>
      </c>
      <c r="ED28" s="93">
        <f>'[1]January -2020'!EF28</f>
        <v>87345.4</v>
      </c>
      <c r="EE28" s="232">
        <f>'[1]January -2020'!EG28</f>
        <v>145</v>
      </c>
      <c r="EF28" s="579"/>
      <c r="EG28" s="238">
        <f>'[1]January -2020'!EI28</f>
        <v>6790500</v>
      </c>
      <c r="EH28" s="233">
        <f>'[1]January -2020'!EJ28</f>
        <v>2000</v>
      </c>
      <c r="EI28" s="92">
        <f>'[1]January -2020'!EK28</f>
        <v>599690</v>
      </c>
      <c r="EJ28" s="233">
        <f>'[1]January -2020'!EL28</f>
        <v>250</v>
      </c>
      <c r="EK28" s="92">
        <f>'[1]January -2020'!EM28</f>
        <v>4619400</v>
      </c>
      <c r="EL28" s="233">
        <f>'[1]January -2020'!EN28</f>
        <v>1000</v>
      </c>
      <c r="EM28" s="92">
        <f>'[1]January -2020'!EO28</f>
        <v>1988400</v>
      </c>
      <c r="EN28" s="233">
        <f>'[1]January -2020'!EP28</f>
        <v>100</v>
      </c>
      <c r="EO28" s="92">
        <f>'[1]January -2020'!EQ28</f>
        <v>678620</v>
      </c>
      <c r="EP28" s="233">
        <f>'[1]January -2020'!ER28</f>
        <v>150</v>
      </c>
      <c r="EQ28" s="92">
        <f>'[1]January -2020'!ES28</f>
        <v>10719600</v>
      </c>
      <c r="ER28" s="233">
        <f>'[1]January -2020'!ET28</f>
        <v>1100</v>
      </c>
      <c r="ES28" s="554"/>
      <c r="ET28" s="287">
        <f>'[1]January -2020'!EV28</f>
        <v>27912.1</v>
      </c>
      <c r="EU28" s="286">
        <f>'[1]January -2020'!$EW$11</f>
        <v>19.5</v>
      </c>
      <c r="EV28" s="285">
        <f>'[1]January -2020'!EX28</f>
        <v>24417.8</v>
      </c>
      <c r="EW28" s="286">
        <f>'[1]January -2020'!EY28</f>
        <v>13.399999999997817</v>
      </c>
      <c r="EX28" s="285">
        <f>'[1]January -2020'!FB28</f>
        <v>44148</v>
      </c>
      <c r="EY28" s="286">
        <f>'[1]January -2020'!FA28</f>
        <v>0</v>
      </c>
      <c r="EZ28" s="285">
        <f>'[1]January -2020'!EZ28</f>
        <v>0</v>
      </c>
      <c r="FA28" s="286">
        <f>'[1]January -2020'!FA28</f>
        <v>0</v>
      </c>
      <c r="FB28" s="285">
        <f>'[1]January -2020'!FD28</f>
        <v>20786.7</v>
      </c>
      <c r="FC28" s="288">
        <f>'[1]January -2020'!FE28</f>
        <v>27</v>
      </c>
    </row>
    <row r="29" spans="1:159" ht="30" customHeight="1" x14ac:dyDescent="0.25">
      <c r="A29" s="210">
        <v>43850</v>
      </c>
      <c r="B29" s="212">
        <f>'[1]January -2020'!B29</f>
        <v>0.69</v>
      </c>
      <c r="C29" s="253">
        <f>'[1]January -2020'!E29</f>
        <v>524860</v>
      </c>
      <c r="D29" s="172">
        <f>'[1]January -2020'!F29</f>
        <v>486</v>
      </c>
      <c r="E29" s="170">
        <f>'[1]January -2020'!G29</f>
        <v>486</v>
      </c>
      <c r="F29" s="170">
        <f>'[1]January -2020'!H29</f>
        <v>694523</v>
      </c>
      <c r="G29" s="172">
        <f>'[1]January -2020'!I29</f>
        <v>412</v>
      </c>
      <c r="H29" s="170">
        <f>'[1]January -2020'!J29</f>
        <v>411</v>
      </c>
      <c r="I29" s="170">
        <f>'[1]January -2020'!K29</f>
        <v>23157</v>
      </c>
      <c r="J29" s="172">
        <f>'[1]January -2020'!L29</f>
        <v>158</v>
      </c>
      <c r="K29" s="170">
        <f>'[1]January -2020'!N29</f>
        <v>614074.69999999995</v>
      </c>
      <c r="L29" s="172">
        <f>'[1]January -2020'!O29</f>
        <v>198.29999999993015</v>
      </c>
      <c r="M29" s="170">
        <f>'[1]January -2020'!Q29</f>
        <v>156875</v>
      </c>
      <c r="N29" s="172">
        <f>'[1]January -2020'!R29</f>
        <v>0</v>
      </c>
      <c r="O29" s="170">
        <f>'[1]January -2020'!S29</f>
        <v>95132</v>
      </c>
      <c r="P29" s="172">
        <f>'[1]January -2020'!T29</f>
        <v>74</v>
      </c>
      <c r="Q29" s="170">
        <f>'[1]January -2020'!U29</f>
        <v>62</v>
      </c>
      <c r="R29" s="170">
        <f>'[1]January -2020'!V29</f>
        <v>7223</v>
      </c>
      <c r="S29" s="211">
        <f>'[1]January -2020'!W29</f>
        <v>11</v>
      </c>
      <c r="T29" s="475"/>
      <c r="U29" s="171">
        <f>'[1]January -2020'!AB29</f>
        <v>5497710.96</v>
      </c>
      <c r="V29" s="254">
        <f>'[1]January -2020'!AC29</f>
        <v>2094.9599999999627</v>
      </c>
      <c r="W29" s="94">
        <f>'[1]January -2020'!AD29</f>
        <v>2971.9199999999255</v>
      </c>
      <c r="X29" s="94">
        <f>'[1]January -2020'!AE29</f>
        <v>10731115.92</v>
      </c>
      <c r="Y29" s="254">
        <f>'[1]January -2020'!AF29</f>
        <v>4872</v>
      </c>
      <c r="Z29" s="94">
        <f>'[1]January -2020'!AG29</f>
        <v>5213.0400000009686</v>
      </c>
      <c r="AA29" s="94">
        <f>'[1]January -2020'!AH29</f>
        <v>9803779.4399999995</v>
      </c>
      <c r="AB29" s="254">
        <f>'[1]January -2020'!AI29</f>
        <v>389.75999999977648</v>
      </c>
      <c r="AC29" s="94">
        <f>'[1]January -2020'!AJ29</f>
        <v>6431.0399999991059</v>
      </c>
      <c r="AD29" s="94">
        <f>'[1]January -2020'!AK29</f>
        <v>13175057.280000001</v>
      </c>
      <c r="AE29" s="254">
        <f>'[1]January -2020'!AL29</f>
        <v>48.720000002533197</v>
      </c>
      <c r="AF29" s="94">
        <f>'[1]January -2020'!AM29</f>
        <v>48.720000000670552</v>
      </c>
      <c r="AG29" s="94">
        <f>'[1]January -2020'!AN29</f>
        <v>13160879.76</v>
      </c>
      <c r="AH29" s="254">
        <f>'[1]January -2020'!AO29</f>
        <v>8379.8400000017136</v>
      </c>
      <c r="AI29" s="94">
        <f>'[1]January -2020'!AP29</f>
        <v>48.720000000670552</v>
      </c>
      <c r="AJ29" s="94">
        <f>'[1]January -2020'!AQ29</f>
        <v>12045971.280000001</v>
      </c>
      <c r="AK29" s="254">
        <f>'[1]January -2020'!AR29</f>
        <v>6382.3200000021607</v>
      </c>
      <c r="AL29" s="94">
        <f>'[1]January -2020'!AS29</f>
        <v>5992.5600000023842</v>
      </c>
      <c r="AM29" s="94">
        <f>'[1]January -2020'!AT29</f>
        <v>10492875.119999999</v>
      </c>
      <c r="AN29" s="254">
        <f>'[1]January -2020'!AU29</f>
        <v>4238.6399999987334</v>
      </c>
      <c r="AO29" s="94">
        <f>'[1]January -2020'!AV29</f>
        <v>4189.9199999980628</v>
      </c>
      <c r="AP29" s="94">
        <f>'[1]January -2020'!AW29</f>
        <v>10144722</v>
      </c>
      <c r="AQ29" s="254">
        <f>'[1]January -2020'!AX29</f>
        <v>4920.7199999988079</v>
      </c>
      <c r="AR29" s="94">
        <f>'[1]January -2020'!AY29</f>
        <v>4969.4400000004098</v>
      </c>
      <c r="AS29" s="94">
        <f>'[1]January -2020'!AZ29</f>
        <v>8102330.8800000008</v>
      </c>
      <c r="AT29" s="254">
        <f>'[1]January -2020'!BA29</f>
        <v>3654</v>
      </c>
      <c r="AU29" s="94">
        <f>'[1]January -2020'!BB29</f>
        <v>3605.2800000002608</v>
      </c>
      <c r="AV29" s="94">
        <f>'[1]January -2020'!BC29</f>
        <v>11990820.24</v>
      </c>
      <c r="AW29" s="255">
        <f>'[1]January -2020'!BD29</f>
        <v>5554.0800000000745</v>
      </c>
      <c r="AX29" s="256">
        <f>'[1]January -2020'!BE29</f>
        <v>6090</v>
      </c>
      <c r="AY29" s="492"/>
      <c r="AZ29" s="95">
        <f>'[1]January -2020'!BJ29</f>
        <v>49563100</v>
      </c>
      <c r="BA29" s="181">
        <f>'[1]January -2020'!BK29</f>
        <v>0</v>
      </c>
      <c r="BB29" s="95">
        <f>'[1]January -2020'!BL29</f>
        <v>36000</v>
      </c>
      <c r="BC29" s="95">
        <f>'[1]January -2020'!BM29</f>
        <v>54057800</v>
      </c>
      <c r="BD29" s="248">
        <f>'[1]January -2020'!BN29</f>
        <v>0</v>
      </c>
      <c r="BE29" s="95">
        <f>'[1]January -2020'!BO29</f>
        <v>0</v>
      </c>
      <c r="BF29" s="95">
        <f>'[1]January -2020'!BP29</f>
        <v>47677400</v>
      </c>
      <c r="BG29" s="248">
        <f>'[1]January -2020'!BQ29</f>
        <v>36500</v>
      </c>
      <c r="BH29" s="95">
        <f>'[1]January -2020'!BR29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'[1]January -2020'!BS29</f>
        <v>4056140</v>
      </c>
      <c r="BT29" s="187">
        <f>'[1]January -2020'!BT29</f>
        <v>3640</v>
      </c>
      <c r="BU29" s="588"/>
      <c r="BV29" s="88">
        <f>'[1]January -2020'!BV29</f>
        <v>0.79</v>
      </c>
      <c r="BW29" s="244">
        <f>'[1]January -2020'!BW29</f>
        <v>0.34</v>
      </c>
      <c r="BX29" s="88">
        <f>'[1]January -2020'!BX29</f>
        <v>3.999999999999998E-2</v>
      </c>
      <c r="BY29" s="89">
        <f>'[1]January -2020'!BY29</f>
        <v>44826</v>
      </c>
      <c r="BZ29" s="193">
        <f>'[1]January -2020'!BZ29</f>
        <v>14</v>
      </c>
      <c r="CA29" s="89">
        <f>'[1]January -2020'!CA29</f>
        <v>39639</v>
      </c>
      <c r="CB29" s="193">
        <f>'[1]January -2020'!CB29</f>
        <v>14</v>
      </c>
      <c r="CC29" s="89">
        <f>'[1]January -2020'!CC29</f>
        <v>13270</v>
      </c>
      <c r="CD29" s="193">
        <f>'[1]January -2020'!CD29</f>
        <v>5</v>
      </c>
      <c r="CE29" s="89">
        <f>'[1]January -2020'!CE29</f>
        <v>16734</v>
      </c>
      <c r="CF29" s="193">
        <f>'[1]January -2020'!CF29</f>
        <v>8</v>
      </c>
      <c r="CG29" s="89">
        <f>'[1]January -2020'!CG29</f>
        <v>19113</v>
      </c>
      <c r="CH29" s="193">
        <f>'[1]January -2020'!CH29</f>
        <v>8</v>
      </c>
      <c r="CI29" s="89">
        <f>'[1]January -2020'!CI29</f>
        <v>40667</v>
      </c>
      <c r="CJ29" s="193">
        <f>'[1]January -2020'!CJ29</f>
        <v>21</v>
      </c>
      <c r="CK29" s="89">
        <f>'[1]January -2020'!CK29</f>
        <v>175618.4</v>
      </c>
      <c r="CL29" s="249">
        <f>'[1]January -2020'!CL29</f>
        <v>82.600000000005821</v>
      </c>
      <c r="CM29" s="89">
        <f>'[1]January -2020'!CM29</f>
        <v>90</v>
      </c>
      <c r="CN29" s="89">
        <f>'[1]January -2020'!CN29</f>
        <v>127109.7</v>
      </c>
      <c r="CO29" s="249">
        <f>'[1]January -2020'!CO29</f>
        <v>93.099999999991269</v>
      </c>
      <c r="CP29" s="89">
        <f>'[1]January -2020'!CP29</f>
        <v>84</v>
      </c>
      <c r="CQ29" s="89">
        <f>'[1]January -2020'!CQ29</f>
        <v>239870.1</v>
      </c>
      <c r="CR29" s="249">
        <f>'[1]January -2020'!CR29</f>
        <v>399.30000000001746</v>
      </c>
      <c r="CS29" s="89">
        <f>'[1]January -2020'!CS29</f>
        <v>499</v>
      </c>
      <c r="CT29" s="89">
        <f>'[1]January -2020'!CT29</f>
        <v>473941</v>
      </c>
      <c r="CU29" s="193">
        <f>'[1]January -2020'!CU29</f>
        <v>165</v>
      </c>
      <c r="CV29" s="516"/>
      <c r="CW29" s="208">
        <f>'[1]January -2020'!CW29</f>
        <v>332.2</v>
      </c>
      <c r="CX29" s="200">
        <f>'[1]January -2020'!CX29</f>
        <v>0</v>
      </c>
      <c r="CY29" s="91">
        <f>'[1]January -2020'!CY29</f>
        <v>1193.7</v>
      </c>
      <c r="CZ29" s="200">
        <f>'[1]January -2020'!CZ29</f>
        <v>0</v>
      </c>
      <c r="DA29" s="91">
        <f>'[1]January -2020'!DA29</f>
        <v>18759.3</v>
      </c>
      <c r="DB29" s="200">
        <f>'[1]January -2020'!DB29</f>
        <v>16.799999999999272</v>
      </c>
      <c r="DC29" s="91">
        <f>'[1]January -2020'!DC29</f>
        <v>19365.599999999999</v>
      </c>
      <c r="DD29" s="200">
        <f>'[1]January -2020'!DD29</f>
        <v>11.399999999997817</v>
      </c>
      <c r="DE29" s="91">
        <f>'[1]January -2020'!DE29</f>
        <v>13558.7</v>
      </c>
      <c r="DF29" s="200">
        <f>'[1]January -2020'!DF29</f>
        <v>8.8000000000010914</v>
      </c>
      <c r="DG29" s="91">
        <f>'[1]January -2020'!DG29</f>
        <v>17237</v>
      </c>
      <c r="DH29" s="200">
        <f>'[1]January -2020'!DH29</f>
        <v>7.0999999999985448</v>
      </c>
      <c r="DI29" s="91">
        <f>'[1]January -2020'!DI29</f>
        <v>825</v>
      </c>
      <c r="DJ29" s="200">
        <f>'[1]January -2020'!DJ29</f>
        <v>0</v>
      </c>
      <c r="DK29" s="91">
        <f>'[1]January -2020'!DK29</f>
        <v>3570</v>
      </c>
      <c r="DL29" s="200">
        <f>'[1]January -2020'!DL29</f>
        <v>0</v>
      </c>
      <c r="DM29" s="91">
        <f>'[1]January -2020'!DM29</f>
        <v>971</v>
      </c>
      <c r="DN29" s="200">
        <f>'[1]January -2020'!DN29</f>
        <v>4</v>
      </c>
      <c r="DO29" s="91">
        <f>'[1]January -2020'!DO29</f>
        <v>1148</v>
      </c>
      <c r="DP29" s="200">
        <f>'[1]January -2020'!DP29</f>
        <v>3</v>
      </c>
      <c r="DQ29" s="91">
        <f>'[1]January -2020'!DQ29</f>
        <v>16991</v>
      </c>
      <c r="DR29" s="209">
        <f>'[1]January -2020'!DR29</f>
        <v>10</v>
      </c>
      <c r="DS29" s="532"/>
      <c r="DT29" s="213">
        <f>'[1]January -2020'!DT29</f>
        <v>2758001.1</v>
      </c>
      <c r="DU29" s="224">
        <f>'[1]January -2020'!DU29</f>
        <v>1449.6000000000931</v>
      </c>
      <c r="DV29" s="93">
        <f>'[1]January -2020'!DV29</f>
        <v>4556.5</v>
      </c>
      <c r="DW29" s="218">
        <f>'[1]January -2020'!DW29</f>
        <v>4.3000000000001819</v>
      </c>
      <c r="DX29" s="93">
        <f>'[1]January -2020'!DX29</f>
        <v>1821838.7</v>
      </c>
      <c r="DY29" s="218">
        <f>'[1]January -2020'!DY29</f>
        <v>1017.0999999998603</v>
      </c>
      <c r="DZ29" s="93">
        <f>'[1]January -2020'!DZ29</f>
        <v>252545</v>
      </c>
      <c r="EA29" s="218">
        <f>'[1]January -2020'!EA29</f>
        <v>4.2000000000116415</v>
      </c>
      <c r="EB29" s="93">
        <f>'[1]January -2020'!ED29</f>
        <v>412688.9</v>
      </c>
      <c r="EC29" s="218">
        <f>'[1]January -2020'!EE29</f>
        <v>509.90000000002328</v>
      </c>
      <c r="ED29" s="93">
        <f>'[1]January -2020'!EF29</f>
        <v>87491.1</v>
      </c>
      <c r="EE29" s="232">
        <f>'[1]January -2020'!EG29</f>
        <v>145.70000000001164</v>
      </c>
      <c r="EF29" s="579"/>
      <c r="EG29" s="238">
        <f>'[1]January -2020'!EI29</f>
        <v>6792900</v>
      </c>
      <c r="EH29" s="233">
        <f>'[1]January -2020'!EJ29</f>
        <v>2400</v>
      </c>
      <c r="EI29" s="92">
        <f>'[1]January -2020'!EK29</f>
        <v>599870</v>
      </c>
      <c r="EJ29" s="233">
        <f>'[1]January -2020'!EL29</f>
        <v>180</v>
      </c>
      <c r="EK29" s="92">
        <f>'[1]January -2020'!EM29</f>
        <v>4620700</v>
      </c>
      <c r="EL29" s="233">
        <f>'[1]January -2020'!EN29</f>
        <v>1300</v>
      </c>
      <c r="EM29" s="92">
        <f>'[1]January -2020'!EO29</f>
        <v>1988400</v>
      </c>
      <c r="EN29" s="233">
        <f>'[1]January -2020'!EP29</f>
        <v>0</v>
      </c>
      <c r="EO29" s="92">
        <f>'[1]January -2020'!EQ29</f>
        <v>678770</v>
      </c>
      <c r="EP29" s="233">
        <f>'[1]January -2020'!ER29</f>
        <v>150</v>
      </c>
      <c r="EQ29" s="92">
        <f>'[1]January -2020'!ES29</f>
        <v>10720500</v>
      </c>
      <c r="ER29" s="233">
        <f>'[1]January -2020'!ET29</f>
        <v>900</v>
      </c>
      <c r="ES29" s="554"/>
      <c r="ET29" s="287">
        <f>'[1]January -2020'!EV29</f>
        <v>27928.400000000001</v>
      </c>
      <c r="EU29" s="286">
        <f>'[1]January -2020'!$EW$11</f>
        <v>19.5</v>
      </c>
      <c r="EV29" s="285">
        <f>'[1]January -2020'!EX29</f>
        <v>24430.9</v>
      </c>
      <c r="EW29" s="286">
        <f>'[1]January -2020'!EY29</f>
        <v>13.100000000002183</v>
      </c>
      <c r="EX29" s="285">
        <f>'[1]January -2020'!FB29</f>
        <v>44182</v>
      </c>
      <c r="EY29" s="286">
        <f>'[1]January -2020'!FA29</f>
        <v>0</v>
      </c>
      <c r="EZ29" s="285">
        <f>'[1]January -2020'!EZ29</f>
        <v>0</v>
      </c>
      <c r="FA29" s="286">
        <f>'[1]January -2020'!FA29</f>
        <v>0</v>
      </c>
      <c r="FB29" s="285">
        <f>'[1]January -2020'!FD29</f>
        <v>20814.7</v>
      </c>
      <c r="FC29" s="288">
        <f>'[1]January -2020'!FE29</f>
        <v>28</v>
      </c>
    </row>
    <row r="30" spans="1:159" ht="30" customHeight="1" x14ac:dyDescent="0.25">
      <c r="A30" s="210">
        <v>43851</v>
      </c>
      <c r="B30" s="212">
        <f>'[1]January -2020'!B30</f>
        <v>0</v>
      </c>
      <c r="C30" s="253">
        <f>'[1]January -2020'!E30</f>
        <v>525293</v>
      </c>
      <c r="D30" s="172">
        <f>'[1]January -2020'!F30</f>
        <v>403</v>
      </c>
      <c r="E30" s="170">
        <f>'[1]January -2020'!G30</f>
        <v>403</v>
      </c>
      <c r="F30" s="170">
        <f>'[1]January -2020'!H30</f>
        <v>694925</v>
      </c>
      <c r="G30" s="172">
        <f>'[1]January -2020'!I30</f>
        <v>402</v>
      </c>
      <c r="H30" s="170">
        <f>'[1]January -2020'!J30</f>
        <v>321</v>
      </c>
      <c r="I30" s="170">
        <f>'[1]January -2020'!K30</f>
        <v>23299</v>
      </c>
      <c r="J30" s="172">
        <f>'[1]January -2020'!L30</f>
        <v>142</v>
      </c>
      <c r="K30" s="170">
        <f>'[1]January -2020'!N30</f>
        <v>614135.69999999995</v>
      </c>
      <c r="L30" s="172">
        <f>'[1]January -2020'!O30</f>
        <v>61</v>
      </c>
      <c r="M30" s="170">
        <f>'[1]January -2020'!Q30</f>
        <v>156875</v>
      </c>
      <c r="N30" s="172">
        <f>'[1]January -2020'!R30</f>
        <v>0</v>
      </c>
      <c r="O30" s="170">
        <f>'[1]January -2020'!S30</f>
        <v>95182</v>
      </c>
      <c r="P30" s="172">
        <f>'[1]January -2020'!T30</f>
        <v>50</v>
      </c>
      <c r="Q30" s="170">
        <f>'[1]January -2020'!U30</f>
        <v>58</v>
      </c>
      <c r="R30" s="170">
        <f>'[1]January -2020'!V30</f>
        <v>7223</v>
      </c>
      <c r="S30" s="211">
        <f>'[1]January -2020'!W30</f>
        <v>0</v>
      </c>
      <c r="T30" s="475"/>
      <c r="U30" s="171">
        <f>'[1]January -2020'!AB30</f>
        <v>5499562.3200000003</v>
      </c>
      <c r="V30" s="254">
        <f>'[1]January -2020'!AC30</f>
        <v>1851.3600000003353</v>
      </c>
      <c r="W30" s="94">
        <f>'[1]January -2020'!AD30</f>
        <v>2923.2000000001863</v>
      </c>
      <c r="X30" s="94">
        <f>'[1]January -2020'!AE30</f>
        <v>10735841.76</v>
      </c>
      <c r="Y30" s="254">
        <f>'[1]January -2020'!AF30</f>
        <v>4725.839999999851</v>
      </c>
      <c r="Z30" s="94">
        <f>'[1]January -2020'!AG30</f>
        <v>4823.2799999993294</v>
      </c>
      <c r="AA30" s="94">
        <f>'[1]January -2020'!AH30</f>
        <v>9804217.9199999999</v>
      </c>
      <c r="AB30" s="254">
        <f>'[1]January -2020'!AI30</f>
        <v>438.48000000044703</v>
      </c>
      <c r="AC30" s="94">
        <f>'[1]January -2020'!AJ30</f>
        <v>828.24000000115484</v>
      </c>
      <c r="AD30" s="94">
        <f>'[1]January -2020'!AK30</f>
        <v>13175057.280000001</v>
      </c>
      <c r="AE30" s="254">
        <f>'[1]January -2020'!AL30</f>
        <v>0</v>
      </c>
      <c r="AF30" s="94">
        <f>'[1]January -2020'!AM30</f>
        <v>5407.9199999980628</v>
      </c>
      <c r="AG30" s="94">
        <f>'[1]January -2020'!AN30</f>
        <v>13167456.959999999</v>
      </c>
      <c r="AH30" s="254">
        <f>'[1]January -2020'!AO30</f>
        <v>6577.1999999992549</v>
      </c>
      <c r="AI30" s="94">
        <f>'[1]January -2020'!AP30</f>
        <v>48.719999998807907</v>
      </c>
      <c r="AJ30" s="94">
        <f>'[1]January -2020'!AQ30</f>
        <v>12052207.439999999</v>
      </c>
      <c r="AK30" s="254">
        <f>'[1]January -2020'!AR30</f>
        <v>6236.1599999982864</v>
      </c>
      <c r="AL30" s="94">
        <f>'[1]January -2020'!AS30</f>
        <v>5700.2399999983609</v>
      </c>
      <c r="AM30" s="94">
        <f>'[1]January -2020'!AT30</f>
        <v>10497065.040000001</v>
      </c>
      <c r="AN30" s="254">
        <f>'[1]January -2020'!AU30</f>
        <v>4189.9200000017881</v>
      </c>
      <c r="AO30" s="94">
        <f>'[1]January -2020'!AV30</f>
        <v>3800.1600000020117</v>
      </c>
      <c r="AP30" s="94">
        <f>'[1]January -2020'!AW30</f>
        <v>10149594</v>
      </c>
      <c r="AQ30" s="254">
        <f>'[1]January -2020'!AX30</f>
        <v>4872</v>
      </c>
      <c r="AR30" s="94">
        <f>'[1]January -2020'!AY30</f>
        <v>4579.6800000006333</v>
      </c>
      <c r="AS30" s="94">
        <f>'[1]January -2020'!AZ30</f>
        <v>8105838.7199999988</v>
      </c>
      <c r="AT30" s="254">
        <f>'[1]January -2020'!BA30</f>
        <v>3507.8399999979883</v>
      </c>
      <c r="AU30" s="94">
        <f>'[1]January -2020'!BB30</f>
        <v>3069.3600000003353</v>
      </c>
      <c r="AV30" s="94">
        <f>'[1]January -2020'!BC30</f>
        <v>11996130.719999999</v>
      </c>
      <c r="AW30" s="255">
        <f>'[1]January -2020'!BD30</f>
        <v>5310.4799999985844</v>
      </c>
      <c r="AX30" s="256">
        <f>'[1]January -2020'!BE30</f>
        <v>5554.0800000019372</v>
      </c>
      <c r="AY30" s="492"/>
      <c r="AZ30" s="95">
        <f>'[1]January -2020'!BJ30</f>
        <v>49563100</v>
      </c>
      <c r="BA30" s="181">
        <f>'[1]January -2020'!BK30</f>
        <v>0</v>
      </c>
      <c r="BB30" s="95">
        <f>'[1]January -2020'!BL30</f>
        <v>33300</v>
      </c>
      <c r="BC30" s="95">
        <f>'[1]January -2020'!BM30</f>
        <v>54057800</v>
      </c>
      <c r="BD30" s="248">
        <f>'[1]January -2020'!BN30</f>
        <v>0</v>
      </c>
      <c r="BE30" s="95">
        <f>'[1]January -2020'!BO30</f>
        <v>0</v>
      </c>
      <c r="BF30" s="95">
        <f>'[1]January -2020'!BP30</f>
        <v>47707500</v>
      </c>
      <c r="BG30" s="248">
        <f>'[1]January -2020'!BQ30</f>
        <v>30100</v>
      </c>
      <c r="BH30" s="95">
        <f>'[1]January -2020'!BR30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'[1]January -2020'!BS30</f>
        <v>4060060</v>
      </c>
      <c r="BT30" s="187">
        <f>'[1]January -2020'!BT30</f>
        <v>3920</v>
      </c>
      <c r="BU30" s="588"/>
      <c r="BV30" s="88">
        <f>'[1]January -2020'!BV30</f>
        <v>0.69</v>
      </c>
      <c r="BW30" s="244">
        <f>'[1]January -2020'!BW30</f>
        <v>-0.10000000000000009</v>
      </c>
      <c r="BX30" s="88">
        <f>'[1]January -2020'!BX30</f>
        <v>-8.9999999999999969E-2</v>
      </c>
      <c r="BY30" s="89">
        <f>'[1]January -2020'!BY30</f>
        <v>44845</v>
      </c>
      <c r="BZ30" s="193">
        <f>'[1]January -2020'!BZ30</f>
        <v>19</v>
      </c>
      <c r="CA30" s="89">
        <f>'[1]January -2020'!CA30</f>
        <v>39657</v>
      </c>
      <c r="CB30" s="193">
        <f>'[1]January -2020'!CB30</f>
        <v>18</v>
      </c>
      <c r="CC30" s="89">
        <f>'[1]January -2020'!CC30</f>
        <v>13278</v>
      </c>
      <c r="CD30" s="193">
        <f>'[1]January -2020'!CD30</f>
        <v>8</v>
      </c>
      <c r="CE30" s="89">
        <f>'[1]January -2020'!CE30</f>
        <v>16743</v>
      </c>
      <c r="CF30" s="193">
        <f>'[1]January -2020'!CF30</f>
        <v>9</v>
      </c>
      <c r="CG30" s="89">
        <f>'[1]January -2020'!CG30</f>
        <v>19126</v>
      </c>
      <c r="CH30" s="193">
        <f>'[1]January -2020'!CH30</f>
        <v>13</v>
      </c>
      <c r="CI30" s="89">
        <f>'[1]January -2020'!CI30</f>
        <v>40689</v>
      </c>
      <c r="CJ30" s="193">
        <f>'[1]January -2020'!CJ30</f>
        <v>22</v>
      </c>
      <c r="CK30" s="89">
        <f>'[1]January -2020'!CK30</f>
        <v>175701.8</v>
      </c>
      <c r="CL30" s="249">
        <f>'[1]January -2020'!CL30</f>
        <v>83.399999999994179</v>
      </c>
      <c r="CM30" s="89">
        <f>'[1]January -2020'!CM30</f>
        <v>84</v>
      </c>
      <c r="CN30" s="89">
        <f>'[1]January -2020'!CN30</f>
        <v>127199.9</v>
      </c>
      <c r="CO30" s="249">
        <f>'[1]January -2020'!CO30</f>
        <v>90.19999999999709</v>
      </c>
      <c r="CP30" s="89">
        <f>'[1]January -2020'!CP30</f>
        <v>80</v>
      </c>
      <c r="CQ30" s="89">
        <f>'[1]January -2020'!CQ30</f>
        <v>240262.8</v>
      </c>
      <c r="CR30" s="249">
        <f>'[1]January -2020'!CR30</f>
        <v>392.69999999998254</v>
      </c>
      <c r="CS30" s="89">
        <f>'[1]January -2020'!CS30</f>
        <v>476</v>
      </c>
      <c r="CT30" s="89">
        <f>'[1]January -2020'!CT30</f>
        <v>474109</v>
      </c>
      <c r="CU30" s="193">
        <f>'[1]January -2020'!CU30</f>
        <v>168</v>
      </c>
      <c r="CV30" s="516"/>
      <c r="CW30" s="208">
        <f>'[1]January -2020'!CW30</f>
        <v>332.2</v>
      </c>
      <c r="CX30" s="200">
        <f>'[1]January -2020'!CX30</f>
        <v>0</v>
      </c>
      <c r="CY30" s="91">
        <f>'[1]January -2020'!CY30</f>
        <v>1193.7</v>
      </c>
      <c r="CZ30" s="200">
        <f>'[1]January -2020'!CZ30</f>
        <v>0</v>
      </c>
      <c r="DA30" s="91">
        <f>'[1]January -2020'!DA30</f>
        <v>18770.099999999999</v>
      </c>
      <c r="DB30" s="200">
        <f>'[1]January -2020'!DB30</f>
        <v>10.799999999999272</v>
      </c>
      <c r="DC30" s="91">
        <f>'[1]January -2020'!DC30</f>
        <v>19375.7</v>
      </c>
      <c r="DD30" s="200">
        <f>'[1]January -2020'!DD30</f>
        <v>10.100000000002183</v>
      </c>
      <c r="DE30" s="91">
        <f>'[1]January -2020'!DE30</f>
        <v>13568.5</v>
      </c>
      <c r="DF30" s="200">
        <f>'[1]January -2020'!DF30</f>
        <v>9.7999999999992724</v>
      </c>
      <c r="DG30" s="91">
        <f>'[1]January -2020'!DG30</f>
        <v>17243.7</v>
      </c>
      <c r="DH30" s="200">
        <f>'[1]January -2020'!DH30</f>
        <v>6.7000000000007276</v>
      </c>
      <c r="DI30" s="91">
        <f>'[1]January -2020'!DI30</f>
        <v>825</v>
      </c>
      <c r="DJ30" s="200">
        <f>'[1]January -2020'!DJ30</f>
        <v>0</v>
      </c>
      <c r="DK30" s="91">
        <f>'[1]January -2020'!DK30</f>
        <v>3570</v>
      </c>
      <c r="DL30" s="200">
        <f>'[1]January -2020'!DL30</f>
        <v>0</v>
      </c>
      <c r="DM30" s="91">
        <f>'[1]January -2020'!DM30</f>
        <v>976</v>
      </c>
      <c r="DN30" s="200">
        <f>'[1]January -2020'!DN30</f>
        <v>5</v>
      </c>
      <c r="DO30" s="91">
        <f>'[1]January -2020'!DO30</f>
        <v>1150</v>
      </c>
      <c r="DP30" s="200">
        <f>'[1]January -2020'!DP30</f>
        <v>2</v>
      </c>
      <c r="DQ30" s="91">
        <f>'[1]January -2020'!DQ30</f>
        <v>17001</v>
      </c>
      <c r="DR30" s="209">
        <f>'[1]January -2020'!DR30</f>
        <v>10</v>
      </c>
      <c r="DS30" s="532"/>
      <c r="DT30" s="213">
        <f>'[1]January -2020'!DT30</f>
        <v>2759386.9</v>
      </c>
      <c r="DU30" s="224">
        <f>'[1]January -2020'!DU30</f>
        <v>1385.7999999998137</v>
      </c>
      <c r="DV30" s="93">
        <f>'[1]January -2020'!DV30</f>
        <v>4560.7</v>
      </c>
      <c r="DW30" s="218">
        <f>'[1]January -2020'!DW30</f>
        <v>4.1999999999998181</v>
      </c>
      <c r="DX30" s="93">
        <f>'[1]January -2020'!DX30</f>
        <v>1822884.4</v>
      </c>
      <c r="DY30" s="218">
        <f>'[1]January -2020'!DY30</f>
        <v>1045.6999999999534</v>
      </c>
      <c r="DZ30" s="93">
        <f>'[1]January -2020'!DZ30</f>
        <v>252549.2</v>
      </c>
      <c r="EA30" s="218">
        <f>'[1]January -2020'!EA30</f>
        <v>4.2000000000116415</v>
      </c>
      <c r="EB30" s="93">
        <f>'[1]January -2020'!ED30</f>
        <v>413227.3</v>
      </c>
      <c r="EC30" s="218">
        <f>'[1]January -2020'!EE30</f>
        <v>538.39999999996508</v>
      </c>
      <c r="ED30" s="93">
        <f>'[1]January -2020'!EF30</f>
        <v>87636.6</v>
      </c>
      <c r="EE30" s="232">
        <f>'[1]January -2020'!EG30</f>
        <v>145.5</v>
      </c>
      <c r="EF30" s="579"/>
      <c r="EG30" s="238">
        <f>'[1]January -2020'!EI30</f>
        <v>6794700</v>
      </c>
      <c r="EH30" s="233">
        <f>'[1]January -2020'!EJ30</f>
        <v>1800</v>
      </c>
      <c r="EI30" s="92">
        <f>'[1]January -2020'!EK30</f>
        <v>600030</v>
      </c>
      <c r="EJ30" s="233">
        <f>'[1]January -2020'!EL30</f>
        <v>160</v>
      </c>
      <c r="EK30" s="92">
        <f>'[1]January -2020'!EM30</f>
        <v>4621600</v>
      </c>
      <c r="EL30" s="233">
        <f>'[1]January -2020'!EN30</f>
        <v>900</v>
      </c>
      <c r="EM30" s="92">
        <f>'[1]January -2020'!EO30</f>
        <v>1988400</v>
      </c>
      <c r="EN30" s="233">
        <f>'[1]January -2020'!EP30</f>
        <v>0</v>
      </c>
      <c r="EO30" s="92">
        <f>'[1]January -2020'!EQ30</f>
        <v>678890</v>
      </c>
      <c r="EP30" s="233">
        <f>'[1]January -2020'!ER30</f>
        <v>120</v>
      </c>
      <c r="EQ30" s="92">
        <f>'[1]January -2020'!ES30</f>
        <v>10721100</v>
      </c>
      <c r="ER30" s="233">
        <f>'[1]January -2020'!ET30</f>
        <v>600</v>
      </c>
      <c r="ES30" s="554"/>
      <c r="ET30" s="287">
        <f>'[1]January -2020'!EV30</f>
        <v>27945.3</v>
      </c>
      <c r="EU30" s="286">
        <f>'[1]January -2020'!$EW$11</f>
        <v>19.5</v>
      </c>
      <c r="EV30" s="285">
        <f>'[1]January -2020'!EX30</f>
        <v>24443</v>
      </c>
      <c r="EW30" s="286">
        <f>'[1]January -2020'!EY30</f>
        <v>12.099999999998545</v>
      </c>
      <c r="EX30" s="285">
        <f>'[1]January -2020'!FB30</f>
        <v>44212.6</v>
      </c>
      <c r="EY30" s="286">
        <f>'[1]January -2020'!FA30</f>
        <v>0</v>
      </c>
      <c r="EZ30" s="285">
        <f>'[1]January -2020'!EZ30</f>
        <v>0</v>
      </c>
      <c r="FA30" s="286">
        <f>'[1]January -2020'!FA30</f>
        <v>0</v>
      </c>
      <c r="FB30" s="285">
        <f>'[1]January -2020'!FD30</f>
        <v>20840.400000000001</v>
      </c>
      <c r="FC30" s="288">
        <f>'[1]January -2020'!FE30</f>
        <v>25.700000000000728</v>
      </c>
    </row>
    <row r="31" spans="1:159" ht="30" customHeight="1" x14ac:dyDescent="0.25">
      <c r="A31" s="210">
        <v>43852</v>
      </c>
      <c r="B31" s="212">
        <f>'[1]January -2020'!B31</f>
        <v>0</v>
      </c>
      <c r="C31" s="253">
        <f>'[1]January -2020'!E31</f>
        <v>0</v>
      </c>
      <c r="D31" s="172">
        <f>'[1]January -2020'!F31</f>
        <v>442</v>
      </c>
      <c r="E31" s="170">
        <f>'[1]January -2020'!G31</f>
        <v>442</v>
      </c>
      <c r="F31" s="170">
        <f>'[1]January -2020'!H31</f>
        <v>0</v>
      </c>
      <c r="G31" s="172">
        <f>'[1]January -2020'!I31</f>
        <v>-694925</v>
      </c>
      <c r="H31" s="170">
        <f>'[1]January -2020'!J31</f>
        <v>390</v>
      </c>
      <c r="I31" s="170">
        <f>'[1]January -2020'!K31</f>
        <v>0</v>
      </c>
      <c r="J31" s="172">
        <f>'[1]January -2020'!L31</f>
        <v>-23299</v>
      </c>
      <c r="K31" s="170">
        <f>'[1]January -2020'!N31</f>
        <v>0</v>
      </c>
      <c r="L31" s="172">
        <f>'[1]January -2020'!O31</f>
        <v>-614135.69999999995</v>
      </c>
      <c r="M31" s="170">
        <f>'[1]January -2020'!Q31</f>
        <v>156875</v>
      </c>
      <c r="N31" s="172">
        <f>'[1]January -2020'!R31</f>
        <v>0</v>
      </c>
      <c r="O31" s="170">
        <f>'[1]January -2020'!S31</f>
        <v>0</v>
      </c>
      <c r="P31" s="172">
        <f>'[1]January -2020'!T31</f>
        <v>-95182</v>
      </c>
      <c r="Q31" s="170">
        <f>'[1]January -2020'!U31</f>
        <v>72</v>
      </c>
      <c r="R31" s="170">
        <f>'[1]January -2020'!V31</f>
        <v>0</v>
      </c>
      <c r="S31" s="211">
        <f>'[1]January -2020'!W31</f>
        <v>-7223</v>
      </c>
      <c r="T31" s="475"/>
      <c r="U31" s="171">
        <f>'[1]January -2020'!AB31</f>
        <v>0</v>
      </c>
      <c r="V31" s="254">
        <f>'[1]January -2020'!AC31</f>
        <v>-5499562.3200000003</v>
      </c>
      <c r="W31" s="94">
        <f>'[1]January -2020'!AD31</f>
        <v>2971.9199999999255</v>
      </c>
      <c r="X31" s="94">
        <f>'[1]January -2020'!AE31</f>
        <v>0</v>
      </c>
      <c r="Y31" s="254">
        <f>'[1]January -2020'!AF31</f>
        <v>-10735841.76</v>
      </c>
      <c r="Z31" s="94">
        <f>'[1]January -2020'!AG31</f>
        <v>5066.8800000008196</v>
      </c>
      <c r="AA31" s="94">
        <f>'[1]January -2020'!AH31</f>
        <v>0</v>
      </c>
      <c r="AB31" s="254">
        <f>'[1]January -2020'!AI31</f>
        <v>-9804217.9199999999</v>
      </c>
      <c r="AC31" s="94">
        <f>'[1]January -2020'!AJ31</f>
        <v>0</v>
      </c>
      <c r="AD31" s="94">
        <f>'[1]January -2020'!AK31</f>
        <v>0</v>
      </c>
      <c r="AE31" s="254">
        <f>'[1]January -2020'!AL31</f>
        <v>-13175057.280000001</v>
      </c>
      <c r="AF31" s="94">
        <f>'[1]January -2020'!AM31</f>
        <v>7015.6800000015646</v>
      </c>
      <c r="AG31" s="94">
        <f>'[1]January -2020'!AN31</f>
        <v>0</v>
      </c>
      <c r="AH31" s="254">
        <f>'[1]January -2020'!AO31</f>
        <v>-13167456.959999999</v>
      </c>
      <c r="AI31" s="94">
        <f>'[1]January -2020'!AP31</f>
        <v>0</v>
      </c>
      <c r="AJ31" s="94">
        <f>'[1]January -2020'!AQ31</f>
        <v>0</v>
      </c>
      <c r="AK31" s="254">
        <f>'[1]January -2020'!AR31</f>
        <v>-12052207.439999999</v>
      </c>
      <c r="AL31" s="94">
        <f>'[1]January -2020'!AS31</f>
        <v>5846.4000000003725</v>
      </c>
      <c r="AM31" s="94">
        <f>'[1]January -2020'!AT31</f>
        <v>0</v>
      </c>
      <c r="AN31" s="254">
        <f>'[1]January -2020'!AU31</f>
        <v>-10497065.040000001</v>
      </c>
      <c r="AO31" s="94">
        <f>'[1]January -2020'!AV31</f>
        <v>4238.6399999987334</v>
      </c>
      <c r="AP31" s="94">
        <f>'[1]January -2020'!AW31</f>
        <v>0</v>
      </c>
      <c r="AQ31" s="254">
        <f>'[1]January -2020'!AX31</f>
        <v>-10149594</v>
      </c>
      <c r="AR31" s="94">
        <f>'[1]January -2020'!AY31</f>
        <v>4823.2799999983981</v>
      </c>
      <c r="AS31" s="94">
        <f>'[1]January -2020'!AZ31</f>
        <v>0</v>
      </c>
      <c r="AT31" s="254">
        <f>'[1]January -2020'!BA31</f>
        <v>-8105838.7199999988</v>
      </c>
      <c r="AU31" s="94">
        <f>'[1]January -2020'!BB31</f>
        <v>3118.0799999991432</v>
      </c>
      <c r="AV31" s="94">
        <f>'[1]January -2020'!BC31</f>
        <v>0</v>
      </c>
      <c r="AW31" s="255">
        <f>'[1]January -2020'!BD31</f>
        <v>-11996130.719999999</v>
      </c>
      <c r="AX31" s="256">
        <f>'[1]January -2020'!BE31</f>
        <v>5602.7999999988824</v>
      </c>
      <c r="AY31" s="492"/>
      <c r="AZ31" s="95">
        <f>'[1]January -2020'!BJ31</f>
        <v>0</v>
      </c>
      <c r="BA31" s="181">
        <f>'[1]January -2020'!BK31</f>
        <v>-49563100</v>
      </c>
      <c r="BB31" s="95">
        <f>'[1]January -2020'!BL31</f>
        <v>5200</v>
      </c>
      <c r="BC31" s="95">
        <f>'[1]January -2020'!BM31</f>
        <v>0</v>
      </c>
      <c r="BD31" s="248">
        <f>'[1]January -2020'!BN31</f>
        <v>-54057800</v>
      </c>
      <c r="BE31" s="95">
        <f>'[1]January -2020'!BO31</f>
        <v>35000</v>
      </c>
      <c r="BF31" s="95">
        <f>'[1]January -2020'!BP31</f>
        <v>0</v>
      </c>
      <c r="BG31" s="248">
        <f>'[1]January -2020'!BQ31</f>
        <v>-47707500</v>
      </c>
      <c r="BH31" s="95">
        <f>'[1]January -2020'!BR31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'[1]January -2020'!BS31</f>
        <v>0</v>
      </c>
      <c r="BT31" s="187">
        <f>'[1]January -2020'!BT31</f>
        <v>-4060060</v>
      </c>
      <c r="BU31" s="588"/>
      <c r="BV31" s="88">
        <f>'[1]January -2020'!BV31</f>
        <v>0</v>
      </c>
      <c r="BW31" s="244">
        <f>'[1]January -2020'!BW31</f>
        <v>-0.69</v>
      </c>
      <c r="BX31" s="88">
        <f>'[1]January -2020'!BX31</f>
        <v>-1.0000000000000009E-2</v>
      </c>
      <c r="BY31" s="89">
        <f>'[1]January -2020'!BY31</f>
        <v>0</v>
      </c>
      <c r="BZ31" s="193">
        <f>'[1]January -2020'!BZ31</f>
        <v>-44845</v>
      </c>
      <c r="CA31" s="89">
        <f>'[1]January -2020'!CA31</f>
        <v>0</v>
      </c>
      <c r="CB31" s="193">
        <f>'[1]January -2020'!CB31</f>
        <v>-39657</v>
      </c>
      <c r="CC31" s="89">
        <f>'[1]January -2020'!CC31</f>
        <v>0</v>
      </c>
      <c r="CD31" s="193">
        <f>'[1]January -2020'!CD31</f>
        <v>-13278</v>
      </c>
      <c r="CE31" s="89">
        <f>'[1]January -2020'!CE31</f>
        <v>0</v>
      </c>
      <c r="CF31" s="193">
        <f>'[1]January -2020'!CF31</f>
        <v>-16743</v>
      </c>
      <c r="CG31" s="89">
        <f>'[1]January -2020'!CG31</f>
        <v>0</v>
      </c>
      <c r="CH31" s="193">
        <f>'[1]January -2020'!CH31</f>
        <v>-19126</v>
      </c>
      <c r="CI31" s="89">
        <f>'[1]January -2020'!CI31</f>
        <v>0</v>
      </c>
      <c r="CJ31" s="193">
        <f>'[1]January -2020'!CJ31</f>
        <v>-40689</v>
      </c>
      <c r="CK31" s="89">
        <f>'[1]January -2020'!CK31</f>
        <v>0</v>
      </c>
      <c r="CL31" s="249">
        <f>'[1]January -2020'!CL31</f>
        <v>-175701.8</v>
      </c>
      <c r="CM31" s="89">
        <f>'[1]January -2020'!CM31</f>
        <v>86</v>
      </c>
      <c r="CN31" s="89">
        <f>'[1]January -2020'!CN31</f>
        <v>0</v>
      </c>
      <c r="CO31" s="249">
        <f>'[1]January -2020'!CO31</f>
        <v>-127199.9</v>
      </c>
      <c r="CP31" s="89">
        <f>'[1]January -2020'!CP31</f>
        <v>85</v>
      </c>
      <c r="CQ31" s="89">
        <f>'[1]January -2020'!CQ31</f>
        <v>0</v>
      </c>
      <c r="CR31" s="249">
        <f>'[1]January -2020'!CR31</f>
        <v>-240262.8</v>
      </c>
      <c r="CS31" s="89">
        <f>'[1]January -2020'!CS31</f>
        <v>420</v>
      </c>
      <c r="CT31" s="89">
        <f>'[1]January -2020'!CT31</f>
        <v>0</v>
      </c>
      <c r="CU31" s="193">
        <f>'[1]January -2020'!CU31</f>
        <v>-474109</v>
      </c>
      <c r="CV31" s="516"/>
      <c r="CW31" s="208">
        <f>'[1]January -2020'!CW31</f>
        <v>0</v>
      </c>
      <c r="CX31" s="200">
        <f>'[1]January -2020'!CX31</f>
        <v>-332.2</v>
      </c>
      <c r="CY31" s="91">
        <f>'[1]January -2020'!CY31</f>
        <v>938</v>
      </c>
      <c r="CZ31" s="200">
        <f>'[1]January -2020'!CZ31</f>
        <v>-255.70000000000005</v>
      </c>
      <c r="DA31" s="91">
        <f>'[1]January -2020'!DA31</f>
        <v>0</v>
      </c>
      <c r="DB31" s="200">
        <f>'[1]January -2020'!DB31</f>
        <v>-18770.099999999999</v>
      </c>
      <c r="DC31" s="91">
        <f>'[1]January -2020'!DC31</f>
        <v>0</v>
      </c>
      <c r="DD31" s="200">
        <f>'[1]January -2020'!DD31</f>
        <v>-19375.7</v>
      </c>
      <c r="DE31" s="91">
        <f>'[1]January -2020'!DE31</f>
        <v>0</v>
      </c>
      <c r="DF31" s="200">
        <f>'[1]January -2020'!DF31</f>
        <v>-13568.5</v>
      </c>
      <c r="DG31" s="91">
        <f>'[1]January -2020'!DG31</f>
        <v>0</v>
      </c>
      <c r="DH31" s="200">
        <f>'[1]January -2020'!DH31</f>
        <v>-17243.7</v>
      </c>
      <c r="DI31" s="91">
        <f>'[1]January -2020'!DI31</f>
        <v>825</v>
      </c>
      <c r="DJ31" s="200">
        <f>'[1]January -2020'!DJ31</f>
        <v>0</v>
      </c>
      <c r="DK31" s="91">
        <f>'[1]January -2020'!DK31</f>
        <v>3570</v>
      </c>
      <c r="DL31" s="200">
        <f>'[1]January -2020'!DL31</f>
        <v>0</v>
      </c>
      <c r="DM31" s="91">
        <f>'[1]January -2020'!DM31</f>
        <v>0</v>
      </c>
      <c r="DN31" s="200">
        <f>'[1]January -2020'!DN31</f>
        <v>-976</v>
      </c>
      <c r="DO31" s="91">
        <f>'[1]January -2020'!DO31</f>
        <v>0</v>
      </c>
      <c r="DP31" s="200">
        <f>'[1]January -2020'!DP31</f>
        <v>-1150</v>
      </c>
      <c r="DQ31" s="91">
        <f>'[1]January -2020'!DQ31</f>
        <v>0</v>
      </c>
      <c r="DR31" s="209">
        <f>'[1]January -2020'!DR31</f>
        <v>-17001</v>
      </c>
      <c r="DS31" s="532"/>
      <c r="DT31" s="213">
        <f>'[1]January -2020'!DT31</f>
        <v>0</v>
      </c>
      <c r="DU31" s="224">
        <f>'[1]January -2020'!DU31</f>
        <v>-2759386.9</v>
      </c>
      <c r="DV31" s="93">
        <f>'[1]January -2020'!DV31</f>
        <v>0</v>
      </c>
      <c r="DW31" s="218">
        <f>'[1]January -2020'!DW31</f>
        <v>-4560.7</v>
      </c>
      <c r="DX31" s="93">
        <f>'[1]January -2020'!DX31</f>
        <v>0</v>
      </c>
      <c r="DY31" s="218">
        <f>'[1]January -2020'!DY31</f>
        <v>-1822884.4</v>
      </c>
      <c r="DZ31" s="93">
        <f>'[1]January -2020'!DZ31</f>
        <v>0</v>
      </c>
      <c r="EA31" s="218">
        <f>'[1]January -2020'!EA31</f>
        <v>-252549.2</v>
      </c>
      <c r="EB31" s="93">
        <f>'[1]January -2020'!ED31</f>
        <v>0</v>
      </c>
      <c r="EC31" s="218">
        <f>'[1]January -2020'!EE31</f>
        <v>-413227.3</v>
      </c>
      <c r="ED31" s="93">
        <f>'[1]January -2020'!EF31</f>
        <v>0</v>
      </c>
      <c r="EE31" s="232">
        <f>'[1]January -2020'!EG31</f>
        <v>-87636.6</v>
      </c>
      <c r="EF31" s="579"/>
      <c r="EG31" s="238">
        <f>'[1]January -2020'!EI31</f>
        <v>0</v>
      </c>
      <c r="EH31" s="233">
        <f>'[1]January -2020'!EJ31</f>
        <v>-6794700</v>
      </c>
      <c r="EI31" s="92">
        <f>'[1]January -2020'!EK31</f>
        <v>0</v>
      </c>
      <c r="EJ31" s="233">
        <f>'[1]January -2020'!EL31</f>
        <v>-600030</v>
      </c>
      <c r="EK31" s="92">
        <f>'[1]January -2020'!EM31</f>
        <v>0</v>
      </c>
      <c r="EL31" s="233">
        <f>'[1]January -2020'!EN31</f>
        <v>-4621600</v>
      </c>
      <c r="EM31" s="92">
        <f>'[1]January -2020'!EO31</f>
        <v>0</v>
      </c>
      <c r="EN31" s="233">
        <f>'[1]January -2020'!EP31</f>
        <v>-1988400</v>
      </c>
      <c r="EO31" s="92">
        <f>'[1]January -2020'!EQ31</f>
        <v>0</v>
      </c>
      <c r="EP31" s="233">
        <f>'[1]January -2020'!ER31</f>
        <v>-678890</v>
      </c>
      <c r="EQ31" s="92">
        <f>'[1]January -2020'!ES31</f>
        <v>0</v>
      </c>
      <c r="ER31" s="233">
        <f>'[1]January -2020'!ET31</f>
        <v>-10721100</v>
      </c>
      <c r="ES31" s="554"/>
      <c r="ET31" s="287">
        <f>'[1]January -2020'!EV31</f>
        <v>0</v>
      </c>
      <c r="EU31" s="286">
        <f>'[1]January -2020'!$EW$11</f>
        <v>19.5</v>
      </c>
      <c r="EV31" s="285">
        <f>'[1]January -2020'!EX31</f>
        <v>0</v>
      </c>
      <c r="EW31" s="286">
        <f>'[1]January -2020'!EY31</f>
        <v>-24443</v>
      </c>
      <c r="EX31" s="285">
        <f>'[1]January -2020'!FB31</f>
        <v>0</v>
      </c>
      <c r="EY31" s="286">
        <f>'[1]January -2020'!FA31</f>
        <v>0</v>
      </c>
      <c r="EZ31" s="285">
        <f>'[1]January -2020'!EZ31</f>
        <v>0</v>
      </c>
      <c r="FA31" s="286">
        <f>'[1]January -2020'!FA31</f>
        <v>0</v>
      </c>
      <c r="FB31" s="285">
        <f>'[1]January -2020'!FD31</f>
        <v>0</v>
      </c>
      <c r="FC31" s="288">
        <f>'[1]January -2020'!FE31</f>
        <v>-20840.400000000001</v>
      </c>
    </row>
    <row r="32" spans="1:159" ht="30" customHeight="1" x14ac:dyDescent="0.25">
      <c r="A32" s="210">
        <v>43853</v>
      </c>
      <c r="B32" s="212">
        <f>'[1]January -2020'!B32</f>
        <v>0</v>
      </c>
      <c r="C32" s="253">
        <f>'[1]January -2020'!E32</f>
        <v>0</v>
      </c>
      <c r="D32" s="172">
        <f>'[1]January -2020'!F32</f>
        <v>433</v>
      </c>
      <c r="E32" s="170">
        <f>'[1]January -2020'!G32</f>
        <v>433</v>
      </c>
      <c r="F32" s="170">
        <f>'[1]January -2020'!H32</f>
        <v>0</v>
      </c>
      <c r="G32" s="172">
        <f>'[1]January -2020'!I32</f>
        <v>0</v>
      </c>
      <c r="H32" s="170">
        <f>'[1]January -2020'!J32</f>
        <v>339</v>
      </c>
      <c r="I32" s="170">
        <f>'[1]January -2020'!K32</f>
        <v>0</v>
      </c>
      <c r="J32" s="172">
        <f>'[1]January -2020'!L32</f>
        <v>0</v>
      </c>
      <c r="K32" s="170">
        <f>'[1]January -2020'!N32</f>
        <v>0</v>
      </c>
      <c r="L32" s="172">
        <f>'[1]January -2020'!O32</f>
        <v>0</v>
      </c>
      <c r="M32" s="170">
        <f>'[1]January -2020'!Q32</f>
        <v>156875</v>
      </c>
      <c r="N32" s="172">
        <f>'[1]January -2020'!R32</f>
        <v>0</v>
      </c>
      <c r="O32" s="170">
        <f>'[1]January -2020'!S32</f>
        <v>0</v>
      </c>
      <c r="P32" s="172">
        <f>'[1]January -2020'!T32</f>
        <v>0</v>
      </c>
      <c r="Q32" s="170">
        <f>'[1]January -2020'!U32</f>
        <v>68</v>
      </c>
      <c r="R32" s="170">
        <f>'[1]January -2020'!V32</f>
        <v>0</v>
      </c>
      <c r="S32" s="211">
        <f>'[1]January -2020'!W32</f>
        <v>0</v>
      </c>
      <c r="T32" s="475"/>
      <c r="U32" s="171">
        <f>'[1]January -2020'!AB32</f>
        <v>0</v>
      </c>
      <c r="V32" s="254">
        <f>'[1]January -2020'!AC32</f>
        <v>0</v>
      </c>
      <c r="W32" s="94">
        <f>'[1]January -2020'!AD32</f>
        <v>3166.8000000007451</v>
      </c>
      <c r="X32" s="94">
        <f>'[1]January -2020'!AE32</f>
        <v>0</v>
      </c>
      <c r="Y32" s="254">
        <f>'[1]January -2020'!AF32</f>
        <v>0</v>
      </c>
      <c r="Z32" s="94">
        <f>'[1]January -2020'!AG32</f>
        <v>5066.8800000008196</v>
      </c>
      <c r="AA32" s="94">
        <f>'[1]January -2020'!AH32</f>
        <v>0</v>
      </c>
      <c r="AB32" s="254">
        <f>'[1]January -2020'!AI32</f>
        <v>0</v>
      </c>
      <c r="AC32" s="94">
        <f>'[1]January -2020'!AJ32</f>
        <v>0</v>
      </c>
      <c r="AD32" s="94">
        <f>'[1]January -2020'!AK32</f>
        <v>0</v>
      </c>
      <c r="AE32" s="254">
        <f>'[1]January -2020'!AL32</f>
        <v>0</v>
      </c>
      <c r="AF32" s="94">
        <f>'[1]January -2020'!AM32</f>
        <v>7015.679999999702</v>
      </c>
      <c r="AG32" s="94">
        <f>'[1]January -2020'!AN32</f>
        <v>0</v>
      </c>
      <c r="AH32" s="254">
        <f>'[1]January -2020'!AO32</f>
        <v>0</v>
      </c>
      <c r="AI32" s="94">
        <f>'[1]January -2020'!AP32</f>
        <v>0</v>
      </c>
      <c r="AJ32" s="94">
        <f>'[1]January -2020'!AQ32</f>
        <v>0</v>
      </c>
      <c r="AK32" s="254">
        <f>'[1]January -2020'!AR32</f>
        <v>0</v>
      </c>
      <c r="AL32" s="94">
        <f>'[1]January -2020'!AS32</f>
        <v>5943.839999999851</v>
      </c>
      <c r="AM32" s="94">
        <f>'[1]January -2020'!AT32</f>
        <v>0</v>
      </c>
      <c r="AN32" s="254">
        <f>'[1]January -2020'!AU32</f>
        <v>0</v>
      </c>
      <c r="AO32" s="94">
        <f>'[1]January -2020'!AV32</f>
        <v>4043.7600000016391</v>
      </c>
      <c r="AP32" s="94">
        <f>'[1]January -2020'!AW32</f>
        <v>0</v>
      </c>
      <c r="AQ32" s="254">
        <f>'[1]January -2020'!AX32</f>
        <v>0</v>
      </c>
      <c r="AR32" s="94">
        <f>'[1]January -2020'!AY32</f>
        <v>4969.4400000004098</v>
      </c>
      <c r="AS32" s="94">
        <f>'[1]January -2020'!AZ32</f>
        <v>0</v>
      </c>
      <c r="AT32" s="254">
        <f>'[1]January -2020'!BA32</f>
        <v>0</v>
      </c>
      <c r="AU32" s="94">
        <f>'[1]January -2020'!BB32</f>
        <v>3312.9600000008941</v>
      </c>
      <c r="AV32" s="94">
        <f>'[1]January -2020'!BC32</f>
        <v>0</v>
      </c>
      <c r="AW32" s="255">
        <f>'[1]January -2020'!BD32</f>
        <v>0</v>
      </c>
      <c r="AX32" s="256">
        <f>'[1]January -2020'!BE32</f>
        <v>5992.5600000005215</v>
      </c>
      <c r="AY32" s="492"/>
      <c r="AZ32" s="95">
        <f>'[1]January -2020'!BJ32</f>
        <v>0</v>
      </c>
      <c r="BA32" s="181">
        <f>'[1]January -2020'!BK32</f>
        <v>0</v>
      </c>
      <c r="BB32" s="95">
        <f>'[1]January -2020'!BL32</f>
        <v>0</v>
      </c>
      <c r="BC32" s="95">
        <f>'[1]January -2020'!BM32</f>
        <v>0</v>
      </c>
      <c r="BD32" s="248">
        <f>'[1]January -2020'!BN32</f>
        <v>0</v>
      </c>
      <c r="BE32" s="95">
        <f>'[1]January -2020'!BO32</f>
        <v>60200</v>
      </c>
      <c r="BF32" s="95">
        <f>'[1]January -2020'!BP32</f>
        <v>0</v>
      </c>
      <c r="BG32" s="248">
        <f>'[1]January -2020'!BQ32</f>
        <v>0</v>
      </c>
      <c r="BH32" s="95">
        <f>'[1]January -2020'!BR32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'[1]January -2020'!BS32</f>
        <v>0</v>
      </c>
      <c r="BT32" s="187">
        <f>'[1]January -2020'!BT32</f>
        <v>0</v>
      </c>
      <c r="BU32" s="588"/>
      <c r="BV32" s="88">
        <f>'[1]January -2020'!BV32</f>
        <v>0</v>
      </c>
      <c r="BW32" s="244">
        <f>'[1]January -2020'!BW32</f>
        <v>0</v>
      </c>
      <c r="BX32" s="88">
        <f>'[1]January -2020'!BX32</f>
        <v>0.13</v>
      </c>
      <c r="BY32" s="89">
        <f>'[1]January -2020'!BY32</f>
        <v>0</v>
      </c>
      <c r="BZ32" s="193">
        <f>'[1]January -2020'!BZ32</f>
        <v>0</v>
      </c>
      <c r="CA32" s="89">
        <f>'[1]January -2020'!CA32</f>
        <v>0</v>
      </c>
      <c r="CB32" s="193">
        <f>'[1]January -2020'!CB32</f>
        <v>0</v>
      </c>
      <c r="CC32" s="89">
        <f>'[1]January -2020'!CC32</f>
        <v>0</v>
      </c>
      <c r="CD32" s="193">
        <f>'[1]January -2020'!CD32</f>
        <v>0</v>
      </c>
      <c r="CE32" s="89">
        <f>'[1]January -2020'!CE32</f>
        <v>0</v>
      </c>
      <c r="CF32" s="193">
        <f>'[1]January -2020'!CF32</f>
        <v>0</v>
      </c>
      <c r="CG32" s="89">
        <f>'[1]January -2020'!CG32</f>
        <v>0</v>
      </c>
      <c r="CH32" s="193">
        <f>'[1]January -2020'!CH32</f>
        <v>0</v>
      </c>
      <c r="CI32" s="89">
        <f>'[1]January -2020'!CI32</f>
        <v>0</v>
      </c>
      <c r="CJ32" s="193">
        <f>'[1]January -2020'!CJ32</f>
        <v>0</v>
      </c>
      <c r="CK32" s="89">
        <f>'[1]January -2020'!CK32</f>
        <v>0</v>
      </c>
      <c r="CL32" s="249">
        <f>'[1]January -2020'!CL32</f>
        <v>0</v>
      </c>
      <c r="CM32" s="89">
        <f>'[1]January -2020'!CM32</f>
        <v>88</v>
      </c>
      <c r="CN32" s="89">
        <f>'[1]January -2020'!CN32</f>
        <v>0</v>
      </c>
      <c r="CO32" s="249">
        <f>'[1]January -2020'!CO32</f>
        <v>0</v>
      </c>
      <c r="CP32" s="89">
        <f>'[1]January -2020'!CP32</f>
        <v>85</v>
      </c>
      <c r="CQ32" s="89">
        <f>'[1]January -2020'!CQ32</f>
        <v>0</v>
      </c>
      <c r="CR32" s="249">
        <f>'[1]January -2020'!CR32</f>
        <v>0</v>
      </c>
      <c r="CS32" s="89">
        <f>'[1]January -2020'!CS32</f>
        <v>510</v>
      </c>
      <c r="CT32" s="89">
        <f>'[1]January -2020'!CT32</f>
        <v>0</v>
      </c>
      <c r="CU32" s="193">
        <f>'[1]January -2020'!CU32</f>
        <v>0</v>
      </c>
      <c r="CV32" s="516"/>
      <c r="CW32" s="208">
        <f>'[1]January -2020'!CW32</f>
        <v>0</v>
      </c>
      <c r="CX32" s="200">
        <f>'[1]January -2020'!CX32</f>
        <v>0</v>
      </c>
      <c r="CY32" s="91">
        <f>'[1]January -2020'!CY32</f>
        <v>0</v>
      </c>
      <c r="CZ32" s="200">
        <f>'[1]January -2020'!CZ32</f>
        <v>-938</v>
      </c>
      <c r="DA32" s="91">
        <f>'[1]January -2020'!DA32</f>
        <v>0</v>
      </c>
      <c r="DB32" s="200">
        <f>'[1]January -2020'!DB32</f>
        <v>0</v>
      </c>
      <c r="DC32" s="91">
        <f>'[1]January -2020'!DC32</f>
        <v>0</v>
      </c>
      <c r="DD32" s="200">
        <f>'[1]January -2020'!DD32</f>
        <v>0</v>
      </c>
      <c r="DE32" s="91">
        <f>'[1]January -2020'!DE32</f>
        <v>0</v>
      </c>
      <c r="DF32" s="200">
        <f>'[1]January -2020'!DF32</f>
        <v>0</v>
      </c>
      <c r="DG32" s="91">
        <f>'[1]January -2020'!DG32</f>
        <v>0</v>
      </c>
      <c r="DH32" s="200">
        <f>'[1]January -2020'!DH32</f>
        <v>0</v>
      </c>
      <c r="DI32" s="91">
        <f>'[1]January -2020'!DI32</f>
        <v>825</v>
      </c>
      <c r="DJ32" s="200">
        <f>'[1]January -2020'!DJ32</f>
        <v>0</v>
      </c>
      <c r="DK32" s="91">
        <f>'[1]January -2020'!DK32</f>
        <v>3570</v>
      </c>
      <c r="DL32" s="200">
        <f>'[1]January -2020'!DL32</f>
        <v>0</v>
      </c>
      <c r="DM32" s="91">
        <f>'[1]January -2020'!DM32</f>
        <v>0</v>
      </c>
      <c r="DN32" s="200">
        <f>'[1]January -2020'!DN32</f>
        <v>0</v>
      </c>
      <c r="DO32" s="91">
        <f>'[1]January -2020'!DO32</f>
        <v>0</v>
      </c>
      <c r="DP32" s="200">
        <f>'[1]January -2020'!DP32</f>
        <v>0</v>
      </c>
      <c r="DQ32" s="91">
        <f>'[1]January -2020'!DQ32</f>
        <v>0</v>
      </c>
      <c r="DR32" s="209">
        <f>'[1]January -2020'!DR32</f>
        <v>0</v>
      </c>
      <c r="DS32" s="532"/>
      <c r="DT32" s="213">
        <f>'[1]January -2020'!DT32</f>
        <v>0</v>
      </c>
      <c r="DU32" s="224">
        <f>'[1]January -2020'!DU32</f>
        <v>0</v>
      </c>
      <c r="DV32" s="93">
        <f>'[1]January -2020'!DV32</f>
        <v>0</v>
      </c>
      <c r="DW32" s="218">
        <f>'[1]January -2020'!DW32</f>
        <v>0</v>
      </c>
      <c r="DX32" s="93">
        <f>'[1]January -2020'!DX32</f>
        <v>0</v>
      </c>
      <c r="DY32" s="218">
        <f>'[1]January -2020'!DY32</f>
        <v>0</v>
      </c>
      <c r="DZ32" s="93">
        <f>'[1]January -2020'!DZ32</f>
        <v>0</v>
      </c>
      <c r="EA32" s="218">
        <f>'[1]January -2020'!EA32</f>
        <v>0</v>
      </c>
      <c r="EB32" s="93">
        <f>'[1]January -2020'!ED32</f>
        <v>0</v>
      </c>
      <c r="EC32" s="218">
        <f>'[1]January -2020'!EE32</f>
        <v>0</v>
      </c>
      <c r="ED32" s="93">
        <f>'[1]January -2020'!EF32</f>
        <v>0</v>
      </c>
      <c r="EE32" s="232">
        <f>'[1]January -2020'!EG32</f>
        <v>0</v>
      </c>
      <c r="EF32" s="579"/>
      <c r="EG32" s="238">
        <f>'[1]January -2020'!EI32</f>
        <v>0</v>
      </c>
      <c r="EH32" s="233">
        <f>'[1]January -2020'!EJ32</f>
        <v>0</v>
      </c>
      <c r="EI32" s="92">
        <f>'[1]January -2020'!EK32</f>
        <v>0</v>
      </c>
      <c r="EJ32" s="233">
        <f>'[1]January -2020'!EL32</f>
        <v>0</v>
      </c>
      <c r="EK32" s="92">
        <f>'[1]January -2020'!EM32</f>
        <v>0</v>
      </c>
      <c r="EL32" s="233">
        <f>'[1]January -2020'!EN32</f>
        <v>0</v>
      </c>
      <c r="EM32" s="92">
        <f>'[1]January -2020'!EO32</f>
        <v>0</v>
      </c>
      <c r="EN32" s="233">
        <f>'[1]January -2020'!EP32</f>
        <v>0</v>
      </c>
      <c r="EO32" s="92">
        <f>'[1]January -2020'!EQ32</f>
        <v>0</v>
      </c>
      <c r="EP32" s="233">
        <f>'[1]January -2020'!ER32</f>
        <v>0</v>
      </c>
      <c r="EQ32" s="92">
        <f>'[1]January -2020'!ES32</f>
        <v>0</v>
      </c>
      <c r="ER32" s="233">
        <f>'[1]January -2020'!ET32</f>
        <v>0</v>
      </c>
      <c r="ES32" s="554"/>
      <c r="ET32" s="287">
        <f>'[1]January -2020'!EV32</f>
        <v>0</v>
      </c>
      <c r="EU32" s="286">
        <f>'[1]January -2020'!$EW$11</f>
        <v>19.5</v>
      </c>
      <c r="EV32" s="285">
        <f>'[1]January -2020'!EX32</f>
        <v>0</v>
      </c>
      <c r="EW32" s="286">
        <f>'[1]January -2020'!EY32</f>
        <v>0</v>
      </c>
      <c r="EX32" s="285">
        <f>'[1]January -2020'!FB32</f>
        <v>0</v>
      </c>
      <c r="EY32" s="286">
        <f>'[1]January -2020'!FA32</f>
        <v>0</v>
      </c>
      <c r="EZ32" s="285">
        <f>'[1]January -2020'!EZ32</f>
        <v>0</v>
      </c>
      <c r="FA32" s="286">
        <f>'[1]January -2020'!FA32</f>
        <v>0</v>
      </c>
      <c r="FB32" s="285">
        <f>'[1]January -2020'!FD32</f>
        <v>0</v>
      </c>
      <c r="FC32" s="288">
        <f>'[1]January -2020'!FE32</f>
        <v>0</v>
      </c>
    </row>
    <row r="33" spans="1:160" ht="30" customHeight="1" x14ac:dyDescent="0.25">
      <c r="A33" s="210">
        <v>43854</v>
      </c>
      <c r="B33" s="212">
        <f>'[1]January -2020'!B33</f>
        <v>0</v>
      </c>
      <c r="C33" s="253">
        <f>'[1]January -2020'!E33</f>
        <v>0</v>
      </c>
      <c r="D33" s="172">
        <f>'[1]January -2020'!F33</f>
        <v>484</v>
      </c>
      <c r="E33" s="170">
        <f>'[1]January -2020'!G33</f>
        <v>484</v>
      </c>
      <c r="F33" s="170">
        <f>'[1]January -2020'!H33</f>
        <v>0</v>
      </c>
      <c r="G33" s="172">
        <f>'[1]January -2020'!I33</f>
        <v>0</v>
      </c>
      <c r="H33" s="170">
        <f>'[1]January -2020'!J33</f>
        <v>415</v>
      </c>
      <c r="I33" s="170">
        <f>'[1]January -2020'!K33</f>
        <v>0</v>
      </c>
      <c r="J33" s="172">
        <f>'[1]January -2020'!L33</f>
        <v>0</v>
      </c>
      <c r="K33" s="170">
        <f>'[1]January -2020'!N33</f>
        <v>0</v>
      </c>
      <c r="L33" s="172">
        <f>'[1]January -2020'!O33</f>
        <v>0</v>
      </c>
      <c r="M33" s="170">
        <f>'[1]January -2020'!Q33</f>
        <v>156875</v>
      </c>
      <c r="N33" s="172">
        <f>'[1]January -2020'!R33</f>
        <v>0</v>
      </c>
      <c r="O33" s="170">
        <f>'[1]January -2020'!S33</f>
        <v>0</v>
      </c>
      <c r="P33" s="172">
        <f>'[1]January -2020'!T33</f>
        <v>0</v>
      </c>
      <c r="Q33" s="170">
        <f>'[1]January -2020'!U33</f>
        <v>69</v>
      </c>
      <c r="R33" s="170">
        <f>'[1]January -2020'!V33</f>
        <v>0</v>
      </c>
      <c r="S33" s="211">
        <f>'[1]January -2020'!W33</f>
        <v>0</v>
      </c>
      <c r="T33" s="475"/>
      <c r="U33" s="171">
        <f>'[1]January -2020'!AB33</f>
        <v>0</v>
      </c>
      <c r="V33" s="254">
        <f>'[1]January -2020'!AC33</f>
        <v>0</v>
      </c>
      <c r="W33" s="94">
        <f>'[1]January -2020'!AD33</f>
        <v>3361.679999999702</v>
      </c>
      <c r="X33" s="94">
        <f>'[1]January -2020'!AE33</f>
        <v>0</v>
      </c>
      <c r="Y33" s="254">
        <f>'[1]January -2020'!AF33</f>
        <v>0</v>
      </c>
      <c r="Z33" s="94">
        <f>'[1]January -2020'!AG33</f>
        <v>5164.3199999984354</v>
      </c>
      <c r="AA33" s="94">
        <f>'[1]January -2020'!AH33</f>
        <v>0</v>
      </c>
      <c r="AB33" s="254">
        <f>'[1]January -2020'!AI33</f>
        <v>0</v>
      </c>
      <c r="AC33" s="94">
        <f>'[1]January -2020'!AJ33</f>
        <v>146.15999999921769</v>
      </c>
      <c r="AD33" s="94">
        <f>'[1]January -2020'!AK33</f>
        <v>0</v>
      </c>
      <c r="AE33" s="254">
        <f>'[1]January -2020'!AL33</f>
        <v>0</v>
      </c>
      <c r="AF33" s="94">
        <f>'[1]January -2020'!AM33</f>
        <v>7795.1999999992549</v>
      </c>
      <c r="AG33" s="94">
        <f>'[1]January -2020'!AN33</f>
        <v>0</v>
      </c>
      <c r="AH33" s="254">
        <f>'[1]January -2020'!AO33</f>
        <v>0</v>
      </c>
      <c r="AI33" s="94">
        <f>'[1]January -2020'!AP33</f>
        <v>-48.719999998807907</v>
      </c>
      <c r="AJ33" s="94">
        <f>'[1]January -2020'!AQ33</f>
        <v>0</v>
      </c>
      <c r="AK33" s="254">
        <f>'[1]January -2020'!AR33</f>
        <v>0</v>
      </c>
      <c r="AL33" s="94">
        <f>'[1]January -2020'!AS33</f>
        <v>6041.2800000011921</v>
      </c>
      <c r="AM33" s="94">
        <f>'[1]January -2020'!AT33</f>
        <v>0</v>
      </c>
      <c r="AN33" s="254">
        <f>'[1]January -2020'!AU33</f>
        <v>0</v>
      </c>
      <c r="AO33" s="94">
        <f>'[1]January -2020'!AV33</f>
        <v>4238.6399999987334</v>
      </c>
      <c r="AP33" s="94">
        <f>'[1]January -2020'!AW33</f>
        <v>0</v>
      </c>
      <c r="AQ33" s="254">
        <f>'[1]January -2020'!AX33</f>
        <v>0</v>
      </c>
      <c r="AR33" s="94">
        <f>'[1]January -2020'!AY33</f>
        <v>4969.4400000004098</v>
      </c>
      <c r="AS33" s="94">
        <f>'[1]January -2020'!AZ33</f>
        <v>0</v>
      </c>
      <c r="AT33" s="254">
        <f>'[1]January -2020'!BA33</f>
        <v>0</v>
      </c>
      <c r="AU33" s="94">
        <f>'[1]January -2020'!BB33</f>
        <v>3800.1599999992177</v>
      </c>
      <c r="AV33" s="94">
        <f>'[1]January -2020'!BC33</f>
        <v>0</v>
      </c>
      <c r="AW33" s="255">
        <f>'[1]January -2020'!BD33</f>
        <v>0</v>
      </c>
      <c r="AX33" s="256">
        <f>'[1]January -2020'!BE33</f>
        <v>5797.6799999978393</v>
      </c>
      <c r="AY33" s="492"/>
      <c r="AZ33" s="95">
        <f>'[1]January -2020'!BJ33</f>
        <v>0</v>
      </c>
      <c r="BA33" s="181">
        <f>'[1]January -2020'!BK33</f>
        <v>0</v>
      </c>
      <c r="BB33" s="95">
        <f>'[1]January -2020'!BL33</f>
        <v>0</v>
      </c>
      <c r="BC33" s="95">
        <f>'[1]January -2020'!BM33</f>
        <v>0</v>
      </c>
      <c r="BD33" s="248">
        <f>'[1]January -2020'!BN33</f>
        <v>0</v>
      </c>
      <c r="BE33" s="95">
        <f>'[1]January -2020'!BO33</f>
        <v>39000</v>
      </c>
      <c r="BF33" s="95">
        <f>'[1]January -2020'!BP33</f>
        <v>0</v>
      </c>
      <c r="BG33" s="248">
        <f>'[1]January -2020'!BQ33</f>
        <v>0</v>
      </c>
      <c r="BH33" s="95">
        <f>'[1]January -2020'!BR33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'[1]January -2020'!BS33</f>
        <v>0</v>
      </c>
      <c r="BT33" s="187">
        <f>'[1]January -2020'!BT33</f>
        <v>0</v>
      </c>
      <c r="BU33" s="588"/>
      <c r="BV33" s="88">
        <f>'[1]January -2020'!BV33</f>
        <v>0</v>
      </c>
      <c r="BW33" s="244">
        <f>'[1]January -2020'!BW33</f>
        <v>0</v>
      </c>
      <c r="BX33" s="88">
        <f>'[1]January -2020'!BX33</f>
        <v>5.0000000000000044E-2</v>
      </c>
      <c r="BY33" s="89">
        <f>'[1]January -2020'!BY33</f>
        <v>0</v>
      </c>
      <c r="BZ33" s="193">
        <f>'[1]January -2020'!BZ33</f>
        <v>0</v>
      </c>
      <c r="CA33" s="89">
        <f>'[1]January -2020'!CA33</f>
        <v>0</v>
      </c>
      <c r="CB33" s="193">
        <f>'[1]January -2020'!CB33</f>
        <v>0</v>
      </c>
      <c r="CC33" s="89">
        <f>'[1]January -2020'!CC33</f>
        <v>0</v>
      </c>
      <c r="CD33" s="193">
        <f>'[1]January -2020'!CD33</f>
        <v>0</v>
      </c>
      <c r="CE33" s="89">
        <f>'[1]January -2020'!CE33</f>
        <v>0</v>
      </c>
      <c r="CF33" s="193">
        <f>'[1]January -2020'!CF33</f>
        <v>0</v>
      </c>
      <c r="CG33" s="89">
        <f>'[1]January -2020'!CG33</f>
        <v>0</v>
      </c>
      <c r="CH33" s="193">
        <f>'[1]January -2020'!CH33</f>
        <v>0</v>
      </c>
      <c r="CI33" s="89">
        <f>'[1]January -2020'!CI33</f>
        <v>0</v>
      </c>
      <c r="CJ33" s="193">
        <f>'[1]January -2020'!CJ33</f>
        <v>0</v>
      </c>
      <c r="CK33" s="89">
        <f>'[1]January -2020'!CK33</f>
        <v>0</v>
      </c>
      <c r="CL33" s="249">
        <f>'[1]January -2020'!CL33</f>
        <v>0</v>
      </c>
      <c r="CM33" s="89">
        <f>'[1]January -2020'!CM33</f>
        <v>86</v>
      </c>
      <c r="CN33" s="89">
        <f>'[1]January -2020'!CN33</f>
        <v>0</v>
      </c>
      <c r="CO33" s="249">
        <f>'[1]January -2020'!CO33</f>
        <v>0</v>
      </c>
      <c r="CP33" s="89">
        <f>'[1]January -2020'!CP33</f>
        <v>86</v>
      </c>
      <c r="CQ33" s="89">
        <f>'[1]January -2020'!CQ33</f>
        <v>0</v>
      </c>
      <c r="CR33" s="249">
        <f>'[1]January -2020'!CR33</f>
        <v>0</v>
      </c>
      <c r="CS33" s="89">
        <f>'[1]January -2020'!CS33</f>
        <v>395</v>
      </c>
      <c r="CT33" s="89">
        <f>'[1]January -2020'!CT33</f>
        <v>0</v>
      </c>
      <c r="CU33" s="193">
        <f>'[1]January -2020'!CU33</f>
        <v>0</v>
      </c>
      <c r="CV33" s="516"/>
      <c r="CW33" s="208">
        <f>'[1]January -2020'!CW33</f>
        <v>0</v>
      </c>
      <c r="CX33" s="200">
        <f>'[1]January -2020'!CX33</f>
        <v>0</v>
      </c>
      <c r="CY33" s="91">
        <f>'[1]January -2020'!CY33</f>
        <v>0</v>
      </c>
      <c r="CZ33" s="200">
        <f>'[1]January -2020'!CZ33</f>
        <v>0</v>
      </c>
      <c r="DA33" s="91">
        <f>'[1]January -2020'!DA33</f>
        <v>0</v>
      </c>
      <c r="DB33" s="200">
        <f>'[1]January -2020'!DB33</f>
        <v>0</v>
      </c>
      <c r="DC33" s="91">
        <f>'[1]January -2020'!DC33</f>
        <v>0</v>
      </c>
      <c r="DD33" s="200">
        <f>'[1]January -2020'!DD33</f>
        <v>0</v>
      </c>
      <c r="DE33" s="91">
        <f>'[1]January -2020'!DE33</f>
        <v>0</v>
      </c>
      <c r="DF33" s="200">
        <f>'[1]January -2020'!DF33</f>
        <v>0</v>
      </c>
      <c r="DG33" s="91">
        <f>'[1]January -2020'!DG33</f>
        <v>0</v>
      </c>
      <c r="DH33" s="200">
        <f>'[1]January -2020'!DH33</f>
        <v>0</v>
      </c>
      <c r="DI33" s="91">
        <f>'[1]January -2020'!DI33</f>
        <v>825</v>
      </c>
      <c r="DJ33" s="200">
        <f>'[1]January -2020'!DJ33</f>
        <v>0</v>
      </c>
      <c r="DK33" s="91">
        <f>'[1]January -2020'!DK33</f>
        <v>3570</v>
      </c>
      <c r="DL33" s="200">
        <f>'[1]January -2020'!DL33</f>
        <v>0</v>
      </c>
      <c r="DM33" s="91">
        <f>'[1]January -2020'!DM33</f>
        <v>0</v>
      </c>
      <c r="DN33" s="200">
        <f>'[1]January -2020'!DN33</f>
        <v>0</v>
      </c>
      <c r="DO33" s="91">
        <f>'[1]January -2020'!DO33</f>
        <v>0</v>
      </c>
      <c r="DP33" s="200">
        <f>'[1]January -2020'!DP33</f>
        <v>0</v>
      </c>
      <c r="DQ33" s="91">
        <f>'[1]January -2020'!DQ33</f>
        <v>0</v>
      </c>
      <c r="DR33" s="209">
        <f>'[1]January -2020'!DR33</f>
        <v>0</v>
      </c>
      <c r="DS33" s="532"/>
      <c r="DT33" s="213">
        <f>'[1]January -2020'!DT33</f>
        <v>0</v>
      </c>
      <c r="DU33" s="224">
        <f>'[1]January -2020'!DU33</f>
        <v>0</v>
      </c>
      <c r="DV33" s="93">
        <f>'[1]January -2020'!DV33</f>
        <v>0</v>
      </c>
      <c r="DW33" s="218">
        <f>'[1]January -2020'!DW33</f>
        <v>0</v>
      </c>
      <c r="DX33" s="93">
        <f>'[1]January -2020'!DX33</f>
        <v>0</v>
      </c>
      <c r="DY33" s="218">
        <f>'[1]January -2020'!DY33</f>
        <v>0</v>
      </c>
      <c r="DZ33" s="93">
        <f>'[1]January -2020'!DZ33</f>
        <v>0</v>
      </c>
      <c r="EA33" s="218">
        <f>'[1]January -2020'!EA33</f>
        <v>0</v>
      </c>
      <c r="EB33" s="93">
        <f>'[1]January -2020'!ED33</f>
        <v>0</v>
      </c>
      <c r="EC33" s="218">
        <f>'[1]January -2020'!EE33</f>
        <v>0</v>
      </c>
      <c r="ED33" s="93">
        <f>'[1]January -2020'!EF33</f>
        <v>0</v>
      </c>
      <c r="EE33" s="232">
        <f>'[1]January -2020'!EG33</f>
        <v>0</v>
      </c>
      <c r="EF33" s="579"/>
      <c r="EG33" s="238">
        <f>'[1]January -2020'!EI33</f>
        <v>0</v>
      </c>
      <c r="EH33" s="233">
        <f>'[1]January -2020'!EJ33</f>
        <v>0</v>
      </c>
      <c r="EI33" s="92">
        <f>'[1]January -2020'!EK33</f>
        <v>0</v>
      </c>
      <c r="EJ33" s="233">
        <f>'[1]January -2020'!EL33</f>
        <v>0</v>
      </c>
      <c r="EK33" s="92">
        <f>'[1]January -2020'!EM33</f>
        <v>0</v>
      </c>
      <c r="EL33" s="233">
        <f>'[1]January -2020'!EN33</f>
        <v>0</v>
      </c>
      <c r="EM33" s="92">
        <f>'[1]January -2020'!EO33</f>
        <v>0</v>
      </c>
      <c r="EN33" s="233">
        <f>'[1]January -2020'!EP33</f>
        <v>0</v>
      </c>
      <c r="EO33" s="92">
        <f>'[1]January -2020'!EQ33</f>
        <v>0</v>
      </c>
      <c r="EP33" s="233">
        <f>'[1]January -2020'!ER33</f>
        <v>0</v>
      </c>
      <c r="EQ33" s="92">
        <f>'[1]January -2020'!ES33</f>
        <v>0</v>
      </c>
      <c r="ER33" s="233">
        <f>'[1]January -2020'!ET33</f>
        <v>0</v>
      </c>
      <c r="ES33" s="554"/>
      <c r="ET33" s="287">
        <f>'[1]January -2020'!EV33</f>
        <v>0</v>
      </c>
      <c r="EU33" s="286">
        <f>'[1]January -2020'!$EW$11</f>
        <v>19.5</v>
      </c>
      <c r="EV33" s="285">
        <f>'[1]January -2020'!EX33</f>
        <v>0</v>
      </c>
      <c r="EW33" s="286">
        <f>'[1]January -2020'!EY33</f>
        <v>0</v>
      </c>
      <c r="EX33" s="285">
        <f>'[1]January -2020'!FB33</f>
        <v>0</v>
      </c>
      <c r="EY33" s="286">
        <f>'[1]January -2020'!FA33</f>
        <v>0</v>
      </c>
      <c r="EZ33" s="285">
        <f>'[1]January -2020'!EZ33</f>
        <v>0</v>
      </c>
      <c r="FA33" s="286">
        <f>'[1]January -2020'!FA33</f>
        <v>0</v>
      </c>
      <c r="FB33" s="285">
        <f>'[1]January -2020'!FD33</f>
        <v>0</v>
      </c>
      <c r="FC33" s="288">
        <f>'[1]January -2020'!FE33</f>
        <v>0</v>
      </c>
    </row>
    <row r="34" spans="1:160" ht="30" customHeight="1" x14ac:dyDescent="0.25">
      <c r="A34" s="210">
        <v>43855</v>
      </c>
      <c r="B34" s="212">
        <f>'[1]January -2020'!B34</f>
        <v>0</v>
      </c>
      <c r="C34" s="253">
        <f>'[1]January -2020'!E34</f>
        <v>0</v>
      </c>
      <c r="D34" s="172">
        <f>'[1]January -2020'!F34</f>
        <v>480</v>
      </c>
      <c r="E34" s="170">
        <f>'[1]January -2020'!G34</f>
        <v>480</v>
      </c>
      <c r="F34" s="170">
        <f>'[1]January -2020'!H34</f>
        <v>0</v>
      </c>
      <c r="G34" s="172">
        <f>'[1]January -2020'!I34</f>
        <v>0</v>
      </c>
      <c r="H34" s="170">
        <f>'[1]January -2020'!J34</f>
        <v>390</v>
      </c>
      <c r="I34" s="170">
        <f>'[1]January -2020'!K34</f>
        <v>0</v>
      </c>
      <c r="J34" s="172">
        <f>'[1]January -2020'!L34</f>
        <v>0</v>
      </c>
      <c r="K34" s="170">
        <f>'[1]January -2020'!N34</f>
        <v>0</v>
      </c>
      <c r="L34" s="172">
        <f>'[1]January -2020'!O34</f>
        <v>0</v>
      </c>
      <c r="M34" s="170">
        <f>'[1]January -2020'!Q34</f>
        <v>156875</v>
      </c>
      <c r="N34" s="172">
        <f>'[1]January -2020'!R34</f>
        <v>0</v>
      </c>
      <c r="O34" s="170">
        <f>'[1]January -2020'!S34</f>
        <v>0</v>
      </c>
      <c r="P34" s="172">
        <f>'[1]January -2020'!T34</f>
        <v>0</v>
      </c>
      <c r="Q34" s="170">
        <f>'[1]January -2020'!U34</f>
        <v>72</v>
      </c>
      <c r="R34" s="170">
        <f>'[1]January -2020'!V34</f>
        <v>0</v>
      </c>
      <c r="S34" s="211">
        <f>'[1]January -2020'!W34</f>
        <v>0</v>
      </c>
      <c r="T34" s="475"/>
      <c r="U34" s="171">
        <f>'[1]January -2020'!AB34</f>
        <v>0</v>
      </c>
      <c r="V34" s="254">
        <f>'[1]January -2020'!AC34</f>
        <v>0</v>
      </c>
      <c r="W34" s="94">
        <f>'[1]January -2020'!AD34</f>
        <v>3069.359999999404</v>
      </c>
      <c r="X34" s="94">
        <f>'[1]January -2020'!AE34</f>
        <v>0</v>
      </c>
      <c r="Y34" s="254">
        <f>'[1]January -2020'!AF34</f>
        <v>0</v>
      </c>
      <c r="Z34" s="94">
        <f>'[1]January -2020'!AG34</f>
        <v>5115.5999999996275</v>
      </c>
      <c r="AA34" s="94">
        <f>'[1]January -2020'!AH34</f>
        <v>0</v>
      </c>
      <c r="AB34" s="254">
        <f>'[1]January -2020'!AI34</f>
        <v>0</v>
      </c>
      <c r="AC34" s="94">
        <f>'[1]January -2020'!AJ34</f>
        <v>243.59999999962747</v>
      </c>
      <c r="AD34" s="94">
        <f>'[1]January -2020'!AK34</f>
        <v>0</v>
      </c>
      <c r="AE34" s="254">
        <f>'[1]January -2020'!AL34</f>
        <v>0</v>
      </c>
      <c r="AF34" s="94">
        <f>'[1]January -2020'!AM34</f>
        <v>8233.6800000015646</v>
      </c>
      <c r="AG34" s="94">
        <f>'[1]January -2020'!AN34</f>
        <v>0</v>
      </c>
      <c r="AH34" s="254">
        <f>'[1]January -2020'!AO34</f>
        <v>0</v>
      </c>
      <c r="AI34" s="94">
        <f>'[1]January -2020'!AP34</f>
        <v>0</v>
      </c>
      <c r="AJ34" s="94">
        <f>'[1]January -2020'!AQ34</f>
        <v>0</v>
      </c>
      <c r="AK34" s="254">
        <f>'[1]January -2020'!AR34</f>
        <v>0</v>
      </c>
      <c r="AL34" s="94">
        <f>'[1]January -2020'!AS34</f>
        <v>6090</v>
      </c>
      <c r="AM34" s="94">
        <f>'[1]January -2020'!AT34</f>
        <v>0</v>
      </c>
      <c r="AN34" s="254">
        <f>'[1]January -2020'!AU34</f>
        <v>0</v>
      </c>
      <c r="AO34" s="94">
        <f>'[1]January -2020'!AV34</f>
        <v>4189.9199999999255</v>
      </c>
      <c r="AP34" s="94">
        <f>'[1]January -2020'!AW34</f>
        <v>0</v>
      </c>
      <c r="AQ34" s="254">
        <f>'[1]January -2020'!AX34</f>
        <v>0</v>
      </c>
      <c r="AR34" s="94">
        <f>'[1]January -2020'!AY34</f>
        <v>5066.8800000008196</v>
      </c>
      <c r="AS34" s="94">
        <f>'[1]January -2020'!AZ34</f>
        <v>0</v>
      </c>
      <c r="AT34" s="254">
        <f>'[1]January -2020'!BA34</f>
        <v>0</v>
      </c>
      <c r="AU34" s="94">
        <f>'[1]January -2020'!BB34</f>
        <v>3507.8400000007823</v>
      </c>
      <c r="AV34" s="94">
        <f>'[1]January -2020'!BC34</f>
        <v>0</v>
      </c>
      <c r="AW34" s="255">
        <f>'[1]January -2020'!BD34</f>
        <v>0</v>
      </c>
      <c r="AX34" s="256">
        <f>'[1]January -2020'!BE34</f>
        <v>5992.5600000023842</v>
      </c>
      <c r="AY34" s="492"/>
      <c r="AZ34" s="95">
        <f>'[1]January -2020'!BJ34</f>
        <v>0</v>
      </c>
      <c r="BA34" s="181">
        <f>'[1]January -2020'!BK34</f>
        <v>0</v>
      </c>
      <c r="BB34" s="95">
        <f>'[1]January -2020'!BL34</f>
        <v>0</v>
      </c>
      <c r="BC34" s="95">
        <f>'[1]January -2020'!BM34</f>
        <v>0</v>
      </c>
      <c r="BD34" s="248">
        <f>'[1]January -2020'!BN34</f>
        <v>0</v>
      </c>
      <c r="BE34" s="95">
        <f>'[1]January -2020'!BO34</f>
        <v>32000</v>
      </c>
      <c r="BF34" s="95">
        <f>'[1]January -2020'!BP34</f>
        <v>0</v>
      </c>
      <c r="BG34" s="248">
        <f>'[1]January -2020'!BQ34</f>
        <v>0</v>
      </c>
      <c r="BH34" s="95">
        <f>'[1]January -2020'!BR34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'[1]January -2020'!BS34</f>
        <v>0</v>
      </c>
      <c r="BT34" s="187">
        <f>'[1]January -2020'!BT34</f>
        <v>0</v>
      </c>
      <c r="BU34" s="588"/>
      <c r="BV34" s="88">
        <f>'[1]January -2020'!BV34</f>
        <v>0</v>
      </c>
      <c r="BW34" s="244">
        <f>'[1]January -2020'!BW34</f>
        <v>0</v>
      </c>
      <c r="BX34" s="88">
        <f>'[1]January -2020'!BX34</f>
        <v>3.9999999999999925E-2</v>
      </c>
      <c r="BY34" s="89">
        <f>'[1]January -2020'!BY34</f>
        <v>0</v>
      </c>
      <c r="BZ34" s="193">
        <f>'[1]January -2020'!BZ34</f>
        <v>0</v>
      </c>
      <c r="CA34" s="89">
        <f>'[1]January -2020'!CA34</f>
        <v>0</v>
      </c>
      <c r="CB34" s="193">
        <f>'[1]January -2020'!CB34</f>
        <v>0</v>
      </c>
      <c r="CC34" s="89">
        <f>'[1]January -2020'!CC34</f>
        <v>0</v>
      </c>
      <c r="CD34" s="193">
        <f>'[1]January -2020'!CD34</f>
        <v>0</v>
      </c>
      <c r="CE34" s="89">
        <f>'[1]January -2020'!CE34</f>
        <v>0</v>
      </c>
      <c r="CF34" s="193">
        <f>'[1]January -2020'!CF34</f>
        <v>0</v>
      </c>
      <c r="CG34" s="89">
        <f>'[1]January -2020'!CG34</f>
        <v>0</v>
      </c>
      <c r="CH34" s="193">
        <f>'[1]January -2020'!CH34</f>
        <v>0</v>
      </c>
      <c r="CI34" s="89">
        <f>'[1]January -2020'!CI34</f>
        <v>0</v>
      </c>
      <c r="CJ34" s="193">
        <f>'[1]January -2020'!CJ34</f>
        <v>0</v>
      </c>
      <c r="CK34" s="89">
        <f>'[1]January -2020'!CK34</f>
        <v>0</v>
      </c>
      <c r="CL34" s="249">
        <f>'[1]January -2020'!CL34</f>
        <v>0</v>
      </c>
      <c r="CM34" s="89">
        <f>'[1]January -2020'!CM34</f>
        <v>87</v>
      </c>
      <c r="CN34" s="89">
        <f>'[1]January -2020'!CN34</f>
        <v>0</v>
      </c>
      <c r="CO34" s="249">
        <f>'[1]January -2020'!CO34</f>
        <v>0</v>
      </c>
      <c r="CP34" s="89">
        <f>'[1]January -2020'!CP34</f>
        <v>90</v>
      </c>
      <c r="CQ34" s="89">
        <f>'[1]January -2020'!CQ34</f>
        <v>0</v>
      </c>
      <c r="CR34" s="249">
        <f>'[1]January -2020'!CR34</f>
        <v>0</v>
      </c>
      <c r="CS34" s="89">
        <f>'[1]January -2020'!CS34</f>
        <v>396</v>
      </c>
      <c r="CT34" s="89">
        <f>'[1]January -2020'!CT34</f>
        <v>0</v>
      </c>
      <c r="CU34" s="193">
        <f>'[1]January -2020'!CU34</f>
        <v>0</v>
      </c>
      <c r="CV34" s="516"/>
      <c r="CW34" s="208">
        <f>'[1]January -2020'!CW34</f>
        <v>0</v>
      </c>
      <c r="CX34" s="200">
        <f>'[1]January -2020'!CX34</f>
        <v>0</v>
      </c>
      <c r="CY34" s="91">
        <f>'[1]January -2020'!CY34</f>
        <v>0</v>
      </c>
      <c r="CZ34" s="200">
        <f>'[1]January -2020'!CZ34</f>
        <v>0</v>
      </c>
      <c r="DA34" s="91">
        <f>'[1]January -2020'!DA34</f>
        <v>0</v>
      </c>
      <c r="DB34" s="200">
        <f>'[1]January -2020'!DB34</f>
        <v>0</v>
      </c>
      <c r="DC34" s="91">
        <f>'[1]January -2020'!DC34</f>
        <v>0</v>
      </c>
      <c r="DD34" s="200">
        <f>'[1]January -2020'!DD34</f>
        <v>0</v>
      </c>
      <c r="DE34" s="91">
        <f>'[1]January -2020'!DE34</f>
        <v>0</v>
      </c>
      <c r="DF34" s="200">
        <f>'[1]January -2020'!DF34</f>
        <v>0</v>
      </c>
      <c r="DG34" s="91">
        <f>'[1]January -2020'!DG34</f>
        <v>0</v>
      </c>
      <c r="DH34" s="200">
        <f>'[1]January -2020'!DH34</f>
        <v>0</v>
      </c>
      <c r="DI34" s="91">
        <f>'[1]January -2020'!DI34</f>
        <v>825</v>
      </c>
      <c r="DJ34" s="200">
        <f>'[1]January -2020'!DJ34</f>
        <v>0</v>
      </c>
      <c r="DK34" s="91">
        <f>'[1]January -2020'!DK34</f>
        <v>3570</v>
      </c>
      <c r="DL34" s="200">
        <f>'[1]January -2020'!DL34</f>
        <v>0</v>
      </c>
      <c r="DM34" s="91">
        <f>'[1]January -2020'!DM34</f>
        <v>0</v>
      </c>
      <c r="DN34" s="200">
        <f>'[1]January -2020'!DN34</f>
        <v>0</v>
      </c>
      <c r="DO34" s="91">
        <f>'[1]January -2020'!DO34</f>
        <v>0</v>
      </c>
      <c r="DP34" s="200">
        <f>'[1]January -2020'!DP34</f>
        <v>0</v>
      </c>
      <c r="DQ34" s="91">
        <f>'[1]January -2020'!DQ34</f>
        <v>0</v>
      </c>
      <c r="DR34" s="209">
        <f>'[1]January -2020'!DR34</f>
        <v>0</v>
      </c>
      <c r="DS34" s="532"/>
      <c r="DT34" s="213">
        <f>'[1]January -2020'!DT34</f>
        <v>0</v>
      </c>
      <c r="DU34" s="224">
        <f>'[1]January -2020'!DU34</f>
        <v>0</v>
      </c>
      <c r="DV34" s="93">
        <f>'[1]January -2020'!DV34</f>
        <v>0</v>
      </c>
      <c r="DW34" s="218">
        <f>'[1]January -2020'!DW34</f>
        <v>0</v>
      </c>
      <c r="DX34" s="93">
        <f>'[1]January -2020'!DX34</f>
        <v>0</v>
      </c>
      <c r="DY34" s="218">
        <f>'[1]January -2020'!DY34</f>
        <v>0</v>
      </c>
      <c r="DZ34" s="93">
        <f>'[1]January -2020'!DZ34</f>
        <v>0</v>
      </c>
      <c r="EA34" s="218">
        <f>'[1]January -2020'!EA34</f>
        <v>0</v>
      </c>
      <c r="EB34" s="93">
        <f>'[1]January -2020'!ED34</f>
        <v>0</v>
      </c>
      <c r="EC34" s="218">
        <f>'[1]January -2020'!EE34</f>
        <v>0</v>
      </c>
      <c r="ED34" s="93">
        <f>'[1]January -2020'!EF34</f>
        <v>0</v>
      </c>
      <c r="EE34" s="232">
        <f>'[1]January -2020'!EG34</f>
        <v>0</v>
      </c>
      <c r="EF34" s="579"/>
      <c r="EG34" s="238">
        <f>'[1]January -2020'!EI34</f>
        <v>0</v>
      </c>
      <c r="EH34" s="233">
        <f>'[1]January -2020'!EJ34</f>
        <v>0</v>
      </c>
      <c r="EI34" s="92">
        <f>'[1]January -2020'!EK34</f>
        <v>0</v>
      </c>
      <c r="EJ34" s="233">
        <f>'[1]January -2020'!EL34</f>
        <v>0</v>
      </c>
      <c r="EK34" s="92">
        <f>'[1]January -2020'!EM34</f>
        <v>0</v>
      </c>
      <c r="EL34" s="233">
        <f>'[1]January -2020'!EN34</f>
        <v>0</v>
      </c>
      <c r="EM34" s="92">
        <f>'[1]January -2020'!EO34</f>
        <v>0</v>
      </c>
      <c r="EN34" s="233">
        <f>'[1]January -2020'!EP34</f>
        <v>0</v>
      </c>
      <c r="EO34" s="92">
        <f>'[1]January -2020'!EQ34</f>
        <v>0</v>
      </c>
      <c r="EP34" s="233">
        <f>'[1]January -2020'!ER34</f>
        <v>0</v>
      </c>
      <c r="EQ34" s="92">
        <f>'[1]January -2020'!ES34</f>
        <v>0</v>
      </c>
      <c r="ER34" s="233">
        <f>'[1]January -2020'!ET34</f>
        <v>0</v>
      </c>
      <c r="ES34" s="554"/>
      <c r="ET34" s="287">
        <f>'[1]January -2020'!EV34</f>
        <v>0</v>
      </c>
      <c r="EU34" s="286">
        <f>'[1]January -2020'!$EW$11</f>
        <v>19.5</v>
      </c>
      <c r="EV34" s="285">
        <f>'[1]January -2020'!EX34</f>
        <v>0</v>
      </c>
      <c r="EW34" s="286">
        <f>'[1]January -2020'!EY34</f>
        <v>0</v>
      </c>
      <c r="EX34" s="285">
        <f>'[1]January -2020'!FB34</f>
        <v>0</v>
      </c>
      <c r="EY34" s="286">
        <f>'[1]January -2020'!FA34</f>
        <v>0</v>
      </c>
      <c r="EZ34" s="285">
        <f>'[1]January -2020'!EZ34</f>
        <v>0</v>
      </c>
      <c r="FA34" s="286">
        <f>'[1]January -2020'!FA34</f>
        <v>0</v>
      </c>
      <c r="FB34" s="285">
        <f>'[1]January -2020'!FD34</f>
        <v>0</v>
      </c>
      <c r="FC34" s="288">
        <f>'[1]January -2020'!FE34</f>
        <v>0</v>
      </c>
    </row>
    <row r="35" spans="1:160" ht="30" customHeight="1" x14ac:dyDescent="0.25">
      <c r="A35" s="210">
        <v>43856</v>
      </c>
      <c r="B35" s="212">
        <f>'[1]January -2020'!B35</f>
        <v>0</v>
      </c>
      <c r="C35" s="253">
        <f>'[1]January -2020'!E35</f>
        <v>0</v>
      </c>
      <c r="D35" s="172">
        <f>'[1]January -2020'!F35</f>
        <v>460</v>
      </c>
      <c r="E35" s="170">
        <f>'[1]January -2020'!G35</f>
        <v>460</v>
      </c>
      <c r="F35" s="170">
        <f>'[1]January -2020'!H35</f>
        <v>0</v>
      </c>
      <c r="G35" s="172">
        <f>'[1]January -2020'!I35</f>
        <v>0</v>
      </c>
      <c r="H35" s="170">
        <f>'[1]January -2020'!J35</f>
        <v>378</v>
      </c>
      <c r="I35" s="170">
        <f>'[1]January -2020'!K35</f>
        <v>0</v>
      </c>
      <c r="J35" s="172">
        <f>'[1]January -2020'!L35</f>
        <v>0</v>
      </c>
      <c r="K35" s="170">
        <f>'[1]January -2020'!N35</f>
        <v>0</v>
      </c>
      <c r="L35" s="172">
        <f>'[1]January -2020'!O35</f>
        <v>0</v>
      </c>
      <c r="M35" s="170">
        <f>'[1]January -2020'!Q35</f>
        <v>156875</v>
      </c>
      <c r="N35" s="172">
        <f>'[1]January -2020'!R35</f>
        <v>0</v>
      </c>
      <c r="O35" s="170">
        <f>'[1]January -2020'!S35</f>
        <v>0</v>
      </c>
      <c r="P35" s="172">
        <f>'[1]January -2020'!T35</f>
        <v>0</v>
      </c>
      <c r="Q35" s="170">
        <f>'[1]January -2020'!U35</f>
        <v>88</v>
      </c>
      <c r="R35" s="170">
        <f>'[1]January -2020'!V35</f>
        <v>0</v>
      </c>
      <c r="S35" s="211">
        <f>'[1]January -2020'!W35</f>
        <v>0</v>
      </c>
      <c r="T35" s="475"/>
      <c r="U35" s="171">
        <f>'[1]January -2020'!AB35</f>
        <v>0</v>
      </c>
      <c r="V35" s="254">
        <f>'[1]January -2020'!AC35</f>
        <v>0</v>
      </c>
      <c r="W35" s="94">
        <f>'[1]January -2020'!AD35</f>
        <v>2094.9600000008941</v>
      </c>
      <c r="X35" s="94">
        <f>'[1]January -2020'!AE35</f>
        <v>0</v>
      </c>
      <c r="Y35" s="254">
        <f>'[1]January -2020'!AF35</f>
        <v>0</v>
      </c>
      <c r="Z35" s="94">
        <f>'[1]January -2020'!AG35</f>
        <v>5066.8800000008196</v>
      </c>
      <c r="AA35" s="94">
        <f>'[1]January -2020'!AH35</f>
        <v>0</v>
      </c>
      <c r="AB35" s="254">
        <f>'[1]January -2020'!AI35</f>
        <v>0</v>
      </c>
      <c r="AC35" s="94">
        <f>'[1]January -2020'!AJ35</f>
        <v>1218</v>
      </c>
      <c r="AD35" s="94">
        <f>'[1]January -2020'!AK35</f>
        <v>0</v>
      </c>
      <c r="AE35" s="254">
        <f>'[1]January -2020'!AL35</f>
        <v>0</v>
      </c>
      <c r="AF35" s="94">
        <f>'[1]January -2020'!AM35</f>
        <v>7259.2799999974668</v>
      </c>
      <c r="AG35" s="94">
        <f>'[1]January -2020'!AN35</f>
        <v>0</v>
      </c>
      <c r="AH35" s="254">
        <f>'[1]January -2020'!AO35</f>
        <v>0</v>
      </c>
      <c r="AI35" s="94">
        <f>'[1]January -2020'!AP35</f>
        <v>97.439999999478459</v>
      </c>
      <c r="AJ35" s="94">
        <f>'[1]January -2020'!AQ35</f>
        <v>0</v>
      </c>
      <c r="AK35" s="254">
        <f>'[1]January -2020'!AR35</f>
        <v>0</v>
      </c>
      <c r="AL35" s="94">
        <f>'[1]January -2020'!AS35</f>
        <v>6041.2799999993294</v>
      </c>
      <c r="AM35" s="94">
        <f>'[1]January -2020'!AT35</f>
        <v>0</v>
      </c>
      <c r="AN35" s="254">
        <f>'[1]January -2020'!AU35</f>
        <v>0</v>
      </c>
      <c r="AO35" s="94">
        <f>'[1]January -2020'!AV35</f>
        <v>4141.2000000011176</v>
      </c>
      <c r="AP35" s="94">
        <f>'[1]January -2020'!AW35</f>
        <v>0</v>
      </c>
      <c r="AQ35" s="254">
        <f>'[1]January -2020'!AX35</f>
        <v>0</v>
      </c>
      <c r="AR35" s="94">
        <f>'[1]January -2020'!AY35</f>
        <v>5018.160000000149</v>
      </c>
      <c r="AS35" s="94">
        <f>'[1]January -2020'!AZ35</f>
        <v>0</v>
      </c>
      <c r="AT35" s="254">
        <f>'[1]January -2020'!BA35</f>
        <v>0</v>
      </c>
      <c r="AU35" s="94">
        <f>'[1]January -2020'!BB35</f>
        <v>3312.9599999999627</v>
      </c>
      <c r="AV35" s="94">
        <f>'[1]January -2020'!BC35</f>
        <v>0</v>
      </c>
      <c r="AW35" s="255">
        <f>'[1]January -2020'!BD35</f>
        <v>0</v>
      </c>
      <c r="AX35" s="256">
        <f>'[1]January -2020'!BE35</f>
        <v>5895.1199999991804</v>
      </c>
      <c r="AY35" s="492"/>
      <c r="AZ35" s="95">
        <f>'[1]January -2020'!BJ35</f>
        <v>0</v>
      </c>
      <c r="BA35" s="181">
        <f>'[1]January -2020'!BK35</f>
        <v>0</v>
      </c>
      <c r="BB35" s="95">
        <f>'[1]January -2020'!BL35</f>
        <v>0</v>
      </c>
      <c r="BC35" s="95">
        <f>'[1]January -2020'!BM35</f>
        <v>0</v>
      </c>
      <c r="BD35" s="248">
        <f>'[1]January -2020'!BN35</f>
        <v>0</v>
      </c>
      <c r="BE35" s="95">
        <f>'[1]January -2020'!BO35</f>
        <v>46900</v>
      </c>
      <c r="BF35" s="95">
        <f>'[1]January -2020'!BP35</f>
        <v>0</v>
      </c>
      <c r="BG35" s="248">
        <f>'[1]January -2020'!BQ35</f>
        <v>0</v>
      </c>
      <c r="BH35" s="95">
        <f>'[1]January -2020'!BR35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'[1]January -2020'!BS35</f>
        <v>0</v>
      </c>
      <c r="BT35" s="187">
        <f>'[1]January -2020'!BT35</f>
        <v>0</v>
      </c>
      <c r="BU35" s="588"/>
      <c r="BV35" s="88">
        <f>'[1]January -2020'!BV35</f>
        <v>0</v>
      </c>
      <c r="BW35" s="244">
        <f>'[1]January -2020'!BW35</f>
        <v>0</v>
      </c>
      <c r="BX35" s="88">
        <f>'[1]January -2020'!BX35</f>
        <v>-8.9999999999999969E-2</v>
      </c>
      <c r="BY35" s="89">
        <f>'[1]January -2020'!BY35</f>
        <v>0</v>
      </c>
      <c r="BZ35" s="193">
        <f>'[1]January -2020'!BZ35</f>
        <v>0</v>
      </c>
      <c r="CA35" s="89">
        <f>'[1]January -2020'!CA35</f>
        <v>0</v>
      </c>
      <c r="CB35" s="193">
        <f>'[1]January -2020'!CB35</f>
        <v>0</v>
      </c>
      <c r="CC35" s="89">
        <f>'[1]January -2020'!CC35</f>
        <v>0</v>
      </c>
      <c r="CD35" s="193">
        <f>'[1]January -2020'!CD35</f>
        <v>0</v>
      </c>
      <c r="CE35" s="89">
        <f>'[1]January -2020'!CE35</f>
        <v>0</v>
      </c>
      <c r="CF35" s="193">
        <f>'[1]January -2020'!CF35</f>
        <v>0</v>
      </c>
      <c r="CG35" s="89">
        <f>'[1]January -2020'!CG35</f>
        <v>0</v>
      </c>
      <c r="CH35" s="193">
        <f>'[1]January -2020'!CH35</f>
        <v>0</v>
      </c>
      <c r="CI35" s="89">
        <f>'[1]January -2020'!CI35</f>
        <v>0</v>
      </c>
      <c r="CJ35" s="193">
        <f>'[1]January -2020'!CJ35</f>
        <v>0</v>
      </c>
      <c r="CK35" s="89">
        <f>'[1]January -2020'!CK35</f>
        <v>0</v>
      </c>
      <c r="CL35" s="249">
        <f>'[1]January -2020'!CL35</f>
        <v>0</v>
      </c>
      <c r="CM35" s="89">
        <f>'[1]January -2020'!CM35</f>
        <v>88</v>
      </c>
      <c r="CN35" s="89">
        <f>'[1]January -2020'!CN35</f>
        <v>0</v>
      </c>
      <c r="CO35" s="249">
        <f>'[1]January -2020'!CO35</f>
        <v>0</v>
      </c>
      <c r="CP35" s="89">
        <f>'[1]January -2020'!CP35</f>
        <v>84</v>
      </c>
      <c r="CQ35" s="89">
        <f>'[1]January -2020'!CQ35</f>
        <v>0</v>
      </c>
      <c r="CR35" s="249">
        <f>'[1]January -2020'!CR35</f>
        <v>0</v>
      </c>
      <c r="CS35" s="89">
        <f>'[1]January -2020'!CS35</f>
        <v>382</v>
      </c>
      <c r="CT35" s="89">
        <f>'[1]January -2020'!CT35</f>
        <v>0</v>
      </c>
      <c r="CU35" s="193">
        <f>'[1]January -2020'!CU35</f>
        <v>0</v>
      </c>
      <c r="CV35" s="516"/>
      <c r="CW35" s="208">
        <f>'[1]January -2020'!CW35</f>
        <v>0</v>
      </c>
      <c r="CX35" s="200">
        <f>'[1]January -2020'!CX35</f>
        <v>0</v>
      </c>
      <c r="CY35" s="91">
        <f>'[1]January -2020'!CY35</f>
        <v>0</v>
      </c>
      <c r="CZ35" s="200">
        <f>'[1]January -2020'!CZ35</f>
        <v>0</v>
      </c>
      <c r="DA35" s="91">
        <f>'[1]January -2020'!DA35</f>
        <v>0</v>
      </c>
      <c r="DB35" s="200">
        <f>'[1]January -2020'!DB35</f>
        <v>0</v>
      </c>
      <c r="DC35" s="91">
        <f>'[1]January -2020'!DC35</f>
        <v>0</v>
      </c>
      <c r="DD35" s="200">
        <f>'[1]January -2020'!DD35</f>
        <v>0</v>
      </c>
      <c r="DE35" s="91">
        <f>'[1]January -2020'!DE35</f>
        <v>0</v>
      </c>
      <c r="DF35" s="200">
        <f>'[1]January -2020'!DF35</f>
        <v>0</v>
      </c>
      <c r="DG35" s="91">
        <f>'[1]January -2020'!DG35</f>
        <v>0</v>
      </c>
      <c r="DH35" s="200">
        <f>'[1]January -2020'!DH35</f>
        <v>0</v>
      </c>
      <c r="DI35" s="91">
        <f>'[1]January -2020'!DI35</f>
        <v>825</v>
      </c>
      <c r="DJ35" s="200">
        <f>'[1]January -2020'!DJ35</f>
        <v>0</v>
      </c>
      <c r="DK35" s="91">
        <f>'[1]January -2020'!DK35</f>
        <v>3570</v>
      </c>
      <c r="DL35" s="200">
        <f>'[1]January -2020'!DL35</f>
        <v>0</v>
      </c>
      <c r="DM35" s="91">
        <f>'[1]January -2020'!DM35</f>
        <v>0</v>
      </c>
      <c r="DN35" s="200">
        <f>'[1]January -2020'!DN35</f>
        <v>0</v>
      </c>
      <c r="DO35" s="91">
        <f>'[1]January -2020'!DO35</f>
        <v>0</v>
      </c>
      <c r="DP35" s="200">
        <f>'[1]January -2020'!DP35</f>
        <v>0</v>
      </c>
      <c r="DQ35" s="91">
        <f>'[1]January -2020'!DQ35</f>
        <v>0</v>
      </c>
      <c r="DR35" s="209">
        <f>'[1]January -2020'!DR35</f>
        <v>0</v>
      </c>
      <c r="DS35" s="532"/>
      <c r="DT35" s="213">
        <f>'[1]January -2020'!DT35</f>
        <v>0</v>
      </c>
      <c r="DU35" s="224">
        <f>'[1]January -2020'!DU35</f>
        <v>0</v>
      </c>
      <c r="DV35" s="93">
        <f>'[1]January -2020'!DV35</f>
        <v>0</v>
      </c>
      <c r="DW35" s="218">
        <f>'[1]January -2020'!DW35</f>
        <v>0</v>
      </c>
      <c r="DX35" s="93">
        <f>'[1]January -2020'!DX35</f>
        <v>0</v>
      </c>
      <c r="DY35" s="218">
        <f>'[1]January -2020'!DY35</f>
        <v>0</v>
      </c>
      <c r="DZ35" s="93">
        <f>'[1]January -2020'!DZ35</f>
        <v>0</v>
      </c>
      <c r="EA35" s="218">
        <f>'[1]January -2020'!EA35</f>
        <v>0</v>
      </c>
      <c r="EB35" s="93">
        <f>'[1]January -2020'!ED35</f>
        <v>0</v>
      </c>
      <c r="EC35" s="218">
        <f>'[1]January -2020'!EE35</f>
        <v>0</v>
      </c>
      <c r="ED35" s="93">
        <f>'[1]January -2020'!EF35</f>
        <v>0</v>
      </c>
      <c r="EE35" s="232">
        <f>'[1]January -2020'!EG35</f>
        <v>0</v>
      </c>
      <c r="EF35" s="579"/>
      <c r="EG35" s="238">
        <f>'[1]January -2020'!EI35</f>
        <v>0</v>
      </c>
      <c r="EH35" s="233">
        <f>'[1]January -2020'!EJ35</f>
        <v>0</v>
      </c>
      <c r="EI35" s="92">
        <f>'[1]January -2020'!EK35</f>
        <v>0</v>
      </c>
      <c r="EJ35" s="233">
        <f>'[1]January -2020'!EL35</f>
        <v>0</v>
      </c>
      <c r="EK35" s="92">
        <f>'[1]January -2020'!EM35</f>
        <v>0</v>
      </c>
      <c r="EL35" s="233">
        <f>'[1]January -2020'!EN35</f>
        <v>0</v>
      </c>
      <c r="EM35" s="92">
        <f>'[1]January -2020'!EO35</f>
        <v>0</v>
      </c>
      <c r="EN35" s="233">
        <f>'[1]January -2020'!EP35</f>
        <v>0</v>
      </c>
      <c r="EO35" s="92">
        <f>'[1]January -2020'!EQ35</f>
        <v>0</v>
      </c>
      <c r="EP35" s="233">
        <f>'[1]January -2020'!ER35</f>
        <v>0</v>
      </c>
      <c r="EQ35" s="92">
        <f>'[1]January -2020'!ES35</f>
        <v>0</v>
      </c>
      <c r="ER35" s="233">
        <f>'[1]January -2020'!ET35</f>
        <v>0</v>
      </c>
      <c r="ES35" s="554"/>
      <c r="ET35" s="287">
        <f>'[1]January -2020'!EV35</f>
        <v>0</v>
      </c>
      <c r="EU35" s="286">
        <f>'[1]January -2020'!$EW$11</f>
        <v>19.5</v>
      </c>
      <c r="EV35" s="285">
        <f>'[1]January -2020'!EX35</f>
        <v>0</v>
      </c>
      <c r="EW35" s="286">
        <f>'[1]January -2020'!EY35</f>
        <v>0</v>
      </c>
      <c r="EX35" s="285">
        <f>'[1]January -2020'!FB35</f>
        <v>0</v>
      </c>
      <c r="EY35" s="286">
        <f>'[1]January -2020'!FA35</f>
        <v>0</v>
      </c>
      <c r="EZ35" s="285">
        <f>'[1]January -2020'!EZ35</f>
        <v>0</v>
      </c>
      <c r="FA35" s="286">
        <f>'[1]January -2020'!FA35</f>
        <v>0</v>
      </c>
      <c r="FB35" s="285">
        <f>'[1]January -2020'!FD35</f>
        <v>0</v>
      </c>
      <c r="FC35" s="288">
        <f>'[1]January -2020'!FE35</f>
        <v>0</v>
      </c>
    </row>
    <row r="36" spans="1:160" ht="30" customHeight="1" x14ac:dyDescent="0.25">
      <c r="A36" s="210">
        <v>43857</v>
      </c>
      <c r="B36" s="212">
        <f>'[1]January -2020'!B36</f>
        <v>0</v>
      </c>
      <c r="C36" s="253">
        <f>'[1]January -2020'!E36</f>
        <v>0</v>
      </c>
      <c r="D36" s="172">
        <f>'[1]January -2020'!F36</f>
        <v>490</v>
      </c>
      <c r="E36" s="170">
        <f>'[1]January -2020'!G36</f>
        <v>490</v>
      </c>
      <c r="F36" s="170">
        <f>'[1]January -2020'!H36</f>
        <v>0</v>
      </c>
      <c r="G36" s="172">
        <f>'[1]January -2020'!I36</f>
        <v>0</v>
      </c>
      <c r="H36" s="170">
        <f>'[1]January -2020'!J36</f>
        <v>414</v>
      </c>
      <c r="I36" s="170">
        <f>'[1]January -2020'!K36</f>
        <v>0</v>
      </c>
      <c r="J36" s="172">
        <f>'[1]January -2020'!L36</f>
        <v>0</v>
      </c>
      <c r="K36" s="170">
        <f>'[1]January -2020'!N36</f>
        <v>0</v>
      </c>
      <c r="L36" s="172">
        <f>'[1]January -2020'!O36</f>
        <v>0</v>
      </c>
      <c r="M36" s="170">
        <f>'[1]January -2020'!Q36</f>
        <v>156875</v>
      </c>
      <c r="N36" s="172">
        <f>'[1]January -2020'!R36</f>
        <v>0</v>
      </c>
      <c r="O36" s="170">
        <f>'[1]January -2020'!S36</f>
        <v>0</v>
      </c>
      <c r="P36" s="172">
        <f>'[1]January -2020'!T36</f>
        <v>0</v>
      </c>
      <c r="Q36" s="170">
        <f>'[1]January -2020'!U36</f>
        <v>69</v>
      </c>
      <c r="R36" s="170">
        <f>'[1]January -2020'!V36</f>
        <v>0</v>
      </c>
      <c r="S36" s="211">
        <f>'[1]January -2020'!W36</f>
        <v>0</v>
      </c>
      <c r="T36" s="475"/>
      <c r="U36" s="171">
        <f>'[1]January -2020'!AB36</f>
        <v>0</v>
      </c>
      <c r="V36" s="254">
        <f>'[1]January -2020'!AC36</f>
        <v>0</v>
      </c>
      <c r="W36" s="94">
        <f>'[1]January -2020'!AD36</f>
        <v>2338.5599999995902</v>
      </c>
      <c r="X36" s="94">
        <f>'[1]January -2020'!AE36</f>
        <v>0</v>
      </c>
      <c r="Y36" s="254">
        <f>'[1]January -2020'!AF36</f>
        <v>0</v>
      </c>
      <c r="Z36" s="94">
        <f>'[1]January -2020'!AG36</f>
        <v>5066.8799999989569</v>
      </c>
      <c r="AA36" s="94">
        <f>'[1]January -2020'!AH36</f>
        <v>0</v>
      </c>
      <c r="AB36" s="254">
        <f>'[1]January -2020'!AI36</f>
        <v>0</v>
      </c>
      <c r="AC36" s="94">
        <f>'[1]January -2020'!AJ36</f>
        <v>1023.1200000010431</v>
      </c>
      <c r="AD36" s="94">
        <f>'[1]January -2020'!AK36</f>
        <v>0</v>
      </c>
      <c r="AE36" s="254">
        <f>'[1]January -2020'!AL36</f>
        <v>0</v>
      </c>
      <c r="AF36" s="94">
        <f>'[1]January -2020'!AM36</f>
        <v>7746.480000000447</v>
      </c>
      <c r="AG36" s="94">
        <f>'[1]January -2020'!AN36</f>
        <v>0</v>
      </c>
      <c r="AH36" s="254">
        <f>'[1]January -2020'!AO36</f>
        <v>0</v>
      </c>
      <c r="AI36" s="94">
        <f>'[1]January -2020'!AP36</f>
        <v>194.88000000081956</v>
      </c>
      <c r="AJ36" s="94">
        <f>'[1]January -2020'!AQ36</f>
        <v>0</v>
      </c>
      <c r="AK36" s="254">
        <f>'[1]January -2020'!AR36</f>
        <v>0</v>
      </c>
      <c r="AL36" s="94">
        <f>'[1]January -2020'!AS36</f>
        <v>5992.5600000005215</v>
      </c>
      <c r="AM36" s="94">
        <f>'[1]January -2020'!AT36</f>
        <v>0</v>
      </c>
      <c r="AN36" s="254">
        <f>'[1]January -2020'!AU36</f>
        <v>0</v>
      </c>
      <c r="AO36" s="94">
        <f>'[1]January -2020'!AV36</f>
        <v>4141.1999999992549</v>
      </c>
      <c r="AP36" s="94">
        <f>'[1]January -2020'!AW36</f>
        <v>0</v>
      </c>
      <c r="AQ36" s="254">
        <f>'[1]January -2020'!AX36</f>
        <v>0</v>
      </c>
      <c r="AR36" s="94">
        <f>'[1]January -2020'!AY36</f>
        <v>4823.2799999983981</v>
      </c>
      <c r="AS36" s="94">
        <f>'[1]January -2020'!AZ36</f>
        <v>0</v>
      </c>
      <c r="AT36" s="254">
        <f>'[1]January -2020'!BA36</f>
        <v>0</v>
      </c>
      <c r="AU36" s="94">
        <f>'[1]January -2020'!BB36</f>
        <v>3312.9599999990314</v>
      </c>
      <c r="AV36" s="94">
        <f>'[1]January -2020'!BC36</f>
        <v>0</v>
      </c>
      <c r="AW36" s="255">
        <f>'[1]January -2020'!BD36</f>
        <v>0</v>
      </c>
      <c r="AX36" s="256">
        <f>'[1]January -2020'!BE36</f>
        <v>5846.4000000003725</v>
      </c>
      <c r="AY36" s="492"/>
      <c r="AZ36" s="95">
        <f>'[1]January -2020'!BJ36</f>
        <v>0</v>
      </c>
      <c r="BA36" s="181">
        <f>'[1]January -2020'!BK36</f>
        <v>0</v>
      </c>
      <c r="BB36" s="95">
        <f>'[1]January -2020'!BL36</f>
        <v>0</v>
      </c>
      <c r="BC36" s="95">
        <f>'[1]January -2020'!BM36</f>
        <v>0</v>
      </c>
      <c r="BD36" s="248">
        <f>'[1]January -2020'!BN36</f>
        <v>0</v>
      </c>
      <c r="BE36" s="95">
        <f>'[1]January -2020'!BO36</f>
        <v>38600</v>
      </c>
      <c r="BF36" s="95">
        <f>'[1]January -2020'!BP36</f>
        <v>0</v>
      </c>
      <c r="BG36" s="248">
        <f>'[1]January -2020'!BQ36</f>
        <v>0</v>
      </c>
      <c r="BH36" s="95">
        <f>'[1]January -2020'!BR36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'[1]January -2020'!BS36</f>
        <v>0</v>
      </c>
      <c r="BT36" s="187">
        <f>'[1]January -2020'!BT36</f>
        <v>0</v>
      </c>
      <c r="BU36" s="588"/>
      <c r="BV36" s="88">
        <f>'[1]January -2020'!BV36</f>
        <v>0</v>
      </c>
      <c r="BW36" s="244">
        <f>'[1]January -2020'!BW36</f>
        <v>0</v>
      </c>
      <c r="BX36" s="88">
        <f>'[1]January -2020'!BX36</f>
        <v>8.9999999999999969E-2</v>
      </c>
      <c r="BY36" s="89">
        <f>'[1]January -2020'!BY36</f>
        <v>0</v>
      </c>
      <c r="BZ36" s="193">
        <f>'[1]January -2020'!BZ36</f>
        <v>0</v>
      </c>
      <c r="CA36" s="89">
        <f>'[1]January -2020'!CA36</f>
        <v>0</v>
      </c>
      <c r="CB36" s="193">
        <f>'[1]January -2020'!CB36</f>
        <v>0</v>
      </c>
      <c r="CC36" s="89">
        <f>'[1]January -2020'!CC36</f>
        <v>0</v>
      </c>
      <c r="CD36" s="193">
        <f>'[1]January -2020'!CD36</f>
        <v>0</v>
      </c>
      <c r="CE36" s="89">
        <f>'[1]January -2020'!CE36</f>
        <v>0</v>
      </c>
      <c r="CF36" s="193">
        <f>'[1]January -2020'!CF36</f>
        <v>0</v>
      </c>
      <c r="CG36" s="89">
        <f>'[1]January -2020'!CG36</f>
        <v>0</v>
      </c>
      <c r="CH36" s="193">
        <f>'[1]January -2020'!CH36</f>
        <v>0</v>
      </c>
      <c r="CI36" s="89">
        <f>'[1]January -2020'!CI36</f>
        <v>0</v>
      </c>
      <c r="CJ36" s="193">
        <f>'[1]January -2020'!CJ36</f>
        <v>0</v>
      </c>
      <c r="CK36" s="89">
        <f>'[1]January -2020'!CK36</f>
        <v>0</v>
      </c>
      <c r="CL36" s="249">
        <f>'[1]January -2020'!CL36</f>
        <v>0</v>
      </c>
      <c r="CM36" s="89">
        <f>'[1]January -2020'!CM36</f>
        <v>83</v>
      </c>
      <c r="CN36" s="89">
        <f>'[1]January -2020'!CN36</f>
        <v>0</v>
      </c>
      <c r="CO36" s="249">
        <f>'[1]January -2020'!CO36</f>
        <v>0</v>
      </c>
      <c r="CP36" s="89">
        <f>'[1]January -2020'!CP36</f>
        <v>80</v>
      </c>
      <c r="CQ36" s="89">
        <f>'[1]January -2020'!CQ36</f>
        <v>0</v>
      </c>
      <c r="CR36" s="249">
        <f>'[1]January -2020'!CR36</f>
        <v>0</v>
      </c>
      <c r="CS36" s="89">
        <f>'[1]January -2020'!CS36</f>
        <v>370</v>
      </c>
      <c r="CT36" s="89">
        <f>'[1]January -2020'!CT36</f>
        <v>0</v>
      </c>
      <c r="CU36" s="193">
        <f>'[1]January -2020'!CU36</f>
        <v>0</v>
      </c>
      <c r="CV36" s="516"/>
      <c r="CW36" s="208">
        <f>'[1]January -2020'!CW36</f>
        <v>0</v>
      </c>
      <c r="CX36" s="200">
        <f>'[1]January -2020'!CX36</f>
        <v>0</v>
      </c>
      <c r="CY36" s="91">
        <f>'[1]January -2020'!CY36</f>
        <v>0</v>
      </c>
      <c r="CZ36" s="200">
        <f>'[1]January -2020'!CZ36</f>
        <v>0</v>
      </c>
      <c r="DA36" s="91">
        <f>'[1]January -2020'!DA36</f>
        <v>0</v>
      </c>
      <c r="DB36" s="200">
        <f>'[1]January -2020'!DB36</f>
        <v>0</v>
      </c>
      <c r="DC36" s="91">
        <f>'[1]January -2020'!DC36</f>
        <v>0</v>
      </c>
      <c r="DD36" s="200">
        <f>'[1]January -2020'!DD36</f>
        <v>0</v>
      </c>
      <c r="DE36" s="91">
        <f>'[1]January -2020'!DE36</f>
        <v>0</v>
      </c>
      <c r="DF36" s="200">
        <f>'[1]January -2020'!DF36</f>
        <v>0</v>
      </c>
      <c r="DG36" s="91">
        <f>'[1]January -2020'!DG36</f>
        <v>0</v>
      </c>
      <c r="DH36" s="200">
        <f>'[1]January -2020'!DH36</f>
        <v>0</v>
      </c>
      <c r="DI36" s="91">
        <f>'[1]January -2020'!DI36</f>
        <v>825</v>
      </c>
      <c r="DJ36" s="200">
        <f>'[1]January -2020'!DJ36</f>
        <v>0</v>
      </c>
      <c r="DK36" s="91">
        <f>'[1]January -2020'!DK36</f>
        <v>3570</v>
      </c>
      <c r="DL36" s="200">
        <f>'[1]January -2020'!DL36</f>
        <v>0</v>
      </c>
      <c r="DM36" s="91">
        <f>'[1]January -2020'!DM36</f>
        <v>0</v>
      </c>
      <c r="DN36" s="200">
        <f>'[1]January -2020'!DN36</f>
        <v>0</v>
      </c>
      <c r="DO36" s="91">
        <f>'[1]January -2020'!DO36</f>
        <v>0</v>
      </c>
      <c r="DP36" s="200">
        <f>'[1]January -2020'!DP36</f>
        <v>0</v>
      </c>
      <c r="DQ36" s="91">
        <f>'[1]January -2020'!DQ36</f>
        <v>0</v>
      </c>
      <c r="DR36" s="209">
        <f>'[1]January -2020'!DR36</f>
        <v>0</v>
      </c>
      <c r="DS36" s="532"/>
      <c r="DT36" s="213">
        <f>'[1]January -2020'!DT36</f>
        <v>0</v>
      </c>
      <c r="DU36" s="224">
        <f>'[1]January -2020'!DU36</f>
        <v>0</v>
      </c>
      <c r="DV36" s="93">
        <f>'[1]January -2020'!DV36</f>
        <v>0</v>
      </c>
      <c r="DW36" s="218">
        <f>'[1]January -2020'!DW36</f>
        <v>0</v>
      </c>
      <c r="DX36" s="93">
        <f>'[1]January -2020'!DX36</f>
        <v>0</v>
      </c>
      <c r="DY36" s="218">
        <f>'[1]January -2020'!DY36</f>
        <v>0</v>
      </c>
      <c r="DZ36" s="93">
        <f>'[1]January -2020'!DZ36</f>
        <v>0</v>
      </c>
      <c r="EA36" s="218">
        <f>'[1]January -2020'!EA36</f>
        <v>0</v>
      </c>
      <c r="EB36" s="93">
        <f>'[1]January -2020'!ED36</f>
        <v>0</v>
      </c>
      <c r="EC36" s="218">
        <f>'[1]January -2020'!EE36</f>
        <v>0</v>
      </c>
      <c r="ED36" s="93">
        <f>'[1]January -2020'!EF36</f>
        <v>0</v>
      </c>
      <c r="EE36" s="232">
        <f>'[1]January -2020'!EG36</f>
        <v>0</v>
      </c>
      <c r="EF36" s="579"/>
      <c r="EG36" s="238">
        <f>'[1]January -2020'!EI36</f>
        <v>0</v>
      </c>
      <c r="EH36" s="233">
        <f>'[1]January -2020'!EJ36</f>
        <v>0</v>
      </c>
      <c r="EI36" s="92">
        <f>'[1]January -2020'!EK36</f>
        <v>0</v>
      </c>
      <c r="EJ36" s="233">
        <f>'[1]January -2020'!EL36</f>
        <v>0</v>
      </c>
      <c r="EK36" s="92">
        <f>'[1]January -2020'!EM36</f>
        <v>0</v>
      </c>
      <c r="EL36" s="233">
        <f>'[1]January -2020'!EN36</f>
        <v>0</v>
      </c>
      <c r="EM36" s="92">
        <f>'[1]January -2020'!EO36</f>
        <v>0</v>
      </c>
      <c r="EN36" s="233">
        <f>'[1]January -2020'!EP36</f>
        <v>0</v>
      </c>
      <c r="EO36" s="92">
        <f>'[1]January -2020'!EQ36</f>
        <v>0</v>
      </c>
      <c r="EP36" s="233">
        <f>'[1]January -2020'!ER36</f>
        <v>0</v>
      </c>
      <c r="EQ36" s="92">
        <f>'[1]January -2020'!ES36</f>
        <v>0</v>
      </c>
      <c r="ER36" s="233">
        <f>'[1]January -2020'!ET36</f>
        <v>0</v>
      </c>
      <c r="ES36" s="554"/>
      <c r="ET36" s="287">
        <f>'[1]January -2020'!EV36</f>
        <v>0</v>
      </c>
      <c r="EU36" s="286">
        <f>'[1]January -2020'!$EW$11</f>
        <v>19.5</v>
      </c>
      <c r="EV36" s="285">
        <f>'[1]January -2020'!EX36</f>
        <v>0</v>
      </c>
      <c r="EW36" s="286">
        <f>'[1]January -2020'!EY36</f>
        <v>0</v>
      </c>
      <c r="EX36" s="285">
        <f>'[1]January -2020'!FB36</f>
        <v>0</v>
      </c>
      <c r="EY36" s="286">
        <f>'[1]January -2020'!FA36</f>
        <v>0</v>
      </c>
      <c r="EZ36" s="285">
        <f>'[1]January -2020'!EZ36</f>
        <v>0</v>
      </c>
      <c r="FA36" s="286">
        <f>'[1]January -2020'!FA36</f>
        <v>0</v>
      </c>
      <c r="FB36" s="285">
        <f>'[1]January -2020'!FD36</f>
        <v>0</v>
      </c>
      <c r="FC36" s="288">
        <f>'[1]January -2020'!FE36</f>
        <v>0</v>
      </c>
    </row>
    <row r="37" spans="1:160" ht="30" customHeight="1" x14ac:dyDescent="0.25">
      <c r="A37" s="210">
        <v>43858</v>
      </c>
      <c r="B37" s="212">
        <f>'[1]January -2020'!B37</f>
        <v>0</v>
      </c>
      <c r="C37" s="253">
        <f>'[1]January -2020'!E37</f>
        <v>0</v>
      </c>
      <c r="D37" s="172">
        <f>'[1]January -2020'!F37</f>
        <v>447</v>
      </c>
      <c r="E37" s="170">
        <f>'[1]January -2020'!G37</f>
        <v>447</v>
      </c>
      <c r="F37" s="170">
        <f>'[1]January -2020'!H37</f>
        <v>0</v>
      </c>
      <c r="G37" s="172">
        <f>'[1]January -2020'!I37</f>
        <v>0</v>
      </c>
      <c r="H37" s="170">
        <f>'[1]January -2020'!J37</f>
        <v>335</v>
      </c>
      <c r="I37" s="170">
        <f>'[1]January -2020'!K37</f>
        <v>0</v>
      </c>
      <c r="J37" s="172">
        <f>'[1]January -2020'!L37</f>
        <v>0</v>
      </c>
      <c r="K37" s="170">
        <f>'[1]January -2020'!N37</f>
        <v>0</v>
      </c>
      <c r="L37" s="172">
        <f>'[1]January -2020'!O37</f>
        <v>0</v>
      </c>
      <c r="M37" s="170">
        <f>'[1]January -2020'!Q37</f>
        <v>156875</v>
      </c>
      <c r="N37" s="172">
        <f>'[1]January -2020'!R37</f>
        <v>0</v>
      </c>
      <c r="O37" s="170">
        <f>'[1]January -2020'!S37</f>
        <v>0</v>
      </c>
      <c r="P37" s="172">
        <f>'[1]January -2020'!T37</f>
        <v>0</v>
      </c>
      <c r="Q37" s="170">
        <f>'[1]January -2020'!U37</f>
        <v>101</v>
      </c>
      <c r="R37" s="170">
        <f>'[1]January -2020'!V37</f>
        <v>0</v>
      </c>
      <c r="S37" s="211">
        <f>'[1]January -2020'!W37</f>
        <v>0</v>
      </c>
      <c r="T37" s="475"/>
      <c r="U37" s="171">
        <f>'[1]January -2020'!AB37</f>
        <v>0</v>
      </c>
      <c r="V37" s="254">
        <f>'[1]January -2020'!AC37</f>
        <v>0</v>
      </c>
      <c r="W37" s="94">
        <f>'[1]January -2020'!AD37</f>
        <v>2143.679999999702</v>
      </c>
      <c r="X37" s="94">
        <f>'[1]January -2020'!AE37</f>
        <v>0</v>
      </c>
      <c r="Y37" s="254">
        <f>'[1]January -2020'!AF37</f>
        <v>0</v>
      </c>
      <c r="Z37" s="94">
        <f>'[1]January -2020'!AG37</f>
        <v>5115.5999999996275</v>
      </c>
      <c r="AA37" s="94">
        <f>'[1]January -2020'!AH37</f>
        <v>0</v>
      </c>
      <c r="AB37" s="254">
        <f>'[1]January -2020'!AI37</f>
        <v>0</v>
      </c>
      <c r="AC37" s="94">
        <f>'[1]January -2020'!AJ37</f>
        <v>1023.1200000001118</v>
      </c>
      <c r="AD37" s="94">
        <f>'[1]January -2020'!AK37</f>
        <v>0</v>
      </c>
      <c r="AE37" s="254">
        <f>'[1]January -2020'!AL37</f>
        <v>0</v>
      </c>
      <c r="AF37" s="94">
        <f>'[1]January -2020'!AM37</f>
        <v>1656.4800000023097</v>
      </c>
      <c r="AG37" s="94">
        <f>'[1]January -2020'!AN37</f>
        <v>0</v>
      </c>
      <c r="AH37" s="254">
        <f>'[1]January -2020'!AO37</f>
        <v>0</v>
      </c>
      <c r="AI37" s="94">
        <f>'[1]January -2020'!AP37</f>
        <v>7551.5999999996275</v>
      </c>
      <c r="AJ37" s="94">
        <f>'[1]January -2020'!AQ37</f>
        <v>0</v>
      </c>
      <c r="AK37" s="254">
        <f>'[1]January -2020'!AR37</f>
        <v>0</v>
      </c>
      <c r="AL37" s="94">
        <f>'[1]January -2020'!AS37</f>
        <v>5505.359999999404</v>
      </c>
      <c r="AM37" s="94">
        <f>'[1]January -2020'!AT37</f>
        <v>0</v>
      </c>
      <c r="AN37" s="254">
        <f>'[1]January -2020'!AU37</f>
        <v>0</v>
      </c>
      <c r="AO37" s="94">
        <f>'[1]January -2020'!AV37</f>
        <v>3995.0400000009686</v>
      </c>
      <c r="AP37" s="94">
        <f>'[1]January -2020'!AW37</f>
        <v>0</v>
      </c>
      <c r="AQ37" s="254">
        <f>'[1]January -2020'!AX37</f>
        <v>0</v>
      </c>
      <c r="AR37" s="94">
        <f>'[1]January -2020'!AY37</f>
        <v>4823.2800000011921</v>
      </c>
      <c r="AS37" s="94">
        <f>'[1]January -2020'!AZ37</f>
        <v>0</v>
      </c>
      <c r="AT37" s="254">
        <f>'[1]January -2020'!BA37</f>
        <v>0</v>
      </c>
      <c r="AU37" s="94">
        <f>'[1]January -2020'!BB37</f>
        <v>3118.0800000010058</v>
      </c>
      <c r="AV37" s="94">
        <f>'[1]January -2020'!BC37</f>
        <v>0</v>
      </c>
      <c r="AW37" s="255">
        <f>'[1]January -2020'!BD37</f>
        <v>0</v>
      </c>
      <c r="AX37" s="256">
        <f>'[1]January -2020'!BE37</f>
        <v>5846.3999999985099</v>
      </c>
      <c r="AY37" s="492"/>
      <c r="AZ37" s="95">
        <f>'[1]January -2020'!BJ37</f>
        <v>0</v>
      </c>
      <c r="BA37" s="181">
        <f>'[1]January -2020'!BK37</f>
        <v>0</v>
      </c>
      <c r="BB37" s="95">
        <f>'[1]January -2020'!BL37</f>
        <v>0</v>
      </c>
      <c r="BC37" s="95">
        <f>'[1]January -2020'!BM37</f>
        <v>0</v>
      </c>
      <c r="BD37" s="248">
        <f>'[1]January -2020'!BN37</f>
        <v>0</v>
      </c>
      <c r="BE37" s="95">
        <f>'[1]January -2020'!BO37</f>
        <v>9000</v>
      </c>
      <c r="BF37" s="95">
        <f>'[1]January -2020'!BP37</f>
        <v>0</v>
      </c>
      <c r="BG37" s="248">
        <f>'[1]January -2020'!BQ37</f>
        <v>0</v>
      </c>
      <c r="BH37" s="95">
        <f>'[1]January -2020'!BR37</f>
        <v>33900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'[1]January -2020'!BS37</f>
        <v>0</v>
      </c>
      <c r="BT37" s="187">
        <f>'[1]January -2020'!BT37</f>
        <v>0</v>
      </c>
      <c r="BU37" s="588"/>
      <c r="BV37" s="88">
        <f>'[1]January -2020'!BV37</f>
        <v>0</v>
      </c>
      <c r="BW37" s="244">
        <f>'[1]January -2020'!BW37</f>
        <v>0</v>
      </c>
      <c r="BX37" s="88">
        <f>'[1]January -2020'!BX37</f>
        <v>-8.9999999999999969E-2</v>
      </c>
      <c r="BY37" s="89">
        <f>'[1]January -2020'!BY37</f>
        <v>0</v>
      </c>
      <c r="BZ37" s="193">
        <f>'[1]January -2020'!BZ37</f>
        <v>0</v>
      </c>
      <c r="CA37" s="89">
        <f>'[1]January -2020'!CA37</f>
        <v>0</v>
      </c>
      <c r="CB37" s="193">
        <f>'[1]January -2020'!CB37</f>
        <v>0</v>
      </c>
      <c r="CC37" s="89">
        <f>'[1]January -2020'!CC37</f>
        <v>0</v>
      </c>
      <c r="CD37" s="193">
        <f>'[1]January -2020'!CD37</f>
        <v>0</v>
      </c>
      <c r="CE37" s="89">
        <f>'[1]January -2020'!CE37</f>
        <v>0</v>
      </c>
      <c r="CF37" s="193">
        <f>'[1]January -2020'!CF37</f>
        <v>0</v>
      </c>
      <c r="CG37" s="89">
        <f>'[1]January -2020'!CG37</f>
        <v>0</v>
      </c>
      <c r="CH37" s="193">
        <f>'[1]January -2020'!CH37</f>
        <v>0</v>
      </c>
      <c r="CI37" s="89">
        <f>'[1]January -2020'!CI37</f>
        <v>0</v>
      </c>
      <c r="CJ37" s="193">
        <f>'[1]January -2020'!CJ37</f>
        <v>0</v>
      </c>
      <c r="CK37" s="89">
        <f>'[1]January -2020'!CK37</f>
        <v>0</v>
      </c>
      <c r="CL37" s="249">
        <f>'[1]January -2020'!CL37</f>
        <v>0</v>
      </c>
      <c r="CM37" s="89">
        <f>'[1]January -2020'!CM37</f>
        <v>83</v>
      </c>
      <c r="CN37" s="89">
        <f>'[1]January -2020'!CN37</f>
        <v>0</v>
      </c>
      <c r="CO37" s="249">
        <f>'[1]January -2020'!CO37</f>
        <v>0</v>
      </c>
      <c r="CP37" s="89">
        <f>'[1]January -2020'!CP37</f>
        <v>80</v>
      </c>
      <c r="CQ37" s="89">
        <f>'[1]January -2020'!CQ37</f>
        <v>0</v>
      </c>
      <c r="CR37" s="249">
        <f>'[1]January -2020'!CR37</f>
        <v>0</v>
      </c>
      <c r="CS37" s="89">
        <f>'[1]January -2020'!CS37</f>
        <v>371</v>
      </c>
      <c r="CT37" s="89">
        <f>'[1]January -2020'!CT37</f>
        <v>0</v>
      </c>
      <c r="CU37" s="193">
        <f>'[1]January -2020'!CU37</f>
        <v>0</v>
      </c>
      <c r="CV37" s="516"/>
      <c r="CW37" s="208">
        <f>'[1]January -2020'!CW37</f>
        <v>0</v>
      </c>
      <c r="CX37" s="200">
        <f>'[1]January -2020'!CX37</f>
        <v>0</v>
      </c>
      <c r="CY37" s="91">
        <f>'[1]January -2020'!CY37</f>
        <v>0</v>
      </c>
      <c r="CZ37" s="200">
        <f>'[1]January -2020'!CZ37</f>
        <v>0</v>
      </c>
      <c r="DA37" s="91">
        <f>'[1]January -2020'!DA37</f>
        <v>0</v>
      </c>
      <c r="DB37" s="200">
        <f>'[1]January -2020'!DB37</f>
        <v>0</v>
      </c>
      <c r="DC37" s="91">
        <f>'[1]January -2020'!DC37</f>
        <v>0</v>
      </c>
      <c r="DD37" s="200">
        <f>'[1]January -2020'!DD37</f>
        <v>0</v>
      </c>
      <c r="DE37" s="91">
        <f>'[1]January -2020'!DE37</f>
        <v>0</v>
      </c>
      <c r="DF37" s="200">
        <f>'[1]January -2020'!DF37</f>
        <v>0</v>
      </c>
      <c r="DG37" s="91">
        <f>'[1]January -2020'!DG37</f>
        <v>0</v>
      </c>
      <c r="DH37" s="200">
        <f>'[1]January -2020'!DH37</f>
        <v>0</v>
      </c>
      <c r="DI37" s="91">
        <f>'[1]January -2020'!DI37</f>
        <v>825</v>
      </c>
      <c r="DJ37" s="200">
        <f>'[1]January -2020'!DJ37</f>
        <v>0</v>
      </c>
      <c r="DK37" s="91">
        <f>'[1]January -2020'!DK37</f>
        <v>3570</v>
      </c>
      <c r="DL37" s="200">
        <f>'[1]January -2020'!DL37</f>
        <v>0</v>
      </c>
      <c r="DM37" s="91">
        <f>'[1]January -2020'!DM37</f>
        <v>0</v>
      </c>
      <c r="DN37" s="200">
        <f>'[1]January -2020'!DN37</f>
        <v>0</v>
      </c>
      <c r="DO37" s="91">
        <f>'[1]January -2020'!DO37</f>
        <v>0</v>
      </c>
      <c r="DP37" s="200">
        <f>'[1]January -2020'!DP37</f>
        <v>0</v>
      </c>
      <c r="DQ37" s="91">
        <f>'[1]January -2020'!DQ37</f>
        <v>0</v>
      </c>
      <c r="DR37" s="209">
        <f>'[1]January -2020'!DR37</f>
        <v>0</v>
      </c>
      <c r="DS37" s="532"/>
      <c r="DT37" s="213">
        <f>'[1]January -2020'!DT37</f>
        <v>0</v>
      </c>
      <c r="DU37" s="224">
        <f>'[1]January -2020'!DU37</f>
        <v>0</v>
      </c>
      <c r="DV37" s="93">
        <f>'[1]January -2020'!DV37</f>
        <v>0</v>
      </c>
      <c r="DW37" s="218">
        <f>'[1]January -2020'!DW37</f>
        <v>0</v>
      </c>
      <c r="DX37" s="93">
        <f>'[1]January -2020'!DX37</f>
        <v>0</v>
      </c>
      <c r="DY37" s="218">
        <f>'[1]January -2020'!DY37</f>
        <v>0</v>
      </c>
      <c r="DZ37" s="93">
        <f>'[1]January -2020'!DZ37</f>
        <v>0</v>
      </c>
      <c r="EA37" s="218">
        <f>'[1]January -2020'!EA37</f>
        <v>0</v>
      </c>
      <c r="EB37" s="93">
        <f>'[1]January -2020'!ED37</f>
        <v>0</v>
      </c>
      <c r="EC37" s="218">
        <f>'[1]January -2020'!EE37</f>
        <v>0</v>
      </c>
      <c r="ED37" s="93">
        <f>'[1]January -2020'!EF37</f>
        <v>0</v>
      </c>
      <c r="EE37" s="232">
        <f>'[1]January -2020'!EG37</f>
        <v>0</v>
      </c>
      <c r="EF37" s="579"/>
      <c r="EG37" s="238">
        <f>'[1]January -2020'!EI37</f>
        <v>0</v>
      </c>
      <c r="EH37" s="233">
        <f>'[1]January -2020'!EJ37</f>
        <v>0</v>
      </c>
      <c r="EI37" s="92">
        <f>'[1]January -2020'!EK37</f>
        <v>0</v>
      </c>
      <c r="EJ37" s="233">
        <f>'[1]January -2020'!EL37</f>
        <v>0</v>
      </c>
      <c r="EK37" s="92">
        <f>'[1]January -2020'!EM37</f>
        <v>0</v>
      </c>
      <c r="EL37" s="233">
        <f>'[1]January -2020'!EN37</f>
        <v>0</v>
      </c>
      <c r="EM37" s="92">
        <f>'[1]January -2020'!EO37</f>
        <v>0</v>
      </c>
      <c r="EN37" s="233">
        <f>'[1]January -2020'!EP37</f>
        <v>0</v>
      </c>
      <c r="EO37" s="92">
        <f>'[1]January -2020'!EQ37</f>
        <v>0</v>
      </c>
      <c r="EP37" s="233">
        <f>'[1]January -2020'!ER37</f>
        <v>0</v>
      </c>
      <c r="EQ37" s="92">
        <f>'[1]January -2020'!ES37</f>
        <v>0</v>
      </c>
      <c r="ER37" s="233">
        <f>'[1]January -2020'!ET37</f>
        <v>0</v>
      </c>
      <c r="ES37" s="554"/>
      <c r="ET37" s="287">
        <f>'[1]January -2020'!EV37</f>
        <v>0</v>
      </c>
      <c r="EU37" s="286">
        <f>'[1]January -2020'!$EW$11</f>
        <v>19.5</v>
      </c>
      <c r="EV37" s="285">
        <f>'[1]January -2020'!EX37</f>
        <v>0</v>
      </c>
      <c r="EW37" s="286">
        <f>'[1]January -2020'!EY37</f>
        <v>0</v>
      </c>
      <c r="EX37" s="285">
        <f>'[1]January -2020'!FB37</f>
        <v>0</v>
      </c>
      <c r="EY37" s="286">
        <f>'[1]January -2020'!FA37</f>
        <v>0</v>
      </c>
      <c r="EZ37" s="285">
        <f>'[1]January -2020'!EZ37</f>
        <v>0</v>
      </c>
      <c r="FA37" s="286">
        <f>'[1]January -2020'!FA37</f>
        <v>0</v>
      </c>
      <c r="FB37" s="285">
        <f>'[1]January -2020'!FD37</f>
        <v>0</v>
      </c>
      <c r="FC37" s="288">
        <f>'[1]January -2020'!FE37</f>
        <v>0</v>
      </c>
    </row>
    <row r="38" spans="1:160" ht="30" customHeight="1" x14ac:dyDescent="0.25">
      <c r="A38" s="210">
        <v>43859</v>
      </c>
      <c r="B38" s="212">
        <f>'[1]January -2020'!B38</f>
        <v>0</v>
      </c>
      <c r="C38" s="253">
        <f>'[1]January -2020'!E38</f>
        <v>0</v>
      </c>
      <c r="D38" s="172">
        <f>'[1]January -2020'!F38</f>
        <v>466</v>
      </c>
      <c r="E38" s="170">
        <f>'[1]January -2020'!G38</f>
        <v>466</v>
      </c>
      <c r="F38" s="170">
        <f>'[1]January -2020'!H38</f>
        <v>0</v>
      </c>
      <c r="G38" s="172">
        <f>'[1]January -2020'!I38</f>
        <v>0</v>
      </c>
      <c r="H38" s="170">
        <f>'[1]January -2020'!J38</f>
        <v>384</v>
      </c>
      <c r="I38" s="170">
        <f>'[1]January -2020'!K38</f>
        <v>0</v>
      </c>
      <c r="J38" s="172">
        <f>'[1]January -2020'!L38</f>
        <v>0</v>
      </c>
      <c r="K38" s="170">
        <f>'[1]January -2020'!N38</f>
        <v>0</v>
      </c>
      <c r="L38" s="172">
        <f>'[1]January -2020'!O38</f>
        <v>0</v>
      </c>
      <c r="M38" s="170">
        <f>'[1]January -2020'!Q38</f>
        <v>156875</v>
      </c>
      <c r="N38" s="172">
        <f>'[1]January -2020'!R38</f>
        <v>0</v>
      </c>
      <c r="O38" s="170">
        <f>'[1]January -2020'!S38</f>
        <v>0</v>
      </c>
      <c r="P38" s="172">
        <f>'[1]January -2020'!T38</f>
        <v>0</v>
      </c>
      <c r="Q38" s="170">
        <f>'[1]January -2020'!U38</f>
        <v>95</v>
      </c>
      <c r="R38" s="170">
        <f>'[1]January -2020'!V38</f>
        <v>0</v>
      </c>
      <c r="S38" s="211">
        <f>'[1]January -2020'!W38</f>
        <v>0</v>
      </c>
      <c r="T38" s="475"/>
      <c r="U38" s="171">
        <f>'[1]January -2020'!AB38</f>
        <v>0</v>
      </c>
      <c r="V38" s="254">
        <f>'[1]January -2020'!AC38</f>
        <v>0</v>
      </c>
      <c r="W38" s="94">
        <f>'[1]January -2020'!AD38</f>
        <v>2289.839999999851</v>
      </c>
      <c r="X38" s="94">
        <f>'[1]January -2020'!AE38</f>
        <v>0</v>
      </c>
      <c r="Y38" s="254">
        <f>'[1]January -2020'!AF38</f>
        <v>0</v>
      </c>
      <c r="Z38" s="94">
        <f>'[1]January -2020'!AG38</f>
        <v>5310.4800000023097</v>
      </c>
      <c r="AA38" s="94">
        <f>'[1]January -2020'!AH38</f>
        <v>0</v>
      </c>
      <c r="AB38" s="254">
        <f>'[1]January -2020'!AI38</f>
        <v>0</v>
      </c>
      <c r="AC38" s="94">
        <f>'[1]January -2020'!AJ38</f>
        <v>925.67999999970198</v>
      </c>
      <c r="AD38" s="94">
        <f>'[1]January -2020'!AK38</f>
        <v>0</v>
      </c>
      <c r="AE38" s="254">
        <f>'[1]January -2020'!AL38</f>
        <v>0</v>
      </c>
      <c r="AF38" s="94">
        <f>'[1]January -2020'!AM38</f>
        <v>97.439999997615814</v>
      </c>
      <c r="AG38" s="94">
        <f>'[1]January -2020'!AN38</f>
        <v>0</v>
      </c>
      <c r="AH38" s="254">
        <f>'[1]January -2020'!AO38</f>
        <v>0</v>
      </c>
      <c r="AI38" s="94">
        <f>'[1]January -2020'!AP38</f>
        <v>10572.240000000224</v>
      </c>
      <c r="AJ38" s="94">
        <f>'[1]January -2020'!AQ38</f>
        <v>0</v>
      </c>
      <c r="AK38" s="254">
        <f>'[1]January -2020'!AR38</f>
        <v>0</v>
      </c>
      <c r="AL38" s="94">
        <f>'[1]January -2020'!AS38</f>
        <v>5000</v>
      </c>
      <c r="AM38" s="94">
        <f>'[1]January -2020'!AT38</f>
        <v>0</v>
      </c>
      <c r="AN38" s="254">
        <f>'[1]January -2020'!AU38</f>
        <v>0</v>
      </c>
      <c r="AO38" s="94">
        <f>'[1]January -2020'!AV38</f>
        <v>4336.0799999982119</v>
      </c>
      <c r="AP38" s="94">
        <f>'[1]January -2020'!AW38</f>
        <v>0</v>
      </c>
      <c r="AQ38" s="254">
        <f>'[1]January -2020'!AX38</f>
        <v>0</v>
      </c>
      <c r="AR38" s="94">
        <f>'[1]January -2020'!AY38</f>
        <v>5213.0400000000373</v>
      </c>
      <c r="AS38" s="94">
        <f>'[1]January -2020'!AZ38</f>
        <v>0</v>
      </c>
      <c r="AT38" s="254">
        <f>'[1]January -2020'!BA38</f>
        <v>0</v>
      </c>
      <c r="AU38" s="94">
        <f>'[1]January -2020'!BB38</f>
        <v>3312.9599999999627</v>
      </c>
      <c r="AV38" s="94">
        <f>'[1]January -2020'!BC38</f>
        <v>0</v>
      </c>
      <c r="AW38" s="255">
        <f>'[1]January -2020'!BD38</f>
        <v>0</v>
      </c>
      <c r="AX38" s="256">
        <f>'[1]January -2020'!BE38</f>
        <v>5992.5600000005215</v>
      </c>
      <c r="AY38" s="492"/>
      <c r="AZ38" s="95">
        <f>'[1]January -2020'!BJ38</f>
        <v>0</v>
      </c>
      <c r="BA38" s="181">
        <f>'[1]January -2020'!BK38</f>
        <v>0</v>
      </c>
      <c r="BB38" s="95">
        <f>'[1]January -2020'!BL38</f>
        <v>0</v>
      </c>
      <c r="BC38" s="95">
        <f>'[1]January -2020'!BM38</f>
        <v>0</v>
      </c>
      <c r="BD38" s="248">
        <f>'[1]January -2020'!BN38</f>
        <v>0</v>
      </c>
      <c r="BE38" s="95">
        <f>'[1]January -2020'!BO38</f>
        <v>0</v>
      </c>
      <c r="BF38" s="95">
        <f>'[1]January -2020'!BP38</f>
        <v>0</v>
      </c>
      <c r="BG38" s="248">
        <f>'[1]January -2020'!BQ38</f>
        <v>0</v>
      </c>
      <c r="BH38" s="95">
        <f>'[1]January -2020'!BR38</f>
        <v>47000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'[1]January -2020'!BS38</f>
        <v>0</v>
      </c>
      <c r="BT38" s="187">
        <f>'[1]January -2020'!BT38</f>
        <v>0</v>
      </c>
      <c r="BU38" s="588"/>
      <c r="BV38" s="88">
        <f>'[1]January -2020'!BV38</f>
        <v>0</v>
      </c>
      <c r="BW38" s="244">
        <f>'[1]January -2020'!BW38</f>
        <v>0</v>
      </c>
      <c r="BX38" s="88">
        <f>'[1]January -2020'!BX38</f>
        <v>-8.0000000000000016E-2</v>
      </c>
      <c r="BY38" s="89">
        <f>'[1]January -2020'!BY38</f>
        <v>0</v>
      </c>
      <c r="BZ38" s="193">
        <f>'[1]January -2020'!BZ38</f>
        <v>0</v>
      </c>
      <c r="CA38" s="89">
        <f>'[1]January -2020'!CA38</f>
        <v>0</v>
      </c>
      <c r="CB38" s="193">
        <f>'[1]January -2020'!CB38</f>
        <v>0</v>
      </c>
      <c r="CC38" s="89">
        <f>'[1]January -2020'!CC38</f>
        <v>0</v>
      </c>
      <c r="CD38" s="193">
        <f>'[1]January -2020'!CD38</f>
        <v>0</v>
      </c>
      <c r="CE38" s="89">
        <f>'[1]January -2020'!CE38</f>
        <v>0</v>
      </c>
      <c r="CF38" s="193">
        <f>'[1]January -2020'!CF38</f>
        <v>0</v>
      </c>
      <c r="CG38" s="89">
        <f>'[1]January -2020'!CG38</f>
        <v>0</v>
      </c>
      <c r="CH38" s="193">
        <f>'[1]January -2020'!CH38</f>
        <v>0</v>
      </c>
      <c r="CI38" s="89">
        <f>'[1]January -2020'!CI38</f>
        <v>0</v>
      </c>
      <c r="CJ38" s="193">
        <f>'[1]January -2020'!CJ38</f>
        <v>0</v>
      </c>
      <c r="CK38" s="89">
        <f>'[1]January -2020'!CK38</f>
        <v>0</v>
      </c>
      <c r="CL38" s="249">
        <f>'[1]January -2020'!CL38</f>
        <v>0</v>
      </c>
      <c r="CM38" s="89">
        <f>'[1]January -2020'!CM38</f>
        <v>87</v>
      </c>
      <c r="CN38" s="89">
        <f>'[1]January -2020'!CN38</f>
        <v>0</v>
      </c>
      <c r="CO38" s="249">
        <f>'[1]January -2020'!CO38</f>
        <v>0</v>
      </c>
      <c r="CP38" s="89">
        <f>'[1]January -2020'!CP38</f>
        <v>84</v>
      </c>
      <c r="CQ38" s="89">
        <f>'[1]January -2020'!CQ38</f>
        <v>0</v>
      </c>
      <c r="CR38" s="249">
        <f>'[1]January -2020'!CR38</f>
        <v>0</v>
      </c>
      <c r="CS38" s="89">
        <f>'[1]January -2020'!CS38</f>
        <v>405</v>
      </c>
      <c r="CT38" s="89">
        <f>'[1]January -2020'!CT38</f>
        <v>0</v>
      </c>
      <c r="CU38" s="193">
        <f>'[1]January -2020'!CU38</f>
        <v>0</v>
      </c>
      <c r="CV38" s="516"/>
      <c r="CW38" s="208">
        <f>'[1]January -2020'!CW38</f>
        <v>0</v>
      </c>
      <c r="CX38" s="200">
        <f>'[1]January -2020'!CX38</f>
        <v>0</v>
      </c>
      <c r="CY38" s="91">
        <f>'[1]January -2020'!CY38</f>
        <v>0</v>
      </c>
      <c r="CZ38" s="200">
        <f>'[1]January -2020'!CZ38</f>
        <v>0</v>
      </c>
      <c r="DA38" s="91">
        <f>'[1]January -2020'!DA38</f>
        <v>0</v>
      </c>
      <c r="DB38" s="200">
        <f>'[1]January -2020'!DB38</f>
        <v>0</v>
      </c>
      <c r="DC38" s="91">
        <f>'[1]January -2020'!DC38</f>
        <v>0</v>
      </c>
      <c r="DD38" s="200">
        <f>'[1]January -2020'!DD38</f>
        <v>0</v>
      </c>
      <c r="DE38" s="91">
        <f>'[1]January -2020'!DE38</f>
        <v>0</v>
      </c>
      <c r="DF38" s="200">
        <f>'[1]January -2020'!DF38</f>
        <v>0</v>
      </c>
      <c r="DG38" s="91">
        <f>'[1]January -2020'!DG38</f>
        <v>0</v>
      </c>
      <c r="DH38" s="200">
        <f>'[1]January -2020'!DH38</f>
        <v>0</v>
      </c>
      <c r="DI38" s="91">
        <f>'[1]January -2020'!DI38</f>
        <v>825</v>
      </c>
      <c r="DJ38" s="200">
        <f>'[1]January -2020'!DJ38</f>
        <v>0</v>
      </c>
      <c r="DK38" s="91">
        <f>'[1]January -2020'!DK38</f>
        <v>3570</v>
      </c>
      <c r="DL38" s="200">
        <f>'[1]January -2020'!DL38</f>
        <v>0</v>
      </c>
      <c r="DM38" s="91">
        <f>'[1]January -2020'!DM38</f>
        <v>0</v>
      </c>
      <c r="DN38" s="200">
        <f>'[1]January -2020'!DN38</f>
        <v>0</v>
      </c>
      <c r="DO38" s="91">
        <f>'[1]January -2020'!DO38</f>
        <v>0</v>
      </c>
      <c r="DP38" s="200">
        <f>'[1]January -2020'!DP38</f>
        <v>0</v>
      </c>
      <c r="DQ38" s="91">
        <f>'[1]January -2020'!DQ38</f>
        <v>0</v>
      </c>
      <c r="DR38" s="209">
        <f>'[1]January -2020'!DR38</f>
        <v>0</v>
      </c>
      <c r="DS38" s="532"/>
      <c r="DT38" s="213">
        <f>'[1]January -2020'!DT38</f>
        <v>0</v>
      </c>
      <c r="DU38" s="224">
        <f>'[1]January -2020'!DU38</f>
        <v>0</v>
      </c>
      <c r="DV38" s="93">
        <f>'[1]January -2020'!DV38</f>
        <v>0</v>
      </c>
      <c r="DW38" s="218">
        <f>'[1]January -2020'!DW38</f>
        <v>0</v>
      </c>
      <c r="DX38" s="93">
        <f>'[1]January -2020'!DX38</f>
        <v>0</v>
      </c>
      <c r="DY38" s="218">
        <f>'[1]January -2020'!DY38</f>
        <v>0</v>
      </c>
      <c r="DZ38" s="93">
        <f>'[1]January -2020'!DZ38</f>
        <v>0</v>
      </c>
      <c r="EA38" s="218">
        <f>'[1]January -2020'!EA38</f>
        <v>0</v>
      </c>
      <c r="EB38" s="93">
        <f>'[1]January -2020'!ED38</f>
        <v>0</v>
      </c>
      <c r="EC38" s="218">
        <f>'[1]January -2020'!EE38</f>
        <v>0</v>
      </c>
      <c r="ED38" s="93">
        <f>'[1]January -2020'!EF38</f>
        <v>0</v>
      </c>
      <c r="EE38" s="232">
        <f>'[1]January -2020'!EG38</f>
        <v>0</v>
      </c>
      <c r="EF38" s="579"/>
      <c r="EG38" s="238">
        <f>'[1]January -2020'!EI38</f>
        <v>0</v>
      </c>
      <c r="EH38" s="233">
        <f>'[1]January -2020'!EJ38</f>
        <v>0</v>
      </c>
      <c r="EI38" s="92">
        <f>'[1]January -2020'!EK38</f>
        <v>0</v>
      </c>
      <c r="EJ38" s="233">
        <f>'[1]January -2020'!EL38</f>
        <v>0</v>
      </c>
      <c r="EK38" s="92">
        <f>'[1]January -2020'!EM38</f>
        <v>0</v>
      </c>
      <c r="EL38" s="233">
        <f>'[1]January -2020'!EN38</f>
        <v>0</v>
      </c>
      <c r="EM38" s="92">
        <f>'[1]January -2020'!EO38</f>
        <v>0</v>
      </c>
      <c r="EN38" s="233">
        <f>'[1]January -2020'!EP38</f>
        <v>0</v>
      </c>
      <c r="EO38" s="92">
        <f>'[1]January -2020'!EQ38</f>
        <v>0</v>
      </c>
      <c r="EP38" s="233">
        <f>'[1]January -2020'!ER38</f>
        <v>0</v>
      </c>
      <c r="EQ38" s="92">
        <f>'[1]January -2020'!ES38</f>
        <v>0</v>
      </c>
      <c r="ER38" s="233">
        <f>'[1]January -2020'!ET38</f>
        <v>0</v>
      </c>
      <c r="ES38" s="554"/>
      <c r="ET38" s="287">
        <f>'[1]January -2020'!EV38</f>
        <v>0</v>
      </c>
      <c r="EU38" s="286">
        <f>'[1]January -2020'!$EW$11</f>
        <v>19.5</v>
      </c>
      <c r="EV38" s="285">
        <f>'[1]January -2020'!EX38</f>
        <v>0</v>
      </c>
      <c r="EW38" s="286">
        <f>'[1]January -2020'!EY38</f>
        <v>0</v>
      </c>
      <c r="EX38" s="285">
        <f>'[1]January -2020'!FB38</f>
        <v>0</v>
      </c>
      <c r="EY38" s="286">
        <f>'[1]January -2020'!FA38</f>
        <v>0</v>
      </c>
      <c r="EZ38" s="285">
        <f>'[1]January -2020'!EZ38</f>
        <v>0</v>
      </c>
      <c r="FA38" s="286">
        <f>'[1]January -2020'!FA38</f>
        <v>0</v>
      </c>
      <c r="FB38" s="285">
        <f>'[1]January -2020'!FD38</f>
        <v>0</v>
      </c>
      <c r="FC38" s="288">
        <f>'[1]January -2020'!FE38</f>
        <v>0</v>
      </c>
    </row>
    <row r="39" spans="1:160" ht="30" customHeight="1" x14ac:dyDescent="0.25">
      <c r="A39" s="210">
        <v>43860</v>
      </c>
      <c r="B39" s="212">
        <f>'[1]January -2020'!B39</f>
        <v>0</v>
      </c>
      <c r="C39" s="253">
        <f>'[1]January -2020'!E39</f>
        <v>0</v>
      </c>
      <c r="D39" s="172">
        <f>'[1]January -2020'!F39</f>
        <v>374</v>
      </c>
      <c r="E39" s="170">
        <f>'[1]January -2020'!G39</f>
        <v>374</v>
      </c>
      <c r="F39" s="170">
        <f>'[1]January -2020'!H39</f>
        <v>0</v>
      </c>
      <c r="G39" s="172">
        <f>'[1]January -2020'!I39</f>
        <v>0</v>
      </c>
      <c r="H39" s="170">
        <f>'[1]January -2020'!J39</f>
        <v>361</v>
      </c>
      <c r="I39" s="170">
        <f>'[1]January -2020'!K39</f>
        <v>0</v>
      </c>
      <c r="J39" s="172">
        <f>'[1]January -2020'!L39</f>
        <v>0</v>
      </c>
      <c r="K39" s="170">
        <f>'[1]January -2020'!N39</f>
        <v>0</v>
      </c>
      <c r="L39" s="172">
        <f>'[1]January -2020'!O39</f>
        <v>0</v>
      </c>
      <c r="M39" s="170">
        <f>'[1]January -2020'!Q39</f>
        <v>156875</v>
      </c>
      <c r="N39" s="172">
        <f>'[1]January -2020'!R39</f>
        <v>0</v>
      </c>
      <c r="O39" s="170">
        <f>'[1]January -2020'!S39</f>
        <v>0</v>
      </c>
      <c r="P39" s="172">
        <f>'[1]January -2020'!T39</f>
        <v>0</v>
      </c>
      <c r="Q39" s="170">
        <f>'[1]January -2020'!U39</f>
        <v>78</v>
      </c>
      <c r="R39" s="170">
        <f>'[1]January -2020'!V39</f>
        <v>0</v>
      </c>
      <c r="S39" s="211">
        <f>'[1]January -2020'!W39</f>
        <v>0</v>
      </c>
      <c r="T39" s="475"/>
      <c r="U39" s="171">
        <f>'[1]January -2020'!AB39</f>
        <v>0</v>
      </c>
      <c r="V39" s="254">
        <f>'[1]January -2020'!AC39</f>
        <v>0</v>
      </c>
      <c r="W39" s="94">
        <f>'[1]January -2020'!AD39</f>
        <v>2143.679999999702</v>
      </c>
      <c r="X39" s="94">
        <f>'[1]January -2020'!AE39</f>
        <v>0</v>
      </c>
      <c r="Y39" s="254">
        <f>'[1]January -2020'!AF39</f>
        <v>0</v>
      </c>
      <c r="Z39" s="94">
        <f>'[1]January -2020'!AG39</f>
        <v>4823.2799999974668</v>
      </c>
      <c r="AA39" s="94">
        <f>'[1]January -2020'!AH39</f>
        <v>0</v>
      </c>
      <c r="AB39" s="254">
        <f>'[1]January -2020'!AI39</f>
        <v>0</v>
      </c>
      <c r="AC39" s="94">
        <f>'[1]January -2020'!AJ39</f>
        <v>779.51999999955297</v>
      </c>
      <c r="AD39" s="94">
        <f>'[1]January -2020'!AK39</f>
        <v>0</v>
      </c>
      <c r="AE39" s="254">
        <f>'[1]January -2020'!AL39</f>
        <v>0</v>
      </c>
      <c r="AF39" s="94">
        <f>'[1]January -2020'!AM39</f>
        <v>48.720000000670552</v>
      </c>
      <c r="AG39" s="94">
        <f>'[1]January -2020'!AN39</f>
        <v>0</v>
      </c>
      <c r="AH39" s="254">
        <f>'[1]January -2020'!AO39</f>
        <v>0</v>
      </c>
      <c r="AI39" s="94">
        <f>'[1]January -2020'!AP39</f>
        <v>8867.0400000009686</v>
      </c>
      <c r="AJ39" s="94">
        <f>'[1]January -2020'!AQ39</f>
        <v>0</v>
      </c>
      <c r="AK39" s="254">
        <f>'[1]January -2020'!AR39</f>
        <v>0</v>
      </c>
      <c r="AL39" s="94">
        <f>'[1]January -2020'!AS39</f>
        <v>6254.320000000298</v>
      </c>
      <c r="AM39" s="94">
        <f>'[1]January -2020'!AT39</f>
        <v>0</v>
      </c>
      <c r="AN39" s="254">
        <f>'[1]January -2020'!AU39</f>
        <v>0</v>
      </c>
      <c r="AO39" s="94">
        <f>'[1]January -2020'!AV39</f>
        <v>4141.2000000011176</v>
      </c>
      <c r="AP39" s="94">
        <f>'[1]January -2020'!AW39</f>
        <v>0</v>
      </c>
      <c r="AQ39" s="254">
        <f>'[1]January -2020'!AX39</f>
        <v>0</v>
      </c>
      <c r="AR39" s="94">
        <f>'[1]January -2020'!AY39</f>
        <v>4872</v>
      </c>
      <c r="AS39" s="94">
        <f>'[1]January -2020'!AZ39</f>
        <v>0</v>
      </c>
      <c r="AT39" s="254">
        <f>'[1]January -2020'!BA39</f>
        <v>0</v>
      </c>
      <c r="AU39" s="94">
        <f>'[1]January -2020'!BB39</f>
        <v>3118.0799999991432</v>
      </c>
      <c r="AV39" s="94">
        <f>'[1]January -2020'!BC39</f>
        <v>0</v>
      </c>
      <c r="AW39" s="255">
        <f>'[1]January -2020'!BD39</f>
        <v>0</v>
      </c>
      <c r="AX39" s="256">
        <f>'[1]January -2020'!BE39</f>
        <v>5554.0800000000745</v>
      </c>
      <c r="AY39" s="492"/>
      <c r="AZ39" s="280">
        <f>'[1]January -2020'!BJ39</f>
        <v>0</v>
      </c>
      <c r="BA39" s="181">
        <f>'[1]January -2020'!BK39</f>
        <v>0</v>
      </c>
      <c r="BB39" s="95">
        <f>'[1]January -2020'!BL39</f>
        <v>0</v>
      </c>
      <c r="BC39" s="95">
        <f>'[1]January -2020'!BM39</f>
        <v>0</v>
      </c>
      <c r="BD39" s="248">
        <f>'[1]January -2020'!BN39</f>
        <v>0</v>
      </c>
      <c r="BE39" s="95">
        <f>'[1]January -2020'!BO39</f>
        <v>0</v>
      </c>
      <c r="BF39" s="95">
        <f>'[1]January -2020'!BP39</f>
        <v>0</v>
      </c>
      <c r="BG39" s="248">
        <f>'[1]January -2020'!BQ39</f>
        <v>0</v>
      </c>
      <c r="BH39" s="95">
        <f>'[1]January -2020'!BR39</f>
        <v>42300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'[1]January -2020'!BS39</f>
        <v>0</v>
      </c>
      <c r="BT39" s="281">
        <f>'[1]January -2020'!BT39</f>
        <v>0</v>
      </c>
      <c r="BU39" s="589"/>
      <c r="BV39" s="278">
        <f>'[1]January -2020'!BV39</f>
        <v>0</v>
      </c>
      <c r="BW39" s="244">
        <f>'[1]January -2020'!BW39</f>
        <v>0</v>
      </c>
      <c r="BX39" s="88">
        <f>'[1]January -2020'!BX39</f>
        <v>-7.0000000000000007E-2</v>
      </c>
      <c r="BY39" s="89">
        <f>'[1]January -2020'!BY39</f>
        <v>0</v>
      </c>
      <c r="BZ39" s="193">
        <f>'[1]January -2020'!BZ39</f>
        <v>0</v>
      </c>
      <c r="CA39" s="89">
        <f>'[1]January -2020'!CA39</f>
        <v>0</v>
      </c>
      <c r="CB39" s="193">
        <f>'[1]January -2020'!CB39</f>
        <v>0</v>
      </c>
      <c r="CC39" s="89">
        <f>'[1]January -2020'!CC39</f>
        <v>0</v>
      </c>
      <c r="CD39" s="193">
        <f>'[1]January -2020'!CD39</f>
        <v>0</v>
      </c>
      <c r="CE39" s="89">
        <f>'[1]January -2020'!CE39</f>
        <v>0</v>
      </c>
      <c r="CF39" s="193">
        <f>'[1]January -2020'!CF39</f>
        <v>0</v>
      </c>
      <c r="CG39" s="89">
        <f>'[1]January -2020'!CG39</f>
        <v>0</v>
      </c>
      <c r="CH39" s="193">
        <f>'[1]January -2020'!CH39</f>
        <v>0</v>
      </c>
      <c r="CI39" s="89">
        <f>'[1]January -2020'!CI39</f>
        <v>0</v>
      </c>
      <c r="CJ39" s="193">
        <f>'[1]January -2020'!CJ39</f>
        <v>0</v>
      </c>
      <c r="CK39" s="89">
        <f>'[1]January -2020'!CK39</f>
        <v>0</v>
      </c>
      <c r="CL39" s="249">
        <f>'[1]January -2020'!CL39</f>
        <v>0</v>
      </c>
      <c r="CM39" s="89">
        <f>'[1]January -2020'!CM39</f>
        <v>85</v>
      </c>
      <c r="CN39" s="89">
        <f>'[1]January -2020'!CN39</f>
        <v>0</v>
      </c>
      <c r="CO39" s="249">
        <f>'[1]January -2020'!CO39</f>
        <v>0</v>
      </c>
      <c r="CP39" s="89">
        <f>'[1]January -2020'!CP39</f>
        <v>84</v>
      </c>
      <c r="CQ39" s="89">
        <f>'[1]January -2020'!CQ39</f>
        <v>0</v>
      </c>
      <c r="CR39" s="249">
        <f>'[1]January -2020'!CR39</f>
        <v>0</v>
      </c>
      <c r="CS39" s="89">
        <f>'[1]January -2020'!CS39</f>
        <v>398</v>
      </c>
      <c r="CT39" s="89">
        <f>'[1]January -2020'!CT39</f>
        <v>0</v>
      </c>
      <c r="CU39" s="279">
        <f>'[1]January -2020'!CU39</f>
        <v>0</v>
      </c>
      <c r="CV39" s="516"/>
      <c r="CW39" s="208">
        <f>'[1]January -2020'!CW39</f>
        <v>0</v>
      </c>
      <c r="CX39" s="200">
        <f>'[1]January -2020'!CX39</f>
        <v>0</v>
      </c>
      <c r="CY39" s="91">
        <f>'[1]January -2020'!CY39</f>
        <v>0</v>
      </c>
      <c r="CZ39" s="200">
        <f>'[1]January -2020'!CZ39</f>
        <v>0</v>
      </c>
      <c r="DA39" s="91">
        <f>'[1]January -2020'!DA39</f>
        <v>0</v>
      </c>
      <c r="DB39" s="200">
        <f>'[1]January -2020'!DB39</f>
        <v>0</v>
      </c>
      <c r="DC39" s="91">
        <f>'[1]January -2020'!DC39</f>
        <v>0</v>
      </c>
      <c r="DD39" s="200">
        <f>'[1]January -2020'!DD39</f>
        <v>0</v>
      </c>
      <c r="DE39" s="91">
        <f>'[1]January -2020'!DE39</f>
        <v>0</v>
      </c>
      <c r="DF39" s="200">
        <f>'[1]January -2020'!DF39</f>
        <v>0</v>
      </c>
      <c r="DG39" s="91">
        <f>'[1]January -2020'!DG39</f>
        <v>0</v>
      </c>
      <c r="DH39" s="200">
        <f>'[1]January -2020'!DH39</f>
        <v>0</v>
      </c>
      <c r="DI39" s="91">
        <f>'[1]January -2020'!DI39</f>
        <v>825</v>
      </c>
      <c r="DJ39" s="200">
        <f>'[1]January -2020'!DJ39</f>
        <v>0</v>
      </c>
      <c r="DK39" s="91">
        <f>'[1]January -2020'!DK39</f>
        <v>3570</v>
      </c>
      <c r="DL39" s="200">
        <f>'[1]January -2020'!DL39</f>
        <v>0</v>
      </c>
      <c r="DM39" s="91">
        <f>'[1]January -2020'!DM39</f>
        <v>0</v>
      </c>
      <c r="DN39" s="200">
        <f>'[1]January -2020'!DN39</f>
        <v>0</v>
      </c>
      <c r="DO39" s="91">
        <f>'[1]January -2020'!DO39</f>
        <v>0</v>
      </c>
      <c r="DP39" s="200">
        <f>'[1]January -2020'!DP39</f>
        <v>0</v>
      </c>
      <c r="DQ39" s="91">
        <f>'[1]January -2020'!DQ39</f>
        <v>0</v>
      </c>
      <c r="DR39" s="209">
        <f>'[1]January -2020'!DR39</f>
        <v>0</v>
      </c>
      <c r="DS39" s="532"/>
      <c r="DT39" s="213">
        <f>'[1]January -2020'!DT39</f>
        <v>0</v>
      </c>
      <c r="DU39" s="224">
        <f>'[1]January -2020'!DU39</f>
        <v>0</v>
      </c>
      <c r="DV39" s="93">
        <f>'[1]January -2020'!DV39</f>
        <v>0</v>
      </c>
      <c r="DW39" s="218">
        <f>'[1]January -2020'!DW39</f>
        <v>0</v>
      </c>
      <c r="DX39" s="93">
        <f>'[1]January -2020'!DX39</f>
        <v>0</v>
      </c>
      <c r="DY39" s="218">
        <f>'[1]January -2020'!DY39</f>
        <v>0</v>
      </c>
      <c r="DZ39" s="93">
        <f>'[1]January -2020'!DZ39</f>
        <v>0</v>
      </c>
      <c r="EA39" s="218">
        <f>'[1]January -2020'!EA39</f>
        <v>0</v>
      </c>
      <c r="EB39" s="93">
        <f>'[1]January -2020'!ED39</f>
        <v>0</v>
      </c>
      <c r="EC39" s="218">
        <f>'[1]January -2020'!EE39</f>
        <v>0</v>
      </c>
      <c r="ED39" s="93">
        <f>'[1]January -2020'!EF39</f>
        <v>0</v>
      </c>
      <c r="EE39" s="232">
        <f>'[1]January -2020'!EG39</f>
        <v>0</v>
      </c>
      <c r="EF39" s="579"/>
      <c r="EG39" s="238">
        <f>'[1]January -2020'!EI39</f>
        <v>0</v>
      </c>
      <c r="EH39" s="233">
        <f>'[1]January -2020'!EJ39</f>
        <v>0</v>
      </c>
      <c r="EI39" s="92">
        <f>'[1]January -2020'!EK39</f>
        <v>0</v>
      </c>
      <c r="EJ39" s="233">
        <f>'[1]January -2020'!EL39</f>
        <v>0</v>
      </c>
      <c r="EK39" s="92">
        <f>'[1]January -2020'!EM39</f>
        <v>0</v>
      </c>
      <c r="EL39" s="233">
        <f>'[1]January -2020'!EN39</f>
        <v>0</v>
      </c>
      <c r="EM39" s="92">
        <f>'[1]January -2020'!EO39</f>
        <v>0</v>
      </c>
      <c r="EN39" s="233">
        <f>'[1]January -2020'!EP39</f>
        <v>0</v>
      </c>
      <c r="EO39" s="92">
        <f>'[1]January -2020'!EQ39</f>
        <v>0</v>
      </c>
      <c r="EP39" s="233">
        <f>'[1]January -2020'!ER39</f>
        <v>0</v>
      </c>
      <c r="EQ39" s="92">
        <f>'[1]January -2020'!ES39</f>
        <v>0</v>
      </c>
      <c r="ER39" s="233">
        <f>'[1]January -2020'!ET39</f>
        <v>0</v>
      </c>
      <c r="ES39" s="554"/>
      <c r="ET39" s="287">
        <f>'[1]January -2020'!EV39</f>
        <v>0</v>
      </c>
      <c r="EU39" s="286">
        <f>'[1]January -2020'!$EW$11</f>
        <v>19.5</v>
      </c>
      <c r="EV39" s="285">
        <f>'[1]January -2020'!EX39</f>
        <v>0</v>
      </c>
      <c r="EW39" s="286">
        <f>'[1]January -2020'!EY39</f>
        <v>0</v>
      </c>
      <c r="EX39" s="285">
        <f>'[1]January -2020'!FB39</f>
        <v>0</v>
      </c>
      <c r="EY39" s="286">
        <f>'[1]January -2020'!FA39</f>
        <v>0</v>
      </c>
      <c r="EZ39" s="285">
        <f>'[1]January -2020'!EZ39</f>
        <v>0</v>
      </c>
      <c r="FA39" s="286">
        <f>'[1]January -2020'!FA39</f>
        <v>0</v>
      </c>
      <c r="FB39" s="285">
        <f>'[1]January -2020'!FD39</f>
        <v>0</v>
      </c>
      <c r="FC39" s="288">
        <f>'[1]January -2020'!FE39</f>
        <v>0</v>
      </c>
    </row>
    <row r="40" spans="1:160" ht="30" customHeight="1" thickBot="1" x14ac:dyDescent="0.45">
      <c r="A40" s="210">
        <v>43861</v>
      </c>
      <c r="B40" s="212">
        <f>'[1]January -2020'!B40</f>
        <v>0</v>
      </c>
      <c r="C40" s="253">
        <f>'[1]January -2020'!E40</f>
        <v>0</v>
      </c>
      <c r="D40" s="172">
        <f>'[1]January -2020'!F40</f>
        <v>574</v>
      </c>
      <c r="E40" s="170">
        <f>'[1]January -2020'!G40</f>
        <v>574</v>
      </c>
      <c r="F40" s="170">
        <f>'[1]January -2020'!H40</f>
        <v>0</v>
      </c>
      <c r="G40" s="172">
        <f>'[1]January -2020'!I40</f>
        <v>0</v>
      </c>
      <c r="H40" s="170">
        <f>'[1]January -2020'!J40</f>
        <v>399</v>
      </c>
      <c r="I40" s="170">
        <f>'[1]January -2020'!K40</f>
        <v>0</v>
      </c>
      <c r="J40" s="172">
        <f>'[1]January -2020'!L40</f>
        <v>0</v>
      </c>
      <c r="K40" s="170">
        <f>'[1]January -2020'!N40</f>
        <v>0</v>
      </c>
      <c r="L40" s="172">
        <f>'[1]January -2020'!O40</f>
        <v>0</v>
      </c>
      <c r="M40" s="170">
        <f>'[1]January -2020'!Q40</f>
        <v>156875</v>
      </c>
      <c r="N40" s="172">
        <f>'[1]January -2020'!R40</f>
        <v>0</v>
      </c>
      <c r="O40" s="170">
        <f>'[1]January -2020'!S40</f>
        <v>0</v>
      </c>
      <c r="P40" s="172">
        <f>'[1]January -2020'!T40</f>
        <v>0</v>
      </c>
      <c r="Q40" s="170">
        <f>'[1]January -2020'!U40</f>
        <v>86</v>
      </c>
      <c r="R40" s="170">
        <f>'[1]January -2020'!V40</f>
        <v>0</v>
      </c>
      <c r="S40" s="211">
        <f>'[1]January -2020'!W40</f>
        <v>0</v>
      </c>
      <c r="T40" s="296"/>
      <c r="U40" s="171">
        <f>'[1]January -2020'!AB40</f>
        <v>0</v>
      </c>
      <c r="V40" s="298">
        <f>'[1]January -2020'!AC40</f>
        <v>0</v>
      </c>
      <c r="W40" s="94">
        <f>'[1]January -2020'!AD40</f>
        <v>2338.5600000005215</v>
      </c>
      <c r="X40" s="94">
        <f>'[1]January -2020'!AE40</f>
        <v>0</v>
      </c>
      <c r="Y40" s="298">
        <f>'[1]January -2020'!AF40</f>
        <v>0</v>
      </c>
      <c r="Z40" s="94">
        <f>'[1]January -2020'!AG40</f>
        <v>5310.480000000447</v>
      </c>
      <c r="AA40" s="94">
        <f>'[1]January -2020'!AH40</f>
        <v>0</v>
      </c>
      <c r="AB40" s="298">
        <f>'[1]January -2020'!AI40</f>
        <v>0</v>
      </c>
      <c r="AC40" s="94">
        <f>'[1]January -2020'!AJ40</f>
        <v>1266.7200000006706</v>
      </c>
      <c r="AD40" s="94">
        <f>'[1]January -2020'!AK40</f>
        <v>0</v>
      </c>
      <c r="AE40" s="298">
        <f>'[1]January -2020'!AL40</f>
        <v>0</v>
      </c>
      <c r="AF40" s="94">
        <f>'[1]January -2020'!AM40</f>
        <v>194.87999999895692</v>
      </c>
      <c r="AG40" s="94">
        <f>'[1]January -2020'!AN40</f>
        <v>0</v>
      </c>
      <c r="AH40" s="298">
        <f>'[1]January -2020'!AO40</f>
        <v>0</v>
      </c>
      <c r="AI40" s="94">
        <f>'[1]January -2020'!AP40</f>
        <v>9256.7999999988824</v>
      </c>
      <c r="AJ40" s="94">
        <f>'[1]January -2020'!AQ40</f>
        <v>0</v>
      </c>
      <c r="AK40" s="298">
        <f>'[1]January -2020'!AR40</f>
        <v>0</v>
      </c>
      <c r="AL40" s="94">
        <f>'[1]January -2020'!AS40</f>
        <v>5943.839999999851</v>
      </c>
      <c r="AM40" s="94">
        <f>'[1]January -2020'!AT40</f>
        <v>0</v>
      </c>
      <c r="AN40" s="298">
        <f>'[1]January -2020'!AU40</f>
        <v>0</v>
      </c>
      <c r="AO40" s="94">
        <f>'[1]January -2020'!AV40</f>
        <v>4530.9599999990314</v>
      </c>
      <c r="AP40" s="94">
        <f>'[1]January -2020'!AW40</f>
        <v>0</v>
      </c>
      <c r="AQ40" s="298">
        <f>'[1]January -2020'!AX40</f>
        <v>0</v>
      </c>
      <c r="AR40" s="94">
        <f>'[1]January -2020'!AY40</f>
        <v>4969.4400000004098</v>
      </c>
      <c r="AS40" s="94">
        <f>'[1]January -2020'!AZ40</f>
        <v>0</v>
      </c>
      <c r="AT40" s="298">
        <f>'[1]January -2020'!BA40</f>
        <v>0</v>
      </c>
      <c r="AU40" s="94">
        <f>'[1]January -2020'!BB40</f>
        <v>3751.4400000004098</v>
      </c>
      <c r="AV40" s="94">
        <f>'[1]January -2020'!BC40</f>
        <v>0</v>
      </c>
      <c r="AW40" s="255">
        <f>'[1]January -2020'!BD40</f>
        <v>0</v>
      </c>
      <c r="AX40" s="256">
        <f>'[1]January -2020'!BE40</f>
        <v>5748.9600000008941</v>
      </c>
      <c r="AY40" s="297"/>
      <c r="AZ40" s="280">
        <f>'[1]January -2020'!BJ40</f>
        <v>0</v>
      </c>
      <c r="BA40" s="181">
        <f>'[1]January -2020'!BK40</f>
        <v>0</v>
      </c>
      <c r="BB40" s="95">
        <f>'[1]January -2020'!BL40</f>
        <v>0</v>
      </c>
      <c r="BC40" s="95">
        <f>'[1]January -2020'!BM40</f>
        <v>0</v>
      </c>
      <c r="BD40" s="248">
        <f>'[1]January -2020'!BN40</f>
        <v>0</v>
      </c>
      <c r="BE40" s="95">
        <f>'[1]January -2020'!BO40</f>
        <v>0</v>
      </c>
      <c r="BF40" s="95">
        <f>'[1]January -2020'!BP40</f>
        <v>0</v>
      </c>
      <c r="BG40" s="248">
        <f>'[1]January -2020'!BQ40</f>
        <v>0</v>
      </c>
      <c r="BH40" s="95">
        <f>'[1]January -2020'!BR40</f>
        <v>85500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'[1]January -2020'!BS40</f>
        <v>0</v>
      </c>
      <c r="BT40" s="281">
        <f>'[1]January -2020'!BT40</f>
        <v>0</v>
      </c>
      <c r="BU40" s="299"/>
      <c r="BV40" s="278">
        <f>'[1]January -2020'!BV40</f>
        <v>0</v>
      </c>
      <c r="BW40" s="244">
        <f>'[1]January -2020'!BW40</f>
        <v>0</v>
      </c>
      <c r="BX40" s="88">
        <f>'[1]January -2020'!BX40</f>
        <v>0.15000000000000002</v>
      </c>
      <c r="BY40" s="89">
        <f>'[1]January -2020'!BY40</f>
        <v>0</v>
      </c>
      <c r="BZ40" s="193">
        <f>'[1]January -2020'!BZ40</f>
        <v>0</v>
      </c>
      <c r="CA40" s="89">
        <f>'[1]January -2020'!CA40</f>
        <v>0</v>
      </c>
      <c r="CB40" s="193">
        <f>'[1]January -2020'!CB40</f>
        <v>0</v>
      </c>
      <c r="CC40" s="89">
        <f>'[1]January -2020'!CC40</f>
        <v>0</v>
      </c>
      <c r="CD40" s="193">
        <f>'[1]January -2020'!CD40</f>
        <v>0</v>
      </c>
      <c r="CE40" s="89">
        <f>'[1]January -2020'!CE40</f>
        <v>0</v>
      </c>
      <c r="CF40" s="193">
        <f>'[1]January -2020'!CF40</f>
        <v>0</v>
      </c>
      <c r="CG40" s="89">
        <f>'[1]January -2020'!CG40</f>
        <v>0</v>
      </c>
      <c r="CH40" s="193">
        <f>'[1]January -2020'!CH40</f>
        <v>0</v>
      </c>
      <c r="CI40" s="89">
        <f>'[1]January -2020'!CI40</f>
        <v>0</v>
      </c>
      <c r="CJ40" s="193">
        <f>'[1]January -2020'!CJ40</f>
        <v>0</v>
      </c>
      <c r="CK40" s="89">
        <f>'[1]January -2020'!CK40</f>
        <v>0</v>
      </c>
      <c r="CL40" s="249">
        <f>'[1]January -2020'!CL40</f>
        <v>0</v>
      </c>
      <c r="CM40" s="89">
        <f>'[1]January -2020'!CM40</f>
        <v>88</v>
      </c>
      <c r="CN40" s="89">
        <f>'[1]January -2020'!CN40</f>
        <v>0</v>
      </c>
      <c r="CO40" s="249">
        <f>'[1]January -2020'!CO40</f>
        <v>0</v>
      </c>
      <c r="CP40" s="89">
        <f>'[1]January -2020'!CP40</f>
        <v>77</v>
      </c>
      <c r="CQ40" s="89">
        <f>'[1]January -2020'!CQ40</f>
        <v>0</v>
      </c>
      <c r="CR40" s="249">
        <f>'[1]January -2020'!CR40</f>
        <v>0</v>
      </c>
      <c r="CS40" s="89">
        <f>'[1]January -2020'!CS40</f>
        <v>392</v>
      </c>
      <c r="CT40" s="89">
        <f>'[1]January -2020'!CT40</f>
        <v>0</v>
      </c>
      <c r="CU40" s="279">
        <f>'[1]January -2020'!CU40</f>
        <v>0</v>
      </c>
      <c r="CV40" s="516"/>
      <c r="CW40" s="208">
        <f>'[1]January -2020'!CW40</f>
        <v>0</v>
      </c>
      <c r="CX40" s="200">
        <f>'[1]January -2020'!CX40</f>
        <v>0</v>
      </c>
      <c r="CY40" s="91">
        <f>'[1]January -2020'!CY40</f>
        <v>0</v>
      </c>
      <c r="CZ40" s="200">
        <f>'[1]January -2020'!CZ40</f>
        <v>0</v>
      </c>
      <c r="DA40" s="91">
        <f>'[1]January -2020'!DA40</f>
        <v>0</v>
      </c>
      <c r="DB40" s="200">
        <f>'[1]January -2020'!DB40</f>
        <v>0</v>
      </c>
      <c r="DC40" s="91">
        <f>'[1]January -2020'!DC40</f>
        <v>0</v>
      </c>
      <c r="DD40" s="200">
        <f>'[1]January -2020'!DD40</f>
        <v>0</v>
      </c>
      <c r="DE40" s="91">
        <f>'[1]January -2020'!DE40</f>
        <v>0</v>
      </c>
      <c r="DF40" s="200">
        <f>'[1]January -2020'!DF40</f>
        <v>0</v>
      </c>
      <c r="DG40" s="91">
        <f>'[1]January -2020'!DG40</f>
        <v>0</v>
      </c>
      <c r="DH40" s="200">
        <f>'[1]January -2020'!DH40</f>
        <v>0</v>
      </c>
      <c r="DI40" s="91">
        <f>'[1]January -2020'!DI40</f>
        <v>825</v>
      </c>
      <c r="DJ40" s="200">
        <f>'[1]January -2020'!DJ40</f>
        <v>0</v>
      </c>
      <c r="DK40" s="91">
        <f>'[1]January -2020'!DK40</f>
        <v>3570</v>
      </c>
      <c r="DL40" s="200">
        <f>'[1]January -2020'!DL40</f>
        <v>0</v>
      </c>
      <c r="DM40" s="91">
        <f>'[1]January -2020'!DM40</f>
        <v>0</v>
      </c>
      <c r="DN40" s="200">
        <f>'[1]January -2020'!DN40</f>
        <v>0</v>
      </c>
      <c r="DO40" s="91">
        <f>'[1]January -2020'!DO40</f>
        <v>0</v>
      </c>
      <c r="DP40" s="200">
        <f>'[1]January -2020'!DP40</f>
        <v>0</v>
      </c>
      <c r="DQ40" s="91">
        <f>'[1]January -2020'!DQ40</f>
        <v>0</v>
      </c>
      <c r="DR40" s="209">
        <f>'[1]January -2020'!DR40</f>
        <v>0</v>
      </c>
      <c r="DS40" s="532"/>
      <c r="DT40" s="213">
        <f>'[1]January -2020'!DT40</f>
        <v>0</v>
      </c>
      <c r="DU40" s="224">
        <f>'[1]January -2020'!DU40</f>
        <v>0</v>
      </c>
      <c r="DV40" s="93">
        <f>'[1]January -2020'!DV40</f>
        <v>0</v>
      </c>
      <c r="DW40" s="218">
        <f>'[1]January -2020'!DW40</f>
        <v>0</v>
      </c>
      <c r="DX40" s="93">
        <f>'[1]January -2020'!DX40</f>
        <v>0</v>
      </c>
      <c r="DY40" s="218">
        <f>'[1]January -2020'!DY40</f>
        <v>0</v>
      </c>
      <c r="DZ40" s="93">
        <f>'[1]January -2020'!DZ40</f>
        <v>0</v>
      </c>
      <c r="EA40" s="218">
        <f>'[1]January -2020'!EA40</f>
        <v>0</v>
      </c>
      <c r="EB40" s="93">
        <f>'[1]January -2020'!ED40</f>
        <v>0</v>
      </c>
      <c r="EC40" s="218">
        <f>'[1]January -2020'!EE40</f>
        <v>0</v>
      </c>
      <c r="ED40" s="93">
        <f>'[1]January -2020'!EF40</f>
        <v>0</v>
      </c>
      <c r="EE40" s="232">
        <f>'[1]January -2020'!EG40</f>
        <v>0</v>
      </c>
      <c r="EF40" s="579"/>
      <c r="EG40" s="238">
        <f>'[1]January -2020'!EI40</f>
        <v>0</v>
      </c>
      <c r="EH40" s="233">
        <f>'[1]January -2020'!EJ40</f>
        <v>0</v>
      </c>
      <c r="EI40" s="92">
        <f>'[1]January -2020'!EK40</f>
        <v>0</v>
      </c>
      <c r="EJ40" s="233">
        <f>'[1]January -2020'!EL40</f>
        <v>0</v>
      </c>
      <c r="EK40" s="92">
        <f>'[1]January -2020'!EM40</f>
        <v>0</v>
      </c>
      <c r="EL40" s="233">
        <f>'[1]January -2020'!EN40</f>
        <v>0</v>
      </c>
      <c r="EM40" s="92">
        <f>'[1]January -2020'!EO40</f>
        <v>0</v>
      </c>
      <c r="EN40" s="233">
        <f>'[1]January -2020'!EP40</f>
        <v>0</v>
      </c>
      <c r="EO40" s="92">
        <f>'[1]January -2020'!EQ40</f>
        <v>0</v>
      </c>
      <c r="EP40" s="233">
        <f>'[1]January -2020'!ER40</f>
        <v>0</v>
      </c>
      <c r="EQ40" s="92">
        <f>'[1]January -2020'!ES40</f>
        <v>0</v>
      </c>
      <c r="ER40" s="233">
        <f>'[1]January -2020'!ET40</f>
        <v>0</v>
      </c>
      <c r="ES40" s="555"/>
      <c r="ET40" s="287">
        <f>'[1]January -2020'!EV40</f>
        <v>0</v>
      </c>
      <c r="EU40" s="286">
        <f>'[1]January -2020'!$EW$11</f>
        <v>19.5</v>
      </c>
      <c r="EV40" s="285">
        <f>'[1]January -2020'!EX40</f>
        <v>0</v>
      </c>
      <c r="EW40" s="286">
        <f>'[1]January -2020'!EY40</f>
        <v>0</v>
      </c>
      <c r="EX40" s="285">
        <f>'[1]January -2020'!FB40</f>
        <v>0</v>
      </c>
      <c r="EY40" s="286">
        <f>'[1]January -2020'!FA40</f>
        <v>0</v>
      </c>
      <c r="EZ40" s="285">
        <f>'[1]January -2020'!EZ40</f>
        <v>0</v>
      </c>
      <c r="FA40" s="286">
        <f>'[1]January -2020'!FA40</f>
        <v>0</v>
      </c>
      <c r="FB40" s="285">
        <f>'[1]January -2020'!FD40</f>
        <v>0</v>
      </c>
      <c r="FC40" s="288">
        <f>'[1]January -2020'!FE40</f>
        <v>0</v>
      </c>
    </row>
    <row r="41" spans="1:160" s="29" customFormat="1" ht="14.25" customHeight="1" thickBot="1" x14ac:dyDescent="0.35">
      <c r="A41" s="426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8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9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30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516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518"/>
      <c r="DI41" s="518"/>
      <c r="DJ41" s="518"/>
      <c r="DK41" s="518"/>
      <c r="DL41" s="518"/>
      <c r="DM41" s="518"/>
      <c r="DN41" s="518"/>
      <c r="DO41" s="518"/>
      <c r="DP41" s="518"/>
      <c r="DQ41" s="518"/>
      <c r="DR41" s="519"/>
      <c r="DS41" s="533"/>
      <c r="DT41" s="534"/>
      <c r="DU41" s="535"/>
      <c r="DV41" s="535"/>
      <c r="DW41" s="535"/>
      <c r="DX41" s="535"/>
      <c r="DY41" s="535"/>
      <c r="DZ41" s="535"/>
      <c r="EA41" s="535"/>
      <c r="EB41" s="535"/>
      <c r="EC41" s="535"/>
      <c r="ED41" s="535"/>
      <c r="EE41" s="536"/>
      <c r="EF41" s="580"/>
      <c r="EG41" s="561"/>
      <c r="EH41" s="561"/>
      <c r="EI41" s="561"/>
      <c r="EJ41" s="561"/>
      <c r="EK41" s="561"/>
      <c r="EL41" s="561"/>
      <c r="EM41" s="561"/>
      <c r="EN41" s="561"/>
      <c r="EO41" s="561"/>
      <c r="EP41" s="561"/>
      <c r="EQ41" s="561"/>
      <c r="ER41" s="561"/>
      <c r="ES41" s="555"/>
      <c r="ET41" s="562"/>
      <c r="EU41" s="562"/>
      <c r="EV41" s="562"/>
      <c r="EW41" s="562"/>
      <c r="EX41" s="562"/>
      <c r="EY41" s="562"/>
      <c r="EZ41" s="562"/>
      <c r="FA41" s="562"/>
      <c r="FB41" s="562"/>
      <c r="FC41" s="562"/>
      <c r="FD41" s="28"/>
    </row>
    <row r="42" spans="1:160" ht="28.5" customHeight="1" thickBot="1" x14ac:dyDescent="0.35">
      <c r="A42" s="406" t="s">
        <v>136</v>
      </c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8"/>
      <c r="T42" s="409"/>
      <c r="U42" s="412" t="s">
        <v>110</v>
      </c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2"/>
      <c r="AN42" s="412"/>
      <c r="AO42" s="412"/>
      <c r="AP42" s="412"/>
      <c r="AQ42" s="412"/>
      <c r="AR42" s="412"/>
      <c r="AS42" s="412"/>
      <c r="AT42" s="412"/>
      <c r="AU42" s="412"/>
      <c r="AV42" s="412"/>
      <c r="AW42" s="412"/>
      <c r="AX42" s="412"/>
      <c r="AY42" s="413"/>
      <c r="AZ42" s="414" t="s">
        <v>137</v>
      </c>
      <c r="BA42" s="415"/>
      <c r="BB42" s="415"/>
      <c r="BC42" s="415"/>
      <c r="BD42" s="415"/>
      <c r="BE42" s="415"/>
      <c r="BF42" s="415"/>
      <c r="BG42" s="415"/>
      <c r="BH42" s="416"/>
      <c r="BI42" s="417"/>
      <c r="BJ42" s="418"/>
      <c r="BK42" s="418"/>
      <c r="BL42" s="418"/>
      <c r="BM42" s="418"/>
      <c r="BN42" s="418"/>
      <c r="BO42" s="418"/>
      <c r="BP42" s="418"/>
      <c r="BQ42" s="418"/>
      <c r="BR42" s="419"/>
      <c r="BS42" s="420" t="s">
        <v>138</v>
      </c>
      <c r="BT42" s="421"/>
      <c r="BU42" s="30"/>
      <c r="BV42" s="573" t="s">
        <v>111</v>
      </c>
      <c r="BW42" s="574"/>
      <c r="BX42" s="574"/>
      <c r="BY42" s="574"/>
      <c r="BZ42" s="574"/>
      <c r="CA42" s="574"/>
      <c r="CB42" s="574"/>
      <c r="CC42" s="574"/>
      <c r="CD42" s="574"/>
      <c r="CE42" s="574"/>
      <c r="CF42" s="574"/>
      <c r="CG42" s="574"/>
      <c r="CH42" s="574"/>
      <c r="CI42" s="574"/>
      <c r="CJ42" s="574"/>
      <c r="CK42" s="574"/>
      <c r="CL42" s="574"/>
      <c r="CM42" s="574"/>
      <c r="CN42" s="574"/>
      <c r="CO42" s="574"/>
      <c r="CP42" s="574"/>
      <c r="CQ42" s="574"/>
      <c r="CR42" s="574"/>
      <c r="CS42" s="574"/>
      <c r="CT42" s="574"/>
      <c r="CU42" s="575"/>
      <c r="CV42" s="516"/>
      <c r="CW42" s="422"/>
      <c r="CX42" s="423"/>
      <c r="CY42" s="423"/>
      <c r="CZ42" s="423"/>
      <c r="DA42" s="423"/>
      <c r="DB42" s="423"/>
      <c r="DC42" s="423"/>
      <c r="DD42" s="423"/>
      <c r="DE42" s="423"/>
      <c r="DF42" s="423"/>
      <c r="DG42" s="423"/>
      <c r="DH42" s="423"/>
      <c r="DI42" s="423"/>
      <c r="DJ42" s="423"/>
      <c r="DK42" s="423"/>
      <c r="DL42" s="423"/>
      <c r="DM42" s="423"/>
      <c r="DN42" s="423"/>
      <c r="DO42" s="423"/>
      <c r="DP42" s="423"/>
      <c r="DQ42" s="423"/>
      <c r="DR42" s="424"/>
      <c r="DS42" s="533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80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555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25" t="s">
        <v>31</v>
      </c>
      <c r="B43" s="425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139</v>
      </c>
      <c r="P43" s="385"/>
      <c r="Q43" s="385"/>
      <c r="R43" s="385"/>
      <c r="S43" s="385"/>
      <c r="T43" s="410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6" t="s">
        <v>140</v>
      </c>
      <c r="BA43" s="577"/>
      <c r="BB43" s="577"/>
      <c r="BC43" s="577" t="s">
        <v>141</v>
      </c>
      <c r="BD43" s="577"/>
      <c r="BE43" s="577"/>
      <c r="BF43" s="577" t="s">
        <v>142</v>
      </c>
      <c r="BG43" s="577"/>
      <c r="BH43" s="577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143</v>
      </c>
      <c r="BT43" s="389"/>
      <c r="BU43" s="394"/>
      <c r="BV43" s="395" t="s">
        <v>13</v>
      </c>
      <c r="BW43" s="396"/>
      <c r="BX43" s="97"/>
      <c r="BY43" s="397" t="s">
        <v>126</v>
      </c>
      <c r="BZ43" s="397"/>
      <c r="CA43" s="392" t="s">
        <v>127</v>
      </c>
      <c r="CB43" s="393"/>
      <c r="CC43" s="392" t="s">
        <v>128</v>
      </c>
      <c r="CD43" s="393"/>
      <c r="CE43" s="392" t="s">
        <v>129</v>
      </c>
      <c r="CF43" s="393"/>
      <c r="CG43" s="392" t="s">
        <v>130</v>
      </c>
      <c r="CH43" s="393"/>
      <c r="CI43" s="392" t="s">
        <v>131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144</v>
      </c>
      <c r="CR43" s="404"/>
      <c r="CS43" s="405"/>
      <c r="CT43" s="375" t="s">
        <v>145</v>
      </c>
      <c r="CU43" s="376"/>
      <c r="CV43" s="516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33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80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555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431" t="s">
        <v>146</v>
      </c>
      <c r="B44" s="431"/>
      <c r="C44" s="432">
        <f>SUM(E9:E24)</f>
        <v>9059</v>
      </c>
      <c r="D44" s="433"/>
      <c r="E44" s="434"/>
      <c r="F44" s="435">
        <f>SUM(H9:H24)</f>
        <v>6261</v>
      </c>
      <c r="G44" s="436"/>
      <c r="H44" s="437"/>
      <c r="I44" s="435"/>
      <c r="J44" s="437"/>
      <c r="K44" s="438"/>
      <c r="L44" s="439"/>
      <c r="M44" s="440"/>
      <c r="N44" s="440"/>
      <c r="O44" s="435">
        <f>SUM(Q9:Q24)</f>
        <v>1423</v>
      </c>
      <c r="P44" s="436"/>
      <c r="Q44" s="437"/>
      <c r="R44" s="441"/>
      <c r="S44" s="442"/>
      <c r="T44" s="410"/>
      <c r="U44" s="381">
        <f>SUM(W9:W24)</f>
        <v>35857.919999999554</v>
      </c>
      <c r="V44" s="382"/>
      <c r="W44" s="383"/>
      <c r="X44" s="381">
        <f>SUM(Z9:Z24)</f>
        <v>75759.320000000298</v>
      </c>
      <c r="Y44" s="382"/>
      <c r="Z44" s="383"/>
      <c r="AA44" s="381">
        <f>SUM(AC9:AC24)</f>
        <v>21826.679999999702</v>
      </c>
      <c r="AB44" s="382"/>
      <c r="AC44" s="383"/>
      <c r="AD44" s="381">
        <f>SUM(AF9:AF24)</f>
        <v>48086.320000000298</v>
      </c>
      <c r="AE44" s="382"/>
      <c r="AF44" s="383"/>
      <c r="AG44" s="381">
        <f>SUM(AI9:AI24)</f>
        <v>83311.199999999255</v>
      </c>
      <c r="AH44" s="382"/>
      <c r="AI44" s="383"/>
      <c r="AJ44" s="381">
        <f>SUM(AL9:AL24)</f>
        <v>86526.520000001416</v>
      </c>
      <c r="AK44" s="382"/>
      <c r="AL44" s="383"/>
      <c r="AM44" s="381">
        <f>SUM(AO9:AO24)</f>
        <v>64699.800000000745</v>
      </c>
      <c r="AN44" s="382"/>
      <c r="AO44" s="383"/>
      <c r="AP44" s="381">
        <f>SUM(AR9:AR24)</f>
        <v>76393.359999999404</v>
      </c>
      <c r="AQ44" s="382"/>
      <c r="AR44" s="383"/>
      <c r="AS44" s="381">
        <f>SUM(AU9:AU24)</f>
        <v>50522.400000000373</v>
      </c>
      <c r="AT44" s="382"/>
      <c r="AU44" s="383"/>
      <c r="AV44" s="381">
        <f>SUM(AX9:AX24)</f>
        <v>86282.88000000082</v>
      </c>
      <c r="AW44" s="382"/>
      <c r="AX44" s="382"/>
      <c r="AY44" s="387"/>
      <c r="AZ44" s="382">
        <f>SUM(BB9:BB24)</f>
        <v>86600</v>
      </c>
      <c r="BA44" s="382"/>
      <c r="BB44" s="382"/>
      <c r="BC44" s="381">
        <f>SUM(BE9:BE24)</f>
        <v>207200</v>
      </c>
      <c r="BD44" s="382"/>
      <c r="BE44" s="382"/>
      <c r="BF44" s="377">
        <f>SUM(BH9:BH24)</f>
        <v>377200</v>
      </c>
      <c r="BG44" s="377"/>
      <c r="BH44" s="377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394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77">
        <f>SUM(CM9:CM24)</f>
        <v>1265</v>
      </c>
      <c r="CL44" s="377"/>
      <c r="CM44" s="377"/>
      <c r="CN44" s="377">
        <f>SUM(CP9:CP24)</f>
        <v>1259</v>
      </c>
      <c r="CO44" s="377"/>
      <c r="CP44" s="377"/>
      <c r="CQ44" s="377">
        <f>SUM(CS9:CS24)</f>
        <v>5628</v>
      </c>
      <c r="CR44" s="377"/>
      <c r="CS44" s="377"/>
      <c r="CT44" s="102"/>
      <c r="CU44" s="198"/>
      <c r="CV44" s="516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33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80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555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592" t="s">
        <v>147</v>
      </c>
      <c r="B45" s="592"/>
      <c r="C45" s="593">
        <f>SUM(D9:D24)</f>
        <v>9098</v>
      </c>
      <c r="D45" s="593"/>
      <c r="E45" s="594"/>
      <c r="F45" s="593">
        <f>SUM(G9:G24)</f>
        <v>7030</v>
      </c>
      <c r="G45" s="593"/>
      <c r="H45" s="594"/>
      <c r="I45" s="595"/>
      <c r="J45" s="595"/>
      <c r="K45" s="595"/>
      <c r="L45" s="595"/>
      <c r="M45" s="595"/>
      <c r="N45" s="595"/>
      <c r="O45" s="593">
        <f>SUM(P9:P24)</f>
        <v>1080</v>
      </c>
      <c r="P45" s="593"/>
      <c r="Q45" s="594"/>
      <c r="R45" s="596"/>
      <c r="S45" s="597"/>
      <c r="T45" s="411"/>
      <c r="U45" s="366">
        <f>SUM(V9:V24)</f>
        <v>33373.200000000186</v>
      </c>
      <c r="V45" s="366"/>
      <c r="W45" s="367"/>
      <c r="X45" s="366">
        <f>SUM(Y9:Y24)</f>
        <v>73908.240000000224</v>
      </c>
      <c r="Y45" s="366"/>
      <c r="Z45" s="367"/>
      <c r="AA45" s="366">
        <f>SUM(AB9:AB24)</f>
        <v>56466.480000000447</v>
      </c>
      <c r="AB45" s="366"/>
      <c r="AC45" s="367"/>
      <c r="AD45" s="366">
        <f>SUM(AE9:AE24)</f>
        <v>28793.519999999553</v>
      </c>
      <c r="AE45" s="366"/>
      <c r="AF45" s="367"/>
      <c r="AG45" s="366">
        <f>SUM(AH9:AH24)</f>
        <v>34639.920000001788</v>
      </c>
      <c r="AH45" s="366"/>
      <c r="AI45" s="367"/>
      <c r="AJ45" s="366">
        <f>SUM(AK9:AK24)</f>
        <v>93932.160000000149</v>
      </c>
      <c r="AK45" s="366"/>
      <c r="AL45" s="367"/>
      <c r="AM45" s="366">
        <f>SUM(AN9:AN24)</f>
        <v>83153.339999999473</v>
      </c>
      <c r="AN45" s="366"/>
      <c r="AO45" s="367"/>
      <c r="AP45" s="366">
        <f>SUM(AQ9:AQ24)</f>
        <v>75564.720000000671</v>
      </c>
      <c r="AQ45" s="366"/>
      <c r="AR45" s="367"/>
      <c r="AS45" s="366">
        <f>SUM(AT9:AT24)</f>
        <v>49109.759999999776</v>
      </c>
      <c r="AT45" s="366"/>
      <c r="AU45" s="367"/>
      <c r="AV45" s="366">
        <f>SUM(AW9:AW24)</f>
        <v>81849.599999999627</v>
      </c>
      <c r="AW45" s="366"/>
      <c r="AX45" s="366"/>
      <c r="AY45" s="387"/>
      <c r="AZ45" s="367">
        <f>SUM(BA9:BA24)</f>
        <v>279100</v>
      </c>
      <c r="BA45" s="377"/>
      <c r="BB45" s="377"/>
      <c r="BC45" s="377">
        <f>SUM(BD9:BD24)</f>
        <v>126000</v>
      </c>
      <c r="BD45" s="377"/>
      <c r="BE45" s="377"/>
      <c r="BF45" s="377">
        <f>SUM(BG9:BG24)</f>
        <v>153400</v>
      </c>
      <c r="BG45" s="377"/>
      <c r="BH45" s="377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394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77">
        <f>SUM(CL9:CL24)</f>
        <v>1288.5999999999767</v>
      </c>
      <c r="CL45" s="377"/>
      <c r="CM45" s="377"/>
      <c r="CN45" s="377">
        <f>SUM(CO9:CO24)</f>
        <v>1591.8000000000029</v>
      </c>
      <c r="CO45" s="377"/>
      <c r="CP45" s="377"/>
      <c r="CQ45" s="377">
        <f>SUM(CR9:CR24)</f>
        <v>5062.2999999999884</v>
      </c>
      <c r="CR45" s="377"/>
      <c r="CS45" s="377"/>
      <c r="CT45" s="107"/>
      <c r="CU45" s="199"/>
      <c r="CV45" s="516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33"/>
      <c r="DT45" s="378" t="s">
        <v>108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387"/>
      <c r="AZ46" s="598">
        <f>AZ44-AZ45</f>
        <v>-192500</v>
      </c>
      <c r="BA46" s="599"/>
      <c r="BB46" s="599"/>
      <c r="BC46" s="598">
        <f>BC45-BC44</f>
        <v>-81200</v>
      </c>
      <c r="BD46" s="599"/>
      <c r="BE46" s="599"/>
      <c r="BF46" s="598">
        <f>BF45-BF44</f>
        <v>-223800</v>
      </c>
      <c r="BG46" s="599"/>
      <c r="BH46" s="5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6"/>
    </row>
    <row r="47" spans="1:160" ht="33.75" customHeight="1" x14ac:dyDescent="0.25">
      <c r="A47" s="374" t="s">
        <v>148</v>
      </c>
      <c r="B47" s="374"/>
      <c r="C47" s="362">
        <f>SUM(E9:E39)</f>
        <v>16039</v>
      </c>
      <c r="D47" s="363"/>
      <c r="E47" s="364"/>
      <c r="F47" s="362">
        <f>SUM(H9:H39)</f>
        <v>12007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2510</v>
      </c>
      <c r="P47" s="368"/>
      <c r="Q47" s="368"/>
      <c r="R47" s="362">
        <v>476</v>
      </c>
      <c r="S47" s="363"/>
      <c r="T47" s="369"/>
      <c r="U47" s="365">
        <f>SUM(W9:W39)</f>
        <v>75467.279999998951</v>
      </c>
      <c r="V47" s="366"/>
      <c r="W47" s="367"/>
      <c r="X47" s="365">
        <f>SUM(Z9:Z39)</f>
        <v>151859.95999999903</v>
      </c>
      <c r="Y47" s="366"/>
      <c r="Z47" s="367"/>
      <c r="AA47" s="365">
        <f>SUM(AC9:AC39)</f>
        <v>65772.120000000112</v>
      </c>
      <c r="AB47" s="366"/>
      <c r="AC47" s="367"/>
      <c r="AD47" s="365">
        <f>SUM(AF9:AF39)</f>
        <v>101337.27999999933</v>
      </c>
      <c r="AE47" s="366"/>
      <c r="AF47" s="367"/>
      <c r="AG47" s="365">
        <f>SUM(AI9:AI39)</f>
        <v>112689.36000000127</v>
      </c>
      <c r="AH47" s="366"/>
      <c r="AI47" s="367"/>
      <c r="AJ47" s="365">
        <f>SUM(AL9:AL39)</f>
        <v>174514.84000000171</v>
      </c>
      <c r="AK47" s="366"/>
      <c r="AL47" s="367"/>
      <c r="AM47" s="365">
        <f>SUM(AO9:AO39)</f>
        <v>127353.72000000067</v>
      </c>
      <c r="AN47" s="366"/>
      <c r="AO47" s="367"/>
      <c r="AP47" s="365">
        <f>SUM(AR9:AR39)</f>
        <v>150301.59999999963</v>
      </c>
      <c r="AQ47" s="366"/>
      <c r="AR47" s="367"/>
      <c r="AS47" s="365">
        <f>SUM(AU9:AU39)</f>
        <v>101045.03999999911</v>
      </c>
      <c r="AT47" s="366"/>
      <c r="AU47" s="367"/>
      <c r="AV47" s="365">
        <f>SUM(AX9:AX39)</f>
        <v>173394.24000000022</v>
      </c>
      <c r="AW47" s="366"/>
      <c r="AX47" s="366"/>
      <c r="AY47" s="387"/>
      <c r="AZ47" s="351">
        <v>347300</v>
      </c>
      <c r="BA47" s="351"/>
      <c r="BB47" s="352"/>
      <c r="BC47" s="350">
        <v>361100</v>
      </c>
      <c r="BD47" s="351"/>
      <c r="BE47" s="352"/>
      <c r="BF47" s="350">
        <v>558842</v>
      </c>
      <c r="BG47" s="351"/>
      <c r="BH47" s="35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03">
        <v>131110</v>
      </c>
      <c r="BT47" s="604"/>
      <c r="BU47" s="394"/>
      <c r="BV47" s="605"/>
      <c r="BW47" s="605"/>
      <c r="BX47" s="116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2564</v>
      </c>
      <c r="CL47" s="366"/>
      <c r="CM47" s="367"/>
      <c r="CN47" s="365">
        <f>SUM(CP9:CP39)</f>
        <v>2515</v>
      </c>
      <c r="CO47" s="366"/>
      <c r="CP47" s="367"/>
      <c r="CQ47" s="365">
        <f>SUM(CS9:CS39)</f>
        <v>11806</v>
      </c>
      <c r="CR47" s="366"/>
      <c r="CS47" s="367"/>
      <c r="CT47" s="600">
        <v>3894</v>
      </c>
      <c r="CU47" s="601"/>
      <c r="CV47" s="516"/>
      <c r="DJ47" s="4">
        <v>487.2</v>
      </c>
    </row>
    <row r="48" spans="1:160" ht="30" customHeight="1" x14ac:dyDescent="0.25">
      <c r="A48" s="341" t="s">
        <v>149</v>
      </c>
      <c r="B48" s="341"/>
      <c r="C48" s="362">
        <f>SUM(D10:D39)</f>
        <v>15519</v>
      </c>
      <c r="D48" s="363"/>
      <c r="E48" s="364"/>
      <c r="F48" s="362">
        <f>SUM(G9:G39)</f>
        <v>-685310</v>
      </c>
      <c r="G48" s="363"/>
      <c r="H48" s="364"/>
      <c r="I48" s="362">
        <f>SUM(J10:J39)</f>
        <v>-21111</v>
      </c>
      <c r="J48" s="364"/>
      <c r="K48" s="362">
        <f>SUM(L9:L39)</f>
        <v>-611938.4</v>
      </c>
      <c r="L48" s="364"/>
      <c r="M48" s="362"/>
      <c r="N48" s="364"/>
      <c r="O48" s="362">
        <f>SUM(P9:P39)</f>
        <v>-93738</v>
      </c>
      <c r="P48" s="363"/>
      <c r="Q48" s="364"/>
      <c r="R48" s="362">
        <f>SUM(S9:S39)</f>
        <v>-7002</v>
      </c>
      <c r="S48" s="363"/>
      <c r="T48" s="369"/>
      <c r="U48" s="370">
        <f>SUM(V9:V39)</f>
        <v>-5454545.04</v>
      </c>
      <c r="V48" s="371"/>
      <c r="W48" s="372"/>
      <c r="X48" s="370">
        <f>SUM(Y9:Y39)</f>
        <v>-10633042.559999999</v>
      </c>
      <c r="Y48" s="371"/>
      <c r="Z48" s="372"/>
      <c r="AA48" s="359">
        <f>SUM(AB9:AB39)</f>
        <v>-9746241.1199999992</v>
      </c>
      <c r="AB48" s="360"/>
      <c r="AC48" s="361"/>
      <c r="AD48" s="359">
        <f>SUM(AE9:AE39)</f>
        <v>-13136227.439999999</v>
      </c>
      <c r="AE48" s="360"/>
      <c r="AF48" s="361"/>
      <c r="AG48" s="359">
        <f>SUM(AH9:AH39)</f>
        <v>-13102074.719999999</v>
      </c>
      <c r="AH48" s="360"/>
      <c r="AI48" s="361"/>
      <c r="AJ48" s="359">
        <f>SUM(AK9:AK39)</f>
        <v>-11920273.68</v>
      </c>
      <c r="AK48" s="360"/>
      <c r="AL48" s="361"/>
      <c r="AM48" s="359">
        <f>SUM(AN9:AN39)</f>
        <v>-10387018.26</v>
      </c>
      <c r="AN48" s="360"/>
      <c r="AO48" s="361"/>
      <c r="AP48" s="359">
        <f>SUM(AQ9:AQ39)</f>
        <v>-10044115.199999999</v>
      </c>
      <c r="AQ48" s="360"/>
      <c r="AR48" s="361"/>
      <c r="AS48" s="359">
        <f>SUM(AT9:AT39)</f>
        <v>-8035828.0800000001</v>
      </c>
      <c r="AT48" s="360"/>
      <c r="AU48" s="361"/>
      <c r="AV48" s="359">
        <f>SUM(AW9:AW39)</f>
        <v>-11880956.640000001</v>
      </c>
      <c r="AW48" s="360"/>
      <c r="AX48" s="360"/>
      <c r="AY48" s="387"/>
      <c r="AZ48" s="351">
        <f>SUM(BA9:BA39)</f>
        <v>-49283900</v>
      </c>
      <c r="BA48" s="351"/>
      <c r="BB48" s="352"/>
      <c r="BC48" s="350">
        <f>SUM(BD9:BD39)</f>
        <v>-53881900</v>
      </c>
      <c r="BD48" s="351"/>
      <c r="BE48" s="117"/>
      <c r="BF48" s="350">
        <f>SUM(BT9:BT39)</f>
        <v>-3975240</v>
      </c>
      <c r="BG48" s="351"/>
      <c r="BH48" s="35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02">
        <f>SUM(BT9:BT39)</f>
        <v>-3975240</v>
      </c>
      <c r="BT48" s="602"/>
      <c r="BU48" s="394"/>
      <c r="BV48" s="606"/>
      <c r="BW48" s="607"/>
      <c r="BX48" s="119"/>
      <c r="BY48" s="347">
        <f>SUM(BZ9:BZ39)</f>
        <v>-44446.6</v>
      </c>
      <c r="BZ48" s="348"/>
      <c r="CA48" s="347">
        <f>SUM(CB9:CB39)</f>
        <v>-39319.800000000003</v>
      </c>
      <c r="CB48" s="348"/>
      <c r="CC48" s="347">
        <f>SUM(CD9:CD39)</f>
        <v>-13136</v>
      </c>
      <c r="CD48" s="348"/>
      <c r="CE48" s="347">
        <f>SUM(CF9:CF39)</f>
        <v>-16520.3</v>
      </c>
      <c r="CF48" s="348"/>
      <c r="CG48" s="347">
        <f>SUM(CH9:CH39)</f>
        <v>-18896.099999999999</v>
      </c>
      <c r="CH48" s="348"/>
      <c r="CI48" s="347">
        <f>SUM(CJ9:CJ39)</f>
        <v>-40193.599999999999</v>
      </c>
      <c r="CJ48" s="348"/>
      <c r="CK48" s="347">
        <f>SUM(CL9:CL39)</f>
        <v>-173910.2</v>
      </c>
      <c r="CL48" s="349"/>
      <c r="CM48" s="348"/>
      <c r="CN48" s="347">
        <f>SUM(CO9:CO39)</f>
        <v>-125050.5</v>
      </c>
      <c r="CO48" s="349"/>
      <c r="CP48" s="348"/>
      <c r="CQ48" s="347">
        <f>SUM(CR9:CR39)</f>
        <v>-233022.7</v>
      </c>
      <c r="CR48" s="349"/>
      <c r="CS48" s="348"/>
      <c r="CT48" s="347">
        <f>SUM(CU9:CU39)</f>
        <v>-470923</v>
      </c>
      <c r="CU48" s="349"/>
      <c r="CV48" s="516"/>
    </row>
    <row r="49" spans="1:159" ht="30" customHeight="1" x14ac:dyDescent="0.25">
      <c r="A49" s="608" t="s">
        <v>46</v>
      </c>
      <c r="B49" s="608"/>
      <c r="C49" s="342">
        <f>C47-C48</f>
        <v>520</v>
      </c>
      <c r="D49" s="343"/>
      <c r="E49" s="358"/>
      <c r="F49" s="342">
        <f>F47-F48</f>
        <v>697317</v>
      </c>
      <c r="G49" s="343"/>
      <c r="H49" s="358"/>
      <c r="I49" s="342">
        <f>I47-I48</f>
        <v>28159.9</v>
      </c>
      <c r="J49" s="358"/>
      <c r="K49" s="342">
        <f>K47-K48</f>
        <v>619640.60000000009</v>
      </c>
      <c r="L49" s="358"/>
      <c r="M49" s="342"/>
      <c r="N49" s="358"/>
      <c r="O49" s="373">
        <f>O47-O48</f>
        <v>96248</v>
      </c>
      <c r="P49" s="373"/>
      <c r="Q49" s="373"/>
      <c r="R49" s="342">
        <f>R47-R48</f>
        <v>7478</v>
      </c>
      <c r="S49" s="343"/>
      <c r="T49" s="369"/>
      <c r="U49" s="344">
        <f>U48-U47</f>
        <v>-5530012.3199999994</v>
      </c>
      <c r="V49" s="345"/>
      <c r="W49" s="346"/>
      <c r="X49" s="344">
        <f>X47-X48</f>
        <v>10784902.519999998</v>
      </c>
      <c r="Y49" s="345"/>
      <c r="Z49" s="346"/>
      <c r="AA49" s="344">
        <f>AA47-AA48</f>
        <v>9812013.2399999984</v>
      </c>
      <c r="AB49" s="345"/>
      <c r="AC49" s="346"/>
      <c r="AD49" s="344">
        <f>AD47-AD48</f>
        <v>13237564.719999999</v>
      </c>
      <c r="AE49" s="345"/>
      <c r="AF49" s="346"/>
      <c r="AG49" s="344">
        <f>AG47-AG48</f>
        <v>13214764.08</v>
      </c>
      <c r="AH49" s="345"/>
      <c r="AI49" s="346"/>
      <c r="AJ49" s="344">
        <f>AJ47-AJ48</f>
        <v>12094788.520000001</v>
      </c>
      <c r="AK49" s="345"/>
      <c r="AL49" s="346"/>
      <c r="AM49" s="344">
        <f>AM47-AM48</f>
        <v>10514371.98</v>
      </c>
      <c r="AN49" s="345"/>
      <c r="AO49" s="346"/>
      <c r="AP49" s="344">
        <f>AP47-AP48</f>
        <v>10194416.799999999</v>
      </c>
      <c r="AQ49" s="345"/>
      <c r="AR49" s="346"/>
      <c r="AS49" s="344">
        <f>AS47-AS48</f>
        <v>8136873.1199999992</v>
      </c>
      <c r="AT49" s="345"/>
      <c r="AU49" s="346"/>
      <c r="AV49" s="344">
        <f>AV47-AV48</f>
        <v>12054350.880000001</v>
      </c>
      <c r="AW49" s="345"/>
      <c r="AX49" s="345"/>
      <c r="AY49" s="387"/>
      <c r="AZ49" s="351">
        <f>AZ48-AZ47</f>
        <v>-49631200</v>
      </c>
      <c r="BA49" s="351"/>
      <c r="BB49" s="352"/>
      <c r="BC49" s="350">
        <f>BC48-BC47</f>
        <v>-54243000</v>
      </c>
      <c r="BD49" s="351"/>
      <c r="BE49" s="117"/>
      <c r="BF49" s="350">
        <f>BF48-BF47</f>
        <v>-4534082</v>
      </c>
      <c r="BG49" s="351"/>
      <c r="BH49" s="35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50"/>
      <c r="BT49" s="352"/>
      <c r="BU49" s="394"/>
      <c r="BV49" s="353"/>
      <c r="BW49" s="35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55">
        <f>CK47-CK48</f>
        <v>176474.2</v>
      </c>
      <c r="CL49" s="356"/>
      <c r="CM49" s="357"/>
      <c r="CN49" s="355">
        <f>CN47-CN48</f>
        <v>127565.5</v>
      </c>
      <c r="CO49" s="356"/>
      <c r="CP49" s="357"/>
      <c r="CQ49" s="355">
        <f>CQ47-CQ48</f>
        <v>244828.7</v>
      </c>
      <c r="CR49" s="356"/>
      <c r="CS49" s="357"/>
      <c r="CT49" s="609">
        <f>CT47-CT48</f>
        <v>474817</v>
      </c>
      <c r="CU49" s="355"/>
      <c r="CV49" s="516"/>
    </row>
    <row r="50" spans="1:159" ht="31.5" customHeight="1" thickBot="1" x14ac:dyDescent="0.3">
      <c r="A50" s="610" t="s">
        <v>150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151</v>
      </c>
      <c r="V50" s="612"/>
      <c r="W50" s="612"/>
      <c r="X50" s="612"/>
      <c r="Y50" s="612"/>
      <c r="Z50" s="613"/>
      <c r="AA50" s="330">
        <f>SUM(U47,X47,AA47,AD47,AG47,AJ47,AM47,AP47,AS47,AV47)</f>
        <v>1233735.44</v>
      </c>
      <c r="AB50" s="331"/>
      <c r="AC50" s="331"/>
      <c r="AD50" s="331"/>
      <c r="AE50" s="331"/>
      <c r="AF50" s="332"/>
      <c r="AG50" s="614" t="s">
        <v>152</v>
      </c>
      <c r="AH50" s="615"/>
      <c r="AI50" s="615"/>
      <c r="AJ50" s="615"/>
      <c r="AK50" s="615"/>
      <c r="AL50" s="616"/>
      <c r="AM50" s="617">
        <f>SUM(U48,X48,AA48,AD48,AG48,AJ48,AM48,AP48,AS48,AV48)</f>
        <v>-104340322.73999999</v>
      </c>
      <c r="AN50" s="618"/>
      <c r="AO50" s="618"/>
      <c r="AP50" s="618"/>
      <c r="AQ50" s="618"/>
      <c r="AR50" s="619"/>
      <c r="AS50" s="337" t="s">
        <v>153</v>
      </c>
      <c r="AT50" s="338"/>
      <c r="AU50" s="339"/>
      <c r="AV50" s="337">
        <f>AA50-AM50</f>
        <v>105574058.17999999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13"/>
      <c r="BT50" s="314"/>
      <c r="BU50" s="394"/>
      <c r="BV50" s="353"/>
      <c r="BW50" s="35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7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154</v>
      </c>
      <c r="V51" s="328"/>
      <c r="W51" s="328"/>
      <c r="X51" s="328"/>
      <c r="Y51" s="328"/>
      <c r="Z51" s="329"/>
      <c r="AA51" s="330">
        <f>SUM(U44:AX44)</f>
        <v>629266.40000000189</v>
      </c>
      <c r="AB51" s="331"/>
      <c r="AC51" s="331"/>
      <c r="AD51" s="331"/>
      <c r="AE51" s="331"/>
      <c r="AF51" s="332"/>
      <c r="AG51" s="333" t="s">
        <v>155</v>
      </c>
      <c r="AH51" s="334"/>
      <c r="AI51" s="334"/>
      <c r="AJ51" s="334"/>
      <c r="AK51" s="334"/>
      <c r="AL51" s="335"/>
      <c r="AM51" s="336">
        <f>SUM(U45:AX45)</f>
        <v>610790.94000000192</v>
      </c>
      <c r="AN51" s="336"/>
      <c r="AO51" s="336"/>
      <c r="AP51" s="336"/>
      <c r="AQ51" s="336"/>
      <c r="AR51" s="336"/>
      <c r="AS51" s="337" t="s">
        <v>153</v>
      </c>
      <c r="AT51" s="338"/>
      <c r="AU51" s="339"/>
      <c r="AV51" s="337">
        <f>AA51-AM51</f>
        <v>18475.459999999963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-107141040</v>
      </c>
      <c r="BD51" s="312"/>
      <c r="BE51" s="340"/>
      <c r="BF51" s="311">
        <v>643100</v>
      </c>
      <c r="BG51" s="312"/>
      <c r="BH51" s="312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13"/>
      <c r="BT51" s="314"/>
      <c r="BU51" s="394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5"/>
      <c r="L52" s="316"/>
      <c r="M52" s="316"/>
      <c r="N52" s="316"/>
      <c r="O52" s="316"/>
      <c r="P52" s="36"/>
      <c r="Q52" s="36"/>
      <c r="R52" s="126"/>
      <c r="S52" s="37"/>
      <c r="T52" s="38"/>
      <c r="U52" s="318"/>
      <c r="V52" s="318"/>
      <c r="W52" s="39"/>
      <c r="X52" s="319"/>
      <c r="Y52" s="319"/>
      <c r="Z52" s="7"/>
      <c r="AA52" s="127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9"/>
      <c r="T54" s="38"/>
      <c r="U54" s="324"/>
      <c r="V54" s="324"/>
      <c r="W54" s="324"/>
      <c r="X54" s="324"/>
      <c r="Y54" s="324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25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23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22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0"/>
      <c r="D58" s="158"/>
      <c r="E58" s="301"/>
      <c r="F58" s="45"/>
      <c r="G58" s="301"/>
      <c r="H58" s="129"/>
      <c r="I58" s="300"/>
      <c r="J58" s="162"/>
      <c r="K58" s="300"/>
      <c r="L58" s="165"/>
      <c r="M58" s="300"/>
      <c r="N58" s="162"/>
      <c r="O58" s="300"/>
      <c r="P58" s="162"/>
      <c r="Q58" s="301"/>
      <c r="R58" s="130"/>
      <c r="S58" s="143"/>
      <c r="T58" s="47"/>
      <c r="U58" s="130"/>
      <c r="V58" s="48"/>
      <c r="W58" s="301"/>
      <c r="X58" s="325"/>
      <c r="Y58" s="61"/>
      <c r="Z58" s="301"/>
      <c r="AA58" s="49"/>
      <c r="AB58" s="305"/>
      <c r="AC58" s="45"/>
      <c r="AD58" s="300"/>
      <c r="AE58" s="143"/>
      <c r="AF58" s="301"/>
      <c r="AG58" s="45"/>
      <c r="AH58" s="301"/>
      <c r="AI58" s="45"/>
      <c r="AJ58" s="300"/>
      <c r="AK58" s="323"/>
      <c r="AL58" s="51"/>
      <c r="AM58" s="300"/>
      <c r="AN58" s="173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80"/>
      <c r="BB58" s="301"/>
      <c r="BC58" s="55"/>
      <c r="BD58" s="308"/>
      <c r="BE58" s="55"/>
      <c r="BF58" s="300"/>
      <c r="BG58" s="180"/>
      <c r="BH58" s="301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0"/>
      <c r="D59" s="159"/>
      <c r="E59" s="301"/>
      <c r="F59" s="57"/>
      <c r="G59" s="301"/>
      <c r="H59" s="131"/>
      <c r="I59" s="300"/>
      <c r="J59" s="146"/>
      <c r="K59" s="300"/>
      <c r="L59" s="146"/>
      <c r="M59" s="300"/>
      <c r="N59" s="167"/>
      <c r="O59" s="300"/>
      <c r="P59" s="162"/>
      <c r="Q59" s="301"/>
      <c r="R59" s="130"/>
      <c r="S59" s="143"/>
      <c r="T59" s="47"/>
      <c r="U59" s="130"/>
      <c r="V59" s="48"/>
      <c r="W59" s="301"/>
      <c r="X59" s="325"/>
      <c r="Y59" s="146"/>
      <c r="Z59" s="301"/>
      <c r="AA59" s="49"/>
      <c r="AB59" s="305"/>
      <c r="AC59" s="57"/>
      <c r="AD59" s="300"/>
      <c r="AE59" s="143"/>
      <c r="AF59" s="301"/>
      <c r="AG59" s="57"/>
      <c r="AH59" s="301"/>
      <c r="AI59" s="57"/>
      <c r="AJ59" s="300"/>
      <c r="AK59" s="323"/>
      <c r="AL59" s="51"/>
      <c r="AM59" s="300"/>
      <c r="AN59" s="174"/>
      <c r="AO59" s="301"/>
      <c r="AP59" s="52"/>
      <c r="AQ59" s="301"/>
      <c r="AR59" s="58"/>
      <c r="AS59" s="300"/>
      <c r="AT59" s="174"/>
      <c r="AU59" s="301"/>
      <c r="AV59" s="59"/>
      <c r="AW59" s="305"/>
      <c r="AX59" s="322"/>
      <c r="AY59" s="60"/>
      <c r="AZ59" s="300"/>
      <c r="BA59" s="180"/>
      <c r="BB59" s="301"/>
      <c r="BC59" s="55"/>
      <c r="BD59" s="308"/>
      <c r="BE59" s="55"/>
      <c r="BF59" s="300"/>
      <c r="BG59" s="180"/>
      <c r="BH59" s="301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23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22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25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23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22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23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22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23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22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25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23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22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25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23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22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25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23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22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25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23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22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25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23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22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25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23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22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25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23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22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25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23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22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25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23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22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25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23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22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25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23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22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25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23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22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25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23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22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25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23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22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25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23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22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25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23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22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25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23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22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25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23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22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25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23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22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23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22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23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22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23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22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23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22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23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22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23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22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23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22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25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23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22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25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23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22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25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23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22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2020-01-23T06:41:18Z</dcterms:modified>
</cp:coreProperties>
</file>