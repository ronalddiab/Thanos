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filterPrivacy="1" defaultThemeVersion="124226"/>
  <xr:revisionPtr revIDLastSave="0" documentId="13_ncr:1_{6B6BAB15-0D92-427D-AC3F-DD72D9885CD5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R23" i="2"/>
  <c r="Q23" i="2"/>
  <c r="P23" i="2"/>
  <c r="O23" i="2"/>
  <c r="N23" i="2"/>
  <c r="M23" i="2"/>
  <c r="K23" i="2"/>
  <c r="J23" i="2"/>
  <c r="I23" i="2"/>
  <c r="G22" i="4" s="1"/>
  <c r="H23" i="2"/>
  <c r="G23" i="2"/>
  <c r="F23" i="2"/>
  <c r="E23" i="2"/>
  <c r="D23" i="2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H17" i="8" s="1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J33" i="4" s="1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E3" i="3" s="1"/>
  <c r="B4" i="3"/>
  <c r="B5" i="3"/>
  <c r="B6" i="3"/>
  <c r="B7" i="3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D22" i="3" s="1"/>
  <c r="B23" i="3"/>
  <c r="D23" i="3" s="1"/>
  <c r="B24" i="3"/>
  <c r="B25" i="3"/>
  <c r="B26" i="3"/>
  <c r="B27" i="3"/>
  <c r="B28" i="3"/>
  <c r="C28" i="3" s="1"/>
  <c r="B29" i="3"/>
  <c r="B30" i="3"/>
  <c r="B31" i="3"/>
  <c r="B32" i="3"/>
  <c r="B33" i="3"/>
  <c r="B3" i="3"/>
  <c r="C3" i="3" s="1"/>
  <c r="D3" i="4"/>
  <c r="I34" i="2"/>
  <c r="H34" i="2"/>
  <c r="G34" i="2"/>
  <c r="F34" i="2"/>
  <c r="E34" i="2"/>
  <c r="C33" i="2"/>
  <c r="C32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N17" i="8" s="1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L14" i="8" s="1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7" i="2"/>
  <c r="C6" i="4" s="1"/>
  <c r="C12" i="2"/>
  <c r="D11" i="3" s="1"/>
  <c r="C13" i="2"/>
  <c r="C12" i="4" s="1"/>
  <c r="C14" i="2"/>
  <c r="C13" i="4" s="1"/>
  <c r="C15" i="2"/>
  <c r="C14" i="4" s="1"/>
  <c r="C16" i="2"/>
  <c r="D15" i="3" s="1"/>
  <c r="C17" i="4"/>
  <c r="C20" i="2"/>
  <c r="C25" i="2"/>
  <c r="C24" i="4" s="1"/>
  <c r="C26" i="2"/>
  <c r="C27" i="2"/>
  <c r="C26" i="4" s="1"/>
  <c r="C28" i="2"/>
  <c r="C27" i="4" s="1"/>
  <c r="C29" i="2"/>
  <c r="C30" i="2"/>
  <c r="D29" i="3" s="1"/>
  <c r="C31" i="2"/>
  <c r="C30" i="4" s="1"/>
  <c r="C32" i="2"/>
  <c r="C31" i="4" s="1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F4" i="3" s="1"/>
  <c r="E6" i="2"/>
  <c r="E5" i="4" s="1"/>
  <c r="E7" i="2"/>
  <c r="E6" i="4" s="1"/>
  <c r="E7" i="4"/>
  <c r="E11" i="2"/>
  <c r="E12" i="2"/>
  <c r="E11" i="4" s="1"/>
  <c r="E13" i="2"/>
  <c r="E12" i="4" s="1"/>
  <c r="E14" i="2"/>
  <c r="F13" i="3" s="1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0" i="4" s="1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23" i="4"/>
  <c r="C25" i="4"/>
  <c r="D7" i="3"/>
  <c r="E22" i="4"/>
  <c r="H7" i="4"/>
  <c r="C5" i="4"/>
  <c r="K22" i="4"/>
  <c r="J7" i="4"/>
  <c r="C16" i="4"/>
  <c r="C19" i="4"/>
  <c r="C22" i="4"/>
  <c r="K8" i="4"/>
  <c r="J22" i="4"/>
  <c r="E18" i="3"/>
  <c r="D16" i="3"/>
  <c r="G8" i="4"/>
  <c r="X22" i="8" l="1"/>
  <c r="C9" i="4"/>
  <c r="V10" i="2"/>
  <c r="E28" i="3"/>
  <c r="C10" i="4"/>
  <c r="V11" i="2"/>
  <c r="E19" i="3"/>
  <c r="G17" i="4"/>
  <c r="F13" i="8"/>
  <c r="D26" i="3"/>
  <c r="V9" i="2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M9" i="3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M10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M8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<sst xmlns="http://schemas.openxmlformats.org/spreadsheetml/2006/main" count="201" uniqueCount="128">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</sst>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-449370</c:v>
                </c:pt>
                <c:pt idx="1">
                  <c:v>-2528500.0000000005</c:v>
                </c:pt>
                <c:pt idx="2">
                  <c:v>-244760</c:v>
                </c:pt>
                <c:pt idx="3">
                  <c:v>-938450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-55314</c:v>
                </c:pt>
                <c:pt idx="1">
                  <c:v>0.17090578769789774</c:v>
                </c:pt>
                <c:pt idx="2" formatCode="_(* #,##0.00_);_(* \(#,##0.00\);_(* &quot;-&quot;??_);_(@_)">
                  <c:v>-211984</c:v>
                </c:pt>
                <c:pt idx="3">
                  <c:v>0.65497509670881071</c:v>
                </c:pt>
                <c:pt idx="4" formatCode="0.00">
                  <c:v>-27660</c:v>
                </c:pt>
                <c:pt idx="5">
                  <c:v>8.5462163064031732E-2</c:v>
                </c:pt>
                <c:pt idx="6" formatCode="0.00">
                  <c:v>-37781</c:v>
                </c:pt>
                <c:pt idx="7">
                  <c:v>0.1167334050152633</c:v>
                </c:pt>
                <c:pt idx="8" formatCode="0.00">
                  <c:v>-6604</c:v>
                </c:pt>
                <c:pt idx="9">
                  <c:v>2.0404632135750743E-2</c:v>
                </c:pt>
                <c:pt idx="10" formatCode="0.00">
                  <c:v>-913</c:v>
                </c:pt>
                <c:pt idx="11">
                  <c:v>2.8209311235524574E-3</c:v>
                </c:pt>
                <c:pt idx="12" formatCode="0.00">
                  <c:v>-66981</c:v>
                </c:pt>
                <c:pt idx="13">
                  <c:v>0.20695376515516667</c:v>
                </c:pt>
                <c:pt idx="14" formatCode="_(* #,##0.00_);_(* \(#,##0.00\);_(* &quot;-&quot;??_);_(@_)">
                  <c:v>-251513</c:v>
                </c:pt>
                <c:pt idx="15">
                  <c:v>0.77710936437902434</c:v>
                </c:pt>
                <c:pt idx="16" formatCode="0.00">
                  <c:v>-112781</c:v>
                </c:pt>
                <c:pt idx="17">
                  <c:v>0.34846378208693291</c:v>
                </c:pt>
                <c:pt idx="18" formatCode="0.00">
                  <c:v>-21005</c:v>
                </c:pt>
                <c:pt idx="19">
                  <c:v>6.4899954271872257E-2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-323652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094976"/>
        <c:axId val="214096512"/>
      </c:barChart>
      <c:catAx>
        <c:axId val="21409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214096512"/>
        <c:crosses val="autoZero"/>
        <c:auto val="1"/>
        <c:lblAlgn val="ctr"/>
        <c:lblOffset val="100"/>
        <c:noMultiLvlLbl val="0"/>
      </c:catAx>
      <c:valAx>
        <c:axId val="21409651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4094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3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9</v>
      </c>
      <c r="D2" s="46">
        <v>2021</v>
      </c>
      <c r="E2" s="107">
        <v>22650.000000000546</v>
      </c>
      <c r="F2" s="48">
        <v>0.15</v>
      </c>
      <c r="G2" s="107">
        <v>5920</v>
      </c>
      <c r="H2" s="48">
        <v>0.5927</v>
      </c>
      <c r="I2" s="65">
        <v>220</v>
      </c>
      <c r="J2" s="76">
        <v>1.133</v>
      </c>
      <c r="K2" s="108"/>
      <c r="L2" s="76"/>
      <c r="M2" s="72">
        <v>13</v>
      </c>
      <c r="N2" s="72">
        <v>28</v>
      </c>
      <c r="O2" s="72">
        <v>98</v>
      </c>
    </row>
    <row r="3" spans="1:15" ht="15" x14ac:dyDescent="0.25">
      <c r="A3" s="45" t="s">
        <v>9</v>
      </c>
      <c r="B3" s="46">
        <f>B2+1</f>
        <v>2</v>
      </c>
      <c r="C3" s="47">
        <v>9</v>
      </c>
      <c r="D3" s="46">
        <v>2021</v>
      </c>
      <c r="E3" s="107">
        <v>21689.999999998465</v>
      </c>
      <c r="F3" s="48">
        <v>0.15</v>
      </c>
      <c r="G3" s="107">
        <v>6118</v>
      </c>
      <c r="H3" s="48">
        <v>0.5927</v>
      </c>
      <c r="I3" s="65">
        <v>233</v>
      </c>
      <c r="J3" s="76">
        <v>1.133</v>
      </c>
      <c r="K3" s="108"/>
      <c r="L3" s="76"/>
      <c r="M3" s="72">
        <v>11</v>
      </c>
      <c r="N3" s="72">
        <v>27</v>
      </c>
      <c r="O3" s="72">
        <v>73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9</v>
      </c>
      <c r="D4" s="46">
        <v>2021</v>
      </c>
      <c r="E4" s="107">
        <v>20050.000000002001</v>
      </c>
      <c r="F4" s="48">
        <v>0.15</v>
      </c>
      <c r="G4" s="107">
        <v>5598</v>
      </c>
      <c r="H4" s="48">
        <v>0.5927</v>
      </c>
      <c r="I4" s="65">
        <v>232</v>
      </c>
      <c r="J4" s="76">
        <v>1.133</v>
      </c>
      <c r="K4" s="108"/>
      <c r="L4" s="76"/>
      <c r="M4" s="72">
        <v>15</v>
      </c>
      <c r="N4" s="72">
        <v>32</v>
      </c>
      <c r="O4" s="72">
        <v>94</v>
      </c>
    </row>
    <row r="5" spans="1:15" ht="15" x14ac:dyDescent="0.25">
      <c r="A5" s="45" t="s">
        <v>9</v>
      </c>
      <c r="B5" s="46">
        <f t="shared" si="0"/>
        <v>4</v>
      </c>
      <c r="C5" s="47">
        <v>9</v>
      </c>
      <c r="D5" s="46">
        <v>2021</v>
      </c>
      <c r="E5" s="107">
        <v>21669.999999999163</v>
      </c>
      <c r="F5" s="48">
        <v>0.15</v>
      </c>
      <c r="G5" s="107">
        <v>5838</v>
      </c>
      <c r="H5" s="48">
        <v>0.5927</v>
      </c>
      <c r="I5" s="65">
        <v>229</v>
      </c>
      <c r="J5" s="76">
        <v>1.133</v>
      </c>
      <c r="K5" s="108"/>
      <c r="L5" s="76"/>
      <c r="M5" s="72">
        <v>17</v>
      </c>
      <c r="N5" s="72">
        <v>36</v>
      </c>
      <c r="O5" s="72">
        <v>98</v>
      </c>
    </row>
    <row r="6" spans="1:15" ht="15" x14ac:dyDescent="0.25">
      <c r="A6" s="45" t="s">
        <v>9</v>
      </c>
      <c r="B6" s="46">
        <f t="shared" si="0"/>
        <v>5</v>
      </c>
      <c r="C6" s="47">
        <v>9</v>
      </c>
      <c r="D6" s="46">
        <v>2021</v>
      </c>
      <c r="E6" s="107">
        <v>21990.000000000466</v>
      </c>
      <c r="F6" s="48">
        <v>0.15</v>
      </c>
      <c r="G6" s="107">
        <v>6009</v>
      </c>
      <c r="H6" s="48">
        <v>0.5927</v>
      </c>
      <c r="I6" s="65">
        <v>243</v>
      </c>
      <c r="J6" s="76">
        <v>1.133</v>
      </c>
      <c r="K6" s="108"/>
      <c r="L6" s="76"/>
      <c r="M6" s="72">
        <v>16</v>
      </c>
      <c r="N6" s="72">
        <v>35</v>
      </c>
      <c r="O6" s="72">
        <v>89</v>
      </c>
    </row>
    <row r="7" spans="1:15" ht="15" x14ac:dyDescent="0.25">
      <c r="A7" s="45" t="s">
        <v>9</v>
      </c>
      <c r="B7" s="46">
        <f t="shared" si="0"/>
        <v>6</v>
      </c>
      <c r="C7" s="47">
        <v>9</v>
      </c>
      <c r="D7" s="46">
        <v>2021</v>
      </c>
      <c r="E7" s="107">
        <v>23189.99999999869</v>
      </c>
      <c r="F7" s="48">
        <v>0.15</v>
      </c>
      <c r="G7" s="107">
        <v>6104</v>
      </c>
      <c r="H7" s="48">
        <v>0.5927</v>
      </c>
      <c r="I7" s="65">
        <v>243</v>
      </c>
      <c r="J7" s="76">
        <v>1.133</v>
      </c>
      <c r="K7" s="108"/>
      <c r="L7" s="76"/>
      <c r="M7" s="72">
        <v>21</v>
      </c>
      <c r="N7" s="72">
        <v>45</v>
      </c>
      <c r="O7" s="72">
        <v>124</v>
      </c>
    </row>
    <row r="8" spans="1:15" ht="15" x14ac:dyDescent="0.25">
      <c r="A8" s="45" t="s">
        <v>9</v>
      </c>
      <c r="B8" s="46">
        <f t="shared" si="0"/>
        <v>7</v>
      </c>
      <c r="C8" s="47">
        <v>9</v>
      </c>
      <c r="D8" s="46">
        <v>2021</v>
      </c>
      <c r="E8" s="107">
        <v>22320.000000001754</v>
      </c>
      <c r="F8" s="48">
        <v>0.15</v>
      </c>
      <c r="G8" s="107">
        <v>5959</v>
      </c>
      <c r="H8" s="48">
        <v>0.5927</v>
      </c>
      <c r="I8" s="65">
        <v>229</v>
      </c>
      <c r="J8" s="76">
        <v>1.133</v>
      </c>
      <c r="K8" s="108"/>
      <c r="L8" s="76"/>
      <c r="M8" s="72">
        <v>21</v>
      </c>
      <c r="N8" s="72">
        <v>47</v>
      </c>
      <c r="O8" s="72">
        <v>123</v>
      </c>
    </row>
    <row r="9" spans="1:15" ht="15" x14ac:dyDescent="0.25">
      <c r="A9" s="45" t="s">
        <v>9</v>
      </c>
      <c r="B9" s="46">
        <f t="shared" si="0"/>
        <v>8</v>
      </c>
      <c r="C9" s="47">
        <v>9</v>
      </c>
      <c r="D9" s="46">
        <v>2021</v>
      </c>
      <c r="E9" s="107">
        <v>19900.00000000032</v>
      </c>
      <c r="F9" s="48">
        <v>0.15</v>
      </c>
      <c r="G9" s="107">
        <v>5802</v>
      </c>
      <c r="H9" s="48">
        <v>0.5927</v>
      </c>
      <c r="I9" s="65">
        <v>232</v>
      </c>
      <c r="J9" s="76">
        <v>1.133</v>
      </c>
      <c r="K9" s="108"/>
      <c r="L9" s="76"/>
      <c r="M9" s="72">
        <v>21</v>
      </c>
      <c r="N9" s="72">
        <v>46</v>
      </c>
      <c r="O9" s="72">
        <v>136</v>
      </c>
    </row>
    <row r="10" spans="1:15" ht="15" x14ac:dyDescent="0.25">
      <c r="A10" s="45" t="s">
        <v>9</v>
      </c>
      <c r="B10" s="46">
        <f t="shared" si="0"/>
        <v>9</v>
      </c>
      <c r="C10" s="47">
        <v>9</v>
      </c>
      <c r="D10" s="46">
        <v>2021</v>
      </c>
      <c r="E10" s="107">
        <v>20219.999999997981</v>
      </c>
      <c r="F10" s="48">
        <v>0.15</v>
      </c>
      <c r="G10" s="107">
        <v>5841</v>
      </c>
      <c r="H10" s="48">
        <v>0.5927</v>
      </c>
      <c r="I10" s="65">
        <v>334</v>
      </c>
      <c r="J10" s="76">
        <v>1.133</v>
      </c>
      <c r="K10" s="108"/>
      <c r="L10" s="76"/>
      <c r="M10" s="72">
        <v>23</v>
      </c>
      <c r="N10" s="72">
        <v>52</v>
      </c>
      <c r="O10" s="72">
        <v>133</v>
      </c>
    </row>
    <row r="11" spans="1:15" ht="15" x14ac:dyDescent="0.25">
      <c r="A11" s="45" t="s">
        <v>9</v>
      </c>
      <c r="B11" s="46">
        <f t="shared" si="0"/>
        <v>10</v>
      </c>
      <c r="C11" s="47">
        <v>9</v>
      </c>
      <c r="D11" s="46">
        <v>2021</v>
      </c>
      <c r="E11" s="107">
        <v>21210.00000000163</v>
      </c>
      <c r="F11" s="48">
        <v>0.15</v>
      </c>
      <c r="G11" s="107">
        <v>5400</v>
      </c>
      <c r="H11" s="48">
        <v>0.5927</v>
      </c>
      <c r="I11" s="65">
        <v>226</v>
      </c>
      <c r="J11" s="76">
        <v>1.133</v>
      </c>
      <c r="K11" s="108"/>
      <c r="L11" s="76"/>
      <c r="M11" s="72">
        <v>23</v>
      </c>
      <c r="N11" s="72">
        <v>54</v>
      </c>
      <c r="O11" s="72">
        <v>150</v>
      </c>
    </row>
    <row r="12" spans="1:15" ht="15" x14ac:dyDescent="0.25">
      <c r="A12" s="45" t="s">
        <v>9</v>
      </c>
      <c r="B12" s="46">
        <f t="shared" si="0"/>
        <v>11</v>
      </c>
      <c r="C12" s="47">
        <v>9</v>
      </c>
      <c r="D12" s="46">
        <v>2021</v>
      </c>
      <c r="E12" s="107">
        <v>23920.000000001208</v>
      </c>
      <c r="F12" s="48">
        <v>0.15</v>
      </c>
      <c r="G12" s="107">
        <v>6653</v>
      </c>
      <c r="H12" s="48">
        <v>0.5927</v>
      </c>
      <c r="I12" s="65">
        <v>231</v>
      </c>
      <c r="J12" s="76">
        <v>1.133</v>
      </c>
      <c r="K12" s="108"/>
      <c r="L12" s="76"/>
      <c r="M12" s="72">
        <v>24</v>
      </c>
      <c r="N12" s="72">
        <v>55</v>
      </c>
      <c r="O12" s="72">
        <v>156</v>
      </c>
    </row>
    <row r="13" spans="1:15" ht="15" x14ac:dyDescent="0.25">
      <c r="A13" s="45" t="s">
        <v>9</v>
      </c>
      <c r="B13" s="46">
        <f t="shared" si="0"/>
        <v>12</v>
      </c>
      <c r="C13" s="47">
        <v>9</v>
      </c>
      <c r="D13" s="46">
        <v>2021</v>
      </c>
      <c r="E13" s="107">
        <v>20779.999999999291</v>
      </c>
      <c r="F13" s="48">
        <v>0.15</v>
      </c>
      <c r="G13" s="107">
        <v>5680</v>
      </c>
      <c r="H13" s="48">
        <v>0.5927</v>
      </c>
      <c r="I13" s="65">
        <v>244</v>
      </c>
      <c r="J13" s="76">
        <v>1.133</v>
      </c>
      <c r="K13" s="108"/>
      <c r="L13" s="76"/>
      <c r="M13" s="72">
        <v>22</v>
      </c>
      <c r="N13" s="72">
        <v>49</v>
      </c>
      <c r="O13" s="72">
        <v>152</v>
      </c>
    </row>
    <row r="14" spans="1:15" ht="15" x14ac:dyDescent="0.25">
      <c r="A14" s="45" t="s">
        <v>9</v>
      </c>
      <c r="B14" s="46">
        <f t="shared" si="0"/>
        <v>13</v>
      </c>
      <c r="C14" s="47">
        <v>9</v>
      </c>
      <c r="D14" s="46">
        <v>2021</v>
      </c>
      <c r="E14" s="107"/>
      <c r="F14" s="48">
        <v>0.15</v>
      </c>
      <c r="G14" s="107"/>
      <c r="H14" s="48">
        <v>0.5927</v>
      </c>
      <c r="I14" s="65"/>
      <c r="J14" s="76">
        <v>1.133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9</v>
      </c>
      <c r="D15" s="46">
        <v>2021</v>
      </c>
      <c r="E15" s="107"/>
      <c r="F15" s="48">
        <v>0.15</v>
      </c>
      <c r="G15" s="107"/>
      <c r="H15" s="48">
        <v>0.5927</v>
      </c>
      <c r="I15" s="65"/>
      <c r="J15" s="76">
        <v>1.133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9</v>
      </c>
      <c r="D16" s="46">
        <v>2021</v>
      </c>
      <c r="E16" s="107"/>
      <c r="F16" s="48">
        <v>0.15</v>
      </c>
      <c r="G16" s="107"/>
      <c r="H16" s="48">
        <v>0.5927</v>
      </c>
      <c r="I16" s="65"/>
      <c r="J16" s="76">
        <v>1.133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9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9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9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9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9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9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9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9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9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9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9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9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9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9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9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9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259590.00000000151</v>
      </c>
      <c r="F33" s="104">
        <v>0</v>
      </c>
      <c r="G33" s="101">
        <f>SUM(G2:G32)</f>
        <v>70922</v>
      </c>
      <c r="H33" s="102">
        <v>0</v>
      </c>
      <c r="I33" s="103">
        <f>SUM(I2:I32)</f>
        <v>2896</v>
      </c>
      <c r="J33" s="104">
        <v>0</v>
      </c>
      <c r="K33" s="105">
        <v>0</v>
      </c>
      <c r="L33" s="102">
        <v>0</v>
      </c>
      <c r="M33" s="106">
        <f t="shared" ref="M33:O33" si="1">SUM(M2:M32)</f>
        <v>227</v>
      </c>
      <c r="N33" s="106">
        <f t="shared" si="1"/>
        <v>506</v>
      </c>
      <c r="O33" s="106">
        <f t="shared" si="1"/>
        <v>1426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W21" sqref="W2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127</v>
      </c>
      <c r="C2" s="113" t="s">
        <v>11</v>
      </c>
      <c r="D2" s="113" t="s">
        <v>12</v>
      </c>
      <c r="E2" s="113" t="s">
        <v>13</v>
      </c>
      <c r="F2" s="113" t="s">
        <v>14</v>
      </c>
      <c r="G2" s="118" t="s">
        <v>15</v>
      </c>
      <c r="H2" s="120" t="s">
        <v>16</v>
      </c>
      <c r="I2" s="113" t="s">
        <v>17</v>
      </c>
      <c r="J2" s="123" t="s">
        <v>18</v>
      </c>
      <c r="K2" s="124"/>
      <c r="L2" s="125"/>
      <c r="M2" s="118" t="s">
        <v>19</v>
      </c>
      <c r="N2" s="120" t="s">
        <v>20</v>
      </c>
      <c r="O2" s="121" t="s">
        <v>21</v>
      </c>
      <c r="P2" s="120" t="s">
        <v>22</v>
      </c>
      <c r="Q2" s="126" t="s">
        <v>23</v>
      </c>
      <c r="R2" s="113" t="s">
        <v>24</v>
      </c>
      <c r="S2" s="113" t="s">
        <v>25</v>
      </c>
      <c r="T2" s="113" t="s">
        <v>26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27</v>
      </c>
      <c r="K3" s="18" t="s">
        <v>28</v>
      </c>
      <c r="L3" s="18" t="s">
        <v>29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44440</v>
      </c>
      <c r="B4" s="1">
        <v>1.0649999999999999</v>
      </c>
      <c r="C4" s="1">
        <v>244.76</v>
      </c>
      <c r="D4" s="1">
        <v>7626409.6399999997</v>
      </c>
      <c r="E4" s="1">
        <v>8383537.8399999999</v>
      </c>
      <c r="F4" s="1">
        <v>2.5285000000000002</v>
      </c>
      <c r="G4" s="1">
        <v>798.32</v>
      </c>
      <c r="H4" s="1">
        <v>653.78</v>
      </c>
      <c r="I4" s="1">
        <v>256.10000000000002</v>
      </c>
      <c r="J4" s="1">
        <v>333.2</v>
      </c>
      <c r="K4" s="1">
        <v>358.67</v>
      </c>
      <c r="L4" s="1">
        <v>246.58</v>
      </c>
      <c r="M4" s="1">
        <v>564.62</v>
      </c>
      <c r="N4" s="1">
        <v>517.91</v>
      </c>
      <c r="O4" s="1">
        <v>165.55</v>
      </c>
      <c r="P4" s="1">
        <v>682.28</v>
      </c>
      <c r="Q4" s="1">
        <v>503.9</v>
      </c>
      <c r="R4" s="1">
        <v>174.59</v>
      </c>
      <c r="S4" s="1">
        <v>122.74</v>
      </c>
      <c r="T4" s="1">
        <v>449.37</v>
      </c>
      <c r="V4" s="71">
        <v>13</v>
      </c>
      <c r="W4" s="71">
        <v>28</v>
      </c>
      <c r="X4" s="71">
        <v>98</v>
      </c>
      <c r="Y4" s="17"/>
    </row>
    <row r="5" spans="1:25" ht="21" customHeight="1" x14ac:dyDescent="0.25">
      <c r="A5" s="8">
        <v>44441</v>
      </c>
      <c r="B5" s="1">
        <v>1.0664</v>
      </c>
      <c r="C5" s="1">
        <v>245</v>
      </c>
      <c r="D5" s="1">
        <v>7628678.7800000003</v>
      </c>
      <c r="E5" s="1">
        <v>8386467.3300000001</v>
      </c>
      <c r="F5" s="1">
        <v>2.5308999999999999</v>
      </c>
      <c r="G5" s="1">
        <v>799.21</v>
      </c>
      <c r="H5" s="1">
        <v>654.44000000000005</v>
      </c>
      <c r="I5" s="1">
        <v>256.37</v>
      </c>
      <c r="J5" s="1">
        <v>333.41</v>
      </c>
      <c r="K5" s="1">
        <v>358.92</v>
      </c>
      <c r="L5" s="1">
        <v>246.78</v>
      </c>
      <c r="M5" s="1">
        <v>565.37</v>
      </c>
      <c r="N5" s="1">
        <v>518.91</v>
      </c>
      <c r="O5" s="1">
        <v>165.77</v>
      </c>
      <c r="P5" s="1">
        <v>683.3</v>
      </c>
      <c r="Q5" s="1">
        <v>504.56</v>
      </c>
      <c r="R5" s="1">
        <v>174.86</v>
      </c>
      <c r="S5" s="1">
        <v>122.86</v>
      </c>
      <c r="T5" s="1">
        <v>449.85</v>
      </c>
      <c r="V5" s="71">
        <v>11</v>
      </c>
      <c r="W5" s="71">
        <v>27</v>
      </c>
      <c r="X5" s="71">
        <v>73</v>
      </c>
      <c r="Y5" s="17"/>
    </row>
    <row r="6" spans="1:25" ht="21" customHeight="1" x14ac:dyDescent="0.25">
      <c r="A6" s="8">
        <v>44442</v>
      </c>
      <c r="B6" s="1">
        <v>1.0678000000000001</v>
      </c>
      <c r="C6" s="1">
        <v>245.24</v>
      </c>
      <c r="D6" s="1">
        <v>7630883.0599999996</v>
      </c>
      <c r="E6" s="1">
        <v>8388910.4299999997</v>
      </c>
      <c r="F6" s="1">
        <v>2.5331999999999999</v>
      </c>
      <c r="G6" s="1">
        <v>800.01</v>
      </c>
      <c r="H6" s="1">
        <v>655.1</v>
      </c>
      <c r="I6" s="1">
        <v>256.63</v>
      </c>
      <c r="J6" s="1">
        <v>333.62</v>
      </c>
      <c r="K6" s="1">
        <v>359.11</v>
      </c>
      <c r="L6" s="1">
        <v>246.95</v>
      </c>
      <c r="M6" s="1">
        <v>566.19000000000005</v>
      </c>
      <c r="N6" s="1">
        <v>519.08000000000004</v>
      </c>
      <c r="O6" s="1">
        <v>165.99</v>
      </c>
      <c r="P6" s="1">
        <v>684.27</v>
      </c>
      <c r="Q6" s="1">
        <v>505.23</v>
      </c>
      <c r="R6" s="1">
        <v>175.12</v>
      </c>
      <c r="S6" s="1">
        <v>122.98</v>
      </c>
      <c r="T6" s="1">
        <v>450.3</v>
      </c>
      <c r="V6" s="71">
        <v>15</v>
      </c>
      <c r="W6" s="71">
        <v>32</v>
      </c>
      <c r="X6" s="71">
        <v>94</v>
      </c>
      <c r="Y6" s="17"/>
    </row>
    <row r="7" spans="1:25" ht="21" customHeight="1" x14ac:dyDescent="0.25">
      <c r="A7" s="8">
        <v>44443</v>
      </c>
      <c r="B7" s="1">
        <v>1.0691999999999999</v>
      </c>
      <c r="C7" s="1">
        <v>245.49</v>
      </c>
      <c r="D7" s="109">
        <v>7633018.3300000001</v>
      </c>
      <c r="E7" s="1">
        <v>8391629.1500000004</v>
      </c>
      <c r="F7" s="1">
        <v>2.5356000000000001</v>
      </c>
      <c r="G7" s="1">
        <v>800.83</v>
      </c>
      <c r="H7" s="1">
        <v>655.77</v>
      </c>
      <c r="I7" s="1">
        <v>256.89</v>
      </c>
      <c r="J7" s="1">
        <v>333.8</v>
      </c>
      <c r="K7" s="1">
        <v>359.34</v>
      </c>
      <c r="L7" s="1">
        <v>247.11</v>
      </c>
      <c r="M7" s="1">
        <v>567.02</v>
      </c>
      <c r="N7" s="1">
        <v>519.64</v>
      </c>
      <c r="O7" s="1">
        <v>166.22</v>
      </c>
      <c r="P7" s="1">
        <v>685.22</v>
      </c>
      <c r="Q7" s="1">
        <v>505.9</v>
      </c>
      <c r="R7" s="1">
        <v>175.35</v>
      </c>
      <c r="S7" s="1">
        <v>123.09</v>
      </c>
      <c r="T7" s="1">
        <v>450.59</v>
      </c>
      <c r="V7" s="71">
        <v>17</v>
      </c>
      <c r="W7" s="71">
        <v>36</v>
      </c>
      <c r="X7" s="71">
        <v>98</v>
      </c>
      <c r="Y7" s="17"/>
    </row>
    <row r="8" spans="1:25" ht="21" customHeight="1" x14ac:dyDescent="0.25">
      <c r="A8" s="8">
        <v>44444</v>
      </c>
      <c r="B8" s="1">
        <v>1.0705</v>
      </c>
      <c r="C8" s="1">
        <v>245.72</v>
      </c>
      <c r="D8" s="1">
        <v>7635196.2300000004</v>
      </c>
      <c r="E8" s="1">
        <v>8394468.1300000008</v>
      </c>
      <c r="F8" s="1">
        <v>2.5379</v>
      </c>
      <c r="G8" s="1">
        <v>801.63</v>
      </c>
      <c r="H8" s="1">
        <v>656.41</v>
      </c>
      <c r="I8" s="1">
        <v>257.14999999999998</v>
      </c>
      <c r="J8" s="1">
        <v>333.95</v>
      </c>
      <c r="K8" s="1">
        <v>359.54</v>
      </c>
      <c r="L8" s="1">
        <v>247.29</v>
      </c>
      <c r="M8" s="1">
        <v>567.79999999999995</v>
      </c>
      <c r="N8" s="1">
        <v>520.19000000000005</v>
      </c>
      <c r="O8" s="1">
        <v>166.45</v>
      </c>
      <c r="P8" s="1">
        <v>686.19</v>
      </c>
      <c r="Q8" s="1">
        <v>506.61</v>
      </c>
      <c r="R8" s="1">
        <v>175.59</v>
      </c>
      <c r="S8" s="1">
        <v>123.21</v>
      </c>
      <c r="T8" s="1">
        <v>451.06</v>
      </c>
      <c r="V8" s="71">
        <v>16</v>
      </c>
      <c r="W8" s="71">
        <v>35</v>
      </c>
      <c r="X8" s="71">
        <v>89</v>
      </c>
      <c r="Y8" s="17"/>
    </row>
    <row r="9" spans="1:25" ht="21" customHeight="1" x14ac:dyDescent="0.25">
      <c r="A9" s="8">
        <v>44445</v>
      </c>
      <c r="B9" s="111">
        <v>1.0720000000000001</v>
      </c>
      <c r="C9" s="15">
        <v>245.94</v>
      </c>
      <c r="D9" s="111">
        <v>7637500.6900000004</v>
      </c>
      <c r="E9" s="111">
        <v>8397423.4499999993</v>
      </c>
      <c r="F9" s="15">
        <v>2.5402</v>
      </c>
      <c r="G9" s="111">
        <v>802.54</v>
      </c>
      <c r="H9" s="111">
        <v>657.02</v>
      </c>
      <c r="I9" s="111">
        <v>257.44</v>
      </c>
      <c r="J9" s="1">
        <v>334.08</v>
      </c>
      <c r="K9" s="1">
        <v>359.76</v>
      </c>
      <c r="L9" s="1">
        <v>247.47</v>
      </c>
      <c r="M9" s="1">
        <v>568.71</v>
      </c>
      <c r="N9" s="1">
        <v>520.77</v>
      </c>
      <c r="O9" s="1">
        <v>166.68</v>
      </c>
      <c r="P9" s="1">
        <v>687.18</v>
      </c>
      <c r="Q9" s="1">
        <v>507.39</v>
      </c>
      <c r="R9" s="1">
        <v>175.82</v>
      </c>
      <c r="S9" s="1">
        <v>123.32</v>
      </c>
      <c r="T9" s="1">
        <v>451.55</v>
      </c>
      <c r="V9" s="71">
        <v>21</v>
      </c>
      <c r="W9" s="71">
        <v>45</v>
      </c>
      <c r="X9" s="71">
        <v>124</v>
      </c>
      <c r="Y9" s="17"/>
    </row>
    <row r="10" spans="1:25" ht="21" customHeight="1" x14ac:dyDescent="0.25">
      <c r="A10" s="8">
        <v>44446</v>
      </c>
      <c r="B10" s="1">
        <v>1.0733999999999999</v>
      </c>
      <c r="C10" s="1">
        <v>246.19</v>
      </c>
      <c r="D10" s="1">
        <v>7639716.29</v>
      </c>
      <c r="E10" s="1">
        <v>8400214.1500000004</v>
      </c>
      <c r="F10" s="1">
        <v>2.5426000000000002</v>
      </c>
      <c r="G10" s="1">
        <v>803.44</v>
      </c>
      <c r="H10" s="1">
        <v>657.63</v>
      </c>
      <c r="I10" s="1">
        <v>257.70999999999998</v>
      </c>
      <c r="J10" s="1">
        <v>334.36</v>
      </c>
      <c r="K10" s="1">
        <v>359.97</v>
      </c>
      <c r="L10" s="1">
        <v>247.68</v>
      </c>
      <c r="M10" s="1">
        <v>569.54</v>
      </c>
      <c r="N10" s="1">
        <v>521.34</v>
      </c>
      <c r="O10" s="1">
        <v>166.93</v>
      </c>
      <c r="P10" s="1">
        <v>688.13</v>
      </c>
      <c r="Q10" s="1">
        <v>508.05</v>
      </c>
      <c r="R10" s="1">
        <v>176.06</v>
      </c>
      <c r="S10" s="1">
        <v>123.45</v>
      </c>
      <c r="T10" s="1">
        <v>452.01</v>
      </c>
      <c r="V10" s="71">
        <v>21</v>
      </c>
      <c r="W10" s="71">
        <v>47</v>
      </c>
      <c r="X10" s="71">
        <v>123</v>
      </c>
      <c r="Y10" s="17"/>
    </row>
    <row r="11" spans="1:25" ht="21" customHeight="1" x14ac:dyDescent="0.25">
      <c r="A11" s="8">
        <v>44447</v>
      </c>
      <c r="B11" s="1">
        <v>1.0748</v>
      </c>
      <c r="C11" s="1">
        <v>246.43</v>
      </c>
      <c r="D11" s="1">
        <v>7641974.4800000004</v>
      </c>
      <c r="E11" s="1">
        <v>8403004.0899999999</v>
      </c>
      <c r="F11" s="1">
        <v>2.5449000000000002</v>
      </c>
      <c r="G11" s="1">
        <v>804.29</v>
      </c>
      <c r="H11" s="1">
        <v>658.16</v>
      </c>
      <c r="I11" s="1">
        <v>257.98</v>
      </c>
      <c r="J11" s="1">
        <v>334.58</v>
      </c>
      <c r="K11" s="1">
        <v>360.22</v>
      </c>
      <c r="L11" s="1">
        <v>247.88</v>
      </c>
      <c r="M11" s="1">
        <v>570.35</v>
      </c>
      <c r="N11" s="1">
        <v>521.89</v>
      </c>
      <c r="O11" s="1">
        <v>167.11</v>
      </c>
      <c r="P11" s="1">
        <v>689.07</v>
      </c>
      <c r="Q11" s="1">
        <v>508.7</v>
      </c>
      <c r="R11" s="1">
        <v>176.31</v>
      </c>
      <c r="S11" s="1">
        <v>123.57</v>
      </c>
      <c r="T11" s="1">
        <v>452.48</v>
      </c>
      <c r="V11" s="71">
        <v>21</v>
      </c>
      <c r="W11" s="71">
        <v>46</v>
      </c>
      <c r="X11" s="71">
        <v>136</v>
      </c>
      <c r="Y11" s="17"/>
    </row>
    <row r="12" spans="1:25" ht="21" customHeight="1" x14ac:dyDescent="0.25">
      <c r="A12" s="8">
        <v>44448</v>
      </c>
      <c r="B12" s="1">
        <v>1.0762</v>
      </c>
      <c r="C12" s="1">
        <v>246.66</v>
      </c>
      <c r="D12" s="1">
        <v>7644181.9900000002</v>
      </c>
      <c r="E12" s="1">
        <v>8405554.1300000008</v>
      </c>
      <c r="F12" s="1">
        <v>2.5472999999999999</v>
      </c>
      <c r="G12" s="1">
        <v>805.07</v>
      </c>
      <c r="H12" s="1">
        <v>658.7</v>
      </c>
      <c r="I12" s="1">
        <v>258.26</v>
      </c>
      <c r="J12" s="1">
        <v>334.77</v>
      </c>
      <c r="K12" s="1">
        <v>360.46</v>
      </c>
      <c r="L12" s="1">
        <v>248.11</v>
      </c>
      <c r="M12" s="1">
        <v>571.16</v>
      </c>
      <c r="N12" s="1">
        <v>522.61</v>
      </c>
      <c r="O12" s="1">
        <v>167.31</v>
      </c>
      <c r="P12" s="1">
        <v>689.85</v>
      </c>
      <c r="Q12" s="1">
        <v>509.34</v>
      </c>
      <c r="R12" s="1">
        <v>176.55</v>
      </c>
      <c r="S12" s="1">
        <v>123.69</v>
      </c>
      <c r="T12" s="1">
        <v>452.94</v>
      </c>
      <c r="V12" s="71">
        <v>23</v>
      </c>
      <c r="W12" s="71">
        <v>52</v>
      </c>
      <c r="X12" s="71">
        <v>133</v>
      </c>
      <c r="Y12" s="17"/>
    </row>
    <row r="13" spans="1:25" ht="21" customHeight="1" x14ac:dyDescent="0.25">
      <c r="A13" s="8">
        <v>44449</v>
      </c>
      <c r="B13" s="1">
        <v>1.0777000000000001</v>
      </c>
      <c r="C13" s="1">
        <v>246.92</v>
      </c>
      <c r="D13" s="1">
        <v>7646468.4500000002</v>
      </c>
      <c r="E13" s="1">
        <v>8408231.3599999994</v>
      </c>
      <c r="F13" s="1">
        <v>2.5497000000000001</v>
      </c>
      <c r="G13" s="1">
        <v>805.87</v>
      </c>
      <c r="H13" s="1">
        <v>659.26</v>
      </c>
      <c r="I13" s="1">
        <v>258.52</v>
      </c>
      <c r="J13" s="1">
        <v>334.96</v>
      </c>
      <c r="K13" s="1">
        <v>360.69</v>
      </c>
      <c r="L13" s="1">
        <v>248.33</v>
      </c>
      <c r="M13" s="1">
        <v>571.95000000000005</v>
      </c>
      <c r="N13" s="1">
        <v>523.33000000000004</v>
      </c>
      <c r="O13" s="1">
        <v>167.5</v>
      </c>
      <c r="P13" s="1">
        <v>690.65</v>
      </c>
      <c r="Q13" s="1">
        <v>510.02</v>
      </c>
      <c r="R13" s="1">
        <v>176.77</v>
      </c>
      <c r="S13" s="1">
        <v>123.8</v>
      </c>
      <c r="T13" s="1">
        <v>453.44</v>
      </c>
      <c r="V13" s="71">
        <v>23</v>
      </c>
      <c r="W13" s="71">
        <v>54</v>
      </c>
      <c r="X13" s="71">
        <v>150</v>
      </c>
      <c r="Y13" s="17"/>
    </row>
    <row r="14" spans="1:25" ht="21" customHeight="1" x14ac:dyDescent="0.25">
      <c r="A14" s="8">
        <v>44450</v>
      </c>
      <c r="B14" s="1">
        <v>1.0790999999999999</v>
      </c>
      <c r="C14" s="1">
        <v>247.17</v>
      </c>
      <c r="D14" s="1">
        <v>7648859.3099999996</v>
      </c>
      <c r="E14" s="1">
        <v>8410781.4199999999</v>
      </c>
      <c r="F14" s="1">
        <v>2.5522</v>
      </c>
      <c r="G14" s="1">
        <v>806.67</v>
      </c>
      <c r="H14" s="1">
        <v>659.91</v>
      </c>
      <c r="I14" s="1">
        <v>258.79000000000002</v>
      </c>
      <c r="J14" s="1">
        <v>335.23</v>
      </c>
      <c r="K14" s="1">
        <v>360.96</v>
      </c>
      <c r="L14" s="1">
        <v>248.51</v>
      </c>
      <c r="M14" s="1">
        <v>572.75</v>
      </c>
      <c r="N14" s="1">
        <v>524.16</v>
      </c>
      <c r="O14" s="1">
        <v>167.7</v>
      </c>
      <c r="P14" s="1">
        <v>691.49</v>
      </c>
      <c r="Q14" s="1">
        <v>510.7</v>
      </c>
      <c r="R14" s="1">
        <v>177.01</v>
      </c>
      <c r="S14" s="1">
        <v>123.92</v>
      </c>
      <c r="T14" s="1">
        <v>453.76</v>
      </c>
      <c r="V14" s="71">
        <v>24</v>
      </c>
      <c r="W14" s="71">
        <v>55</v>
      </c>
      <c r="X14" s="71">
        <v>156</v>
      </c>
      <c r="Y14" s="17"/>
    </row>
    <row r="15" spans="1:25" ht="21" customHeight="1" x14ac:dyDescent="0.25">
      <c r="A15" s="8">
        <v>44451</v>
      </c>
      <c r="B15" s="1">
        <v>1.0805</v>
      </c>
      <c r="C15" s="1">
        <v>247.41</v>
      </c>
      <c r="D15" s="1">
        <v>7651139.1100000003</v>
      </c>
      <c r="E15" s="1">
        <v>8413411.3499999996</v>
      </c>
      <c r="F15" s="1">
        <v>2.5547</v>
      </c>
      <c r="G15" s="1">
        <v>807.48</v>
      </c>
      <c r="H15" s="1">
        <v>660.62</v>
      </c>
      <c r="I15" s="1">
        <v>259.08999999999997</v>
      </c>
      <c r="J15" s="1">
        <v>335.46</v>
      </c>
      <c r="K15" s="1">
        <v>361.27</v>
      </c>
      <c r="L15" s="1">
        <v>248.72</v>
      </c>
      <c r="M15" s="1">
        <v>573.61</v>
      </c>
      <c r="N15" s="1">
        <v>524.95000000000005</v>
      </c>
      <c r="O15" s="1">
        <v>167.88</v>
      </c>
      <c r="P15" s="1">
        <v>692.41</v>
      </c>
      <c r="Q15" s="1">
        <v>511.38</v>
      </c>
      <c r="R15" s="1">
        <v>177.26</v>
      </c>
      <c r="S15" s="1">
        <v>124.04</v>
      </c>
      <c r="T15" s="1">
        <v>454.25</v>
      </c>
      <c r="V15" s="71">
        <v>22</v>
      </c>
      <c r="W15" s="71">
        <v>49</v>
      </c>
      <c r="X15" s="71">
        <v>152</v>
      </c>
      <c r="Y15" s="17"/>
    </row>
    <row r="16" spans="1:25" ht="21" customHeight="1" x14ac:dyDescent="0.25">
      <c r="A16" s="8">
        <v>44452</v>
      </c>
      <c r="B16" s="1">
        <v>1.0819000000000001</v>
      </c>
      <c r="C16" s="1">
        <v>247.63</v>
      </c>
      <c r="D16" s="1">
        <v>7653347.8200000003</v>
      </c>
      <c r="E16" s="1">
        <v>8415883.4000000004</v>
      </c>
      <c r="F16" s="1">
        <v>2.5569999999999999</v>
      </c>
      <c r="G16" s="1">
        <v>808.31</v>
      </c>
      <c r="H16" s="1">
        <v>661.18</v>
      </c>
      <c r="I16" s="1">
        <v>259.36</v>
      </c>
      <c r="J16" s="1">
        <v>335.65</v>
      </c>
      <c r="K16" s="1">
        <v>361.47</v>
      </c>
      <c r="L16" s="1">
        <v>248.92</v>
      </c>
      <c r="M16" s="1">
        <v>574.41999999999996</v>
      </c>
      <c r="N16" s="1">
        <v>525.72</v>
      </c>
      <c r="O16" s="1">
        <v>168.1</v>
      </c>
      <c r="P16" s="1">
        <v>693.21</v>
      </c>
      <c r="Q16" s="1">
        <v>511.98</v>
      </c>
      <c r="R16" s="1">
        <v>177.48</v>
      </c>
      <c r="S16" s="1">
        <v>124.15</v>
      </c>
      <c r="T16" s="1">
        <v>454.75</v>
      </c>
      <c r="V16" s="71"/>
      <c r="W16" s="71"/>
      <c r="X16" s="71"/>
      <c r="Y16" s="17"/>
    </row>
    <row r="17" spans="1:25" ht="21" customHeight="1" x14ac:dyDescent="0.25">
      <c r="A17" s="8">
        <v>44453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44454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44455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44456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44457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44458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44459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44461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44462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44464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44465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44466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44467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44470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227</v>
      </c>
      <c r="W35" s="78">
        <f>SUM(W4:W34)</f>
        <v>506</v>
      </c>
      <c r="X35" s="78">
        <f>SUM(X4:X34)</f>
        <v>1426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T15" sqref="T1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31</v>
      </c>
      <c r="B2" s="113" t="s">
        <v>32</v>
      </c>
      <c r="C2" s="113" t="s">
        <v>33</v>
      </c>
      <c r="D2" s="113" t="s">
        <v>119</v>
      </c>
      <c r="E2" s="121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22"/>
      <c r="B3" s="114"/>
      <c r="C3" s="114"/>
      <c r="D3" s="114"/>
      <c r="E3" s="122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44440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2399.9999999997358</v>
      </c>
      <c r="E4" s="2">
        <f>('Kwh Reading'!C5-'Kwh Reading'!C4)*1000</f>
        <v>240.00000000000909</v>
      </c>
      <c r="F4" s="2">
        <f>('Kwh Reading'!J5-'Kwh Reading'!J4)*1000</f>
        <v>210.00000000003638</v>
      </c>
      <c r="G4" s="2">
        <f>('Kwh Reading'!K5-'Kwh Reading'!K4)*1000</f>
        <v>250</v>
      </c>
      <c r="H4" s="2">
        <f>('Kwh Reading'!L5-'Kwh Reading'!L4)*1000</f>
        <v>199.99999999998863</v>
      </c>
      <c r="I4" s="2">
        <f>('Kwh Reading'!R5-'Kwh Reading'!R4)*1000</f>
        <v>270.00000000001023</v>
      </c>
      <c r="J4" s="2">
        <f>('Kwh Reading'!S5-'Kwh Reading'!S4)*1000</f>
        <v>120.00000000000455</v>
      </c>
      <c r="K4" s="2">
        <f>('Kwh Reading'!I5-'Kwh Reading'!I4)*1000</f>
        <v>269.99999999998181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660.00000000008185</v>
      </c>
      <c r="O4" s="2">
        <f>('Kwh Reading'!P5-'Kwh Reading'!P4)*1000</f>
        <v>1019.9999999999818</v>
      </c>
      <c r="P4" s="2">
        <f>('Kwh Reading'!G5-'Kwh Reading'!G4)*1000</f>
        <v>889.99999999998636</v>
      </c>
      <c r="Q4" s="2">
        <f>('Kwh Reading'!Q5-'Kwh Reading'!Q4)*1000</f>
        <v>660.00000000002501</v>
      </c>
      <c r="R4" s="2">
        <f>('Kwh Reading'!N5-'Kwh Reading'!N4)*1000</f>
        <v>1000</v>
      </c>
      <c r="S4" s="2">
        <f>'Kwh Reading'!E5-'Kwh Reading'!E4</f>
        <v>2929.4900000002235</v>
      </c>
      <c r="T4" s="2">
        <f>'Kwh Reading'!D5-'Kwh Reading'!D4</f>
        <v>2269.140000000596</v>
      </c>
      <c r="U4" s="27">
        <f>('Kwh Reading'!O5-'Kwh Reading'!O4)*1000</f>
        <v>219.99999999999886</v>
      </c>
      <c r="V4" s="16">
        <f>B4-(SUM(C4:U4))</f>
        <v>9281.369999999255</v>
      </c>
    </row>
    <row r="5" spans="1:22" x14ac:dyDescent="0.25">
      <c r="A5" s="3">
        <f>'Kwh Reading'!A5</f>
        <v>44441</v>
      </c>
      <c r="B5" s="26">
        <f>TOTAL!E3</f>
        <v>21689.999999998465</v>
      </c>
      <c r="C5" s="4">
        <f>('Kwh Reading'!T6-'Kwh Reading'!T5)*1000</f>
        <v>449.99999999998863</v>
      </c>
      <c r="D5" s="2">
        <f>('Kwh Reading'!F6-'Kwh Reading'!F5)*1000000</f>
        <v>2299.9999999999686</v>
      </c>
      <c r="E5" s="2">
        <f>('Kwh Reading'!C6-'Kwh Reading'!C5)*1000</f>
        <v>240.00000000000909</v>
      </c>
      <c r="F5" s="2">
        <f>('Kwh Reading'!J6-'Kwh Reading'!J5)*1000</f>
        <v>209.99999999997954</v>
      </c>
      <c r="G5" s="2">
        <f>('Kwh Reading'!K6-'Kwh Reading'!K5)*1000</f>
        <v>189.99999999999773</v>
      </c>
      <c r="H5" s="2">
        <f>('Kwh Reading'!L6-'Kwh Reading'!L5)*1000</f>
        <v>169.99999999998749</v>
      </c>
      <c r="I5" s="2">
        <f>('Kwh Reading'!R6-'Kwh Reading'!R5)*1000</f>
        <v>259.99999999999091</v>
      </c>
      <c r="J5" s="2">
        <f>('Kwh Reading'!S6-'Kwh Reading'!S5)*1000</f>
        <v>120.00000000000455</v>
      </c>
      <c r="K5" s="2">
        <f>('Kwh Reading'!I6-'Kwh Reading'!I5)*1000</f>
        <v>259.99999999999091</v>
      </c>
      <c r="L5" s="2">
        <f>('Kwh Reading'!B6-'Kwh Reading'!B5)*1000000</f>
        <v>1400.0000000000678</v>
      </c>
      <c r="M5" s="2">
        <f>('Kwh Reading'!M6-'Kwh Reading'!M5)*1000</f>
        <v>820.00000000005002</v>
      </c>
      <c r="N5" s="2">
        <f>('Kwh Reading'!H6-'Kwh Reading'!H5)*1000</f>
        <v>659.99999999996817</v>
      </c>
      <c r="O5" s="2">
        <f>('Kwh Reading'!P6-'Kwh Reading'!P5)*1000</f>
        <v>970.00000000002728</v>
      </c>
      <c r="P5" s="2">
        <f>('Kwh Reading'!G6-'Kwh Reading'!G5)*1000</f>
        <v>799.99999999995453</v>
      </c>
      <c r="Q5" s="2">
        <f>('Kwh Reading'!Q6-'Kwh Reading'!Q5)*1000</f>
        <v>670.00000000001592</v>
      </c>
      <c r="R5" s="2">
        <f>('Kwh Reading'!N6-'Kwh Reading'!N5)*1000</f>
        <v>170.00000000007276</v>
      </c>
      <c r="S5" s="2">
        <f>'Kwh Reading'!E6-'Kwh Reading'!E5</f>
        <v>2443.0999999996275</v>
      </c>
      <c r="T5" s="2">
        <f>'Kwh Reading'!D6-'Kwh Reading'!D5</f>
        <v>2204.2799999993294</v>
      </c>
      <c r="U5" s="27">
        <f>('Kwh Reading'!O6-'Kwh Reading'!O5)*1000</f>
        <v>219.99999999999886</v>
      </c>
      <c r="V5" s="16">
        <f t="shared" ref="V5:V11" si="0">B5-(SUM(C5:U5))</f>
        <v>7132.6199999994351</v>
      </c>
    </row>
    <row r="6" spans="1:22" x14ac:dyDescent="0.25">
      <c r="A6" s="3">
        <f>'Kwh Reading'!A6</f>
        <v>44442</v>
      </c>
      <c r="B6" s="26">
        <f>TOTAL!E4</f>
        <v>20050.000000002001</v>
      </c>
      <c r="C6" s="4">
        <f>('Kwh Reading'!T7-'Kwh Reading'!T6)*1000</f>
        <v>289.99999999996362</v>
      </c>
      <c r="D6" s="2">
        <f>('Kwh Reading'!F7-'Kwh Reading'!F6)*1000000</f>
        <v>2400.0000000001796</v>
      </c>
      <c r="E6" s="2">
        <f>('Kwh Reading'!C7-'Kwh Reading'!C6)*1000</f>
        <v>250</v>
      </c>
      <c r="F6" s="2">
        <f>('Kwh Reading'!J7-'Kwh Reading'!J6)*1000</f>
        <v>180.00000000000682</v>
      </c>
      <c r="G6" s="2">
        <f>('Kwh Reading'!K7-'Kwh Reading'!K6)*1000</f>
        <v>229.99999999996135</v>
      </c>
      <c r="H6" s="2">
        <f>('Kwh Reading'!L7-'Kwh Reading'!L6)*1000</f>
        <v>160.00000000002501</v>
      </c>
      <c r="I6" s="2">
        <f>('Kwh Reading'!R7-'Kwh Reading'!R6)*1000</f>
        <v>229.99999999998977</v>
      </c>
      <c r="J6" s="2">
        <f>('Kwh Reading'!S7-'Kwh Reading'!S6)*1000</f>
        <v>109.99999999999943</v>
      </c>
      <c r="K6" s="2">
        <f>('Kwh Reading'!I7-'Kwh Reading'!I6)*1000</f>
        <v>259.99999999999091</v>
      </c>
      <c r="L6" s="2">
        <f>('Kwh Reading'!B7-'Kwh Reading'!B6)*1000000</f>
        <v>1399.9999999998458</v>
      </c>
      <c r="M6" s="2">
        <f>('Kwh Reading'!M7-'Kwh Reading'!M6)*1000</f>
        <v>829.99999999992724</v>
      </c>
      <c r="N6" s="2">
        <f>('Kwh Reading'!H7-'Kwh Reading'!H6)*1000</f>
        <v>669.99999999995907</v>
      </c>
      <c r="O6" s="2">
        <f>('Kwh Reading'!P7-'Kwh Reading'!P6)*1000</f>
        <v>950.00000000004547</v>
      </c>
      <c r="P6" s="2">
        <f>('Kwh Reading'!G7-'Kwh Reading'!G6)*1000</f>
        <v>820.00000000005002</v>
      </c>
      <c r="Q6" s="2">
        <f>('Kwh Reading'!Q7-'Kwh Reading'!Q6)*1000</f>
        <v>669.99999999995907</v>
      </c>
      <c r="R6" s="2">
        <f>('Kwh Reading'!N7-'Kwh Reading'!N6)*1000</f>
        <v>559.99999999994543</v>
      </c>
      <c r="S6" s="2">
        <f>'Kwh Reading'!E7-'Kwh Reading'!E6</f>
        <v>2718.7200000006706</v>
      </c>
      <c r="T6" s="2">
        <f>'Kwh Reading'!D7-'Kwh Reading'!D6</f>
        <v>2135.2700000004843</v>
      </c>
      <c r="U6" s="27">
        <f>('Kwh Reading'!O7-'Kwh Reading'!O6)*1000</f>
        <v>229.99999999998977</v>
      </c>
      <c r="V6" s="16">
        <f t="shared" si="0"/>
        <v>4956.0100000010098</v>
      </c>
    </row>
    <row r="7" spans="1:22" x14ac:dyDescent="0.25">
      <c r="A7" s="3">
        <f>'Kwh Reading'!A7</f>
        <v>44443</v>
      </c>
      <c r="B7" s="26">
        <f>TOTAL!E5</f>
        <v>21669.999999999163</v>
      </c>
      <c r="C7" s="4">
        <f>('Kwh Reading'!T8-'Kwh Reading'!T7)*1000</f>
        <v>470.00000000002728</v>
      </c>
      <c r="D7" s="2">
        <f>('Kwh Reading'!F8-'Kwh Reading'!F7)*1000000</f>
        <v>2299.9999999999686</v>
      </c>
      <c r="E7" s="2">
        <f>('Kwh Reading'!C8-'Kwh Reading'!C7)*1000</f>
        <v>229.99999999998977</v>
      </c>
      <c r="F7" s="2">
        <f>('Kwh Reading'!J8-'Kwh Reading'!J7)*1000</f>
        <v>149.99999999997726</v>
      </c>
      <c r="G7" s="2">
        <f>('Kwh Reading'!K8-'Kwh Reading'!K7)*1000</f>
        <v>200.00000000004547</v>
      </c>
      <c r="H7" s="2">
        <f>('Kwh Reading'!L8-'Kwh Reading'!L7)*1000</f>
        <v>179.9999999999784</v>
      </c>
      <c r="I7" s="2">
        <f>('Kwh Reading'!R8-'Kwh Reading'!R7)*1000</f>
        <v>240.00000000000909</v>
      </c>
      <c r="J7" s="2">
        <f>('Kwh Reading'!S8-'Kwh Reading'!S7)*1000</f>
        <v>119.99999999999034</v>
      </c>
      <c r="K7" s="2">
        <f>('Kwh Reading'!I8-'Kwh Reading'!I7)*1000</f>
        <v>259.99999999999091</v>
      </c>
      <c r="L7" s="2">
        <f>('Kwh Reading'!B8-'Kwh Reading'!B7)*1000000</f>
        <v>1300.0000000000789</v>
      </c>
      <c r="M7" s="2">
        <f>('Kwh Reading'!M8-'Kwh Reading'!M7)*1000</f>
        <v>779.99999999997272</v>
      </c>
      <c r="N7" s="2">
        <f>('Kwh Reading'!H8-'Kwh Reading'!H7)*1000</f>
        <v>639.99999999998636</v>
      </c>
      <c r="O7" s="2">
        <f>('Kwh Reading'!P8-'Kwh Reading'!P7)*1000</f>
        <v>970.00000000002728</v>
      </c>
      <c r="P7" s="2">
        <f>('Kwh Reading'!G8-'Kwh Reading'!G7)*1000</f>
        <v>799.99999999995453</v>
      </c>
      <c r="Q7" s="2">
        <f>('Kwh Reading'!Q8-'Kwh Reading'!Q7)*1000</f>
        <v>710.00000000003638</v>
      </c>
      <c r="R7" s="2">
        <f>('Kwh Reading'!N8-'Kwh Reading'!N7)*1000</f>
        <v>550.00000000006821</v>
      </c>
      <c r="S7" s="2">
        <f>'Kwh Reading'!E8-'Kwh Reading'!E7</f>
        <v>2838.980000000447</v>
      </c>
      <c r="T7" s="2">
        <f>'Kwh Reading'!D8-'Kwh Reading'!D7</f>
        <v>2177.9000000003725</v>
      </c>
      <c r="U7" s="27">
        <f>('Kwh Reading'!O8-'Kwh Reading'!O7)*1000</f>
        <v>229.99999999998977</v>
      </c>
      <c r="V7" s="16">
        <f t="shared" si="0"/>
        <v>6523.1199999982528</v>
      </c>
    </row>
    <row r="8" spans="1:22" x14ac:dyDescent="0.25">
      <c r="A8" s="3">
        <f>'Kwh Reading'!A8</f>
        <v>44444</v>
      </c>
      <c r="B8" s="26">
        <f>TOTAL!E6</f>
        <v>21990.000000000466</v>
      </c>
      <c r="C8" s="4">
        <f>('Kwh Reading'!T9-'Kwh Reading'!T8)*1000</f>
        <v>490.00000000000909</v>
      </c>
      <c r="D8" s="2">
        <f>('Kwh Reading'!F9-'Kwh Reading'!F8)*1000000</f>
        <v>2299.9999999999686</v>
      </c>
      <c r="E8" s="2">
        <f>('Kwh Reading'!C9-'Kwh Reading'!C8)*1000</f>
        <v>219.99999999999886</v>
      </c>
      <c r="F8" s="2">
        <f>('Kwh Reading'!J9-'Kwh Reading'!J8)*1000</f>
        <v>129.99999999999545</v>
      </c>
      <c r="G8" s="2">
        <f>('Kwh Reading'!K9-'Kwh Reading'!K8)*1000</f>
        <v>219.99999999997044</v>
      </c>
      <c r="H8" s="2">
        <f>('Kwh Reading'!L9-'Kwh Reading'!L8)*1000</f>
        <v>180.00000000000682</v>
      </c>
      <c r="I8" s="2">
        <f>('Kwh Reading'!R9-'Kwh Reading'!R8)*1000</f>
        <v>229.99999999998977</v>
      </c>
      <c r="J8" s="2">
        <f>('Kwh Reading'!S9-'Kwh Reading'!S8)*1000</f>
        <v>109.99999999999943</v>
      </c>
      <c r="K8" s="2">
        <f>('Kwh Reading'!I9-'Kwh Reading'!I8)*1000</f>
        <v>290.00000000002046</v>
      </c>
      <c r="L8" s="2">
        <f>('Kwh Reading'!B9-'Kwh Reading'!B8)*1000000</f>
        <v>1500.0000000000568</v>
      </c>
      <c r="M8" s="2">
        <f>('Kwh Reading'!M9-'Kwh Reading'!M8)*1000</f>
        <v>910.00000000008185</v>
      </c>
      <c r="N8" s="2">
        <f>('Kwh Reading'!H9-'Kwh Reading'!H8)*1000</f>
        <v>610.00000000001364</v>
      </c>
      <c r="O8" s="2">
        <f>('Kwh Reading'!P9-'Kwh Reading'!P8)*1000</f>
        <v>989.99999999989541</v>
      </c>
      <c r="P8" s="2">
        <f>('Kwh Reading'!G9-'Kwh Reading'!G8)*1000</f>
        <v>909.99999999996817</v>
      </c>
      <c r="Q8" s="2">
        <f>('Kwh Reading'!Q9-'Kwh Reading'!Q8)*1000</f>
        <v>779.99999999997272</v>
      </c>
      <c r="R8" s="2">
        <f>('Kwh Reading'!N9-'Kwh Reading'!N8)*1000</f>
        <v>579.99999999992724</v>
      </c>
      <c r="S8" s="2">
        <f>'Kwh Reading'!E9-'Kwh Reading'!E8</f>
        <v>2955.3199999984354</v>
      </c>
      <c r="T8" s="2">
        <f>'Kwh Reading'!D9-'Kwh Reading'!D8</f>
        <v>2304.4599999999627</v>
      </c>
      <c r="U8" s="27">
        <f>('Kwh Reading'!O9-'Kwh Reading'!O8)*1000</f>
        <v>230.00000000001819</v>
      </c>
      <c r="V8" s="16">
        <f t="shared" si="0"/>
        <v>6050.2200000021749</v>
      </c>
    </row>
    <row r="9" spans="1:22" x14ac:dyDescent="0.25">
      <c r="A9" s="3">
        <f>'Kwh Reading'!A9</f>
        <v>44445</v>
      </c>
      <c r="B9" s="26">
        <f>TOTAL!E7</f>
        <v>23189.99999999869</v>
      </c>
      <c r="C9" s="4">
        <f>('Kwh Reading'!T10-'Kwh Reading'!T9)*1000</f>
        <v>459.99999999997954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280.00000000002956</v>
      </c>
      <c r="G9" s="2">
        <f>('Kwh Reading'!K10-'Kwh Reading'!K9)*1000</f>
        <v>210.00000000003638</v>
      </c>
      <c r="H9" s="2">
        <f>('Kwh Reading'!L10-'Kwh Reading'!L9)*1000</f>
        <v>210.00000000000796</v>
      </c>
      <c r="I9" s="2">
        <f>('Kwh Reading'!R10-'Kwh Reading'!R9)*1000</f>
        <v>240.00000000000909</v>
      </c>
      <c r="J9" s="2">
        <f>('Kwh Reading'!S10-'Kwh Reading'!S9)*1000</f>
        <v>130.00000000000966</v>
      </c>
      <c r="K9" s="2">
        <f>('Kwh Reading'!I10-'Kwh Reading'!I9)*1000</f>
        <v>269.99999999998181</v>
      </c>
      <c r="L9" s="2">
        <f>('Kwh Reading'!B10-'Kwh Reading'!B9)*1000000</f>
        <v>1399.9999999998458</v>
      </c>
      <c r="M9" s="2">
        <f>('Kwh Reading'!M10-'Kwh Reading'!M9)*1000</f>
        <v>829.99999999992724</v>
      </c>
      <c r="N9" s="2">
        <f>('Kwh Reading'!H10-'Kwh Reading'!H9)*1000</f>
        <v>610.00000000001364</v>
      </c>
      <c r="O9" s="2">
        <f>('Kwh Reading'!P10-'Kwh Reading'!P9)*1000</f>
        <v>950.00000000004547</v>
      </c>
      <c r="P9" s="2">
        <f>('Kwh Reading'!G10-'Kwh Reading'!G9)*1000</f>
        <v>900.00000000009095</v>
      </c>
      <c r="Q9" s="2">
        <f>('Kwh Reading'!Q10-'Kwh Reading'!Q9)*1000</f>
        <v>660.00000000002501</v>
      </c>
      <c r="R9" s="2">
        <f>('Kwh Reading'!N10-'Kwh Reading'!N9)*1000</f>
        <v>570.00000000005002</v>
      </c>
      <c r="S9" s="2">
        <f>'Kwh Reading'!E10-'Kwh Reading'!E9</f>
        <v>2790.7000000011176</v>
      </c>
      <c r="T9" s="2">
        <f>'Kwh Reading'!D10-'Kwh Reading'!D9</f>
        <v>2215.5999999996275</v>
      </c>
      <c r="U9" s="27">
        <f>('Kwh Reading'!O10-'Kwh Reading'!O9)*1000</f>
        <v>250</v>
      </c>
      <c r="V9" s="16">
        <f t="shared" si="0"/>
        <v>7563.6999999977124</v>
      </c>
    </row>
    <row r="10" spans="1:22" x14ac:dyDescent="0.25">
      <c r="A10" s="3">
        <f>'Kwh Reading'!A10</f>
        <v>44446</v>
      </c>
      <c r="B10" s="26">
        <v>22320.000000001754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240.00000000000909</v>
      </c>
      <c r="F10" s="2">
        <f>('Kwh Reading'!J11-'Kwh Reading'!J10)*1000</f>
        <v>219.99999999997044</v>
      </c>
      <c r="G10" s="2">
        <f>('Kwh Reading'!K11-'Kwh Reading'!K10)*1000</f>
        <v>250</v>
      </c>
      <c r="H10" s="2">
        <f>('Kwh Reading'!L11-'Kwh Reading'!L10)*1000</f>
        <v>199.99999999998863</v>
      </c>
      <c r="I10" s="2">
        <f>('Kwh Reading'!R11-'Kwh Reading'!R10)*1000</f>
        <v>250</v>
      </c>
      <c r="J10" s="2">
        <f>('Kwh Reading'!S11-'Kwh Reading'!S10)*1000</f>
        <v>119.99999999999034</v>
      </c>
      <c r="K10" s="2">
        <f>('Kwh Reading'!I11-'Kwh Reading'!I10)*1000</f>
        <v>270.00000000003865</v>
      </c>
      <c r="L10" s="2">
        <f>('Kwh Reading'!B11-'Kwh Reading'!B10)*1000000</f>
        <v>1400.0000000000678</v>
      </c>
      <c r="M10" s="2">
        <f>('Kwh Reading'!M11-'Kwh Reading'!M10)*1000</f>
        <v>810.00000000005912</v>
      </c>
      <c r="N10" s="2">
        <f>('Kwh Reading'!H11-'Kwh Reading'!H10)*1000</f>
        <v>529.99999999997272</v>
      </c>
      <c r="O10" s="2">
        <f>('Kwh Reading'!P11-'Kwh Reading'!P10)*1000</f>
        <v>940.00000000005457</v>
      </c>
      <c r="P10" s="2">
        <f>('Kwh Reading'!G11-'Kwh Reading'!G10)*1000</f>
        <v>849.99999999990905</v>
      </c>
      <c r="Q10" s="2">
        <f>('Kwh Reading'!Q11-'Kwh Reading'!Q10)*1000</f>
        <v>649.99999999997726</v>
      </c>
      <c r="R10" s="2">
        <f>('Kwh Reading'!N11-'Kwh Reading'!N10)*1000</f>
        <v>549.99999999995453</v>
      </c>
      <c r="S10" s="34">
        <f>'Kwh Reading'!E11-'Kwh Reading'!E10</f>
        <v>2789.9399999994785</v>
      </c>
      <c r="T10" s="34">
        <f>'Kwh Reading'!D11-'Kwh Reading'!D10</f>
        <v>2258.1900000004098</v>
      </c>
      <c r="U10" s="27">
        <f>('Kwh Reading'!O11-'Kwh Reading'!O10)*1000</f>
        <v>180.00000000000682</v>
      </c>
      <c r="V10" s="16">
        <f t="shared" si="0"/>
        <v>7041.8700000018707</v>
      </c>
    </row>
    <row r="11" spans="1:22" x14ac:dyDescent="0.25">
      <c r="A11" s="3">
        <f>'Kwh Reading'!A11</f>
        <v>44447</v>
      </c>
      <c r="B11" s="26">
        <v>20830.000000000611</v>
      </c>
      <c r="C11" s="4">
        <f>('Kwh Reading'!T12-'Kwh Reading'!T11)*1000</f>
        <v>459.99999999997954</v>
      </c>
      <c r="D11" s="2">
        <f>('Kwh Reading'!F12-'Kwh Reading'!F11)*1000000</f>
        <v>2399.9999999997358</v>
      </c>
      <c r="E11" s="2">
        <f>('Kwh Reading'!C12-'Kwh Reading'!C11)*1000</f>
        <v>229.99999999998977</v>
      </c>
      <c r="F11" s="2">
        <f>('Kwh Reading'!J12-'Kwh Reading'!J11)*1000</f>
        <v>189.99999999999773</v>
      </c>
      <c r="G11" s="2">
        <f>('Kwh Reading'!K12-'Kwh Reading'!K11)*1000</f>
        <v>239.99999999995225</v>
      </c>
      <c r="H11" s="2">
        <f>('Kwh Reading'!L12-'Kwh Reading'!L11)*1000</f>
        <v>230.00000000001819</v>
      </c>
      <c r="I11" s="2">
        <f>('Kwh Reading'!R12-'Kwh Reading'!R11)*1000</f>
        <v>240.00000000000909</v>
      </c>
      <c r="J11" s="2">
        <f>('Kwh Reading'!S12-'Kwh Reading'!S11)*1000</f>
        <v>120.00000000000455</v>
      </c>
      <c r="K11" s="2">
        <f>('Kwh Reading'!I12-'Kwh Reading'!I11)*1000</f>
        <v>279.99999999997272</v>
      </c>
      <c r="L11" s="2">
        <f>('Kwh Reading'!B12-'Kwh Reading'!B11)*1000000</f>
        <v>1400.0000000000678</v>
      </c>
      <c r="M11" s="2">
        <f>('Kwh Reading'!M12-'Kwh Reading'!M11)*1000</f>
        <v>809.99999999994543</v>
      </c>
      <c r="N11" s="2">
        <f>('Kwh Reading'!H12-'Kwh Reading'!H11)*1000</f>
        <v>540.00000000007731</v>
      </c>
      <c r="O11" s="2">
        <f>('Kwh Reading'!P12-'Kwh Reading'!P11)*1000</f>
        <v>779.99999999997272</v>
      </c>
      <c r="P11" s="2">
        <f>('Kwh Reading'!G12-'Kwh Reading'!G11)*1000</f>
        <v>780.0000000000864</v>
      </c>
      <c r="Q11" s="2">
        <f>('Kwh Reading'!Q12-'Kwh Reading'!Q11)*1000</f>
        <v>639.99999999998636</v>
      </c>
      <c r="R11" s="2">
        <f>('Kwh Reading'!N12-'Kwh Reading'!N11)*1000</f>
        <v>720.00000000002728</v>
      </c>
      <c r="S11" s="34">
        <f>'Kwh Reading'!E12-'Kwh Reading'!E11</f>
        <v>2550.0400000009686</v>
      </c>
      <c r="T11" s="34">
        <f>'Kwh Reading'!D12-'Kwh Reading'!D11</f>
        <v>2207.5099999997765</v>
      </c>
      <c r="U11" s="27">
        <f>('Kwh Reading'!O12-'Kwh Reading'!O11)*1000</f>
        <v>199.99999999998863</v>
      </c>
      <c r="V11" s="16">
        <f t="shared" si="0"/>
        <v>5812.4500000000535</v>
      </c>
    </row>
    <row r="12" spans="1:22" x14ac:dyDescent="0.25">
      <c r="A12" s="3">
        <f>'Kwh Reading'!A12</f>
        <v>44448</v>
      </c>
      <c r="B12" s="26">
        <v>20069.999999998345</v>
      </c>
      <c r="C12" s="4">
        <f>('Kwh Reading'!T13-'Kwh Reading'!T12)*1000</f>
        <v>500</v>
      </c>
      <c r="D12" s="2">
        <f>('Kwh Reading'!F13-'Kwh Reading'!F12)*1000000</f>
        <v>2400.0000000001796</v>
      </c>
      <c r="E12" s="2">
        <f>('Kwh Reading'!C13-'Kwh Reading'!C12)*1000</f>
        <v>259.99999999999091</v>
      </c>
      <c r="F12" s="2">
        <f>('Kwh Reading'!J13-'Kwh Reading'!J12)*1000</f>
        <v>189.99999999999773</v>
      </c>
      <c r="G12" s="2">
        <f>('Kwh Reading'!K13-'Kwh Reading'!K12)*1000</f>
        <v>230.00000000001819</v>
      </c>
      <c r="H12" s="2">
        <f>('Kwh Reading'!L13-'Kwh Reading'!L12)*1000</f>
        <v>219.99999999999886</v>
      </c>
      <c r="I12" s="2">
        <f>('Kwh Reading'!R13-'Kwh Reading'!R12)*1000</f>
        <v>219.99999999999886</v>
      </c>
      <c r="J12" s="2">
        <f>('Kwh Reading'!S13-'Kwh Reading'!S12)*1000</f>
        <v>109.99999999999943</v>
      </c>
      <c r="K12" s="2">
        <f>('Kwh Reading'!I13-'Kwh Reading'!I12)*1000</f>
        <v>259.99999999999091</v>
      </c>
      <c r="L12" s="2">
        <f>('Kwh Reading'!B13-'Kwh Reading'!B12)*1000000</f>
        <v>1500.0000000000568</v>
      </c>
      <c r="M12" s="2">
        <f>('Kwh Reading'!M13-'Kwh Reading'!M12)*1000</f>
        <v>790.00000000007731</v>
      </c>
      <c r="N12" s="2">
        <f>('Kwh Reading'!H13-'Kwh Reading'!H12)*1000</f>
        <v>559.99999999994543</v>
      </c>
      <c r="O12" s="2">
        <f>('Kwh Reading'!P13-'Kwh Reading'!P12)*1000</f>
        <v>799.99999999995453</v>
      </c>
      <c r="P12" s="2">
        <f>('Kwh Reading'!G13-'Kwh Reading'!G12)*1000</f>
        <v>799.99999999995453</v>
      </c>
      <c r="Q12" s="2">
        <f>('Kwh Reading'!Q13-'Kwh Reading'!Q12)*1000</f>
        <v>680.00000000000682</v>
      </c>
      <c r="R12" s="2">
        <f>('Kwh Reading'!N13-'Kwh Reading'!N12)*1000</f>
        <v>720.00000000002728</v>
      </c>
      <c r="S12" s="34">
        <f>'Kwh Reading'!E13-'Kwh Reading'!E12</f>
        <v>2677.2299999985844</v>
      </c>
      <c r="T12" s="34">
        <f>'Kwh Reading'!D13-'Kwh Reading'!D12</f>
        <v>2286.4599999999627</v>
      </c>
      <c r="U12" s="27">
        <f>('Kwh Reading'!O13-'Kwh Reading'!O12)*1000</f>
        <v>189.99999999999773</v>
      </c>
      <c r="V12" s="16">
        <f t="shared" ref="V12:V34" si="1">B12-(SUM(C12:U12))</f>
        <v>4676.3099999996011</v>
      </c>
    </row>
    <row r="13" spans="1:22" x14ac:dyDescent="0.25">
      <c r="A13" s="3">
        <f>'Kwh Reading'!A13</f>
        <v>44449</v>
      </c>
      <c r="B13" s="26">
        <f>TOTAL!E11</f>
        <v>21210.00000000163</v>
      </c>
      <c r="C13" s="4">
        <f>('Kwh Reading'!T14-'Kwh Reading'!T13)*1000</f>
        <v>319.99999999999318</v>
      </c>
      <c r="D13" s="2">
        <f>('Kwh Reading'!F14-'Kwh Reading'!F13)*1000000</f>
        <v>2499.9999999999468</v>
      </c>
      <c r="E13" s="2">
        <f>('Kwh Reading'!C14-'Kwh Reading'!C13)*1000</f>
        <v>250</v>
      </c>
      <c r="F13" s="2">
        <f>('Kwh Reading'!J14-'Kwh Reading'!J13)*1000</f>
        <v>270.00000000003865</v>
      </c>
      <c r="G13" s="2">
        <f>('Kwh Reading'!K14-'Kwh Reading'!K13)*1000</f>
        <v>269.99999999998181</v>
      </c>
      <c r="H13" s="2">
        <f>('Kwh Reading'!L14-'Kwh Reading'!L13)*1000</f>
        <v>179.9999999999784</v>
      </c>
      <c r="I13" s="2">
        <f>('Kwh Reading'!R14-'Kwh Reading'!R13)*1000</f>
        <v>239.99999999998067</v>
      </c>
      <c r="J13" s="2">
        <f>('Kwh Reading'!S14-'Kwh Reading'!S13)*1000</f>
        <v>120.00000000000455</v>
      </c>
      <c r="K13" s="2">
        <f>('Kwh Reading'!I14-'Kwh Reading'!I13)*1000</f>
        <v>270.00000000003865</v>
      </c>
      <c r="L13" s="2">
        <f>('Kwh Reading'!B14-'Kwh Reading'!B13)*1000000</f>
        <v>1399.9999999998458</v>
      </c>
      <c r="M13" s="2">
        <f>('Kwh Reading'!M14-'Kwh Reading'!M13)*1000</f>
        <v>799.99999999995453</v>
      </c>
      <c r="N13" s="2">
        <f>('Kwh Reading'!H14-'Kwh Reading'!H13)*1000</f>
        <v>649.99999999997726</v>
      </c>
      <c r="O13" s="2">
        <f>('Kwh Reading'!P14-'Kwh Reading'!P13)*1000</f>
        <v>840.00000000003183</v>
      </c>
      <c r="P13" s="2">
        <f>('Kwh Reading'!G14-'Kwh Reading'!G13)*1000</f>
        <v>799.99999999995453</v>
      </c>
      <c r="Q13" s="2">
        <f>('Kwh Reading'!Q14-'Kwh Reading'!Q13)*1000</f>
        <v>680.00000000000682</v>
      </c>
      <c r="R13" s="2">
        <f>('Kwh Reading'!N14-'Kwh Reading'!N13)*1000</f>
        <v>829.99999999992724</v>
      </c>
      <c r="S13" s="34">
        <f>'Kwh Reading'!E14-'Kwh Reading'!E13</f>
        <v>2550.0600000005215</v>
      </c>
      <c r="T13" s="34">
        <f>'Kwh Reading'!D14-'Kwh Reading'!D13</f>
        <v>2390.859999999404</v>
      </c>
      <c r="U13" s="27">
        <f>('Kwh Reading'!O14-'Kwh Reading'!O13)*1000</f>
        <v>199.99999999998863</v>
      </c>
      <c r="V13" s="16">
        <f t="shared" si="1"/>
        <v>5649.0800000020536</v>
      </c>
    </row>
    <row r="14" spans="1:22" x14ac:dyDescent="0.25">
      <c r="A14" s="3">
        <f>'Kwh Reading'!A14</f>
        <v>44450</v>
      </c>
      <c r="B14" s="26">
        <f>TOTAL!E12</f>
        <v>23920.000000001208</v>
      </c>
      <c r="C14" s="4">
        <f>('Kwh Reading'!T15-'Kwh Reading'!T14)*1000</f>
        <v>490.00000000000909</v>
      </c>
      <c r="D14" s="2">
        <f>('Kwh Reading'!F15-'Kwh Reading'!F14)*1000000</f>
        <v>2499.9999999999468</v>
      </c>
      <c r="E14" s="2">
        <f>('Kwh Reading'!C15-'Kwh Reading'!C14)*1000</f>
        <v>240.00000000000909</v>
      </c>
      <c r="F14" s="2">
        <f>('Kwh Reading'!J15-'Kwh Reading'!J14)*1000</f>
        <v>229.99999999996135</v>
      </c>
      <c r="G14" s="2">
        <f>('Kwh Reading'!K15-'Kwh Reading'!K14)*1000</f>
        <v>310.00000000000227</v>
      </c>
      <c r="H14" s="2">
        <f>('Kwh Reading'!L15-'Kwh Reading'!L14)*1000</f>
        <v>210.00000000000796</v>
      </c>
      <c r="I14" s="2">
        <f>('Kwh Reading'!R15-'Kwh Reading'!R14)*1000</f>
        <v>250</v>
      </c>
      <c r="J14" s="2">
        <f>('Kwh Reading'!S15-'Kwh Reading'!S14)*1000</f>
        <v>120.00000000000455</v>
      </c>
      <c r="K14" s="2">
        <f>('Kwh Reading'!I15-'Kwh Reading'!I14)*1000</f>
        <v>299.99999999995453</v>
      </c>
      <c r="L14" s="2">
        <f>('Kwh Reading'!B15-'Kwh Reading'!B14)*1000000</f>
        <v>1400.0000000000678</v>
      </c>
      <c r="M14" s="2">
        <f>('Kwh Reading'!M15-'Kwh Reading'!M14)*1000</f>
        <v>860.00000000001364</v>
      </c>
      <c r="N14" s="2">
        <f>('Kwh Reading'!H15-'Kwh Reading'!H14)*1000</f>
        <v>710.00000000003638</v>
      </c>
      <c r="O14" s="2">
        <f>('Kwh Reading'!P15-'Kwh Reading'!P14)*1000</f>
        <v>919.99999999995907</v>
      </c>
      <c r="P14" s="2">
        <f>('Kwh Reading'!G15-'Kwh Reading'!G14)*1000</f>
        <v>810.00000000005912</v>
      </c>
      <c r="Q14" s="2">
        <f>('Kwh Reading'!Q15-'Kwh Reading'!Q14)*1000</f>
        <v>680.00000000000682</v>
      </c>
      <c r="R14" s="2">
        <f>('Kwh Reading'!N15-'Kwh Reading'!N14)*1000</f>
        <v>790.00000000007731</v>
      </c>
      <c r="S14" s="34">
        <f>'Kwh Reading'!E15-'Kwh Reading'!E14</f>
        <v>2629.929999999702</v>
      </c>
      <c r="T14" s="34">
        <f>'Kwh Reading'!D15-'Kwh Reading'!D14</f>
        <v>2279.8000000007451</v>
      </c>
      <c r="U14" s="27">
        <f>('Kwh Reading'!O15-'Kwh Reading'!O14)*1000</f>
        <v>180.00000000000682</v>
      </c>
      <c r="V14" s="16">
        <f t="shared" si="1"/>
        <v>8010.2700000006371</v>
      </c>
    </row>
    <row r="15" spans="1:22" x14ac:dyDescent="0.25">
      <c r="A15" s="3">
        <f>'Kwh Reading'!A15</f>
        <v>44451</v>
      </c>
      <c r="B15" s="26">
        <f>TOTAL!E13</f>
        <v>20779.999999999291</v>
      </c>
      <c r="C15" s="4">
        <f>('Kwh Reading'!T16-'Kwh Reading'!T15)*1000</f>
        <v>500</v>
      </c>
      <c r="D15" s="2">
        <f>('Kwh Reading'!F16-'Kwh Reading'!F15)*1000000</f>
        <v>2299.9999999999686</v>
      </c>
      <c r="E15" s="2">
        <f>('Kwh Reading'!C16-'Kwh Reading'!C15)*1000</f>
        <v>219.99999999999886</v>
      </c>
      <c r="F15" s="2">
        <f>('Kwh Reading'!J16-'Kwh Reading'!J15)*1000</f>
        <v>189.99999999999773</v>
      </c>
      <c r="G15" s="2">
        <f>('Kwh Reading'!K16-'Kwh Reading'!K15)*1000</f>
        <v>200.00000000004547</v>
      </c>
      <c r="H15" s="2">
        <f>('Kwh Reading'!L16-'Kwh Reading'!L15)*1000</f>
        <v>199.99999999998863</v>
      </c>
      <c r="I15" s="2">
        <f>('Kwh Reading'!R16-'Kwh Reading'!R15)*1000</f>
        <v>219.99999999999886</v>
      </c>
      <c r="J15" s="2">
        <f>('Kwh Reading'!S16-'Kwh Reading'!S15)*1000</f>
        <v>109.99999999999943</v>
      </c>
      <c r="K15" s="2">
        <f>('Kwh Reading'!I16-'Kwh Reading'!I15)*1000</f>
        <v>270.00000000003865</v>
      </c>
      <c r="L15" s="2">
        <f>('Kwh Reading'!B16-'Kwh Reading'!B15)*1000000</f>
        <v>1400.0000000000678</v>
      </c>
      <c r="M15" s="2">
        <f>('Kwh Reading'!M16-'Kwh Reading'!M15)*1000</f>
        <v>809.99999999994543</v>
      </c>
      <c r="N15" s="2">
        <f>('Kwh Reading'!H16-'Kwh Reading'!H15)*1000</f>
        <v>559.99999999994543</v>
      </c>
      <c r="O15" s="2">
        <f>('Kwh Reading'!P16-'Kwh Reading'!P15)*1000</f>
        <v>800.00000000006821</v>
      </c>
      <c r="P15" s="2">
        <f>('Kwh Reading'!G16-'Kwh Reading'!G15)*1000</f>
        <v>829.99999999992724</v>
      </c>
      <c r="Q15" s="2">
        <f>('Kwh Reading'!Q16-'Kwh Reading'!Q15)*1000</f>
        <v>600.00000000002274</v>
      </c>
      <c r="R15" s="2">
        <f>('Kwh Reading'!N16-'Kwh Reading'!N15)*1000</f>
        <v>769.99999999998181</v>
      </c>
      <c r="S15" s="34">
        <f>'Kwh Reading'!E16-'Kwh Reading'!E15</f>
        <v>2472.0500000007451</v>
      </c>
      <c r="T15" s="34">
        <f>'Kwh Reading'!D16-'Kwh Reading'!D15</f>
        <v>2208.7099999999627</v>
      </c>
      <c r="U15" s="27">
        <f>('Kwh Reading'!O16-'Kwh Reading'!O15)*1000</f>
        <v>219.99999999999886</v>
      </c>
      <c r="V15" s="16">
        <f t="shared" si="1"/>
        <v>5899.2399999985919</v>
      </c>
    </row>
    <row r="16" spans="1:22" x14ac:dyDescent="0.25">
      <c r="A16" s="3">
        <f>'Kwh Reading'!A16</f>
        <v>44452</v>
      </c>
      <c r="B16" s="26">
        <f>TOTAL!E14</f>
        <v>0</v>
      </c>
      <c r="C16" s="4">
        <f>('Kwh Reading'!T17-'Kwh Reading'!T16)*1000</f>
        <v>-454750</v>
      </c>
      <c r="D16" s="2">
        <f>('Kwh Reading'!F17-'Kwh Reading'!F16)*1000000</f>
        <v>-2557000</v>
      </c>
      <c r="E16" s="2">
        <f>('Kwh Reading'!C17-'Kwh Reading'!C16)*1000</f>
        <v>-247630</v>
      </c>
      <c r="F16" s="2">
        <f>('Kwh Reading'!J17-'Kwh Reading'!J16)*1000</f>
        <v>-335650</v>
      </c>
      <c r="G16" s="2">
        <f>('Kwh Reading'!K17-'Kwh Reading'!K16)*1000</f>
        <v>-361470</v>
      </c>
      <c r="H16" s="2">
        <f>('Kwh Reading'!L17-'Kwh Reading'!L16)*1000</f>
        <v>-248920</v>
      </c>
      <c r="I16" s="2">
        <f>('Kwh Reading'!R17-'Kwh Reading'!R16)*1000</f>
        <v>-177480</v>
      </c>
      <c r="J16" s="2">
        <f>('Kwh Reading'!S17-'Kwh Reading'!S16)*1000</f>
        <v>-124150</v>
      </c>
      <c r="K16" s="2">
        <f>('Kwh Reading'!I17-'Kwh Reading'!I16)*1000</f>
        <v>-259360</v>
      </c>
      <c r="L16" s="2">
        <f>('Kwh Reading'!B17-'Kwh Reading'!B16)*1000000</f>
        <v>-1081900</v>
      </c>
      <c r="M16" s="2">
        <f>('Kwh Reading'!M17-'Kwh Reading'!M16)*1000</f>
        <v>-574420</v>
      </c>
      <c r="N16" s="2">
        <f>('Kwh Reading'!H17-'Kwh Reading'!H16)*1000</f>
        <v>-661180</v>
      </c>
      <c r="O16" s="2">
        <f>('Kwh Reading'!P17-'Kwh Reading'!P16)*1000</f>
        <v>-693210</v>
      </c>
      <c r="P16" s="2">
        <f>('Kwh Reading'!G17-'Kwh Reading'!G16)*1000</f>
        <v>-808310</v>
      </c>
      <c r="Q16" s="2">
        <f>('Kwh Reading'!Q17-'Kwh Reading'!Q16)*1000</f>
        <v>-511980</v>
      </c>
      <c r="R16" s="2">
        <f>('Kwh Reading'!N17-'Kwh Reading'!N16)*1000</f>
        <v>-525720</v>
      </c>
      <c r="S16" s="34">
        <f>'Kwh Reading'!E17-'Kwh Reading'!E16</f>
        <v>-8415883.4000000004</v>
      </c>
      <c r="T16" s="34">
        <f>'Kwh Reading'!D17-'Kwh Reading'!D16</f>
        <v>-7653347.8200000003</v>
      </c>
      <c r="U16" s="27">
        <f>('Kwh Reading'!O17-'Kwh Reading'!O16)*1000</f>
        <v>-168100</v>
      </c>
      <c r="V16" s="16">
        <f t="shared" si="1"/>
        <v>25860461.219999999</v>
      </c>
    </row>
    <row r="17" spans="1:22" x14ac:dyDescent="0.25">
      <c r="A17" s="3">
        <f>'Kwh Reading'!A17</f>
        <v>44453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44454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44455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44456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44457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44458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44459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44460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44461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44462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44463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44464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44465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44466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44467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44468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44469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44470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263240.00000000163</v>
      </c>
      <c r="C35" s="75">
        <f t="shared" ref="C35" si="2">SUM(C4:C34)</f>
        <v>-449370</v>
      </c>
      <c r="D35" s="75">
        <f t="shared" ref="D35" si="3">SUM(D4:D34)</f>
        <v>-2528500.0000000005</v>
      </c>
      <c r="E35" s="75">
        <f t="shared" ref="E35" si="4">SUM(E4:E34)</f>
        <v>-244760</v>
      </c>
      <c r="F35" s="75">
        <f t="shared" ref="F35" si="5">SUM(F4:F34)</f>
        <v>-333200</v>
      </c>
      <c r="G35" s="75">
        <f t="shared" ref="G35:U35" si="6">SUM(G4:G34)</f>
        <v>-358670</v>
      </c>
      <c r="H35" s="75">
        <f t="shared" si="6"/>
        <v>-246580.00000000003</v>
      </c>
      <c r="I35" s="75">
        <f t="shared" si="6"/>
        <v>-174590</v>
      </c>
      <c r="J35" s="75">
        <f t="shared" si="6"/>
        <v>-122739.99999999999</v>
      </c>
      <c r="K35" s="75">
        <f t="shared" si="6"/>
        <v>-256100</v>
      </c>
      <c r="L35" s="75">
        <f t="shared" si="6"/>
        <v>-1064999.9999999998</v>
      </c>
      <c r="M35" s="75">
        <f t="shared" si="6"/>
        <v>-564620</v>
      </c>
      <c r="N35" s="75">
        <f t="shared" si="6"/>
        <v>-653780</v>
      </c>
      <c r="O35" s="75">
        <f t="shared" si="6"/>
        <v>-682279.99999999988</v>
      </c>
      <c r="P35" s="75">
        <f t="shared" si="6"/>
        <v>-798320.00000000012</v>
      </c>
      <c r="Q35" s="75">
        <f t="shared" si="6"/>
        <v>-503899.99999999994</v>
      </c>
      <c r="R35" s="75">
        <f t="shared" si="6"/>
        <v>-517909.99999999994</v>
      </c>
      <c r="S35" s="75">
        <f t="shared" si="6"/>
        <v>-8383537.8399999999</v>
      </c>
      <c r="T35" s="75">
        <f t="shared" si="6"/>
        <v>-7626409.6399999997</v>
      </c>
      <c r="U35" s="75">
        <f t="shared" si="6"/>
        <v>-165550.00000000003</v>
      </c>
      <c r="V35" s="75">
        <f>SUM(V4:V34)</f>
        <v>25939057.48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44440</v>
      </c>
      <c r="B3" s="83">
        <f>TOTAL!E2</f>
        <v>22650.000000000546</v>
      </c>
      <c r="C3" s="1">
        <f>'Kwh Consumption'!C4</f>
        <v>480.00000000001819</v>
      </c>
      <c r="D3" s="1">
        <f>'Kwh Consumption'!D4</f>
        <v>2399.9999999997358</v>
      </c>
      <c r="E3" s="1">
        <f>'Kwh Consumption'!E4</f>
        <v>240.00000000000909</v>
      </c>
      <c r="F3" s="1">
        <f>('Kwh Consumption'!F4+'Kwh Consumption'!G4+'Kwh Consumption'!H4)</f>
        <v>660.00000000002501</v>
      </c>
      <c r="G3" s="16">
        <f>('Kwh Consumption'!I4+'Kwh Consumption'!J4)</f>
        <v>390.00000000001478</v>
      </c>
      <c r="H3" s="1">
        <f>('Kwh Consumption'!K4+'Kwh Consumption'!L4)</f>
        <v>1670.0000000000496</v>
      </c>
      <c r="I3" s="1">
        <f>('Kwh Consumption'!M4+'Kwh Consumption'!N4+'Kwh Consumption'!O4+'Kwh Consumption'!P4+'Kwh Consumption'!Q4+'Kwh Consumption'!R4)</f>
        <v>4980.0000000000746</v>
      </c>
      <c r="J3" s="1">
        <f>('Kwh Consumption'!S4+'Kwh Consumption'!T4)</f>
        <v>5198.6300000008196</v>
      </c>
      <c r="K3" s="1">
        <f>'Kwh Consumption'!U4</f>
        <v>219.99999999999886</v>
      </c>
      <c r="L3" s="32">
        <f t="shared" ref="L3:L33" si="0">B3-C3-D3-E3-F3-G3-H3-I3-J3-K3</f>
        <v>6411.3699999998016</v>
      </c>
    </row>
    <row r="4" spans="1:12" x14ac:dyDescent="0.25">
      <c r="A4" s="14">
        <f>'Kwh Reading'!A5</f>
        <v>44441</v>
      </c>
      <c r="B4" s="83">
        <f>TOTAL!E3</f>
        <v>21689.999999998465</v>
      </c>
      <c r="C4" s="1">
        <f>'Kwh Consumption'!C5</f>
        <v>449.99999999998863</v>
      </c>
      <c r="D4" s="1">
        <f>'Kwh Consumption'!D5</f>
        <v>2299.9999999999686</v>
      </c>
      <c r="E4" s="1">
        <f>'Kwh Consumption'!E5</f>
        <v>240.00000000000909</v>
      </c>
      <c r="F4" s="1">
        <f>('Kwh Consumption'!F5+'Kwh Consumption'!G5+'Kwh Consumption'!H5)</f>
        <v>569.99999999996476</v>
      </c>
      <c r="G4" s="16">
        <f>('Kwh Consumption'!I5+'Kwh Consumption'!J5)</f>
        <v>379.99999999999545</v>
      </c>
      <c r="H4" s="1">
        <f>('Kwh Consumption'!K5+'Kwh Consumption'!L5)</f>
        <v>1660.0000000000587</v>
      </c>
      <c r="I4" s="1">
        <f>('Kwh Consumption'!M5+'Kwh Consumption'!N5+'Kwh Consumption'!O5+'Kwh Consumption'!P5+'Kwh Consumption'!Q5+'Kwh Consumption'!R5)</f>
        <v>4090.0000000000887</v>
      </c>
      <c r="J4" s="1">
        <f>('Kwh Consumption'!S5+'Kwh Consumption'!T5)</f>
        <v>4647.3799999989569</v>
      </c>
      <c r="K4" s="1">
        <f>'Kwh Consumption'!U5</f>
        <v>219.99999999999886</v>
      </c>
      <c r="L4" s="32">
        <f t="shared" si="0"/>
        <v>7132.6199999994378</v>
      </c>
    </row>
    <row r="5" spans="1:12" x14ac:dyDescent="0.25">
      <c r="A5" s="14">
        <f>'Kwh Reading'!A6</f>
        <v>44442</v>
      </c>
      <c r="B5" s="83">
        <f>TOTAL!E4</f>
        <v>20050.000000002001</v>
      </c>
      <c r="C5" s="1">
        <f>'Kwh Consumption'!C6</f>
        <v>289.99999999996362</v>
      </c>
      <c r="D5" s="1">
        <f>'Kwh Consumption'!D6</f>
        <v>2400.0000000001796</v>
      </c>
      <c r="E5" s="1">
        <f>'Kwh Consumption'!E6</f>
        <v>250</v>
      </c>
      <c r="F5" s="1">
        <f>('Kwh Consumption'!F6+'Kwh Consumption'!G6+'Kwh Consumption'!H6)</f>
        <v>569.99999999999318</v>
      </c>
      <c r="G5" s="16">
        <f>('Kwh Consumption'!I6+'Kwh Consumption'!J6)</f>
        <v>339.9999999999892</v>
      </c>
      <c r="H5" s="1">
        <f>('Kwh Consumption'!K6+'Kwh Consumption'!L6)</f>
        <v>1659.9999999998367</v>
      </c>
      <c r="I5" s="1">
        <f>('Kwh Consumption'!M6+'Kwh Consumption'!N6+'Kwh Consumption'!O6+'Kwh Consumption'!P6+'Kwh Consumption'!Q6+'Kwh Consumption'!R6)</f>
        <v>4499.9999999998863</v>
      </c>
      <c r="J5" s="1">
        <f>('Kwh Consumption'!S6+'Kwh Consumption'!T6)</f>
        <v>4853.9900000011548</v>
      </c>
      <c r="K5" s="1">
        <f>'Kwh Consumption'!U6</f>
        <v>229.99999999998977</v>
      </c>
      <c r="L5" s="32">
        <f t="shared" si="0"/>
        <v>4956.0100000010088</v>
      </c>
    </row>
    <row r="6" spans="1:12" x14ac:dyDescent="0.25">
      <c r="A6" s="14">
        <f>'Kwh Reading'!A7</f>
        <v>44443</v>
      </c>
      <c r="B6" s="83">
        <f>TOTAL!E5</f>
        <v>21669.999999999163</v>
      </c>
      <c r="C6" s="1">
        <f>'Kwh Consumption'!C7</f>
        <v>470.00000000002728</v>
      </c>
      <c r="D6" s="1">
        <f>'Kwh Consumption'!D7</f>
        <v>2299.9999999999686</v>
      </c>
      <c r="E6" s="1">
        <f>'Kwh Consumption'!E7</f>
        <v>229.99999999998977</v>
      </c>
      <c r="F6" s="1">
        <f>('Kwh Consumption'!F7+'Kwh Consumption'!G7+'Kwh Consumption'!H7)</f>
        <v>530.00000000000114</v>
      </c>
      <c r="G6" s="16">
        <f>('Kwh Consumption'!I7+'Kwh Consumption'!J7)</f>
        <v>359.99999999999943</v>
      </c>
      <c r="H6" s="1">
        <f>('Kwh Consumption'!K7+'Kwh Consumption'!L7)</f>
        <v>1560.0000000000698</v>
      </c>
      <c r="I6" s="1">
        <f>('Kwh Consumption'!M7+'Kwh Consumption'!N7+'Kwh Consumption'!O7+'Kwh Consumption'!P7+'Kwh Consumption'!Q7+'Kwh Consumption'!R7)</f>
        <v>4450.0000000000455</v>
      </c>
      <c r="J6" s="1">
        <f>('Kwh Consumption'!S7+'Kwh Consumption'!T7)</f>
        <v>5016.8800000008196</v>
      </c>
      <c r="K6" s="1">
        <f>'Kwh Consumption'!U7</f>
        <v>229.99999999998977</v>
      </c>
      <c r="L6" s="32">
        <f t="shared" si="0"/>
        <v>6523.1199999982537</v>
      </c>
    </row>
    <row r="7" spans="1:12" x14ac:dyDescent="0.25">
      <c r="A7" s="14">
        <f>'Kwh Reading'!A8</f>
        <v>44444</v>
      </c>
      <c r="B7" s="83">
        <f>TOTAL!E6</f>
        <v>21990.000000000466</v>
      </c>
      <c r="C7" s="1">
        <f>'Kwh Consumption'!C8</f>
        <v>490.00000000000909</v>
      </c>
      <c r="D7" s="1">
        <f>'Kwh Consumption'!D8</f>
        <v>2299.9999999999686</v>
      </c>
      <c r="E7" s="1">
        <f>'Kwh Consumption'!E8</f>
        <v>219.99999999999886</v>
      </c>
      <c r="F7" s="1">
        <f>('Kwh Consumption'!F8+'Kwh Consumption'!G8+'Kwh Consumption'!H8)</f>
        <v>529.99999999997272</v>
      </c>
      <c r="G7" s="16">
        <f>('Kwh Consumption'!I8+'Kwh Consumption'!J8)</f>
        <v>339.9999999999892</v>
      </c>
      <c r="H7" s="1">
        <f>('Kwh Consumption'!K8+'Kwh Consumption'!L8)</f>
        <v>1790.0000000000773</v>
      </c>
      <c r="I7" s="1">
        <f>('Kwh Consumption'!M8+'Kwh Consumption'!N8+'Kwh Consumption'!O8+'Kwh Consumption'!P8+'Kwh Consumption'!Q8+'Kwh Consumption'!R8)</f>
        <v>4779.999999999859</v>
      </c>
      <c r="J7" s="1">
        <f>('Kwh Consumption'!S8+'Kwh Consumption'!T8)</f>
        <v>5259.7799999983981</v>
      </c>
      <c r="K7" s="1">
        <f>'Kwh Consumption'!U8</f>
        <v>230.00000000001819</v>
      </c>
      <c r="L7" s="32">
        <f t="shared" si="0"/>
        <v>6050.2200000021767</v>
      </c>
    </row>
    <row r="8" spans="1:12" x14ac:dyDescent="0.25">
      <c r="A8" s="14">
        <f>'Kwh Reading'!A9</f>
        <v>44445</v>
      </c>
      <c r="B8" s="83">
        <f>TOTAL!E7</f>
        <v>23189.99999999869</v>
      </c>
      <c r="C8" s="1">
        <f>'Kwh Consumption'!C9</f>
        <v>459.99999999997954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700.0000000000739</v>
      </c>
      <c r="G8" s="16">
        <f>('Kwh Consumption'!I9+'Kwh Consumption'!J9)</f>
        <v>370.00000000001876</v>
      </c>
      <c r="H8" s="1">
        <f>('Kwh Consumption'!K9+'Kwh Consumption'!L9)</f>
        <v>1669.9999999998277</v>
      </c>
      <c r="I8" s="1">
        <f>('Kwh Consumption'!M9+'Kwh Consumption'!N9+'Kwh Consumption'!O9+'Kwh Consumption'!P9+'Kwh Consumption'!Q9+'Kwh Consumption'!R9)</f>
        <v>4520.0000000001528</v>
      </c>
      <c r="J8" s="1">
        <f>('Kwh Consumption'!S9+'Kwh Consumption'!T9)</f>
        <v>5006.3000000007451</v>
      </c>
      <c r="K8" s="1">
        <f>'Kwh Consumption'!U9</f>
        <v>250</v>
      </c>
      <c r="L8" s="32">
        <f t="shared" si="0"/>
        <v>7563.6999999977161</v>
      </c>
    </row>
    <row r="9" spans="1:12" x14ac:dyDescent="0.25">
      <c r="A9" s="14">
        <f>'Kwh Reading'!A10</f>
        <v>44446</v>
      </c>
      <c r="B9" s="83">
        <f>TOTAL!E8</f>
        <v>22320.000000001754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240.00000000000909</v>
      </c>
      <c r="F9" s="1">
        <f>('Kwh Consumption'!F10+'Kwh Consumption'!G10+'Kwh Consumption'!H10)</f>
        <v>669.99999999995907</v>
      </c>
      <c r="G9" s="16">
        <f>('Kwh Consumption'!I10+'Kwh Consumption'!J10)</f>
        <v>369.99999999999034</v>
      </c>
      <c r="H9" s="1">
        <f>('Kwh Consumption'!K10+'Kwh Consumption'!L10)</f>
        <v>1670.0000000001064</v>
      </c>
      <c r="I9" s="1">
        <f>('Kwh Consumption'!M10+'Kwh Consumption'!N10+'Kwh Consumption'!O10+'Kwh Consumption'!P10+'Kwh Consumption'!Q10+'Kwh Consumption'!R10)</f>
        <v>4329.9999999999272</v>
      </c>
      <c r="J9" s="1">
        <f>('Kwh Consumption'!S10+'Kwh Consumption'!T10)</f>
        <v>5048.1299999998882</v>
      </c>
      <c r="K9" s="1">
        <f>'Kwh Consumption'!U10</f>
        <v>180.00000000000682</v>
      </c>
      <c r="L9" s="32">
        <f t="shared" si="0"/>
        <v>7041.8700000018689</v>
      </c>
    </row>
    <row r="10" spans="1:12" x14ac:dyDescent="0.25">
      <c r="A10" s="14">
        <f>'Kwh Reading'!A11</f>
        <v>44447</v>
      </c>
      <c r="B10" s="83">
        <f>TOTAL!E9</f>
        <v>19900.00000000032</v>
      </c>
      <c r="C10" s="1">
        <f>'Kwh Consumption'!C11</f>
        <v>459.99999999997954</v>
      </c>
      <c r="D10" s="1">
        <f>'Kwh Consumption'!D11</f>
        <v>2399.9999999997358</v>
      </c>
      <c r="E10" s="1">
        <f>'Kwh Consumption'!E11</f>
        <v>229.99999999998977</v>
      </c>
      <c r="F10" s="1">
        <f>('Kwh Consumption'!F11+'Kwh Consumption'!G11+'Kwh Consumption'!H11)</f>
        <v>659.99999999996817</v>
      </c>
      <c r="G10" s="16">
        <f>('Kwh Consumption'!I11+'Kwh Consumption'!J11)</f>
        <v>360.00000000001364</v>
      </c>
      <c r="H10" s="1">
        <f>('Kwh Consumption'!K11+'Kwh Consumption'!L11)</f>
        <v>1680.0000000000405</v>
      </c>
      <c r="I10" s="1">
        <f>('Kwh Consumption'!M11+'Kwh Consumption'!N11+'Kwh Consumption'!O11+'Kwh Consumption'!P11+'Kwh Consumption'!Q11+'Kwh Consumption'!R11)</f>
        <v>4270.0000000000955</v>
      </c>
      <c r="J10" s="1">
        <f>('Kwh Consumption'!S11+'Kwh Consumption'!T11)</f>
        <v>4757.5500000007451</v>
      </c>
      <c r="K10" s="1">
        <f>'Kwh Consumption'!U11</f>
        <v>199.99999999998863</v>
      </c>
      <c r="L10" s="32">
        <f t="shared" si="0"/>
        <v>4882.4499999997679</v>
      </c>
    </row>
    <row r="11" spans="1:12" x14ac:dyDescent="0.25">
      <c r="A11" s="14">
        <f>'Kwh Reading'!A12</f>
        <v>44448</v>
      </c>
      <c r="B11" s="83">
        <f>TOTAL!E10</f>
        <v>20219.999999997981</v>
      </c>
      <c r="C11" s="1">
        <f>'Kwh Consumption'!C12</f>
        <v>500</v>
      </c>
      <c r="D11" s="1">
        <f>'Kwh Consumption'!D12</f>
        <v>2400.0000000001796</v>
      </c>
      <c r="E11" s="1">
        <f>'Kwh Consumption'!E12</f>
        <v>259.99999999999091</v>
      </c>
      <c r="F11" s="1">
        <f>('Kwh Consumption'!F12+'Kwh Consumption'!G12+'Kwh Consumption'!H12)</f>
        <v>640.00000000001478</v>
      </c>
      <c r="G11" s="16">
        <f>('Kwh Consumption'!I12+'Kwh Consumption'!J12)</f>
        <v>329.99999999999829</v>
      </c>
      <c r="H11" s="1">
        <f>('Kwh Consumption'!K12+'Kwh Consumption'!L12)</f>
        <v>1760.0000000000477</v>
      </c>
      <c r="I11" s="1">
        <f>('Kwh Consumption'!M12+'Kwh Consumption'!N12+'Kwh Consumption'!O12+'Kwh Consumption'!P12+'Kwh Consumption'!Q12+'Kwh Consumption'!R12)</f>
        <v>4349.9999999999654</v>
      </c>
      <c r="J11" s="1">
        <f>('Kwh Consumption'!S12+'Kwh Consumption'!T12)</f>
        <v>4963.6899999985471</v>
      </c>
      <c r="K11" s="1">
        <f>'Kwh Consumption'!U12</f>
        <v>189.99999999999773</v>
      </c>
      <c r="L11" s="32">
        <f t="shared" si="0"/>
        <v>4826.3099999992392</v>
      </c>
    </row>
    <row r="12" spans="1:12" x14ac:dyDescent="0.25">
      <c r="A12" s="14">
        <f>'Kwh Reading'!A13</f>
        <v>44449</v>
      </c>
      <c r="B12" s="83">
        <f>TOTAL!E11</f>
        <v>21210.00000000163</v>
      </c>
      <c r="C12" s="1">
        <f>'Kwh Consumption'!C13</f>
        <v>319.99999999999318</v>
      </c>
      <c r="D12" s="1">
        <f>'Kwh Consumption'!D13</f>
        <v>2499.9999999999468</v>
      </c>
      <c r="E12" s="1">
        <f>'Kwh Consumption'!E13</f>
        <v>250</v>
      </c>
      <c r="F12" s="1">
        <f>('Kwh Consumption'!F13+'Kwh Consumption'!G13+'Kwh Consumption'!H13)</f>
        <v>719.99999999999886</v>
      </c>
      <c r="G12" s="16">
        <f>('Kwh Consumption'!I13+'Kwh Consumption'!J13)</f>
        <v>359.99999999998522</v>
      </c>
      <c r="H12" s="1">
        <f>('Kwh Consumption'!K13+'Kwh Consumption'!L13)</f>
        <v>1669.9999999998845</v>
      </c>
      <c r="I12" s="1">
        <f>('Kwh Consumption'!M13+'Kwh Consumption'!N13+'Kwh Consumption'!O13+'Kwh Consumption'!P13+'Kwh Consumption'!Q13+'Kwh Consumption'!R13)</f>
        <v>4599.9999999998527</v>
      </c>
      <c r="J12" s="1">
        <f>('Kwh Consumption'!S13+'Kwh Consumption'!T13)</f>
        <v>4940.9199999999255</v>
      </c>
      <c r="K12" s="1">
        <f>'Kwh Consumption'!U13</f>
        <v>199.99999999998863</v>
      </c>
      <c r="L12" s="32">
        <f t="shared" si="0"/>
        <v>5649.0800000020554</v>
      </c>
    </row>
    <row r="13" spans="1:12" x14ac:dyDescent="0.25">
      <c r="A13" s="14">
        <f>'Kwh Reading'!A14</f>
        <v>44450</v>
      </c>
      <c r="B13" s="83">
        <f>TOTAL!E12</f>
        <v>23920.000000001208</v>
      </c>
      <c r="C13" s="1">
        <f>'Kwh Consumption'!C14</f>
        <v>490.00000000000909</v>
      </c>
      <c r="D13" s="1">
        <f>'Kwh Consumption'!D14</f>
        <v>2499.9999999999468</v>
      </c>
      <c r="E13" s="1">
        <f>'Kwh Consumption'!E14</f>
        <v>240.00000000000909</v>
      </c>
      <c r="F13" s="1">
        <f>('Kwh Consumption'!F14+'Kwh Consumption'!G14+'Kwh Consumption'!H14)</f>
        <v>749.99999999997158</v>
      </c>
      <c r="G13" s="16">
        <f>('Kwh Consumption'!I14+'Kwh Consumption'!J14)</f>
        <v>370.00000000000455</v>
      </c>
      <c r="H13" s="1">
        <f>('Kwh Consumption'!K14+'Kwh Consumption'!L14)</f>
        <v>1700.0000000000223</v>
      </c>
      <c r="I13" s="1">
        <f>('Kwh Consumption'!M14+'Kwh Consumption'!N14+'Kwh Consumption'!O14+'Kwh Consumption'!P14+'Kwh Consumption'!Q14+'Kwh Consumption'!R14)</f>
        <v>4770.0000000001528</v>
      </c>
      <c r="J13" s="1">
        <f>('Kwh Consumption'!S14+'Kwh Consumption'!T14)</f>
        <v>4909.730000000447</v>
      </c>
      <c r="K13" s="1">
        <f>'Kwh Consumption'!U14</f>
        <v>180.00000000000682</v>
      </c>
      <c r="L13" s="32">
        <f t="shared" si="0"/>
        <v>8010.2700000006407</v>
      </c>
    </row>
    <row r="14" spans="1:12" x14ac:dyDescent="0.25">
      <c r="A14" s="14">
        <f>'Kwh Reading'!A15</f>
        <v>44451</v>
      </c>
      <c r="B14" s="83">
        <f>TOTAL!E13</f>
        <v>20779.999999999291</v>
      </c>
      <c r="C14" s="1">
        <f>'Kwh Consumption'!C15</f>
        <v>500</v>
      </c>
      <c r="D14" s="1">
        <f>'Kwh Consumption'!D15</f>
        <v>2299.9999999999686</v>
      </c>
      <c r="E14" s="1">
        <f>'Kwh Consumption'!E15</f>
        <v>219.99999999999886</v>
      </c>
      <c r="F14" s="1">
        <f>('Kwh Consumption'!F15+'Kwh Consumption'!G15+'Kwh Consumption'!H15)</f>
        <v>590.00000000003183</v>
      </c>
      <c r="G14" s="16">
        <f>('Kwh Consumption'!I15+'Kwh Consumption'!J15)</f>
        <v>329.99999999999829</v>
      </c>
      <c r="H14" s="1">
        <f>('Kwh Consumption'!K15+'Kwh Consumption'!L15)</f>
        <v>1670.0000000001064</v>
      </c>
      <c r="I14" s="1">
        <f>('Kwh Consumption'!M15+'Kwh Consumption'!N15+'Kwh Consumption'!O15+'Kwh Consumption'!P15+'Kwh Consumption'!Q15+'Kwh Consumption'!R15)</f>
        <v>4369.9999999998909</v>
      </c>
      <c r="J14" s="1">
        <f>('Kwh Consumption'!S15+'Kwh Consumption'!T15)</f>
        <v>4680.7600000007078</v>
      </c>
      <c r="K14" s="1">
        <f>'Kwh Consumption'!U15</f>
        <v>219.99999999999886</v>
      </c>
      <c r="L14" s="32">
        <f t="shared" si="0"/>
        <v>5899.2399999985873</v>
      </c>
    </row>
    <row r="15" spans="1:12" x14ac:dyDescent="0.25">
      <c r="A15" s="14">
        <f>'Kwh Reading'!A16</f>
        <v>44452</v>
      </c>
      <c r="B15" s="83">
        <f>TOTAL!E14</f>
        <v>0</v>
      </c>
      <c r="C15" s="1">
        <f>'Kwh Consumption'!C16</f>
        <v>-454750</v>
      </c>
      <c r="D15" s="1">
        <f>'Kwh Consumption'!D16</f>
        <v>-2557000</v>
      </c>
      <c r="E15" s="1">
        <f>'Kwh Consumption'!E16</f>
        <v>-247630</v>
      </c>
      <c r="F15" s="1">
        <f>('Kwh Consumption'!F16+'Kwh Consumption'!G16+'Kwh Consumption'!H16)</f>
        <v>-946040</v>
      </c>
      <c r="G15" s="16">
        <f>('Kwh Consumption'!I16+'Kwh Consumption'!J16)</f>
        <v>-301630</v>
      </c>
      <c r="H15" s="1">
        <f>('Kwh Consumption'!K16+'Kwh Consumption'!L16)</f>
        <v>-1341260</v>
      </c>
      <c r="I15" s="1">
        <f>('Kwh Consumption'!M16+'Kwh Consumption'!N16+'Kwh Consumption'!O16+'Kwh Consumption'!P16+'Kwh Consumption'!Q16+'Kwh Consumption'!R16)</f>
        <v>-3774820</v>
      </c>
      <c r="J15" s="1">
        <f>('Kwh Consumption'!S16+'Kwh Consumption'!T16)</f>
        <v>-16069231.220000001</v>
      </c>
      <c r="K15" s="1">
        <f>'Kwh Consumption'!U16</f>
        <v>-168100</v>
      </c>
      <c r="L15" s="32">
        <f t="shared" si="0"/>
        <v>25860461.219999999</v>
      </c>
    </row>
    <row r="16" spans="1:12" x14ac:dyDescent="0.25">
      <c r="A16" s="14">
        <f>'Kwh Reading'!A17</f>
        <v>44453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44454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44455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44456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44457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44458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44459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44460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44461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44462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44463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44464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44465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44466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44467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44468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44469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44470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259590.00000000151</v>
      </c>
      <c r="C34" s="75">
        <f>SUM(C3:C33)</f>
        <v>-449370</v>
      </c>
      <c r="D34" s="75">
        <f t="shared" ref="D34:L34" si="1">SUM(D3:D33)</f>
        <v>-2528500.0000000005</v>
      </c>
      <c r="E34" s="75">
        <f t="shared" si="1"/>
        <v>-244760</v>
      </c>
      <c r="F34" s="75">
        <f t="shared" si="1"/>
        <v>-938450</v>
      </c>
      <c r="G34" s="75">
        <f t="shared" si="1"/>
        <v>-297330</v>
      </c>
      <c r="H34" s="75">
        <f t="shared" si="1"/>
        <v>-1321099.9999999998</v>
      </c>
      <c r="I34" s="75">
        <f t="shared" si="1"/>
        <v>-3720810</v>
      </c>
      <c r="J34" s="75">
        <f t="shared" si="1"/>
        <v>-16009947.48</v>
      </c>
      <c r="K34" s="75">
        <f t="shared" si="1"/>
        <v>-165550.00000000003</v>
      </c>
      <c r="L34" s="75">
        <f t="shared" si="1"/>
        <v>25935407.48</v>
      </c>
      <c r="M34" s="84">
        <f>C34+D34+E34+F34+G34+H34+I34+J34+K34+L34</f>
        <v>259590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-67405.5</v>
      </c>
      <c r="D36" s="75">
        <f>D34*B36</f>
        <v>-379275.00000000006</v>
      </c>
      <c r="E36" s="75">
        <f>E34*B36</f>
        <v>-36714</v>
      </c>
      <c r="F36" s="75">
        <f>F34*B36</f>
        <v>-140767.5</v>
      </c>
      <c r="G36" s="75">
        <f>G34*B36</f>
        <v>-44599.5</v>
      </c>
      <c r="H36" s="75">
        <f>H34*B36</f>
        <v>-198164.99999999997</v>
      </c>
      <c r="I36" s="75">
        <f>I34*B36</f>
        <v>-558121.5</v>
      </c>
      <c r="J36" s="75">
        <f>J34*B36</f>
        <v>-2401492.122</v>
      </c>
      <c r="K36" s="75">
        <f>K34*B36</f>
        <v>-24832.500000000004</v>
      </c>
      <c r="L36" s="75">
        <f>L34*B36</f>
        <v>3890311.122</v>
      </c>
      <c r="M36" s="84">
        <f>C36+D36+E36+F36+G36+H36+I36+J36+K36+L36</f>
        <v>38938.5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44440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72.000000000002728</v>
      </c>
      <c r="E3" s="1">
        <f>'Kwh Consumption'!D4*' Kwh area wise $ '!B3</f>
        <v>359.99999999996038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99.000000000003752</v>
      </c>
      <c r="H3" s="16">
        <f>('Kwh Consumption'!I4+'Kwh Consumption'!J4)*' Kwh area wise $ '!B3</f>
        <v>58.500000000002217</v>
      </c>
      <c r="I3" s="1">
        <f>('Kwh Consumption'!K4+'Kwh Consumption'!L4)*' Kwh area wise $ '!B3</f>
        <v>250.50000000000742</v>
      </c>
      <c r="J3" s="1">
        <f>('Kwh Consumption'!M4+'Kwh Consumption'!N4+'Kwh Consumption'!O4+'Kwh Consumption'!P4+'Kwh Consumption'!Q4+'Kwh Consumption'!R4)*' Kwh area wise $ '!B3</f>
        <v>747.00000000001114</v>
      </c>
      <c r="K3" s="1">
        <f>('Kwh Consumption'!S4+'Kwh Consumption'!T4)*' Kwh area wise $ '!B3</f>
        <v>779.79450000012287</v>
      </c>
      <c r="L3" s="1">
        <f>'Kwh Consumption'!U4*' Kwh area wise $ '!B3</f>
        <v>32.999999999999829</v>
      </c>
      <c r="M3" s="1">
        <f>'Kwh Consumption'!V4*' Kwh area wise $ '!B3</f>
        <v>1392.2054999998882</v>
      </c>
    </row>
    <row r="4" spans="1:13" x14ac:dyDescent="0.25">
      <c r="A4" s="14">
        <f>'Kwh Reading'!A5</f>
        <v>44441</v>
      </c>
      <c r="B4" s="11">
        <f>TOTAL!F3</f>
        <v>0.15</v>
      </c>
      <c r="C4" s="11">
        <f>'Kwh Consumption'!B5*' Kwh area wise $ '!B4</f>
        <v>3253.4999999997694</v>
      </c>
      <c r="D4" s="1">
        <f>'Kwh Consumption'!C5*' Kwh area wise $ '!B4</f>
        <v>67.499999999998295</v>
      </c>
      <c r="E4" s="1">
        <f>'Kwh Consumption'!D5*' Kwh area wise $ '!B4</f>
        <v>344.99999999999528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85.499999999994714</v>
      </c>
      <c r="H4" s="16">
        <f>('Kwh Consumption'!I5+'Kwh Consumption'!J5)*' Kwh area wise $ '!B4</f>
        <v>56.999999999999318</v>
      </c>
      <c r="I4" s="1">
        <f>('Kwh Consumption'!K5+'Kwh Consumption'!L5)*' Kwh area wise $ '!B4</f>
        <v>249.00000000000878</v>
      </c>
      <c r="J4" s="1">
        <f>('Kwh Consumption'!M5+'Kwh Consumption'!N5+'Kwh Consumption'!O5+'Kwh Consumption'!P5+'Kwh Consumption'!Q5+'Kwh Consumption'!R5)*' Kwh area wise $ '!B4</f>
        <v>613.5000000000133</v>
      </c>
      <c r="K4" s="1">
        <f>('Kwh Consumption'!S5+'Kwh Consumption'!T5)*' Kwh area wise $ '!B4</f>
        <v>697.10699999984354</v>
      </c>
      <c r="L4" s="1">
        <f>'Kwh Consumption'!U5*' Kwh area wise $ '!B4</f>
        <v>32.999999999999829</v>
      </c>
      <c r="M4" s="1">
        <f>'Kwh Consumption'!V5*' Kwh area wise $ '!B4</f>
        <v>1069.8929999999152</v>
      </c>
    </row>
    <row r="5" spans="1:13" x14ac:dyDescent="0.25">
      <c r="A5" s="14">
        <f>'Kwh Reading'!A6</f>
        <v>44442</v>
      </c>
      <c r="B5" s="11">
        <f>TOTAL!F4</f>
        <v>0.15</v>
      </c>
      <c r="C5" s="11">
        <f>'Kwh Consumption'!B6*' Kwh area wise $ '!B5</f>
        <v>3007.5000000003001</v>
      </c>
      <c r="D5" s="1">
        <f>'Kwh Consumption'!C6*' Kwh area wise $ '!B5</f>
        <v>43.499999999994543</v>
      </c>
      <c r="E5" s="1">
        <f>'Kwh Consumption'!D6*' Kwh area wise $ '!B5</f>
        <v>360.00000000002694</v>
      </c>
      <c r="F5" s="1">
        <f>'Kwh Consumption'!E6*' Kwh area wise $ '!B5</f>
        <v>37.5</v>
      </c>
      <c r="G5" s="1">
        <f>('Kwh Consumption'!F6+'Kwh Consumption'!G6+'Kwh Consumption'!H6)*' Kwh area wise $ '!B5</f>
        <v>85.499999999998977</v>
      </c>
      <c r="H5" s="16">
        <f>('Kwh Consumption'!I6+'Kwh Consumption'!J6)*' Kwh area wise $ '!B5</f>
        <v>50.99999999999838</v>
      </c>
      <c r="I5" s="1">
        <f>('Kwh Consumption'!K6+'Kwh Consumption'!L6)*' Kwh area wise $ '!B5</f>
        <v>248.9999999999755</v>
      </c>
      <c r="J5" s="1">
        <f>('Kwh Consumption'!M6+'Kwh Consumption'!N6+'Kwh Consumption'!O6+'Kwh Consumption'!P6+'Kwh Consumption'!Q6+'Kwh Consumption'!R6)*' Kwh area wise $ '!B5</f>
        <v>674.99999999998295</v>
      </c>
      <c r="K5" s="1">
        <f>('Kwh Consumption'!S6+'Kwh Consumption'!T6)*' Kwh area wise $ '!B5</f>
        <v>728.0985000001732</v>
      </c>
      <c r="L5" s="1">
        <f>'Kwh Consumption'!U6*' Kwh area wise $ '!B5</f>
        <v>34.499999999998465</v>
      </c>
      <c r="M5" s="1">
        <f>'Kwh Consumption'!V6*' Kwh area wise $ '!B5</f>
        <v>743.40150000015149</v>
      </c>
    </row>
    <row r="6" spans="1:13" x14ac:dyDescent="0.25">
      <c r="A6" s="14">
        <f>'Kwh Reading'!A7</f>
        <v>44443</v>
      </c>
      <c r="B6" s="11">
        <f>TOTAL!F5</f>
        <v>0.15</v>
      </c>
      <c r="C6" s="11">
        <f>'Kwh Consumption'!B7*' Kwh area wise $ '!B6</f>
        <v>3250.4999999998745</v>
      </c>
      <c r="D6" s="1">
        <f>'Kwh Consumption'!C7*' Kwh area wise $ '!B6</f>
        <v>70.500000000004093</v>
      </c>
      <c r="E6" s="1">
        <f>'Kwh Consumption'!D7*' Kwh area wise $ '!B6</f>
        <v>344.99999999999528</v>
      </c>
      <c r="F6" s="1">
        <f>'Kwh Consumption'!E7*' Kwh area wise $ '!B6</f>
        <v>34.499999999998465</v>
      </c>
      <c r="G6" s="1">
        <f>('Kwh Consumption'!F7+'Kwh Consumption'!G7+'Kwh Consumption'!H7)*' Kwh area wise $ '!B6</f>
        <v>79.500000000000171</v>
      </c>
      <c r="H6" s="16">
        <f>('Kwh Consumption'!I7+'Kwh Consumption'!J7)*' Kwh area wise $ '!B6</f>
        <v>53.999999999999915</v>
      </c>
      <c r="I6" s="1">
        <f>('Kwh Consumption'!K7+'Kwh Consumption'!L7)*' Kwh area wise $ '!B6</f>
        <v>234.00000000001046</v>
      </c>
      <c r="J6" s="1">
        <f>('Kwh Consumption'!M7+'Kwh Consumption'!N7+'Kwh Consumption'!O7+'Kwh Consumption'!P7+'Kwh Consumption'!Q7+'Kwh Consumption'!R7)*' Kwh area wise $ '!B6</f>
        <v>667.50000000000682</v>
      </c>
      <c r="K6" s="1">
        <f>('Kwh Consumption'!S7+'Kwh Consumption'!T7)*' Kwh area wise $ '!B6</f>
        <v>752.53200000012293</v>
      </c>
      <c r="L6" s="1">
        <f>'Kwh Consumption'!U7*' Kwh area wise $ '!B6</f>
        <v>34.499999999998465</v>
      </c>
      <c r="M6" s="1">
        <f>'Kwh Consumption'!V7*' Kwh area wise $ '!B6</f>
        <v>978.46799999973791</v>
      </c>
    </row>
    <row r="7" spans="1:13" x14ac:dyDescent="0.25">
      <c r="A7" s="14">
        <f>'Kwh Reading'!A8</f>
        <v>44444</v>
      </c>
      <c r="B7" s="11">
        <f>TOTAL!F6</f>
        <v>0.15</v>
      </c>
      <c r="C7" s="11">
        <f>'Kwh Consumption'!B8*' Kwh area wise $ '!B7</f>
        <v>3298.5000000000696</v>
      </c>
      <c r="D7" s="1">
        <f>'Kwh Consumption'!C8*' Kwh area wise $ '!B7</f>
        <v>73.500000000001364</v>
      </c>
      <c r="E7" s="1">
        <f>'Kwh Consumption'!D8*' Kwh area wise $ '!B7</f>
        <v>344.99999999999528</v>
      </c>
      <c r="F7" s="1">
        <f>'Kwh Consumption'!E8*' Kwh area wise $ '!B7</f>
        <v>32.999999999999829</v>
      </c>
      <c r="G7" s="1">
        <f>('Kwh Consumption'!F8+'Kwh Consumption'!G8+'Kwh Consumption'!H8)*' Kwh area wise $ '!B7</f>
        <v>79.499999999995907</v>
      </c>
      <c r="H7" s="16">
        <f>('Kwh Consumption'!I8+'Kwh Consumption'!J8)*' Kwh area wise $ '!B7</f>
        <v>50.99999999999838</v>
      </c>
      <c r="I7" s="1">
        <f>('Kwh Consumption'!K8+'Kwh Consumption'!L8)*' Kwh area wise $ '!B7</f>
        <v>268.5000000000116</v>
      </c>
      <c r="J7" s="1">
        <f>('Kwh Consumption'!M8+'Kwh Consumption'!N8+'Kwh Consumption'!O8+'Kwh Consumption'!P8+'Kwh Consumption'!Q8+'Kwh Consumption'!R8)*' Kwh area wise $ '!B7</f>
        <v>716.99999999997885</v>
      </c>
      <c r="K7" s="1">
        <f>('Kwh Consumption'!S8+'Kwh Consumption'!T8)*' Kwh area wise $ '!B7</f>
        <v>788.96699999975965</v>
      </c>
      <c r="L7" s="1">
        <f>'Kwh Consumption'!U8*' Kwh area wise $ '!B7</f>
        <v>34.500000000002728</v>
      </c>
      <c r="M7" s="1">
        <f>'Kwh Consumption'!V8*' Kwh area wise $ '!B7</f>
        <v>907.53300000032618</v>
      </c>
    </row>
    <row r="8" spans="1:13" x14ac:dyDescent="0.25">
      <c r="A8" s="14">
        <f>'Kwh Reading'!A9</f>
        <v>44445</v>
      </c>
      <c r="B8" s="11">
        <f>TOTAL!F7</f>
        <v>0.15</v>
      </c>
      <c r="C8" s="11">
        <f>'Kwh Consumption'!B9*' Kwh area wise $ '!B8</f>
        <v>3478.4999999998035</v>
      </c>
      <c r="D8" s="1">
        <f>'Kwh Consumption'!C9*' Kwh area wise $ '!B8</f>
        <v>68.99999999999693</v>
      </c>
      <c r="E8" s="1">
        <f>'Kwh Consumption'!D9*' Kwh area wise $ '!B8</f>
        <v>360.00000000002694</v>
      </c>
      <c r="F8" s="1">
        <f>'Kwh Consumption'!E9*' Kwh area wise $ '!B8</f>
        <v>37.5</v>
      </c>
      <c r="G8" s="1">
        <f>('Kwh Consumption'!F9+'Kwh Consumption'!G9+'Kwh Consumption'!H9)*' Kwh area wise $ '!B8</f>
        <v>105.00000000001108</v>
      </c>
      <c r="H8" s="16">
        <f>('Kwh Consumption'!I9+'Kwh Consumption'!J9)*' Kwh area wise $ '!B8</f>
        <v>55.500000000002814</v>
      </c>
      <c r="I8" s="1">
        <f>('Kwh Consumption'!K9+'Kwh Consumption'!L9)*' Kwh area wise $ '!B8</f>
        <v>250.49999999997414</v>
      </c>
      <c r="J8" s="1">
        <f>('Kwh Consumption'!M9+'Kwh Consumption'!N9+'Kwh Consumption'!O9+'Kwh Consumption'!P9+'Kwh Consumption'!Q9+'Kwh Consumption'!R9)*' Kwh area wise $ '!B8</f>
        <v>678.00000000002285</v>
      </c>
      <c r="K8" s="1">
        <f>('Kwh Consumption'!S9+'Kwh Consumption'!T9)*' Kwh area wise $ '!B8</f>
        <v>750.94500000011169</v>
      </c>
      <c r="L8" s="1">
        <f>'Kwh Consumption'!U9*' Kwh area wise $ '!B8</f>
        <v>37.5</v>
      </c>
      <c r="M8" s="1">
        <f>'Kwh Consumption'!V9*' Kwh area wise $ '!B8</f>
        <v>1134.5549999996567</v>
      </c>
    </row>
    <row r="9" spans="1:13" x14ac:dyDescent="0.25">
      <c r="A9" s="14">
        <f>'Kwh Reading'!A10</f>
        <v>44446</v>
      </c>
      <c r="B9" s="11">
        <f>TOTAL!F8</f>
        <v>0.15</v>
      </c>
      <c r="C9" s="11">
        <f>'Kwh Consumption'!B10*' Kwh area wise $ '!B9</f>
        <v>3348.0000000002628</v>
      </c>
      <c r="D9" s="1">
        <f>'Kwh Consumption'!C10*' Kwh area wise $ '!B9</f>
        <v>70.500000000004093</v>
      </c>
      <c r="E9" s="1">
        <f>'Kwh Consumption'!D10*' Kwh area wise $ '!B9</f>
        <v>344.99999999999528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100.49999999999386</v>
      </c>
      <c r="H9" s="16">
        <f>('Kwh Consumption'!I10+'Kwh Consumption'!J10)*' Kwh area wise $ '!B9</f>
        <v>55.49999999999855</v>
      </c>
      <c r="I9" s="1">
        <f>('Kwh Consumption'!K10+'Kwh Consumption'!L10)*' Kwh area wise $ '!B9</f>
        <v>250.50000000001594</v>
      </c>
      <c r="J9" s="1">
        <f>('Kwh Consumption'!M10+'Kwh Consumption'!N10+'Kwh Consumption'!O10+'Kwh Consumption'!P10+'Kwh Consumption'!Q10+'Kwh Consumption'!R10)*' Kwh area wise $ '!B9</f>
        <v>649.49999999998909</v>
      </c>
      <c r="K9" s="1">
        <f>('Kwh Consumption'!S10+'Kwh Consumption'!T10)*' Kwh area wise $ '!B9</f>
        <v>757.21949999998321</v>
      </c>
      <c r="L9" s="1">
        <f>'Kwh Consumption'!U10*' Kwh area wise $ '!B9</f>
        <v>27.000000000001023</v>
      </c>
      <c r="M9" s="1">
        <f>'Kwh Consumption'!V10*' Kwh area wise $ '!B9</f>
        <v>1056.2805000002807</v>
      </c>
    </row>
    <row r="10" spans="1:13" x14ac:dyDescent="0.25">
      <c r="A10" s="14">
        <f>'Kwh Reading'!A11</f>
        <v>44447</v>
      </c>
      <c r="B10" s="11">
        <f>TOTAL!F9</f>
        <v>0.15</v>
      </c>
      <c r="C10" s="11">
        <f>'Kwh Consumption'!B11*' Kwh area wise $ '!B10</f>
        <v>3124.5000000000914</v>
      </c>
      <c r="D10" s="1">
        <f>'Kwh Consumption'!C11*' Kwh area wise $ '!B10</f>
        <v>68.99999999999693</v>
      </c>
      <c r="E10" s="1">
        <f>'Kwh Consumption'!D11*' Kwh area wise $ '!B10</f>
        <v>359.99999999996038</v>
      </c>
      <c r="F10" s="1">
        <f>'Kwh Consumption'!E11*' Kwh area wise $ '!B10</f>
        <v>34.499999999998465</v>
      </c>
      <c r="G10" s="1">
        <f>('Kwh Consumption'!F11+'Kwh Consumption'!G11+'Kwh Consumption'!H11)*' Kwh area wise $ '!B10</f>
        <v>98.999999999995225</v>
      </c>
      <c r="H10" s="16">
        <f>('Kwh Consumption'!I11+'Kwh Consumption'!J11)*' Kwh area wise $ '!B10</f>
        <v>54.000000000002046</v>
      </c>
      <c r="I10" s="1">
        <f>('Kwh Consumption'!K11+'Kwh Consumption'!L11)*' Kwh area wise $ '!B10</f>
        <v>252.00000000000605</v>
      </c>
      <c r="J10" s="1">
        <f>('Kwh Consumption'!M11+'Kwh Consumption'!N11+'Kwh Consumption'!O11+'Kwh Consumption'!P11+'Kwh Consumption'!Q11+'Kwh Consumption'!R11)*' Kwh area wise $ '!B10</f>
        <v>640.50000000001432</v>
      </c>
      <c r="K10" s="1">
        <f>('Kwh Consumption'!S11+'Kwh Consumption'!T11)*' Kwh area wise $ '!B10</f>
        <v>713.63250000011169</v>
      </c>
      <c r="L10" s="1">
        <f>'Kwh Consumption'!U11*' Kwh area wise $ '!B10</f>
        <v>29.999999999998295</v>
      </c>
      <c r="M10" s="1">
        <f>'Kwh Consumption'!V11*' Kwh area wise $ '!B10</f>
        <v>871.86750000000802</v>
      </c>
    </row>
    <row r="11" spans="1:13" x14ac:dyDescent="0.25">
      <c r="A11" s="14">
        <f>'Kwh Reading'!A12</f>
        <v>44448</v>
      </c>
      <c r="B11" s="11">
        <f>TOTAL!F10</f>
        <v>0.15</v>
      </c>
      <c r="C11" s="11">
        <f>'Kwh Consumption'!B12*' Kwh area wise $ '!B11</f>
        <v>3010.4999999997517</v>
      </c>
      <c r="D11" s="1">
        <f>'Kwh Consumption'!C12*' Kwh area wise $ '!B11</f>
        <v>75</v>
      </c>
      <c r="E11" s="1">
        <f>'Kwh Consumption'!D12*' Kwh area wise $ '!B11</f>
        <v>360.00000000002694</v>
      </c>
      <c r="F11" s="1">
        <f>'Kwh Consumption'!E12*' Kwh area wise $ '!B11</f>
        <v>38.999999999998636</v>
      </c>
      <c r="G11" s="1">
        <f>('Kwh Consumption'!F12+'Kwh Consumption'!G12+'Kwh Consumption'!H12)*' Kwh area wise $ '!B11</f>
        <v>96.000000000002217</v>
      </c>
      <c r="H11" s="16">
        <f>('Kwh Consumption'!I12+'Kwh Consumption'!J12)*' Kwh area wise $ '!B11</f>
        <v>49.499999999999744</v>
      </c>
      <c r="I11" s="1">
        <f>('Kwh Consumption'!K12+'Kwh Consumption'!L12)*' Kwh area wise $ '!B11</f>
        <v>264.00000000000716</v>
      </c>
      <c r="J11" s="1">
        <f>('Kwh Consumption'!M12+'Kwh Consumption'!N12+'Kwh Consumption'!O12+'Kwh Consumption'!P12+'Kwh Consumption'!Q12+'Kwh Consumption'!R12)*' Kwh area wise $ '!B11</f>
        <v>652.49999999999477</v>
      </c>
      <c r="K11" s="1">
        <f>('Kwh Consumption'!S12+'Kwh Consumption'!T12)*' Kwh area wise $ '!B11</f>
        <v>744.55349999978205</v>
      </c>
      <c r="L11" s="1">
        <f>'Kwh Consumption'!U12*' Kwh area wise $ '!B11</f>
        <v>28.499999999999659</v>
      </c>
      <c r="M11" s="1">
        <f>'Kwh Consumption'!V12*' Kwh area wise $ '!B11</f>
        <v>701.4464999999401</v>
      </c>
    </row>
    <row r="12" spans="1:13" x14ac:dyDescent="0.25">
      <c r="A12" s="14">
        <f>'Kwh Reading'!A13</f>
        <v>44449</v>
      </c>
      <c r="B12" s="11">
        <f>TOTAL!F11</f>
        <v>0.15</v>
      </c>
      <c r="C12" s="11">
        <f>'Kwh Consumption'!B13*' Kwh area wise $ '!B12</f>
        <v>3181.5000000002442</v>
      </c>
      <c r="D12" s="1">
        <f>'Kwh Consumption'!C13*' Kwh area wise $ '!B12</f>
        <v>47.999999999998977</v>
      </c>
      <c r="E12" s="1">
        <f>'Kwh Consumption'!D13*' Kwh area wise $ '!B12</f>
        <v>374.99999999999199</v>
      </c>
      <c r="F12" s="1">
        <f>'Kwh Consumption'!E13*' Kwh area wise $ '!B12</f>
        <v>37.5</v>
      </c>
      <c r="G12" s="1">
        <f>('Kwh Consumption'!F13+'Kwh Consumption'!G13+'Kwh Consumption'!H13)*' Kwh area wise $ '!B12</f>
        <v>107.99999999999983</v>
      </c>
      <c r="H12" s="16">
        <f>('Kwh Consumption'!I13+'Kwh Consumption'!J13)*' Kwh area wise $ '!B12</f>
        <v>53.999999999997783</v>
      </c>
      <c r="I12" s="1">
        <f>('Kwh Consumption'!K13+'Kwh Consumption'!L13)*' Kwh area wise $ '!B12</f>
        <v>250.49999999998266</v>
      </c>
      <c r="J12" s="1">
        <f>('Kwh Consumption'!M13+'Kwh Consumption'!N13+'Kwh Consumption'!O13+'Kwh Consumption'!P13+'Kwh Consumption'!Q13+'Kwh Consumption'!R13)*' Kwh area wise $ '!B12</f>
        <v>689.99999999997783</v>
      </c>
      <c r="K12" s="1">
        <f>('Kwh Consumption'!S13+'Kwh Consumption'!T13)*' Kwh area wise $ '!B12</f>
        <v>741.13799999998878</v>
      </c>
      <c r="L12" s="1">
        <f>'Kwh Consumption'!U13*' Kwh area wise $ '!B12</f>
        <v>29.999999999998295</v>
      </c>
      <c r="M12" s="1">
        <f>'Kwh Consumption'!V13*' Kwh area wise $ '!B12</f>
        <v>847.36200000030806</v>
      </c>
    </row>
    <row r="13" spans="1:13" x14ac:dyDescent="0.25">
      <c r="A13" s="14">
        <f>'Kwh Reading'!A14</f>
        <v>44450</v>
      </c>
      <c r="B13" s="11">
        <f>TOTAL!F12</f>
        <v>0.15</v>
      </c>
      <c r="C13" s="11">
        <f>'Kwh Consumption'!B14*' Kwh area wise $ '!B13</f>
        <v>3588.000000000181</v>
      </c>
      <c r="D13" s="1">
        <f>'Kwh Consumption'!C14*' Kwh area wise $ '!B13</f>
        <v>73.500000000001364</v>
      </c>
      <c r="E13" s="1">
        <f>'Kwh Consumption'!D14*' Kwh area wise $ '!B13</f>
        <v>374.99999999999199</v>
      </c>
      <c r="F13" s="1">
        <f>'Kwh Consumption'!E14*' Kwh area wise $ '!B13</f>
        <v>36.000000000001364</v>
      </c>
      <c r="G13" s="1">
        <f>('Kwh Consumption'!F14+'Kwh Consumption'!G14+'Kwh Consumption'!H14)*' Kwh area wise $ '!B13</f>
        <v>112.49999999999574</v>
      </c>
      <c r="H13" s="16">
        <f>('Kwh Consumption'!I14+'Kwh Consumption'!J14)*' Kwh area wise $ '!B13</f>
        <v>55.500000000000682</v>
      </c>
      <c r="I13" s="1">
        <f>('Kwh Consumption'!K14+'Kwh Consumption'!L14)*' Kwh area wise $ '!B13</f>
        <v>255.00000000000333</v>
      </c>
      <c r="J13" s="1">
        <f>('Kwh Consumption'!M14+'Kwh Consumption'!N14+'Kwh Consumption'!O14+'Kwh Consumption'!P14+'Kwh Consumption'!Q14+'Kwh Consumption'!R14)*' Kwh area wise $ '!B13</f>
        <v>715.50000000002285</v>
      </c>
      <c r="K13" s="1">
        <f>('Kwh Consumption'!S14+'Kwh Consumption'!T14)*' Kwh area wise $ '!B13</f>
        <v>736.45950000006701</v>
      </c>
      <c r="L13" s="1">
        <f>'Kwh Consumption'!U14*' Kwh area wise $ '!B13</f>
        <v>27.000000000001023</v>
      </c>
      <c r="M13" s="1">
        <f>'Kwh Consumption'!V14*' Kwh area wise $ '!B13</f>
        <v>1201.5405000000956</v>
      </c>
    </row>
    <row r="14" spans="1:13" x14ac:dyDescent="0.25">
      <c r="A14" s="14">
        <f>'Kwh Reading'!A15</f>
        <v>44451</v>
      </c>
      <c r="B14" s="11">
        <f>TOTAL!F13</f>
        <v>0.15</v>
      </c>
      <c r="C14" s="11">
        <f>'Kwh Consumption'!B15*' Kwh area wise $ '!B14</f>
        <v>3116.9999999998936</v>
      </c>
      <c r="D14" s="1">
        <f>'Kwh Consumption'!C15*' Kwh area wise $ '!B14</f>
        <v>75</v>
      </c>
      <c r="E14" s="1">
        <f>'Kwh Consumption'!D15*' Kwh area wise $ '!B14</f>
        <v>344.99999999999528</v>
      </c>
      <c r="F14" s="1">
        <f>'Kwh Consumption'!E15*' Kwh area wise $ '!B14</f>
        <v>32.999999999999829</v>
      </c>
      <c r="G14" s="1">
        <f>('Kwh Consumption'!F15+'Kwh Consumption'!G15+'Kwh Consumption'!H15)*' Kwh area wise $ '!B14</f>
        <v>88.500000000004775</v>
      </c>
      <c r="H14" s="16">
        <f>('Kwh Consumption'!I15+'Kwh Consumption'!J15)*' Kwh area wise $ '!B14</f>
        <v>49.499999999999744</v>
      </c>
      <c r="I14" s="1">
        <f>('Kwh Consumption'!K15+'Kwh Consumption'!L15)*' Kwh area wise $ '!B14</f>
        <v>250.50000000001594</v>
      </c>
      <c r="J14" s="1">
        <f>('Kwh Consumption'!M15+'Kwh Consumption'!N15+'Kwh Consumption'!O15+'Kwh Consumption'!P15+'Kwh Consumption'!Q15+'Kwh Consumption'!R15)*' Kwh area wise $ '!B14</f>
        <v>655.49999999998363</v>
      </c>
      <c r="K14" s="1">
        <f>('Kwh Consumption'!S15+'Kwh Consumption'!T15)*' Kwh area wise $ '!B14</f>
        <v>702.1140000001061</v>
      </c>
      <c r="L14" s="1">
        <f>'Kwh Consumption'!U15*' Kwh area wise $ '!B14</f>
        <v>32.999999999999829</v>
      </c>
      <c r="M14" s="1">
        <f>'Kwh Consumption'!V15*' Kwh area wise $ '!B14</f>
        <v>884.88599999978874</v>
      </c>
    </row>
    <row r="15" spans="1:13" x14ac:dyDescent="0.25">
      <c r="A15" s="14">
        <f>'Kwh Reading'!A16</f>
        <v>44452</v>
      </c>
      <c r="B15" s="11">
        <f>TOTAL!F14</f>
        <v>0.15</v>
      </c>
      <c r="C15" s="11">
        <f>'Kwh Consumption'!B16*' Kwh area wise $ '!B15</f>
        <v>0</v>
      </c>
      <c r="D15" s="1">
        <f>'Kwh Consumption'!C16*' Kwh area wise $ '!B15</f>
        <v>-68212.5</v>
      </c>
      <c r="E15" s="1">
        <f>'Kwh Consumption'!D16*' Kwh area wise $ '!B15</f>
        <v>-383550</v>
      </c>
      <c r="F15" s="1">
        <f>'Kwh Consumption'!E16*' Kwh area wise $ '!B15</f>
        <v>-37144.5</v>
      </c>
      <c r="G15" s="1">
        <f>('Kwh Consumption'!F16+'Kwh Consumption'!G16+'Kwh Consumption'!H16)*' Kwh area wise $ '!B15</f>
        <v>-141906</v>
      </c>
      <c r="H15" s="16">
        <f>('Kwh Consumption'!I16+'Kwh Consumption'!J16)*' Kwh area wise $ '!B15</f>
        <v>-45244.5</v>
      </c>
      <c r="I15" s="1">
        <f>('Kwh Consumption'!K16+'Kwh Consumption'!L16)*' Kwh area wise $ '!B15</f>
        <v>-201189</v>
      </c>
      <c r="J15" s="1">
        <f>('Kwh Consumption'!M16+'Kwh Consumption'!N16+'Kwh Consumption'!O16+'Kwh Consumption'!P16+'Kwh Consumption'!Q16+'Kwh Consumption'!R16)*' Kwh area wise $ '!B15</f>
        <v>-566223</v>
      </c>
      <c r="K15" s="1">
        <f>('Kwh Consumption'!S16+'Kwh Consumption'!T16)*' Kwh area wise $ '!B15</f>
        <v>-2410384.6830000002</v>
      </c>
      <c r="L15" s="1">
        <f>'Kwh Consumption'!U16*' Kwh area wise $ '!B15</f>
        <v>-25215</v>
      </c>
      <c r="M15" s="1">
        <f>'Kwh Consumption'!V16*' Kwh area wise $ '!B15</f>
        <v>3879069.1829999997</v>
      </c>
    </row>
    <row r="16" spans="1:13" x14ac:dyDescent="0.25">
      <c r="A16" s="14">
        <f>'Kwh Reading'!A17</f>
        <v>44453</v>
      </c>
      <c r="B16" s="11">
        <f>TOTAL!F15</f>
        <v>0.15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44454</v>
      </c>
      <c r="B17" s="11">
        <f>TOTAL!F16</f>
        <v>0.15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44455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44456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44457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44458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44459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44460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44461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44462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44463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44464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44465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44466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44467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44468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44469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44470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39486.00000000024</v>
      </c>
      <c r="D34" s="75">
        <f t="shared" si="0"/>
        <v>-67405.5</v>
      </c>
      <c r="E34" s="75">
        <f t="shared" si="0"/>
        <v>-379275.00000000006</v>
      </c>
      <c r="F34" s="75">
        <f t="shared" si="0"/>
        <v>-36714</v>
      </c>
      <c r="G34" s="75">
        <f t="shared" si="0"/>
        <v>-140767.5</v>
      </c>
      <c r="H34" s="75">
        <f t="shared" si="0"/>
        <v>-44599.5</v>
      </c>
      <c r="I34" s="75">
        <f t="shared" si="0"/>
        <v>-198164.99999999997</v>
      </c>
      <c r="J34" s="75">
        <f t="shared" si="0"/>
        <v>-558121.5</v>
      </c>
      <c r="K34" s="75">
        <f t="shared" si="0"/>
        <v>-2401492.122</v>
      </c>
      <c r="L34" s="75">
        <f t="shared" si="0"/>
        <v>-24832.500000000004</v>
      </c>
      <c r="M34" s="75">
        <f>SUM(M3:M33)</f>
        <v>3890858.622</v>
      </c>
      <c r="N34" s="84">
        <f>D34+E34+F34+G34+H34+I34+J34+K34+L34+M34</f>
        <v>39486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21" sqref="C2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44440</v>
      </c>
      <c r="B3" s="33">
        <v>180874</v>
      </c>
      <c r="C3" s="56">
        <v>142133</v>
      </c>
      <c r="D3" s="33">
        <v>219501</v>
      </c>
      <c r="E3" s="33">
        <v>251513</v>
      </c>
      <c r="F3" s="33">
        <v>66981</v>
      </c>
      <c r="G3" s="33">
        <v>112781</v>
      </c>
      <c r="H3" s="33">
        <v>55314</v>
      </c>
      <c r="I3" s="33">
        <v>65441</v>
      </c>
      <c r="J3" s="33">
        <v>21005</v>
      </c>
      <c r="K3" s="33">
        <v>1024</v>
      </c>
      <c r="L3" s="33">
        <v>17705</v>
      </c>
      <c r="M3" s="33">
        <v>25154</v>
      </c>
      <c r="N3" s="33">
        <v>7590</v>
      </c>
      <c r="O3" s="33">
        <v>1735</v>
      </c>
      <c r="P3" s="33">
        <v>27660</v>
      </c>
      <c r="Q3" s="33">
        <v>913</v>
      </c>
      <c r="R3" s="33">
        <v>6604</v>
      </c>
    </row>
    <row r="4" spans="1:21" x14ac:dyDescent="0.25">
      <c r="A4" s="54">
        <v>44441</v>
      </c>
      <c r="B4" s="56">
        <v>181081</v>
      </c>
      <c r="C4" s="56">
        <v>142227</v>
      </c>
      <c r="D4" s="55">
        <v>219628</v>
      </c>
      <c r="E4" s="55">
        <v>251570</v>
      </c>
      <c r="F4" s="55">
        <v>66982</v>
      </c>
      <c r="G4" s="55">
        <v>112795</v>
      </c>
      <c r="H4" s="33">
        <v>55339</v>
      </c>
      <c r="I4" s="55">
        <v>65477</v>
      </c>
      <c r="J4" s="55">
        <v>21015</v>
      </c>
      <c r="K4" s="55">
        <v>1024</v>
      </c>
      <c r="L4" s="55">
        <v>17713</v>
      </c>
      <c r="M4" s="55">
        <v>25169</v>
      </c>
      <c r="N4" s="55">
        <v>7593</v>
      </c>
      <c r="O4" s="55">
        <v>1737</v>
      </c>
      <c r="P4" s="55">
        <v>27677</v>
      </c>
      <c r="Q4" s="33">
        <v>913</v>
      </c>
      <c r="R4" s="55">
        <v>6608</v>
      </c>
    </row>
    <row r="5" spans="1:21" x14ac:dyDescent="0.25">
      <c r="A5" s="54">
        <v>44442</v>
      </c>
      <c r="B5" s="55">
        <v>181233</v>
      </c>
      <c r="C5" s="33">
        <v>143105</v>
      </c>
      <c r="D5" s="55">
        <v>219729</v>
      </c>
      <c r="E5" s="55">
        <v>251630</v>
      </c>
      <c r="F5" s="55">
        <v>66982</v>
      </c>
      <c r="G5" s="55">
        <v>112809</v>
      </c>
      <c r="H5" s="33">
        <v>55363</v>
      </c>
      <c r="I5" s="55">
        <v>65511</v>
      </c>
      <c r="J5" s="55">
        <v>21025</v>
      </c>
      <c r="K5" s="55">
        <v>1024</v>
      </c>
      <c r="L5" s="55">
        <v>17738</v>
      </c>
      <c r="M5" s="55">
        <v>25196</v>
      </c>
      <c r="N5" s="55">
        <v>7597</v>
      </c>
      <c r="O5" s="55">
        <v>1738</v>
      </c>
      <c r="P5" s="55">
        <v>27693</v>
      </c>
      <c r="Q5" s="33">
        <v>913</v>
      </c>
      <c r="R5" s="55">
        <v>6612</v>
      </c>
    </row>
    <row r="6" spans="1:21" x14ac:dyDescent="0.25">
      <c r="A6" s="54">
        <v>44443</v>
      </c>
      <c r="B6" s="56">
        <v>181348</v>
      </c>
      <c r="C6" s="56">
        <v>143406</v>
      </c>
      <c r="D6" s="55">
        <v>219873</v>
      </c>
      <c r="E6" s="55">
        <v>251697</v>
      </c>
      <c r="F6" s="55">
        <v>66983</v>
      </c>
      <c r="G6" s="55">
        <v>112823</v>
      </c>
      <c r="H6" s="33">
        <v>55389</v>
      </c>
      <c r="I6" s="55">
        <v>65525</v>
      </c>
      <c r="J6" s="55">
        <v>21036</v>
      </c>
      <c r="K6" s="55">
        <v>1024</v>
      </c>
      <c r="L6" s="55">
        <v>17729</v>
      </c>
      <c r="M6" s="55">
        <v>25197</v>
      </c>
      <c r="N6" s="55">
        <v>7602</v>
      </c>
      <c r="O6" s="55">
        <v>1739</v>
      </c>
      <c r="P6" s="55">
        <v>27693</v>
      </c>
      <c r="Q6" s="33">
        <v>913</v>
      </c>
      <c r="R6" s="55">
        <v>6614</v>
      </c>
    </row>
    <row r="7" spans="1:21" x14ac:dyDescent="0.25">
      <c r="A7" s="54">
        <v>44444</v>
      </c>
      <c r="B7" s="56">
        <v>181475</v>
      </c>
      <c r="C7" s="33">
        <v>143528</v>
      </c>
      <c r="D7" s="55">
        <v>220028</v>
      </c>
      <c r="E7" s="55">
        <v>251752</v>
      </c>
      <c r="F7" s="55">
        <v>66984</v>
      </c>
      <c r="G7" s="55">
        <v>112835</v>
      </c>
      <c r="H7" s="33">
        <v>55425</v>
      </c>
      <c r="I7" s="55">
        <v>65555</v>
      </c>
      <c r="J7" s="55">
        <v>21046</v>
      </c>
      <c r="K7" s="55">
        <v>1024</v>
      </c>
      <c r="L7" s="55">
        <v>17736</v>
      </c>
      <c r="M7" s="55">
        <v>25211</v>
      </c>
      <c r="N7" s="55">
        <v>7605</v>
      </c>
      <c r="O7" s="55">
        <v>1740</v>
      </c>
      <c r="P7" s="55">
        <v>27708</v>
      </c>
      <c r="Q7" s="33">
        <v>913</v>
      </c>
      <c r="R7" s="55">
        <v>6618</v>
      </c>
    </row>
    <row r="8" spans="1:21" x14ac:dyDescent="0.25">
      <c r="A8" s="54">
        <v>44445</v>
      </c>
      <c r="B8" s="33">
        <v>181545</v>
      </c>
      <c r="C8" s="56">
        <v>143708</v>
      </c>
      <c r="D8" s="55">
        <v>220114</v>
      </c>
      <c r="E8" s="55">
        <v>251810</v>
      </c>
      <c r="F8" s="55">
        <v>66984</v>
      </c>
      <c r="G8" s="55">
        <v>112848</v>
      </c>
      <c r="H8" s="33">
        <v>55466</v>
      </c>
      <c r="I8" s="55">
        <v>65589</v>
      </c>
      <c r="J8" s="55">
        <v>21057</v>
      </c>
      <c r="K8" s="55">
        <v>1024</v>
      </c>
      <c r="L8" s="55">
        <v>17744</v>
      </c>
      <c r="M8" s="55">
        <v>25224</v>
      </c>
      <c r="N8" s="55">
        <v>7608</v>
      </c>
      <c r="O8" s="55">
        <v>1741</v>
      </c>
      <c r="P8" s="55">
        <v>27722</v>
      </c>
      <c r="Q8" s="33">
        <v>913</v>
      </c>
      <c r="R8" s="55">
        <v>6622</v>
      </c>
    </row>
    <row r="9" spans="1:21" x14ac:dyDescent="0.25">
      <c r="A9" s="54">
        <v>44446</v>
      </c>
      <c r="B9" s="56">
        <v>181663</v>
      </c>
      <c r="C9" s="33">
        <v>143812</v>
      </c>
      <c r="D9" s="55">
        <v>220275</v>
      </c>
      <c r="E9" s="55">
        <v>251866</v>
      </c>
      <c r="F9" s="55">
        <v>66984</v>
      </c>
      <c r="G9" s="55">
        <v>112864</v>
      </c>
      <c r="H9" s="33">
        <v>55472</v>
      </c>
      <c r="I9" s="55">
        <v>65614</v>
      </c>
      <c r="J9" s="55">
        <v>21068</v>
      </c>
      <c r="K9" s="55">
        <v>1024</v>
      </c>
      <c r="L9" s="55">
        <v>17752</v>
      </c>
      <c r="M9" s="55">
        <v>24240</v>
      </c>
      <c r="N9" s="55">
        <v>7611</v>
      </c>
      <c r="O9" s="55">
        <v>1742</v>
      </c>
      <c r="P9" s="55">
        <v>27732</v>
      </c>
      <c r="Q9" s="33">
        <v>938</v>
      </c>
      <c r="R9" s="55">
        <v>6626</v>
      </c>
    </row>
    <row r="10" spans="1:21" x14ac:dyDescent="0.25">
      <c r="A10" s="54">
        <v>44447</v>
      </c>
      <c r="B10" s="33">
        <v>181771</v>
      </c>
      <c r="C10" s="56">
        <v>144102</v>
      </c>
      <c r="D10" s="55">
        <v>220397</v>
      </c>
      <c r="E10" s="55">
        <v>251922</v>
      </c>
      <c r="F10" s="55">
        <v>66985</v>
      </c>
      <c r="G10" s="55">
        <v>112881</v>
      </c>
      <c r="H10" s="33">
        <v>55487</v>
      </c>
      <c r="I10" s="55">
        <v>65645</v>
      </c>
      <c r="J10" s="55">
        <v>21078</v>
      </c>
      <c r="K10" s="55">
        <v>1024</v>
      </c>
      <c r="L10" s="55">
        <v>17759</v>
      </c>
      <c r="M10" s="55">
        <v>25258</v>
      </c>
      <c r="N10" s="55">
        <v>7618</v>
      </c>
      <c r="O10" s="55">
        <v>1743</v>
      </c>
      <c r="P10" s="55">
        <v>27748</v>
      </c>
      <c r="Q10" s="33">
        <v>943</v>
      </c>
      <c r="R10" s="55">
        <v>6630</v>
      </c>
    </row>
    <row r="11" spans="1:21" x14ac:dyDescent="0.25">
      <c r="A11" s="54">
        <v>44448</v>
      </c>
      <c r="B11" s="56">
        <v>181869</v>
      </c>
      <c r="C11" s="33">
        <v>144276</v>
      </c>
      <c r="D11" s="55">
        <v>220485</v>
      </c>
      <c r="E11" s="55">
        <v>251980</v>
      </c>
      <c r="F11" s="55">
        <v>66985</v>
      </c>
      <c r="G11" s="55">
        <v>112898</v>
      </c>
      <c r="H11" s="33">
        <v>55507</v>
      </c>
      <c r="I11" s="55">
        <v>65682</v>
      </c>
      <c r="J11" s="55">
        <v>21088</v>
      </c>
      <c r="K11" s="55">
        <v>1024</v>
      </c>
      <c r="L11" s="55">
        <v>17766</v>
      </c>
      <c r="M11" s="55">
        <v>25273</v>
      </c>
      <c r="N11" s="55">
        <v>7618</v>
      </c>
      <c r="O11" s="55">
        <v>1744</v>
      </c>
      <c r="P11" s="55">
        <v>27763</v>
      </c>
      <c r="Q11" s="33">
        <v>951</v>
      </c>
      <c r="R11" s="55">
        <v>6634</v>
      </c>
    </row>
    <row r="12" spans="1:21" x14ac:dyDescent="0.25">
      <c r="A12" s="54">
        <v>44449</v>
      </c>
      <c r="B12" s="33">
        <v>181655</v>
      </c>
      <c r="C12" s="56">
        <v>144376</v>
      </c>
      <c r="D12" s="55">
        <v>220574</v>
      </c>
      <c r="E12" s="55">
        <v>252035</v>
      </c>
      <c r="F12" s="55">
        <v>66986</v>
      </c>
      <c r="G12" s="55">
        <v>112913</v>
      </c>
      <c r="H12" s="33">
        <v>55532</v>
      </c>
      <c r="I12" s="55">
        <v>65714</v>
      </c>
      <c r="J12" s="55">
        <v>21099</v>
      </c>
      <c r="K12" s="55">
        <v>1024</v>
      </c>
      <c r="L12" s="55">
        <v>17772</v>
      </c>
      <c r="M12" s="55">
        <v>25287</v>
      </c>
      <c r="N12" s="55">
        <v>7625</v>
      </c>
      <c r="O12" s="55">
        <v>1744</v>
      </c>
      <c r="P12" s="55">
        <v>27779</v>
      </c>
      <c r="Q12" s="33">
        <v>953</v>
      </c>
      <c r="R12" s="55">
        <v>6640</v>
      </c>
    </row>
    <row r="13" spans="1:21" x14ac:dyDescent="0.25">
      <c r="A13" s="54">
        <v>44450</v>
      </c>
      <c r="B13" s="56">
        <v>181756</v>
      </c>
      <c r="C13" s="33">
        <v>144476</v>
      </c>
      <c r="D13" s="55">
        <v>220674</v>
      </c>
      <c r="E13" s="55">
        <v>252092</v>
      </c>
      <c r="F13" s="55">
        <v>66986</v>
      </c>
      <c r="G13" s="55">
        <v>112932</v>
      </c>
      <c r="H13" s="33">
        <v>55576</v>
      </c>
      <c r="I13" s="55">
        <v>65733</v>
      </c>
      <c r="J13" s="55">
        <v>21110</v>
      </c>
      <c r="K13" s="55">
        <v>1024</v>
      </c>
      <c r="L13" s="55">
        <v>17780</v>
      </c>
      <c r="M13" s="55">
        <v>25303</v>
      </c>
      <c r="N13" s="55">
        <v>7630</v>
      </c>
      <c r="O13" s="55">
        <v>1747</v>
      </c>
      <c r="P13" s="55">
        <v>27779</v>
      </c>
      <c r="Q13" s="33">
        <v>953</v>
      </c>
      <c r="R13" s="55">
        <v>6643</v>
      </c>
    </row>
    <row r="14" spans="1:21" x14ac:dyDescent="0.25">
      <c r="A14" s="54">
        <v>44451</v>
      </c>
      <c r="B14" s="33">
        <v>181855</v>
      </c>
      <c r="C14" s="56">
        <v>144514</v>
      </c>
      <c r="D14" s="55">
        <v>220769</v>
      </c>
      <c r="E14" s="55">
        <v>252153</v>
      </c>
      <c r="F14" s="55">
        <v>66987</v>
      </c>
      <c r="G14" s="55">
        <v>112947</v>
      </c>
      <c r="H14" s="33">
        <v>55624</v>
      </c>
      <c r="I14" s="55">
        <v>65767</v>
      </c>
      <c r="J14" s="55">
        <v>21120</v>
      </c>
      <c r="K14" s="55">
        <v>1024</v>
      </c>
      <c r="L14" s="55">
        <v>17788</v>
      </c>
      <c r="M14" s="55">
        <v>25317</v>
      </c>
      <c r="N14" s="55">
        <v>7634</v>
      </c>
      <c r="O14" s="55">
        <v>1748</v>
      </c>
      <c r="P14" s="55">
        <v>27790</v>
      </c>
      <c r="Q14" s="33">
        <v>960</v>
      </c>
      <c r="R14" s="55">
        <v>6648</v>
      </c>
    </row>
    <row r="15" spans="1:21" x14ac:dyDescent="0.25">
      <c r="A15" s="54">
        <v>44452</v>
      </c>
      <c r="B15" s="33">
        <v>181952</v>
      </c>
      <c r="C15" s="33">
        <v>144606</v>
      </c>
      <c r="D15" s="55">
        <v>220881</v>
      </c>
      <c r="E15" s="55">
        <v>252205</v>
      </c>
      <c r="F15" s="55">
        <v>66987</v>
      </c>
      <c r="G15" s="55">
        <v>112965</v>
      </c>
      <c r="H15" s="33">
        <v>55662</v>
      </c>
      <c r="I15" s="55">
        <v>65804</v>
      </c>
      <c r="J15" s="55">
        <v>21131</v>
      </c>
      <c r="K15" s="55">
        <v>1024</v>
      </c>
      <c r="L15" s="55">
        <v>17795</v>
      </c>
      <c r="M15" s="55">
        <v>25331</v>
      </c>
      <c r="N15" s="55">
        <v>7637</v>
      </c>
      <c r="O15" s="55">
        <v>1748</v>
      </c>
      <c r="P15" s="55">
        <v>27809</v>
      </c>
      <c r="Q15" s="33">
        <v>964</v>
      </c>
      <c r="R15" s="55">
        <v>6653</v>
      </c>
      <c r="T15" s="110"/>
      <c r="U15" s="110"/>
    </row>
    <row r="16" spans="1:21" x14ac:dyDescent="0.25">
      <c r="A16" s="54">
        <v>44453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44454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44455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44456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44457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44458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44459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44460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44461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44462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44463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44464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44465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44466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44467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44468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44469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44470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H42" sqref="H4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31</v>
      </c>
      <c r="B2" s="140" t="s">
        <v>108</v>
      </c>
      <c r="C2" s="140" t="s">
        <v>109</v>
      </c>
      <c r="D2" s="140"/>
      <c r="E2" s="141" t="s">
        <v>97</v>
      </c>
      <c r="F2" s="138"/>
      <c r="G2" s="135" t="s">
        <v>112</v>
      </c>
      <c r="H2" s="138"/>
      <c r="I2" s="135" t="s">
        <v>110</v>
      </c>
      <c r="J2" s="138"/>
      <c r="K2" s="135" t="s">
        <v>111</v>
      </c>
      <c r="L2" s="138"/>
      <c r="M2" s="135" t="s">
        <v>107</v>
      </c>
      <c r="N2" s="138"/>
      <c r="O2" s="135" t="s">
        <v>106</v>
      </c>
      <c r="P2" s="138"/>
      <c r="Q2" s="135" t="s">
        <v>113</v>
      </c>
      <c r="R2" s="138"/>
      <c r="S2" s="135" t="s">
        <v>114</v>
      </c>
      <c r="T2" s="138"/>
      <c r="U2" s="135" t="s">
        <v>115</v>
      </c>
      <c r="V2" s="138"/>
      <c r="W2" s="135" t="s">
        <v>99</v>
      </c>
      <c r="X2" s="136"/>
      <c r="Y2" s="137" t="s">
        <v>52</v>
      </c>
      <c r="Z2" s="137"/>
    </row>
    <row r="3" spans="1:26" ht="30" x14ac:dyDescent="0.35">
      <c r="A3" s="139"/>
      <c r="B3" s="140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44440</v>
      </c>
      <c r="B4" s="65">
        <v>469</v>
      </c>
      <c r="C4" s="66">
        <f>('Water Reading'!B4-'Water Reading'!B3)+('Water Reading'!C4-'Water Reading'!C3)</f>
        <v>301</v>
      </c>
      <c r="D4" s="67">
        <f>C4/B4</f>
        <v>0.64179104477611937</v>
      </c>
      <c r="E4" s="88">
        <f>'Water Reading'!H4-'Water Reading'!H3</f>
        <v>25</v>
      </c>
      <c r="F4" s="89">
        <f>E4/C4</f>
        <v>8.3056478405315617E-2</v>
      </c>
      <c r="G4" s="93">
        <f>('Water Reading'!D4-'Water Reading'!D3)-('Water Reading'!R4-'Water Reading'!R3)-('Water Reading'!Q4-'Water Reading'!Q3)</f>
        <v>123</v>
      </c>
      <c r="H4" s="89">
        <f>G4/C4</f>
        <v>0.40863787375415284</v>
      </c>
      <c r="I4" s="90">
        <f>'Water Reading'!P4-'Water Reading'!P3</f>
        <v>17</v>
      </c>
      <c r="J4" s="68">
        <f>I4/C4</f>
        <v>5.647840531561462E-2</v>
      </c>
      <c r="K4" s="91">
        <f>('Water Reading'!I4-'Water Reading'!I3)-('Water Reading'!P4-'Water Reading'!P3)</f>
        <v>19</v>
      </c>
      <c r="L4" s="68">
        <f>K4/C4</f>
        <v>6.3122923588039864E-2</v>
      </c>
      <c r="M4" s="90">
        <f>'Water Reading'!R4-'Water Reading'!R3</f>
        <v>4</v>
      </c>
      <c r="N4" s="92">
        <f>M4/C4</f>
        <v>1.3289036544850499E-2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3.3222591362126247E-3</v>
      </c>
      <c r="S4" s="90">
        <f>'Water Reading'!E4-'Water Reading'!E3</f>
        <v>57</v>
      </c>
      <c r="T4" s="100">
        <f>S4/C4</f>
        <v>0.18936877076411959</v>
      </c>
      <c r="U4" s="90">
        <f>'Water Reading'!G4-'Water Reading'!G3</f>
        <v>14</v>
      </c>
      <c r="V4" s="100">
        <f>U4/C4</f>
        <v>4.6511627906976744E-2</v>
      </c>
      <c r="W4" s="90">
        <f>'Water Reading'!J4-'Water Reading'!J3</f>
        <v>10</v>
      </c>
      <c r="X4" s="100">
        <f>W4/C4</f>
        <v>3.3222591362126248E-2</v>
      </c>
      <c r="Y4" s="66">
        <f t="shared" ref="Y4:Y34" si="0">E4+I4+K4+M4+O4+G4+Q4+S4+U4+W4</f>
        <v>270</v>
      </c>
      <c r="Z4" s="67">
        <f t="shared" ref="Z4:Z35" si="1">Y4/B4</f>
        <v>0.57569296375266521</v>
      </c>
    </row>
    <row r="5" spans="1:26" x14ac:dyDescent="0.25">
      <c r="A5" s="8">
        <f>'Water Reading'!A4</f>
        <v>44441</v>
      </c>
      <c r="B5" s="65">
        <f>TOTAL!I3</f>
        <v>233</v>
      </c>
      <c r="C5" s="66">
        <v>385</v>
      </c>
      <c r="D5" s="67">
        <f t="shared" ref="D5:D34" si="2">C5/B5</f>
        <v>1.6523605150214593</v>
      </c>
      <c r="E5" s="88">
        <f>'Water Reading'!H5-'Water Reading'!H4</f>
        <v>24</v>
      </c>
      <c r="F5" s="89">
        <f t="shared" ref="F5:F34" si="3">E5/C5</f>
        <v>6.2337662337662338E-2</v>
      </c>
      <c r="G5" s="93">
        <f>('Water Reading'!D5-'Water Reading'!D4)-('Water Reading'!R5-'Water Reading'!R4)-('Water Reading'!Q5-'Water Reading'!Q4)</f>
        <v>97</v>
      </c>
      <c r="H5" s="89">
        <f t="shared" ref="H5:H34" si="4">G5/C5</f>
        <v>0.25194805194805192</v>
      </c>
      <c r="I5" s="90">
        <f>'Water Reading'!P5-'Water Reading'!P4</f>
        <v>16</v>
      </c>
      <c r="J5" s="68">
        <f t="shared" ref="J5:J34" si="5">I5/C5</f>
        <v>4.1558441558441558E-2</v>
      </c>
      <c r="K5" s="91">
        <f>('Water Reading'!I5-'Water Reading'!I4)-('Water Reading'!P5-'Water Reading'!P4)</f>
        <v>18</v>
      </c>
      <c r="L5" s="68">
        <f t="shared" ref="L5:L34" si="6">K5/C5</f>
        <v>4.6753246753246755E-2</v>
      </c>
      <c r="M5" s="90">
        <f>'Water Reading'!R5-'Water Reading'!R4</f>
        <v>4</v>
      </c>
      <c r="N5" s="92">
        <f t="shared" ref="N5:N34" si="7">M5/C5</f>
        <v>1.038961038961039E-2</v>
      </c>
      <c r="O5" s="90">
        <f>'Water Reading'!Q5-'Water Reading'!Q4</f>
        <v>0</v>
      </c>
      <c r="P5" s="99">
        <f t="shared" ref="P5:P34" si="8">O5/C5</f>
        <v>0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60</v>
      </c>
      <c r="T5" s="100">
        <f t="shared" ref="T5:T34" si="10">S5/C5</f>
        <v>0.15584415584415584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243</v>
      </c>
      <c r="Z5" s="67">
        <f t="shared" si="1"/>
        <v>1.0429184549356223</v>
      </c>
    </row>
    <row r="6" spans="1:26" x14ac:dyDescent="0.25">
      <c r="A6" s="8">
        <f>'Water Reading'!A5</f>
        <v>44442</v>
      </c>
      <c r="B6" s="65">
        <f>TOTAL!I4</f>
        <v>232</v>
      </c>
      <c r="C6" s="66">
        <f>('Water Reading'!B6-'Water Reading'!B5)+('Water Reading'!C6-'Water Reading'!C5)</f>
        <v>416</v>
      </c>
      <c r="D6" s="67">
        <f t="shared" si="2"/>
        <v>1.7931034482758621</v>
      </c>
      <c r="E6" s="88">
        <f>'Water Reading'!H6-'Water Reading'!H5</f>
        <v>26</v>
      </c>
      <c r="F6" s="89">
        <f t="shared" si="3"/>
        <v>6.25E-2</v>
      </c>
      <c r="G6" s="93">
        <f>('Water Reading'!D6-'Water Reading'!D5)-('Water Reading'!R6-'Water Reading'!R5)-('Water Reading'!Q6-'Water Reading'!Q5)</f>
        <v>142</v>
      </c>
      <c r="H6" s="89">
        <f t="shared" si="4"/>
        <v>0.34134615384615385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14</v>
      </c>
      <c r="L6" s="68">
        <f t="shared" si="6"/>
        <v>3.3653846153846152E-2</v>
      </c>
      <c r="M6" s="90">
        <f>'Water Reading'!R6-'Water Reading'!R5</f>
        <v>2</v>
      </c>
      <c r="N6" s="92">
        <f t="shared" si="7"/>
        <v>4.807692307692308E-3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1</v>
      </c>
      <c r="R6" s="100">
        <f t="shared" si="9"/>
        <v>2.403846153846154E-3</v>
      </c>
      <c r="S6" s="90">
        <f>'Water Reading'!E6-'Water Reading'!E5</f>
        <v>67</v>
      </c>
      <c r="T6" s="100">
        <f t="shared" si="10"/>
        <v>0.16105769230769232</v>
      </c>
      <c r="U6" s="90">
        <f>'Water Reading'!G6-'Water Reading'!G5</f>
        <v>14</v>
      </c>
      <c r="V6" s="100">
        <f t="shared" si="11"/>
        <v>3.3653846153846152E-2</v>
      </c>
      <c r="W6" s="90">
        <f>'Water Reading'!J6-'Water Reading'!J5</f>
        <v>11</v>
      </c>
      <c r="X6" s="100">
        <f t="shared" si="12"/>
        <v>2.6442307692307692E-2</v>
      </c>
      <c r="Y6" s="66">
        <f t="shared" si="0"/>
        <v>277</v>
      </c>
      <c r="Z6" s="67">
        <f t="shared" si="1"/>
        <v>1.1939655172413792</v>
      </c>
    </row>
    <row r="7" spans="1:26" x14ac:dyDescent="0.25">
      <c r="A7" s="8">
        <f>'Water Reading'!A6</f>
        <v>44443</v>
      </c>
      <c r="B7" s="65">
        <f>TOTAL!I5</f>
        <v>229</v>
      </c>
      <c r="C7" s="66">
        <f>('Water Reading'!B7-'Water Reading'!B6)+('Water Reading'!C7-'Water Reading'!C6)</f>
        <v>249</v>
      </c>
      <c r="D7" s="67">
        <f t="shared" si="2"/>
        <v>1.0873362445414847</v>
      </c>
      <c r="E7" s="88">
        <f>'Water Reading'!H7-'Water Reading'!H6</f>
        <v>36</v>
      </c>
      <c r="F7" s="89">
        <f t="shared" si="3"/>
        <v>0.14457831325301204</v>
      </c>
      <c r="G7" s="93">
        <f>('Water Reading'!D7-'Water Reading'!D6)-('Water Reading'!R7-'Water Reading'!R6)-('Water Reading'!Q7-'Water Reading'!Q6)</f>
        <v>151</v>
      </c>
      <c r="H7" s="89">
        <f t="shared" si="4"/>
        <v>0.60642570281124497</v>
      </c>
      <c r="I7" s="90">
        <f>'Water Reading'!P7-'Water Reading'!P6</f>
        <v>15</v>
      </c>
      <c r="J7" s="68">
        <f t="shared" si="5"/>
        <v>6.0240963855421686E-2</v>
      </c>
      <c r="K7" s="91">
        <f>('Water Reading'!I7-'Water Reading'!I6)-('Water Reading'!P7-'Water Reading'!P6)</f>
        <v>15</v>
      </c>
      <c r="L7" s="68">
        <f t="shared" si="6"/>
        <v>6.0240963855421686E-2</v>
      </c>
      <c r="M7" s="90">
        <f>'Water Reading'!R7-'Water Reading'!R6</f>
        <v>4</v>
      </c>
      <c r="N7" s="92">
        <f t="shared" si="7"/>
        <v>1.6064257028112448E-2</v>
      </c>
      <c r="O7" s="90">
        <f>'Water Reading'!Q7-'Water Reading'!Q6</f>
        <v>0</v>
      </c>
      <c r="P7" s="99">
        <f t="shared" si="8"/>
        <v>0</v>
      </c>
      <c r="Q7" s="91">
        <f>'Water Reading'!F7-'Water Reading'!F6</f>
        <v>1</v>
      </c>
      <c r="R7" s="100">
        <f t="shared" si="9"/>
        <v>4.0160642570281121E-3</v>
      </c>
      <c r="S7" s="90">
        <f>'Water Reading'!E7-'Water Reading'!E6</f>
        <v>55</v>
      </c>
      <c r="T7" s="100">
        <f t="shared" si="10"/>
        <v>0.22088353413654618</v>
      </c>
      <c r="U7" s="90">
        <f>'Water Reading'!G7-'Water Reading'!G6</f>
        <v>12</v>
      </c>
      <c r="V7" s="100">
        <f t="shared" si="11"/>
        <v>4.8192771084337352E-2</v>
      </c>
      <c r="W7" s="90">
        <f>'Water Reading'!J7-'Water Reading'!J6</f>
        <v>10</v>
      </c>
      <c r="X7" s="100">
        <f t="shared" si="12"/>
        <v>4.0160642570281124E-2</v>
      </c>
      <c r="Y7" s="66">
        <f t="shared" si="0"/>
        <v>299</v>
      </c>
      <c r="Z7" s="67">
        <f t="shared" si="1"/>
        <v>1.3056768558951966</v>
      </c>
    </row>
    <row r="8" spans="1:26" x14ac:dyDescent="0.25">
      <c r="A8" s="8">
        <f>'Water Reading'!A7</f>
        <v>44444</v>
      </c>
      <c r="B8" s="65">
        <f>TOTAL!I6</f>
        <v>243</v>
      </c>
      <c r="C8" s="66">
        <f>('Water Reading'!B8-'Water Reading'!B7)+('Water Reading'!C8-'Water Reading'!C7)</f>
        <v>250</v>
      </c>
      <c r="D8" s="67">
        <f t="shared" si="2"/>
        <v>1.0288065843621399</v>
      </c>
      <c r="E8" s="88">
        <f>'Water Reading'!H8-'Water Reading'!H7</f>
        <v>41</v>
      </c>
      <c r="F8" s="89">
        <f t="shared" si="3"/>
        <v>0.16400000000000001</v>
      </c>
      <c r="G8" s="93">
        <f>('Water Reading'!D8-'Water Reading'!D7)-('Water Reading'!R8-'Water Reading'!R7)-('Water Reading'!Q8-'Water Reading'!Q7)</f>
        <v>82</v>
      </c>
      <c r="H8" s="89">
        <f t="shared" si="4"/>
        <v>0.32800000000000001</v>
      </c>
      <c r="I8" s="90">
        <f>'Water Reading'!P8-'Water Reading'!P7</f>
        <v>14</v>
      </c>
      <c r="J8" s="68">
        <f t="shared" si="5"/>
        <v>5.6000000000000001E-2</v>
      </c>
      <c r="K8" s="91">
        <f>('Water Reading'!I8-'Water Reading'!I7)-('Water Reading'!P8-'Water Reading'!P7)</f>
        <v>20</v>
      </c>
      <c r="L8" s="68">
        <f t="shared" si="6"/>
        <v>0.08</v>
      </c>
      <c r="M8" s="90">
        <f>'Water Reading'!R8-'Water Reading'!R7</f>
        <v>4</v>
      </c>
      <c r="N8" s="92">
        <f t="shared" si="7"/>
        <v>1.6E-2</v>
      </c>
      <c r="O8" s="90">
        <f>'Water Reading'!Q8-'Water Reading'!Q7</f>
        <v>0</v>
      </c>
      <c r="P8" s="99">
        <f t="shared" si="8"/>
        <v>0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58</v>
      </c>
      <c r="T8" s="100">
        <f t="shared" si="10"/>
        <v>0.23200000000000001</v>
      </c>
      <c r="U8" s="90">
        <f>'Water Reading'!G8-'Water Reading'!G7</f>
        <v>13</v>
      </c>
      <c r="V8" s="100">
        <f t="shared" si="11"/>
        <v>5.1999999999999998E-2</v>
      </c>
      <c r="W8" s="90">
        <f>'Water Reading'!J8-'Water Reading'!J7</f>
        <v>11</v>
      </c>
      <c r="X8" s="100">
        <f t="shared" si="12"/>
        <v>4.3999999999999997E-2</v>
      </c>
      <c r="Y8" s="66">
        <f t="shared" si="0"/>
        <v>243</v>
      </c>
      <c r="Z8" s="67">
        <f t="shared" si="1"/>
        <v>1</v>
      </c>
    </row>
    <row r="9" spans="1:26" x14ac:dyDescent="0.25">
      <c r="A9" s="8">
        <f>'Water Reading'!A8</f>
        <v>44445</v>
      </c>
      <c r="B9" s="65">
        <f>TOTAL!I7</f>
        <v>243</v>
      </c>
      <c r="C9" s="66">
        <f>('Water Reading'!B9-'Water Reading'!B8)+('Water Reading'!C9-'Water Reading'!C8)</f>
        <v>222</v>
      </c>
      <c r="D9" s="67">
        <f t="shared" si="2"/>
        <v>0.9135802469135802</v>
      </c>
      <c r="E9" s="88">
        <f>'Water Reading'!H9-'Water Reading'!H8</f>
        <v>6</v>
      </c>
      <c r="F9" s="89">
        <f t="shared" si="3"/>
        <v>2.7027027027027029E-2</v>
      </c>
      <c r="G9" s="93">
        <f>('Water Reading'!D9-'Water Reading'!D8)-('Water Reading'!R9-'Water Reading'!R8)-('Water Reading'!Q9-'Water Reading'!Q8)</f>
        <v>132</v>
      </c>
      <c r="H9" s="89">
        <f t="shared" si="4"/>
        <v>0.59459459459459463</v>
      </c>
      <c r="I9" s="90">
        <f>'Water Reading'!P9-'Water Reading'!P8</f>
        <v>10</v>
      </c>
      <c r="J9" s="68">
        <f t="shared" si="5"/>
        <v>4.5045045045045043E-2</v>
      </c>
      <c r="K9" s="91">
        <f>('Water Reading'!I9-'Water Reading'!I8)-('Water Reading'!P9-'Water Reading'!P8)</f>
        <v>15</v>
      </c>
      <c r="L9" s="68">
        <f t="shared" si="6"/>
        <v>6.7567567567567571E-2</v>
      </c>
      <c r="M9" s="90">
        <f>'Water Reading'!R9-'Water Reading'!R8</f>
        <v>4</v>
      </c>
      <c r="N9" s="92">
        <f t="shared" si="7"/>
        <v>1.8018018018018018E-2</v>
      </c>
      <c r="O9" s="90">
        <f>'Water Reading'!Q9-'Water Reading'!Q8</f>
        <v>25</v>
      </c>
      <c r="P9" s="99">
        <f t="shared" si="8"/>
        <v>0.11261261261261261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56</v>
      </c>
      <c r="T9" s="100">
        <f t="shared" si="10"/>
        <v>0.25225225225225223</v>
      </c>
      <c r="U9" s="90">
        <f>'Water Reading'!G9-'Water Reading'!G8</f>
        <v>16</v>
      </c>
      <c r="V9" s="100">
        <f t="shared" si="11"/>
        <v>7.2072072072072071E-2</v>
      </c>
      <c r="W9" s="90">
        <f>'Water Reading'!J9-'Water Reading'!J8</f>
        <v>11</v>
      </c>
      <c r="X9" s="100">
        <f t="shared" si="12"/>
        <v>4.954954954954955E-2</v>
      </c>
      <c r="Y9" s="66">
        <f t="shared" si="0"/>
        <v>275</v>
      </c>
      <c r="Z9" s="67">
        <f t="shared" si="1"/>
        <v>1.131687242798354</v>
      </c>
    </row>
    <row r="10" spans="1:26" x14ac:dyDescent="0.25">
      <c r="A10" s="8">
        <f>'Water Reading'!A9</f>
        <v>44446</v>
      </c>
      <c r="B10" s="65">
        <f>TOTAL!I8</f>
        <v>229</v>
      </c>
      <c r="C10" s="66">
        <f>('Water Reading'!B10-'Water Reading'!B9)+('Water Reading'!C10-'Water Reading'!C9)</f>
        <v>398</v>
      </c>
      <c r="D10" s="67">
        <f t="shared" si="2"/>
        <v>1.7379912663755459</v>
      </c>
      <c r="E10" s="88">
        <f>'Water Reading'!H10-'Water Reading'!H9</f>
        <v>15</v>
      </c>
      <c r="F10" s="89">
        <f t="shared" si="3"/>
        <v>3.7688442211055273E-2</v>
      </c>
      <c r="G10" s="93">
        <f>('Water Reading'!D10-'Water Reading'!D9)-('Water Reading'!R10-'Water Reading'!R9)-('Water Reading'!Q10-'Water Reading'!Q9)</f>
        <v>113</v>
      </c>
      <c r="H10" s="89">
        <f t="shared" si="4"/>
        <v>0.28391959798994976</v>
      </c>
      <c r="I10" s="90">
        <f>'Water Reading'!P10-'Water Reading'!P9</f>
        <v>16</v>
      </c>
      <c r="J10" s="68">
        <f t="shared" si="5"/>
        <v>4.0201005025125629E-2</v>
      </c>
      <c r="K10" s="91">
        <f>('Water Reading'!I10-'Water Reading'!I9)-('Water Reading'!P10-'Water Reading'!P9)</f>
        <v>15</v>
      </c>
      <c r="L10" s="68">
        <f t="shared" si="6"/>
        <v>3.7688442211055273E-2</v>
      </c>
      <c r="M10" s="90">
        <f>'Water Reading'!R10-'Water Reading'!R9</f>
        <v>4</v>
      </c>
      <c r="N10" s="92">
        <f t="shared" si="7"/>
        <v>1.0050251256281407E-2</v>
      </c>
      <c r="O10" s="90">
        <f>'Water Reading'!Q10-'Water Reading'!Q9</f>
        <v>5</v>
      </c>
      <c r="P10" s="99">
        <f t="shared" si="8"/>
        <v>1.2562814070351759E-2</v>
      </c>
      <c r="Q10" s="91">
        <f>'Water Reading'!F10-'Water Reading'!F9</f>
        <v>1</v>
      </c>
      <c r="R10" s="100">
        <f t="shared" si="9"/>
        <v>2.5125628140703518E-3</v>
      </c>
      <c r="S10" s="90">
        <f>'Water Reading'!E10-'Water Reading'!E9</f>
        <v>56</v>
      </c>
      <c r="T10" s="100">
        <f t="shared" si="10"/>
        <v>0.1407035175879397</v>
      </c>
      <c r="U10" s="90">
        <f>'Water Reading'!G10-'Water Reading'!G9</f>
        <v>17</v>
      </c>
      <c r="V10" s="100">
        <f t="shared" si="11"/>
        <v>4.2713567839195977E-2</v>
      </c>
      <c r="W10" s="90">
        <f>'Water Reading'!J10-'Water Reading'!J9</f>
        <v>10</v>
      </c>
      <c r="X10" s="100">
        <f t="shared" si="12"/>
        <v>2.5125628140703519E-2</v>
      </c>
      <c r="Y10" s="66">
        <f t="shared" si="0"/>
        <v>252</v>
      </c>
      <c r="Z10" s="67">
        <f t="shared" si="1"/>
        <v>1.1004366812227073</v>
      </c>
    </row>
    <row r="11" spans="1:26" x14ac:dyDescent="0.25">
      <c r="A11" s="8">
        <f>'Water Reading'!A10</f>
        <v>44447</v>
      </c>
      <c r="B11" s="65">
        <f>TOTAL!I9</f>
        <v>232</v>
      </c>
      <c r="C11" s="66">
        <f>('Water Reading'!B11-'Water Reading'!B10)+('Water Reading'!C11-'Water Reading'!C10)</f>
        <v>272</v>
      </c>
      <c r="D11" s="67">
        <f t="shared" si="2"/>
        <v>1.1724137931034482</v>
      </c>
      <c r="E11" s="88">
        <f>'Water Reading'!H11-'Water Reading'!H10</f>
        <v>20</v>
      </c>
      <c r="F11" s="89">
        <f t="shared" si="3"/>
        <v>7.3529411764705885E-2</v>
      </c>
      <c r="G11" s="93">
        <f>('Water Reading'!D11-'Water Reading'!D10)-('Water Reading'!R11-'Water Reading'!R10)-('Water Reading'!Q11-'Water Reading'!Q10)</f>
        <v>76</v>
      </c>
      <c r="H11" s="89">
        <f t="shared" si="4"/>
        <v>0.27941176470588236</v>
      </c>
      <c r="I11" s="90">
        <f>'Water Reading'!P11-'Water Reading'!P10</f>
        <v>15</v>
      </c>
      <c r="J11" s="68">
        <f t="shared" si="5"/>
        <v>5.514705882352941E-2</v>
      </c>
      <c r="K11" s="91">
        <f>('Water Reading'!I11-'Water Reading'!I10)-('Water Reading'!P11-'Water Reading'!P10)</f>
        <v>22</v>
      </c>
      <c r="L11" s="68">
        <f t="shared" si="6"/>
        <v>8.0882352941176475E-2</v>
      </c>
      <c r="M11" s="90">
        <f>'Water Reading'!R11-'Water Reading'!R10</f>
        <v>4</v>
      </c>
      <c r="N11" s="92">
        <f t="shared" si="7"/>
        <v>1.4705882352941176E-2</v>
      </c>
      <c r="O11" s="98">
        <f>'Water Reading'!Q11-'Water Reading'!Q10</f>
        <v>8</v>
      </c>
      <c r="P11" s="99">
        <f t="shared" si="8"/>
        <v>2.9411764705882353E-2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58</v>
      </c>
      <c r="T11" s="100">
        <f t="shared" si="10"/>
        <v>0.21323529411764705</v>
      </c>
      <c r="U11" s="90">
        <f>'Water Reading'!G11-'Water Reading'!G10</f>
        <v>17</v>
      </c>
      <c r="V11" s="100">
        <f t="shared" si="11"/>
        <v>6.25E-2</v>
      </c>
      <c r="W11" s="90">
        <f>'Water Reading'!J11-'Water Reading'!J10</f>
        <v>10</v>
      </c>
      <c r="X11" s="100">
        <f t="shared" si="12"/>
        <v>3.6764705882352942E-2</v>
      </c>
      <c r="Y11" s="66">
        <f t="shared" si="0"/>
        <v>230</v>
      </c>
      <c r="Z11" s="67">
        <f t="shared" si="1"/>
        <v>0.99137931034482762</v>
      </c>
    </row>
    <row r="12" spans="1:26" x14ac:dyDescent="0.25">
      <c r="A12" s="8">
        <f>'Water Reading'!A11</f>
        <v>44448</v>
      </c>
      <c r="B12" s="65">
        <f>TOTAL!I10</f>
        <v>334</v>
      </c>
      <c r="C12" s="66">
        <f>('Water Reading'!B12-'Water Reading'!B11)+('Water Reading'!C12-'Water Reading'!C11)</f>
        <v>-114</v>
      </c>
      <c r="D12" s="67">
        <f t="shared" si="2"/>
        <v>-0.3413173652694611</v>
      </c>
      <c r="E12" s="88">
        <f>'Water Reading'!H12-'Water Reading'!H11</f>
        <v>25</v>
      </c>
      <c r="F12" s="89">
        <f t="shared" si="3"/>
        <v>-0.21929824561403508</v>
      </c>
      <c r="G12" s="93">
        <f>('Water Reading'!D12-'Water Reading'!D11)-('Water Reading'!R12-'Water Reading'!R11)-('Water Reading'!Q12-'Water Reading'!Q11)</f>
        <v>81</v>
      </c>
      <c r="H12" s="89">
        <f t="shared" si="4"/>
        <v>-0.71052631578947367</v>
      </c>
      <c r="I12" s="90">
        <f>'Water Reading'!P12-'Water Reading'!P11</f>
        <v>16</v>
      </c>
      <c r="J12" s="68">
        <f t="shared" si="5"/>
        <v>-0.14035087719298245</v>
      </c>
      <c r="K12" s="91">
        <f>('Water Reading'!I12-'Water Reading'!I11)-('Water Reading'!P12-'Water Reading'!P11)</f>
        <v>16</v>
      </c>
      <c r="L12" s="68">
        <f t="shared" si="6"/>
        <v>-0.14035087719298245</v>
      </c>
      <c r="M12" s="90">
        <f>'Water Reading'!R12-'Water Reading'!R11</f>
        <v>6</v>
      </c>
      <c r="N12" s="92">
        <f t="shared" si="7"/>
        <v>-5.2631578947368418E-2</v>
      </c>
      <c r="O12" s="98">
        <f>'Water Reading'!Q12-'Water Reading'!Q11</f>
        <v>2</v>
      </c>
      <c r="P12" s="99">
        <f t="shared" si="8"/>
        <v>-1.7543859649122806E-2</v>
      </c>
      <c r="Q12" s="91">
        <f>'Water Reading'!F12-'Water Reading'!F11</f>
        <v>1</v>
      </c>
      <c r="R12" s="100">
        <f t="shared" si="9"/>
        <v>-8.771929824561403E-3</v>
      </c>
      <c r="S12" s="90">
        <f>'Water Reading'!E12-'Water Reading'!E11</f>
        <v>55</v>
      </c>
      <c r="T12" s="100">
        <f t="shared" si="10"/>
        <v>-0.48245614035087719</v>
      </c>
      <c r="U12" s="90">
        <f>'Water Reading'!G12-'Water Reading'!G11</f>
        <v>15</v>
      </c>
      <c r="V12" s="100">
        <f t="shared" si="11"/>
        <v>-0.13157894736842105</v>
      </c>
      <c r="W12" s="90">
        <f>'Water Reading'!J12-'Water Reading'!J11</f>
        <v>11</v>
      </c>
      <c r="X12" s="100">
        <f t="shared" si="12"/>
        <v>-9.6491228070175433E-2</v>
      </c>
      <c r="Y12" s="66">
        <f t="shared" si="0"/>
        <v>228</v>
      </c>
      <c r="Z12" s="67">
        <f t="shared" si="1"/>
        <v>0.68263473053892221</v>
      </c>
    </row>
    <row r="13" spans="1:26" x14ac:dyDescent="0.25">
      <c r="A13" s="8">
        <f>'Water Reading'!A12</f>
        <v>44449</v>
      </c>
      <c r="B13" s="65">
        <f>TOTAL!I11</f>
        <v>226</v>
      </c>
      <c r="C13" s="66">
        <f>('Water Reading'!B13-'Water Reading'!B12)+('Water Reading'!C13-'Water Reading'!C12)</f>
        <v>201</v>
      </c>
      <c r="D13" s="67">
        <f t="shared" si="2"/>
        <v>0.88938053097345138</v>
      </c>
      <c r="E13" s="87">
        <f>'Water Reading'!H13-'Water Reading'!H12</f>
        <v>44</v>
      </c>
      <c r="F13" s="89">
        <f t="shared" si="3"/>
        <v>0.21890547263681592</v>
      </c>
      <c r="G13" s="93">
        <f>('Water Reading'!D13-'Water Reading'!D12)-('Water Reading'!R13-'Water Reading'!R12)-('Water Reading'!Q13-'Water Reading'!Q12)</f>
        <v>97</v>
      </c>
      <c r="H13" s="89">
        <f t="shared" si="4"/>
        <v>0.48258706467661694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9.4527363184079602E-2</v>
      </c>
      <c r="M13" s="90">
        <f>'Water Reading'!R13-'Water Reading'!R12</f>
        <v>3</v>
      </c>
      <c r="N13" s="92">
        <f t="shared" si="7"/>
        <v>1.4925373134328358E-2</v>
      </c>
      <c r="O13" s="90">
        <f>'Water Reading'!Q13-'Water Reading'!Q12</f>
        <v>0</v>
      </c>
      <c r="P13" s="99">
        <f t="shared" si="8"/>
        <v>0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57</v>
      </c>
      <c r="T13" s="100">
        <f t="shared" si="10"/>
        <v>0.28358208955223879</v>
      </c>
      <c r="U13" s="90">
        <f>'Water Reading'!G13-'Water Reading'!G12</f>
        <v>19</v>
      </c>
      <c r="V13" s="100">
        <f t="shared" si="11"/>
        <v>9.4527363184079602E-2</v>
      </c>
      <c r="W13" s="90">
        <f>'Water Reading'!J13-'Water Reading'!J12</f>
        <v>11</v>
      </c>
      <c r="X13" s="100">
        <f t="shared" si="12"/>
        <v>5.4726368159203981E-2</v>
      </c>
      <c r="Y13" s="66">
        <f t="shared" si="0"/>
        <v>250</v>
      </c>
      <c r="Z13" s="67">
        <f t="shared" si="1"/>
        <v>1.1061946902654867</v>
      </c>
    </row>
    <row r="14" spans="1:26" x14ac:dyDescent="0.25">
      <c r="A14" s="8">
        <f>'Water Reading'!A13</f>
        <v>44450</v>
      </c>
      <c r="B14" s="65">
        <f>TOTAL!I12</f>
        <v>231</v>
      </c>
      <c r="C14" s="66">
        <f>('Water Reading'!B14-'Water Reading'!B13)+('Water Reading'!C14-'Water Reading'!C13)</f>
        <v>137</v>
      </c>
      <c r="D14" s="67">
        <f t="shared" si="2"/>
        <v>0.59307359307359309</v>
      </c>
      <c r="E14" s="88">
        <f>'Water Reading'!H14-'Water Reading'!H13</f>
        <v>48</v>
      </c>
      <c r="F14" s="89">
        <f t="shared" si="3"/>
        <v>0.35036496350364965</v>
      </c>
      <c r="G14" s="93">
        <f>('Water Reading'!D14-'Water Reading'!D13)-('Water Reading'!R14-'Water Reading'!R13)-('Water Reading'!Q14-'Water Reading'!Q13)</f>
        <v>83</v>
      </c>
      <c r="H14" s="89">
        <f t="shared" si="4"/>
        <v>0.6058394160583942</v>
      </c>
      <c r="I14" s="90">
        <f>'Water Reading'!P14-'Water Reading'!P13</f>
        <v>11</v>
      </c>
      <c r="J14" s="68">
        <f t="shared" si="5"/>
        <v>8.0291970802919707E-2</v>
      </c>
      <c r="K14" s="91">
        <f>('Water Reading'!I14-'Water Reading'!I13)-('Water Reading'!P14-'Water Reading'!P13)</f>
        <v>23</v>
      </c>
      <c r="L14" s="68">
        <f t="shared" si="6"/>
        <v>0.16788321167883211</v>
      </c>
      <c r="M14" s="90">
        <f>'Water Reading'!R14-'Water Reading'!R13</f>
        <v>5</v>
      </c>
      <c r="N14" s="92">
        <f t="shared" si="7"/>
        <v>3.6496350364963501E-2</v>
      </c>
      <c r="O14" s="90">
        <f>'Water Reading'!Q14-'Water Reading'!Q13</f>
        <v>7</v>
      </c>
      <c r="P14" s="99">
        <f t="shared" si="8"/>
        <v>5.1094890510948905E-2</v>
      </c>
      <c r="Q14" s="91">
        <f>'Water Reading'!F14-'Water Reading'!F13</f>
        <v>1</v>
      </c>
      <c r="R14" s="100">
        <f t="shared" si="9"/>
        <v>7.2992700729927005E-3</v>
      </c>
      <c r="S14" s="94">
        <f>'Water Reading'!E14-'Water Reading'!E13</f>
        <v>61</v>
      </c>
      <c r="T14" s="100">
        <f t="shared" si="10"/>
        <v>0.44525547445255476</v>
      </c>
      <c r="U14" s="90">
        <f>'Water Reading'!G14-'Water Reading'!G13</f>
        <v>15</v>
      </c>
      <c r="V14" s="100">
        <f t="shared" si="11"/>
        <v>0.10948905109489052</v>
      </c>
      <c r="W14" s="90">
        <f>'Water Reading'!J14-'Water Reading'!J13</f>
        <v>10</v>
      </c>
      <c r="X14" s="100">
        <f t="shared" si="12"/>
        <v>7.2992700729927001E-2</v>
      </c>
      <c r="Y14" s="66">
        <f t="shared" si="0"/>
        <v>264</v>
      </c>
      <c r="Z14" s="67">
        <f t="shared" si="1"/>
        <v>1.1428571428571428</v>
      </c>
    </row>
    <row r="15" spans="1:26" x14ac:dyDescent="0.25">
      <c r="A15" s="8">
        <f>'Water Reading'!A14</f>
        <v>44451</v>
      </c>
      <c r="B15" s="65">
        <f>TOTAL!I13</f>
        <v>244</v>
      </c>
      <c r="C15" s="66">
        <f>('Water Reading'!B15-'Water Reading'!B14)+('Water Reading'!C15-'Water Reading'!C14)</f>
        <v>189</v>
      </c>
      <c r="D15" s="67">
        <f t="shared" si="2"/>
        <v>0.77459016393442626</v>
      </c>
      <c r="E15" s="87">
        <f>'Water Reading'!H15-'Water Reading'!H14</f>
        <v>38</v>
      </c>
      <c r="F15" s="89">
        <f t="shared" si="3"/>
        <v>0.20105820105820105</v>
      </c>
      <c r="G15" s="93">
        <f>('Water Reading'!D15-'Water Reading'!D14)-('Water Reading'!R15-'Water Reading'!R14)-('Water Reading'!Q15-'Water Reading'!Q14)</f>
        <v>103</v>
      </c>
      <c r="H15" s="89">
        <f t="shared" si="4"/>
        <v>0.544973544973545</v>
      </c>
      <c r="I15" s="90">
        <f>'Water Reading'!P15-'Water Reading'!P14</f>
        <v>19</v>
      </c>
      <c r="J15" s="68">
        <f t="shared" si="5"/>
        <v>0.10052910052910052</v>
      </c>
      <c r="K15" s="91">
        <f>('Water Reading'!I15-'Water Reading'!I14)-('Water Reading'!P15-'Water Reading'!P14)</f>
        <v>18</v>
      </c>
      <c r="L15" s="68">
        <f t="shared" si="6"/>
        <v>9.5238095238095233E-2</v>
      </c>
      <c r="M15" s="90">
        <f>'Water Reading'!R15-'Water Reading'!R14</f>
        <v>5</v>
      </c>
      <c r="N15" s="92">
        <f t="shared" si="7"/>
        <v>2.6455026455026454E-2</v>
      </c>
      <c r="O15" s="90">
        <f>'Water Reading'!Q15-'Water Reading'!Q14</f>
        <v>4</v>
      </c>
      <c r="P15" s="99">
        <f t="shared" si="8"/>
        <v>2.1164021164021163E-2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52</v>
      </c>
      <c r="T15" s="100">
        <f t="shared" si="10"/>
        <v>0.27513227513227512</v>
      </c>
      <c r="U15" s="90">
        <f>'Water Reading'!G15-'Water Reading'!G14</f>
        <v>18</v>
      </c>
      <c r="V15" s="100">
        <f t="shared" si="11"/>
        <v>9.5238095238095233E-2</v>
      </c>
      <c r="W15" s="90">
        <f>'Water Reading'!J15-'Water Reading'!J14</f>
        <v>11</v>
      </c>
      <c r="X15" s="100">
        <f t="shared" si="12"/>
        <v>5.8201058201058198E-2</v>
      </c>
      <c r="Y15" s="66">
        <f t="shared" si="0"/>
        <v>268</v>
      </c>
      <c r="Z15" s="67">
        <f t="shared" si="1"/>
        <v>1.098360655737705</v>
      </c>
    </row>
    <row r="16" spans="1:26" x14ac:dyDescent="0.25">
      <c r="A16" s="8">
        <f>'Water Reading'!A15</f>
        <v>44452</v>
      </c>
      <c r="B16" s="65">
        <f>TOTAL!I14</f>
        <v>0</v>
      </c>
      <c r="C16" s="66">
        <f>('Water Reading'!B16-'Water Reading'!B15)+('Water Reading'!C16-'Water Reading'!C15)</f>
        <v>-326558</v>
      </c>
      <c r="D16" s="67" t="e">
        <f t="shared" si="2"/>
        <v>#DIV/0!</v>
      </c>
      <c r="E16" s="87">
        <f>'Water Reading'!H16-'Water Reading'!H15</f>
        <v>-55662</v>
      </c>
      <c r="F16" s="89">
        <f t="shared" si="3"/>
        <v>0.17045057845773184</v>
      </c>
      <c r="G16" s="93">
        <f>('Water Reading'!D16-'Water Reading'!D15)-('Water Reading'!R16-'Water Reading'!R15)-('Water Reading'!Q16-'Water Reading'!Q15)</f>
        <v>-213264</v>
      </c>
      <c r="H16" s="89">
        <f t="shared" si="4"/>
        <v>0.65306622407045611</v>
      </c>
      <c r="I16" s="90">
        <f>'Water Reading'!P16-'Water Reading'!P15</f>
        <v>-27809</v>
      </c>
      <c r="J16" s="68">
        <f t="shared" si="5"/>
        <v>8.5157919879470106E-2</v>
      </c>
      <c r="K16" s="91">
        <f>('Water Reading'!I16-'Water Reading'!I15)-('Water Reading'!P16-'Water Reading'!P15)</f>
        <v>-37995</v>
      </c>
      <c r="L16" s="68">
        <f t="shared" si="6"/>
        <v>0.11634992864973451</v>
      </c>
      <c r="M16" s="90">
        <f>'Water Reading'!R16-'Water Reading'!R15</f>
        <v>-6653</v>
      </c>
      <c r="N16" s="92">
        <f t="shared" si="7"/>
        <v>2.0373103705926664E-2</v>
      </c>
      <c r="O16" s="90">
        <f>'Water Reading'!Q16-'Water Reading'!Q15</f>
        <v>-964</v>
      </c>
      <c r="P16" s="99">
        <f t="shared" si="8"/>
        <v>2.952002400798633E-3</v>
      </c>
      <c r="Q16" s="91">
        <f>'Water Reading'!F16-'Water Reading'!F15</f>
        <v>-66987</v>
      </c>
      <c r="R16" s="100">
        <f t="shared" si="9"/>
        <v>0.20513048218080709</v>
      </c>
      <c r="S16" s="94">
        <f>'Water Reading'!E16-'Water Reading'!E15</f>
        <v>-252205</v>
      </c>
      <c r="T16" s="100">
        <f t="shared" si="10"/>
        <v>0.77231303474421087</v>
      </c>
      <c r="U16" s="90">
        <f>'Water Reading'!G16-'Water Reading'!G15</f>
        <v>-112965</v>
      </c>
      <c r="V16" s="100">
        <f t="shared" si="11"/>
        <v>0.345926297931761</v>
      </c>
      <c r="W16" s="90">
        <f>'Water Reading'!J16-'Water Reading'!J15</f>
        <v>-21131</v>
      </c>
      <c r="X16" s="100">
        <f t="shared" si="12"/>
        <v>6.4708260094684555E-2</v>
      </c>
      <c r="Y16" s="66">
        <f t="shared" si="0"/>
        <v>-795635</v>
      </c>
      <c r="Z16" s="67" t="e">
        <f t="shared" si="1"/>
        <v>#DIV/0!</v>
      </c>
    </row>
    <row r="17" spans="1:26" x14ac:dyDescent="0.25">
      <c r="A17" s="8">
        <f>'Water Reading'!A16</f>
        <v>44453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44454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44455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44456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44457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44458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44459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44460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44461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44462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44463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44464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44465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44466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44467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44468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44469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44470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3145</v>
      </c>
      <c r="C35" s="75">
        <f>SUM(C4:C34)</f>
        <v>-323652</v>
      </c>
      <c r="D35" s="96">
        <f>C35/B35</f>
        <v>-102.91001589825119</v>
      </c>
      <c r="E35" s="7">
        <f>SUM(E4:E34)</f>
        <v>-55314</v>
      </c>
      <c r="F35" s="95">
        <f>E35/C35</f>
        <v>0.17090578769789774</v>
      </c>
      <c r="G35" s="75">
        <f>SUM(G4:G34)</f>
        <v>-211984</v>
      </c>
      <c r="H35" s="95">
        <f>G35/C35</f>
        <v>0.65497509670881071</v>
      </c>
      <c r="I35" s="7">
        <f>SUM(I4:I34)</f>
        <v>-27660</v>
      </c>
      <c r="J35" s="95">
        <f>I35/C35</f>
        <v>8.5462163064031732E-2</v>
      </c>
      <c r="K35" s="7">
        <f>SUM(K4:K34)</f>
        <v>-37781</v>
      </c>
      <c r="L35" s="95">
        <f>K35/C35</f>
        <v>0.1167334050152633</v>
      </c>
      <c r="M35" s="7">
        <f>SUM(M4:M34)</f>
        <v>-6604</v>
      </c>
      <c r="N35" s="95">
        <f>M35/C35</f>
        <v>2.0404632135750743E-2</v>
      </c>
      <c r="O35" s="7">
        <f>SUM(O4:O34)</f>
        <v>-913</v>
      </c>
      <c r="P35" s="95">
        <f>O35/C35</f>
        <v>2.8209311235524574E-3</v>
      </c>
      <c r="Q35" s="7">
        <f>SUM(Q4:Q34)</f>
        <v>-66981</v>
      </c>
      <c r="R35" s="95">
        <f>Q35/C35</f>
        <v>0.20695376515516667</v>
      </c>
      <c r="S35" s="75">
        <f>SUM(S4:S34)</f>
        <v>-251513</v>
      </c>
      <c r="T35" s="95">
        <f>S35/C35</f>
        <v>0.77710936437902434</v>
      </c>
      <c r="U35" s="7">
        <f>SUM(U4:U34)</f>
        <v>-112781</v>
      </c>
      <c r="V35" s="95">
        <f>U35/C35</f>
        <v>0.34846378208693291</v>
      </c>
      <c r="W35" s="7">
        <f>SUM(W4:W34)</f>
        <v>-21005</v>
      </c>
      <c r="X35" s="95">
        <f>W35/C35</f>
        <v>6.4899954271872257E-2</v>
      </c>
      <c r="Y35" s="75">
        <f>SUM(Y4:Y34)</f>
        <v>-792536</v>
      </c>
      <c r="Z35" s="95">
        <f t="shared" si="1"/>
        <v>-251.99872813990461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2021-09-13T07:43:33Z</dcterms:modified>
  <cp:category/>
  <cp:contentStatus/>
</cp:coreProperties>
</file>