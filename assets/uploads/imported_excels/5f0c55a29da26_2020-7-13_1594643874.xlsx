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Q15" i="7" l="1"/>
  <c r="AP15" i="7"/>
  <c r="AN15" i="7"/>
  <c r="AL15" i="7"/>
  <c r="CM4" i="7" l="1"/>
  <c r="CQ13" i="7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4" i="7"/>
  <c r="CM7" i="7" l="1"/>
  <c r="CM5" i="7"/>
  <c r="CM6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CJ27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8" i="7"/>
  <c r="BF9" i="7"/>
  <c r="BF10" i="7"/>
  <c r="BF11" i="7"/>
  <c r="BF12" i="7"/>
  <c r="BF13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8" i="7"/>
  <c r="AZ9" i="7"/>
  <c r="AZ10" i="7"/>
  <c r="AZ11" i="7"/>
  <c r="AZ12" i="7"/>
  <c r="AZ13" i="7"/>
  <c r="AZ14" i="7"/>
  <c r="AZ15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<sst xmlns="http://schemas.openxmlformats.org/spreadsheetml/2006/main" count="308" uniqueCount="145">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</sst>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2020</v>
      </c>
      <c r="E2" s="12">
        <f>Submetering!E2+Submetering!F2+Submetering!G2+Submetering!H2+Submetering!J2-Submetering!AV2</f>
        <v>4409.9999999997071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22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2020</v>
      </c>
      <c r="E3" s="12">
        <f>Submetering!E3+Submetering!F3+Submetering!G3+Submetering!H3+Submetering!J3-Submetering!AV3</f>
        <v>4079.99999999999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27.400000000001455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2020</v>
      </c>
      <c r="E4" s="12">
        <f>Submetering!E4+Submetering!F4+Submetering!G4+Submetering!H4+Submetering!J4-Submetering!AV4</f>
        <v>4030.0000000003993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25.599999999998545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2020</v>
      </c>
      <c r="E5" s="12">
        <f>Submetering!E5+Submetering!F5+Submetering!G5+Submetering!H5+Submetering!J5-Submetering!AV5</f>
        <v>4570.0000000000509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28.900000000001455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2020</v>
      </c>
      <c r="E6" s="12">
        <f>Submetering!E6+Submetering!F6+Submetering!G6+Submetering!H6+Submetering!J6-Submetering!AV6</f>
        <v>3479.9999999994229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15.099999999998545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2020</v>
      </c>
      <c r="E7" s="12">
        <f>Submetering!E7+Submetering!F7+Submetering!G7+Submetering!H7+Submetering!J7-Submetering!AV7</f>
        <v>4440.0000000003129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33.900000000001455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2020</v>
      </c>
      <c r="E8" s="12">
        <f>Submetering!E8+Submetering!F8+Submetering!G8+Submetering!H8+Submetering!J8-Submetering!AV8</f>
        <v>4089.9999999997926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26.599999999998545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2020</v>
      </c>
      <c r="E9" s="12">
        <f>Submetering!E9+Submetering!F9+Submetering!G9+Submetering!H9+Submetering!J9-Submetering!AV9</f>
        <v>4090.0000000005666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2020</v>
      </c>
      <c r="E10" s="12">
        <f>Submetering!E10+Submetering!F10+Submetering!G10+Submetering!H10+Submetering!J10-Submetering!AV10</f>
        <v>3509.9999999998058</v>
      </c>
      <c r="F10" s="11">
        <f t="shared" si="1"/>
        <v>0.58765030286592534</v>
      </c>
      <c r="G10" s="12">
        <f>(Submetering!AX10+Submetering!AY10+Submetering!AZ10+Submetering!BA10+Submetering!BB10)</f>
        <v>3.6629999999999998</v>
      </c>
      <c r="H10" s="11">
        <f t="shared" si="2"/>
        <v>0.99</v>
      </c>
      <c r="I10" s="12">
        <f>'FS Desroches Daily'!CM12</f>
        <v>25.2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2020</v>
      </c>
      <c r="E11" s="12">
        <f>Submetering!E11+Submetering!F11+Submetering!G11+Submetering!H11+Submetering!J11-Submetering!AV11</f>
        <v>3579.9999999992983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24.7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2020</v>
      </c>
      <c r="E12" s="12">
        <f>Submetering!E12+Submetering!F12+Submetering!G12+Submetering!H12+Submetering!J12-Submetering!AV12</f>
        <v>3430.0000000003224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18.300000000000004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2020</v>
      </c>
      <c r="E13" s="12">
        <f>Submetering!E13+Submetering!F13+Submetering!G13+Submetering!H13+Submetering!J13-Submetering!AV13</f>
        <v>3060.0000000002938</v>
      </c>
      <c r="F13" s="11">
        <f t="shared" si="1"/>
        <v>0.58765030286592534</v>
      </c>
      <c r="G13" s="12">
        <f>(Submetering!AX13+Submetering!AY13+Submetering!AZ13+Submetering!BA13+Submetering!BB13)</f>
        <v>3.6629999999999998</v>
      </c>
      <c r="H13" s="11">
        <f t="shared" si="2"/>
        <v>0.99</v>
      </c>
      <c r="I13" s="12">
        <f>'FS Desroches Daily'!CM15</f>
        <v>8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2020</v>
      </c>
      <c r="E14" s="12" t="e">
        <f>Submetering!E14+Submetering!F14+Submetering!G14+Submetering!H14+Submetering!J14-Submetering!AV14</f>
        <v>#VALUE!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 t="e">
        <f>'FS Desroches Daily'!CM16</f>
        <v>#VALUE!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E31" sqref="BE31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2020</v>
      </c>
      <c r="E2" s="31">
        <f>'FS Desroches Daily'!D4</f>
        <v>1200.0000000000898</v>
      </c>
      <c r="F2" s="32">
        <f>'FS Desroches Daily'!F4</f>
        <v>599.99999999993395</v>
      </c>
      <c r="G2" s="31">
        <f>'FS Desroches Daily'!H4</f>
        <v>1699.9999999995907</v>
      </c>
      <c r="H2" s="32">
        <f>'FS Desroches Daily'!J4</f>
        <v>900.0000000001229</v>
      </c>
      <c r="I2" s="31">
        <f>'FS Desroches Daily'!L4</f>
        <v>1800.0000000000239</v>
      </c>
      <c r="J2" s="32">
        <f>'FS Desroches Daily'!N4</f>
        <v>399.99999999995595</v>
      </c>
      <c r="K2" s="13">
        <f>'FS Desroches Daily'!P4</f>
        <v>1</v>
      </c>
      <c r="L2" s="31">
        <f>'FS Desroches Daily'!R4</f>
        <v>3</v>
      </c>
      <c r="M2" s="31">
        <f>'FS Desroches Daily'!T4</f>
        <v>139.59999999997672</v>
      </c>
      <c r="N2" s="31">
        <f>'FS Desroches Daily'!V4</f>
        <v>51.599999999976717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69.999999999993179</v>
      </c>
      <c r="R2" s="31">
        <f>'FS Desroches Daily'!AD4</f>
        <v>100.00000000002274</v>
      </c>
      <c r="S2" s="31">
        <f>'FS Desroches Daily'!AF4</f>
        <v>150.00000000003411</v>
      </c>
      <c r="T2" s="31">
        <f>'FS Desroches Daily'!AH4</f>
        <v>1.0999999999999091</v>
      </c>
      <c r="U2" s="35">
        <f>'FS Desroches Daily'!AJ4</f>
        <v>799.99999999995453</v>
      </c>
      <c r="V2" s="35">
        <f>'FS Desroches Daily'!AL4</f>
        <v>40.000000000020464</v>
      </c>
      <c r="W2" s="35">
        <f>'FS Desroches Daily'!AN4</f>
        <v>39.999999999992042</v>
      </c>
      <c r="X2" s="35">
        <f>'FS Desroches Daily'!AP4</f>
        <v>30.000000000001137</v>
      </c>
      <c r="Y2" s="35">
        <f>'FS Desroches Daily'!AR4</f>
        <v>19.99999999998181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9.9999999999909051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26</v>
      </c>
      <c r="AG2" s="32">
        <f>'FS Desroches Daily'!BH4</f>
        <v>19.99999999998181</v>
      </c>
      <c r="AH2" s="32">
        <f>'FS Desroches Daily'!BJ4</f>
        <v>39.99999999996362</v>
      </c>
      <c r="AI2" s="32">
        <f>'FS Desroches Daily'!BL4</f>
        <v>9.9999999999909051</v>
      </c>
      <c r="AJ2" s="32">
        <f>'FS Desroches Daily'!BN4</f>
        <v>30.000000000001137</v>
      </c>
      <c r="AK2" s="32">
        <f>'FS Desroches Daily'!BP4</f>
        <v>30.000000000029559</v>
      </c>
      <c r="AL2" s="32">
        <f>'FS Desroches Daily'!BR4</f>
        <v>13</v>
      </c>
      <c r="AM2" s="32">
        <f>'FS Desroches Daily'!BT4</f>
        <v>9.9999999999909051</v>
      </c>
      <c r="AN2" s="32">
        <f>'FS Desroches Daily'!BV4</f>
        <v>8</v>
      </c>
      <c r="AO2" s="32">
        <f>'FS Desroches Daily'!BX4</f>
        <v>20.000000000010232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47.80000000000291</v>
      </c>
      <c r="AU2" s="31">
        <f>'FS Desroches Daily'!CJ4</f>
        <v>194</v>
      </c>
      <c r="AV2" s="31">
        <f>'FS Desroches Daily'!CL4</f>
        <v>389.99999999998636</v>
      </c>
      <c r="AW2" s="31">
        <f>'FS Desroches Daily'!CM4</f>
        <v>22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2020</v>
      </c>
      <c r="E3" s="31">
        <f>'FS Desroches Daily'!D5</f>
        <v>1099.9999999998788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899.99999999990087</v>
      </c>
      <c r="I3" s="31">
        <f>'FS Desroches Daily'!L5</f>
        <v>1700.0000000000348</v>
      </c>
      <c r="J3" s="32">
        <f>'FS Desroches Daily'!N5</f>
        <v>400.00000000017798</v>
      </c>
      <c r="K3" s="13">
        <f>'FS Desroches Daily'!P5</f>
        <v>1</v>
      </c>
      <c r="L3" s="31">
        <f>'FS Desroches Daily'!R5</f>
        <v>3</v>
      </c>
      <c r="M3" s="31">
        <f>'FS Desroches Daily'!T5</f>
        <v>154.90000000002328</v>
      </c>
      <c r="N3" s="31">
        <f>'FS Desroches Daily'!V5</f>
        <v>57.600000000034925</v>
      </c>
      <c r="O3" s="31">
        <f>'FS Desroches Daily'!X6</f>
        <v>70.000000000050022</v>
      </c>
      <c r="P3" s="31">
        <f>'FS Desroches Daily'!Z5</f>
        <v>299.99999999974489</v>
      </c>
      <c r="Q3" s="31">
        <f>'FS Desroches Daily'!AB5</f>
        <v>60.000000000002274</v>
      </c>
      <c r="R3" s="31">
        <f>'FS Desroches Daily'!AD5</f>
        <v>89.999999999974989</v>
      </c>
      <c r="S3" s="31">
        <f>'FS Desroches Daily'!AF5</f>
        <v>159.99999999996817</v>
      </c>
      <c r="T3" s="31">
        <f>'FS Desroches Daily'!AH5</f>
        <v>0.5</v>
      </c>
      <c r="U3" s="35">
        <f>'FS Desroches Daily'!AJ5</f>
        <v>740.00000000000909</v>
      </c>
      <c r="V3" s="35">
        <f>'FS Desroches Daily'!AL5</f>
        <v>30.000000000001137</v>
      </c>
      <c r="W3" s="35">
        <f>'FS Desroches Daily'!AN5</f>
        <v>30.000000000001137</v>
      </c>
      <c r="X3" s="35">
        <f>'FS Desroches Daily'!AP5</f>
        <v>30.000000000001137</v>
      </c>
      <c r="Y3" s="35">
        <f>'FS Desroches Daily'!AR5</f>
        <v>20.000000000010232</v>
      </c>
      <c r="Z3" s="35">
        <f>'FS Desroches Daily'!AT5</f>
        <v>9.9999999999909051</v>
      </c>
      <c r="AA3" s="35">
        <f>'FS Desroches Daily'!AT5</f>
        <v>9.9999999999909051</v>
      </c>
      <c r="AB3" s="35">
        <f>'FS Desroches Daily'!AV5</f>
        <v>19.99999999998181</v>
      </c>
      <c r="AC3" s="35">
        <f>'FS Desroches Daily'!AZ5</f>
        <v>20.000000000038654</v>
      </c>
      <c r="AD3" s="35">
        <f>'FS Desroches Daily'!BB5</f>
        <v>20.000000000038654</v>
      </c>
      <c r="AE3" s="35">
        <f>'FS Desroches Daily'!BD5</f>
        <v>19.99999999998181</v>
      </c>
      <c r="AF3" s="31">
        <f>'FS Desroches Daily'!BF5</f>
        <v>22</v>
      </c>
      <c r="AG3" s="32">
        <f>'FS Desroches Daily'!BH5</f>
        <v>10.000000000019327</v>
      </c>
      <c r="AH3" s="32">
        <f>'FS Desroches Daily'!BJ5</f>
        <v>30.000000000029559</v>
      </c>
      <c r="AI3" s="32">
        <f>'FS Desroches Daily'!BL5</f>
        <v>10.000000000019327</v>
      </c>
      <c r="AJ3" s="32">
        <f>'FS Desroches Daily'!BN5</f>
        <v>19.99999999998181</v>
      </c>
      <c r="AK3" s="32">
        <f>'FS Desroches Daily'!BP5</f>
        <v>29.999999999972715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9</v>
      </c>
      <c r="AO3" s="32">
        <f>'FS Desroches Daily'!BX5</f>
        <v>9.9999999999909051</v>
      </c>
      <c r="AP3" s="32">
        <f>'FS Desroches Daily'!BZ5</f>
        <v>10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44.399999999994179</v>
      </c>
      <c r="AU3" s="31">
        <f>'FS Desroches Daily'!CJ5</f>
        <v>202</v>
      </c>
      <c r="AV3" s="31">
        <f>'FS Desroches Daily'!CL5</f>
        <v>419.99999999995907</v>
      </c>
      <c r="AW3" s="31">
        <f>'FS Desroches Daily'!CM5</f>
        <v>27.400000000001455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2020</v>
      </c>
      <c r="E4" s="31">
        <f>'FS Desroches Daily'!D6</f>
        <v>1100.000000000101</v>
      </c>
      <c r="F4" s="32">
        <f>'FS Desroches Daily'!F6</f>
        <v>500.00000000016701</v>
      </c>
      <c r="G4" s="31">
        <f>'FS Desroches Daily'!H6</f>
        <v>1600.0000000002678</v>
      </c>
      <c r="H4" s="32">
        <f>'FS Desroches Daily'!J6</f>
        <v>799.99999999991189</v>
      </c>
      <c r="I4" s="31">
        <f>'FS Desroches Daily'!L6</f>
        <v>1600.0000000000459</v>
      </c>
      <c r="J4" s="32">
        <f>'FS Desroches Daily'!N6</f>
        <v>399.99999999995595</v>
      </c>
      <c r="K4" s="13">
        <f>'FS Desroches Daily'!P6</f>
        <v>0</v>
      </c>
      <c r="L4" s="31">
        <f>'FS Desroches Daily'!R6</f>
        <v>3</v>
      </c>
      <c r="M4" s="31">
        <f>'FS Desroches Daily'!T6</f>
        <v>202.59999999997672</v>
      </c>
      <c r="N4" s="31">
        <f>'FS Desroches Daily'!V6</f>
        <v>75.699999999953434</v>
      </c>
      <c r="O4" s="31">
        <f>'FS Desroches Daily'!X7</f>
        <v>99.999999999965894</v>
      </c>
      <c r="P4" s="31">
        <f>'FS Desroches Daily'!Z6</f>
        <v>399.99999999995595</v>
      </c>
      <c r="Q4" s="31">
        <f>'FS Desroches Daily'!AB6</f>
        <v>60.000000000002274</v>
      </c>
      <c r="R4" s="31">
        <f>'FS Desroches Daily'!AD6</f>
        <v>80.000000000040927</v>
      </c>
      <c r="S4" s="31">
        <f>'FS Desroches Daily'!AF6</f>
        <v>150.00000000003411</v>
      </c>
      <c r="T4" s="31">
        <f>'FS Desroches Daily'!AH6</f>
        <v>2</v>
      </c>
      <c r="U4" s="35">
        <f>'FS Desroches Daily'!AJ6</f>
        <v>699.99999999998863</v>
      </c>
      <c r="V4" s="35">
        <f>'FS Desroches Daily'!AL6</f>
        <v>30.000000000001137</v>
      </c>
      <c r="W4" s="35">
        <f>'FS Desroches Daily'!AN6</f>
        <v>40.000000000020464</v>
      </c>
      <c r="X4" s="35">
        <f>'FS Desroches Daily'!AP6</f>
        <v>30.000000000001137</v>
      </c>
      <c r="Y4" s="35">
        <f>'FS Desroches Daily'!AR6</f>
        <v>20.000000000010232</v>
      </c>
      <c r="Z4" s="35">
        <f>'FS Desroches Daily'!AT6</f>
        <v>20.000000000038654</v>
      </c>
      <c r="AA4" s="35">
        <f>'FS Desroches Daily'!AT6</f>
        <v>20.000000000038654</v>
      </c>
      <c r="AB4" s="35">
        <f>'FS Desroches Daily'!AV6</f>
        <v>10.000000000047748</v>
      </c>
      <c r="AC4" s="35">
        <f>'FS Desroches Daily'!AZ6</f>
        <v>19.99999999998181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40</v>
      </c>
      <c r="AG4" s="32">
        <f>'FS Desroches Daily'!BH6</f>
        <v>9.9999999999909051</v>
      </c>
      <c r="AH4" s="32">
        <f>'FS Desroches Daily'!BJ6</f>
        <v>29.999999999972715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20.000000000038654</v>
      </c>
      <c r="AL4" s="32">
        <f>'FS Desroches Daily'!BR6</f>
        <v>12</v>
      </c>
      <c r="AM4" s="32">
        <f>'FS Desroches Daily'!BT6</f>
        <v>10.000000000019327</v>
      </c>
      <c r="AN4" s="32">
        <f>'FS Desroches Daily'!BV6</f>
        <v>7</v>
      </c>
      <c r="AO4" s="32">
        <f>'FS Desroches Daily'!BX6</f>
        <v>20.000000000010232</v>
      </c>
      <c r="AP4" s="32">
        <f>'FS Desroches Daily'!BZ6</f>
        <v>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48.100000000005821</v>
      </c>
      <c r="AU4" s="31">
        <f>'FS Desroches Daily'!CJ6</f>
        <v>201</v>
      </c>
      <c r="AV4" s="31">
        <f>'FS Desroches Daily'!CL6</f>
        <v>370.00000000000455</v>
      </c>
      <c r="AW4" s="31">
        <f>'FS Desroches Daily'!CM6</f>
        <v>25.599999999998545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2020</v>
      </c>
      <c r="E5" s="31">
        <f>'FS Desroches Daily'!D7</f>
        <v>1300.0000000000789</v>
      </c>
      <c r="F5" s="32">
        <f>'FS Desroches Daily'!F7</f>
        <v>599.99999999993395</v>
      </c>
      <c r="G5" s="31">
        <f>'FS Desroches Daily'!H7</f>
        <v>1700.0000000000348</v>
      </c>
      <c r="H5" s="32">
        <f>'FS Desroches Daily'!J7</f>
        <v>900.0000000001229</v>
      </c>
      <c r="I5" s="31">
        <f>'FS Desroches Daily'!L7</f>
        <v>1900.0000000000127</v>
      </c>
      <c r="J5" s="32">
        <f>'FS Desroches Daily'!N7</f>
        <v>499.99999999994492</v>
      </c>
      <c r="K5" s="13">
        <f>'FS Desroches Daily'!P7</f>
        <v>0</v>
      </c>
      <c r="L5" s="31">
        <f>'FS Desroches Daily'!R7</f>
        <v>4</v>
      </c>
      <c r="M5" s="31">
        <f>'FS Desroches Daily'!T7</f>
        <v>180.40000000002328</v>
      </c>
      <c r="N5" s="31">
        <f>'FS Desroches Daily'!V7</f>
        <v>92.700000000011642</v>
      </c>
      <c r="O5" s="31">
        <f>'FS Desroches Daily'!X8</f>
        <v>60.000000000002274</v>
      </c>
      <c r="P5" s="31">
        <f>'FS Desroches Daily'!Z7</f>
        <v>399.99999999995595</v>
      </c>
      <c r="Q5" s="31">
        <f>'FS Desroches Daily'!AB7</f>
        <v>69.999999999993179</v>
      </c>
      <c r="R5" s="31">
        <f>'FS Desroches Daily'!AD7</f>
        <v>99.999999999965894</v>
      </c>
      <c r="S5" s="31">
        <f>'FS Desroches Daily'!AF7</f>
        <v>189.99999999999773</v>
      </c>
      <c r="T5" s="31">
        <f>'FS Desroches Daily'!AH7</f>
        <v>1.5999999999999091</v>
      </c>
      <c r="U5" s="35">
        <f>'FS Desroches Daily'!AJ7</f>
        <v>860.00000000001364</v>
      </c>
      <c r="V5" s="35">
        <f>'FS Desroches Daily'!AL7</f>
        <v>49.999999999982947</v>
      </c>
      <c r="W5" s="35">
        <f>'FS Desroches Daily'!AN7</f>
        <v>30.000000000001137</v>
      </c>
      <c r="X5" s="35">
        <f>'FS Desroches Daily'!AP7</f>
        <v>30.000000000001137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19.99999999998181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20.000000000010232</v>
      </c>
      <c r="AF5" s="31">
        <f>'FS Desroches Daily'!BF7</f>
        <v>22</v>
      </c>
      <c r="AG5" s="32">
        <f>'FS Desroches Daily'!BH7</f>
        <v>20.000000000010232</v>
      </c>
      <c r="AH5" s="32">
        <f>'FS Desroches Daily'!BJ7</f>
        <v>19.99999999998181</v>
      </c>
      <c r="AI5" s="32">
        <f>'FS Desroches Daily'!BL7</f>
        <v>9.9999999999909051</v>
      </c>
      <c r="AJ5" s="32">
        <f>'FS Desroches Daily'!BN7</f>
        <v>39.999999999992042</v>
      </c>
      <c r="AK5" s="32">
        <f>'FS Desroches Daily'!BP7</f>
        <v>39.99999999996362</v>
      </c>
      <c r="AL5" s="32">
        <f>'FS Desroches Daily'!BR7</f>
        <v>17</v>
      </c>
      <c r="AM5" s="32">
        <f>'FS Desroches Daily'!BT7</f>
        <v>0</v>
      </c>
      <c r="AN5" s="32">
        <f>'FS Desroches Daily'!BV7</f>
        <v>8</v>
      </c>
      <c r="AO5" s="32">
        <f>'FS Desroches Daily'!BX7</f>
        <v>19.99999999998181</v>
      </c>
      <c r="AP5" s="32">
        <f>'FS Desroches Daily'!BZ7</f>
        <v>9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49.299999999995634</v>
      </c>
      <c r="AU5" s="31">
        <f>'FS Desroches Daily'!CJ7</f>
        <v>223</v>
      </c>
      <c r="AV5" s="31">
        <f>'FS Desroches Daily'!CL7</f>
        <v>430.00000000006366</v>
      </c>
      <c r="AW5" s="31">
        <f>'FS Desroches Daily'!CM7</f>
        <v>28.900000000001455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2020</v>
      </c>
      <c r="E6" s="31">
        <f>'FS Desroches Daily'!D8</f>
        <v>999.99999999988984</v>
      </c>
      <c r="F6" s="32">
        <f>'FS Desroches Daily'!F8</f>
        <v>399.99999999995595</v>
      </c>
      <c r="G6" s="31">
        <f>'FS Desroches Daily'!H8</f>
        <v>1299.9999999996348</v>
      </c>
      <c r="H6" s="32">
        <f>'FS Desroches Daily'!J8</f>
        <v>799.99999999991189</v>
      </c>
      <c r="I6" s="31">
        <f>'FS Desroches Daily'!L8</f>
        <v>1599.9999999998238</v>
      </c>
      <c r="J6" s="32">
        <f>'FS Desroches Daily'!N8</f>
        <v>299.99999999996697</v>
      </c>
      <c r="K6" s="13">
        <f>'FS Desroches Daily'!P8</f>
        <v>2</v>
      </c>
      <c r="L6" s="31">
        <f>'FS Desroches Daily'!R8</f>
        <v>2</v>
      </c>
      <c r="M6" s="31">
        <f>'FS Desroches Daily'!T8</f>
        <v>114.59999999997672</v>
      </c>
      <c r="N6" s="31">
        <f>'FS Desroches Daily'!V8</f>
        <v>58.400000000023283</v>
      </c>
      <c r="O6" s="31">
        <f>'FS Desroches Daily'!X8</f>
        <v>60.000000000002274</v>
      </c>
      <c r="P6" s="31">
        <f>'FS Desroches Daily'!Z8</f>
        <v>300.000000000189</v>
      </c>
      <c r="Q6" s="31">
        <f>'FS Desroches Daily'!AB8</f>
        <v>50.000000000011369</v>
      </c>
      <c r="R6" s="31">
        <f>'FS Desroches Daily'!AD8</f>
        <v>80.000000000040927</v>
      </c>
      <c r="S6" s="31">
        <f>'FS Desroches Daily'!AF8</f>
        <v>129.99999999999545</v>
      </c>
      <c r="T6" s="31">
        <f>'FS Desroches Daily'!AH8</f>
        <v>0.90000000000009095</v>
      </c>
      <c r="U6" s="35">
        <f>'FS Desroches Daily'!AJ8</f>
        <v>660.00000000002501</v>
      </c>
      <c r="V6" s="35">
        <f>'FS Desroches Daily'!AL8</f>
        <v>20.000000000010232</v>
      </c>
      <c r="W6" s="35">
        <f>'FS Desroches Daily'!AN8</f>
        <v>30.000000000001137</v>
      </c>
      <c r="X6" s="35">
        <f>'FS Desroches Daily'!AP8</f>
        <v>20.000000000010232</v>
      </c>
      <c r="Y6" s="35">
        <f>'FS Desroches Daily'!AR8</f>
        <v>9.9999999999909051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20.000000000038654</v>
      </c>
      <c r="AD6" s="35">
        <f>'FS Desroches Daily'!BB8</f>
        <v>9.9999999999909051</v>
      </c>
      <c r="AE6" s="35">
        <f>'FS Desroches Daily'!BD8</f>
        <v>9.9999999999909051</v>
      </c>
      <c r="AF6" s="31">
        <f>'FS Desroches Daily'!BF8</f>
        <v>21</v>
      </c>
      <c r="AG6" s="32">
        <f>'FS Desroches Daily'!BH8</f>
        <v>19.99999999998181</v>
      </c>
      <c r="AH6" s="32">
        <f>'FS Desroches Daily'!BJ8</f>
        <v>30.000000000029559</v>
      </c>
      <c r="AI6" s="32">
        <f>'FS Desroches Daily'!BL8</f>
        <v>10.000000000019327</v>
      </c>
      <c r="AJ6" s="32">
        <f>'FS Desroches Daily'!BN8</f>
        <v>30.000000000001137</v>
      </c>
      <c r="AK6" s="32">
        <f>'FS Desroches Daily'!BP8</f>
        <v>30.000000000029559</v>
      </c>
      <c r="AL6" s="32">
        <f>'FS Desroches Daily'!BR8</f>
        <v>14</v>
      </c>
      <c r="AM6" s="32">
        <f>'FS Desroches Daily'!BT8</f>
        <v>9.9999999999909051</v>
      </c>
      <c r="AN6" s="32">
        <f>'FS Desroches Daily'!BV8</f>
        <v>7</v>
      </c>
      <c r="AO6" s="32">
        <f>'FS Desroches Daily'!BX8</f>
        <v>20.000000000010232</v>
      </c>
      <c r="AP6" s="32">
        <f>'FS Desroches Daily'!BZ8</f>
        <v>11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43</v>
      </c>
      <c r="AU6" s="31">
        <f>'FS Desroches Daily'!CJ8</f>
        <v>186</v>
      </c>
      <c r="AV6" s="31">
        <f>'FS Desroches Daily'!CL8</f>
        <v>319.99999999993634</v>
      </c>
      <c r="AW6" s="31">
        <f>'FS Desroches Daily'!CM8</f>
        <v>15.099999999998545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2020</v>
      </c>
      <c r="E7" s="31">
        <f>'FS Desroches Daily'!D9</f>
        <v>1100.000000000101</v>
      </c>
      <c r="F7" s="32">
        <f>'FS Desroches Daily'!F9</f>
        <v>700.00000000014495</v>
      </c>
      <c r="G7" s="31">
        <f>'FS Desroches Daily'!H9</f>
        <v>1900.0000000000127</v>
      </c>
      <c r="H7" s="32">
        <f>'FS Desroches Daily'!J9</f>
        <v>800.00000000013392</v>
      </c>
      <c r="I7" s="31">
        <f>'FS Desroches Daily'!L9</f>
        <v>1600.0000000000459</v>
      </c>
      <c r="J7" s="32">
        <f>'FS Desroches Daily'!N9</f>
        <v>399.99999999995595</v>
      </c>
      <c r="K7" s="13">
        <f>'FS Desroches Daily'!P9</f>
        <v>0</v>
      </c>
      <c r="L7" s="31">
        <f>'FS Desroches Daily'!R9</f>
        <v>3</v>
      </c>
      <c r="M7" s="31">
        <f>'FS Desroches Daily'!T9</f>
        <v>362.09999999997672</v>
      </c>
      <c r="N7" s="31">
        <f>'FS Desroches Daily'!V9</f>
        <v>147.79999999998836</v>
      </c>
      <c r="O7" s="31">
        <f>'FS Desroches Daily'!X9</f>
        <v>79.999999999984084</v>
      </c>
      <c r="P7" s="31">
        <f>'FS Desroches Daily'!Z9</f>
        <v>399.99999999995595</v>
      </c>
      <c r="Q7" s="31">
        <f>'FS Desroches Daily'!AB9</f>
        <v>50.000000000011369</v>
      </c>
      <c r="R7" s="31">
        <f>'FS Desroches Daily'!AD9</f>
        <v>99.999999999965894</v>
      </c>
      <c r="S7" s="31">
        <f>'FS Desroches Daily'!AF9</f>
        <v>169.99999999995907</v>
      </c>
      <c r="T7" s="31">
        <f>'FS Desroches Daily'!AH9</f>
        <v>1.0999999999999091</v>
      </c>
      <c r="U7" s="35">
        <f>'FS Desroches Daily'!AJ9</f>
        <v>699.99999999998863</v>
      </c>
      <c r="V7" s="35">
        <f>'FS Desroches Daily'!AL9</f>
        <v>39.999999999992042</v>
      </c>
      <c r="W7" s="35">
        <f>'FS Desroches Daily'!AN9</f>
        <v>29.999999999972715</v>
      </c>
      <c r="X7" s="35">
        <f>'FS Desroches Daily'!AP9</f>
        <v>30.000000000001137</v>
      </c>
      <c r="Y7" s="35">
        <f>'FS Desroches Daily'!AR9</f>
        <v>19.99999999998181</v>
      </c>
      <c r="Z7" s="35">
        <f>'FS Desroches Daily'!AT9</f>
        <v>20.000000000038654</v>
      </c>
      <c r="AA7" s="35">
        <f>'FS Desroches Daily'!AT9</f>
        <v>20.000000000038654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20.000000000038654</v>
      </c>
      <c r="AE7" s="35">
        <f>'FS Desroches Daily'!BD9</f>
        <v>19.99999999998181</v>
      </c>
      <c r="AF7" s="31">
        <f>'FS Desroches Daily'!BF9</f>
        <v>13</v>
      </c>
      <c r="AG7" s="32">
        <f>'FS Desroches Daily'!BH9</f>
        <v>10.000000000019327</v>
      </c>
      <c r="AH7" s="32">
        <f>'FS Desroches Daily'!BJ9</f>
        <v>19.99999999998181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29.999999999972715</v>
      </c>
      <c r="AL7" s="32">
        <f>'FS Desroches Daily'!BR9</f>
        <v>14</v>
      </c>
      <c r="AM7" s="32">
        <f>'FS Desroches Daily'!BT9</f>
        <v>9.9999999999909051</v>
      </c>
      <c r="AN7" s="32">
        <f>'FS Desroches Daily'!BV9</f>
        <v>7</v>
      </c>
      <c r="AO7" s="32">
        <f>'FS Desroches Daily'!BX9</f>
        <v>20.000000000010232</v>
      </c>
      <c r="AP7" s="32">
        <f>'FS Desroches Daily'!BZ9</f>
        <v>13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51.599999999998545</v>
      </c>
      <c r="AU7" s="31">
        <f>'FS Desroches Daily'!CJ9</f>
        <v>207</v>
      </c>
      <c r="AV7" s="31">
        <f>'FS Desroches Daily'!CL9</f>
        <v>460.00000000003638</v>
      </c>
      <c r="AW7" s="31">
        <f>'FS Desroches Daily'!CM9</f>
        <v>33.900000000001455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2020</v>
      </c>
      <c r="E8" s="31">
        <f>'FS Desroches Daily'!D10</f>
        <v>1199.9999999998679</v>
      </c>
      <c r="F8" s="32">
        <f>'FS Desroches Daily'!F10</f>
        <v>499.99999999972289</v>
      </c>
      <c r="G8" s="31">
        <f>'FS Desroches Daily'!H10</f>
        <v>1500.0000000000568</v>
      </c>
      <c r="H8" s="32">
        <f>'FS Desroches Daily'!J10</f>
        <v>699.99999999992292</v>
      </c>
      <c r="I8" s="31">
        <f>'FS Desroches Daily'!L10</f>
        <v>1600.0000000000459</v>
      </c>
      <c r="J8" s="32">
        <f>'FS Desroches Daily'!N10</f>
        <v>500.00000000016701</v>
      </c>
      <c r="K8" s="13">
        <f>'FS Desroches Daily'!P10</f>
        <v>1</v>
      </c>
      <c r="L8" s="31">
        <f>'FS Desroches Daily'!R10</f>
        <v>3</v>
      </c>
      <c r="M8" s="31">
        <f>'FS Desroches Daily'!T10</f>
        <v>217</v>
      </c>
      <c r="N8" s="31">
        <f>'FS Desroches Daily'!V10</f>
        <v>119.90000000002328</v>
      </c>
      <c r="O8" s="31">
        <f>'FS Desroches Daily'!X10</f>
        <v>80.000000000040927</v>
      </c>
      <c r="P8" s="31">
        <f>'FS Desroches Daily'!Z10</f>
        <v>399.99999999995595</v>
      </c>
      <c r="Q8" s="31">
        <f>'FS Desroches Daily'!AB10</f>
        <v>50.000000000011369</v>
      </c>
      <c r="R8" s="31">
        <f>'FS Desroches Daily'!AD10</f>
        <v>120.00000000000455</v>
      </c>
      <c r="S8" s="31">
        <f>'FS Desroches Daily'!AF10</f>
        <v>140.0000000000432</v>
      </c>
      <c r="T8" s="31">
        <f>'FS Desroches Daily'!AH10</f>
        <v>1.2000000000000455</v>
      </c>
      <c r="U8" s="35">
        <f>'FS Desroches Daily'!AJ10</f>
        <v>740.00000000000909</v>
      </c>
      <c r="V8" s="35">
        <f>'FS Desroches Daily'!AL10</f>
        <v>20.000000000010232</v>
      </c>
      <c r="W8" s="35">
        <f>'FS Desroches Daily'!AN10</f>
        <v>30.000000000001137</v>
      </c>
      <c r="X8" s="35">
        <f>'FS Desroches Daily'!AP10</f>
        <v>20.000000000010232</v>
      </c>
      <c r="Y8" s="35">
        <f>'FS Desroches Daily'!AR10</f>
        <v>40.000000000020464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10.000000000047748</v>
      </c>
      <c r="AC8" s="35">
        <f>'FS Desroches Daily'!AZ10</f>
        <v>9.9999999999909051</v>
      </c>
      <c r="AD8" s="35">
        <f>'FS Desroches Daily'!BB10</f>
        <v>9.9999999999909051</v>
      </c>
      <c r="AE8" s="35">
        <f>'FS Desroches Daily'!BD10</f>
        <v>20.000000000010232</v>
      </c>
      <c r="AF8" s="31">
        <f>'FS Desroches Daily'!BF10</f>
        <v>7</v>
      </c>
      <c r="AG8" s="32">
        <f>'FS Desroches Daily'!BH10</f>
        <v>19.99999999998181</v>
      </c>
      <c r="AH8" s="32">
        <f>'FS Desroches Daily'!BJ10</f>
        <v>20.000000000038654</v>
      </c>
      <c r="AI8" s="32">
        <f>'FS Desroches Daily'!BL10</f>
        <v>9.9999999999909051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10.000000000019327</v>
      </c>
      <c r="AN8" s="32">
        <f>'FS Desroches Daily'!BV10</f>
        <v>5</v>
      </c>
      <c r="AO8" s="32">
        <f>'FS Desroches Daily'!BX10</f>
        <v>9.9999999999909051</v>
      </c>
      <c r="AP8" s="32">
        <f>'FS Desroches Daily'!BZ10</f>
        <v>7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45.100000000005821</v>
      </c>
      <c r="AU8" s="31">
        <f>'FS Desroches Daily'!CJ10</f>
        <v>206</v>
      </c>
      <c r="AV8" s="31">
        <f>'FS Desroches Daily'!CL10</f>
        <v>309.99999999994543</v>
      </c>
      <c r="AW8" s="31">
        <f>'FS Desroches Daily'!CM10</f>
        <v>26.599999999998545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2020</v>
      </c>
      <c r="E9" s="31">
        <f>'FS Desroches Daily'!D11</f>
        <v>900.0000000001229</v>
      </c>
      <c r="F9" s="32">
        <f>'FS Desroches Daily'!F11</f>
        <v>600.00000000037801</v>
      </c>
      <c r="G9" s="31">
        <f>'FS Desroches Daily'!H11</f>
        <v>1600.0000000002678</v>
      </c>
      <c r="H9" s="32">
        <f>'FS Desroches Daily'!J11</f>
        <v>899.99999999990087</v>
      </c>
      <c r="I9" s="31">
        <f>'FS Desroches Daily'!L11</f>
        <v>1700.0000000000348</v>
      </c>
      <c r="J9" s="32">
        <f>'FS Desroches Daily'!N11</f>
        <v>399.99999999995595</v>
      </c>
      <c r="K9" s="13">
        <f>'FS Desroches Daily'!P11</f>
        <v>0</v>
      </c>
      <c r="L9" s="31">
        <f>'FS Desroches Daily'!R11</f>
        <v>2</v>
      </c>
      <c r="M9" s="31">
        <f>'FS Desroches Daily'!T11</f>
        <v>293.20000000006985</v>
      </c>
      <c r="N9" s="31">
        <f>'FS Desroches Daily'!V11</f>
        <v>118.19999999995343</v>
      </c>
      <c r="O9" s="31">
        <f>'FS Desroches Daily'!X11</f>
        <v>69.999999999993179</v>
      </c>
      <c r="P9" s="31">
        <f>'FS Desroches Daily'!Z11</f>
        <v>399.99999999995595</v>
      </c>
      <c r="Q9" s="31">
        <f>'FS Desroches Daily'!AB11</f>
        <v>50.000000000011369</v>
      </c>
      <c r="R9" s="31">
        <f>'FS Desroches Daily'!AD11</f>
        <v>120.00000000000455</v>
      </c>
      <c r="S9" s="31">
        <f>'FS Desroches Daily'!AF11</f>
        <v>159.99999999996817</v>
      </c>
      <c r="T9" s="31">
        <f>'FS Desroches Daily'!AH11</f>
        <v>1.4000000000000909</v>
      </c>
      <c r="U9" s="35">
        <f>'FS Desroches Daily'!AJ11</f>
        <v>550.00000000001137</v>
      </c>
      <c r="V9" s="35">
        <f>'FS Desroches Daily'!AL11</f>
        <v>39.999999999992042</v>
      </c>
      <c r="W9" s="35">
        <f>'FS Desroches Daily'!AN11</f>
        <v>30.000000000001137</v>
      </c>
      <c r="X9" s="35">
        <f>'FS Desroches Daily'!AP11</f>
        <v>30.000000000001137</v>
      </c>
      <c r="Y9" s="35">
        <f>'FS Desroches Daily'!AR11</f>
        <v>19.99999999998181</v>
      </c>
      <c r="Z9" s="35">
        <f>'FS Desroches Daily'!AT11</f>
        <v>19.99999999998181</v>
      </c>
      <c r="AA9" s="35">
        <f>'FS Desroches Daily'!AT11</f>
        <v>19.99999999998181</v>
      </c>
      <c r="AB9" s="35">
        <f>'FS Desroches Daily'!AV11</f>
        <v>29.999999999972715</v>
      </c>
      <c r="AC9" s="35">
        <f>'FS Desroches Daily'!AZ11</f>
        <v>20.000000000038654</v>
      </c>
      <c r="AD9" s="35">
        <f>'FS Desroches Daily'!BB11</f>
        <v>9.9999999999909051</v>
      </c>
      <c r="AE9" s="35">
        <f>'FS Desroches Daily'!BD11</f>
        <v>20.000000000010232</v>
      </c>
      <c r="AF9" s="31">
        <f>'FS Desroches Daily'!BF11</f>
        <v>12</v>
      </c>
      <c r="AG9" s="32">
        <f>'FS Desroches Daily'!BH11</f>
        <v>10.000000000019327</v>
      </c>
      <c r="AH9" s="32">
        <f>'FS Desroches Daily'!BJ11</f>
        <v>19.99999999998181</v>
      </c>
      <c r="AI9" s="32">
        <f>'FS Desroches Daily'!BL11</f>
        <v>20.000000000010232</v>
      </c>
      <c r="AJ9" s="32">
        <f>'FS Desroches Daily'!BN11</f>
        <v>30.000000000001137</v>
      </c>
      <c r="AK9" s="32">
        <f>'FS Desroches Daily'!BP11</f>
        <v>29.999999999972715</v>
      </c>
      <c r="AL9" s="32">
        <f>'FS Desroches Daily'!BR11</f>
        <v>14</v>
      </c>
      <c r="AM9" s="32">
        <f>'FS Desroches Daily'!BT11</f>
        <v>9.9999999999909051</v>
      </c>
      <c r="AN9" s="32">
        <f>'FS Desroches Daily'!BV11</f>
        <v>5</v>
      </c>
      <c r="AO9" s="32">
        <f>'FS Desroches Daily'!BX11</f>
        <v>20.000000000010232</v>
      </c>
      <c r="AP9" s="32">
        <f>'FS Desroches Daily'!BZ11</f>
        <v>11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43.299999999995634</v>
      </c>
      <c r="AU9" s="31">
        <f>'FS Desroches Daily'!CJ11</f>
        <v>201</v>
      </c>
      <c r="AV9" s="31">
        <f>'FS Desroches Daily'!CL11</f>
        <v>310.00000000005912</v>
      </c>
      <c r="AW9" s="31">
        <f>'FS Desroches Daily'!CM11</f>
        <v>15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2020</v>
      </c>
      <c r="E10" s="31">
        <f>'FS Desroches Daily'!D12</f>
        <v>599.99999999993395</v>
      </c>
      <c r="F10" s="32">
        <f>'FS Desroches Daily'!F12</f>
        <v>499.99999999972289</v>
      </c>
      <c r="G10" s="31">
        <f>'FS Desroches Daily'!H12</f>
        <v>1500.0000000000568</v>
      </c>
      <c r="H10" s="32">
        <f>'FS Desroches Daily'!J12</f>
        <v>800.00000000013392</v>
      </c>
      <c r="I10" s="31">
        <f>'FS Desroches Daily'!L12</f>
        <v>1600.0000000000459</v>
      </c>
      <c r="J10" s="32">
        <f>'FS Desroches Daily'!N12</f>
        <v>499.99999999994492</v>
      </c>
      <c r="K10" s="13">
        <f>'FS Desroches Daily'!P12</f>
        <v>1</v>
      </c>
      <c r="L10" s="31">
        <f>'FS Desroches Daily'!R12</f>
        <v>3</v>
      </c>
      <c r="M10" s="31">
        <f>'FS Desroches Daily'!T12</f>
        <v>235.69999999995343</v>
      </c>
      <c r="N10" s="31">
        <f>'FS Desroches Daily'!V12</f>
        <v>118.20000000001164</v>
      </c>
      <c r="O10" s="31">
        <f>'FS Desroches Daily'!X12</f>
        <v>69.999999999993179</v>
      </c>
      <c r="P10" s="31">
        <f>'FS Desroches Daily'!Z12</f>
        <v>399.99999999995595</v>
      </c>
      <c r="Q10" s="31">
        <f>'FS Desroches Daily'!AB12</f>
        <v>59.99999999994543</v>
      </c>
      <c r="R10" s="31">
        <f>'FS Desroches Daily'!AD12</f>
        <v>110.00000000001364</v>
      </c>
      <c r="S10" s="31">
        <f>'FS Desroches Daily'!AF12</f>
        <v>170.00000000001592</v>
      </c>
      <c r="T10" s="31">
        <f>'FS Desroches Daily'!AH12</f>
        <v>1</v>
      </c>
      <c r="U10" s="35">
        <f>'FS Desroches Daily'!AJ12</f>
        <v>209.99999999997954</v>
      </c>
      <c r="V10" s="35">
        <f>'FS Desroches Daily'!AL12</f>
        <v>30.000000000001137</v>
      </c>
      <c r="W10" s="35">
        <f>'FS Desroches Daily'!AN12</f>
        <v>30.000000000001137</v>
      </c>
      <c r="X10" s="35">
        <f>'FS Desroches Daily'!AP12</f>
        <v>29.999999999972715</v>
      </c>
      <c r="Y10" s="35">
        <f>'FS Desroches Daily'!AR12</f>
        <v>20.000000000010232</v>
      </c>
      <c r="Z10" s="35">
        <f>'FS Desroches Daily'!AT12</f>
        <v>9.9999999999909051</v>
      </c>
      <c r="AA10" s="35">
        <f>'FS Desroches Daily'!AT12</f>
        <v>9.9999999999909051</v>
      </c>
      <c r="AB10" s="35">
        <f>'FS Desroches Daily'!AV12</f>
        <v>19.99999999998181</v>
      </c>
      <c r="AC10" s="35">
        <f>'FS Desroches Daily'!AZ12</f>
        <v>19.99999999998181</v>
      </c>
      <c r="AD10" s="35">
        <f>'FS Desroches Daily'!BB12</f>
        <v>19.99999999998181</v>
      </c>
      <c r="AE10" s="35">
        <f>'FS Desroches Daily'!BD12</f>
        <v>9.9999999999909051</v>
      </c>
      <c r="AF10" s="31">
        <f>'FS Desroches Daily'!BF12</f>
        <v>21</v>
      </c>
      <c r="AG10" s="32">
        <f>'FS Desroches Daily'!BH12</f>
        <v>19.99999999998181</v>
      </c>
      <c r="AH10" s="32">
        <f>'FS Desroches Daily'!BJ12</f>
        <v>19.99999999998181</v>
      </c>
      <c r="AI10" s="32">
        <f>'FS Desroches Daily'!BL12</f>
        <v>9.9999999999909051</v>
      </c>
      <c r="AJ10" s="32">
        <f>'FS Desroches Daily'!BN12</f>
        <v>30.000000000001137</v>
      </c>
      <c r="AK10" s="32">
        <f>'FS Desroches Daily'!BP12</f>
        <v>30.000000000029559</v>
      </c>
      <c r="AL10" s="32">
        <f>'FS Desroches Daily'!BR12</f>
        <v>12</v>
      </c>
      <c r="AM10" s="32">
        <f>'FS Desroches Daily'!BT12</f>
        <v>0</v>
      </c>
      <c r="AN10" s="32">
        <f>'FS Desroches Daily'!BV12</f>
        <v>9</v>
      </c>
      <c r="AO10" s="32">
        <f>'FS Desroches Daily'!BX12</f>
        <v>19.99999999998181</v>
      </c>
      <c r="AP10" s="32">
        <f>'FS Desroches Daily'!BZ12</f>
        <v>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39.30000000000291</v>
      </c>
      <c r="AU10" s="31">
        <f>'FS Desroches Daily'!CJ12</f>
        <v>203</v>
      </c>
      <c r="AV10" s="31">
        <f>'FS Desroches Daily'!CL12</f>
        <v>389.99999999998636</v>
      </c>
      <c r="AW10" s="31">
        <f>'FS Desroches Daily'!CM12</f>
        <v>25.2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2020</v>
      </c>
      <c r="E11" s="31">
        <f>'FS Desroches Daily'!D13</f>
        <v>699.99999999992292</v>
      </c>
      <c r="F11" s="32">
        <f>'FS Desroches Daily'!F13</f>
        <v>599.99999999993395</v>
      </c>
      <c r="G11" s="31">
        <f>'FS Desroches Daily'!H13</f>
        <v>1499.9999999996128</v>
      </c>
      <c r="H11" s="32">
        <f>'FS Desroches Daily'!J13</f>
        <v>699.99999999992292</v>
      </c>
      <c r="I11" s="31">
        <f>'FS Desroches Daily'!L13</f>
        <v>1700.0000000000348</v>
      </c>
      <c r="J11" s="32">
        <f>'FS Desroches Daily'!N13</f>
        <v>399.99999999995595</v>
      </c>
      <c r="K11" s="13">
        <f>'FS Desroches Daily'!P13</f>
        <v>0</v>
      </c>
      <c r="L11" s="31">
        <f>'FS Desroches Daily'!R13</f>
        <v>3</v>
      </c>
      <c r="M11" s="31">
        <f>'FS Desroches Daily'!T13</f>
        <v>171</v>
      </c>
      <c r="N11" s="31">
        <f>'FS Desroches Daily'!V13</f>
        <v>41.299999999988358</v>
      </c>
      <c r="O11" s="31">
        <f>'FS Desroches Daily'!X13</f>
        <v>69.999999999993179</v>
      </c>
      <c r="P11" s="31">
        <f>'FS Desroches Daily'!Z13</f>
        <v>399.99999999995595</v>
      </c>
      <c r="Q11" s="31">
        <f>'FS Desroches Daily'!AB13</f>
        <v>60.000000000002274</v>
      </c>
      <c r="R11" s="31">
        <f>'FS Desroches Daily'!AD13</f>
        <v>120.00000000000455</v>
      </c>
      <c r="S11" s="31">
        <f>'FS Desroches Daily'!AF13</f>
        <v>149.99999999997726</v>
      </c>
      <c r="T11" s="31">
        <f>'FS Desroches Daily'!AH13</f>
        <v>1.5</v>
      </c>
      <c r="U11" s="35">
        <f>'FS Desroches Daily'!AJ13</f>
        <v>189.99999999999773</v>
      </c>
      <c r="V11" s="35">
        <f>'FS Desroches Daily'!AL13</f>
        <v>30.000000000001137</v>
      </c>
      <c r="W11" s="35">
        <f>'FS Desroches Daily'!AN13</f>
        <v>40.000000000020464</v>
      </c>
      <c r="X11" s="35">
        <f>'FS Desroches Daily'!AP13</f>
        <v>20.000000000010232</v>
      </c>
      <c r="Y11" s="35">
        <f>'FS Desroches Daily'!AR13</f>
        <v>30.000000000001137</v>
      </c>
      <c r="Z11" s="35">
        <f>'FS Desroches Daily'!AT13</f>
        <v>30.000000000029559</v>
      </c>
      <c r="AA11" s="35">
        <f>'FS Desroches Daily'!AT13</f>
        <v>30.000000000029559</v>
      </c>
      <c r="AB11" s="35">
        <f>'FS Desroches Daily'!AV13</f>
        <v>40.000000000020464</v>
      </c>
      <c r="AC11" s="35">
        <f>'FS Desroches Daily'!AZ13</f>
        <v>19.99999999998181</v>
      </c>
      <c r="AD11" s="35">
        <f>'FS Desroches Daily'!BB13</f>
        <v>9.9999999999909051</v>
      </c>
      <c r="AE11" s="35">
        <f>'FS Desroches Daily'!BD13</f>
        <v>20.000000000010232</v>
      </c>
      <c r="AF11" s="31">
        <f>'FS Desroches Daily'!BF13</f>
        <v>18</v>
      </c>
      <c r="AG11" s="32">
        <f>'FS Desroches Daily'!BH13</f>
        <v>10.000000000019327</v>
      </c>
      <c r="AH11" s="32">
        <f>'FS Desroches Daily'!BJ13</f>
        <v>9.9999999999909051</v>
      </c>
      <c r="AI11" s="32">
        <f>'FS Desroches Daily'!BL13</f>
        <v>10.000000000019327</v>
      </c>
      <c r="AJ11" s="32">
        <f>'FS Desroches Daily'!BN13</f>
        <v>39.999999999992042</v>
      </c>
      <c r="AK11" s="32">
        <f>'FS Desroches Daily'!BP13</f>
        <v>19.99999999998181</v>
      </c>
      <c r="AL11" s="32">
        <f>'FS Desroches Daily'!BR13</f>
        <v>13</v>
      </c>
      <c r="AM11" s="32">
        <f>'FS Desroches Daily'!BT13</f>
        <v>0</v>
      </c>
      <c r="AN11" s="32">
        <f>'FS Desroches Daily'!BV13</f>
        <v>8</v>
      </c>
      <c r="AO11" s="32">
        <f>'FS Desroches Daily'!BX13</f>
        <v>10.000000000019327</v>
      </c>
      <c r="AP11" s="32">
        <f>'FS Desroches Daily'!BZ13</f>
        <v>12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43.099999999998545</v>
      </c>
      <c r="AU11" s="31">
        <f>'FS Desroches Daily'!CJ13</f>
        <v>200</v>
      </c>
      <c r="AV11" s="31">
        <f>'FS Desroches Daily'!CL13</f>
        <v>320.00000000005002</v>
      </c>
      <c r="AW11" s="31">
        <f>'FS Desroches Daily'!CM13</f>
        <v>24.7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2020</v>
      </c>
      <c r="E12" s="31">
        <f>'FS Desroches Daily'!D14</f>
        <v>600.00000000015598</v>
      </c>
      <c r="F12" s="32">
        <f>'FS Desroches Daily'!F14</f>
        <v>500.00000000016701</v>
      </c>
      <c r="G12" s="31">
        <f>'FS Desroches Daily'!H14</f>
        <v>1700.0000000000348</v>
      </c>
      <c r="H12" s="32">
        <f>'FS Desroches Daily'!J14</f>
        <v>699.99999999992292</v>
      </c>
      <c r="I12" s="31">
        <f>'FS Desroches Daily'!L14</f>
        <v>1699.9999999998129</v>
      </c>
      <c r="J12" s="32">
        <f>'FS Desroches Daily'!N14</f>
        <v>399.99999999995595</v>
      </c>
      <c r="K12" s="13">
        <f>'FS Desroches Daily'!P14</f>
        <v>0</v>
      </c>
      <c r="L12" s="31">
        <f>'FS Desroches Daily'!R14</f>
        <v>3</v>
      </c>
      <c r="M12" s="31">
        <f>'FS Desroches Daily'!T14</f>
        <v>153.30000000004657</v>
      </c>
      <c r="N12" s="31">
        <f>'FS Desroches Daily'!V14</f>
        <v>62.700000000011642</v>
      </c>
      <c r="O12" s="31">
        <f>'FS Desroches Daily'!X14</f>
        <v>69.999999999993179</v>
      </c>
      <c r="P12" s="31">
        <f>'FS Desroches Daily'!Z14</f>
        <v>300.000000000189</v>
      </c>
      <c r="Q12" s="31">
        <f>'FS Desroches Daily'!AB14</f>
        <v>60.000000000002274</v>
      </c>
      <c r="R12" s="31">
        <f>'FS Desroches Daily'!AD14</f>
        <v>109.9999999999568</v>
      </c>
      <c r="S12" s="31">
        <f>'FS Desroches Daily'!AF14</f>
        <v>180.00000000000682</v>
      </c>
      <c r="T12" s="31">
        <f>'FS Desroches Daily'!AH14</f>
        <v>1.3999999999998636</v>
      </c>
      <c r="U12" s="35">
        <f>'FS Desroches Daily'!AJ14</f>
        <v>220.00000000002728</v>
      </c>
      <c r="V12" s="35">
        <f>'FS Desroches Daily'!AL14</f>
        <v>39.999999999992042</v>
      </c>
      <c r="W12" s="35">
        <f>'FS Desroches Daily'!AN14</f>
        <v>30.000000000001137</v>
      </c>
      <c r="X12" s="35">
        <f>'FS Desroches Daily'!AP14</f>
        <v>30.000000000001137</v>
      </c>
      <c r="Y12" s="35">
        <f>'FS Desroches Daily'!AR14</f>
        <v>20.000000000010232</v>
      </c>
      <c r="Z12" s="35">
        <f>'FS Desroches Daily'!AT14</f>
        <v>19.99999999998181</v>
      </c>
      <c r="AA12" s="35">
        <f>'FS Desroches Daily'!AT14</f>
        <v>19.99999999998181</v>
      </c>
      <c r="AB12" s="35">
        <f>'FS Desroches Daily'!AV14</f>
        <v>19.99999999998181</v>
      </c>
      <c r="AC12" s="35">
        <f>'FS Desroches Daily'!AZ14</f>
        <v>19.99999999998181</v>
      </c>
      <c r="AD12" s="35">
        <f>'FS Desroches Daily'!BB14</f>
        <v>20.000000000038654</v>
      </c>
      <c r="AE12" s="35">
        <f>'FS Desroches Daily'!BD14</f>
        <v>19.99999999998181</v>
      </c>
      <c r="AF12" s="31">
        <f>'FS Desroches Daily'!BF14</f>
        <v>22</v>
      </c>
      <c r="AG12" s="32">
        <f>'FS Desroches Daily'!BH14</f>
        <v>9.9999999999909051</v>
      </c>
      <c r="AH12" s="32">
        <f>'FS Desroches Daily'!BJ14</f>
        <v>10.000000000047748</v>
      </c>
      <c r="AI12" s="32">
        <f>'FS Desroches Daily'!BL14</f>
        <v>0</v>
      </c>
      <c r="AJ12" s="32">
        <f>'FS Desroches Daily'!BN14</f>
        <v>20.000000000010232</v>
      </c>
      <c r="AK12" s="32">
        <f>'FS Desroches Daily'!BP14</f>
        <v>9.9999999999909051</v>
      </c>
      <c r="AL12" s="32">
        <f>'FS Desroches Daily'!BR14</f>
        <v>12</v>
      </c>
      <c r="AM12" s="32">
        <f>'FS Desroches Daily'!BT14</f>
        <v>9.9999999999909051</v>
      </c>
      <c r="AN12" s="32">
        <f>'FS Desroches Daily'!BV14</f>
        <v>26</v>
      </c>
      <c r="AO12" s="32">
        <f>'FS Desroches Daily'!BX14</f>
        <v>9.9999999999909051</v>
      </c>
      <c r="AP12" s="32">
        <f>'FS Desroches Daily'!BZ14</f>
        <v>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16.900000000001455</v>
      </c>
      <c r="AU12" s="31">
        <f>'FS Desroches Daily'!CJ14</f>
        <v>203</v>
      </c>
      <c r="AV12" s="31">
        <f>'FS Desroches Daily'!CL14</f>
        <v>469.9999999999136</v>
      </c>
      <c r="AW12" s="31">
        <f>'FS Desroches Daily'!CM14</f>
        <v>18.300000000000004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2020</v>
      </c>
      <c r="E13" s="31">
        <f>'FS Desroches Daily'!D15</f>
        <v>499.99999999994492</v>
      </c>
      <c r="F13" s="32">
        <f>'FS Desroches Daily'!F15</f>
        <v>599.99999999993395</v>
      </c>
      <c r="G13" s="31">
        <f>'FS Desroches Daily'!H15</f>
        <v>1100.000000000101</v>
      </c>
      <c r="H13" s="32">
        <f>'FS Desroches Daily'!J15</f>
        <v>700.00000000014495</v>
      </c>
      <c r="I13" s="31">
        <f>'FS Desroches Daily'!L15</f>
        <v>1500.0000000000568</v>
      </c>
      <c r="J13" s="32">
        <f>'FS Desroches Daily'!N15</f>
        <v>400.00000000017798</v>
      </c>
      <c r="K13" s="13">
        <f>'FS Desroches Daily'!P15</f>
        <v>3</v>
      </c>
      <c r="L13" s="31">
        <f>'FS Desroches Daily'!R15</f>
        <v>3</v>
      </c>
      <c r="M13" s="31">
        <f>'FS Desroches Daily'!T15</f>
        <v>90.900000000023283</v>
      </c>
      <c r="N13" s="31">
        <f>'FS Desroches Daily'!V15</f>
        <v>44.100000000034925</v>
      </c>
      <c r="O13" s="31">
        <f>'FS Desroches Daily'!X15</f>
        <v>60.000000000002274</v>
      </c>
      <c r="P13" s="31">
        <f>'FS Desroches Daily'!Z15</f>
        <v>399.99999999995595</v>
      </c>
      <c r="Q13" s="31">
        <f>'FS Desroches Daily'!AB15</f>
        <v>50.000000000011369</v>
      </c>
      <c r="R13" s="31">
        <f>'FS Desroches Daily'!AD15</f>
        <v>110.00000000001364</v>
      </c>
      <c r="S13" s="31">
        <f>'FS Desroches Daily'!AF15</f>
        <v>129.99999999999545</v>
      </c>
      <c r="T13" s="31">
        <f>'FS Desroches Daily'!AH15</f>
        <v>1.1000000000001364</v>
      </c>
      <c r="U13" s="35">
        <f>'FS Desroches Daily'!AJ15</f>
        <v>169.99999999995907</v>
      </c>
      <c r="V13" s="35">
        <f>'FS Desroches Daily'!AL15</f>
        <v>20.000000000010232</v>
      </c>
      <c r="W13" s="35">
        <f>'FS Desroches Daily'!AN15</f>
        <v>30.000000000001137</v>
      </c>
      <c r="X13" s="35">
        <f>'FS Desroches Daily'!AP15</f>
        <v>20.000000000010232</v>
      </c>
      <c r="Y13" s="35">
        <f>'FS Desroches Daily'!AR15</f>
        <v>9.9999999999909051</v>
      </c>
      <c r="Z13" s="35">
        <f>'FS Desroches Daily'!AT15</f>
        <v>20.000000000038654</v>
      </c>
      <c r="AA13" s="35">
        <f>'FS Desroches Daily'!AT15</f>
        <v>20.000000000038654</v>
      </c>
      <c r="AB13" s="35">
        <f>'FS Desroches Daily'!AV15</f>
        <v>20.000000000038654</v>
      </c>
      <c r="AC13" s="35">
        <f>'FS Desroches Daily'!AZ15</f>
        <v>10.000000000047748</v>
      </c>
      <c r="AD13" s="35">
        <f>'FS Desroches Daily'!BB15</f>
        <v>9.9999999999909051</v>
      </c>
      <c r="AE13" s="35">
        <f>'FS Desroches Daily'!BD15</f>
        <v>20.000000000010232</v>
      </c>
      <c r="AF13" s="31">
        <f>'FS Desroches Daily'!BF15</f>
        <v>18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0</v>
      </c>
      <c r="AJ13" s="32">
        <f>'FS Desroches Daily'!BN15</f>
        <v>9.9999999999909051</v>
      </c>
      <c r="AK13" s="32">
        <f>'FS Desroches Daily'!BP15</f>
        <v>19.99999999998181</v>
      </c>
      <c r="AL13" s="32">
        <f>'FS Desroches Daily'!BR15</f>
        <v>13</v>
      </c>
      <c r="AM13" s="32">
        <f>'FS Desroches Daily'!BT15</f>
        <v>0</v>
      </c>
      <c r="AN13" s="32">
        <f>'FS Desroches Daily'!BV15</f>
        <v>28</v>
      </c>
      <c r="AO13" s="32">
        <f>'FS Desroches Daily'!BX15</f>
        <v>20.000000000010232</v>
      </c>
      <c r="AP13" s="32">
        <f>'FS Desroches Daily'!BZ15</f>
        <v>12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36.299999999995634</v>
      </c>
      <c r="AU13" s="31">
        <f>'FS Desroches Daily'!CJ15</f>
        <v>174</v>
      </c>
      <c r="AV13" s="31">
        <f>'FS Desroches Daily'!CL15</f>
        <v>240.00000000000909</v>
      </c>
      <c r="AW13" s="31">
        <f>'FS Desroches Daily'!CM15</f>
        <v>8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2020</v>
      </c>
      <c r="E14" s="31" t="str">
        <f>'FS Desroches Daily'!D16</f>
        <v>0</v>
      </c>
      <c r="F14" s="32" t="str">
        <f>'FS Desroches Daily'!F16</f>
        <v>0</v>
      </c>
      <c r="G14" s="31" t="str">
        <f>'FS Desroches Daily'!H16</f>
        <v>0</v>
      </c>
      <c r="H14" s="32" t="str">
        <f>'FS Desroches Daily'!J16</f>
        <v>0</v>
      </c>
      <c r="I14" s="31" t="str">
        <f>'FS Desroches Daily'!L16</f>
        <v>0</v>
      </c>
      <c r="J14" s="32" t="str">
        <f>'FS Desroches Daily'!N16</f>
        <v/>
      </c>
      <c r="K14" s="13" t="str">
        <f>'FS Desroches Daily'!P16</f>
        <v/>
      </c>
      <c r="L14" s="31" t="str">
        <f>'FS Desroches Daily'!R16</f>
        <v/>
      </c>
      <c r="M14" s="31" t="str">
        <f>'FS Desroches Daily'!T16</f>
        <v/>
      </c>
      <c r="N14" s="31" t="str">
        <f>'FS Desroches Daily'!V16</f>
        <v/>
      </c>
      <c r="O14" s="31" t="str">
        <f>'FS Desroches Daily'!X16</f>
        <v/>
      </c>
      <c r="P14" s="31" t="str">
        <f>'FS Desroches Daily'!Z16</f>
        <v/>
      </c>
      <c r="Q14" s="31" t="str">
        <f>'FS Desroches Daily'!AB16</f>
        <v/>
      </c>
      <c r="R14" s="31" t="str">
        <f>'FS Desroches Daily'!AD16</f>
        <v/>
      </c>
      <c r="S14" s="31" t="str">
        <f>'FS Desroches Daily'!AF16</f>
        <v/>
      </c>
      <c r="T14" s="31" t="str">
        <f>'FS Desroches Daily'!AH16</f>
        <v/>
      </c>
      <c r="U14" s="35" t="str">
        <f>'FS Desroches Daily'!AJ16</f>
        <v/>
      </c>
      <c r="V14" s="35" t="str">
        <f>'FS Desroches Daily'!AL16</f>
        <v/>
      </c>
      <c r="W14" s="35" t="str">
        <f>'FS Desroches Daily'!AN16</f>
        <v/>
      </c>
      <c r="X14" s="35" t="str">
        <f>'FS Desroches Daily'!AP16</f>
        <v/>
      </c>
      <c r="Y14" s="35" t="str">
        <f>'FS Desroches Daily'!AR16</f>
        <v/>
      </c>
      <c r="Z14" s="35" t="str">
        <f>'FS Desroches Daily'!AT16</f>
        <v/>
      </c>
      <c r="AA14" s="35" t="str">
        <f>'FS Desroches Daily'!AT16</f>
        <v/>
      </c>
      <c r="AB14" s="35" t="str">
        <f>'FS Desroches Daily'!AV16</f>
        <v/>
      </c>
      <c r="AC14" s="35">
        <f>'FS Desroches Daily'!AZ16</f>
        <v>0</v>
      </c>
      <c r="AD14" s="35" t="str">
        <f>'FS Desroches Daily'!BB16</f>
        <v/>
      </c>
      <c r="AE14" s="35" t="str">
        <f>'FS Desroches Daily'!BD16</f>
        <v/>
      </c>
      <c r="AF14" s="31" t="str">
        <f>'FS Desroches Daily'!BF16</f>
        <v/>
      </c>
      <c r="AG14" s="32" t="str">
        <f>'FS Desroches Daily'!BH16</f>
        <v/>
      </c>
      <c r="AH14" s="32" t="str">
        <f>'FS Desroches Daily'!BJ16</f>
        <v/>
      </c>
      <c r="AI14" s="32" t="str">
        <f>'FS Desroches Daily'!BL16</f>
        <v/>
      </c>
      <c r="AJ14" s="32" t="str">
        <f>'FS Desroches Daily'!BN16</f>
        <v/>
      </c>
      <c r="AK14" s="32" t="str">
        <f>'FS Desroches Daily'!BP16</f>
        <v/>
      </c>
      <c r="AL14" s="32" t="str">
        <f>'FS Desroches Daily'!BR16</f>
        <v/>
      </c>
      <c r="AM14" s="32" t="str">
        <f>'FS Desroches Daily'!BT16</f>
        <v/>
      </c>
      <c r="AN14" s="32" t="str">
        <f>'FS Desroches Daily'!BV16</f>
        <v/>
      </c>
      <c r="AO14" s="32" t="str">
        <f>'FS Desroches Daily'!BX16</f>
        <v/>
      </c>
      <c r="AP14" s="32" t="str">
        <f>'FS Desroches Daily'!BZ16</f>
        <v/>
      </c>
      <c r="AQ14" s="31" t="str">
        <f>'FS Desroches Daily'!CB16</f>
        <v/>
      </c>
      <c r="AR14" s="31" t="str">
        <f>'FS Desroches Daily'!CD16</f>
        <v/>
      </c>
      <c r="AS14" s="31" t="str">
        <f>'FS Desroches Daily'!CF16</f>
        <v/>
      </c>
      <c r="AT14" s="31" t="str">
        <f>'FS Desroches Daily'!CH16</f>
        <v/>
      </c>
      <c r="AU14" s="31" t="str">
        <f>'FS Desroches Daily'!CJ16</f>
        <v/>
      </c>
      <c r="AV14" s="31" t="str">
        <f>'FS Desroches Daily'!CL16</f>
        <v/>
      </c>
      <c r="AW14" s="31" t="e">
        <f>'FS Desroches Daily'!CM16</f>
        <v>#VALUE!</v>
      </c>
      <c r="AX14" s="31" t="str">
        <f>IF(LPG!F21-LPG!F20&lt;0,"0",(LPG!F21-LPG!F20)*1.8315)</f>
        <v>0</v>
      </c>
      <c r="AY14" s="31" t="str">
        <f>IF(LPG!H21-LPG!H20&lt;0,"0",(LPG!H21-LPG!H20)*1.8315)</f>
        <v>0</v>
      </c>
      <c r="AZ14" s="31" t="str">
        <f>IF(LPG!J21-LPG!J20&lt;0,"0",(LPG!J21-LPG!J20)*1.8315)</f>
        <v>0</v>
      </c>
      <c r="BA14" s="31" t="str">
        <f>IF(LPG!M21-LPG!M20&lt;0,"0",(LPG!M21-LPG!M20)*1.8315)</f>
        <v>0</v>
      </c>
      <c r="BB14" s="31" t="str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11300.000000000091</v>
      </c>
      <c r="F33" s="17">
        <f t="shared" ref="F33:BC33" si="1">SUM(F2:F32)</f>
        <v>6699.9999999999281</v>
      </c>
      <c r="G33" s="17">
        <f t="shared" si="1"/>
        <v>18599.999999999727</v>
      </c>
      <c r="H33" s="17">
        <f t="shared" si="1"/>
        <v>9600.0000000000528</v>
      </c>
      <c r="I33" s="17">
        <f t="shared" si="1"/>
        <v>20000.000000000022</v>
      </c>
      <c r="J33" s="17">
        <f t="shared" si="1"/>
        <v>5000.0000000001164</v>
      </c>
      <c r="K33" s="17">
        <f t="shared" si="1"/>
        <v>9</v>
      </c>
      <c r="L33" s="17">
        <f t="shared" si="1"/>
        <v>35</v>
      </c>
      <c r="M33" s="17">
        <f t="shared" si="1"/>
        <v>2315.3000000000466</v>
      </c>
      <c r="N33" s="17">
        <f t="shared" si="1"/>
        <v>988.20000000001164</v>
      </c>
      <c r="O33" s="17">
        <f t="shared" si="1"/>
        <v>870.00000000000455</v>
      </c>
      <c r="P33" s="17">
        <f t="shared" si="1"/>
        <v>4499.9999999997262</v>
      </c>
      <c r="Q33" s="17">
        <f t="shared" si="1"/>
        <v>689.99999999999773</v>
      </c>
      <c r="R33" s="17">
        <f t="shared" si="1"/>
        <v>1240.0000000000091</v>
      </c>
      <c r="S33" s="17">
        <f t="shared" si="1"/>
        <v>1879.9999999999955</v>
      </c>
      <c r="T33" s="17">
        <f t="shared" si="1"/>
        <v>14.799999999999955</v>
      </c>
      <c r="U33" s="35">
        <f t="shared" si="1"/>
        <v>6539.9999999999645</v>
      </c>
      <c r="V33" s="35">
        <f t="shared" si="1"/>
        <v>390.00000000001478</v>
      </c>
      <c r="W33" s="35">
        <f t="shared" si="1"/>
        <v>390.00000000001478</v>
      </c>
      <c r="X33" s="35">
        <f t="shared" si="1"/>
        <v>320.0000000000216</v>
      </c>
      <c r="Y33" s="35">
        <f t="shared" si="1"/>
        <v>259.99999999999091</v>
      </c>
      <c r="Z33" s="35">
        <f t="shared" si="1"/>
        <v>230.00000000001819</v>
      </c>
      <c r="AA33" s="35">
        <f t="shared" si="1"/>
        <v>230.00000000001819</v>
      </c>
      <c r="AB33" s="35">
        <f t="shared" si="1"/>
        <v>230.00000000001819</v>
      </c>
      <c r="AC33" s="35">
        <f t="shared" si="1"/>
        <v>220.00000000002728</v>
      </c>
      <c r="AD33" s="35">
        <f t="shared" si="1"/>
        <v>170.00000000001592</v>
      </c>
      <c r="AE33" s="35">
        <f t="shared" si="1"/>
        <v>219.99999999999886</v>
      </c>
      <c r="AF33" s="17">
        <f t="shared" si="1"/>
        <v>242</v>
      </c>
      <c r="AG33" s="32">
        <f t="shared" si="1"/>
        <v>169.99999999998749</v>
      </c>
      <c r="AH33" s="32">
        <f t="shared" si="1"/>
        <v>259.99999999999091</v>
      </c>
      <c r="AI33" s="32">
        <f t="shared" si="1"/>
        <v>110.00000000001364</v>
      </c>
      <c r="AJ33" s="32">
        <f t="shared" si="1"/>
        <v>319.99999999999318</v>
      </c>
      <c r="AK33" s="32">
        <f t="shared" si="1"/>
        <v>319.99999999999318</v>
      </c>
      <c r="AL33" s="32">
        <f t="shared" si="1"/>
        <v>159</v>
      </c>
      <c r="AM33" s="32">
        <f t="shared" si="1"/>
        <v>79.999999999984084</v>
      </c>
      <c r="AN33" s="32">
        <f t="shared" si="1"/>
        <v>127</v>
      </c>
      <c r="AO33" s="32">
        <f t="shared" si="1"/>
        <v>200.00000000001705</v>
      </c>
      <c r="AP33" s="32">
        <f t="shared" si="1"/>
        <v>121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508.19999999999709</v>
      </c>
      <c r="AU33" s="17">
        <f t="shared" si="1"/>
        <v>2400</v>
      </c>
      <c r="AV33" s="17">
        <f t="shared" si="1"/>
        <v>4429.99999999995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67.765499999999989</v>
      </c>
      <c r="BC33" s="17">
        <f t="shared" si="1"/>
        <v>0</v>
      </c>
    </row>
    <row r="35" spans="5:55" x14ac:dyDescent="0.25">
      <c r="E35" s="38">
        <f>E33/E37</f>
        <v>0.26689971184279171</v>
      </c>
      <c r="G35" s="29">
        <f>G33-M36</f>
        <v>15296.499999999669</v>
      </c>
      <c r="AE35" s="35">
        <f>SUM(U33:AE33)</f>
        <v>9200.0000000001037</v>
      </c>
      <c r="AG35" s="32">
        <f>SUM(AG33:AP33)</f>
        <v>1866.9999999999795</v>
      </c>
    </row>
    <row r="36" spans="5:55" x14ac:dyDescent="0.25">
      <c r="G36" s="29">
        <f>G35-633*14</f>
        <v>6434.4999999996689</v>
      </c>
      <c r="M36" s="29">
        <f>M33+N33</f>
        <v>3303.5000000000582</v>
      </c>
    </row>
    <row r="37" spans="5:55" x14ac:dyDescent="0.25">
      <c r="E37" s="17">
        <f>E33+F33+G33+H33+J33-633*14</f>
        <v>42337.999999999913</v>
      </c>
      <c r="G37" s="37">
        <f>M36/E37</f>
        <v>7.8026831687846965E-2</v>
      </c>
      <c r="M37" s="35">
        <f>AE35</f>
        <v>9200.0000000001037</v>
      </c>
    </row>
    <row r="38" spans="5:55" x14ac:dyDescent="0.25">
      <c r="L38" s="27">
        <f>M38/E37</f>
        <v>4.4097501062874564E-2</v>
      </c>
      <c r="M38" s="29">
        <f>AG35</f>
        <v>1866.9999999999795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BZ1" zoomScale="60" zoomScaleNormal="60" workbookViewId="0">
      <pane ySplit="1" topLeftCell="A2" activePane="bottomLeft" state="frozen"/>
      <selection pane="bottomLeft" activeCell="BF19" sqref="BF1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7" t="s">
        <v>14</v>
      </c>
      <c r="D1" s="78"/>
      <c r="E1" s="77" t="s">
        <v>15</v>
      </c>
      <c r="F1" s="78"/>
      <c r="G1" s="77" t="s">
        <v>16</v>
      </c>
      <c r="H1" s="78"/>
      <c r="I1" s="77" t="s">
        <v>133</v>
      </c>
      <c r="J1" s="78"/>
      <c r="K1" s="77" t="s">
        <v>17</v>
      </c>
      <c r="L1" s="78"/>
      <c r="M1" s="77" t="s">
        <v>134</v>
      </c>
      <c r="N1" s="78"/>
      <c r="O1" s="77" t="s">
        <v>18</v>
      </c>
      <c r="P1" s="78"/>
      <c r="Q1" s="77" t="s">
        <v>19</v>
      </c>
      <c r="R1" s="78"/>
      <c r="S1" s="77" t="s">
        <v>117</v>
      </c>
      <c r="T1" s="78"/>
      <c r="U1" s="77" t="s">
        <v>118</v>
      </c>
      <c r="V1" s="78"/>
      <c r="W1" s="82" t="s">
        <v>119</v>
      </c>
      <c r="X1" s="83"/>
      <c r="Y1" s="77" t="s">
        <v>120</v>
      </c>
      <c r="Z1" s="78"/>
      <c r="AA1" s="77" t="s">
        <v>121</v>
      </c>
      <c r="AB1" s="78"/>
      <c r="AC1" s="77" t="s">
        <v>122</v>
      </c>
      <c r="AD1" s="78"/>
      <c r="AE1" s="77" t="s">
        <v>123</v>
      </c>
      <c r="AF1" s="78"/>
      <c r="AG1" s="77" t="s">
        <v>20</v>
      </c>
      <c r="AH1" s="78"/>
      <c r="AI1" s="77" t="s">
        <v>124</v>
      </c>
      <c r="AJ1" s="78"/>
      <c r="AK1" s="77" t="s">
        <v>135</v>
      </c>
      <c r="AL1" s="78"/>
      <c r="AM1" s="77" t="s">
        <v>136</v>
      </c>
      <c r="AN1" s="78"/>
      <c r="AO1" s="77" t="s">
        <v>137</v>
      </c>
      <c r="AP1" s="78"/>
      <c r="AQ1" s="77" t="s">
        <v>125</v>
      </c>
      <c r="AR1" s="78"/>
      <c r="AS1" s="77" t="s">
        <v>126</v>
      </c>
      <c r="AT1" s="78"/>
      <c r="AU1" s="77" t="s">
        <v>132</v>
      </c>
      <c r="AV1" s="78"/>
      <c r="AW1" s="77" t="s">
        <v>131</v>
      </c>
      <c r="AX1" s="78"/>
      <c r="AY1" s="77" t="s">
        <v>130</v>
      </c>
      <c r="AZ1" s="78"/>
      <c r="BA1" s="77" t="s">
        <v>129</v>
      </c>
      <c r="BB1" s="78"/>
      <c r="BC1" s="77" t="s">
        <v>21</v>
      </c>
      <c r="BD1" s="78"/>
      <c r="BE1" s="77" t="s">
        <v>127</v>
      </c>
      <c r="BF1" s="78"/>
      <c r="BG1" s="77" t="s">
        <v>22</v>
      </c>
      <c r="BH1" s="78"/>
      <c r="BI1" s="77" t="s">
        <v>23</v>
      </c>
      <c r="BJ1" s="78"/>
      <c r="BK1" s="77" t="s">
        <v>24</v>
      </c>
      <c r="BL1" s="78"/>
      <c r="BM1" s="77" t="s">
        <v>25</v>
      </c>
      <c r="BN1" s="78"/>
      <c r="BO1" s="77" t="s">
        <v>26</v>
      </c>
      <c r="BP1" s="78"/>
      <c r="BQ1" s="77" t="s">
        <v>27</v>
      </c>
      <c r="BR1" s="78"/>
      <c r="BS1" s="77" t="s">
        <v>28</v>
      </c>
      <c r="BT1" s="78"/>
      <c r="BU1" s="77" t="s">
        <v>29</v>
      </c>
      <c r="BV1" s="78"/>
      <c r="BW1" s="77" t="s">
        <v>30</v>
      </c>
      <c r="BX1" s="78"/>
      <c r="BY1" s="77" t="s">
        <v>31</v>
      </c>
      <c r="BZ1" s="78"/>
      <c r="CA1" s="77" t="s">
        <v>128</v>
      </c>
      <c r="CB1" s="78"/>
      <c r="CC1" s="77" t="s">
        <v>32</v>
      </c>
      <c r="CD1" s="78"/>
      <c r="CE1" s="77" t="s">
        <v>33</v>
      </c>
      <c r="CF1" s="78"/>
      <c r="CG1" s="77" t="s">
        <v>34</v>
      </c>
      <c r="CH1" s="78"/>
      <c r="CI1" s="77" t="s">
        <v>48</v>
      </c>
      <c r="CJ1" s="78"/>
      <c r="CK1" s="77" t="s">
        <v>36</v>
      </c>
      <c r="CL1" s="78"/>
      <c r="CM1" s="45" t="s">
        <v>46</v>
      </c>
      <c r="CN1" s="46"/>
      <c r="CO1" s="47"/>
      <c r="CP1" s="80" t="s">
        <v>138</v>
      </c>
      <c r="CQ1" s="81"/>
      <c r="CR1" s="79" t="s">
        <v>139</v>
      </c>
      <c r="CS1" s="79"/>
      <c r="CT1" s="80" t="s">
        <v>142</v>
      </c>
      <c r="CU1" s="81"/>
      <c r="CV1" s="79" t="s">
        <v>143</v>
      </c>
      <c r="CW1" s="79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44012</v>
      </c>
      <c r="B3" s="68"/>
      <c r="C3" s="58">
        <v>1.7304999999999999</v>
      </c>
      <c r="D3" s="64"/>
      <c r="E3" s="58">
        <v>2.7277</v>
      </c>
      <c r="F3" s="64"/>
      <c r="G3" s="58">
        <v>2.5988000000000002</v>
      </c>
      <c r="H3" s="64"/>
      <c r="I3" s="58">
        <v>1.2582</v>
      </c>
      <c r="J3" s="64"/>
      <c r="K3" s="58">
        <v>1.956</v>
      </c>
      <c r="L3" s="64"/>
      <c r="M3" s="58">
        <v>1.214</v>
      </c>
      <c r="N3" s="64"/>
      <c r="O3" s="58">
        <v>12596</v>
      </c>
      <c r="P3" s="67"/>
      <c r="Q3" s="58">
        <v>5537</v>
      </c>
      <c r="R3" s="67"/>
      <c r="S3" s="58">
        <v>836219</v>
      </c>
      <c r="T3" s="67"/>
      <c r="U3" s="58">
        <v>340834.2</v>
      </c>
      <c r="V3" s="67"/>
      <c r="W3" s="58">
        <v>334.48</v>
      </c>
      <c r="X3" s="65"/>
      <c r="Y3" s="58">
        <v>2.4033000000000002</v>
      </c>
      <c r="Z3" s="65"/>
      <c r="AA3" s="58">
        <v>328.76</v>
      </c>
      <c r="AB3" s="65"/>
      <c r="AC3" s="58">
        <v>311.52</v>
      </c>
      <c r="AD3" s="65"/>
      <c r="AE3" s="58">
        <v>487.51</v>
      </c>
      <c r="AF3" s="65"/>
      <c r="AG3" s="58">
        <v>1269.4000000000001</v>
      </c>
      <c r="AH3" s="67"/>
      <c r="AI3" s="58">
        <v>425.04</v>
      </c>
      <c r="AJ3" s="65"/>
      <c r="AK3" s="58">
        <v>151.38999999999999</v>
      </c>
      <c r="AL3" s="65"/>
      <c r="AM3" s="58">
        <v>150.94</v>
      </c>
      <c r="AN3" s="65"/>
      <c r="AO3" s="58">
        <v>147.38999999999999</v>
      </c>
      <c r="AP3" s="65"/>
      <c r="AQ3" s="58">
        <v>218.52</v>
      </c>
      <c r="AR3" s="65"/>
      <c r="AS3" s="58">
        <v>344.87</v>
      </c>
      <c r="AT3" s="65"/>
      <c r="AU3" s="58">
        <v>266</v>
      </c>
      <c r="AV3" s="65"/>
      <c r="AW3" s="58">
        <v>293.58</v>
      </c>
      <c r="AX3" s="65"/>
      <c r="AY3" s="58">
        <v>344.82</v>
      </c>
      <c r="AZ3" s="65"/>
      <c r="BA3" s="58">
        <v>364.64</v>
      </c>
      <c r="BB3" s="65"/>
      <c r="BC3" s="58">
        <v>231.28</v>
      </c>
      <c r="BD3" s="65"/>
      <c r="BE3" s="59">
        <v>29601</v>
      </c>
      <c r="BF3" s="67"/>
      <c r="BG3" s="60">
        <v>225.12</v>
      </c>
      <c r="BH3" s="65"/>
      <c r="BI3" s="60">
        <v>282.91000000000003</v>
      </c>
      <c r="BJ3" s="65"/>
      <c r="BK3" s="60">
        <v>230.63</v>
      </c>
      <c r="BL3" s="65"/>
      <c r="BM3" s="60">
        <v>213.93</v>
      </c>
      <c r="BN3" s="65"/>
      <c r="BO3" s="60">
        <v>278.77</v>
      </c>
      <c r="BP3" s="65"/>
      <c r="BQ3" s="60">
        <v>39001</v>
      </c>
      <c r="BR3" s="65"/>
      <c r="BS3" s="60">
        <v>193.43</v>
      </c>
      <c r="BT3" s="65"/>
      <c r="BU3" s="60">
        <v>30206</v>
      </c>
      <c r="BV3" s="65"/>
      <c r="BW3" s="60">
        <v>224.1</v>
      </c>
      <c r="BX3" s="65"/>
      <c r="BY3" s="60">
        <v>49133</v>
      </c>
      <c r="BZ3" s="67"/>
      <c r="CA3" s="60">
        <v>27508.400000000001</v>
      </c>
      <c r="CB3" s="67"/>
      <c r="CC3" s="60">
        <v>11251.4</v>
      </c>
      <c r="CD3" s="67"/>
      <c r="CE3" s="60">
        <v>5488.9</v>
      </c>
      <c r="CF3" s="67"/>
      <c r="CG3" s="60">
        <v>47000</v>
      </c>
      <c r="CH3" s="67"/>
      <c r="CI3" s="60">
        <v>862356</v>
      </c>
      <c r="CJ3" s="67"/>
      <c r="CK3" s="60">
        <v>578.86</v>
      </c>
      <c r="CL3" s="64"/>
      <c r="CM3" s="65"/>
      <c r="CN3" s="62">
        <v>0</v>
      </c>
      <c r="CO3" s="62">
        <v>0</v>
      </c>
      <c r="CP3" s="68">
        <v>34313.699999999997</v>
      </c>
      <c r="CQ3" s="68"/>
      <c r="CR3" s="68">
        <v>9565</v>
      </c>
      <c r="CS3" s="68"/>
      <c r="CT3" s="75"/>
      <c r="CU3" s="68"/>
      <c r="CV3" s="68"/>
      <c r="CW3" s="75"/>
      <c r="CX3" s="76"/>
    </row>
    <row r="4" spans="1:102" ht="25.5" customHeight="1" thickBot="1" x14ac:dyDescent="0.45">
      <c r="A4" s="63">
        <v>44013</v>
      </c>
      <c r="B4" s="68"/>
      <c r="C4" s="58">
        <v>1.7317</v>
      </c>
      <c r="D4" s="64">
        <f t="shared" ref="D4:D34" si="0">IF((C4-C3&lt;0), "0",(C4-C3)*1000000)</f>
        <v>1200.0000000000898</v>
      </c>
      <c r="E4" s="58">
        <v>2.7282999999999999</v>
      </c>
      <c r="F4" s="64">
        <f t="shared" ref="F4:F34" si="1">IF((E4-E3&lt;0), "0",(E4-E3)*1000000)</f>
        <v>599.99999999993395</v>
      </c>
      <c r="G4" s="58">
        <v>2.6004999999999998</v>
      </c>
      <c r="H4" s="64">
        <f t="shared" ref="H4:H34" si="2">IF((G4-G3&lt;0), "0",(G4-G3)*1000000)</f>
        <v>1699.9999999995907</v>
      </c>
      <c r="I4" s="58">
        <v>1.2591000000000001</v>
      </c>
      <c r="J4" s="64">
        <f t="shared" ref="J4:J34" si="3">IF((I4-I3&lt;0), "0",(I4-I3)*1000000)</f>
        <v>900.0000000001229</v>
      </c>
      <c r="K4" s="58">
        <v>1.9578</v>
      </c>
      <c r="L4" s="64">
        <f t="shared" ref="L4:L34" si="4">IF((K4-K3&lt;0), "0",(K4-K3)*1000000)</f>
        <v>1800.0000000000239</v>
      </c>
      <c r="M4" s="58">
        <v>1.2143999999999999</v>
      </c>
      <c r="N4" s="64">
        <f t="shared" ref="N4:N34" si="5">IF((M4-M3&lt;0), "",(M4-M3)*1000000)</f>
        <v>399.99999999995595</v>
      </c>
      <c r="O4" s="58">
        <v>12597</v>
      </c>
      <c r="P4" s="67">
        <f>IF((O4-O3&lt;0), "",O4-O3)</f>
        <v>1</v>
      </c>
      <c r="Q4" s="58">
        <v>5540</v>
      </c>
      <c r="R4" s="67">
        <f t="shared" ref="R4:R34" si="6">IF((Q4-Q3&lt;0), "",Q4-Q3)</f>
        <v>3</v>
      </c>
      <c r="S4" s="58">
        <v>836358.6</v>
      </c>
      <c r="T4" s="67">
        <f t="shared" ref="T4:T34" si="7">IF((S4-S3&lt;0), "",S4-S3)</f>
        <v>139.59999999997672</v>
      </c>
      <c r="U4" s="58">
        <v>340885.8</v>
      </c>
      <c r="V4" s="67">
        <f t="shared" ref="V4:V34" si="8">IF((U4-U3&lt;0), "",U4-U3)</f>
        <v>51.599999999976717</v>
      </c>
      <c r="W4" s="58">
        <v>334.56</v>
      </c>
      <c r="X4" s="65">
        <f t="shared" ref="X4:X34" si="9">IF((W4-W3&lt;0), "",(W4-W3)*1000)</f>
        <v>79.999999999984084</v>
      </c>
      <c r="Y4" s="58">
        <v>2.4037000000000002</v>
      </c>
      <c r="Z4" s="65">
        <f t="shared" ref="Z4:Z34" si="10">IF((Y4-Y3&lt;0), "",(Y4-Y3)*1000000)</f>
        <v>399.99999999995595</v>
      </c>
      <c r="AA4" s="58">
        <v>328.83</v>
      </c>
      <c r="AB4" s="65">
        <f t="shared" ref="AB4:AB34" si="11">IF((AA4-AA3&lt;0), "",(AA4-AA3)*1000)</f>
        <v>69.999999999993179</v>
      </c>
      <c r="AC4" s="58">
        <v>311.62</v>
      </c>
      <c r="AD4" s="65">
        <f t="shared" ref="AD4:AD34" si="12">IF((AC4-AC3&lt;0), "",(AC4-AC3)*1000)</f>
        <v>100.00000000002274</v>
      </c>
      <c r="AE4" s="58">
        <v>487.66</v>
      </c>
      <c r="AF4" s="65">
        <f t="shared" ref="AF4:AF34" si="13">IF((AE4-AE3&lt;0), "",(AE4-AE3)*1000)</f>
        <v>150.00000000003411</v>
      </c>
      <c r="AG4" s="58">
        <v>1270.5</v>
      </c>
      <c r="AH4" s="67">
        <f t="shared" ref="AH4:AH34" si="14">IF((AG4-AG3&lt;0), "",AG4-AG3)</f>
        <v>1.0999999999999091</v>
      </c>
      <c r="AI4" s="58">
        <v>425.84</v>
      </c>
      <c r="AJ4" s="65">
        <f t="shared" ref="AJ4:AP34" si="15">IF((AI4-AI3&lt;0), "",(AI4-AI3)*1000)</f>
        <v>799.99999999995453</v>
      </c>
      <c r="AK4" s="58">
        <v>151.43</v>
      </c>
      <c r="AL4" s="65">
        <f t="shared" si="15"/>
        <v>40.000000000020464</v>
      </c>
      <c r="AM4" s="58">
        <v>150.97999999999999</v>
      </c>
      <c r="AN4" s="65">
        <f t="shared" si="15"/>
        <v>39.999999999992042</v>
      </c>
      <c r="AO4" s="58">
        <v>147.41999999999999</v>
      </c>
      <c r="AP4" s="65">
        <f t="shared" si="15"/>
        <v>30.000000000001137</v>
      </c>
      <c r="AQ4" s="58">
        <v>218.54</v>
      </c>
      <c r="AR4" s="65">
        <f t="shared" ref="AR4:AR34" si="16">IF((AQ4-AQ3&lt;0), "",(AQ4-AQ3)*1000)</f>
        <v>19.99999999998181</v>
      </c>
      <c r="AS4" s="58">
        <v>344.89</v>
      </c>
      <c r="AT4" s="65">
        <f t="shared" ref="AT4:AT34" si="17">IF((AS4-AS3&lt;0), "",(AS4-AS3)*1000)</f>
        <v>19.99999999998181</v>
      </c>
      <c r="AU4" s="58">
        <v>266.01</v>
      </c>
      <c r="AV4" s="65">
        <f t="shared" ref="AV4:AV34" si="18">IF((AU4-AU3&lt;0), "",(AU4-AU3)*1000)</f>
        <v>9.9999999999909051</v>
      </c>
      <c r="AW4" s="58">
        <v>293.58999999999997</v>
      </c>
      <c r="AX4" s="65">
        <f t="shared" ref="AX4:AX34" si="19">IF((AW4-AW3&lt;0), "",(AW4-AW3)*1000)</f>
        <v>9.9999999999909051</v>
      </c>
      <c r="AY4" s="58">
        <v>344.84</v>
      </c>
      <c r="AZ4" s="65">
        <f t="shared" ref="AZ4:AZ34" si="20">IF((AY4-AY3&lt;0), "",(AY4-AY3)*1000)</f>
        <v>19.99999999998181</v>
      </c>
      <c r="BA4" s="58">
        <v>364.65</v>
      </c>
      <c r="BB4" s="65">
        <f t="shared" ref="BB4:BB34" si="21">IF((BA4-BA3&lt;0), "",(BA4-BA3)*1000)</f>
        <v>9.9999999999909051</v>
      </c>
      <c r="BC4" s="58">
        <v>231.3</v>
      </c>
      <c r="BD4" s="65">
        <f t="shared" ref="BD4:BD34" si="22">IF((BC4-BC3&lt;0), "",(BC4-BC3)*1000)</f>
        <v>20.000000000010232</v>
      </c>
      <c r="BE4" s="59">
        <v>29627</v>
      </c>
      <c r="BF4" s="67">
        <f>IF((BE4-BE3&lt;0), "",BE4-BE3)</f>
        <v>26</v>
      </c>
      <c r="BG4" s="60">
        <v>225.14</v>
      </c>
      <c r="BH4" s="65">
        <f t="shared" ref="BH4:BH34" si="23">IF((BG4-BG3&lt;0), "",(BG4-BG3)*1000)</f>
        <v>19.99999999998181</v>
      </c>
      <c r="BI4" s="60">
        <v>282.95</v>
      </c>
      <c r="BJ4" s="65">
        <f>IF((BI4-BI3&lt;0), "",(BI4-BI3)*1000)</f>
        <v>39.99999999996362</v>
      </c>
      <c r="BK4" s="60">
        <v>230.64</v>
      </c>
      <c r="BL4" s="65">
        <f t="shared" ref="BL4:BL34" si="24">IF((BK4-BK3&lt;0), "",(BK4-BK3)*1000)</f>
        <v>9.9999999999909051</v>
      </c>
      <c r="BM4" s="60">
        <v>213.96</v>
      </c>
      <c r="BN4" s="65">
        <f t="shared" ref="BN4:BN33" si="25">IF((BM4-BM3&lt;0), "",(BM4-BM3)*1000)</f>
        <v>30.000000000001137</v>
      </c>
      <c r="BO4" s="60">
        <v>278.8</v>
      </c>
      <c r="BP4" s="65">
        <f t="shared" ref="BP4:BP34" si="26">IF((BO4-BO3&lt;0), "",(BO4-BO3)*1000)</f>
        <v>30.000000000029559</v>
      </c>
      <c r="BQ4" s="60">
        <v>39014</v>
      </c>
      <c r="BR4" s="65">
        <f t="shared" ref="BR4:BR34" si="27">IF((BQ4-BQ3&lt;0), "",BQ4-BQ3)</f>
        <v>13</v>
      </c>
      <c r="BS4" s="60">
        <v>193.44</v>
      </c>
      <c r="BT4" s="65">
        <f t="shared" ref="BT4" si="28">IF((BS4-BS3&lt;0), "",(BS4-BS3)*1000)</f>
        <v>9.9999999999909051</v>
      </c>
      <c r="BU4" s="60">
        <v>30214</v>
      </c>
      <c r="BV4" s="65">
        <f t="shared" ref="BV4:BV35" si="29">IF((BU4-BU3&lt;0), "",BU4-BU3)</f>
        <v>8</v>
      </c>
      <c r="BW4" s="60">
        <v>224.12</v>
      </c>
      <c r="BX4" s="65">
        <f t="shared" ref="BX4:BX34" si="30">IF((BW4-BW3&lt;0), "",(BW4-BW3)*1000)</f>
        <v>20.000000000010232</v>
      </c>
      <c r="BY4" s="60">
        <v>49144</v>
      </c>
      <c r="BZ4" s="67">
        <f t="shared" ref="BZ4:BZ34" si="31">IF((BY4-BY3&lt;0), "",BY4-BY3)</f>
        <v>11</v>
      </c>
      <c r="CA4" s="60">
        <v>27508.400000000001</v>
      </c>
      <c r="CB4" s="67">
        <f t="shared" ref="CB4:CB33" si="32">IF((CA4-CA3&lt;0), "",CA4-CA3)</f>
        <v>0</v>
      </c>
      <c r="CC4" s="60">
        <v>11251.4</v>
      </c>
      <c r="CD4" s="67">
        <f t="shared" ref="CD4:CD34" si="33">IF((CC4-CC3&lt;0), "",CC4-CC3)</f>
        <v>0</v>
      </c>
      <c r="CE4" s="60">
        <v>5488.9</v>
      </c>
      <c r="CF4" s="67">
        <f t="shared" ref="CF4:CF33" si="34">IF((CE4-CE3&lt;0), "",CE4-CE3)</f>
        <v>0</v>
      </c>
      <c r="CG4" s="60">
        <v>47047.8</v>
      </c>
      <c r="CH4" s="67">
        <f t="shared" ref="CH4:CH34" si="35">IF((CG4-CG3&lt;0), "",CG4-CG3)</f>
        <v>47.80000000000291</v>
      </c>
      <c r="CI4" s="60">
        <v>862550</v>
      </c>
      <c r="CJ4" s="67">
        <f t="shared" ref="CJ4:CJ34" si="36">IF((CI4-CI3&lt;0), "",CI4-CI3)</f>
        <v>194</v>
      </c>
      <c r="CK4" s="60">
        <v>579.25</v>
      </c>
      <c r="CL4" s="64">
        <f t="shared" ref="CL4:CL34" si="37">IF((CK4-CK3&lt;0), "",(CK4-CK3)*1000)</f>
        <v>389.99999999998636</v>
      </c>
      <c r="CM4" s="65">
        <f>CQ4+CS4</f>
        <v>22</v>
      </c>
      <c r="CN4" s="62">
        <v>0</v>
      </c>
      <c r="CO4" s="62">
        <v>0</v>
      </c>
      <c r="CP4" s="68">
        <v>34327.699999999997</v>
      </c>
      <c r="CQ4" s="67">
        <f t="shared" ref="CQ4:CW34" si="38">IF((CP4-CP3&lt;0), "",CP4-CP3)</f>
        <v>14</v>
      </c>
      <c r="CR4" s="68">
        <v>9573</v>
      </c>
      <c r="CS4" s="67">
        <f t="shared" si="38"/>
        <v>8</v>
      </c>
      <c r="CT4" s="75"/>
      <c r="CU4" s="67">
        <f t="shared" si="38"/>
        <v>0</v>
      </c>
      <c r="CV4" s="68"/>
      <c r="CW4" s="67">
        <f t="shared" si="38"/>
        <v>0</v>
      </c>
    </row>
    <row r="5" spans="1:102" ht="25.5" customHeight="1" thickBot="1" x14ac:dyDescent="0.45">
      <c r="A5" s="63">
        <v>44014</v>
      </c>
      <c r="B5" s="44"/>
      <c r="C5" s="58">
        <v>1.7327999999999999</v>
      </c>
      <c r="D5" s="64">
        <f t="shared" si="0"/>
        <v>1099.9999999998788</v>
      </c>
      <c r="E5" s="58">
        <v>2.7288999999999999</v>
      </c>
      <c r="F5" s="64">
        <f t="shared" si="1"/>
        <v>599.99999999993395</v>
      </c>
      <c r="G5" s="58">
        <v>2.6019999999999999</v>
      </c>
      <c r="H5" s="64">
        <f t="shared" si="2"/>
        <v>1500.0000000000568</v>
      </c>
      <c r="I5" s="58">
        <v>1.26</v>
      </c>
      <c r="J5" s="64">
        <f t="shared" si="3"/>
        <v>899.99999999990087</v>
      </c>
      <c r="K5" s="58">
        <v>1.9595</v>
      </c>
      <c r="L5" s="64">
        <f t="shared" si="4"/>
        <v>1700.0000000000348</v>
      </c>
      <c r="M5" s="58">
        <v>1.2148000000000001</v>
      </c>
      <c r="N5" s="64">
        <f t="shared" si="5"/>
        <v>400.00000000017798</v>
      </c>
      <c r="O5" s="58">
        <v>12598</v>
      </c>
      <c r="P5" s="67">
        <f>IF((O5-O4&lt;0), "",O5-O4)</f>
        <v>1</v>
      </c>
      <c r="Q5" s="58">
        <v>5543</v>
      </c>
      <c r="R5" s="67">
        <f t="shared" si="6"/>
        <v>3</v>
      </c>
      <c r="S5" s="58">
        <v>836513.5</v>
      </c>
      <c r="T5" s="67">
        <f t="shared" si="7"/>
        <v>154.90000000002328</v>
      </c>
      <c r="U5" s="58">
        <v>340943.4</v>
      </c>
      <c r="V5" s="67">
        <f t="shared" si="8"/>
        <v>57.600000000034925</v>
      </c>
      <c r="W5" s="58">
        <v>334.65</v>
      </c>
      <c r="X5" s="65">
        <f t="shared" si="9"/>
        <v>89.999999999974989</v>
      </c>
      <c r="Y5" s="58">
        <v>2.4039999999999999</v>
      </c>
      <c r="Z5" s="65">
        <f t="shared" si="10"/>
        <v>299.99999999974489</v>
      </c>
      <c r="AA5" s="58">
        <v>328.89</v>
      </c>
      <c r="AB5" s="65">
        <f t="shared" si="11"/>
        <v>60.000000000002274</v>
      </c>
      <c r="AC5" s="58">
        <v>311.70999999999998</v>
      </c>
      <c r="AD5" s="65">
        <f t="shared" si="12"/>
        <v>89.999999999974989</v>
      </c>
      <c r="AE5" s="58">
        <v>487.82</v>
      </c>
      <c r="AF5" s="65">
        <f t="shared" si="13"/>
        <v>159.99999999996817</v>
      </c>
      <c r="AG5" s="58">
        <v>1271</v>
      </c>
      <c r="AH5" s="67">
        <f t="shared" si="14"/>
        <v>0.5</v>
      </c>
      <c r="AI5" s="58">
        <v>426.58</v>
      </c>
      <c r="AJ5" s="65">
        <f t="shared" si="15"/>
        <v>740.00000000000909</v>
      </c>
      <c r="AK5" s="58">
        <v>151.46</v>
      </c>
      <c r="AL5" s="65">
        <f t="shared" si="15"/>
        <v>30.000000000001137</v>
      </c>
      <c r="AM5" s="58">
        <v>151.01</v>
      </c>
      <c r="AN5" s="65">
        <f t="shared" si="15"/>
        <v>30.000000000001137</v>
      </c>
      <c r="AO5" s="58">
        <v>147.44999999999999</v>
      </c>
      <c r="AP5" s="65">
        <f t="shared" si="15"/>
        <v>30.000000000001137</v>
      </c>
      <c r="AQ5" s="58">
        <v>218.56</v>
      </c>
      <c r="AR5" s="65">
        <f t="shared" si="16"/>
        <v>20.000000000010232</v>
      </c>
      <c r="AS5" s="58">
        <v>344.9</v>
      </c>
      <c r="AT5" s="65">
        <f t="shared" si="17"/>
        <v>9.9999999999909051</v>
      </c>
      <c r="AU5" s="58">
        <v>266.02999999999997</v>
      </c>
      <c r="AV5" s="65">
        <f t="shared" si="18"/>
        <v>19.99999999998181</v>
      </c>
      <c r="AW5" s="58">
        <v>293.60000000000002</v>
      </c>
      <c r="AX5" s="65">
        <f t="shared" si="19"/>
        <v>10.000000000047748</v>
      </c>
      <c r="AY5" s="58">
        <v>344.86</v>
      </c>
      <c r="AZ5" s="65">
        <f t="shared" si="20"/>
        <v>20.000000000038654</v>
      </c>
      <c r="BA5" s="58">
        <v>364.67</v>
      </c>
      <c r="BB5" s="65">
        <f t="shared" si="21"/>
        <v>20.000000000038654</v>
      </c>
      <c r="BC5" s="58">
        <v>231.32</v>
      </c>
      <c r="BD5" s="65">
        <f t="shared" si="22"/>
        <v>19.99999999998181</v>
      </c>
      <c r="BE5" s="59">
        <v>29649</v>
      </c>
      <c r="BF5" s="67">
        <f t="shared" ref="BF5:BF34" si="39">IF((BE5-BE4&lt;0), "",BE5-BE4)</f>
        <v>22</v>
      </c>
      <c r="BG5" s="60">
        <v>225.15</v>
      </c>
      <c r="BH5" s="65">
        <f t="shared" si="23"/>
        <v>10.000000000019327</v>
      </c>
      <c r="BI5" s="60">
        <v>282.98</v>
      </c>
      <c r="BJ5" s="65">
        <f t="shared" ref="BJ5:BJ34" si="40">IF((BI5-BI4&lt;0), "",(BI5-BI4)*1000)</f>
        <v>30.000000000029559</v>
      </c>
      <c r="BK5" s="60">
        <v>230.65</v>
      </c>
      <c r="BL5" s="65">
        <f t="shared" si="24"/>
        <v>10.000000000019327</v>
      </c>
      <c r="BM5" s="60">
        <v>213.98</v>
      </c>
      <c r="BN5" s="65">
        <f t="shared" si="25"/>
        <v>19.99999999998181</v>
      </c>
      <c r="BO5" s="60">
        <v>278.83</v>
      </c>
      <c r="BP5" s="65">
        <f t="shared" si="26"/>
        <v>29.999999999972715</v>
      </c>
      <c r="BQ5" s="60">
        <v>39028</v>
      </c>
      <c r="BR5" s="65">
        <f t="shared" si="27"/>
        <v>14</v>
      </c>
      <c r="BS5" s="60">
        <v>193.45</v>
      </c>
      <c r="BT5" s="65">
        <f>IF((BS5-BS4&lt;0), "",(BS5-BS4)*1000)</f>
        <v>9.9999999999909051</v>
      </c>
      <c r="BU5" s="60">
        <v>30223</v>
      </c>
      <c r="BV5" s="65">
        <f t="shared" si="29"/>
        <v>9</v>
      </c>
      <c r="BW5" s="60">
        <v>224.13</v>
      </c>
      <c r="BX5" s="65">
        <f t="shared" si="30"/>
        <v>9.9999999999909051</v>
      </c>
      <c r="BY5" s="60">
        <v>49154</v>
      </c>
      <c r="BZ5" s="67">
        <f t="shared" si="31"/>
        <v>10</v>
      </c>
      <c r="CA5" s="60">
        <v>27508.400000000001</v>
      </c>
      <c r="CB5" s="67">
        <f t="shared" si="32"/>
        <v>0</v>
      </c>
      <c r="CC5" s="60">
        <v>11251.4</v>
      </c>
      <c r="CD5" s="67">
        <f t="shared" si="33"/>
        <v>0</v>
      </c>
      <c r="CE5" s="60">
        <v>5488.9</v>
      </c>
      <c r="CF5" s="67">
        <f t="shared" si="34"/>
        <v>0</v>
      </c>
      <c r="CG5" s="60">
        <v>47092.2</v>
      </c>
      <c r="CH5" s="67">
        <f t="shared" si="35"/>
        <v>44.399999999994179</v>
      </c>
      <c r="CI5" s="60">
        <v>862752</v>
      </c>
      <c r="CJ5" s="67">
        <f t="shared" si="36"/>
        <v>202</v>
      </c>
      <c r="CK5" s="60">
        <v>579.66999999999996</v>
      </c>
      <c r="CL5" s="64">
        <f t="shared" si="37"/>
        <v>419.99999999995907</v>
      </c>
      <c r="CM5" s="65">
        <f t="shared" ref="CM5:CM34" si="41">CQ5+CS5</f>
        <v>27.400000000001455</v>
      </c>
      <c r="CN5" s="62">
        <v>0</v>
      </c>
      <c r="CO5" s="62">
        <v>0</v>
      </c>
      <c r="CP5" s="68">
        <v>34342.1</v>
      </c>
      <c r="CQ5" s="67">
        <f t="shared" si="38"/>
        <v>14.400000000001455</v>
      </c>
      <c r="CR5" s="68">
        <v>9586</v>
      </c>
      <c r="CS5" s="67">
        <f t="shared" si="38"/>
        <v>13</v>
      </c>
      <c r="CT5" s="75"/>
      <c r="CU5" s="67">
        <f t="shared" si="38"/>
        <v>0</v>
      </c>
      <c r="CV5" s="68"/>
      <c r="CW5" s="67">
        <f t="shared" si="38"/>
        <v>0</v>
      </c>
    </row>
    <row r="6" spans="1:102" ht="24.75" customHeight="1" thickBot="1" x14ac:dyDescent="0.45">
      <c r="A6" s="63">
        <v>44015</v>
      </c>
      <c r="B6" s="44"/>
      <c r="C6" s="58">
        <v>1.7339</v>
      </c>
      <c r="D6" s="64">
        <f t="shared" si="0"/>
        <v>1100.000000000101</v>
      </c>
      <c r="E6" s="58">
        <v>2.7294</v>
      </c>
      <c r="F6" s="64">
        <f t="shared" si="1"/>
        <v>500.00000000016701</v>
      </c>
      <c r="G6" s="58">
        <v>2.6036000000000001</v>
      </c>
      <c r="H6" s="64">
        <f t="shared" si="2"/>
        <v>1600.0000000002678</v>
      </c>
      <c r="I6" s="58">
        <v>1.2607999999999999</v>
      </c>
      <c r="J6" s="64">
        <f t="shared" si="3"/>
        <v>799.99999999991189</v>
      </c>
      <c r="K6" s="58">
        <v>1.9611000000000001</v>
      </c>
      <c r="L6" s="64">
        <f t="shared" si="4"/>
        <v>1600.0000000000459</v>
      </c>
      <c r="M6" s="58">
        <v>1.2152000000000001</v>
      </c>
      <c r="N6" s="64">
        <f t="shared" si="5"/>
        <v>399.99999999995595</v>
      </c>
      <c r="O6" s="58">
        <v>12598</v>
      </c>
      <c r="P6" s="67">
        <f t="shared" ref="P6:P10" si="42">IF((O6-O5&lt;0), "",O6-O5)</f>
        <v>0</v>
      </c>
      <c r="Q6" s="58">
        <v>5546</v>
      </c>
      <c r="R6" s="67">
        <f t="shared" si="6"/>
        <v>3</v>
      </c>
      <c r="S6" s="58">
        <v>836716.1</v>
      </c>
      <c r="T6" s="67">
        <f t="shared" si="7"/>
        <v>202.59999999997672</v>
      </c>
      <c r="U6" s="58">
        <v>341019.1</v>
      </c>
      <c r="V6" s="67">
        <f t="shared" si="8"/>
        <v>75.699999999953434</v>
      </c>
      <c r="W6" s="58">
        <v>334.72</v>
      </c>
      <c r="X6" s="65">
        <f t="shared" si="9"/>
        <v>70.000000000050022</v>
      </c>
      <c r="Y6" s="58">
        <v>2.4043999999999999</v>
      </c>
      <c r="Z6" s="65">
        <f t="shared" si="10"/>
        <v>399.99999999995595</v>
      </c>
      <c r="AA6" s="58">
        <v>328.95</v>
      </c>
      <c r="AB6" s="65">
        <f t="shared" si="11"/>
        <v>60.000000000002274</v>
      </c>
      <c r="AC6" s="58">
        <v>311.79000000000002</v>
      </c>
      <c r="AD6" s="65">
        <f t="shared" si="12"/>
        <v>80.000000000040927</v>
      </c>
      <c r="AE6" s="58">
        <v>487.97</v>
      </c>
      <c r="AF6" s="65">
        <f t="shared" si="13"/>
        <v>150.00000000003411</v>
      </c>
      <c r="AG6" s="58">
        <v>1273</v>
      </c>
      <c r="AH6" s="67">
        <f t="shared" si="14"/>
        <v>2</v>
      </c>
      <c r="AI6" s="58">
        <v>427.28</v>
      </c>
      <c r="AJ6" s="65">
        <f t="shared" si="15"/>
        <v>699.99999999998863</v>
      </c>
      <c r="AK6" s="58">
        <v>151.49</v>
      </c>
      <c r="AL6" s="65">
        <f t="shared" si="15"/>
        <v>30.000000000001137</v>
      </c>
      <c r="AM6" s="58">
        <v>151.05000000000001</v>
      </c>
      <c r="AN6" s="65">
        <f t="shared" si="15"/>
        <v>40.000000000020464</v>
      </c>
      <c r="AO6" s="58">
        <v>147.47999999999999</v>
      </c>
      <c r="AP6" s="65">
        <f t="shared" si="15"/>
        <v>30.000000000001137</v>
      </c>
      <c r="AQ6" s="58">
        <v>218.58</v>
      </c>
      <c r="AR6" s="65">
        <f t="shared" si="16"/>
        <v>20.000000000010232</v>
      </c>
      <c r="AS6" s="58">
        <v>344.92</v>
      </c>
      <c r="AT6" s="65">
        <f t="shared" si="17"/>
        <v>20.000000000038654</v>
      </c>
      <c r="AU6" s="58">
        <v>266.04000000000002</v>
      </c>
      <c r="AV6" s="65">
        <f t="shared" si="18"/>
        <v>10.000000000047748</v>
      </c>
      <c r="AW6" s="58">
        <v>293.61</v>
      </c>
      <c r="AX6" s="65">
        <f t="shared" si="19"/>
        <v>9.9999999999909051</v>
      </c>
      <c r="AY6" s="58">
        <v>344.88</v>
      </c>
      <c r="AZ6" s="65">
        <f t="shared" si="20"/>
        <v>19.99999999998181</v>
      </c>
      <c r="BA6" s="58">
        <v>364.68</v>
      </c>
      <c r="BB6" s="65">
        <f t="shared" si="21"/>
        <v>9.9999999999909051</v>
      </c>
      <c r="BC6" s="58">
        <v>231.34</v>
      </c>
      <c r="BD6" s="65">
        <f t="shared" si="22"/>
        <v>20.000000000010232</v>
      </c>
      <c r="BE6" s="59">
        <v>29689</v>
      </c>
      <c r="BF6" s="67">
        <f t="shared" si="39"/>
        <v>40</v>
      </c>
      <c r="BG6" s="60">
        <v>225.16</v>
      </c>
      <c r="BH6" s="65">
        <f t="shared" si="23"/>
        <v>9.9999999999909051</v>
      </c>
      <c r="BI6" s="60">
        <v>283.01</v>
      </c>
      <c r="BJ6" s="65">
        <f t="shared" si="40"/>
        <v>29.999999999972715</v>
      </c>
      <c r="BK6" s="60">
        <v>230.66</v>
      </c>
      <c r="BL6" s="65">
        <f t="shared" si="24"/>
        <v>9.9999999999909051</v>
      </c>
      <c r="BM6" s="60">
        <v>214</v>
      </c>
      <c r="BN6" s="65">
        <f t="shared" si="25"/>
        <v>20.000000000010232</v>
      </c>
      <c r="BO6" s="60">
        <v>278.85000000000002</v>
      </c>
      <c r="BP6" s="65">
        <f t="shared" si="26"/>
        <v>20.000000000038654</v>
      </c>
      <c r="BQ6" s="60">
        <v>39040</v>
      </c>
      <c r="BR6" s="65">
        <f t="shared" si="27"/>
        <v>12</v>
      </c>
      <c r="BS6" s="60">
        <v>193.46</v>
      </c>
      <c r="BT6" s="65">
        <f t="shared" ref="BT6:BT35" si="43">IF((BS6-BS5&lt;0), "",(BS6-BS5)*1000)</f>
        <v>10.000000000019327</v>
      </c>
      <c r="BU6" s="60">
        <v>30230</v>
      </c>
      <c r="BV6" s="65">
        <f t="shared" si="29"/>
        <v>7</v>
      </c>
      <c r="BW6" s="60">
        <v>224.15</v>
      </c>
      <c r="BX6" s="65">
        <f t="shared" si="30"/>
        <v>20.000000000010232</v>
      </c>
      <c r="BY6" s="60">
        <v>49161</v>
      </c>
      <c r="BZ6" s="67">
        <f t="shared" si="31"/>
        <v>7</v>
      </c>
      <c r="CA6" s="60">
        <v>27508.400000000001</v>
      </c>
      <c r="CB6" s="67">
        <f t="shared" si="32"/>
        <v>0</v>
      </c>
      <c r="CC6" s="60">
        <v>11251.4</v>
      </c>
      <c r="CD6" s="67">
        <f t="shared" si="33"/>
        <v>0</v>
      </c>
      <c r="CE6" s="60">
        <v>5488.9</v>
      </c>
      <c r="CF6" s="67">
        <f t="shared" si="34"/>
        <v>0</v>
      </c>
      <c r="CG6" s="60">
        <v>47140.3</v>
      </c>
      <c r="CH6" s="67">
        <f t="shared" si="35"/>
        <v>48.100000000005821</v>
      </c>
      <c r="CI6" s="60">
        <v>862953</v>
      </c>
      <c r="CJ6" s="67">
        <f t="shared" si="36"/>
        <v>201</v>
      </c>
      <c r="CK6" s="60">
        <v>580.04</v>
      </c>
      <c r="CL6" s="64">
        <f t="shared" si="37"/>
        <v>370.00000000000455</v>
      </c>
      <c r="CM6" s="65">
        <f t="shared" si="41"/>
        <v>25.599999999998545</v>
      </c>
      <c r="CN6" s="62">
        <v>0</v>
      </c>
      <c r="CO6" s="62">
        <v>0</v>
      </c>
      <c r="CP6" s="68">
        <v>34358.699999999997</v>
      </c>
      <c r="CQ6" s="67">
        <f t="shared" si="38"/>
        <v>16.599999999998545</v>
      </c>
      <c r="CR6" s="68">
        <v>9595</v>
      </c>
      <c r="CS6" s="67">
        <f t="shared" si="38"/>
        <v>9</v>
      </c>
      <c r="CT6" s="75">
        <v>2023</v>
      </c>
      <c r="CU6" s="67">
        <f t="shared" si="38"/>
        <v>2023</v>
      </c>
      <c r="CV6" s="68">
        <v>4974</v>
      </c>
      <c r="CW6" s="67">
        <f t="shared" si="38"/>
        <v>4974</v>
      </c>
    </row>
    <row r="7" spans="1:102" ht="25.5" customHeight="1" thickBot="1" x14ac:dyDescent="0.45">
      <c r="A7" s="63">
        <v>44016</v>
      </c>
      <c r="B7" s="44"/>
      <c r="C7" s="58">
        <v>1.7352000000000001</v>
      </c>
      <c r="D7" s="64">
        <f t="shared" si="0"/>
        <v>1300.0000000000789</v>
      </c>
      <c r="E7" s="58">
        <v>2.73</v>
      </c>
      <c r="F7" s="64">
        <f t="shared" si="1"/>
        <v>599.99999999993395</v>
      </c>
      <c r="G7" s="58">
        <v>2.6053000000000002</v>
      </c>
      <c r="H7" s="64">
        <f t="shared" si="2"/>
        <v>1700.0000000000348</v>
      </c>
      <c r="I7" s="58">
        <v>1.2617</v>
      </c>
      <c r="J7" s="64">
        <f t="shared" si="3"/>
        <v>900.0000000001229</v>
      </c>
      <c r="K7" s="58">
        <v>1.9630000000000001</v>
      </c>
      <c r="L7" s="64">
        <f t="shared" si="4"/>
        <v>1900.0000000000127</v>
      </c>
      <c r="M7" s="58">
        <v>1.2157</v>
      </c>
      <c r="N7" s="64">
        <f t="shared" si="5"/>
        <v>499.99999999994492</v>
      </c>
      <c r="O7" s="58">
        <v>12598</v>
      </c>
      <c r="P7" s="67">
        <f t="shared" si="42"/>
        <v>0</v>
      </c>
      <c r="Q7" s="58">
        <v>5550</v>
      </c>
      <c r="R7" s="67">
        <f t="shared" si="6"/>
        <v>4</v>
      </c>
      <c r="S7" s="58">
        <v>836896.5</v>
      </c>
      <c r="T7" s="67">
        <f t="shared" si="7"/>
        <v>180.40000000002328</v>
      </c>
      <c r="U7" s="58">
        <v>341111.8</v>
      </c>
      <c r="V7" s="67">
        <f t="shared" si="8"/>
        <v>92.700000000011642</v>
      </c>
      <c r="W7" s="58">
        <v>334.82</v>
      </c>
      <c r="X7" s="65">
        <f t="shared" si="9"/>
        <v>99.999999999965894</v>
      </c>
      <c r="Y7" s="58">
        <v>2.4047999999999998</v>
      </c>
      <c r="Z7" s="65">
        <f t="shared" si="10"/>
        <v>399.99999999995595</v>
      </c>
      <c r="AA7" s="58">
        <v>329.02</v>
      </c>
      <c r="AB7" s="65">
        <f t="shared" si="11"/>
        <v>69.999999999993179</v>
      </c>
      <c r="AC7" s="58">
        <v>311.89</v>
      </c>
      <c r="AD7" s="65">
        <f t="shared" si="12"/>
        <v>99.999999999965894</v>
      </c>
      <c r="AE7" s="58">
        <v>488.16</v>
      </c>
      <c r="AF7" s="65">
        <f t="shared" si="13"/>
        <v>189.99999999999773</v>
      </c>
      <c r="AG7" s="58">
        <v>1274.5999999999999</v>
      </c>
      <c r="AH7" s="67">
        <f t="shared" si="14"/>
        <v>1.5999999999999091</v>
      </c>
      <c r="AI7" s="58">
        <v>428.14</v>
      </c>
      <c r="AJ7" s="65">
        <f t="shared" si="15"/>
        <v>860.00000000001364</v>
      </c>
      <c r="AK7" s="58">
        <v>151.54</v>
      </c>
      <c r="AL7" s="65">
        <f t="shared" si="15"/>
        <v>49.999999999982947</v>
      </c>
      <c r="AM7" s="58">
        <v>151.08000000000001</v>
      </c>
      <c r="AN7" s="65">
        <f t="shared" si="15"/>
        <v>30.000000000001137</v>
      </c>
      <c r="AO7" s="58">
        <v>147.51</v>
      </c>
      <c r="AP7" s="65">
        <f t="shared" si="15"/>
        <v>30.000000000001137</v>
      </c>
      <c r="AQ7" s="58">
        <v>218.61</v>
      </c>
      <c r="AR7" s="65">
        <f t="shared" si="16"/>
        <v>30.000000000001137</v>
      </c>
      <c r="AS7" s="58">
        <v>344.94</v>
      </c>
      <c r="AT7" s="65">
        <f t="shared" si="17"/>
        <v>19.99999999998181</v>
      </c>
      <c r="AU7" s="58">
        <v>266.06</v>
      </c>
      <c r="AV7" s="65">
        <f t="shared" si="18"/>
        <v>19.99999999998181</v>
      </c>
      <c r="AW7" s="58">
        <v>293.63</v>
      </c>
      <c r="AX7" s="65">
        <f t="shared" si="19"/>
        <v>19.99999999998181</v>
      </c>
      <c r="AY7" s="58">
        <v>344.9</v>
      </c>
      <c r="AZ7" s="65">
        <f t="shared" si="20"/>
        <v>19.99999999998181</v>
      </c>
      <c r="BA7" s="58">
        <v>364.7</v>
      </c>
      <c r="BB7" s="65">
        <f t="shared" si="21"/>
        <v>19.99999999998181</v>
      </c>
      <c r="BC7" s="58">
        <v>231.36</v>
      </c>
      <c r="BD7" s="65">
        <f t="shared" si="22"/>
        <v>20.000000000010232</v>
      </c>
      <c r="BE7" s="59">
        <v>29711</v>
      </c>
      <c r="BF7" s="67">
        <f t="shared" si="39"/>
        <v>22</v>
      </c>
      <c r="BG7" s="60">
        <v>225.18</v>
      </c>
      <c r="BH7" s="65">
        <f t="shared" si="23"/>
        <v>20.000000000010232</v>
      </c>
      <c r="BI7" s="60">
        <v>283.02999999999997</v>
      </c>
      <c r="BJ7" s="65">
        <f t="shared" si="40"/>
        <v>19.99999999998181</v>
      </c>
      <c r="BK7" s="60">
        <v>230.67</v>
      </c>
      <c r="BL7" s="65">
        <f t="shared" si="24"/>
        <v>9.9999999999909051</v>
      </c>
      <c r="BM7" s="60">
        <v>214.04</v>
      </c>
      <c r="BN7" s="65">
        <f t="shared" si="25"/>
        <v>39.999999999992042</v>
      </c>
      <c r="BO7" s="60">
        <v>278.89</v>
      </c>
      <c r="BP7" s="65">
        <f t="shared" si="26"/>
        <v>39.99999999996362</v>
      </c>
      <c r="BQ7" s="60">
        <v>39057</v>
      </c>
      <c r="BR7" s="65">
        <f t="shared" si="27"/>
        <v>17</v>
      </c>
      <c r="BS7" s="60">
        <v>193.46</v>
      </c>
      <c r="BT7" s="65">
        <f t="shared" si="43"/>
        <v>0</v>
      </c>
      <c r="BU7" s="60">
        <v>30238</v>
      </c>
      <c r="BV7" s="65">
        <f t="shared" si="29"/>
        <v>8</v>
      </c>
      <c r="BW7" s="60">
        <v>224.17</v>
      </c>
      <c r="BX7" s="65">
        <f t="shared" si="30"/>
        <v>19.99999999998181</v>
      </c>
      <c r="BY7" s="60">
        <v>49170</v>
      </c>
      <c r="BZ7" s="67">
        <f t="shared" si="31"/>
        <v>9</v>
      </c>
      <c r="CA7" s="60">
        <v>27508.400000000001</v>
      </c>
      <c r="CB7" s="67">
        <f t="shared" si="32"/>
        <v>0</v>
      </c>
      <c r="CC7" s="60">
        <v>11251.4</v>
      </c>
      <c r="CD7" s="67">
        <f t="shared" si="33"/>
        <v>0</v>
      </c>
      <c r="CE7" s="60">
        <v>5488.9</v>
      </c>
      <c r="CF7" s="67">
        <f t="shared" si="34"/>
        <v>0</v>
      </c>
      <c r="CG7" s="60">
        <v>47189.599999999999</v>
      </c>
      <c r="CH7" s="67">
        <f t="shared" si="35"/>
        <v>49.299999999995634</v>
      </c>
      <c r="CI7" s="60">
        <v>863176</v>
      </c>
      <c r="CJ7" s="67">
        <f t="shared" si="36"/>
        <v>223</v>
      </c>
      <c r="CK7" s="60">
        <v>580.47</v>
      </c>
      <c r="CL7" s="64">
        <f t="shared" si="37"/>
        <v>430.00000000006366</v>
      </c>
      <c r="CM7" s="65">
        <f t="shared" si="41"/>
        <v>28.900000000001455</v>
      </c>
      <c r="CN7" s="62">
        <v>0</v>
      </c>
      <c r="CO7" s="62">
        <v>0</v>
      </c>
      <c r="CP7" s="68">
        <v>34378.6</v>
      </c>
      <c r="CQ7" s="67">
        <f t="shared" si="38"/>
        <v>19.900000000001455</v>
      </c>
      <c r="CR7" s="68">
        <v>9604</v>
      </c>
      <c r="CS7" s="67">
        <f t="shared" si="38"/>
        <v>9</v>
      </c>
      <c r="CT7" s="75">
        <v>2040</v>
      </c>
      <c r="CU7" s="67">
        <f t="shared" si="38"/>
        <v>17</v>
      </c>
      <c r="CV7" s="68">
        <v>5061</v>
      </c>
      <c r="CW7" s="67">
        <f t="shared" si="38"/>
        <v>87</v>
      </c>
    </row>
    <row r="8" spans="1:102" ht="25.5" customHeight="1" thickBot="1" x14ac:dyDescent="0.45">
      <c r="A8" s="63">
        <v>44017</v>
      </c>
      <c r="B8" s="44"/>
      <c r="C8" s="58">
        <v>1.7362</v>
      </c>
      <c r="D8" s="64">
        <f t="shared" si="0"/>
        <v>999.99999999988984</v>
      </c>
      <c r="E8" s="58">
        <v>2.7303999999999999</v>
      </c>
      <c r="F8" s="64">
        <f t="shared" si="1"/>
        <v>399.99999999995595</v>
      </c>
      <c r="G8" s="58">
        <v>2.6065999999999998</v>
      </c>
      <c r="H8" s="64">
        <f t="shared" si="2"/>
        <v>1299.9999999996348</v>
      </c>
      <c r="I8" s="58">
        <v>1.2625</v>
      </c>
      <c r="J8" s="64">
        <f t="shared" si="3"/>
        <v>799.99999999991189</v>
      </c>
      <c r="K8" s="58">
        <v>1.9645999999999999</v>
      </c>
      <c r="L8" s="64">
        <f t="shared" si="4"/>
        <v>1599.9999999998238</v>
      </c>
      <c r="M8" s="58">
        <v>1.216</v>
      </c>
      <c r="N8" s="64">
        <f t="shared" si="5"/>
        <v>299.99999999996697</v>
      </c>
      <c r="O8" s="58">
        <v>12600</v>
      </c>
      <c r="P8" s="67">
        <f t="shared" si="42"/>
        <v>2</v>
      </c>
      <c r="Q8" s="58">
        <v>5552</v>
      </c>
      <c r="R8" s="67">
        <f t="shared" si="6"/>
        <v>2</v>
      </c>
      <c r="S8" s="58">
        <v>837011.1</v>
      </c>
      <c r="T8" s="67">
        <f t="shared" si="7"/>
        <v>114.59999999997672</v>
      </c>
      <c r="U8" s="58">
        <v>341170.2</v>
      </c>
      <c r="V8" s="67">
        <f t="shared" si="8"/>
        <v>58.400000000023283</v>
      </c>
      <c r="W8" s="58">
        <v>334.88</v>
      </c>
      <c r="X8" s="65">
        <f t="shared" si="9"/>
        <v>60.000000000002274</v>
      </c>
      <c r="Y8" s="58">
        <v>2.4051</v>
      </c>
      <c r="Z8" s="65">
        <f t="shared" si="10"/>
        <v>300.000000000189</v>
      </c>
      <c r="AA8" s="58">
        <v>329.07</v>
      </c>
      <c r="AB8" s="65">
        <f t="shared" si="11"/>
        <v>50.000000000011369</v>
      </c>
      <c r="AC8" s="58">
        <v>311.97000000000003</v>
      </c>
      <c r="AD8" s="65">
        <f t="shared" si="12"/>
        <v>80.000000000040927</v>
      </c>
      <c r="AE8" s="58">
        <v>488.29</v>
      </c>
      <c r="AF8" s="65">
        <f t="shared" si="13"/>
        <v>129.99999999999545</v>
      </c>
      <c r="AG8" s="58">
        <v>1275.5</v>
      </c>
      <c r="AH8" s="67">
        <f t="shared" si="14"/>
        <v>0.90000000000009095</v>
      </c>
      <c r="AI8" s="58">
        <v>428.8</v>
      </c>
      <c r="AJ8" s="65">
        <f t="shared" si="15"/>
        <v>660.00000000002501</v>
      </c>
      <c r="AK8" s="58">
        <v>151.56</v>
      </c>
      <c r="AL8" s="65">
        <f t="shared" si="15"/>
        <v>20.000000000010232</v>
      </c>
      <c r="AM8" s="58">
        <v>151.11000000000001</v>
      </c>
      <c r="AN8" s="65">
        <f t="shared" si="15"/>
        <v>30.000000000001137</v>
      </c>
      <c r="AO8" s="58">
        <v>147.53</v>
      </c>
      <c r="AP8" s="65">
        <f t="shared" si="15"/>
        <v>20.000000000010232</v>
      </c>
      <c r="AQ8" s="58">
        <v>218.62</v>
      </c>
      <c r="AR8" s="65">
        <f t="shared" si="16"/>
        <v>9.9999999999909051</v>
      </c>
      <c r="AS8" s="58">
        <v>344.96</v>
      </c>
      <c r="AT8" s="65">
        <f t="shared" si="17"/>
        <v>19.99999999998181</v>
      </c>
      <c r="AU8" s="58">
        <v>266.07</v>
      </c>
      <c r="AV8" s="65">
        <f t="shared" si="18"/>
        <v>9.9999999999909051</v>
      </c>
      <c r="AW8" s="58">
        <v>293.64</v>
      </c>
      <c r="AX8" s="65">
        <f t="shared" si="19"/>
        <v>9.9999999999909051</v>
      </c>
      <c r="AY8" s="58">
        <v>344.92</v>
      </c>
      <c r="AZ8" s="65">
        <f t="shared" si="20"/>
        <v>20.000000000038654</v>
      </c>
      <c r="BA8" s="58">
        <v>364.71</v>
      </c>
      <c r="BB8" s="65">
        <f t="shared" si="21"/>
        <v>9.9999999999909051</v>
      </c>
      <c r="BC8" s="58">
        <v>231.37</v>
      </c>
      <c r="BD8" s="65">
        <f t="shared" si="22"/>
        <v>9.9999999999909051</v>
      </c>
      <c r="BE8" s="59">
        <v>29732</v>
      </c>
      <c r="BF8" s="67">
        <f t="shared" si="39"/>
        <v>21</v>
      </c>
      <c r="BG8" s="60">
        <v>225.2</v>
      </c>
      <c r="BH8" s="65">
        <f t="shared" si="23"/>
        <v>19.99999999998181</v>
      </c>
      <c r="BI8" s="60">
        <v>283.06</v>
      </c>
      <c r="BJ8" s="65">
        <f t="shared" si="40"/>
        <v>30.000000000029559</v>
      </c>
      <c r="BK8" s="60">
        <v>230.68</v>
      </c>
      <c r="BL8" s="65">
        <f t="shared" si="24"/>
        <v>10.000000000019327</v>
      </c>
      <c r="BM8" s="60">
        <v>214.07</v>
      </c>
      <c r="BN8" s="65">
        <f t="shared" si="25"/>
        <v>30.000000000001137</v>
      </c>
      <c r="BO8" s="60">
        <v>278.92</v>
      </c>
      <c r="BP8" s="65">
        <f t="shared" si="26"/>
        <v>30.000000000029559</v>
      </c>
      <c r="BQ8" s="60">
        <v>39071</v>
      </c>
      <c r="BR8" s="65">
        <f t="shared" si="27"/>
        <v>14</v>
      </c>
      <c r="BS8" s="60">
        <v>193.47</v>
      </c>
      <c r="BT8" s="65">
        <f t="shared" si="43"/>
        <v>9.9999999999909051</v>
      </c>
      <c r="BU8" s="60">
        <v>30245</v>
      </c>
      <c r="BV8" s="65">
        <f t="shared" si="29"/>
        <v>7</v>
      </c>
      <c r="BW8" s="60">
        <v>224.19</v>
      </c>
      <c r="BX8" s="65">
        <f t="shared" si="30"/>
        <v>20.000000000010232</v>
      </c>
      <c r="BY8" s="60">
        <v>49181</v>
      </c>
      <c r="BZ8" s="67">
        <f t="shared" si="31"/>
        <v>11</v>
      </c>
      <c r="CA8" s="60">
        <v>27508.400000000001</v>
      </c>
      <c r="CB8" s="67">
        <f t="shared" si="32"/>
        <v>0</v>
      </c>
      <c r="CC8" s="60">
        <v>11251.4</v>
      </c>
      <c r="CD8" s="67">
        <f t="shared" si="33"/>
        <v>0</v>
      </c>
      <c r="CE8" s="60">
        <v>5488.9</v>
      </c>
      <c r="CF8" s="67">
        <f t="shared" si="34"/>
        <v>0</v>
      </c>
      <c r="CG8" s="60">
        <v>47232.6</v>
      </c>
      <c r="CH8" s="67">
        <f t="shared" si="35"/>
        <v>43</v>
      </c>
      <c r="CI8" s="60">
        <v>863362</v>
      </c>
      <c r="CJ8" s="67">
        <f t="shared" si="36"/>
        <v>186</v>
      </c>
      <c r="CK8" s="60">
        <v>580.79</v>
      </c>
      <c r="CL8" s="64">
        <f t="shared" si="37"/>
        <v>319.99999999993634</v>
      </c>
      <c r="CM8" s="65">
        <f t="shared" si="41"/>
        <v>15.099999999998545</v>
      </c>
      <c r="CN8" s="62">
        <v>0</v>
      </c>
      <c r="CO8" s="62">
        <v>0</v>
      </c>
      <c r="CP8" s="68">
        <v>34387.699999999997</v>
      </c>
      <c r="CQ8" s="67">
        <f t="shared" si="38"/>
        <v>9.0999999999985448</v>
      </c>
      <c r="CR8" s="68">
        <v>9610</v>
      </c>
      <c r="CS8" s="67">
        <f t="shared" si="38"/>
        <v>6</v>
      </c>
      <c r="CT8" s="75">
        <v>2052</v>
      </c>
      <c r="CU8" s="67">
        <f t="shared" si="38"/>
        <v>12</v>
      </c>
      <c r="CV8" s="68">
        <v>5121</v>
      </c>
      <c r="CW8" s="67">
        <f t="shared" si="38"/>
        <v>60</v>
      </c>
    </row>
    <row r="9" spans="1:102" ht="25.5" customHeight="1" thickBot="1" x14ac:dyDescent="0.45">
      <c r="A9" s="63">
        <v>44018</v>
      </c>
      <c r="B9" s="44"/>
      <c r="C9" s="58">
        <v>1.7373000000000001</v>
      </c>
      <c r="D9" s="64">
        <f t="shared" si="0"/>
        <v>1100.000000000101</v>
      </c>
      <c r="E9" s="58">
        <v>2.7311000000000001</v>
      </c>
      <c r="F9" s="64">
        <f t="shared" si="1"/>
        <v>700.00000000014495</v>
      </c>
      <c r="G9" s="58">
        <v>2.6084999999999998</v>
      </c>
      <c r="H9" s="64">
        <f t="shared" si="2"/>
        <v>1900.0000000000127</v>
      </c>
      <c r="I9" s="58">
        <v>1.2633000000000001</v>
      </c>
      <c r="J9" s="64">
        <f t="shared" si="3"/>
        <v>800.00000000013392</v>
      </c>
      <c r="K9" s="58">
        <v>1.9661999999999999</v>
      </c>
      <c r="L9" s="64">
        <f t="shared" si="4"/>
        <v>1600.0000000000459</v>
      </c>
      <c r="M9" s="58">
        <v>1.2163999999999999</v>
      </c>
      <c r="N9" s="64">
        <f t="shared" si="5"/>
        <v>399.99999999995595</v>
      </c>
      <c r="O9" s="58">
        <v>12600</v>
      </c>
      <c r="P9" s="67">
        <f t="shared" si="42"/>
        <v>0</v>
      </c>
      <c r="Q9" s="58">
        <v>5555</v>
      </c>
      <c r="R9" s="67">
        <f t="shared" si="6"/>
        <v>3</v>
      </c>
      <c r="S9" s="58">
        <v>837373.2</v>
      </c>
      <c r="T9" s="67">
        <f t="shared" si="7"/>
        <v>362.09999999997672</v>
      </c>
      <c r="U9" s="58">
        <v>341318</v>
      </c>
      <c r="V9" s="67">
        <f t="shared" si="8"/>
        <v>147.79999999998836</v>
      </c>
      <c r="W9" s="58">
        <v>334.96</v>
      </c>
      <c r="X9" s="65">
        <f t="shared" si="9"/>
        <v>79.999999999984084</v>
      </c>
      <c r="Y9" s="58">
        <v>2.4055</v>
      </c>
      <c r="Z9" s="65">
        <f t="shared" si="10"/>
        <v>399.99999999995595</v>
      </c>
      <c r="AA9" s="58">
        <v>329.12</v>
      </c>
      <c r="AB9" s="65">
        <f t="shared" si="11"/>
        <v>50.000000000011369</v>
      </c>
      <c r="AC9" s="58">
        <v>312.07</v>
      </c>
      <c r="AD9" s="65">
        <f t="shared" si="12"/>
        <v>99.999999999965894</v>
      </c>
      <c r="AE9" s="58">
        <v>488.46</v>
      </c>
      <c r="AF9" s="65">
        <f t="shared" si="13"/>
        <v>169.99999999995907</v>
      </c>
      <c r="AG9" s="58">
        <v>1276.5999999999999</v>
      </c>
      <c r="AH9" s="67">
        <f t="shared" si="14"/>
        <v>1.0999999999999091</v>
      </c>
      <c r="AI9" s="58">
        <v>429.5</v>
      </c>
      <c r="AJ9" s="65">
        <f t="shared" si="15"/>
        <v>699.99999999998863</v>
      </c>
      <c r="AK9" s="58">
        <v>151.6</v>
      </c>
      <c r="AL9" s="65">
        <f t="shared" si="15"/>
        <v>39.999999999992042</v>
      </c>
      <c r="AM9" s="58">
        <v>151.13999999999999</v>
      </c>
      <c r="AN9" s="65">
        <f t="shared" si="15"/>
        <v>29.999999999972715</v>
      </c>
      <c r="AO9" s="58">
        <v>147.56</v>
      </c>
      <c r="AP9" s="65">
        <f t="shared" si="15"/>
        <v>30.000000000001137</v>
      </c>
      <c r="AQ9" s="58">
        <v>218.64</v>
      </c>
      <c r="AR9" s="65">
        <f t="shared" si="16"/>
        <v>19.99999999998181</v>
      </c>
      <c r="AS9" s="58">
        <v>344.98</v>
      </c>
      <c r="AT9" s="65">
        <f t="shared" si="17"/>
        <v>20.000000000038654</v>
      </c>
      <c r="AU9" s="58">
        <v>266.08999999999997</v>
      </c>
      <c r="AV9" s="65">
        <f t="shared" si="18"/>
        <v>19.99999999998181</v>
      </c>
      <c r="AW9" s="58">
        <v>293.66000000000003</v>
      </c>
      <c r="AX9" s="65">
        <f t="shared" si="19"/>
        <v>20.000000000038654</v>
      </c>
      <c r="AY9" s="58">
        <v>344.94</v>
      </c>
      <c r="AZ9" s="65">
        <f t="shared" si="20"/>
        <v>19.99999999998181</v>
      </c>
      <c r="BA9" s="58">
        <v>364.73</v>
      </c>
      <c r="BB9" s="65">
        <f t="shared" si="21"/>
        <v>20.000000000038654</v>
      </c>
      <c r="BC9" s="58">
        <v>231.39</v>
      </c>
      <c r="BD9" s="65">
        <f t="shared" si="22"/>
        <v>19.99999999998181</v>
      </c>
      <c r="BE9" s="59">
        <v>29745</v>
      </c>
      <c r="BF9" s="67">
        <f t="shared" si="39"/>
        <v>13</v>
      </c>
      <c r="BG9" s="60">
        <v>225.21</v>
      </c>
      <c r="BH9" s="65">
        <f t="shared" si="23"/>
        <v>10.000000000019327</v>
      </c>
      <c r="BI9" s="60">
        <v>283.08</v>
      </c>
      <c r="BJ9" s="65">
        <f t="shared" si="40"/>
        <v>19.99999999998181</v>
      </c>
      <c r="BK9" s="60">
        <v>230.69</v>
      </c>
      <c r="BL9" s="65">
        <f t="shared" si="24"/>
        <v>9.9999999999909051</v>
      </c>
      <c r="BM9" s="60">
        <v>214.1</v>
      </c>
      <c r="BN9" s="65">
        <f t="shared" si="25"/>
        <v>30.000000000001137</v>
      </c>
      <c r="BO9" s="60">
        <v>278.95</v>
      </c>
      <c r="BP9" s="65">
        <f t="shared" si="26"/>
        <v>29.999999999972715</v>
      </c>
      <c r="BQ9" s="60">
        <v>39085</v>
      </c>
      <c r="BR9" s="65">
        <f t="shared" si="27"/>
        <v>14</v>
      </c>
      <c r="BS9" s="60">
        <v>193.48</v>
      </c>
      <c r="BT9" s="65">
        <f t="shared" si="43"/>
        <v>9.9999999999909051</v>
      </c>
      <c r="BU9" s="60">
        <v>30252</v>
      </c>
      <c r="BV9" s="65">
        <f t="shared" si="29"/>
        <v>7</v>
      </c>
      <c r="BW9" s="60">
        <v>224.21</v>
      </c>
      <c r="BX9" s="65">
        <f t="shared" si="30"/>
        <v>20.000000000010232</v>
      </c>
      <c r="BY9" s="60">
        <v>49194</v>
      </c>
      <c r="BZ9" s="67">
        <f t="shared" si="31"/>
        <v>13</v>
      </c>
      <c r="CA9" s="60">
        <v>27508.400000000001</v>
      </c>
      <c r="CB9" s="67">
        <f t="shared" si="32"/>
        <v>0</v>
      </c>
      <c r="CC9" s="60">
        <v>11251.4</v>
      </c>
      <c r="CD9" s="67">
        <f t="shared" si="33"/>
        <v>0</v>
      </c>
      <c r="CE9" s="60">
        <v>5488.9</v>
      </c>
      <c r="CF9" s="67">
        <f t="shared" si="34"/>
        <v>0</v>
      </c>
      <c r="CG9" s="60">
        <v>47284.2</v>
      </c>
      <c r="CH9" s="67">
        <f t="shared" si="35"/>
        <v>51.599999999998545</v>
      </c>
      <c r="CI9" s="60">
        <v>863569</v>
      </c>
      <c r="CJ9" s="67">
        <f t="shared" si="36"/>
        <v>207</v>
      </c>
      <c r="CK9" s="60">
        <v>581.25</v>
      </c>
      <c r="CL9" s="64">
        <f t="shared" si="37"/>
        <v>460.00000000003638</v>
      </c>
      <c r="CM9" s="65">
        <f t="shared" si="41"/>
        <v>33.900000000001455</v>
      </c>
      <c r="CN9" s="62">
        <v>0</v>
      </c>
      <c r="CO9" s="62">
        <v>0</v>
      </c>
      <c r="CP9" s="68">
        <v>34410.6</v>
      </c>
      <c r="CQ9" s="67">
        <f t="shared" si="38"/>
        <v>22.900000000001455</v>
      </c>
      <c r="CR9" s="68">
        <v>9621</v>
      </c>
      <c r="CS9" s="67">
        <f t="shared" si="38"/>
        <v>11</v>
      </c>
      <c r="CT9" s="75">
        <v>2066</v>
      </c>
      <c r="CU9" s="67">
        <f t="shared" si="38"/>
        <v>14</v>
      </c>
      <c r="CV9" s="68">
        <v>5185</v>
      </c>
      <c r="CW9" s="67">
        <f t="shared" si="38"/>
        <v>64</v>
      </c>
    </row>
    <row r="10" spans="1:102" ht="25.5" customHeight="1" thickBot="1" x14ac:dyDescent="0.45">
      <c r="A10" s="63">
        <v>44019</v>
      </c>
      <c r="B10" s="44"/>
      <c r="C10" s="58">
        <v>1.7384999999999999</v>
      </c>
      <c r="D10" s="64">
        <f t="shared" si="0"/>
        <v>1199.9999999998679</v>
      </c>
      <c r="E10" s="58">
        <v>2.7315999999999998</v>
      </c>
      <c r="F10" s="64">
        <f t="shared" si="1"/>
        <v>499.99999999972289</v>
      </c>
      <c r="G10" s="58">
        <v>2.61</v>
      </c>
      <c r="H10" s="64">
        <f t="shared" si="2"/>
        <v>1500.0000000000568</v>
      </c>
      <c r="I10" s="58">
        <v>1.264</v>
      </c>
      <c r="J10" s="64">
        <f t="shared" si="3"/>
        <v>699.99999999992292</v>
      </c>
      <c r="K10" s="58">
        <v>1.9678</v>
      </c>
      <c r="L10" s="64">
        <f t="shared" si="4"/>
        <v>1600.0000000000459</v>
      </c>
      <c r="M10" s="58">
        <v>1.2169000000000001</v>
      </c>
      <c r="N10" s="64">
        <f t="shared" si="5"/>
        <v>500.00000000016701</v>
      </c>
      <c r="O10" s="58">
        <v>12601</v>
      </c>
      <c r="P10" s="67">
        <f t="shared" si="42"/>
        <v>1</v>
      </c>
      <c r="Q10" s="58">
        <v>5558</v>
      </c>
      <c r="R10" s="67">
        <f t="shared" si="6"/>
        <v>3</v>
      </c>
      <c r="S10" s="58">
        <v>837590.2</v>
      </c>
      <c r="T10" s="67">
        <f t="shared" si="7"/>
        <v>217</v>
      </c>
      <c r="U10" s="58">
        <v>341437.9</v>
      </c>
      <c r="V10" s="67">
        <f t="shared" si="8"/>
        <v>119.90000000002328</v>
      </c>
      <c r="W10" s="58">
        <v>335.04</v>
      </c>
      <c r="X10" s="65">
        <f t="shared" si="9"/>
        <v>80.000000000040927</v>
      </c>
      <c r="Y10" s="58">
        <v>2.4058999999999999</v>
      </c>
      <c r="Z10" s="65">
        <f t="shared" si="10"/>
        <v>399.99999999995595</v>
      </c>
      <c r="AA10" s="58">
        <v>329.17</v>
      </c>
      <c r="AB10" s="65">
        <f t="shared" si="11"/>
        <v>50.000000000011369</v>
      </c>
      <c r="AC10" s="58">
        <v>312.19</v>
      </c>
      <c r="AD10" s="65">
        <f t="shared" si="12"/>
        <v>120.00000000000455</v>
      </c>
      <c r="AE10" s="58">
        <v>488.6</v>
      </c>
      <c r="AF10" s="65">
        <f t="shared" si="13"/>
        <v>140.0000000000432</v>
      </c>
      <c r="AG10" s="58">
        <v>1277.8</v>
      </c>
      <c r="AH10" s="67">
        <f t="shared" si="14"/>
        <v>1.2000000000000455</v>
      </c>
      <c r="AI10" s="58">
        <v>430.24</v>
      </c>
      <c r="AJ10" s="65">
        <f t="shared" si="15"/>
        <v>740.00000000000909</v>
      </c>
      <c r="AK10" s="58">
        <v>151.62</v>
      </c>
      <c r="AL10" s="65">
        <f t="shared" si="15"/>
        <v>20.000000000010232</v>
      </c>
      <c r="AM10" s="58">
        <v>151.16999999999999</v>
      </c>
      <c r="AN10" s="65">
        <f t="shared" si="15"/>
        <v>30.000000000001137</v>
      </c>
      <c r="AO10" s="58">
        <v>147.58000000000001</v>
      </c>
      <c r="AP10" s="65">
        <f t="shared" si="15"/>
        <v>20.000000000010232</v>
      </c>
      <c r="AQ10" s="58">
        <v>218.68</v>
      </c>
      <c r="AR10" s="65">
        <f t="shared" si="16"/>
        <v>40.000000000020464</v>
      </c>
      <c r="AS10" s="58">
        <v>345</v>
      </c>
      <c r="AT10" s="65">
        <f t="shared" si="17"/>
        <v>19.99999999998181</v>
      </c>
      <c r="AU10" s="58">
        <v>266.10000000000002</v>
      </c>
      <c r="AV10" s="65">
        <f t="shared" si="18"/>
        <v>10.000000000047748</v>
      </c>
      <c r="AW10" s="58">
        <v>293.67</v>
      </c>
      <c r="AX10" s="65">
        <f t="shared" si="19"/>
        <v>9.9999999999909051</v>
      </c>
      <c r="AY10" s="58">
        <v>344.95</v>
      </c>
      <c r="AZ10" s="65">
        <f t="shared" si="20"/>
        <v>9.9999999999909051</v>
      </c>
      <c r="BA10" s="58">
        <v>364.74</v>
      </c>
      <c r="BB10" s="65">
        <f t="shared" si="21"/>
        <v>9.9999999999909051</v>
      </c>
      <c r="BC10" s="58">
        <v>231.41</v>
      </c>
      <c r="BD10" s="65">
        <f t="shared" si="22"/>
        <v>20.000000000010232</v>
      </c>
      <c r="BE10" s="59">
        <v>29752</v>
      </c>
      <c r="BF10" s="67">
        <f t="shared" si="39"/>
        <v>7</v>
      </c>
      <c r="BG10" s="60">
        <v>225.23</v>
      </c>
      <c r="BH10" s="65">
        <f t="shared" si="23"/>
        <v>19.99999999998181</v>
      </c>
      <c r="BI10" s="60">
        <v>283.10000000000002</v>
      </c>
      <c r="BJ10" s="65">
        <f t="shared" si="40"/>
        <v>20.000000000038654</v>
      </c>
      <c r="BK10" s="60">
        <v>230.7</v>
      </c>
      <c r="BL10" s="65">
        <f t="shared" si="24"/>
        <v>9.9999999999909051</v>
      </c>
      <c r="BM10" s="60">
        <v>214.12</v>
      </c>
      <c r="BN10" s="65">
        <f t="shared" si="25"/>
        <v>20.000000000010232</v>
      </c>
      <c r="BO10" s="60">
        <v>278.98</v>
      </c>
      <c r="BP10" s="65">
        <f t="shared" si="26"/>
        <v>30.000000000029559</v>
      </c>
      <c r="BQ10" s="60">
        <v>39096</v>
      </c>
      <c r="BR10" s="65">
        <f t="shared" si="27"/>
        <v>11</v>
      </c>
      <c r="BS10" s="60">
        <v>193.49</v>
      </c>
      <c r="BT10" s="65">
        <f t="shared" si="43"/>
        <v>10.000000000019327</v>
      </c>
      <c r="BU10" s="60">
        <v>30257</v>
      </c>
      <c r="BV10" s="65">
        <f t="shared" si="29"/>
        <v>5</v>
      </c>
      <c r="BW10" s="60">
        <v>224.22</v>
      </c>
      <c r="BX10" s="65">
        <f t="shared" si="30"/>
        <v>9.9999999999909051</v>
      </c>
      <c r="BY10" s="60">
        <v>49201</v>
      </c>
      <c r="BZ10" s="67">
        <f t="shared" si="31"/>
        <v>7</v>
      </c>
      <c r="CA10" s="60">
        <v>27508.400000000001</v>
      </c>
      <c r="CB10" s="67">
        <f t="shared" si="32"/>
        <v>0</v>
      </c>
      <c r="CC10" s="60">
        <v>11251.4</v>
      </c>
      <c r="CD10" s="67">
        <f t="shared" si="33"/>
        <v>0</v>
      </c>
      <c r="CE10" s="60">
        <v>5488.9</v>
      </c>
      <c r="CF10" s="67">
        <f t="shared" si="34"/>
        <v>0</v>
      </c>
      <c r="CG10" s="60">
        <v>47329.3</v>
      </c>
      <c r="CH10" s="67">
        <f t="shared" si="35"/>
        <v>45.100000000005821</v>
      </c>
      <c r="CI10" s="60">
        <v>863775</v>
      </c>
      <c r="CJ10" s="67">
        <f t="shared" si="36"/>
        <v>206</v>
      </c>
      <c r="CK10" s="60">
        <v>581.55999999999995</v>
      </c>
      <c r="CL10" s="64">
        <f t="shared" si="37"/>
        <v>309.99999999994543</v>
      </c>
      <c r="CM10" s="65">
        <f t="shared" si="41"/>
        <v>26.599999999998545</v>
      </c>
      <c r="CN10" s="62">
        <v>0</v>
      </c>
      <c r="CO10" s="62">
        <v>0</v>
      </c>
      <c r="CP10" s="68">
        <v>34428.199999999997</v>
      </c>
      <c r="CQ10" s="67">
        <f>IF((CP10-CP9&lt;0), "",CP10-CP9)</f>
        <v>17.599999999998545</v>
      </c>
      <c r="CR10" s="68">
        <v>9630</v>
      </c>
      <c r="CS10" s="67">
        <f t="shared" si="38"/>
        <v>9</v>
      </c>
      <c r="CT10" s="75">
        <v>2080</v>
      </c>
      <c r="CU10" s="67">
        <f t="shared" si="38"/>
        <v>14</v>
      </c>
      <c r="CV10" s="68">
        <v>5257</v>
      </c>
      <c r="CW10" s="67">
        <f t="shared" si="38"/>
        <v>72</v>
      </c>
    </row>
    <row r="11" spans="1:102" ht="25.5" customHeight="1" thickBot="1" x14ac:dyDescent="0.45">
      <c r="A11" s="63">
        <v>44020</v>
      </c>
      <c r="B11" s="44"/>
      <c r="C11" s="58">
        <v>1.7394000000000001</v>
      </c>
      <c r="D11" s="64">
        <f t="shared" si="0"/>
        <v>900.0000000001229</v>
      </c>
      <c r="E11" s="58">
        <v>2.7322000000000002</v>
      </c>
      <c r="F11" s="64">
        <f t="shared" si="1"/>
        <v>600.00000000037801</v>
      </c>
      <c r="G11" s="58">
        <v>2.6116000000000001</v>
      </c>
      <c r="H11" s="64">
        <f t="shared" si="2"/>
        <v>1600.0000000002678</v>
      </c>
      <c r="I11" s="58">
        <v>1.2648999999999999</v>
      </c>
      <c r="J11" s="64">
        <f t="shared" si="3"/>
        <v>899.99999999990087</v>
      </c>
      <c r="K11" s="58">
        <v>1.9695</v>
      </c>
      <c r="L11" s="64">
        <f t="shared" si="4"/>
        <v>1700.0000000000348</v>
      </c>
      <c r="M11" s="58">
        <v>1.2173</v>
      </c>
      <c r="N11" s="64">
        <f t="shared" si="5"/>
        <v>399.99999999995595</v>
      </c>
      <c r="O11" s="58">
        <v>12601</v>
      </c>
      <c r="P11" s="67">
        <f t="shared" ref="P11:P34" si="44">IF((O11-O10&lt;0), "",O11-O10)</f>
        <v>0</v>
      </c>
      <c r="Q11" s="58">
        <v>5560</v>
      </c>
      <c r="R11" s="67">
        <f t="shared" si="6"/>
        <v>2</v>
      </c>
      <c r="S11" s="58">
        <v>837883.4</v>
      </c>
      <c r="T11" s="67">
        <f t="shared" si="7"/>
        <v>293.20000000006985</v>
      </c>
      <c r="U11" s="58">
        <v>341556.1</v>
      </c>
      <c r="V11" s="67">
        <f t="shared" si="8"/>
        <v>118.19999999995343</v>
      </c>
      <c r="W11" s="58">
        <v>335.11</v>
      </c>
      <c r="X11" s="65">
        <f t="shared" si="9"/>
        <v>69.999999999993179</v>
      </c>
      <c r="Y11" s="58">
        <v>2.4062999999999999</v>
      </c>
      <c r="Z11" s="65">
        <f t="shared" si="10"/>
        <v>399.99999999995595</v>
      </c>
      <c r="AA11" s="58">
        <v>329.22</v>
      </c>
      <c r="AB11" s="65">
        <f t="shared" si="11"/>
        <v>50.000000000011369</v>
      </c>
      <c r="AC11" s="58">
        <v>312.31</v>
      </c>
      <c r="AD11" s="65">
        <f t="shared" si="12"/>
        <v>120.00000000000455</v>
      </c>
      <c r="AE11" s="58">
        <v>488.76</v>
      </c>
      <c r="AF11" s="65">
        <f t="shared" si="13"/>
        <v>159.99999999996817</v>
      </c>
      <c r="AG11" s="58">
        <v>1279.2</v>
      </c>
      <c r="AH11" s="67">
        <f t="shared" si="14"/>
        <v>1.4000000000000909</v>
      </c>
      <c r="AI11" s="58">
        <v>430.79</v>
      </c>
      <c r="AJ11" s="65">
        <f t="shared" si="15"/>
        <v>550.00000000001137</v>
      </c>
      <c r="AK11" s="58">
        <v>151.66</v>
      </c>
      <c r="AL11" s="65">
        <f t="shared" si="15"/>
        <v>39.999999999992042</v>
      </c>
      <c r="AM11" s="58">
        <v>151.19999999999999</v>
      </c>
      <c r="AN11" s="65">
        <f t="shared" si="15"/>
        <v>30.000000000001137</v>
      </c>
      <c r="AO11" s="58">
        <v>147.61000000000001</v>
      </c>
      <c r="AP11" s="65">
        <f t="shared" si="15"/>
        <v>30.000000000001137</v>
      </c>
      <c r="AQ11" s="58">
        <v>218.7</v>
      </c>
      <c r="AR11" s="65">
        <f t="shared" si="16"/>
        <v>19.99999999998181</v>
      </c>
      <c r="AS11" s="58">
        <v>345.02</v>
      </c>
      <c r="AT11" s="65">
        <f t="shared" si="17"/>
        <v>19.99999999998181</v>
      </c>
      <c r="AU11" s="58">
        <v>266.13</v>
      </c>
      <c r="AV11" s="65">
        <f t="shared" si="18"/>
        <v>29.999999999972715</v>
      </c>
      <c r="AW11" s="58">
        <v>293.68</v>
      </c>
      <c r="AX11" s="65">
        <f t="shared" si="19"/>
        <v>9.9999999999909051</v>
      </c>
      <c r="AY11" s="58">
        <v>344.97</v>
      </c>
      <c r="AZ11" s="65">
        <f t="shared" si="20"/>
        <v>20.000000000038654</v>
      </c>
      <c r="BA11" s="58">
        <v>364.75</v>
      </c>
      <c r="BB11" s="65">
        <f t="shared" si="21"/>
        <v>9.9999999999909051</v>
      </c>
      <c r="BC11" s="58">
        <v>231.43</v>
      </c>
      <c r="BD11" s="65">
        <f>IF((BC11-BC10&lt;0), "",(BC11-BC10)*1000)</f>
        <v>20.000000000010232</v>
      </c>
      <c r="BE11" s="59">
        <v>29764</v>
      </c>
      <c r="BF11" s="67">
        <f t="shared" si="39"/>
        <v>12</v>
      </c>
      <c r="BG11" s="60">
        <v>225.24</v>
      </c>
      <c r="BH11" s="65">
        <f t="shared" si="23"/>
        <v>10.000000000019327</v>
      </c>
      <c r="BI11" s="60">
        <v>283.12</v>
      </c>
      <c r="BJ11" s="65">
        <f t="shared" si="40"/>
        <v>19.99999999998181</v>
      </c>
      <c r="BK11" s="60">
        <v>230.72</v>
      </c>
      <c r="BL11" s="65">
        <f t="shared" si="24"/>
        <v>20.000000000010232</v>
      </c>
      <c r="BM11" s="60">
        <v>214.15</v>
      </c>
      <c r="BN11" s="65">
        <f t="shared" si="25"/>
        <v>30.000000000001137</v>
      </c>
      <c r="BO11" s="60">
        <v>279.01</v>
      </c>
      <c r="BP11" s="65">
        <f t="shared" si="26"/>
        <v>29.999999999972715</v>
      </c>
      <c r="BQ11" s="60">
        <v>39110</v>
      </c>
      <c r="BR11" s="65">
        <f t="shared" si="27"/>
        <v>14</v>
      </c>
      <c r="BS11" s="60">
        <v>193.5</v>
      </c>
      <c r="BT11" s="65">
        <f t="shared" si="43"/>
        <v>9.9999999999909051</v>
      </c>
      <c r="BU11" s="60">
        <v>30262</v>
      </c>
      <c r="BV11" s="65">
        <f t="shared" si="29"/>
        <v>5</v>
      </c>
      <c r="BW11" s="60">
        <v>224.24</v>
      </c>
      <c r="BX11" s="65">
        <f t="shared" si="30"/>
        <v>20.000000000010232</v>
      </c>
      <c r="BY11" s="60">
        <v>49212</v>
      </c>
      <c r="BZ11" s="67">
        <f t="shared" si="31"/>
        <v>11</v>
      </c>
      <c r="CA11" s="60">
        <v>27508.400000000001</v>
      </c>
      <c r="CB11" s="67">
        <f t="shared" si="32"/>
        <v>0</v>
      </c>
      <c r="CC11" s="60">
        <v>11251.4</v>
      </c>
      <c r="CD11" s="67">
        <f t="shared" si="33"/>
        <v>0</v>
      </c>
      <c r="CE11" s="60">
        <v>5488.9</v>
      </c>
      <c r="CF11" s="67">
        <f t="shared" si="34"/>
        <v>0</v>
      </c>
      <c r="CG11" s="60">
        <v>47372.6</v>
      </c>
      <c r="CH11" s="67">
        <f t="shared" si="35"/>
        <v>43.299999999995634</v>
      </c>
      <c r="CI11" s="60">
        <v>863976</v>
      </c>
      <c r="CJ11" s="67">
        <f t="shared" si="36"/>
        <v>201</v>
      </c>
      <c r="CK11" s="60">
        <v>581.87</v>
      </c>
      <c r="CL11" s="64">
        <f t="shared" si="37"/>
        <v>310.00000000005912</v>
      </c>
      <c r="CM11" s="65">
        <f t="shared" si="41"/>
        <v>15</v>
      </c>
      <c r="CN11" s="62">
        <v>0</v>
      </c>
      <c r="CO11" s="62">
        <v>0</v>
      </c>
      <c r="CP11" s="68">
        <v>8</v>
      </c>
      <c r="CQ11" s="67">
        <v>8</v>
      </c>
      <c r="CR11" s="68">
        <v>9637</v>
      </c>
      <c r="CS11" s="67">
        <f t="shared" si="38"/>
        <v>7</v>
      </c>
      <c r="CT11" s="75">
        <v>2092</v>
      </c>
      <c r="CU11" s="67">
        <f t="shared" si="38"/>
        <v>12</v>
      </c>
      <c r="CV11" s="68">
        <v>5324</v>
      </c>
      <c r="CW11" s="67">
        <f t="shared" si="38"/>
        <v>67</v>
      </c>
    </row>
    <row r="12" spans="1:102" ht="25.5" customHeight="1" thickBot="1" x14ac:dyDescent="0.45">
      <c r="A12" s="63">
        <v>44021</v>
      </c>
      <c r="B12" s="44"/>
      <c r="C12" s="58">
        <v>1.74</v>
      </c>
      <c r="D12" s="64">
        <f t="shared" si="0"/>
        <v>599.99999999993395</v>
      </c>
      <c r="E12" s="58">
        <v>2.7326999999999999</v>
      </c>
      <c r="F12" s="64">
        <f t="shared" si="1"/>
        <v>499.99999999972289</v>
      </c>
      <c r="G12" s="58">
        <v>2.6131000000000002</v>
      </c>
      <c r="H12" s="64">
        <f t="shared" si="2"/>
        <v>1500.0000000000568</v>
      </c>
      <c r="I12" s="58">
        <v>1.2657</v>
      </c>
      <c r="J12" s="64">
        <f t="shared" si="3"/>
        <v>800.00000000013392</v>
      </c>
      <c r="K12" s="58">
        <v>1.9711000000000001</v>
      </c>
      <c r="L12" s="64">
        <f t="shared" si="4"/>
        <v>1600.0000000000459</v>
      </c>
      <c r="M12" s="58">
        <v>1.2178</v>
      </c>
      <c r="N12" s="64">
        <f t="shared" si="5"/>
        <v>499.99999999994492</v>
      </c>
      <c r="O12" s="58">
        <v>12602</v>
      </c>
      <c r="P12" s="67">
        <f t="shared" si="44"/>
        <v>1</v>
      </c>
      <c r="Q12" s="58">
        <v>5563</v>
      </c>
      <c r="R12" s="67">
        <f t="shared" si="6"/>
        <v>3</v>
      </c>
      <c r="S12" s="58">
        <v>838119.1</v>
      </c>
      <c r="T12" s="67">
        <f t="shared" si="7"/>
        <v>235.69999999995343</v>
      </c>
      <c r="U12" s="58">
        <v>341674.3</v>
      </c>
      <c r="V12" s="67">
        <f t="shared" si="8"/>
        <v>118.20000000001164</v>
      </c>
      <c r="W12" s="58">
        <v>335.18</v>
      </c>
      <c r="X12" s="65">
        <f t="shared" si="9"/>
        <v>69.999999999993179</v>
      </c>
      <c r="Y12" s="58">
        <v>2.4066999999999998</v>
      </c>
      <c r="Z12" s="65">
        <f t="shared" si="10"/>
        <v>399.99999999995595</v>
      </c>
      <c r="AA12" s="58">
        <v>329.28</v>
      </c>
      <c r="AB12" s="65">
        <f t="shared" si="11"/>
        <v>59.99999999994543</v>
      </c>
      <c r="AC12" s="58">
        <v>312.42</v>
      </c>
      <c r="AD12" s="65">
        <f t="shared" si="12"/>
        <v>110.00000000001364</v>
      </c>
      <c r="AE12" s="58">
        <v>488.93</v>
      </c>
      <c r="AF12" s="65">
        <f t="shared" si="13"/>
        <v>170.00000000001592</v>
      </c>
      <c r="AG12" s="58">
        <v>1280.2</v>
      </c>
      <c r="AH12" s="67">
        <f t="shared" si="14"/>
        <v>1</v>
      </c>
      <c r="AI12" s="58">
        <v>431</v>
      </c>
      <c r="AJ12" s="65">
        <f t="shared" si="15"/>
        <v>209.99999999997954</v>
      </c>
      <c r="AK12" s="58">
        <v>151.69</v>
      </c>
      <c r="AL12" s="65">
        <f t="shared" si="15"/>
        <v>30.000000000001137</v>
      </c>
      <c r="AM12" s="58">
        <v>151.22999999999999</v>
      </c>
      <c r="AN12" s="65">
        <f t="shared" si="15"/>
        <v>30.000000000001137</v>
      </c>
      <c r="AO12" s="58">
        <v>147.63999999999999</v>
      </c>
      <c r="AP12" s="65">
        <f t="shared" si="15"/>
        <v>29.999999999972715</v>
      </c>
      <c r="AQ12" s="58">
        <v>218.72</v>
      </c>
      <c r="AR12" s="65">
        <f t="shared" si="16"/>
        <v>20.000000000010232</v>
      </c>
      <c r="AS12" s="58">
        <v>345.03</v>
      </c>
      <c r="AT12" s="65">
        <f t="shared" si="17"/>
        <v>9.9999999999909051</v>
      </c>
      <c r="AU12" s="58">
        <v>266.14999999999998</v>
      </c>
      <c r="AV12" s="65">
        <f t="shared" si="18"/>
        <v>19.99999999998181</v>
      </c>
      <c r="AW12" s="58">
        <v>293.69</v>
      </c>
      <c r="AX12" s="65">
        <f t="shared" si="19"/>
        <v>9.9999999999909051</v>
      </c>
      <c r="AY12" s="58">
        <v>344.99</v>
      </c>
      <c r="AZ12" s="65">
        <f t="shared" si="20"/>
        <v>19.99999999998181</v>
      </c>
      <c r="BA12" s="58">
        <v>364.77</v>
      </c>
      <c r="BB12" s="65">
        <f t="shared" si="21"/>
        <v>19.99999999998181</v>
      </c>
      <c r="BC12" s="58">
        <v>231.44</v>
      </c>
      <c r="BD12" s="65">
        <f t="shared" si="22"/>
        <v>9.9999999999909051</v>
      </c>
      <c r="BE12" s="59">
        <v>29785</v>
      </c>
      <c r="BF12" s="67">
        <f t="shared" si="39"/>
        <v>21</v>
      </c>
      <c r="BG12" s="60">
        <v>225.26</v>
      </c>
      <c r="BH12" s="65">
        <f t="shared" si="23"/>
        <v>19.99999999998181</v>
      </c>
      <c r="BI12" s="60">
        <v>283.14</v>
      </c>
      <c r="BJ12" s="65">
        <f t="shared" si="40"/>
        <v>19.99999999998181</v>
      </c>
      <c r="BK12" s="60">
        <v>230.73</v>
      </c>
      <c r="BL12" s="65">
        <f t="shared" si="24"/>
        <v>9.9999999999909051</v>
      </c>
      <c r="BM12" s="60">
        <v>214.18</v>
      </c>
      <c r="BN12" s="65">
        <f t="shared" si="25"/>
        <v>30.000000000001137</v>
      </c>
      <c r="BO12" s="60">
        <v>279.04000000000002</v>
      </c>
      <c r="BP12" s="65">
        <f t="shared" si="26"/>
        <v>30.000000000029559</v>
      </c>
      <c r="BQ12" s="60">
        <v>39122</v>
      </c>
      <c r="BR12" s="65">
        <f t="shared" si="27"/>
        <v>12</v>
      </c>
      <c r="BS12" s="60">
        <v>193.5</v>
      </c>
      <c r="BT12" s="65">
        <f t="shared" si="43"/>
        <v>0</v>
      </c>
      <c r="BU12" s="60">
        <v>30271</v>
      </c>
      <c r="BV12" s="65">
        <f t="shared" si="29"/>
        <v>9</v>
      </c>
      <c r="BW12" s="60">
        <v>224.26</v>
      </c>
      <c r="BX12" s="65">
        <f t="shared" si="30"/>
        <v>19.99999999998181</v>
      </c>
      <c r="BY12" s="60">
        <v>49221</v>
      </c>
      <c r="BZ12" s="67">
        <f t="shared" si="31"/>
        <v>9</v>
      </c>
      <c r="CA12" s="60">
        <v>27508.400000000001</v>
      </c>
      <c r="CB12" s="67">
        <f t="shared" si="32"/>
        <v>0</v>
      </c>
      <c r="CC12" s="60">
        <v>11251.4</v>
      </c>
      <c r="CD12" s="67">
        <f t="shared" si="33"/>
        <v>0</v>
      </c>
      <c r="CE12" s="60">
        <v>5488.9</v>
      </c>
      <c r="CF12" s="67">
        <f t="shared" si="34"/>
        <v>0</v>
      </c>
      <c r="CG12" s="60">
        <v>47411.9</v>
      </c>
      <c r="CH12" s="67">
        <f t="shared" si="35"/>
        <v>39.30000000000291</v>
      </c>
      <c r="CI12" s="60">
        <v>864179</v>
      </c>
      <c r="CJ12" s="67">
        <f t="shared" si="36"/>
        <v>203</v>
      </c>
      <c r="CK12" s="60">
        <v>582.26</v>
      </c>
      <c r="CL12" s="64">
        <f t="shared" si="37"/>
        <v>389.99999999998636</v>
      </c>
      <c r="CM12" s="65">
        <f t="shared" si="41"/>
        <v>25.2</v>
      </c>
      <c r="CN12" s="62">
        <v>0</v>
      </c>
      <c r="CO12" s="62">
        <v>0</v>
      </c>
      <c r="CP12" s="68">
        <v>25.2</v>
      </c>
      <c r="CQ12" s="67">
        <f>IF((CP12-CP11&lt;0), "",CP12-CP11)</f>
        <v>17.2</v>
      </c>
      <c r="CR12" s="68">
        <v>9645</v>
      </c>
      <c r="CS12" s="67">
        <f t="shared" si="38"/>
        <v>8</v>
      </c>
      <c r="CT12" s="75">
        <v>2105</v>
      </c>
      <c r="CU12" s="67">
        <f t="shared" si="38"/>
        <v>13</v>
      </c>
      <c r="CV12" s="68">
        <v>5347</v>
      </c>
      <c r="CW12" s="67">
        <f t="shared" si="38"/>
        <v>23</v>
      </c>
    </row>
    <row r="13" spans="1:102" ht="25.5" customHeight="1" thickBot="1" x14ac:dyDescent="0.45">
      <c r="A13" s="63">
        <v>44022</v>
      </c>
      <c r="B13" s="44"/>
      <c r="C13" s="58">
        <v>1.7406999999999999</v>
      </c>
      <c r="D13" s="64">
        <f t="shared" si="0"/>
        <v>699.99999999992292</v>
      </c>
      <c r="E13" s="58">
        <v>2.7332999999999998</v>
      </c>
      <c r="F13" s="64">
        <f t="shared" si="1"/>
        <v>599.99999999993395</v>
      </c>
      <c r="G13" s="58">
        <v>2.6145999999999998</v>
      </c>
      <c r="H13" s="64">
        <f t="shared" si="2"/>
        <v>1499.9999999996128</v>
      </c>
      <c r="I13" s="58">
        <v>1.2664</v>
      </c>
      <c r="J13" s="64">
        <f t="shared" si="3"/>
        <v>699.99999999992292</v>
      </c>
      <c r="K13" s="58">
        <v>1.9728000000000001</v>
      </c>
      <c r="L13" s="64">
        <f t="shared" si="4"/>
        <v>1700.0000000000348</v>
      </c>
      <c r="M13" s="58">
        <v>1.2181999999999999</v>
      </c>
      <c r="N13" s="64">
        <f t="shared" si="5"/>
        <v>399.99999999995595</v>
      </c>
      <c r="O13" s="58">
        <v>12602</v>
      </c>
      <c r="P13" s="67">
        <f t="shared" si="44"/>
        <v>0</v>
      </c>
      <c r="Q13" s="58">
        <v>5566</v>
      </c>
      <c r="R13" s="67">
        <f t="shared" si="6"/>
        <v>3</v>
      </c>
      <c r="S13" s="58">
        <v>838290.1</v>
      </c>
      <c r="T13" s="67">
        <f t="shared" si="7"/>
        <v>171</v>
      </c>
      <c r="U13" s="58">
        <v>341715.6</v>
      </c>
      <c r="V13" s="67">
        <f t="shared" si="8"/>
        <v>41.299999999988358</v>
      </c>
      <c r="W13" s="58">
        <v>335.25</v>
      </c>
      <c r="X13" s="65">
        <f t="shared" si="9"/>
        <v>69.999999999993179</v>
      </c>
      <c r="Y13" s="58">
        <v>2.4070999999999998</v>
      </c>
      <c r="Z13" s="65">
        <f t="shared" si="10"/>
        <v>399.99999999995595</v>
      </c>
      <c r="AA13" s="58">
        <v>329.34</v>
      </c>
      <c r="AB13" s="65">
        <f t="shared" si="11"/>
        <v>60.000000000002274</v>
      </c>
      <c r="AC13" s="58">
        <v>312.54000000000002</v>
      </c>
      <c r="AD13" s="65">
        <f t="shared" si="12"/>
        <v>120.00000000000455</v>
      </c>
      <c r="AE13" s="58">
        <v>489.08</v>
      </c>
      <c r="AF13" s="65">
        <f t="shared" si="13"/>
        <v>149.99999999997726</v>
      </c>
      <c r="AG13" s="58">
        <v>1281.7</v>
      </c>
      <c r="AH13" s="67">
        <f t="shared" si="14"/>
        <v>1.5</v>
      </c>
      <c r="AI13" s="58">
        <v>431.19</v>
      </c>
      <c r="AJ13" s="65">
        <f t="shared" si="15"/>
        <v>189.99999999999773</v>
      </c>
      <c r="AK13" s="58">
        <v>151.72</v>
      </c>
      <c r="AL13" s="65">
        <f t="shared" si="15"/>
        <v>30.000000000001137</v>
      </c>
      <c r="AM13" s="58">
        <v>151.27000000000001</v>
      </c>
      <c r="AN13" s="65">
        <f t="shared" si="15"/>
        <v>40.000000000020464</v>
      </c>
      <c r="AO13" s="58">
        <v>147.66</v>
      </c>
      <c r="AP13" s="65">
        <f t="shared" si="15"/>
        <v>20.000000000010232</v>
      </c>
      <c r="AQ13" s="58">
        <v>218.75</v>
      </c>
      <c r="AR13" s="65">
        <f t="shared" si="16"/>
        <v>30.000000000001137</v>
      </c>
      <c r="AS13" s="58">
        <v>345.06</v>
      </c>
      <c r="AT13" s="65">
        <f t="shared" si="17"/>
        <v>30.000000000029559</v>
      </c>
      <c r="AU13" s="58">
        <v>266.19</v>
      </c>
      <c r="AV13" s="65">
        <f t="shared" si="18"/>
        <v>40.000000000020464</v>
      </c>
      <c r="AW13" s="58">
        <v>293.70999999999998</v>
      </c>
      <c r="AX13" s="65">
        <f t="shared" si="19"/>
        <v>19.99999999998181</v>
      </c>
      <c r="AY13" s="58">
        <v>345.01</v>
      </c>
      <c r="AZ13" s="65">
        <f t="shared" si="20"/>
        <v>19.99999999998181</v>
      </c>
      <c r="BA13" s="58">
        <v>364.78</v>
      </c>
      <c r="BB13" s="65">
        <f t="shared" si="21"/>
        <v>9.9999999999909051</v>
      </c>
      <c r="BC13" s="58">
        <v>231.46</v>
      </c>
      <c r="BD13" s="65">
        <f t="shared" si="22"/>
        <v>20.000000000010232</v>
      </c>
      <c r="BE13" s="59">
        <v>29803</v>
      </c>
      <c r="BF13" s="67">
        <f t="shared" si="39"/>
        <v>18</v>
      </c>
      <c r="BG13" s="60">
        <v>225.27</v>
      </c>
      <c r="BH13" s="65">
        <f t="shared" si="23"/>
        <v>10.000000000019327</v>
      </c>
      <c r="BI13" s="60">
        <v>283.14999999999998</v>
      </c>
      <c r="BJ13" s="65">
        <f t="shared" si="40"/>
        <v>9.9999999999909051</v>
      </c>
      <c r="BK13" s="60">
        <v>230.74</v>
      </c>
      <c r="BL13" s="65">
        <f t="shared" si="24"/>
        <v>10.000000000019327</v>
      </c>
      <c r="BM13" s="60">
        <v>214.22</v>
      </c>
      <c r="BN13" s="65">
        <f t="shared" si="25"/>
        <v>39.999999999992042</v>
      </c>
      <c r="BO13" s="60">
        <v>279.06</v>
      </c>
      <c r="BP13" s="65">
        <f t="shared" si="26"/>
        <v>19.99999999998181</v>
      </c>
      <c r="BQ13" s="60">
        <v>39135</v>
      </c>
      <c r="BR13" s="65">
        <f t="shared" si="27"/>
        <v>13</v>
      </c>
      <c r="BS13" s="60">
        <v>193.5</v>
      </c>
      <c r="BT13" s="65">
        <f t="shared" si="43"/>
        <v>0</v>
      </c>
      <c r="BU13" s="60">
        <v>30279</v>
      </c>
      <c r="BV13" s="65">
        <f t="shared" si="29"/>
        <v>8</v>
      </c>
      <c r="BW13" s="60">
        <v>224.27</v>
      </c>
      <c r="BX13" s="65">
        <f t="shared" si="30"/>
        <v>10.000000000019327</v>
      </c>
      <c r="BY13" s="60">
        <v>49233</v>
      </c>
      <c r="BZ13" s="67">
        <f t="shared" si="31"/>
        <v>12</v>
      </c>
      <c r="CA13" s="60">
        <v>27508.400000000001</v>
      </c>
      <c r="CB13" s="67">
        <f t="shared" si="32"/>
        <v>0</v>
      </c>
      <c r="CC13" s="60">
        <v>11251.4</v>
      </c>
      <c r="CD13" s="67">
        <f t="shared" si="33"/>
        <v>0</v>
      </c>
      <c r="CE13" s="60">
        <v>5488.9</v>
      </c>
      <c r="CF13" s="67">
        <f t="shared" si="34"/>
        <v>0</v>
      </c>
      <c r="CG13" s="60">
        <v>47455</v>
      </c>
      <c r="CH13" s="67">
        <f t="shared" si="35"/>
        <v>43.099999999998545</v>
      </c>
      <c r="CI13" s="60">
        <v>864379</v>
      </c>
      <c r="CJ13" s="67">
        <f t="shared" si="36"/>
        <v>200</v>
      </c>
      <c r="CK13" s="60">
        <v>582.58000000000004</v>
      </c>
      <c r="CL13" s="64">
        <f t="shared" si="37"/>
        <v>320.00000000005002</v>
      </c>
      <c r="CM13" s="65">
        <f t="shared" si="41"/>
        <v>24.7</v>
      </c>
      <c r="CN13" s="62">
        <v>0</v>
      </c>
      <c r="CO13" s="62">
        <v>0</v>
      </c>
      <c r="CP13" s="68">
        <v>43.9</v>
      </c>
      <c r="CQ13" s="67">
        <f>IF((CP13-CP12&lt;0), "",CP13-CP12)</f>
        <v>18.7</v>
      </c>
      <c r="CR13" s="68">
        <v>9651</v>
      </c>
      <c r="CS13" s="67">
        <f t="shared" si="38"/>
        <v>6</v>
      </c>
      <c r="CT13" s="75">
        <v>2117</v>
      </c>
      <c r="CU13" s="67">
        <f t="shared" si="38"/>
        <v>12</v>
      </c>
      <c r="CV13" s="68">
        <v>5370</v>
      </c>
      <c r="CW13" s="67">
        <f t="shared" si="38"/>
        <v>23</v>
      </c>
    </row>
    <row r="14" spans="1:102" ht="25.5" customHeight="1" thickBot="1" x14ac:dyDescent="0.45">
      <c r="A14" s="63">
        <v>44023</v>
      </c>
      <c r="B14" s="44"/>
      <c r="C14" s="58">
        <v>1.7413000000000001</v>
      </c>
      <c r="D14" s="64">
        <f t="shared" si="0"/>
        <v>600.00000000015598</v>
      </c>
      <c r="E14" s="58">
        <v>2.7338</v>
      </c>
      <c r="F14" s="64">
        <f t="shared" si="1"/>
        <v>500.00000000016701</v>
      </c>
      <c r="G14" s="58">
        <v>2.6162999999999998</v>
      </c>
      <c r="H14" s="64">
        <f t="shared" si="2"/>
        <v>1700.0000000000348</v>
      </c>
      <c r="I14" s="58">
        <v>1.2670999999999999</v>
      </c>
      <c r="J14" s="64">
        <f t="shared" si="3"/>
        <v>699.99999999992292</v>
      </c>
      <c r="K14" s="58">
        <v>1.9744999999999999</v>
      </c>
      <c r="L14" s="64">
        <f t="shared" si="4"/>
        <v>1699.9999999998129</v>
      </c>
      <c r="M14" s="58">
        <v>1.2185999999999999</v>
      </c>
      <c r="N14" s="64">
        <f t="shared" si="5"/>
        <v>399.99999999995595</v>
      </c>
      <c r="O14" s="58">
        <v>12602</v>
      </c>
      <c r="P14" s="67">
        <f t="shared" si="44"/>
        <v>0</v>
      </c>
      <c r="Q14" s="58">
        <v>5569</v>
      </c>
      <c r="R14" s="67">
        <f t="shared" si="6"/>
        <v>3</v>
      </c>
      <c r="S14" s="58">
        <v>838443.4</v>
      </c>
      <c r="T14" s="67">
        <f t="shared" si="7"/>
        <v>153.30000000004657</v>
      </c>
      <c r="U14" s="58">
        <v>341778.3</v>
      </c>
      <c r="V14" s="67">
        <f t="shared" si="8"/>
        <v>62.700000000011642</v>
      </c>
      <c r="W14" s="58">
        <v>335.32</v>
      </c>
      <c r="X14" s="65">
        <f t="shared" si="9"/>
        <v>69.999999999993179</v>
      </c>
      <c r="Y14" s="58">
        <v>2.4074</v>
      </c>
      <c r="Z14" s="65">
        <f t="shared" si="10"/>
        <v>300.000000000189</v>
      </c>
      <c r="AA14" s="58">
        <v>329.4</v>
      </c>
      <c r="AB14" s="65">
        <f t="shared" si="11"/>
        <v>60.000000000002274</v>
      </c>
      <c r="AC14" s="58">
        <v>312.64999999999998</v>
      </c>
      <c r="AD14" s="65">
        <f t="shared" si="12"/>
        <v>109.9999999999568</v>
      </c>
      <c r="AE14" s="58">
        <v>489.26</v>
      </c>
      <c r="AF14" s="65">
        <f t="shared" si="13"/>
        <v>180.00000000000682</v>
      </c>
      <c r="AG14" s="58">
        <v>1283.0999999999999</v>
      </c>
      <c r="AH14" s="67">
        <f t="shared" si="14"/>
        <v>1.3999999999998636</v>
      </c>
      <c r="AI14" s="58">
        <v>431.41</v>
      </c>
      <c r="AJ14" s="65">
        <f t="shared" si="15"/>
        <v>220.00000000002728</v>
      </c>
      <c r="AK14" s="58">
        <v>151.76</v>
      </c>
      <c r="AL14" s="65">
        <f t="shared" si="15"/>
        <v>39.999999999992042</v>
      </c>
      <c r="AM14" s="58">
        <v>151.30000000000001</v>
      </c>
      <c r="AN14" s="65">
        <f t="shared" si="15"/>
        <v>30.000000000001137</v>
      </c>
      <c r="AO14" s="58">
        <v>147.69</v>
      </c>
      <c r="AP14" s="65">
        <f t="shared" si="15"/>
        <v>30.000000000001137</v>
      </c>
      <c r="AQ14" s="58">
        <v>218.77</v>
      </c>
      <c r="AR14" s="65">
        <f t="shared" si="16"/>
        <v>20.000000000010232</v>
      </c>
      <c r="AS14" s="58">
        <v>345.08</v>
      </c>
      <c r="AT14" s="65">
        <f t="shared" si="17"/>
        <v>19.99999999998181</v>
      </c>
      <c r="AU14" s="58">
        <v>266.20999999999998</v>
      </c>
      <c r="AV14" s="65">
        <f t="shared" si="18"/>
        <v>19.99999999998181</v>
      </c>
      <c r="AW14" s="58">
        <v>293.73</v>
      </c>
      <c r="AX14" s="65">
        <f t="shared" si="19"/>
        <v>20.000000000038654</v>
      </c>
      <c r="AY14" s="58">
        <v>345.03</v>
      </c>
      <c r="AZ14" s="65">
        <f t="shared" si="20"/>
        <v>19.99999999998181</v>
      </c>
      <c r="BA14" s="58">
        <v>364.8</v>
      </c>
      <c r="BB14" s="65">
        <f t="shared" si="21"/>
        <v>20.000000000038654</v>
      </c>
      <c r="BC14" s="58">
        <v>231.48</v>
      </c>
      <c r="BD14" s="65">
        <f t="shared" si="22"/>
        <v>19.99999999998181</v>
      </c>
      <c r="BE14" s="59">
        <v>29825</v>
      </c>
      <c r="BF14" s="67">
        <f t="shared" si="39"/>
        <v>22</v>
      </c>
      <c r="BG14" s="60">
        <v>225.28</v>
      </c>
      <c r="BH14" s="65">
        <f t="shared" si="23"/>
        <v>9.9999999999909051</v>
      </c>
      <c r="BI14" s="60">
        <v>283.16000000000003</v>
      </c>
      <c r="BJ14" s="65">
        <f t="shared" si="40"/>
        <v>10.000000000047748</v>
      </c>
      <c r="BK14" s="60">
        <v>230.74</v>
      </c>
      <c r="BL14" s="65">
        <f t="shared" si="24"/>
        <v>0</v>
      </c>
      <c r="BM14" s="60">
        <v>214.24</v>
      </c>
      <c r="BN14" s="65">
        <f t="shared" si="25"/>
        <v>20.000000000010232</v>
      </c>
      <c r="BO14" s="60">
        <v>279.07</v>
      </c>
      <c r="BP14" s="65">
        <f t="shared" si="26"/>
        <v>9.9999999999909051</v>
      </c>
      <c r="BQ14" s="60">
        <v>39147</v>
      </c>
      <c r="BR14" s="65">
        <f t="shared" si="27"/>
        <v>12</v>
      </c>
      <c r="BS14" s="60">
        <v>193.51</v>
      </c>
      <c r="BT14" s="65">
        <f t="shared" si="43"/>
        <v>9.9999999999909051</v>
      </c>
      <c r="BU14" s="60">
        <v>30305</v>
      </c>
      <c r="BV14" s="65">
        <f t="shared" si="29"/>
        <v>26</v>
      </c>
      <c r="BW14" s="60">
        <v>224.28</v>
      </c>
      <c r="BX14" s="65">
        <f t="shared" si="30"/>
        <v>9.9999999999909051</v>
      </c>
      <c r="BY14" s="60">
        <v>49242</v>
      </c>
      <c r="BZ14" s="67">
        <f t="shared" si="31"/>
        <v>9</v>
      </c>
      <c r="CA14" s="60">
        <v>27508.400000000001</v>
      </c>
      <c r="CB14" s="67">
        <f t="shared" si="32"/>
        <v>0</v>
      </c>
      <c r="CC14" s="60">
        <v>11251.4</v>
      </c>
      <c r="CD14" s="67">
        <f t="shared" si="33"/>
        <v>0</v>
      </c>
      <c r="CE14" s="60">
        <v>5488.9</v>
      </c>
      <c r="CF14" s="67">
        <f t="shared" si="34"/>
        <v>0</v>
      </c>
      <c r="CG14" s="60">
        <v>47471.9</v>
      </c>
      <c r="CH14" s="67">
        <f t="shared" si="35"/>
        <v>16.900000000001455</v>
      </c>
      <c r="CI14" s="60">
        <v>864582</v>
      </c>
      <c r="CJ14" s="67">
        <f t="shared" si="36"/>
        <v>203</v>
      </c>
      <c r="CK14" s="60">
        <v>583.04999999999995</v>
      </c>
      <c r="CL14" s="64">
        <f t="shared" si="37"/>
        <v>469.9999999999136</v>
      </c>
      <c r="CM14" s="65">
        <f t="shared" si="41"/>
        <v>18.300000000000004</v>
      </c>
      <c r="CN14" s="62">
        <v>0</v>
      </c>
      <c r="CO14" s="62">
        <v>0</v>
      </c>
      <c r="CP14" s="68">
        <v>56.2</v>
      </c>
      <c r="CQ14" s="67">
        <f t="shared" si="38"/>
        <v>12.300000000000004</v>
      </c>
      <c r="CR14" s="68">
        <v>9657</v>
      </c>
      <c r="CS14" s="67">
        <f t="shared" si="38"/>
        <v>6</v>
      </c>
      <c r="CT14" s="75">
        <v>2130</v>
      </c>
      <c r="CU14" s="67">
        <f t="shared" si="38"/>
        <v>13</v>
      </c>
      <c r="CV14" s="68">
        <v>5402</v>
      </c>
      <c r="CW14" s="67">
        <f t="shared" si="38"/>
        <v>32</v>
      </c>
    </row>
    <row r="15" spans="1:102" ht="25.5" customHeight="1" thickBot="1" x14ac:dyDescent="0.45">
      <c r="A15" s="63">
        <v>44024</v>
      </c>
      <c r="B15" s="44"/>
      <c r="C15" s="58">
        <v>1.7418</v>
      </c>
      <c r="D15" s="64">
        <f t="shared" si="0"/>
        <v>499.99999999994492</v>
      </c>
      <c r="E15" s="58">
        <v>2.7343999999999999</v>
      </c>
      <c r="F15" s="64">
        <f t="shared" si="1"/>
        <v>599.99999999993395</v>
      </c>
      <c r="G15" s="58">
        <v>2.6173999999999999</v>
      </c>
      <c r="H15" s="64">
        <f t="shared" si="2"/>
        <v>1100.000000000101</v>
      </c>
      <c r="I15" s="58">
        <v>1.2678</v>
      </c>
      <c r="J15" s="64">
        <f t="shared" si="3"/>
        <v>700.00000000014495</v>
      </c>
      <c r="K15" s="58">
        <v>1.976</v>
      </c>
      <c r="L15" s="64">
        <f t="shared" si="4"/>
        <v>1500.0000000000568</v>
      </c>
      <c r="M15" s="58">
        <v>1.2190000000000001</v>
      </c>
      <c r="N15" s="64">
        <f t="shared" si="5"/>
        <v>400.00000000017798</v>
      </c>
      <c r="O15" s="58">
        <v>12605</v>
      </c>
      <c r="P15" s="67">
        <f t="shared" si="44"/>
        <v>3</v>
      </c>
      <c r="Q15" s="58">
        <v>5572</v>
      </c>
      <c r="R15" s="67">
        <f t="shared" si="6"/>
        <v>3</v>
      </c>
      <c r="S15" s="58">
        <v>838534.3</v>
      </c>
      <c r="T15" s="67">
        <f t="shared" si="7"/>
        <v>90.900000000023283</v>
      </c>
      <c r="U15" s="58">
        <v>341822.4</v>
      </c>
      <c r="V15" s="67">
        <f t="shared" si="8"/>
        <v>44.100000000034925</v>
      </c>
      <c r="W15" s="58">
        <v>335.38</v>
      </c>
      <c r="X15" s="65">
        <f t="shared" si="9"/>
        <v>60.000000000002274</v>
      </c>
      <c r="Y15" s="58">
        <v>2.4077999999999999</v>
      </c>
      <c r="Z15" s="65">
        <f t="shared" si="10"/>
        <v>399.99999999995595</v>
      </c>
      <c r="AA15" s="58">
        <v>329.45</v>
      </c>
      <c r="AB15" s="65">
        <f t="shared" si="11"/>
        <v>50.000000000011369</v>
      </c>
      <c r="AC15" s="58">
        <v>312.76</v>
      </c>
      <c r="AD15" s="65">
        <f t="shared" si="12"/>
        <v>110.00000000001364</v>
      </c>
      <c r="AE15" s="58">
        <v>489.39</v>
      </c>
      <c r="AF15" s="65">
        <f t="shared" si="13"/>
        <v>129.99999999999545</v>
      </c>
      <c r="AG15" s="58">
        <v>1284.2</v>
      </c>
      <c r="AH15" s="67">
        <f t="shared" si="14"/>
        <v>1.1000000000001364</v>
      </c>
      <c r="AI15" s="58">
        <v>431.58</v>
      </c>
      <c r="AJ15" s="65">
        <f t="shared" si="15"/>
        <v>169.99999999995907</v>
      </c>
      <c r="AK15" s="58">
        <v>151.78</v>
      </c>
      <c r="AL15" s="65">
        <f t="shared" si="15"/>
        <v>20.000000000010232</v>
      </c>
      <c r="AM15" s="58">
        <v>151.33000000000001</v>
      </c>
      <c r="AN15" s="65">
        <f t="shared" si="15"/>
        <v>30.000000000001137</v>
      </c>
      <c r="AO15" s="58">
        <v>147.71</v>
      </c>
      <c r="AP15" s="65">
        <f t="shared" si="15"/>
        <v>20.000000000010232</v>
      </c>
      <c r="AQ15" s="58">
        <v>218.78</v>
      </c>
      <c r="AR15" s="65">
        <f t="shared" si="16"/>
        <v>9.9999999999909051</v>
      </c>
      <c r="AS15" s="58">
        <v>345.1</v>
      </c>
      <c r="AT15" s="65">
        <f t="shared" si="17"/>
        <v>20.000000000038654</v>
      </c>
      <c r="AU15" s="58">
        <v>266.23</v>
      </c>
      <c r="AV15" s="65">
        <f t="shared" si="18"/>
        <v>20.000000000038654</v>
      </c>
      <c r="AW15" s="58">
        <v>293.75</v>
      </c>
      <c r="AX15" s="65">
        <f t="shared" si="19"/>
        <v>19.99999999998181</v>
      </c>
      <c r="AY15" s="58">
        <v>345.04</v>
      </c>
      <c r="AZ15" s="65">
        <f t="shared" si="20"/>
        <v>10.000000000047748</v>
      </c>
      <c r="BA15" s="58">
        <v>364.81</v>
      </c>
      <c r="BB15" s="65">
        <f t="shared" si="21"/>
        <v>9.9999999999909051</v>
      </c>
      <c r="BC15" s="58">
        <v>231.5</v>
      </c>
      <c r="BD15" s="65">
        <f t="shared" si="22"/>
        <v>20.000000000010232</v>
      </c>
      <c r="BE15" s="59">
        <v>29843</v>
      </c>
      <c r="BF15" s="67">
        <f t="shared" si="39"/>
        <v>18</v>
      </c>
      <c r="BG15" s="60">
        <v>225.29</v>
      </c>
      <c r="BH15" s="65">
        <f t="shared" si="23"/>
        <v>9.9999999999909051</v>
      </c>
      <c r="BI15" s="60">
        <v>283.17</v>
      </c>
      <c r="BJ15" s="65">
        <f t="shared" si="40"/>
        <v>9.9999999999909051</v>
      </c>
      <c r="BK15" s="60">
        <v>230.74</v>
      </c>
      <c r="BL15" s="65">
        <f t="shared" si="24"/>
        <v>0</v>
      </c>
      <c r="BM15" s="60">
        <v>214.25</v>
      </c>
      <c r="BN15" s="65">
        <f t="shared" si="25"/>
        <v>9.9999999999909051</v>
      </c>
      <c r="BO15" s="60">
        <v>279.08999999999997</v>
      </c>
      <c r="BP15" s="65">
        <f t="shared" si="26"/>
        <v>19.99999999998181</v>
      </c>
      <c r="BQ15" s="60">
        <v>39160</v>
      </c>
      <c r="BR15" s="65">
        <f t="shared" si="27"/>
        <v>13</v>
      </c>
      <c r="BS15" s="60">
        <v>193.51</v>
      </c>
      <c r="BT15" s="65">
        <f t="shared" si="43"/>
        <v>0</v>
      </c>
      <c r="BU15" s="60">
        <v>30333</v>
      </c>
      <c r="BV15" s="65">
        <f t="shared" si="29"/>
        <v>28</v>
      </c>
      <c r="BW15" s="60">
        <v>224.3</v>
      </c>
      <c r="BX15" s="65">
        <f t="shared" si="30"/>
        <v>20.000000000010232</v>
      </c>
      <c r="BY15" s="60">
        <v>49254</v>
      </c>
      <c r="BZ15" s="67">
        <f t="shared" si="31"/>
        <v>12</v>
      </c>
      <c r="CA15" s="60">
        <v>27508.400000000001</v>
      </c>
      <c r="CB15" s="67">
        <f t="shared" si="32"/>
        <v>0</v>
      </c>
      <c r="CC15" s="60">
        <v>11251.4</v>
      </c>
      <c r="CD15" s="67">
        <f t="shared" si="33"/>
        <v>0</v>
      </c>
      <c r="CE15" s="60">
        <v>5488.9</v>
      </c>
      <c r="CF15" s="67">
        <f t="shared" si="34"/>
        <v>0</v>
      </c>
      <c r="CG15" s="60">
        <v>47508.2</v>
      </c>
      <c r="CH15" s="67">
        <f t="shared" si="35"/>
        <v>36.299999999995634</v>
      </c>
      <c r="CI15" s="60">
        <v>864756</v>
      </c>
      <c r="CJ15" s="67">
        <f t="shared" si="36"/>
        <v>174</v>
      </c>
      <c r="CK15" s="60">
        <v>583.29</v>
      </c>
      <c r="CL15" s="64">
        <f t="shared" si="37"/>
        <v>240.00000000000909</v>
      </c>
      <c r="CM15" s="65">
        <f t="shared" si="41"/>
        <v>8</v>
      </c>
      <c r="CN15" s="62">
        <v>0</v>
      </c>
      <c r="CO15" s="62">
        <v>0</v>
      </c>
      <c r="CP15" s="68">
        <v>60.2</v>
      </c>
      <c r="CQ15" s="67">
        <f t="shared" si="38"/>
        <v>4</v>
      </c>
      <c r="CR15" s="68">
        <v>9661</v>
      </c>
      <c r="CS15" s="67">
        <f t="shared" si="38"/>
        <v>4</v>
      </c>
      <c r="CT15" s="75">
        <v>2140</v>
      </c>
      <c r="CU15" s="67">
        <f t="shared" si="38"/>
        <v>10</v>
      </c>
      <c r="CV15" s="68">
        <v>5420</v>
      </c>
      <c r="CW15" s="67">
        <f t="shared" si="38"/>
        <v>18</v>
      </c>
    </row>
    <row r="16" spans="1:102" ht="25.5" customHeight="1" thickBot="1" x14ac:dyDescent="0.45">
      <c r="A16" s="63">
        <v>44025</v>
      </c>
      <c r="B16" s="44"/>
      <c r="C16" s="58"/>
      <c r="D16" s="64" t="str">
        <f t="shared" si="0"/>
        <v>0</v>
      </c>
      <c r="E16" s="58"/>
      <c r="F16" s="64" t="str">
        <f t="shared" si="1"/>
        <v>0</v>
      </c>
      <c r="G16" s="58"/>
      <c r="H16" s="64" t="str">
        <f t="shared" si="2"/>
        <v>0</v>
      </c>
      <c r="I16" s="58"/>
      <c r="J16" s="64" t="str">
        <f t="shared" si="3"/>
        <v>0</v>
      </c>
      <c r="K16" s="58"/>
      <c r="L16" s="64" t="str">
        <f t="shared" si="4"/>
        <v>0</v>
      </c>
      <c r="M16" s="58"/>
      <c r="N16" s="64" t="str">
        <f t="shared" si="5"/>
        <v/>
      </c>
      <c r="O16" s="58"/>
      <c r="P16" s="67" t="str">
        <f t="shared" si="44"/>
        <v/>
      </c>
      <c r="Q16" s="58"/>
      <c r="R16" s="67" t="str">
        <f t="shared" si="6"/>
        <v/>
      </c>
      <c r="S16" s="58"/>
      <c r="T16" s="67" t="str">
        <f t="shared" si="7"/>
        <v/>
      </c>
      <c r="U16" s="58"/>
      <c r="V16" s="67" t="str">
        <f t="shared" si="8"/>
        <v/>
      </c>
      <c r="W16" s="58"/>
      <c r="X16" s="65" t="str">
        <f t="shared" si="9"/>
        <v/>
      </c>
      <c r="Y16" s="58"/>
      <c r="Z16" s="65" t="str">
        <f t="shared" si="10"/>
        <v/>
      </c>
      <c r="AA16" s="58"/>
      <c r="AB16" s="65" t="str">
        <f t="shared" si="11"/>
        <v/>
      </c>
      <c r="AC16" s="58"/>
      <c r="AD16" s="65" t="str">
        <f t="shared" si="12"/>
        <v/>
      </c>
      <c r="AE16" s="58"/>
      <c r="AF16" s="65" t="str">
        <f t="shared" si="13"/>
        <v/>
      </c>
      <c r="AG16" s="58"/>
      <c r="AH16" s="67" t="str">
        <f t="shared" si="14"/>
        <v/>
      </c>
      <c r="AI16" s="58"/>
      <c r="AJ16" s="65" t="str">
        <f t="shared" si="15"/>
        <v/>
      </c>
      <c r="AK16" s="58"/>
      <c r="AL16" s="65" t="str">
        <f t="shared" ref="AL16:AL34" si="45">IF((AK16-AK15&lt;0), "",AK16-AK15)</f>
        <v/>
      </c>
      <c r="AM16" s="58"/>
      <c r="AN16" s="65" t="str">
        <f t="shared" ref="AN16:AN34" si="46">IF((AM16-AM15&lt;0), "",AM16-AM15)</f>
        <v/>
      </c>
      <c r="AO16" s="58"/>
      <c r="AP16" s="65" t="str">
        <f t="shared" ref="AP16:AP34" si="47">IF((AO16-AO15&lt;0), "",AO16-AO15)</f>
        <v/>
      </c>
      <c r="AQ16" s="58"/>
      <c r="AR16" s="65" t="str">
        <f t="shared" si="16"/>
        <v/>
      </c>
      <c r="AS16" s="58"/>
      <c r="AT16" s="65" t="str">
        <f t="shared" si="17"/>
        <v/>
      </c>
      <c r="AU16" s="58"/>
      <c r="AV16" s="65" t="str">
        <f t="shared" si="18"/>
        <v/>
      </c>
      <c r="AW16" s="58"/>
      <c r="AX16" s="65" t="str">
        <f t="shared" si="19"/>
        <v/>
      </c>
      <c r="AY16" s="58"/>
      <c r="AZ16" s="65"/>
      <c r="BA16" s="58"/>
      <c r="BB16" s="65" t="str">
        <f t="shared" si="21"/>
        <v/>
      </c>
      <c r="BC16" s="58"/>
      <c r="BD16" s="65" t="str">
        <f t="shared" si="22"/>
        <v/>
      </c>
      <c r="BE16" s="59"/>
      <c r="BF16" s="67" t="str">
        <f t="shared" si="39"/>
        <v/>
      </c>
      <c r="BG16" s="60"/>
      <c r="BH16" s="65" t="str">
        <f t="shared" si="23"/>
        <v/>
      </c>
      <c r="BI16" s="60"/>
      <c r="BJ16" s="65" t="str">
        <f t="shared" si="40"/>
        <v/>
      </c>
      <c r="BK16" s="60"/>
      <c r="BL16" s="65" t="str">
        <f t="shared" si="24"/>
        <v/>
      </c>
      <c r="BM16" s="60"/>
      <c r="BN16" s="65" t="str">
        <f t="shared" si="25"/>
        <v/>
      </c>
      <c r="BO16" s="60"/>
      <c r="BP16" s="65" t="str">
        <f t="shared" si="26"/>
        <v/>
      </c>
      <c r="BQ16" s="60"/>
      <c r="BR16" s="65" t="str">
        <f t="shared" si="27"/>
        <v/>
      </c>
      <c r="BS16" s="60"/>
      <c r="BT16" s="65" t="str">
        <f t="shared" si="43"/>
        <v/>
      </c>
      <c r="BU16" s="60"/>
      <c r="BV16" s="65" t="str">
        <f t="shared" si="29"/>
        <v/>
      </c>
      <c r="BW16" s="60"/>
      <c r="BX16" s="65" t="str">
        <f t="shared" si="30"/>
        <v/>
      </c>
      <c r="BY16" s="60"/>
      <c r="BZ16" s="67" t="str">
        <f t="shared" si="31"/>
        <v/>
      </c>
      <c r="CA16" s="60"/>
      <c r="CB16" s="67" t="str">
        <f t="shared" si="32"/>
        <v/>
      </c>
      <c r="CC16" s="60"/>
      <c r="CD16" s="67" t="str">
        <f t="shared" si="33"/>
        <v/>
      </c>
      <c r="CE16" s="60"/>
      <c r="CF16" s="67" t="str">
        <f t="shared" si="34"/>
        <v/>
      </c>
      <c r="CG16" s="60"/>
      <c r="CH16" s="67" t="str">
        <f t="shared" si="35"/>
        <v/>
      </c>
      <c r="CI16" s="60"/>
      <c r="CJ16" s="67" t="str">
        <f t="shared" si="36"/>
        <v/>
      </c>
      <c r="CK16" s="60"/>
      <c r="CL16" s="64" t="str">
        <f t="shared" si="37"/>
        <v/>
      </c>
      <c r="CM16" s="65" t="e">
        <f t="shared" si="41"/>
        <v>#VALUE!</v>
      </c>
      <c r="CN16" s="62">
        <v>0</v>
      </c>
      <c r="CO16" s="62">
        <v>0</v>
      </c>
      <c r="CP16" s="68"/>
      <c r="CQ16" s="67" t="str">
        <f t="shared" si="38"/>
        <v/>
      </c>
      <c r="CR16" s="68"/>
      <c r="CS16" s="67" t="str">
        <f t="shared" si="38"/>
        <v/>
      </c>
      <c r="CT16" s="75"/>
      <c r="CU16" s="67" t="str">
        <f t="shared" si="38"/>
        <v/>
      </c>
      <c r="CV16" s="68"/>
      <c r="CW16" s="67" t="str">
        <f t="shared" si="38"/>
        <v/>
      </c>
    </row>
    <row r="17" spans="1:101" ht="25.5" customHeight="1" thickBot="1" x14ac:dyDescent="0.45">
      <c r="A17" s="63">
        <v>44026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45"/>
        <v>0</v>
      </c>
      <c r="AM17" s="58"/>
      <c r="AN17" s="65">
        <f t="shared" si="46"/>
        <v>0</v>
      </c>
      <c r="AO17" s="58"/>
      <c r="AP17" s="65">
        <f t="shared" si="47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3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44027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45"/>
        <v>0</v>
      </c>
      <c r="AM18" s="58"/>
      <c r="AN18" s="65">
        <f t="shared" si="46"/>
        <v>0</v>
      </c>
      <c r="AO18" s="58"/>
      <c r="AP18" s="65">
        <f t="shared" si="47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3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44028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45"/>
        <v>0</v>
      </c>
      <c r="AM19" s="58"/>
      <c r="AN19" s="65">
        <f t="shared" si="46"/>
        <v>0</v>
      </c>
      <c r="AO19" s="58"/>
      <c r="AP19" s="65">
        <f t="shared" si="47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3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44029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45"/>
        <v>0</v>
      </c>
      <c r="AM20" s="58"/>
      <c r="AN20" s="65">
        <f t="shared" si="46"/>
        <v>0</v>
      </c>
      <c r="AO20" s="58"/>
      <c r="AP20" s="65">
        <f t="shared" si="47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3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44030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45"/>
        <v>0</v>
      </c>
      <c r="AM21" s="58"/>
      <c r="AN21" s="65">
        <f t="shared" si="46"/>
        <v>0</v>
      </c>
      <c r="AO21" s="58"/>
      <c r="AP21" s="65">
        <f t="shared" si="47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3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44031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45"/>
        <v>0</v>
      </c>
      <c r="AM22" s="58"/>
      <c r="AN22" s="65">
        <f t="shared" si="46"/>
        <v>0</v>
      </c>
      <c r="AO22" s="58"/>
      <c r="AP22" s="65">
        <f t="shared" si="47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3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44032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45"/>
        <v>0</v>
      </c>
      <c r="AM23" s="58"/>
      <c r="AN23" s="65">
        <f t="shared" si="46"/>
        <v>0</v>
      </c>
      <c r="AO23" s="58"/>
      <c r="AP23" s="65">
        <f t="shared" si="47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3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44033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45"/>
        <v>0</v>
      </c>
      <c r="AM24" s="58"/>
      <c r="AN24" s="65">
        <f t="shared" si="46"/>
        <v>0</v>
      </c>
      <c r="AO24" s="58"/>
      <c r="AP24" s="65">
        <f t="shared" si="47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3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44034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45"/>
        <v>0</v>
      </c>
      <c r="AM25" s="58"/>
      <c r="AN25" s="65">
        <f t="shared" si="46"/>
        <v>0</v>
      </c>
      <c r="AO25" s="58"/>
      <c r="AP25" s="65">
        <f t="shared" si="47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3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44035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45"/>
        <v>0</v>
      </c>
      <c r="AM26" s="58"/>
      <c r="AN26" s="65">
        <f t="shared" si="46"/>
        <v>0</v>
      </c>
      <c r="AO26" s="58"/>
      <c r="AP26" s="65">
        <f t="shared" si="47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3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44036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45"/>
        <v>0</v>
      </c>
      <c r="AM27" s="58"/>
      <c r="AN27" s="65">
        <f t="shared" si="46"/>
        <v>0</v>
      </c>
      <c r="AO27" s="58"/>
      <c r="AP27" s="65">
        <f t="shared" si="47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3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44037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45"/>
        <v>0</v>
      </c>
      <c r="AM28" s="58"/>
      <c r="AN28" s="65">
        <f t="shared" si="46"/>
        <v>0</v>
      </c>
      <c r="AO28" s="58"/>
      <c r="AP28" s="65">
        <f t="shared" si="47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3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44038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45"/>
        <v>0</v>
      </c>
      <c r="AM29" s="58"/>
      <c r="AN29" s="65">
        <f t="shared" si="46"/>
        <v>0</v>
      </c>
      <c r="AO29" s="58"/>
      <c r="AP29" s="65">
        <f t="shared" si="47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3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44039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45"/>
        <v>0</v>
      </c>
      <c r="AM30" s="58"/>
      <c r="AN30" s="65">
        <f t="shared" si="46"/>
        <v>0</v>
      </c>
      <c r="AO30" s="58"/>
      <c r="AP30" s="65">
        <f t="shared" si="47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3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44040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45"/>
        <v>0</v>
      </c>
      <c r="AM31" s="58"/>
      <c r="AN31" s="65">
        <f t="shared" si="46"/>
        <v>0</v>
      </c>
      <c r="AO31" s="58"/>
      <c r="AP31" s="65">
        <f t="shared" si="47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3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44041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45"/>
        <v>0</v>
      </c>
      <c r="AM32" s="58"/>
      <c r="AN32" s="65">
        <f t="shared" si="46"/>
        <v>0</v>
      </c>
      <c r="AO32" s="58"/>
      <c r="AP32" s="65">
        <f t="shared" si="47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3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44042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45"/>
        <v>0</v>
      </c>
      <c r="AM33" s="58"/>
      <c r="AN33" s="65">
        <f t="shared" si="46"/>
        <v>0</v>
      </c>
      <c r="AO33" s="58"/>
      <c r="AP33" s="65">
        <f t="shared" si="47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3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44043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45"/>
        <v>0</v>
      </c>
      <c r="AM34" s="58"/>
      <c r="AN34" s="65">
        <f t="shared" si="46"/>
        <v>0</v>
      </c>
      <c r="AO34" s="58"/>
      <c r="AP34" s="65">
        <f t="shared" si="47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3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8">IF((CA34-CA33&lt;0), "",CA34-CA33)</f>
        <v>0</v>
      </c>
      <c r="CC34" s="60"/>
      <c r="CD34" s="67">
        <f t="shared" si="33"/>
        <v>0</v>
      </c>
      <c r="CE34" s="60"/>
      <c r="CF34" s="67">
        <f t="shared" ref="CF34" si="49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50">IF((BI35-BI34&lt;0), "",(BI35-BI34)*1000)</f>
        <v>0</v>
      </c>
      <c r="BL35" s="65">
        <f>IF((BK35-BK34&lt;0), "",(BK35-BK34)*1000)</f>
        <v>0</v>
      </c>
      <c r="BT35" s="65">
        <f t="shared" si="43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16" zoomScaleNormal="100" workbookViewId="0">
      <selection activeCell="S24" sqref="S2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96" t="s">
        <v>0</v>
      </c>
      <c r="B4" s="99" t="s">
        <v>52</v>
      </c>
      <c r="C4" s="99" t="s">
        <v>53</v>
      </c>
      <c r="D4" s="102" t="s">
        <v>54</v>
      </c>
      <c r="E4" s="85" t="s">
        <v>55</v>
      </c>
      <c r="F4" s="105"/>
      <c r="G4" s="105"/>
      <c r="H4" s="105"/>
      <c r="I4" s="105"/>
      <c r="J4" s="86"/>
      <c r="K4" s="93" t="s">
        <v>56</v>
      </c>
      <c r="L4" s="94"/>
      <c r="M4" s="95"/>
      <c r="N4" s="84" t="s">
        <v>35</v>
      </c>
      <c r="O4" s="84"/>
      <c r="P4" s="84"/>
      <c r="Q4" s="84"/>
    </row>
    <row r="5" spans="1:17" ht="33.75" customHeight="1" x14ac:dyDescent="0.25">
      <c r="A5" s="97"/>
      <c r="B5" s="100"/>
      <c r="C5" s="100"/>
      <c r="D5" s="103"/>
      <c r="E5" s="85" t="s">
        <v>57</v>
      </c>
      <c r="F5" s="86"/>
      <c r="G5" s="85" t="s">
        <v>58</v>
      </c>
      <c r="H5" s="86"/>
      <c r="I5" s="85" t="s">
        <v>59</v>
      </c>
      <c r="J5" s="86"/>
      <c r="K5" s="87" t="s">
        <v>60</v>
      </c>
      <c r="L5" s="88"/>
      <c r="M5" s="89"/>
      <c r="N5" s="90" t="s">
        <v>61</v>
      </c>
      <c r="O5" s="91"/>
      <c r="P5" s="91"/>
      <c r="Q5" s="92"/>
    </row>
    <row r="6" spans="1:17" x14ac:dyDescent="0.25">
      <c r="A6" s="98"/>
      <c r="B6" s="101"/>
      <c r="C6" s="101"/>
      <c r="D6" s="104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3">
        <v>44012</v>
      </c>
      <c r="B7" s="40">
        <v>0</v>
      </c>
      <c r="C7" s="40">
        <v>0</v>
      </c>
      <c r="D7" s="40">
        <v>0</v>
      </c>
      <c r="E7" s="41">
        <v>15</v>
      </c>
      <c r="F7" s="41">
        <v>4775</v>
      </c>
      <c r="G7" s="41">
        <v>0</v>
      </c>
      <c r="H7" s="41">
        <v>1374</v>
      </c>
      <c r="I7" s="41">
        <v>85</v>
      </c>
      <c r="J7" s="41">
        <v>273</v>
      </c>
      <c r="K7" s="42">
        <v>85</v>
      </c>
      <c r="L7" s="42">
        <v>45</v>
      </c>
      <c r="M7" s="42">
        <v>1152</v>
      </c>
      <c r="N7" s="39">
        <v>0</v>
      </c>
      <c r="O7" s="39">
        <v>0</v>
      </c>
      <c r="P7" s="39">
        <v>83</v>
      </c>
      <c r="Q7" s="39">
        <v>2621</v>
      </c>
    </row>
    <row r="8" spans="1:17" x14ac:dyDescent="0.25">
      <c r="A8" s="73">
        <v>44013</v>
      </c>
      <c r="B8" s="40">
        <v>0</v>
      </c>
      <c r="C8" s="40">
        <v>0</v>
      </c>
      <c r="D8" s="40">
        <v>0</v>
      </c>
      <c r="E8" s="41">
        <v>15</v>
      </c>
      <c r="F8" s="41">
        <v>4775</v>
      </c>
      <c r="G8" s="41">
        <v>0</v>
      </c>
      <c r="H8" s="41">
        <v>1374</v>
      </c>
      <c r="I8" s="41">
        <v>85</v>
      </c>
      <c r="J8" s="41">
        <v>273</v>
      </c>
      <c r="K8" s="42">
        <v>85</v>
      </c>
      <c r="L8" s="42">
        <v>45</v>
      </c>
      <c r="M8" s="42">
        <v>1152</v>
      </c>
      <c r="N8" s="39">
        <v>0</v>
      </c>
      <c r="O8" s="39">
        <v>0</v>
      </c>
      <c r="P8" s="39">
        <v>81</v>
      </c>
      <c r="Q8" s="39">
        <v>2624</v>
      </c>
    </row>
    <row r="9" spans="1:17" x14ac:dyDescent="0.25">
      <c r="A9" s="73">
        <v>44014</v>
      </c>
      <c r="B9" s="40">
        <v>0</v>
      </c>
      <c r="C9" s="40">
        <v>0</v>
      </c>
      <c r="D9" s="40">
        <v>0</v>
      </c>
      <c r="E9" s="41">
        <v>15</v>
      </c>
      <c r="F9" s="41">
        <v>4775</v>
      </c>
      <c r="G9" s="41">
        <v>0</v>
      </c>
      <c r="H9" s="41">
        <v>1374</v>
      </c>
      <c r="I9" s="41">
        <v>85</v>
      </c>
      <c r="J9" s="41">
        <v>273</v>
      </c>
      <c r="K9" s="42">
        <v>85</v>
      </c>
      <c r="L9" s="42">
        <v>45</v>
      </c>
      <c r="M9" s="42">
        <v>1152</v>
      </c>
      <c r="N9" s="39">
        <v>84</v>
      </c>
      <c r="O9" s="39">
        <v>87</v>
      </c>
      <c r="P9" s="39">
        <v>79</v>
      </c>
      <c r="Q9" s="39">
        <v>2627</v>
      </c>
    </row>
    <row r="10" spans="1:17" x14ac:dyDescent="0.25">
      <c r="A10" s="73">
        <v>44015</v>
      </c>
      <c r="B10" s="40">
        <v>0</v>
      </c>
      <c r="C10" s="40">
        <v>0</v>
      </c>
      <c r="D10" s="40">
        <v>0</v>
      </c>
      <c r="E10" s="41">
        <v>15</v>
      </c>
      <c r="F10" s="41">
        <v>4775</v>
      </c>
      <c r="G10" s="41">
        <v>0</v>
      </c>
      <c r="H10" s="41">
        <v>1374</v>
      </c>
      <c r="I10" s="41">
        <v>85</v>
      </c>
      <c r="J10" s="41">
        <v>273</v>
      </c>
      <c r="K10" s="42">
        <v>85</v>
      </c>
      <c r="L10" s="42">
        <v>45</v>
      </c>
      <c r="M10" s="42">
        <v>1152</v>
      </c>
      <c r="N10" s="39">
        <v>84</v>
      </c>
      <c r="O10" s="39">
        <v>87</v>
      </c>
      <c r="P10" s="39">
        <v>78</v>
      </c>
      <c r="Q10" s="39">
        <v>2630</v>
      </c>
    </row>
    <row r="11" spans="1:17" x14ac:dyDescent="0.25">
      <c r="A11" s="73">
        <v>44016</v>
      </c>
      <c r="B11" s="40">
        <v>0</v>
      </c>
      <c r="C11" s="40">
        <v>0</v>
      </c>
      <c r="D11" s="40">
        <v>0</v>
      </c>
      <c r="E11" s="41">
        <v>15</v>
      </c>
      <c r="F11" s="41">
        <v>4775</v>
      </c>
      <c r="G11" s="41">
        <v>0</v>
      </c>
      <c r="H11" s="41">
        <v>1374</v>
      </c>
      <c r="I11" s="41">
        <v>85</v>
      </c>
      <c r="J11" s="41">
        <v>273</v>
      </c>
      <c r="K11" s="42">
        <v>85</v>
      </c>
      <c r="L11" s="42">
        <v>45</v>
      </c>
      <c r="M11" s="42">
        <v>1152</v>
      </c>
      <c r="N11" s="39">
        <v>84</v>
      </c>
      <c r="O11" s="39">
        <v>87</v>
      </c>
      <c r="P11" s="39">
        <v>74</v>
      </c>
      <c r="Q11" s="39">
        <v>2632</v>
      </c>
    </row>
    <row r="12" spans="1:17" x14ac:dyDescent="0.25">
      <c r="A12" s="73">
        <v>44017</v>
      </c>
      <c r="B12" s="40">
        <v>0</v>
      </c>
      <c r="C12" s="40">
        <v>0</v>
      </c>
      <c r="D12" s="40">
        <v>0</v>
      </c>
      <c r="E12" s="41">
        <v>15</v>
      </c>
      <c r="F12" s="41">
        <v>4775</v>
      </c>
      <c r="G12" s="41">
        <v>0</v>
      </c>
      <c r="H12" s="41">
        <v>1374</v>
      </c>
      <c r="I12" s="41">
        <v>85</v>
      </c>
      <c r="J12" s="41">
        <v>273</v>
      </c>
      <c r="K12" s="42">
        <v>85</v>
      </c>
      <c r="L12" s="42">
        <v>45</v>
      </c>
      <c r="M12" s="42">
        <v>1152</v>
      </c>
      <c r="N12" s="39">
        <v>84</v>
      </c>
      <c r="O12" s="39">
        <v>87</v>
      </c>
      <c r="P12" s="39">
        <v>70</v>
      </c>
      <c r="Q12" s="39">
        <v>2635</v>
      </c>
    </row>
    <row r="13" spans="1:17" x14ac:dyDescent="0.25">
      <c r="A13" s="73">
        <v>44018</v>
      </c>
      <c r="B13" s="40">
        <v>0</v>
      </c>
      <c r="C13" s="40">
        <v>0</v>
      </c>
      <c r="D13" s="40">
        <v>0</v>
      </c>
      <c r="E13" s="41">
        <v>15</v>
      </c>
      <c r="F13" s="41">
        <v>4775</v>
      </c>
      <c r="G13" s="41">
        <v>0</v>
      </c>
      <c r="H13" s="41">
        <v>1374</v>
      </c>
      <c r="I13" s="41">
        <v>85</v>
      </c>
      <c r="J13" s="41">
        <v>273</v>
      </c>
      <c r="K13" s="42">
        <v>85</v>
      </c>
      <c r="L13" s="42">
        <v>45</v>
      </c>
      <c r="M13" s="42">
        <v>1152</v>
      </c>
      <c r="N13" s="39">
        <v>84</v>
      </c>
      <c r="O13" s="39">
        <v>87</v>
      </c>
      <c r="P13" s="39">
        <v>67</v>
      </c>
      <c r="Q13" s="39">
        <v>2639</v>
      </c>
    </row>
    <row r="14" spans="1:17" x14ac:dyDescent="0.25">
      <c r="A14" s="73">
        <v>44019</v>
      </c>
      <c r="B14" s="40">
        <v>0</v>
      </c>
      <c r="C14" s="40">
        <v>0</v>
      </c>
      <c r="D14" s="40">
        <v>0</v>
      </c>
      <c r="E14" s="41">
        <v>15</v>
      </c>
      <c r="F14" s="41">
        <v>4775</v>
      </c>
      <c r="G14" s="41">
        <v>0</v>
      </c>
      <c r="H14" s="41">
        <v>1374</v>
      </c>
      <c r="I14" s="41">
        <v>85</v>
      </c>
      <c r="J14" s="41">
        <v>273</v>
      </c>
      <c r="K14" s="42">
        <v>85</v>
      </c>
      <c r="L14" s="42">
        <v>45</v>
      </c>
      <c r="M14" s="42">
        <v>1152</v>
      </c>
      <c r="N14" s="39">
        <v>84</v>
      </c>
      <c r="O14" s="39">
        <v>87</v>
      </c>
      <c r="P14" s="39">
        <v>63</v>
      </c>
      <c r="Q14" s="39">
        <v>2642</v>
      </c>
    </row>
    <row r="15" spans="1:17" x14ac:dyDescent="0.25">
      <c r="A15" s="73">
        <v>44020</v>
      </c>
      <c r="B15" s="40">
        <v>0</v>
      </c>
      <c r="C15" s="40">
        <v>0</v>
      </c>
      <c r="D15" s="40">
        <v>0</v>
      </c>
      <c r="E15" s="41">
        <v>15</v>
      </c>
      <c r="F15" s="41">
        <v>4775</v>
      </c>
      <c r="G15" s="41">
        <v>0</v>
      </c>
      <c r="H15" s="41">
        <v>1374</v>
      </c>
      <c r="I15" s="41">
        <v>85</v>
      </c>
      <c r="J15" s="41">
        <v>273</v>
      </c>
      <c r="K15" s="42">
        <v>85</v>
      </c>
      <c r="L15" s="42">
        <v>45</v>
      </c>
      <c r="M15" s="42">
        <v>1152</v>
      </c>
      <c r="N15" s="39">
        <v>84</v>
      </c>
      <c r="O15" s="39">
        <v>87</v>
      </c>
      <c r="P15" s="39">
        <v>56</v>
      </c>
      <c r="Q15" s="39">
        <v>2646</v>
      </c>
    </row>
    <row r="16" spans="1:17" x14ac:dyDescent="0.25">
      <c r="A16" s="73">
        <v>44021</v>
      </c>
      <c r="B16" s="40">
        <v>0</v>
      </c>
      <c r="C16" s="40">
        <v>0</v>
      </c>
      <c r="D16" s="40">
        <v>0</v>
      </c>
      <c r="E16" s="41">
        <v>15</v>
      </c>
      <c r="F16" s="41">
        <v>4775</v>
      </c>
      <c r="G16" s="41">
        <v>0</v>
      </c>
      <c r="H16" s="41">
        <v>1374</v>
      </c>
      <c r="I16" s="41">
        <v>85</v>
      </c>
      <c r="J16" s="41">
        <v>273</v>
      </c>
      <c r="K16" s="42">
        <v>85</v>
      </c>
      <c r="L16" s="42">
        <v>45</v>
      </c>
      <c r="M16" s="42">
        <v>1152</v>
      </c>
      <c r="N16" s="39">
        <v>84</v>
      </c>
      <c r="O16" s="39">
        <v>87</v>
      </c>
      <c r="P16" s="39">
        <v>54</v>
      </c>
      <c r="Q16" s="39">
        <v>2649</v>
      </c>
    </row>
    <row r="17" spans="1:17" x14ac:dyDescent="0.25">
      <c r="A17" s="73">
        <v>44022</v>
      </c>
      <c r="B17" s="40">
        <v>0</v>
      </c>
      <c r="C17" s="40">
        <v>0</v>
      </c>
      <c r="D17" s="40">
        <v>0</v>
      </c>
      <c r="E17" s="41">
        <v>15</v>
      </c>
      <c r="F17" s="41">
        <v>4775</v>
      </c>
      <c r="G17" s="41">
        <v>0</v>
      </c>
      <c r="H17" s="41">
        <v>1374</v>
      </c>
      <c r="I17" s="41">
        <v>85</v>
      </c>
      <c r="J17" s="41">
        <v>273</v>
      </c>
      <c r="K17" s="42">
        <v>85</v>
      </c>
      <c r="L17" s="42">
        <v>45</v>
      </c>
      <c r="M17" s="42">
        <v>1152</v>
      </c>
      <c r="N17" s="39">
        <v>84</v>
      </c>
      <c r="O17" s="39">
        <v>87</v>
      </c>
      <c r="P17" s="39">
        <v>51</v>
      </c>
      <c r="Q17" s="39">
        <v>2651</v>
      </c>
    </row>
    <row r="18" spans="1:17" x14ac:dyDescent="0.25">
      <c r="A18" s="73">
        <v>44023</v>
      </c>
      <c r="B18" s="40">
        <v>0</v>
      </c>
      <c r="C18" s="40">
        <v>0</v>
      </c>
      <c r="D18" s="40">
        <v>0</v>
      </c>
      <c r="E18" s="41">
        <v>15</v>
      </c>
      <c r="F18" s="41">
        <v>4775</v>
      </c>
      <c r="G18" s="41">
        <v>0</v>
      </c>
      <c r="H18" s="41">
        <v>1374</v>
      </c>
      <c r="I18" s="41">
        <v>85</v>
      </c>
      <c r="J18" s="41">
        <v>273</v>
      </c>
      <c r="K18" s="42">
        <v>85</v>
      </c>
      <c r="L18" s="42">
        <v>45</v>
      </c>
      <c r="M18" s="42">
        <v>1152</v>
      </c>
      <c r="N18" s="39">
        <v>84</v>
      </c>
      <c r="O18" s="39">
        <v>87</v>
      </c>
      <c r="P18" s="39">
        <v>46</v>
      </c>
      <c r="Q18" s="39">
        <v>2654</v>
      </c>
    </row>
    <row r="19" spans="1:17" x14ac:dyDescent="0.25">
      <c r="A19" s="73">
        <v>44024</v>
      </c>
      <c r="B19" s="40">
        <v>0</v>
      </c>
      <c r="C19" s="40">
        <v>0</v>
      </c>
      <c r="D19" s="40">
        <v>0</v>
      </c>
      <c r="E19" s="41">
        <v>15</v>
      </c>
      <c r="F19" s="41">
        <v>4775</v>
      </c>
      <c r="G19" s="41">
        <v>0</v>
      </c>
      <c r="H19" s="41">
        <v>1374</v>
      </c>
      <c r="I19" s="41">
        <v>85</v>
      </c>
      <c r="J19" s="41">
        <v>273</v>
      </c>
      <c r="K19" s="42">
        <v>85</v>
      </c>
      <c r="L19" s="42">
        <v>45</v>
      </c>
      <c r="M19" s="42">
        <v>1152</v>
      </c>
      <c r="N19" s="39">
        <v>84</v>
      </c>
      <c r="O19" s="39">
        <v>87</v>
      </c>
      <c r="P19" s="39">
        <v>44</v>
      </c>
      <c r="Q19" s="39">
        <v>2657</v>
      </c>
    </row>
    <row r="20" spans="1:17" x14ac:dyDescent="0.25">
      <c r="A20" s="73">
        <v>44025</v>
      </c>
      <c r="B20" s="40">
        <v>0</v>
      </c>
      <c r="C20" s="40">
        <v>0</v>
      </c>
      <c r="D20" s="40">
        <v>0</v>
      </c>
      <c r="E20" s="41">
        <v>15</v>
      </c>
      <c r="F20" s="41">
        <v>4775</v>
      </c>
      <c r="G20" s="41">
        <v>0</v>
      </c>
      <c r="H20" s="41">
        <v>1374</v>
      </c>
      <c r="I20" s="41">
        <v>85</v>
      </c>
      <c r="J20" s="41">
        <v>273</v>
      </c>
      <c r="K20" s="42">
        <v>85</v>
      </c>
      <c r="L20" s="42">
        <v>45</v>
      </c>
      <c r="M20" s="42">
        <v>1152</v>
      </c>
      <c r="N20" s="39">
        <v>84</v>
      </c>
      <c r="O20" s="39">
        <v>87</v>
      </c>
      <c r="P20" s="39">
        <v>42</v>
      </c>
      <c r="Q20" s="39">
        <v>2659</v>
      </c>
    </row>
    <row r="21" spans="1:17" x14ac:dyDescent="0.25">
      <c r="A21" s="73">
        <v>44026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</row>
    <row r="22" spans="1:17" x14ac:dyDescent="0.25">
      <c r="A22" s="73">
        <v>44027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</row>
    <row r="23" spans="1:17" x14ac:dyDescent="0.25">
      <c r="A23" s="73">
        <v>44028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</row>
    <row r="24" spans="1:17" x14ac:dyDescent="0.25">
      <c r="A24" s="73">
        <v>44029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</row>
    <row r="25" spans="1:17" x14ac:dyDescent="0.25">
      <c r="A25" s="73">
        <v>44030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</row>
    <row r="26" spans="1:17" x14ac:dyDescent="0.25">
      <c r="A26" s="73">
        <v>44031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</row>
    <row r="27" spans="1:17" x14ac:dyDescent="0.25">
      <c r="A27" s="73">
        <v>44032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</row>
    <row r="28" spans="1:17" x14ac:dyDescent="0.25">
      <c r="A28" s="73">
        <v>44033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</row>
    <row r="29" spans="1:17" x14ac:dyDescent="0.25">
      <c r="A29" s="73">
        <v>44034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</row>
    <row r="30" spans="1:17" x14ac:dyDescent="0.25">
      <c r="A30" s="73">
        <v>44035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</row>
    <row r="31" spans="1:17" x14ac:dyDescent="0.25">
      <c r="A31" s="73">
        <v>44036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</row>
    <row r="32" spans="1:17" x14ac:dyDescent="0.25">
      <c r="A32" s="73">
        <v>44037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</row>
    <row r="33" spans="1:17" x14ac:dyDescent="0.25">
      <c r="A33" s="73">
        <v>44038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</row>
    <row r="34" spans="1:17" x14ac:dyDescent="0.25">
      <c r="A34" s="73">
        <v>44039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</row>
    <row r="35" spans="1:17" x14ac:dyDescent="0.25">
      <c r="A35" s="73">
        <v>44040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</row>
    <row r="36" spans="1:17" x14ac:dyDescent="0.25">
      <c r="A36" s="73">
        <v>44041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</row>
    <row r="37" spans="1:17" x14ac:dyDescent="0.25">
      <c r="A37" s="73">
        <v>44042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</row>
    <row r="38" spans="1:17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</row>
    <row r="39" spans="1:17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2020-07-13T12:34:40Z</dcterms:modified>
</cp:coreProperties>
</file>