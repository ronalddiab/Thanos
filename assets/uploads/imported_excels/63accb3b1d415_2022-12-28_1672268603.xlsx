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3" l="1"/>
  <c r="Y18" i="4" l="1"/>
  <c r="G32" i="9" l="1"/>
  <c r="S17" i="4"/>
  <c r="Q17" i="4"/>
  <c r="O17" i="4"/>
  <c r="M17" i="4"/>
  <c r="K17" i="4"/>
  <c r="H17" i="4"/>
  <c r="F17" i="4"/>
  <c r="I17" i="4" s="1"/>
  <c r="D17" i="4"/>
  <c r="W17" i="4"/>
  <c r="X17" i="4" l="1"/>
  <c r="Y17" i="4"/>
  <c r="Z17" i="4"/>
  <c r="AA17" i="4" s="1"/>
  <c r="K32" i="9"/>
  <c r="E32" i="8"/>
  <c r="F32" i="8"/>
  <c r="G32" i="8"/>
  <c r="H32" i="8"/>
  <c r="AD32" i="8" s="1"/>
  <c r="I32" i="8"/>
  <c r="J32" i="8"/>
  <c r="K32" i="8"/>
  <c r="L32" i="8"/>
  <c r="M32" i="8"/>
  <c r="N32" i="8"/>
  <c r="Y32" i="8" s="1"/>
  <c r="O32" i="8"/>
  <c r="P32" i="8"/>
  <c r="Q32" i="8"/>
  <c r="R32" i="8"/>
  <c r="S32" i="8"/>
  <c r="T32" i="8"/>
  <c r="U32" i="8"/>
  <c r="V32" i="8"/>
  <c r="W32" i="8"/>
  <c r="X32" i="8"/>
  <c r="AE32" i="8" l="1"/>
  <c r="Y33" i="1"/>
  <c r="AA33" i="1"/>
  <c r="AC33" i="1"/>
  <c r="AE33" i="1"/>
  <c r="AG33" i="1"/>
  <c r="C33" i="1"/>
  <c r="D33" i="1" s="1"/>
  <c r="F33" i="1"/>
  <c r="T33" i="1" s="1"/>
  <c r="U33" i="1" s="1"/>
  <c r="G33" i="1"/>
  <c r="I33" i="1"/>
  <c r="J33" i="1"/>
  <c r="L33" i="1"/>
  <c r="M33" i="1" s="1"/>
  <c r="O33" i="1"/>
  <c r="P33" i="1"/>
  <c r="R33" i="1"/>
  <c r="S33" i="1"/>
  <c r="Q34" i="1"/>
  <c r="S2" i="1"/>
  <c r="P2" i="1"/>
  <c r="M2" i="1"/>
  <c r="J2" i="1"/>
  <c r="G2" i="1"/>
  <c r="D2" i="1"/>
  <c r="C33" i="5"/>
  <c r="C3" i="5"/>
  <c r="C4" i="5"/>
  <c r="B34" i="4"/>
  <c r="C33" i="3"/>
  <c r="J33" i="3" s="1"/>
  <c r="K33" i="3" s="1"/>
  <c r="E33" i="3"/>
  <c r="G33" i="3"/>
  <c r="I33" i="3"/>
  <c r="W33" i="4"/>
  <c r="X33" i="4" s="1"/>
  <c r="Z33" i="4"/>
  <c r="U34" i="4"/>
  <c r="D33" i="4"/>
  <c r="F33" i="4"/>
  <c r="H33" i="4"/>
  <c r="K33" i="4"/>
  <c r="M33" i="4"/>
  <c r="O33" i="4"/>
  <c r="Q33" i="4"/>
  <c r="S33" i="4"/>
  <c r="I2" i="4"/>
  <c r="T9" i="2"/>
  <c r="T12" i="2" s="1"/>
  <c r="T26" i="2" s="1"/>
  <c r="T30" i="2" s="1"/>
  <c r="T31" i="2" s="1"/>
  <c r="T32" i="2" s="1"/>
  <c r="T33" i="2" s="1"/>
  <c r="U33" i="2" s="1"/>
  <c r="N31" i="2"/>
  <c r="N32" i="2" s="1"/>
  <c r="N33" i="2" s="1"/>
  <c r="O33" i="2" s="1"/>
  <c r="AB32" i="8" s="1"/>
  <c r="L31" i="2"/>
  <c r="L32" i="2" s="1"/>
  <c r="L33" i="2" s="1"/>
  <c r="M33" i="2" s="1"/>
  <c r="J31" i="2"/>
  <c r="J32" i="2" s="1"/>
  <c r="J33" i="2" s="1"/>
  <c r="K33" i="2" s="1"/>
  <c r="H31" i="2"/>
  <c r="H32" i="2" s="1"/>
  <c r="H33" i="2" s="1"/>
  <c r="I33" i="2" s="1"/>
  <c r="F31" i="2"/>
  <c r="F32" i="2" s="1"/>
  <c r="F33" i="2" s="1"/>
  <c r="G33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S33" i="2" s="1"/>
  <c r="D31" i="2"/>
  <c r="D32" i="2" s="1"/>
  <c r="D33" i="2" s="1"/>
  <c r="E33" i="2" s="1"/>
  <c r="B31" i="2"/>
  <c r="B32" i="2" s="1"/>
  <c r="B33" i="2" s="1"/>
  <c r="C33" i="2" s="1"/>
  <c r="B32" i="8"/>
  <c r="B32" i="9"/>
  <c r="AA32" i="8" l="1"/>
  <c r="K12" i="2"/>
  <c r="K11" i="2"/>
  <c r="Z32" i="8"/>
  <c r="K10" i="2"/>
  <c r="K9" i="2"/>
  <c r="K14" i="2"/>
  <c r="K13" i="2"/>
  <c r="T2" i="1"/>
  <c r="U2" i="1" s="1"/>
  <c r="Y33" i="4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W7" i="4"/>
  <c r="Y3" i="1" l="1"/>
  <c r="X2" i="4" l="1"/>
  <c r="Z2" i="4"/>
  <c r="J2" i="3"/>
  <c r="K2" i="3" s="1"/>
  <c r="Y2" i="4" l="1"/>
  <c r="G28" i="3"/>
  <c r="K9" i="9" l="1"/>
  <c r="C5" i="5" l="1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8" i="11"/>
  <c r="J17" i="11"/>
  <c r="J16" i="11"/>
  <c r="J12" i="11"/>
  <c r="J11" i="11"/>
  <c r="J10" i="11"/>
  <c r="J9" i="11"/>
  <c r="J8" i="11"/>
  <c r="J7" i="11"/>
  <c r="J6" i="11"/>
  <c r="J4" i="11"/>
  <c r="J3" i="11"/>
  <c r="Y16" i="4" l="1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E34" i="1" s="1"/>
  <c r="AA21" i="8"/>
  <c r="F3" i="8"/>
  <c r="E3" i="3"/>
  <c r="G29" i="9"/>
  <c r="E34" i="3" l="1"/>
  <c r="J22" i="11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J21" i="11" l="1"/>
  <c r="K21" i="11" s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P13" i="2"/>
  <c r="Q13" i="2" l="1"/>
  <c r="AC12" i="8" s="1"/>
  <c r="E12" i="9" s="1"/>
  <c r="Q14" i="2" l="1"/>
  <c r="AC13" i="8" s="1"/>
  <c r="E13" i="9" s="1"/>
  <c r="P15" i="2"/>
  <c r="Q15" i="2" l="1"/>
  <c r="AC14" i="8" s="1"/>
  <c r="E14" i="9" s="1"/>
  <c r="P16" i="2"/>
  <c r="P17" i="2" l="1"/>
  <c r="Q16" i="2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P30" i="2" l="1"/>
  <c r="Q29" i="2"/>
  <c r="AC28" i="8" s="1"/>
  <c r="E28" i="9" s="1"/>
  <c r="P31" i="2" l="1"/>
  <c r="Q30" i="2"/>
  <c r="AC29" i="8" s="1"/>
  <c r="E29" i="9" s="1"/>
  <c r="P32" i="2" l="1"/>
  <c r="Q31" i="2"/>
  <c r="AC30" i="8" s="1"/>
  <c r="E30" i="9" s="1"/>
  <c r="P33" i="2" l="1"/>
  <c r="Q33" i="2" s="1"/>
  <c r="Q32" i="2"/>
  <c r="AC31" i="8" s="1"/>
  <c r="E31" i="9" s="1"/>
  <c r="J19" i="11"/>
  <c r="K19" i="11" s="1"/>
  <c r="C11" i="11" s="1"/>
  <c r="C7" i="11" l="1"/>
  <c r="D7" i="11" s="1"/>
  <c r="D11" i="11"/>
  <c r="AC32" i="8"/>
  <c r="E32" i="9" s="1"/>
  <c r="Q34" i="2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<sst xmlns="http://schemas.openxmlformats.org/spreadsheetml/2006/main" count="512" uniqueCount="150">
  <si>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</si>
  <si>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</si>
  <si>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</si>
  <si>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</si>
  <si>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</si>
  <si>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</si>
  <si>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</si>
  <si>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</si>
  <si>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</si>
  <si>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</si>
  <si>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</si>
  <si>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</si>
  <si>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</si>
  <si>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</si>
  <si>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</si>
  <si>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</si>
  <si>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</si>
  <si>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</si>
  <si>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</si>
  <si>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</si>
  <si>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</si>
  <si>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</si>
  <si>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</si>
  <si>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</si>
  <si>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</si>
  <si>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</si>
  <si>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</si>
  <si>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</si>
  <si>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</si>
  <si>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</si>
  <si>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</si>
  <si>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</si>
  <si>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</si>
  <si>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</si>
  <si>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</si>
  <si>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</si>
  <si>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</si>
  <si>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</si>
  <si>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</si>
  <si>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</si>
  <si>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</si>
  <si>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</si>
  <si>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</si>
  <si>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</si>
  <si>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</si>
  <si>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</si>
  <si>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</si>
  <si>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</si>
  <si>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</si>
  <si>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</si>
  <si>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</si>
  <si>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</si>
  <si>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</si>
  <si>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</si>
  <si>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</si>
  <si>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</si>
  <si>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</si>
  <si>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</si>
  <si>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</si>
  <si>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</si>
  <si>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</si>
  <si>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</si>
  <si>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</si>
  <si>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</si>
  <si>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</si>
  <si>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</si>
  <si>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</si>
  <si>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</si>
  <si>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</si>
  <si>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</si>
  <si>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</si>
  <si>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</si>
  <si>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</si>
  <si>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</si>
  <si>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</si>
  <si>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</si>
  <si>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</si>
  <si>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</si>
  <si>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</si>
  <si>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</si>
  <si>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</si>
  <si>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</si>
  <si>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</si>
  <si>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</si>
  <si>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</si>
  <si>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</si>
  <si>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</si>
  <si>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</si>
  <si>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</si>
  <si>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</si>
  <si>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</si>
  <si>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</si>
  <si>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</si>
  <si>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</si>
  <si>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</si>
  <si>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</si>
  <si>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</si>
  <si>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</si>
  <si>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</si>
  <si>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</si>
  <si>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</si>
  <si>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</si>
  <si>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</si>
  <si>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</si>
  <si>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</si>
  <si>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</si>
  <si>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</si>
  <si>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</si>
  <si>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</si>
  <si>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</si>
  <si>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</si>
  <si>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</si>
  <si>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</si>
  <si>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</si>
  <si>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</si>
  <si>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</si>
  <si>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</si>
  <si>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</si>
  <si>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</si>
  <si>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</si>
  <si>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</si>
  <si>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</si>
  <si>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</si>
  <si>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</si>
  <si>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</si>
  <si>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</si>
  <si>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</si>
  <si>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</si>
  <si>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</si>
  <si>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</si>
  <si>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</si>
  <si>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</si>
  <si>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</si>
  <si>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</si>
  <si>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</si>
  <si>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</si>
  <si>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</si>
  <si>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</si>
  <si>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</si>
  <si>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</si>
  <si>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</si>
  <si>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</si>
  <si>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</si>
  <si>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</si>
  <si>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</si>
  <si>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</si>
  <si>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</si>
  <si>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</si>
  <si>
    <t xml:space="preserve">Water Utility Supply ($/m3) </t>
  </si>
  <si>
    <t xml:space="preserve">Water Utility Supply (m3)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</si>
</sst>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K29" sqref="K29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149</v>
      </c>
      <c r="J1" s="48" t="s">
        <v>148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12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74350.009047999993</v>
      </c>
      <c r="F2" s="125">
        <v>1.27</v>
      </c>
      <c r="G2" s="35">
        <f>Gas!C3*0.9147</f>
        <v>1971.1785</v>
      </c>
      <c r="H2" s="126">
        <v>3.65</v>
      </c>
      <c r="I2" s="127">
        <f>Submetering!H2+Submetering!AD2+Submetering!AE2</f>
        <v>596</v>
      </c>
      <c r="J2" s="128">
        <v>10.029999999999999</v>
      </c>
      <c r="K2" s="35">
        <f>ELECT.!B3</f>
        <v>249</v>
      </c>
    </row>
    <row r="3" spans="1:14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54686.646367999994</v>
      </c>
      <c r="F3" s="125">
        <v>1.27</v>
      </c>
      <c r="G3" s="35">
        <f>Gas!C4*0.9147</f>
        <v>2005.9370999999999</v>
      </c>
      <c r="H3" s="126">
        <v>3.65</v>
      </c>
      <c r="I3" s="128">
        <f>Submetering!H3+Submetering!AD3+Submetering!AE3</f>
        <v>566</v>
      </c>
      <c r="J3" s="128">
        <v>10.029999999999999</v>
      </c>
      <c r="K3" s="35">
        <f>ELECT.!B4</f>
        <v>260</v>
      </c>
    </row>
    <row r="4" spans="1:14" x14ac:dyDescent="0.2">
      <c r="A4" s="46" t="s">
        <v>51</v>
      </c>
      <c r="B4" s="51">
        <f t="shared" ref="B4:B32" si="0">B3+1</f>
        <v>3</v>
      </c>
      <c r="C4" s="51">
        <v>12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50480.721336000002</v>
      </c>
      <c r="F4" s="125">
        <v>1.27</v>
      </c>
      <c r="G4" s="35">
        <f>Gas!C5*0.9147</f>
        <v>1856.8409999999999</v>
      </c>
      <c r="H4" s="126">
        <v>3.65</v>
      </c>
      <c r="I4" s="128">
        <f>Submetering!H4+Submetering!AD4+Submetering!AE4</f>
        <v>535.99999999999989</v>
      </c>
      <c r="J4" s="128">
        <v>10.029999999999999</v>
      </c>
      <c r="K4" s="35">
        <f>ELECT.!B5</f>
        <v>313</v>
      </c>
    </row>
    <row r="5" spans="1:14" x14ac:dyDescent="0.2">
      <c r="A5" s="46" t="s">
        <v>51</v>
      </c>
      <c r="B5" s="51">
        <f t="shared" si="0"/>
        <v>4</v>
      </c>
      <c r="C5" s="51">
        <v>12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48539.983187999998</v>
      </c>
      <c r="F5" s="125">
        <v>1.27</v>
      </c>
      <c r="G5" s="35">
        <f>Gas!C6*0.9147</f>
        <v>1952.8844999999999</v>
      </c>
      <c r="H5" s="126">
        <v>3.65</v>
      </c>
      <c r="I5" s="128">
        <f>Submetering!H5+Submetering!AD5+Submetering!AE5</f>
        <v>486</v>
      </c>
      <c r="J5" s="128">
        <v>10.029999999999999</v>
      </c>
      <c r="K5" s="35">
        <f>ELECT.!B6</f>
        <v>263</v>
      </c>
    </row>
    <row r="6" spans="1:14" x14ac:dyDescent="0.2">
      <c r="A6" s="46" t="s">
        <v>51</v>
      </c>
      <c r="B6" s="51">
        <f t="shared" si="0"/>
        <v>5</v>
      </c>
      <c r="C6" s="51">
        <v>12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71805.663052000004</v>
      </c>
      <c r="F6" s="125">
        <v>1.27</v>
      </c>
      <c r="G6" s="35">
        <f>Gas!C7*0.9147</f>
        <v>1865.9879999999998</v>
      </c>
      <c r="H6" s="126">
        <v>3.65</v>
      </c>
      <c r="I6" s="128">
        <f>Submetering!H6+Submetering!AD6+Submetering!AE6</f>
        <v>486</v>
      </c>
      <c r="J6" s="128">
        <v>10.029999999999999</v>
      </c>
      <c r="K6" s="35">
        <f>ELECT.!B7</f>
        <v>245</v>
      </c>
    </row>
    <row r="7" spans="1:14" x14ac:dyDescent="0.2">
      <c r="A7" s="46" t="s">
        <v>51</v>
      </c>
      <c r="B7" s="51">
        <f t="shared" si="0"/>
        <v>6</v>
      </c>
      <c r="C7" s="51">
        <v>12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49751.023311999998</v>
      </c>
      <c r="F7" s="125">
        <v>1.27</v>
      </c>
      <c r="G7" s="35">
        <f>Gas!C8*0.9147</f>
        <v>1973.0078999999998</v>
      </c>
      <c r="H7" s="126">
        <v>3.65</v>
      </c>
      <c r="I7" s="128">
        <f>Submetering!H7+Submetering!AD7+Submetering!AE7</f>
        <v>566</v>
      </c>
      <c r="J7" s="128">
        <v>10.029999999999999</v>
      </c>
      <c r="K7" s="35">
        <f>ELECT.!B8</f>
        <v>264</v>
      </c>
    </row>
    <row r="8" spans="1:14" x14ac:dyDescent="0.2">
      <c r="A8" s="46" t="s">
        <v>51</v>
      </c>
      <c r="B8" s="51">
        <f t="shared" si="0"/>
        <v>7</v>
      </c>
      <c r="C8" s="51">
        <v>12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63863.967556000003</v>
      </c>
      <c r="F8" s="125">
        <v>1.27</v>
      </c>
      <c r="G8" s="35">
        <f>Gas!C9*0.9147</f>
        <v>1372.05</v>
      </c>
      <c r="H8" s="126">
        <v>3.65</v>
      </c>
      <c r="I8" s="128">
        <f>Submetering!H8+Submetering!AD8+Submetering!AE8</f>
        <v>546</v>
      </c>
      <c r="J8" s="128">
        <v>10.029999999999999</v>
      </c>
      <c r="K8" s="35">
        <f>ELECT.!B9</f>
        <v>266</v>
      </c>
    </row>
    <row r="9" spans="1:14" x14ac:dyDescent="0.2">
      <c r="A9" s="46" t="s">
        <v>51</v>
      </c>
      <c r="B9" s="51">
        <f t="shared" si="0"/>
        <v>8</v>
      </c>
      <c r="C9" s="51">
        <v>12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37667.719619999996</v>
      </c>
      <c r="F9" s="125">
        <v>1.27</v>
      </c>
      <c r="G9" s="35">
        <f>Gas!C10*0.9147</f>
        <v>1679.3891999999998</v>
      </c>
      <c r="H9" s="126">
        <v>3.65</v>
      </c>
      <c r="I9" s="128">
        <f>Submetering!H9+Submetering!AD9+Submetering!AE9</f>
        <v>496</v>
      </c>
      <c r="J9" s="128">
        <v>10.029999999999999</v>
      </c>
      <c r="K9" s="35">
        <f>ELECT.!B10</f>
        <v>255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12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65816.414352000007</v>
      </c>
      <c r="F10" s="125">
        <v>1.27</v>
      </c>
      <c r="G10" s="35">
        <f>Gas!C11*0.9147</f>
        <v>2005.9370999999999</v>
      </c>
      <c r="H10" s="126">
        <v>3.65</v>
      </c>
      <c r="I10" s="128">
        <f>Submetering!H10+Submetering!AD10+Submetering!AE10</f>
        <v>546</v>
      </c>
      <c r="J10" s="128">
        <v>10.029999999999999</v>
      </c>
      <c r="K10" s="35">
        <f>ELECT.!B11</f>
        <v>265</v>
      </c>
    </row>
    <row r="11" spans="1:14" x14ac:dyDescent="0.2">
      <c r="A11" s="46" t="s">
        <v>51</v>
      </c>
      <c r="B11" s="51">
        <f t="shared" si="0"/>
        <v>10</v>
      </c>
      <c r="C11" s="51">
        <v>12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52616.508000000002</v>
      </c>
      <c r="F11" s="125">
        <v>1.27</v>
      </c>
      <c r="G11" s="35">
        <f>Gas!C12*0.9147</f>
        <v>1573.2839999999999</v>
      </c>
      <c r="H11" s="126">
        <v>3.65</v>
      </c>
      <c r="I11" s="128">
        <f>Submetering!H11+Submetering!AD11+Submetering!AE11</f>
        <v>546</v>
      </c>
      <c r="J11" s="128">
        <v>10.029999999999999</v>
      </c>
      <c r="K11" s="35">
        <f>ELECT.!B12</f>
        <v>240</v>
      </c>
    </row>
    <row r="12" spans="1:14" x14ac:dyDescent="0.2">
      <c r="A12" s="46" t="s">
        <v>51</v>
      </c>
      <c r="B12" s="51">
        <f t="shared" si="0"/>
        <v>11</v>
      </c>
      <c r="C12" s="51">
        <v>12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62970.858708</v>
      </c>
      <c r="F12" s="125">
        <v>1.27</v>
      </c>
      <c r="G12" s="35">
        <f>Gas!C13*0.9147</f>
        <v>1543.0989</v>
      </c>
      <c r="H12" s="126">
        <v>3.65</v>
      </c>
      <c r="I12" s="128">
        <f>Submetering!H12+Submetering!AD12+Submetering!AE12</f>
        <v>525.99999999999989</v>
      </c>
      <c r="J12" s="128">
        <v>10.029999999999999</v>
      </c>
      <c r="K12" s="35">
        <f>ELECT.!B13</f>
        <v>168</v>
      </c>
    </row>
    <row r="13" spans="1:14" x14ac:dyDescent="0.2">
      <c r="A13" s="46" t="s">
        <v>51</v>
      </c>
      <c r="B13" s="51">
        <f t="shared" si="0"/>
        <v>12</v>
      </c>
      <c r="C13" s="51">
        <v>12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35534.443616000004</v>
      </c>
      <c r="F13" s="125">
        <v>1.27</v>
      </c>
      <c r="G13" s="35">
        <f>Gas!C14*0.9147</f>
        <v>1564.1369999999999</v>
      </c>
      <c r="H13" s="126">
        <v>3.65</v>
      </c>
      <c r="I13" s="128">
        <f>Submetering!H13+Submetering!AD13+Submetering!AE13</f>
        <v>526</v>
      </c>
      <c r="J13" s="128">
        <v>10.029999999999999</v>
      </c>
      <c r="K13" s="35">
        <f>ELECT.!B14</f>
        <v>235</v>
      </c>
    </row>
    <row r="14" spans="1:14" x14ac:dyDescent="0.2">
      <c r="A14" s="46" t="s">
        <v>51</v>
      </c>
      <c r="B14" s="51">
        <f t="shared" si="0"/>
        <v>13</v>
      </c>
      <c r="C14" s="51">
        <v>12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63445.111592000008</v>
      </c>
      <c r="F14" s="125">
        <v>1.27</v>
      </c>
      <c r="G14" s="35">
        <f>Gas!C15*0.9147</f>
        <v>1729.6976999999999</v>
      </c>
      <c r="H14" s="126">
        <v>3.65</v>
      </c>
      <c r="I14" s="128">
        <f>Submetering!H14+Submetering!AD14+Submetering!AE14</f>
        <v>536</v>
      </c>
      <c r="J14" s="128">
        <v>10.029999999999999</v>
      </c>
      <c r="K14" s="35">
        <f>ELECT.!B15</f>
        <v>151</v>
      </c>
    </row>
    <row r="15" spans="1:14" x14ac:dyDescent="0.2">
      <c r="A15" s="46" t="s">
        <v>51</v>
      </c>
      <c r="B15" s="51">
        <f t="shared" si="0"/>
        <v>14</v>
      </c>
      <c r="C15" s="51">
        <v>12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56889.695467999998</v>
      </c>
      <c r="F15" s="125">
        <v>1.27</v>
      </c>
      <c r="G15" s="35">
        <f>Gas!C16*0.9147</f>
        <v>1606.2131999999999</v>
      </c>
      <c r="H15" s="126">
        <v>3.65</v>
      </c>
      <c r="I15" s="128">
        <f>Submetering!H15+Submetering!AD15+Submetering!AE15</f>
        <v>485.99999999999989</v>
      </c>
      <c r="J15" s="128">
        <v>10.029999999999999</v>
      </c>
      <c r="K15" s="35">
        <f>ELECT.!B16</f>
        <v>204</v>
      </c>
    </row>
    <row r="16" spans="1:14" x14ac:dyDescent="0.2">
      <c r="A16" s="46" t="s">
        <v>51</v>
      </c>
      <c r="B16" s="51">
        <f t="shared" si="0"/>
        <v>15</v>
      </c>
      <c r="C16" s="51">
        <v>12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49141.598151999991</v>
      </c>
      <c r="F16" s="125">
        <v>1.27</v>
      </c>
      <c r="G16" s="35">
        <f>Gas!C17*0.9147</f>
        <v>1719.636</v>
      </c>
      <c r="H16" s="126">
        <v>3.65</v>
      </c>
      <c r="I16" s="128">
        <f>Submetering!H16+Submetering!AD16+Submetering!AE16</f>
        <v>566</v>
      </c>
      <c r="J16" s="128">
        <v>10.029999999999999</v>
      </c>
      <c r="K16" s="35">
        <f>ELECT.!B17</f>
        <v>237</v>
      </c>
    </row>
    <row r="17" spans="1:13" x14ac:dyDescent="0.2">
      <c r="A17" s="46" t="s">
        <v>51</v>
      </c>
      <c r="B17" s="51">
        <f t="shared" si="0"/>
        <v>16</v>
      </c>
      <c r="C17" s="51">
        <v>12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71963.475535999998</v>
      </c>
      <c r="F17" s="125">
        <v>1.27</v>
      </c>
      <c r="G17" s="35">
        <f>Gas!C18*0.9147</f>
        <v>2316.0203999999999</v>
      </c>
      <c r="H17" s="126">
        <v>3.65</v>
      </c>
      <c r="I17" s="128">
        <f>Submetering!H17+Submetering!AD17+Submetering!AE17</f>
        <v>526</v>
      </c>
      <c r="J17" s="128">
        <v>10.029999999999999</v>
      </c>
      <c r="K17" s="35">
        <f>ELECT.!B18</f>
        <v>262</v>
      </c>
    </row>
    <row r="18" spans="1:13" x14ac:dyDescent="0.2">
      <c r="A18" s="46" t="s">
        <v>51</v>
      </c>
      <c r="B18" s="51">
        <f t="shared" si="0"/>
        <v>17</v>
      </c>
      <c r="C18" s="51">
        <v>12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45303.691275999998</v>
      </c>
      <c r="F18" s="125">
        <v>1.27</v>
      </c>
      <c r="G18" s="35">
        <f>Gas!C19*0.9147</f>
        <v>1662.9245999999998</v>
      </c>
      <c r="H18" s="126">
        <v>3.65</v>
      </c>
      <c r="I18" s="128">
        <f>Submetering!H18+Submetering!AD18+Submetering!AE18</f>
        <v>2805.9999999999995</v>
      </c>
      <c r="J18" s="128">
        <v>10.029999999999999</v>
      </c>
      <c r="K18" s="35">
        <f>ELECT.!B19</f>
        <v>245</v>
      </c>
    </row>
    <row r="19" spans="1:13" x14ac:dyDescent="0.2">
      <c r="A19" s="46" t="s">
        <v>51</v>
      </c>
      <c r="B19" s="51">
        <f t="shared" si="0"/>
        <v>18</v>
      </c>
      <c r="C19" s="51">
        <v>12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60065.034687999992</v>
      </c>
      <c r="F19" s="125">
        <v>1.27</v>
      </c>
      <c r="G19" s="35">
        <f>Gas!C20*0.9147</f>
        <v>1742.5035</v>
      </c>
      <c r="H19" s="126">
        <v>3.65</v>
      </c>
      <c r="I19" s="128">
        <f>Submetering!H19+Submetering!AD19+Submetering!AE19</f>
        <v>746</v>
      </c>
      <c r="J19" s="128">
        <v>10.029999999999999</v>
      </c>
      <c r="K19" s="35">
        <f>ELECT.!B20</f>
        <v>240</v>
      </c>
    </row>
    <row r="20" spans="1:13" x14ac:dyDescent="0.2">
      <c r="A20" s="46" t="s">
        <v>51</v>
      </c>
      <c r="B20" s="51">
        <f t="shared" si="0"/>
        <v>19</v>
      </c>
      <c r="C20" s="51">
        <v>12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65481.289116</v>
      </c>
      <c r="F20" s="125">
        <v>1.27</v>
      </c>
      <c r="G20" s="35">
        <f>Gas!C21*0.9147</f>
        <v>1884.2819999999999</v>
      </c>
      <c r="H20" s="126">
        <v>3.65</v>
      </c>
      <c r="I20" s="128">
        <f>Submetering!H20+Submetering!AD20+Submetering!AE20</f>
        <v>716</v>
      </c>
      <c r="J20" s="128">
        <v>10.029999999999999</v>
      </c>
      <c r="K20" s="35">
        <f>ELECT.!B21</f>
        <v>285</v>
      </c>
    </row>
    <row r="21" spans="1:13" x14ac:dyDescent="0.2">
      <c r="A21" s="46" t="s">
        <v>51</v>
      </c>
      <c r="B21" s="51">
        <f t="shared" si="0"/>
        <v>20</v>
      </c>
      <c r="C21" s="51">
        <v>12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34056.177704000002</v>
      </c>
      <c r="F21" s="125">
        <v>1.27</v>
      </c>
      <c r="G21" s="35">
        <f>Gas!C22*0.9147</f>
        <v>2037.9515999999999</v>
      </c>
      <c r="H21" s="126">
        <v>3.65</v>
      </c>
      <c r="I21" s="128">
        <f>Submetering!H21+Submetering!AD21+Submetering!AE21</f>
        <v>816</v>
      </c>
      <c r="J21" s="128">
        <v>10.029999999999999</v>
      </c>
      <c r="K21" s="35">
        <f>ELECT.!B22</f>
        <v>310</v>
      </c>
    </row>
    <row r="22" spans="1:13" x14ac:dyDescent="0.2">
      <c r="A22" s="46" t="s">
        <v>51</v>
      </c>
      <c r="B22" s="51">
        <f t="shared" si="0"/>
        <v>21</v>
      </c>
      <c r="C22" s="51">
        <v>12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63300.978640000001</v>
      </c>
      <c r="F22" s="125">
        <v>1.27</v>
      </c>
      <c r="G22" s="35">
        <f>Gas!C23*0.9147</f>
        <v>1902.576</v>
      </c>
      <c r="H22" s="126">
        <v>3.65</v>
      </c>
      <c r="I22" s="128">
        <f>Submetering!H22+Submetering!AD22+Submetering!AE22</f>
        <v>576</v>
      </c>
      <c r="J22" s="128">
        <v>10.029999999999999</v>
      </c>
      <c r="K22" s="35">
        <f>ELECT.!B23</f>
        <v>311</v>
      </c>
    </row>
    <row r="23" spans="1:13" x14ac:dyDescent="0.2">
      <c r="A23" s="46" t="s">
        <v>51</v>
      </c>
      <c r="B23" s="51">
        <f t="shared" si="0"/>
        <v>22</v>
      </c>
      <c r="C23" s="51">
        <v>12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63107.79924</v>
      </c>
      <c r="F23" s="125">
        <v>1.27</v>
      </c>
      <c r="G23" s="35">
        <f>Gas!C24*0.9147</f>
        <v>1709.5743</v>
      </c>
      <c r="H23" s="126">
        <v>3.65</v>
      </c>
      <c r="I23" s="128">
        <f>Submetering!H23+Submetering!AD23+Submetering!AE23</f>
        <v>646</v>
      </c>
      <c r="J23" s="128">
        <v>10.029999999999999</v>
      </c>
      <c r="K23" s="35">
        <f>ELECT.!B24</f>
        <v>312</v>
      </c>
    </row>
    <row r="24" spans="1:13" x14ac:dyDescent="0.2">
      <c r="A24" s="46" t="s">
        <v>51</v>
      </c>
      <c r="B24" s="51">
        <f t="shared" si="0"/>
        <v>23</v>
      </c>
      <c r="C24" s="51">
        <v>12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48462.677735999998</v>
      </c>
      <c r="F24" s="125">
        <v>1.27</v>
      </c>
      <c r="G24" s="35">
        <f>Gas!C25*0.9147</f>
        <v>1783.665</v>
      </c>
      <c r="H24" s="126">
        <v>3.65</v>
      </c>
      <c r="I24" s="128">
        <f>Submetering!H24+Submetering!AD24+Submetering!AE24</f>
        <v>526</v>
      </c>
      <c r="J24" s="128">
        <v>10.029999999999999</v>
      </c>
      <c r="K24" s="35">
        <f>ELECT.!B25</f>
        <v>320</v>
      </c>
    </row>
    <row r="25" spans="1:13" x14ac:dyDescent="0.2">
      <c r="A25" s="46" t="s">
        <v>51</v>
      </c>
      <c r="B25" s="51">
        <f t="shared" si="0"/>
        <v>24</v>
      </c>
      <c r="C25" s="51">
        <v>12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42322.466351999996</v>
      </c>
      <c r="F25" s="125">
        <v>1.27</v>
      </c>
      <c r="G25" s="35">
        <f>Gas!C26*0.9147</f>
        <v>1757.1387</v>
      </c>
      <c r="H25" s="126">
        <v>3.65</v>
      </c>
      <c r="I25" s="128">
        <f>Submetering!H25+Submetering!AD25+Submetering!AE25</f>
        <v>546</v>
      </c>
      <c r="J25" s="128">
        <v>10.029999999999999</v>
      </c>
      <c r="K25" s="35">
        <f>ELECT.!B26</f>
        <v>304</v>
      </c>
    </row>
    <row r="26" spans="1:13" x14ac:dyDescent="0.2">
      <c r="A26" s="46" t="s">
        <v>51</v>
      </c>
      <c r="B26" s="51">
        <f t="shared" si="0"/>
        <v>25</v>
      </c>
      <c r="C26" s="51">
        <v>12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72399.589943999992</v>
      </c>
      <c r="F26" s="125">
        <v>1.27</v>
      </c>
      <c r="G26" s="35">
        <f>Gas!C27*0.9147</f>
        <v>1459.8611999999998</v>
      </c>
      <c r="H26" s="126">
        <v>3.65</v>
      </c>
      <c r="I26" s="128">
        <f>Submetering!H26+Submetering!AD26+Submetering!AE26</f>
        <v>546.00000000000011</v>
      </c>
      <c r="J26" s="128">
        <v>10.029999999999999</v>
      </c>
      <c r="K26" s="35">
        <f>ELECT.!B27</f>
        <v>278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12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41829.100888000001</v>
      </c>
      <c r="F27" s="125">
        <v>1.27</v>
      </c>
      <c r="G27" s="35">
        <f>Gas!C28*0.9147</f>
        <v>1746.1623</v>
      </c>
      <c r="H27" s="126">
        <v>3.65</v>
      </c>
      <c r="I27" s="128">
        <f>Submetering!H27+Submetering!AD27+Submetering!AE27</f>
        <v>485.99999999999994</v>
      </c>
      <c r="J27" s="128">
        <v>10.029999999999999</v>
      </c>
      <c r="K27" s="35">
        <f>ELECT.!B28</f>
        <v>208</v>
      </c>
    </row>
    <row r="28" spans="1:13" x14ac:dyDescent="0.2">
      <c r="A28" s="46" t="s">
        <v>51</v>
      </c>
      <c r="B28" s="51">
        <f t="shared" si="0"/>
        <v>27</v>
      </c>
      <c r="C28" s="51">
        <v>12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59946.983136000003</v>
      </c>
      <c r="F28" s="125">
        <v>1.27</v>
      </c>
      <c r="G28" s="35">
        <f>Gas!C29*0.9147</f>
        <v>591.81089999999995</v>
      </c>
      <c r="H28" s="126">
        <v>3.65</v>
      </c>
      <c r="I28" s="128">
        <f>Submetering!H28+Submetering!AD28+Submetering!AE28</f>
        <v>526.00000000000011</v>
      </c>
      <c r="J28" s="128">
        <v>10.029999999999999</v>
      </c>
      <c r="K28" s="35">
        <f>ELECT.!B29</f>
        <v>249</v>
      </c>
    </row>
    <row r="29" spans="1:13" x14ac:dyDescent="0.2">
      <c r="A29" s="46" t="s">
        <v>51</v>
      </c>
      <c r="B29" s="51">
        <f t="shared" si="0"/>
        <v>28</v>
      </c>
      <c r="C29" s="51">
        <v>12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33413.073779999999</v>
      </c>
      <c r="F29" s="126">
        <v>1.27</v>
      </c>
      <c r="G29" s="35">
        <f>Gas!C30*0.9147</f>
        <v>1127.8251</v>
      </c>
      <c r="H29" s="126">
        <v>3.65</v>
      </c>
      <c r="I29" s="128">
        <f>Submetering!H29+Submetering!AD29+Submetering!AE29</f>
        <v>526</v>
      </c>
      <c r="J29" s="128">
        <v>10.029999999999999</v>
      </c>
      <c r="K29" s="35">
        <f>ELECT.!B30</f>
        <v>313</v>
      </c>
    </row>
    <row r="30" spans="1:13" x14ac:dyDescent="0.2">
      <c r="A30" s="46" t="s">
        <v>51</v>
      </c>
      <c r="B30" s="51">
        <f t="shared" si="0"/>
        <v>29</v>
      </c>
      <c r="C30" s="51">
        <v>12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12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12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18" sqref="A1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12</v>
      </c>
      <c r="D2" s="51">
        <v>2022</v>
      </c>
      <c r="E2" s="35">
        <f>Water!C3</f>
        <v>790</v>
      </c>
      <c r="F2" s="35">
        <f>Water!E3</f>
        <v>350</v>
      </c>
      <c r="G2" s="35">
        <f>Water!G3</f>
        <v>129.6</v>
      </c>
      <c r="H2" s="35">
        <f>Water!I3</f>
        <v>6.1020000000000003</v>
      </c>
      <c r="I2" s="35">
        <f>ELECT.!F3</f>
        <v>20744</v>
      </c>
      <c r="J2" s="35">
        <f>ELECT.!H3</f>
        <v>55615</v>
      </c>
      <c r="K2" s="35">
        <f>ELECT.!K3</f>
        <v>16148</v>
      </c>
      <c r="L2" s="35">
        <f>ELECT.!M3</f>
        <v>7818</v>
      </c>
      <c r="M2" s="35">
        <f>ELECT.!O3</f>
        <v>12678</v>
      </c>
      <c r="N2" s="35">
        <f>ELECT.!Q3</f>
        <v>3735</v>
      </c>
      <c r="O2" s="35">
        <f>ELECT.!S3</f>
        <v>14020</v>
      </c>
      <c r="P2" s="35">
        <f>ELECT.!W3*2</f>
        <v>28602</v>
      </c>
      <c r="Q2" s="35">
        <f>ELECT.!D3</f>
        <v>480</v>
      </c>
      <c r="R2" s="36">
        <f>BTU!C3</f>
        <v>3.0799999999981083</v>
      </c>
      <c r="S2" s="36">
        <f>BTU!F3</f>
        <v>0.96100000000024011</v>
      </c>
      <c r="T2" s="36">
        <f>BTU!I3</f>
        <v>3</v>
      </c>
      <c r="U2" s="36">
        <f>BTU!O3</f>
        <v>2.168999999999869</v>
      </c>
      <c r="V2" s="36">
        <f>BTU!L3</f>
        <v>0.8999999999996362</v>
      </c>
      <c r="W2" s="36">
        <f>BTU!R3</f>
        <v>0</v>
      </c>
      <c r="X2" s="33">
        <f>ELECT.!B3</f>
        <v>249</v>
      </c>
      <c r="Y2" s="33">
        <f>I2+J2-(K2+L2+M2+N2+O2+P2)</f>
        <v>-6642</v>
      </c>
      <c r="Z2">
        <f>'Mall, Citadel, Rotana'!C3+'Mall, Citadel, Rotana'!E3+'Mall, Citadel, Rotana'!G3+'Mall, Citadel, Rotana'!I3</f>
        <v>884</v>
      </c>
      <c r="AA2">
        <f>'Mall, Citadel, Rotana'!K3+'Mall, Citadel, Rotana'!M3</f>
        <v>368</v>
      </c>
      <c r="AB2">
        <f>'Mall, Citadel, Rotana'!O3</f>
        <v>2</v>
      </c>
      <c r="AC2">
        <f>'Mall, Citadel, Rotana'!Q3+'Mall, Citadel, Rotana'!S3</f>
        <v>122</v>
      </c>
      <c r="AD2" s="33">
        <f>(E2-H2-194)*0.1318</f>
        <v>77.748556399999998</v>
      </c>
      <c r="AE2" s="33">
        <f>E2-H2-AD2-194</f>
        <v>512.14944360000004</v>
      </c>
    </row>
    <row r="3" spans="1:31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Water!C4</f>
        <v>760</v>
      </c>
      <c r="F3" s="35">
        <f>Water!E4</f>
        <v>340</v>
      </c>
      <c r="G3" s="35">
        <f>Water!G4</f>
        <v>315.89999999999998</v>
      </c>
      <c r="H3" s="35">
        <f>Water!I4</f>
        <v>4.7789999999999999</v>
      </c>
      <c r="I3" s="35">
        <f>ELECT.!F4</f>
        <v>15535</v>
      </c>
      <c r="J3" s="35">
        <f>ELECT.!H4</f>
        <v>41382</v>
      </c>
      <c r="K3" s="35">
        <f>ELECT.!K4</f>
        <v>10864</v>
      </c>
      <c r="L3" s="35">
        <f>ELECT.!M4</f>
        <v>5484</v>
      </c>
      <c r="M3" s="35">
        <f>ELECT.!O4</f>
        <v>9812</v>
      </c>
      <c r="N3" s="35">
        <f>ELECT.!Q4</f>
        <v>2439</v>
      </c>
      <c r="O3" s="35">
        <f>ELECT.!S4</f>
        <v>10776</v>
      </c>
      <c r="P3" s="35">
        <f>ELECT.!W4*2</f>
        <v>21876</v>
      </c>
      <c r="Q3" s="35">
        <f>ELECT.!D4</f>
        <v>320</v>
      </c>
      <c r="R3" s="128">
        <f>BTU!C4</f>
        <v>3.8559999999997672</v>
      </c>
      <c r="S3" s="128">
        <f>BTU!F4</f>
        <v>0.98599999999987631</v>
      </c>
      <c r="T3" s="128">
        <f>BTU!I4</f>
        <v>3</v>
      </c>
      <c r="U3" s="128">
        <f>BTU!O4</f>
        <v>2.2100000000000364</v>
      </c>
      <c r="V3" s="128">
        <f>BTU!L4</f>
        <v>1.25</v>
      </c>
      <c r="W3" s="128">
        <f>BTU!R4</f>
        <v>0</v>
      </c>
      <c r="X3" s="33">
        <f>ELECT.!B4</f>
        <v>260</v>
      </c>
      <c r="Y3" s="33">
        <f t="shared" ref="Y3:Y31" si="0">I3+J3-(K3+L3+M3+N3+O3+P3)</f>
        <v>-4334</v>
      </c>
      <c r="Z3">
        <f>'Mall, Citadel, Rotana'!C4+'Mall, Citadel, Rotana'!E4+'Mall, Citadel, Rotana'!G4+'Mall, Citadel, Rotana'!I4</f>
        <v>1378</v>
      </c>
      <c r="AA3">
        <f>'Mall, Citadel, Rotana'!K4+'Mall, Citadel, Rotana'!M4</f>
        <v>223</v>
      </c>
      <c r="AB3">
        <f>'Mall, Citadel, Rotana'!O4</f>
        <v>4</v>
      </c>
      <c r="AC3">
        <f>'Mall, Citadel, Rotana'!Q4+'Mall, Citadel, Rotana'!S4</f>
        <v>119</v>
      </c>
      <c r="AD3" s="33">
        <f t="shared" ref="AD3:AD31" si="1">(E3-H3-194)*0.1318</f>
        <v>73.968927800000003</v>
      </c>
      <c r="AE3" s="33">
        <f t="shared" ref="AE3:AE31" si="2">E3-H3-AD3-194</f>
        <v>487.25207220000004</v>
      </c>
    </row>
    <row r="4" spans="1:31" x14ac:dyDescent="0.2">
      <c r="A4" s="46" t="s">
        <v>51</v>
      </c>
      <c r="B4" s="51">
        <f t="shared" ref="B4:B32" si="3">B3+1</f>
        <v>3</v>
      </c>
      <c r="C4" s="51">
        <v>12</v>
      </c>
      <c r="D4" s="51">
        <v>2022</v>
      </c>
      <c r="E4" s="35">
        <f>Water!C5</f>
        <v>730</v>
      </c>
      <c r="F4" s="35">
        <f>Water!E5</f>
        <v>370</v>
      </c>
      <c r="G4" s="35">
        <f>Water!G5</f>
        <v>348.3</v>
      </c>
      <c r="H4" s="35">
        <f>Water!I5</f>
        <v>5.859</v>
      </c>
      <c r="I4" s="35">
        <f>ELECT.!F5</f>
        <v>14044</v>
      </c>
      <c r="J4" s="35">
        <f>ELECT.!H5</f>
        <v>38432</v>
      </c>
      <c r="K4" s="35">
        <f>ELECT.!K5</f>
        <v>10946</v>
      </c>
      <c r="L4" s="35">
        <f>ELECT.!M5</f>
        <v>4896</v>
      </c>
      <c r="M4" s="35">
        <f>ELECT.!O5</f>
        <v>9014</v>
      </c>
      <c r="N4" s="35">
        <f>ELECT.!Q5</f>
        <v>2292</v>
      </c>
      <c r="O4" s="35">
        <f>ELECT.!S5</f>
        <v>9832</v>
      </c>
      <c r="P4" s="35">
        <f>ELECT.!W5*2</f>
        <v>19922</v>
      </c>
      <c r="Q4" s="35">
        <f>ELECT.!D5</f>
        <v>480</v>
      </c>
      <c r="R4" s="128">
        <f>BTU!C5</f>
        <v>3.8090000000011059</v>
      </c>
      <c r="S4" s="128">
        <f>BTU!F5</f>
        <v>0.49799999999959255</v>
      </c>
      <c r="T4" s="128">
        <f>BTU!I5</f>
        <v>3</v>
      </c>
      <c r="U4" s="128">
        <f>BTU!O5</f>
        <v>2.6100000000001273</v>
      </c>
      <c r="V4" s="128">
        <f>BTU!L5</f>
        <v>1.3600000000005821</v>
      </c>
      <c r="W4" s="128">
        <f>BTU!R5</f>
        <v>0</v>
      </c>
      <c r="X4" s="33">
        <f>ELECT.!B5</f>
        <v>313</v>
      </c>
      <c r="Y4" s="33">
        <f t="shared" si="0"/>
        <v>-4426</v>
      </c>
      <c r="Z4">
        <f>'Mall, Citadel, Rotana'!C5+'Mall, Citadel, Rotana'!E5+'Mall, Citadel, Rotana'!G5+'Mall, Citadel, Rotana'!I5</f>
        <v>1191</v>
      </c>
      <c r="AA4">
        <f>'Mall, Citadel, Rotana'!K5+'Mall, Citadel, Rotana'!M5</f>
        <v>257</v>
      </c>
      <c r="AB4">
        <f>'Mall, Citadel, Rotana'!O5</f>
        <v>3</v>
      </c>
      <c r="AC4">
        <f>'Mall, Citadel, Rotana'!Q5+'Mall, Citadel, Rotana'!S5</f>
        <v>122</v>
      </c>
      <c r="AD4" s="33">
        <f t="shared" si="1"/>
        <v>69.872583800000001</v>
      </c>
      <c r="AE4" s="33">
        <f t="shared" si="2"/>
        <v>460.26841619999993</v>
      </c>
    </row>
    <row r="5" spans="1:31" x14ac:dyDescent="0.2">
      <c r="A5" s="46" t="s">
        <v>51</v>
      </c>
      <c r="B5" s="51">
        <f t="shared" si="3"/>
        <v>4</v>
      </c>
      <c r="C5" s="51">
        <v>12</v>
      </c>
      <c r="D5" s="51">
        <v>2022</v>
      </c>
      <c r="E5" s="35">
        <f>Water!C6</f>
        <v>680</v>
      </c>
      <c r="F5" s="35">
        <f>Water!E6</f>
        <v>360</v>
      </c>
      <c r="G5" s="35">
        <f>Water!G6</f>
        <v>297</v>
      </c>
      <c r="H5" s="35">
        <f>Water!I6</f>
        <v>5.8049999999999997</v>
      </c>
      <c r="I5" s="35">
        <f>ELECT.!F6</f>
        <v>13759</v>
      </c>
      <c r="J5" s="35">
        <f>ELECT.!H6</f>
        <v>36931</v>
      </c>
      <c r="K5" s="35">
        <f>ELECT.!K6</f>
        <v>11004</v>
      </c>
      <c r="L5" s="35">
        <f>ELECT.!M6</f>
        <v>4986</v>
      </c>
      <c r="M5" s="35">
        <f>ELECT.!O6</f>
        <v>8612</v>
      </c>
      <c r="N5" s="35">
        <f>ELECT.!Q6</f>
        <v>2268</v>
      </c>
      <c r="O5" s="35">
        <f>ELECT.!S6</f>
        <v>9195</v>
      </c>
      <c r="P5" s="35">
        <f>ELECT.!W6*2</f>
        <v>19112</v>
      </c>
      <c r="Q5" s="35">
        <f>ELECT.!D6</f>
        <v>320</v>
      </c>
      <c r="R5" s="128">
        <f>BTU!C6</f>
        <v>3.9269999999996799</v>
      </c>
      <c r="S5" s="128">
        <f>BTU!F6</f>
        <v>1.1000000000003638</v>
      </c>
      <c r="T5" s="128">
        <f>BTU!I6</f>
        <v>4</v>
      </c>
      <c r="U5" s="128">
        <f>BTU!O6</f>
        <v>2.4739999999997053</v>
      </c>
      <c r="V5" s="128">
        <f>BTU!L6</f>
        <v>1.2800000000006548</v>
      </c>
      <c r="W5" s="128">
        <f>BTU!R6</f>
        <v>0</v>
      </c>
      <c r="X5" s="33">
        <f>ELECT.!B6</f>
        <v>263</v>
      </c>
      <c r="Y5" s="33">
        <f t="shared" si="0"/>
        <v>-4487</v>
      </c>
      <c r="Z5">
        <f>'Mall, Citadel, Rotana'!C6+'Mall, Citadel, Rotana'!E6+'Mall, Citadel, Rotana'!G6+'Mall, Citadel, Rotana'!I6</f>
        <v>1205</v>
      </c>
      <c r="AA5">
        <f>'Mall, Citadel, Rotana'!K6+'Mall, Citadel, Rotana'!M6</f>
        <v>405</v>
      </c>
      <c r="AB5">
        <f>'Mall, Citadel, Rotana'!O6</f>
        <v>3</v>
      </c>
      <c r="AC5">
        <f>'Mall, Citadel, Rotana'!Q6+'Mall, Citadel, Rotana'!S6</f>
        <v>120</v>
      </c>
      <c r="AD5" s="33">
        <f t="shared" si="1"/>
        <v>63.289701000000008</v>
      </c>
      <c r="AE5" s="33">
        <f t="shared" si="2"/>
        <v>416.90529900000001</v>
      </c>
    </row>
    <row r="6" spans="1:31" x14ac:dyDescent="0.2">
      <c r="A6" s="46" t="s">
        <v>51</v>
      </c>
      <c r="B6" s="51">
        <f t="shared" si="3"/>
        <v>5</v>
      </c>
      <c r="C6" s="51">
        <v>12</v>
      </c>
      <c r="D6" s="51">
        <v>2022</v>
      </c>
      <c r="E6" s="35">
        <f>Water!C7</f>
        <v>680</v>
      </c>
      <c r="F6" s="35">
        <f>Water!E7</f>
        <v>340</v>
      </c>
      <c r="G6" s="35">
        <f>Water!G7</f>
        <v>345.6</v>
      </c>
      <c r="H6" s="35">
        <f>Water!I7</f>
        <v>4.6710000000000003</v>
      </c>
      <c r="I6" s="35">
        <f>ELECT.!F7</f>
        <v>20430</v>
      </c>
      <c r="J6" s="35">
        <f>ELECT.!H7</f>
        <v>53943</v>
      </c>
      <c r="K6" s="35">
        <f>ELECT.!K7</f>
        <v>15420</v>
      </c>
      <c r="L6" s="35">
        <f>ELECT.!M7</f>
        <v>7495</v>
      </c>
      <c r="M6" s="35">
        <f>ELECT.!O7</f>
        <v>12702</v>
      </c>
      <c r="N6" s="35">
        <f>ELECT.!Q7</f>
        <v>3551</v>
      </c>
      <c r="O6" s="35">
        <f>ELECT.!S7</f>
        <v>13239</v>
      </c>
      <c r="P6" s="35">
        <f>ELECT.!W7*2</f>
        <v>28214</v>
      </c>
      <c r="Q6" s="35">
        <f>ELECT.!D7</f>
        <v>480</v>
      </c>
      <c r="R6" s="128">
        <f>BTU!C7</f>
        <v>4.635999999998603</v>
      </c>
      <c r="S6" s="128">
        <f>BTU!F7</f>
        <v>1.5649999999995998</v>
      </c>
      <c r="T6" s="128">
        <f>BTU!I7</f>
        <v>3</v>
      </c>
      <c r="U6" s="128">
        <f>BTU!O7</f>
        <v>2.8930000000000291</v>
      </c>
      <c r="V6" s="128">
        <f>BTU!L7</f>
        <v>1.5499999999992724</v>
      </c>
      <c r="W6" s="128">
        <f>BTU!R7</f>
        <v>0</v>
      </c>
      <c r="X6" s="33">
        <f>ELECT.!B7</f>
        <v>245</v>
      </c>
      <c r="Y6" s="33">
        <f t="shared" si="0"/>
        <v>-6248</v>
      </c>
      <c r="Z6">
        <f>'Mall, Citadel, Rotana'!C7+'Mall, Citadel, Rotana'!E7+'Mall, Citadel, Rotana'!G7+'Mall, Citadel, Rotana'!I7</f>
        <v>1387</v>
      </c>
      <c r="AA6">
        <f>'Mall, Citadel, Rotana'!K7+'Mall, Citadel, Rotana'!M7</f>
        <v>425</v>
      </c>
      <c r="AB6">
        <f>'Mall, Citadel, Rotana'!O7</f>
        <v>4</v>
      </c>
      <c r="AC6">
        <f>'Mall, Citadel, Rotana'!Q7+'Mall, Citadel, Rotana'!S7</f>
        <v>121</v>
      </c>
      <c r="AD6" s="33">
        <f t="shared" si="1"/>
        <v>63.439162199999991</v>
      </c>
      <c r="AE6" s="33">
        <f t="shared" si="2"/>
        <v>417.88983780000001</v>
      </c>
    </row>
    <row r="7" spans="1:31" x14ac:dyDescent="0.2">
      <c r="A7" s="46" t="s">
        <v>51</v>
      </c>
      <c r="B7" s="51">
        <f t="shared" si="3"/>
        <v>6</v>
      </c>
      <c r="C7" s="51">
        <v>12</v>
      </c>
      <c r="D7" s="51">
        <v>2022</v>
      </c>
      <c r="E7" s="35">
        <f>Water!C8</f>
        <v>760</v>
      </c>
      <c r="F7" s="35">
        <f>Water!E8</f>
        <v>370</v>
      </c>
      <c r="G7" s="35">
        <f>Water!G8</f>
        <v>353.7</v>
      </c>
      <c r="H7" s="35">
        <f>Water!I8</f>
        <v>5.9939999999999998</v>
      </c>
      <c r="I7" s="35">
        <f>ELECT.!F8</f>
        <v>14193</v>
      </c>
      <c r="J7" s="35">
        <f>ELECT.!H8</f>
        <v>37746</v>
      </c>
      <c r="K7" s="35">
        <f>ELECT.!K8</f>
        <v>10454</v>
      </c>
      <c r="L7" s="35">
        <f>ELECT.!M8</f>
        <v>5511</v>
      </c>
      <c r="M7" s="35">
        <f>ELECT.!O8</f>
        <v>8498</v>
      </c>
      <c r="N7" s="35">
        <f>ELECT.!Q8</f>
        <v>2370</v>
      </c>
      <c r="O7" s="35">
        <f>ELECT.!S8</f>
        <v>9204</v>
      </c>
      <c r="P7" s="35">
        <f>ELECT.!W8*2</f>
        <v>20064</v>
      </c>
      <c r="Q7" s="35">
        <f>ELECT.!D8</f>
        <v>320</v>
      </c>
      <c r="R7" s="128">
        <f>BTU!C8</f>
        <v>3.8500000000021828</v>
      </c>
      <c r="S7" s="128">
        <f>BTU!F8</f>
        <v>2.0709999999999127</v>
      </c>
      <c r="T7" s="128">
        <f>BTU!I8</f>
        <v>3</v>
      </c>
      <c r="U7" s="128">
        <f>BTU!O8</f>
        <v>2.3830000000002656</v>
      </c>
      <c r="V7" s="128">
        <f>BTU!L8</f>
        <v>1.5</v>
      </c>
      <c r="W7" s="128">
        <f>BTU!R8</f>
        <v>0</v>
      </c>
      <c r="X7" s="33">
        <f>ELECT.!B8</f>
        <v>264</v>
      </c>
      <c r="Y7" s="33">
        <f t="shared" si="0"/>
        <v>-4162</v>
      </c>
      <c r="Z7">
        <f>'Mall, Citadel, Rotana'!C8+'Mall, Citadel, Rotana'!E8+'Mall, Citadel, Rotana'!G8+'Mall, Citadel, Rotana'!I8</f>
        <v>1209</v>
      </c>
      <c r="AA7">
        <f>'Mall, Citadel, Rotana'!K8+'Mall, Citadel, Rotana'!M8</f>
        <v>418</v>
      </c>
      <c r="AB7">
        <f>'Mall, Citadel, Rotana'!O8</f>
        <v>3</v>
      </c>
      <c r="AC7">
        <f>'Mall, Citadel, Rotana'!Q8+'Mall, Citadel, Rotana'!S8</f>
        <v>122</v>
      </c>
      <c r="AD7" s="33">
        <f t="shared" si="1"/>
        <v>73.808790799999997</v>
      </c>
      <c r="AE7" s="33">
        <f t="shared" si="2"/>
        <v>486.19720919999997</v>
      </c>
    </row>
    <row r="8" spans="1:31" x14ac:dyDescent="0.2">
      <c r="A8" s="46" t="s">
        <v>51</v>
      </c>
      <c r="B8" s="51">
        <f t="shared" si="3"/>
        <v>7</v>
      </c>
      <c r="C8" s="51">
        <v>12</v>
      </c>
      <c r="D8" s="51">
        <v>2022</v>
      </c>
      <c r="E8" s="35">
        <f>Water!C9</f>
        <v>740</v>
      </c>
      <c r="F8" s="35">
        <f>Water!E9</f>
        <v>370</v>
      </c>
      <c r="G8" s="35">
        <f>Water!G9</f>
        <v>348.3</v>
      </c>
      <c r="H8" s="35">
        <f>Water!I9</f>
        <v>6.4530000000000003</v>
      </c>
      <c r="I8" s="35">
        <f>ELECT.!F9</f>
        <v>17030</v>
      </c>
      <c r="J8" s="35">
        <f>ELECT.!H9</f>
        <v>48983</v>
      </c>
      <c r="K8" s="35">
        <f>ELECT.!K9</f>
        <v>13276</v>
      </c>
      <c r="L8" s="35">
        <f>ELECT.!M9</f>
        <v>6133</v>
      </c>
      <c r="M8" s="35">
        <f>ELECT.!O9</f>
        <v>10696</v>
      </c>
      <c r="N8" s="35">
        <f>ELECT.!Q9</f>
        <v>3400</v>
      </c>
      <c r="O8" s="35">
        <f>ELECT.!S9</f>
        <v>11785</v>
      </c>
      <c r="P8" s="35">
        <f>ELECT.!W9*2</f>
        <v>26174</v>
      </c>
      <c r="Q8" s="35">
        <f>ELECT.!D9</f>
        <v>480</v>
      </c>
      <c r="R8" s="128">
        <f>BTU!C9</f>
        <v>4.6239999999997963</v>
      </c>
      <c r="S8" s="128">
        <f>BTU!F9</f>
        <v>0.46900000000005093</v>
      </c>
      <c r="T8" s="128">
        <f>BTU!I9</f>
        <v>4</v>
      </c>
      <c r="U8" s="128">
        <f>BTU!O9</f>
        <v>2.9899999999997817</v>
      </c>
      <c r="V8" s="128">
        <f>BTU!L9</f>
        <v>1.3299999999999272</v>
      </c>
      <c r="W8" s="128">
        <f>BTU!R9</f>
        <v>0</v>
      </c>
      <c r="X8" s="33">
        <f>ELECT.!B9</f>
        <v>266</v>
      </c>
      <c r="Y8" s="33">
        <f t="shared" si="0"/>
        <v>-5451</v>
      </c>
      <c r="Z8">
        <f>'Mall, Citadel, Rotana'!C9+'Mall, Citadel, Rotana'!E9+'Mall, Citadel, Rotana'!G9+'Mall, Citadel, Rotana'!I9</f>
        <v>1202</v>
      </c>
      <c r="AA8">
        <f>'Mall, Citadel, Rotana'!K9+'Mall, Citadel, Rotana'!M9</f>
        <v>281</v>
      </c>
      <c r="AB8">
        <f>'Mall, Citadel, Rotana'!O9</f>
        <v>3</v>
      </c>
      <c r="AC8">
        <f>'Mall, Citadel, Rotana'!Q9+'Mall, Citadel, Rotana'!S9</f>
        <v>109</v>
      </c>
      <c r="AD8" s="33">
        <f t="shared" si="1"/>
        <v>71.112294599999998</v>
      </c>
      <c r="AE8" s="33">
        <f t="shared" si="2"/>
        <v>468.43470539999998</v>
      </c>
    </row>
    <row r="9" spans="1:31" x14ac:dyDescent="0.2">
      <c r="A9" s="46" t="s">
        <v>51</v>
      </c>
      <c r="B9" s="51">
        <f t="shared" si="3"/>
        <v>8</v>
      </c>
      <c r="C9" s="51">
        <v>12</v>
      </c>
      <c r="D9" s="51">
        <v>2022</v>
      </c>
      <c r="E9" s="35">
        <f>Water!C10</f>
        <v>690</v>
      </c>
      <c r="F9" s="35">
        <f>Water!E10</f>
        <v>350</v>
      </c>
      <c r="G9" s="35">
        <f>Water!G10</f>
        <v>329.4</v>
      </c>
      <c r="H9" s="35">
        <f>Water!I10</f>
        <v>5.4809999999999999</v>
      </c>
      <c r="I9" s="35">
        <f>ELECT.!F10</f>
        <v>9903</v>
      </c>
      <c r="J9" s="35">
        <f>ELECT.!H10</f>
        <v>30017</v>
      </c>
      <c r="K9" s="35">
        <f>ELECT.!K10</f>
        <v>8414</v>
      </c>
      <c r="L9" s="35">
        <f>ELECT.!M10</f>
        <v>3884</v>
      </c>
      <c r="M9" s="35">
        <f>ELECT.!O10</f>
        <v>5876</v>
      </c>
      <c r="N9" s="35">
        <f>ELECT.!Q10</f>
        <v>2524</v>
      </c>
      <c r="O9" s="35">
        <f>ELECT.!S10</f>
        <v>7263</v>
      </c>
      <c r="P9" s="35">
        <f>ELECT.!W10*2</f>
        <v>15392</v>
      </c>
      <c r="Q9" s="35">
        <f>ELECT.!D10</f>
        <v>320</v>
      </c>
      <c r="R9" s="128">
        <f>BTU!C10</f>
        <v>2.2969999999986612</v>
      </c>
      <c r="S9" s="128">
        <f>BTU!F10</f>
        <v>0.69500000000061846</v>
      </c>
      <c r="T9" s="128">
        <f>BTU!I10</f>
        <v>2</v>
      </c>
      <c r="U9" s="128">
        <f>BTU!O10</f>
        <v>1.3679999999999382</v>
      </c>
      <c r="V9" s="128">
        <f>BTU!L10</f>
        <v>0.4500000000007276</v>
      </c>
      <c r="W9" s="128">
        <f>BTU!R10</f>
        <v>0</v>
      </c>
      <c r="X9" s="33">
        <f>ELECT.!B10</f>
        <v>255</v>
      </c>
      <c r="Y9" s="33">
        <f t="shared" si="0"/>
        <v>-3433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429</v>
      </c>
      <c r="AB9">
        <f>'Mall, Citadel, Rotana'!O10</f>
        <v>4</v>
      </c>
      <c r="AC9">
        <f>'Mall, Citadel, Rotana'!Q10+'Mall, Citadel, Rotana'!S10</f>
        <v>113</v>
      </c>
      <c r="AD9" s="33">
        <f t="shared" si="1"/>
        <v>64.650404199999997</v>
      </c>
      <c r="AE9" s="33">
        <f t="shared" si="2"/>
        <v>425.86859579999998</v>
      </c>
    </row>
    <row r="10" spans="1:31" x14ac:dyDescent="0.2">
      <c r="A10" s="46" t="s">
        <v>51</v>
      </c>
      <c r="B10" s="51">
        <f t="shared" si="3"/>
        <v>9</v>
      </c>
      <c r="C10" s="51">
        <v>12</v>
      </c>
      <c r="D10" s="51">
        <v>2022</v>
      </c>
      <c r="E10" s="35">
        <f>Water!C11</f>
        <v>740</v>
      </c>
      <c r="F10" s="35">
        <f>Water!E11</f>
        <v>340</v>
      </c>
      <c r="G10" s="35">
        <f>Water!G11</f>
        <v>383.4</v>
      </c>
      <c r="H10" s="35">
        <f>Water!I11</f>
        <v>4.9409999999999998</v>
      </c>
      <c r="I10" s="35">
        <f>ELECT.!F11</f>
        <v>17887</v>
      </c>
      <c r="J10" s="35">
        <f>ELECT.!H11</f>
        <v>50247</v>
      </c>
      <c r="K10" s="35">
        <f>ELECT.!K11</f>
        <v>12758</v>
      </c>
      <c r="L10" s="35">
        <f>ELECT.!M11</f>
        <v>6836</v>
      </c>
      <c r="M10" s="35">
        <f>ELECT.!O11</f>
        <v>10818</v>
      </c>
      <c r="N10" s="35">
        <f>ELECT.!Q11</f>
        <v>3243</v>
      </c>
      <c r="O10" s="35">
        <f>ELECT.!S11</f>
        <v>12852</v>
      </c>
      <c r="P10" s="35">
        <f>ELECT.!W11*2</f>
        <v>26776</v>
      </c>
      <c r="Q10" s="35">
        <f>ELECT.!D11</f>
        <v>320</v>
      </c>
      <c r="R10" s="128">
        <f>BTU!C11</f>
        <v>3.5300000000024738</v>
      </c>
      <c r="S10" s="128">
        <f>BTU!F11</f>
        <v>0.67299999999977445</v>
      </c>
      <c r="T10" s="128">
        <f>BTU!I11</f>
        <v>3</v>
      </c>
      <c r="U10" s="128">
        <f>BTU!O11</f>
        <v>2.4630000000001928</v>
      </c>
      <c r="V10" s="128">
        <f>BTU!L11</f>
        <v>1.1199999999989814</v>
      </c>
      <c r="W10" s="128">
        <f>BTU!R11</f>
        <v>0</v>
      </c>
      <c r="X10" s="33">
        <f>ELECT.!B11</f>
        <v>265</v>
      </c>
      <c r="Y10" s="33">
        <f t="shared" si="0"/>
        <v>-5149</v>
      </c>
      <c r="Z10">
        <f>'Mall, Citadel, Rotana'!C11+'Mall, Citadel, Rotana'!E11+'Mall, Citadel, Rotana'!G11+'Mall, Citadel, Rotana'!I11</f>
        <v>1378</v>
      </c>
      <c r="AA10">
        <f>'Mall, Citadel, Rotana'!K11+'Mall, Citadel, Rotana'!M11</f>
        <v>215</v>
      </c>
      <c r="AB10">
        <f>'Mall, Citadel, Rotana'!O11</f>
        <v>3</v>
      </c>
      <c r="AC10">
        <f>'Mall, Citadel, Rotana'!Q11+'Mall, Citadel, Rotana'!S11</f>
        <v>120</v>
      </c>
      <c r="AD10" s="33">
        <f t="shared" si="1"/>
        <v>71.31157619999999</v>
      </c>
      <c r="AE10" s="33">
        <f t="shared" si="2"/>
        <v>469.74742379999998</v>
      </c>
    </row>
    <row r="11" spans="1:31" x14ac:dyDescent="0.2">
      <c r="A11" s="46" t="s">
        <v>51</v>
      </c>
      <c r="B11" s="51">
        <f t="shared" si="3"/>
        <v>10</v>
      </c>
      <c r="C11" s="51">
        <v>12</v>
      </c>
      <c r="D11" s="51">
        <v>2022</v>
      </c>
      <c r="E11" s="35">
        <f>Water!C12</f>
        <v>740</v>
      </c>
      <c r="F11" s="35">
        <f>Water!E12</f>
        <v>360</v>
      </c>
      <c r="G11" s="35">
        <f>Water!G12</f>
        <v>359.1</v>
      </c>
      <c r="H11" s="35">
        <f>Water!I12</f>
        <v>5.5350000000000001</v>
      </c>
      <c r="I11" s="35">
        <f>ELECT.!F12</f>
        <v>14419</v>
      </c>
      <c r="J11" s="35">
        <f>ELECT.!H12</f>
        <v>40201</v>
      </c>
      <c r="K11" s="35">
        <f>ELECT.!K12</f>
        <v>10468</v>
      </c>
      <c r="L11" s="35">
        <f>ELECT.!M12</f>
        <v>5404</v>
      </c>
      <c r="M11" s="35">
        <f>ELECT.!O12</f>
        <v>8828</v>
      </c>
      <c r="N11" s="35">
        <f>ELECT.!Q12</f>
        <v>2681</v>
      </c>
      <c r="O11" s="35">
        <f>ELECT.!S12</f>
        <v>10244</v>
      </c>
      <c r="P11" s="35">
        <f>ELECT.!W12*2</f>
        <v>21156</v>
      </c>
      <c r="Q11" s="35">
        <f>ELECT.!D12</f>
        <v>480</v>
      </c>
      <c r="R11" s="128">
        <f>BTU!C12</f>
        <v>3.6440000000002328</v>
      </c>
      <c r="S11" s="128">
        <f>BTU!F12</f>
        <v>0.65799999999944703</v>
      </c>
      <c r="T11" s="128">
        <f>BTU!I12</f>
        <v>3</v>
      </c>
      <c r="U11" s="128">
        <f>BTU!O12</f>
        <v>2.2649999999998727</v>
      </c>
      <c r="V11" s="128">
        <f>BTU!L12</f>
        <v>1.0200000000004366</v>
      </c>
      <c r="W11" s="128">
        <f>BTU!R12</f>
        <v>0</v>
      </c>
      <c r="X11" s="33">
        <f>ELECT.!B12</f>
        <v>240</v>
      </c>
      <c r="Y11" s="33">
        <f t="shared" si="0"/>
        <v>-4161</v>
      </c>
      <c r="Z11">
        <f>'Mall, Citadel, Rotana'!C12+'Mall, Citadel, Rotana'!E12+'Mall, Citadel, Rotana'!G12+'Mall, Citadel, Rotana'!I12</f>
        <v>1203</v>
      </c>
      <c r="AA11">
        <f>'Mall, Citadel, Rotana'!K12+'Mall, Citadel, Rotana'!M12</f>
        <v>261</v>
      </c>
      <c r="AB11">
        <f>'Mall, Citadel, Rotana'!O12</f>
        <v>3</v>
      </c>
      <c r="AC11">
        <f>'Mall, Citadel, Rotana'!Q12+'Mall, Citadel, Rotana'!S12</f>
        <v>84</v>
      </c>
      <c r="AD11" s="33">
        <f t="shared" si="1"/>
        <v>71.233287000000004</v>
      </c>
      <c r="AE11" s="33">
        <f t="shared" si="2"/>
        <v>469.23171300000001</v>
      </c>
    </row>
    <row r="12" spans="1:31" x14ac:dyDescent="0.2">
      <c r="A12" s="46" t="s">
        <v>51</v>
      </c>
      <c r="B12" s="51">
        <f t="shared" si="3"/>
        <v>11</v>
      </c>
      <c r="C12" s="51">
        <v>12</v>
      </c>
      <c r="D12" s="51">
        <v>2022</v>
      </c>
      <c r="E12" s="35">
        <f>Water!C13</f>
        <v>720</v>
      </c>
      <c r="F12" s="35">
        <f>Water!E13</f>
        <v>360</v>
      </c>
      <c r="G12" s="35">
        <f>Water!G13</f>
        <v>318.60000000000002</v>
      </c>
      <c r="H12" s="35">
        <f>Water!I13</f>
        <v>6.3449999999999998</v>
      </c>
      <c r="I12" s="35">
        <f>ELECT.!F13</f>
        <v>17340</v>
      </c>
      <c r="J12" s="35">
        <f>ELECT.!H13</f>
        <v>47767</v>
      </c>
      <c r="K12" s="35">
        <f>ELECT.!K13</f>
        <v>13514</v>
      </c>
      <c r="L12" s="35">
        <f>ELECT.!M13</f>
        <v>6738</v>
      </c>
      <c r="M12" s="35">
        <f>ELECT.!O13</f>
        <v>10386</v>
      </c>
      <c r="N12" s="35">
        <f>ELECT.!Q13</f>
        <v>2908</v>
      </c>
      <c r="O12" s="35">
        <f>ELECT.!S13</f>
        <v>11887</v>
      </c>
      <c r="P12" s="35">
        <f>ELECT.!W13*2</f>
        <v>25200</v>
      </c>
      <c r="Q12" s="35">
        <f>ELECT.!D13</f>
        <v>480</v>
      </c>
      <c r="R12" s="128">
        <f>BTU!C13</f>
        <v>3.6069999999999709</v>
      </c>
      <c r="S12" s="128">
        <f>BTU!F13</f>
        <v>0.92200000000048021</v>
      </c>
      <c r="T12" s="128">
        <f>BTU!I13</f>
        <v>3</v>
      </c>
      <c r="U12" s="128">
        <f>BTU!O13</f>
        <v>1.5090000000000146</v>
      </c>
      <c r="V12" s="128">
        <f>BTU!L13</f>
        <v>0.97000000000116415</v>
      </c>
      <c r="W12" s="128">
        <f>BTU!R13</f>
        <v>0</v>
      </c>
      <c r="X12" s="33">
        <f>ELECT.!B13</f>
        <v>168</v>
      </c>
      <c r="Y12" s="33">
        <f t="shared" si="0"/>
        <v>-5526</v>
      </c>
      <c r="Z12">
        <f>'Mall, Citadel, Rotana'!C13+'Mall, Citadel, Rotana'!E13+'Mall, Citadel, Rotana'!G13+'Mall, Citadel, Rotana'!I13</f>
        <v>1202</v>
      </c>
      <c r="AA12">
        <f>'Mall, Citadel, Rotana'!K13+'Mall, Citadel, Rotana'!M13</f>
        <v>414</v>
      </c>
      <c r="AB12">
        <f>'Mall, Citadel, Rotana'!O13</f>
        <v>3</v>
      </c>
      <c r="AC12">
        <f>'Mall, Citadel, Rotana'!Q13+'Mall, Citadel, Rotana'!S13</f>
        <v>0</v>
      </c>
      <c r="AD12" s="33">
        <f t="shared" si="1"/>
        <v>68.490528999999995</v>
      </c>
      <c r="AE12" s="33">
        <f t="shared" si="2"/>
        <v>451.16447099999993</v>
      </c>
    </row>
    <row r="13" spans="1:31" x14ac:dyDescent="0.2">
      <c r="A13" s="46" t="s">
        <v>51</v>
      </c>
      <c r="B13" s="51">
        <f t="shared" si="3"/>
        <v>12</v>
      </c>
      <c r="C13" s="51">
        <v>12</v>
      </c>
      <c r="D13" s="51">
        <v>2022</v>
      </c>
      <c r="E13" s="35">
        <f>Water!C14</f>
        <v>720</v>
      </c>
      <c r="F13" s="35">
        <f>Water!E14</f>
        <v>360</v>
      </c>
      <c r="G13" s="35">
        <f>Water!G14</f>
        <v>351</v>
      </c>
      <c r="H13" s="35">
        <f>Water!I14</f>
        <v>5.9130000000000003</v>
      </c>
      <c r="I13" s="35">
        <f>ELECT.!F14</f>
        <v>9953</v>
      </c>
      <c r="J13" s="35">
        <f>ELECT.!H14</f>
        <v>27816</v>
      </c>
      <c r="K13" s="35">
        <f>ELECT.!K14</f>
        <v>8156</v>
      </c>
      <c r="L13" s="35">
        <f>ELECT.!M14</f>
        <v>3956</v>
      </c>
      <c r="M13" s="35">
        <f>ELECT.!O14</f>
        <v>5868</v>
      </c>
      <c r="N13" s="35">
        <f>ELECT.!Q14</f>
        <v>1812</v>
      </c>
      <c r="O13" s="35">
        <f>ELECT.!S14</f>
        <v>6650</v>
      </c>
      <c r="P13" s="35">
        <f>ELECT.!W14*2</f>
        <v>14674</v>
      </c>
      <c r="Q13" s="35">
        <f>ELECT.!D14</f>
        <v>480</v>
      </c>
      <c r="R13" s="128">
        <f>BTU!C14</f>
        <v>3.3489999999983411</v>
      </c>
      <c r="S13" s="128">
        <f>BTU!F14</f>
        <v>1.1390000000001237</v>
      </c>
      <c r="T13" s="128">
        <f>BTU!I14</f>
        <v>3</v>
      </c>
      <c r="U13" s="128">
        <f>BTU!O14</f>
        <v>3.3000000000001819</v>
      </c>
      <c r="V13" s="128">
        <f>BTU!L14</f>
        <v>0.96999999999934516</v>
      </c>
      <c r="W13" s="128">
        <f>BTU!R14</f>
        <v>0</v>
      </c>
      <c r="X13" s="33">
        <f>ELECT.!B14</f>
        <v>235</v>
      </c>
      <c r="Y13" s="33">
        <f t="shared" si="0"/>
        <v>-3347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355</v>
      </c>
      <c r="AB13">
        <f>'Mall, Citadel, Rotana'!O14</f>
        <v>3</v>
      </c>
      <c r="AC13">
        <f>'Mall, Citadel, Rotana'!Q14+'Mall, Citadel, Rotana'!S14</f>
        <v>257</v>
      </c>
      <c r="AD13" s="33">
        <f t="shared" si="1"/>
        <v>68.547466599999993</v>
      </c>
      <c r="AE13" s="33">
        <f t="shared" si="2"/>
        <v>451.53953339999998</v>
      </c>
    </row>
    <row r="14" spans="1:31" x14ac:dyDescent="0.2">
      <c r="A14" s="46" t="s">
        <v>51</v>
      </c>
      <c r="B14" s="51">
        <f t="shared" si="3"/>
        <v>13</v>
      </c>
      <c r="C14" s="51">
        <v>12</v>
      </c>
      <c r="D14" s="51">
        <v>2022</v>
      </c>
      <c r="E14" s="35">
        <f>Water!C15</f>
        <v>730</v>
      </c>
      <c r="F14" s="35">
        <f>Water!E15</f>
        <v>380</v>
      </c>
      <c r="G14" s="35">
        <f>Water!G15</f>
        <v>321.3</v>
      </c>
      <c r="H14" s="35">
        <f>Water!I15</f>
        <v>8.0190000000000001</v>
      </c>
      <c r="I14" s="35">
        <f>ELECT.!F15</f>
        <v>17712</v>
      </c>
      <c r="J14" s="35">
        <f>ELECT.!H15</f>
        <v>47875</v>
      </c>
      <c r="K14" s="35">
        <f>ELECT.!K15</f>
        <v>14196</v>
      </c>
      <c r="L14" s="35">
        <f>ELECT.!M15</f>
        <v>7113</v>
      </c>
      <c r="M14" s="35">
        <f>ELECT.!O15</f>
        <v>10396</v>
      </c>
      <c r="N14" s="35">
        <f>ELECT.!Q15</f>
        <v>3122</v>
      </c>
      <c r="O14" s="35">
        <f>ELECT.!S15</f>
        <v>11712</v>
      </c>
      <c r="P14" s="35">
        <f>ELECT.!W15*2</f>
        <v>24926</v>
      </c>
      <c r="Q14" s="35">
        <f>ELECT.!D15</f>
        <v>480</v>
      </c>
      <c r="R14" s="128">
        <f>BTU!C15</f>
        <v>3.7510000000002037</v>
      </c>
      <c r="S14" s="128">
        <f>BTU!F15</f>
        <v>1.069999999999709</v>
      </c>
      <c r="T14" s="128">
        <f>BTU!I15</f>
        <v>3</v>
      </c>
      <c r="U14" s="128">
        <f>BTU!O15</f>
        <v>2.2300000000000182</v>
      </c>
      <c r="V14" s="128">
        <f>BTU!L15</f>
        <v>0.96999999999934516</v>
      </c>
      <c r="W14" s="128">
        <f>BTU!R15</f>
        <v>0</v>
      </c>
      <c r="X14" s="33">
        <f>ELECT.!B15</f>
        <v>151</v>
      </c>
      <c r="Y14" s="33">
        <f t="shared" si="0"/>
        <v>-5878</v>
      </c>
      <c r="Z14">
        <f>'Mall, Citadel, Rotana'!C15+'Mall, Citadel, Rotana'!E15+'Mall, Citadel, Rotana'!G15+'Mall, Citadel, Rotana'!I15</f>
        <v>1215</v>
      </c>
      <c r="AA14">
        <f>'Mall, Citadel, Rotana'!K15+'Mall, Citadel, Rotana'!M15</f>
        <v>415</v>
      </c>
      <c r="AB14">
        <f>'Mall, Citadel, Rotana'!O15</f>
        <v>3</v>
      </c>
      <c r="AC14">
        <f>'Mall, Citadel, Rotana'!Q15+'Mall, Citadel, Rotana'!S15</f>
        <v>0</v>
      </c>
      <c r="AD14" s="33">
        <f t="shared" si="1"/>
        <v>69.587895799999998</v>
      </c>
      <c r="AE14" s="33">
        <f t="shared" si="2"/>
        <v>458.39310420000004</v>
      </c>
    </row>
    <row r="15" spans="1:31" x14ac:dyDescent="0.2">
      <c r="A15" s="46" t="s">
        <v>51</v>
      </c>
      <c r="B15" s="51">
        <f t="shared" si="3"/>
        <v>14</v>
      </c>
      <c r="C15" s="51">
        <v>12</v>
      </c>
      <c r="D15" s="51">
        <v>2022</v>
      </c>
      <c r="E15" s="35">
        <f>Water!C16</f>
        <v>680</v>
      </c>
      <c r="F15" s="35">
        <f>Water!E16</f>
        <v>380</v>
      </c>
      <c r="G15" s="35">
        <f>Water!G16</f>
        <v>342.9</v>
      </c>
      <c r="H15" s="35">
        <f>Water!I16</f>
        <v>1.998</v>
      </c>
      <c r="I15" s="35">
        <f>ELECT.!F16</f>
        <v>10423</v>
      </c>
      <c r="J15" s="35">
        <f>ELECT.!H16</f>
        <v>48590</v>
      </c>
      <c r="K15" s="35">
        <f>ELECT.!K16</f>
        <v>11962</v>
      </c>
      <c r="L15" s="35">
        <f>ELECT.!M16</f>
        <v>6121</v>
      </c>
      <c r="M15" s="35">
        <f>ELECT.!O16</f>
        <v>12510</v>
      </c>
      <c r="N15" s="35">
        <f>ELECT.!Q16</f>
        <v>8163</v>
      </c>
      <c r="O15" s="35">
        <f>ELECT.!S16</f>
        <v>10813</v>
      </c>
      <c r="P15" s="35">
        <f>ELECT.!W16*2</f>
        <v>22664</v>
      </c>
      <c r="Q15" s="35">
        <f>ELECT.!D16</f>
        <v>320</v>
      </c>
      <c r="R15" s="128">
        <f>BTU!C16</f>
        <v>4.2520000000004075</v>
      </c>
      <c r="S15" s="128">
        <f>BTU!F16</f>
        <v>1.1329999999998108</v>
      </c>
      <c r="T15" s="128">
        <f>BTU!I16</f>
        <v>6</v>
      </c>
      <c r="U15" s="128">
        <f>BTU!O16</f>
        <v>2.2019999999997708</v>
      </c>
      <c r="V15" s="128">
        <f>BTU!L16</f>
        <v>1.2700000000004366</v>
      </c>
      <c r="W15" s="128">
        <f>BTU!R16</f>
        <v>0</v>
      </c>
      <c r="X15" s="33">
        <f>ELECT.!B16</f>
        <v>204</v>
      </c>
      <c r="Y15" s="33">
        <f t="shared" si="0"/>
        <v>-13220</v>
      </c>
      <c r="Z15">
        <f>'Mall, Citadel, Rotana'!C16+'Mall, Citadel, Rotana'!E16+'Mall, Citadel, Rotana'!G16+'Mall, Citadel, Rotana'!I16</f>
        <v>1205</v>
      </c>
      <c r="AA15">
        <f>'Mall, Citadel, Rotana'!K16+'Mall, Citadel, Rotana'!M16</f>
        <v>416</v>
      </c>
      <c r="AB15">
        <f>'Mall, Citadel, Rotana'!O16</f>
        <v>4</v>
      </c>
      <c r="AC15">
        <f>'Mall, Citadel, Rotana'!Q16+'Mall, Citadel, Rotana'!S16</f>
        <v>0</v>
      </c>
      <c r="AD15" s="33">
        <f t="shared" si="1"/>
        <v>63.791463599999993</v>
      </c>
      <c r="AE15" s="33">
        <f t="shared" si="2"/>
        <v>420.21053639999991</v>
      </c>
    </row>
    <row r="16" spans="1:31" x14ac:dyDescent="0.2">
      <c r="A16" s="46" t="s">
        <v>51</v>
      </c>
      <c r="B16" s="51">
        <f t="shared" si="3"/>
        <v>15</v>
      </c>
      <c r="C16" s="51">
        <v>12</v>
      </c>
      <c r="D16" s="51">
        <v>2022</v>
      </c>
      <c r="E16" s="35">
        <f>Water!C17</f>
        <v>760</v>
      </c>
      <c r="F16" s="35">
        <f>Water!E17</f>
        <v>370</v>
      </c>
      <c r="G16" s="35">
        <f>Water!G17</f>
        <v>348.3</v>
      </c>
      <c r="H16" s="35">
        <f>Water!I17</f>
        <v>4.9409999999999998</v>
      </c>
      <c r="I16" s="35">
        <f>ELECT.!F17</f>
        <v>29178</v>
      </c>
      <c r="J16" s="35">
        <f>ELECT.!H17</f>
        <v>22444</v>
      </c>
      <c r="K16" s="35">
        <f>ELECT.!K17</f>
        <v>10570</v>
      </c>
      <c r="L16" s="35">
        <f>ELECT.!M17</f>
        <v>5324</v>
      </c>
      <c r="M16" s="35">
        <f>ELECT.!O17</f>
        <v>11150</v>
      </c>
      <c r="N16" s="35">
        <f>ELECT.!Q17</f>
        <v>3954</v>
      </c>
      <c r="O16" s="35">
        <f>ELECT.!S17</f>
        <v>9494</v>
      </c>
      <c r="P16" s="35">
        <f>ELECT.!W17*2</f>
        <v>6984</v>
      </c>
      <c r="Q16" s="35">
        <f>ELECT.!D17</f>
        <v>320</v>
      </c>
      <c r="R16" s="128">
        <f>BTU!C17</f>
        <v>2.9279999999998836</v>
      </c>
      <c r="S16" s="128">
        <f>BTU!F17</f>
        <v>1.0020000000004075</v>
      </c>
      <c r="T16" s="128">
        <f>BTU!I17</f>
        <v>0</v>
      </c>
      <c r="U16" s="128">
        <f>BTU!O17</f>
        <v>1.9160000000001673</v>
      </c>
      <c r="V16" s="128">
        <f>BTU!L17</f>
        <v>0.84000000000014552</v>
      </c>
      <c r="W16" s="128">
        <f>BTU!R17</f>
        <v>0</v>
      </c>
      <c r="X16" s="33">
        <f>ELECT.!B17</f>
        <v>237</v>
      </c>
      <c r="Y16" s="33">
        <f t="shared" si="0"/>
        <v>4146</v>
      </c>
      <c r="Z16">
        <f>'Mall, Citadel, Rotana'!C17+'Mall, Citadel, Rotana'!E17+'Mall, Citadel, Rotana'!G17+'Mall, Citadel, Rotana'!I17</f>
        <v>1386</v>
      </c>
      <c r="AA16">
        <f>'Mall, Citadel, Rotana'!K17+'Mall, Citadel, Rotana'!M17</f>
        <v>353</v>
      </c>
      <c r="AB16">
        <f>'Mall, Citadel, Rotana'!O17</f>
        <v>3</v>
      </c>
      <c r="AC16">
        <f>'Mall, Citadel, Rotana'!Q17+'Mall, Citadel, Rotana'!S17</f>
        <v>0</v>
      </c>
      <c r="AD16" s="33">
        <f t="shared" si="1"/>
        <v>73.9475762</v>
      </c>
      <c r="AE16" s="33">
        <f t="shared" si="2"/>
        <v>487.11142380000001</v>
      </c>
    </row>
    <row r="17" spans="1:31" x14ac:dyDescent="0.2">
      <c r="A17" s="46" t="s">
        <v>51</v>
      </c>
      <c r="B17" s="51">
        <f t="shared" si="3"/>
        <v>16</v>
      </c>
      <c r="C17" s="51">
        <v>12</v>
      </c>
      <c r="D17" s="51">
        <v>2022</v>
      </c>
      <c r="E17" s="35">
        <f>Water!C18</f>
        <v>720</v>
      </c>
      <c r="F17" s="35">
        <f>Water!E18</f>
        <v>370</v>
      </c>
      <c r="G17" s="35">
        <f>Water!G18</f>
        <v>345.6</v>
      </c>
      <c r="H17" s="35">
        <f>Water!I18</f>
        <v>4.4820000000000002</v>
      </c>
      <c r="I17" s="35">
        <f>ELECT.!F18</f>
        <v>49736</v>
      </c>
      <c r="J17" s="35">
        <f>ELECT.!H18</f>
        <v>25677</v>
      </c>
      <c r="K17" s="35">
        <f>ELECT.!K18</f>
        <v>13568</v>
      </c>
      <c r="L17" s="35">
        <f>ELECT.!M18</f>
        <v>6896</v>
      </c>
      <c r="M17" s="35">
        <f>ELECT.!O18</f>
        <v>42416</v>
      </c>
      <c r="N17" s="35">
        <f>ELECT.!Q18</f>
        <v>3699</v>
      </c>
      <c r="O17" s="35">
        <f>ELECT.!S18</f>
        <v>14304</v>
      </c>
      <c r="P17" s="35">
        <f>ELECT.!W18*2</f>
        <v>0</v>
      </c>
      <c r="Q17" s="35">
        <f>ELECT.!D18</f>
        <v>480</v>
      </c>
      <c r="R17" s="128">
        <f>BTU!C18</f>
        <v>4.4609999999993306</v>
      </c>
      <c r="S17" s="128">
        <f>BTU!F18</f>
        <v>0.89400000000023283</v>
      </c>
      <c r="T17" s="128">
        <f>BTU!I18</f>
        <v>4</v>
      </c>
      <c r="U17" s="128">
        <f>BTU!O18</f>
        <v>2.4469999999996617</v>
      </c>
      <c r="V17" s="128">
        <f>BTU!L18</f>
        <v>1.4200000000000728</v>
      </c>
      <c r="W17" s="128">
        <f>BTU!R18</f>
        <v>0</v>
      </c>
      <c r="X17" s="33">
        <f>ELECT.!B18</f>
        <v>262</v>
      </c>
      <c r="Y17" s="33">
        <f t="shared" si="0"/>
        <v>-5470</v>
      </c>
      <c r="Z17">
        <f>'Mall, Citadel, Rotana'!C18+'Mall, Citadel, Rotana'!E18+'Mall, Citadel, Rotana'!G18+'Mall, Citadel, Rotana'!I18</f>
        <v>1235</v>
      </c>
      <c r="AA17">
        <f>'Mall, Citadel, Rotana'!K18+'Mall, Citadel, Rotana'!M18</f>
        <v>297</v>
      </c>
      <c r="AB17">
        <f>'Mall, Citadel, Rotana'!O18</f>
        <v>3</v>
      </c>
      <c r="AC17">
        <f>'Mall, Citadel, Rotana'!Q18+'Mall, Citadel, Rotana'!S18</f>
        <v>509</v>
      </c>
      <c r="AD17" s="33">
        <f t="shared" si="1"/>
        <v>68.736072399999998</v>
      </c>
      <c r="AE17" s="33">
        <f t="shared" si="2"/>
        <v>452.78192760000002</v>
      </c>
    </row>
    <row r="18" spans="1:31" x14ac:dyDescent="0.2">
      <c r="A18" s="46" t="s">
        <v>51</v>
      </c>
      <c r="B18" s="51">
        <f t="shared" si="3"/>
        <v>17</v>
      </c>
      <c r="C18" s="51">
        <v>12</v>
      </c>
      <c r="D18" s="51">
        <v>2022</v>
      </c>
      <c r="E18" s="35">
        <f>Water!C19</f>
        <v>3000</v>
      </c>
      <c r="F18" s="35">
        <f>Water!E19</f>
        <v>370</v>
      </c>
      <c r="G18" s="35">
        <f>Water!G19</f>
        <v>388.8</v>
      </c>
      <c r="H18" s="35">
        <f>Water!I19</f>
        <v>4.05</v>
      </c>
      <c r="I18" s="35">
        <f>ELECT.!F19</f>
        <v>31625</v>
      </c>
      <c r="J18" s="35">
        <f>ELECT.!H19</f>
        <v>16130</v>
      </c>
      <c r="K18" s="35">
        <f>ELECT.!K19</f>
        <v>8868</v>
      </c>
      <c r="L18" s="35">
        <f>ELECT.!M19</f>
        <v>4526</v>
      </c>
      <c r="M18" s="35">
        <f>ELECT.!O19</f>
        <v>26820</v>
      </c>
      <c r="N18" s="35">
        <f>ELECT.!Q19</f>
        <v>2199</v>
      </c>
      <c r="O18" s="35">
        <f>ELECT.!S19</f>
        <v>8889</v>
      </c>
      <c r="P18" s="35">
        <f>ELECT.!W19*2</f>
        <v>0</v>
      </c>
      <c r="Q18" s="35">
        <f>ELECT.!D19</f>
        <v>320</v>
      </c>
      <c r="R18" s="128">
        <f>BTU!C19</f>
        <v>5.1759999999994761</v>
      </c>
      <c r="S18" s="128">
        <f>BTU!F19</f>
        <v>1.0559999999995853</v>
      </c>
      <c r="T18" s="128">
        <f>BTU!I19</f>
        <v>4</v>
      </c>
      <c r="U18" s="128">
        <f>BTU!O19</f>
        <v>2.9370000000003529</v>
      </c>
      <c r="V18" s="128">
        <f>BTU!L19</f>
        <v>1.6900000000005093</v>
      </c>
      <c r="W18" s="128">
        <f>BTU!R19</f>
        <v>0</v>
      </c>
      <c r="X18" s="33">
        <f>ELECT.!B19</f>
        <v>245</v>
      </c>
      <c r="Y18" s="33">
        <f t="shared" si="0"/>
        <v>-3547</v>
      </c>
      <c r="Z18">
        <f>'Mall, Citadel, Rotana'!C19+'Mall, Citadel, Rotana'!E19+'Mall, Citadel, Rotana'!G19+'Mall, Citadel, Rotana'!I19</f>
        <v>1199</v>
      </c>
      <c r="AA18">
        <f>'Mall, Citadel, Rotana'!K19+'Mall, Citadel, Rotana'!M19</f>
        <v>257</v>
      </c>
      <c r="AB18">
        <f>'Mall, Citadel, Rotana'!O19</f>
        <v>3</v>
      </c>
      <c r="AC18">
        <f>'Mall, Citadel, Rotana'!Q19+'Mall, Citadel, Rotana'!S19</f>
        <v>115</v>
      </c>
      <c r="AD18" s="33">
        <f t="shared" si="1"/>
        <v>369.29701</v>
      </c>
      <c r="AE18" s="33">
        <f t="shared" si="2"/>
        <v>2432.6529899999996</v>
      </c>
    </row>
    <row r="19" spans="1:31" x14ac:dyDescent="0.2">
      <c r="A19" s="46" t="s">
        <v>51</v>
      </c>
      <c r="B19" s="51">
        <f t="shared" si="3"/>
        <v>18</v>
      </c>
      <c r="C19" s="51">
        <v>12</v>
      </c>
      <c r="D19" s="51">
        <v>2022</v>
      </c>
      <c r="E19" s="35">
        <f>Water!C20</f>
        <v>940</v>
      </c>
      <c r="F19" s="35">
        <f>Water!E20</f>
        <v>370</v>
      </c>
      <c r="G19" s="35">
        <f>Water!G20</f>
        <v>407.7</v>
      </c>
      <c r="H19" s="35">
        <f>Water!I20</f>
        <v>4.4279999999999999</v>
      </c>
      <c r="I19" s="35">
        <f>ELECT.!F20</f>
        <v>40754</v>
      </c>
      <c r="J19" s="35">
        <f>ELECT.!H20</f>
        <v>21381</v>
      </c>
      <c r="K19" s="35">
        <f>ELECT.!K20</f>
        <v>11892</v>
      </c>
      <c r="L19" s="35">
        <f>ELECT.!M20</f>
        <v>6102</v>
      </c>
      <c r="M19" s="35">
        <f>ELECT.!O20</f>
        <v>34296</v>
      </c>
      <c r="N19" s="35">
        <f>ELECT.!Q20</f>
        <v>2940</v>
      </c>
      <c r="O19" s="35">
        <f>ELECT.!S20</f>
        <v>11732</v>
      </c>
      <c r="P19" s="35">
        <f>ELECT.!W20*2</f>
        <v>0</v>
      </c>
      <c r="Q19" s="35">
        <f>ELECT.!D20</f>
        <v>320</v>
      </c>
      <c r="R19" s="128">
        <f>BTU!C20</f>
        <v>3.6599999999998545</v>
      </c>
      <c r="S19" s="128">
        <f>BTU!F20</f>
        <v>1.2049999999999272</v>
      </c>
      <c r="T19" s="128">
        <f>BTU!I20</f>
        <v>3</v>
      </c>
      <c r="U19" s="128">
        <f>BTU!O20</f>
        <v>2.0119999999997162</v>
      </c>
      <c r="V19" s="128">
        <f>BTU!L20</f>
        <v>0.90999999999985448</v>
      </c>
      <c r="W19" s="128">
        <f>BTU!R20</f>
        <v>0</v>
      </c>
      <c r="X19" s="33">
        <f>ELECT.!B20</f>
        <v>240</v>
      </c>
      <c r="Y19" s="33">
        <f t="shared" si="0"/>
        <v>-4827</v>
      </c>
      <c r="Z19">
        <f>'Mall, Citadel, Rotana'!C20+'Mall, Citadel, Rotana'!E20+'Mall, Citadel, Rotana'!G20+'Mall, Citadel, Rotana'!I20</f>
        <v>559</v>
      </c>
      <c r="AA19">
        <f>'Mall, Citadel, Rotana'!K20+'Mall, Citadel, Rotana'!M20</f>
        <v>257</v>
      </c>
      <c r="AB19">
        <f>'Mall, Citadel, Rotana'!O20</f>
        <v>3</v>
      </c>
      <c r="AC19">
        <f>'Mall, Citadel, Rotana'!Q20+'Mall, Citadel, Rotana'!S20</f>
        <v>118</v>
      </c>
      <c r="AD19" s="33">
        <f t="shared" si="1"/>
        <v>97.739189600000003</v>
      </c>
      <c r="AE19" s="33">
        <f t="shared" si="2"/>
        <v>643.83281039999997</v>
      </c>
    </row>
    <row r="20" spans="1:31" x14ac:dyDescent="0.2">
      <c r="A20" s="46" t="s">
        <v>51</v>
      </c>
      <c r="B20" s="51">
        <f t="shared" si="3"/>
        <v>19</v>
      </c>
      <c r="C20" s="51">
        <v>12</v>
      </c>
      <c r="D20" s="51">
        <v>2022</v>
      </c>
      <c r="E20" s="35">
        <f>Water!C21</f>
        <v>910</v>
      </c>
      <c r="F20" s="35">
        <f>Water!E21</f>
        <v>380</v>
      </c>
      <c r="G20" s="35">
        <f>Water!G21</f>
        <v>375.3</v>
      </c>
      <c r="H20" s="35">
        <f>Water!I21</f>
        <v>3.6179999999999999</v>
      </c>
      <c r="I20" s="35">
        <f>ELECT.!F21</f>
        <v>45880</v>
      </c>
      <c r="J20" s="35">
        <f>ELECT.!H21</f>
        <v>23503</v>
      </c>
      <c r="K20" s="35">
        <f>ELECT.!K21</f>
        <v>13090</v>
      </c>
      <c r="L20" s="35">
        <f>ELECT.!M21</f>
        <v>6456</v>
      </c>
      <c r="M20" s="35">
        <f>ELECT.!O21</f>
        <v>39058</v>
      </c>
      <c r="N20" s="35">
        <f>ELECT.!Q21</f>
        <v>3007</v>
      </c>
      <c r="O20" s="35">
        <f>ELECT.!S21</f>
        <v>12949</v>
      </c>
      <c r="P20" s="35">
        <f>ELECT.!W21*2</f>
        <v>0</v>
      </c>
      <c r="Q20" s="35">
        <f>ELECT.!D21</f>
        <v>480</v>
      </c>
      <c r="R20" s="128">
        <f>BTU!C21</f>
        <v>5.0930000000007567</v>
      </c>
      <c r="S20" s="128">
        <f>BTU!F21</f>
        <v>1.6710000000002765</v>
      </c>
      <c r="T20" s="128">
        <f>BTU!I21</f>
        <v>5</v>
      </c>
      <c r="U20" s="128">
        <f>BTU!O21</f>
        <v>2.8980000000001382</v>
      </c>
      <c r="V20" s="128">
        <f>BTU!L21</f>
        <v>1.6299999999991996</v>
      </c>
      <c r="W20" s="128">
        <f>BTU!R21</f>
        <v>0</v>
      </c>
      <c r="X20" s="33">
        <f>ELECT.!B21</f>
        <v>285</v>
      </c>
      <c r="Y20" s="33">
        <f t="shared" si="0"/>
        <v>-5177</v>
      </c>
      <c r="Z20">
        <f>'Mall, Citadel, Rotana'!C21+'Mall, Citadel, Rotana'!E21+'Mall, Citadel, Rotana'!G21+'Mall, Citadel, Rotana'!I21</f>
        <v>2002</v>
      </c>
      <c r="AA20">
        <f>'Mall, Citadel, Rotana'!K21+'Mall, Citadel, Rotana'!M21</f>
        <v>508</v>
      </c>
      <c r="AB20">
        <f>'Mall, Citadel, Rotana'!O21</f>
        <v>4</v>
      </c>
      <c r="AC20">
        <f>'Mall, Citadel, Rotana'!Q21+'Mall, Citadel, Rotana'!S21</f>
        <v>119</v>
      </c>
      <c r="AD20" s="33">
        <f t="shared" si="1"/>
        <v>93.891947599999995</v>
      </c>
      <c r="AE20" s="33">
        <f t="shared" si="2"/>
        <v>618.49005239999997</v>
      </c>
    </row>
    <row r="21" spans="1:31" x14ac:dyDescent="0.2">
      <c r="A21" s="46" t="s">
        <v>51</v>
      </c>
      <c r="B21" s="51">
        <f t="shared" si="3"/>
        <v>20</v>
      </c>
      <c r="C21" s="51">
        <v>12</v>
      </c>
      <c r="D21" s="51">
        <v>2022</v>
      </c>
      <c r="E21" s="35">
        <f>Water!C22</f>
        <v>1010</v>
      </c>
      <c r="F21" s="35">
        <f>Water!E22</f>
        <v>440</v>
      </c>
      <c r="G21" s="35">
        <f>Water!G22</f>
        <v>534.6</v>
      </c>
      <c r="H21" s="35">
        <f>Water!I22</f>
        <v>4.4820000000000002</v>
      </c>
      <c r="I21" s="35">
        <f>ELECT.!F22</f>
        <v>23519</v>
      </c>
      <c r="J21" s="35">
        <f>ELECT.!H22</f>
        <v>13042</v>
      </c>
      <c r="K21" s="35">
        <f>ELECT.!K22</f>
        <v>7418</v>
      </c>
      <c r="L21" s="35">
        <f>ELECT.!M22</f>
        <v>3859</v>
      </c>
      <c r="M21" s="35">
        <f>ELECT.!O22</f>
        <v>19418</v>
      </c>
      <c r="N21" s="35">
        <f>ELECT.!Q22</f>
        <v>1646</v>
      </c>
      <c r="O21" s="35">
        <f>ELECT.!S22</f>
        <v>7206</v>
      </c>
      <c r="P21" s="35">
        <f>ELECT.!W22*2</f>
        <v>0</v>
      </c>
      <c r="Q21" s="35">
        <f>ELECT.!D22</f>
        <v>320</v>
      </c>
      <c r="R21" s="128">
        <f>BTU!C22</f>
        <v>3.4320000000006985</v>
      </c>
      <c r="S21" s="128">
        <f>BTU!F22</f>
        <v>0.98499999999967258</v>
      </c>
      <c r="T21" s="128">
        <f>BTU!I22</f>
        <v>3</v>
      </c>
      <c r="U21" s="128">
        <f>BTU!O22</f>
        <v>1.7510000000002037</v>
      </c>
      <c r="V21" s="128">
        <f>BTU!L22</f>
        <v>0.71000000000094587</v>
      </c>
      <c r="W21" s="128">
        <f>BTU!R22</f>
        <v>0</v>
      </c>
      <c r="X21" s="33">
        <f>ELECT.!B22</f>
        <v>310</v>
      </c>
      <c r="Y21" s="33">
        <f t="shared" si="0"/>
        <v>-2986</v>
      </c>
      <c r="Z21">
        <f>'Mall, Citadel, Rotana'!C22+'Mall, Citadel, Rotana'!E22+'Mall, Citadel, Rotana'!G22+'Mall, Citadel, Rotana'!I22</f>
        <v>1522</v>
      </c>
      <c r="AA21">
        <f>'Mall, Citadel, Rotana'!K22+'Mall, Citadel, Rotana'!M22</f>
        <v>242</v>
      </c>
      <c r="AB21">
        <f>'Mall, Citadel, Rotana'!O22</f>
        <v>3</v>
      </c>
      <c r="AC21">
        <f>'Mall, Citadel, Rotana'!Q22+'Mall, Citadel, Rotana'!S22</f>
        <v>121</v>
      </c>
      <c r="AD21" s="33">
        <f t="shared" si="1"/>
        <v>106.95807240000001</v>
      </c>
      <c r="AE21" s="33">
        <f t="shared" si="2"/>
        <v>704.55992760000004</v>
      </c>
    </row>
    <row r="22" spans="1:31" x14ac:dyDescent="0.2">
      <c r="A22" s="46" t="s">
        <v>51</v>
      </c>
      <c r="B22" s="51">
        <f t="shared" si="3"/>
        <v>21</v>
      </c>
      <c r="C22" s="51">
        <v>12</v>
      </c>
      <c r="D22" s="51">
        <v>2022</v>
      </c>
      <c r="E22" s="35">
        <f>Water!C23</f>
        <v>770</v>
      </c>
      <c r="F22" s="35">
        <f>Water!E23</f>
        <v>370</v>
      </c>
      <c r="G22" s="35">
        <f>Water!G23</f>
        <v>361.8</v>
      </c>
      <c r="H22" s="35">
        <f>Water!I23</f>
        <v>3.8879999999999999</v>
      </c>
      <c r="I22" s="35">
        <f>ELECT.!F23</f>
        <v>27662</v>
      </c>
      <c r="J22" s="35">
        <f>ELECT.!H23</f>
        <v>38012</v>
      </c>
      <c r="K22" s="35">
        <f>ELECT.!K23</f>
        <v>13896</v>
      </c>
      <c r="L22" s="35">
        <f>ELECT.!M23</f>
        <v>6857</v>
      </c>
      <c r="M22" s="35">
        <f>ELECT.!O23</f>
        <v>20538</v>
      </c>
      <c r="N22" s="35">
        <f>ELECT.!Q23</f>
        <v>3588</v>
      </c>
      <c r="O22" s="35">
        <f>ELECT.!S23</f>
        <v>12480</v>
      </c>
      <c r="P22" s="35">
        <f>ELECT.!W23*2</f>
        <v>15280</v>
      </c>
      <c r="Q22" s="35">
        <f>ELECT.!D23</f>
        <v>640</v>
      </c>
      <c r="R22" s="128">
        <f>BTU!C23</f>
        <v>4.9719999999979336</v>
      </c>
      <c r="S22" s="128">
        <f>BTU!F23</f>
        <v>1.6140000000004875</v>
      </c>
      <c r="T22" s="128">
        <f>BTU!I23</f>
        <v>4</v>
      </c>
      <c r="U22" s="128">
        <f>BTU!O23</f>
        <v>3.0039999999999054</v>
      </c>
      <c r="V22" s="128">
        <f>BTU!L23</f>
        <v>1.4899999999997817</v>
      </c>
      <c r="W22" s="128">
        <f>BTU!R23</f>
        <v>0.52000000000043656</v>
      </c>
      <c r="X22" s="33">
        <f>ELECT.!B23</f>
        <v>311</v>
      </c>
      <c r="Y22" s="33">
        <f t="shared" si="0"/>
        <v>-6965</v>
      </c>
      <c r="Z22">
        <f>'Mall, Citadel, Rotana'!C23+'Mall, Citadel, Rotana'!E23+'Mall, Citadel, Rotana'!G23+'Mall, Citadel, Rotana'!I23</f>
        <v>1063</v>
      </c>
      <c r="AA22">
        <f>'Mall, Citadel, Rotana'!K23+'Mall, Citadel, Rotana'!M23</f>
        <v>467</v>
      </c>
      <c r="AB22">
        <f>'Mall, Citadel, Rotana'!O23</f>
        <v>3</v>
      </c>
      <c r="AC22">
        <f>'Mall, Citadel, Rotana'!Q23+'Mall, Citadel, Rotana'!S23</f>
        <v>118</v>
      </c>
      <c r="AD22" s="33">
        <f t="shared" si="1"/>
        <v>75.404361600000001</v>
      </c>
      <c r="AE22" s="33">
        <f t="shared" si="2"/>
        <v>496.70763839999995</v>
      </c>
    </row>
    <row r="23" spans="1:31" x14ac:dyDescent="0.2">
      <c r="A23" s="46" t="s">
        <v>51</v>
      </c>
      <c r="B23" s="51">
        <f t="shared" si="3"/>
        <v>22</v>
      </c>
      <c r="C23" s="51">
        <v>12</v>
      </c>
      <c r="D23" s="51">
        <v>2022</v>
      </c>
      <c r="E23" s="35">
        <f>Water!C24</f>
        <v>840</v>
      </c>
      <c r="F23" s="35">
        <f>Water!E24</f>
        <v>400</v>
      </c>
      <c r="G23" s="35">
        <f>Water!G24</f>
        <v>394.2</v>
      </c>
      <c r="H23" s="35">
        <f>Water!I24</f>
        <v>3.9420000000000002</v>
      </c>
      <c r="I23" s="35">
        <f>ELECT.!F24</f>
        <v>16518</v>
      </c>
      <c r="J23" s="35">
        <f>ELECT.!H24</f>
        <v>48969</v>
      </c>
      <c r="K23" s="35">
        <f>ELECT.!K24</f>
        <v>13704</v>
      </c>
      <c r="L23" s="35">
        <f>ELECT.!M24</f>
        <v>6327</v>
      </c>
      <c r="M23" s="35">
        <f>ELECT.!O24</f>
        <v>9988</v>
      </c>
      <c r="N23" s="35">
        <f>ELECT.!Q24</f>
        <v>3019</v>
      </c>
      <c r="O23" s="35">
        <f>ELECT.!S24</f>
        <v>13044</v>
      </c>
      <c r="P23" s="35">
        <f>ELECT.!W24*2</f>
        <v>23866</v>
      </c>
      <c r="Q23" s="35">
        <f>ELECT.!D24</f>
        <v>320</v>
      </c>
      <c r="R23" s="128">
        <f>BTU!C24</f>
        <v>2.5290000000022701</v>
      </c>
      <c r="S23" s="128">
        <f>BTU!F24</f>
        <v>0.68599999999969441</v>
      </c>
      <c r="T23" s="128">
        <f>BTU!I24</f>
        <v>3</v>
      </c>
      <c r="U23" s="128">
        <f>BTU!O24</f>
        <v>1.5059999999998581</v>
      </c>
      <c r="V23" s="128">
        <f>BTU!L24</f>
        <v>0.43999999999869033</v>
      </c>
      <c r="W23" s="128">
        <f>BTU!R24</f>
        <v>0.56999999999970896</v>
      </c>
      <c r="X23" s="33">
        <f>ELECT.!B24</f>
        <v>312</v>
      </c>
      <c r="Y23" s="33">
        <f t="shared" si="0"/>
        <v>-4461</v>
      </c>
      <c r="Z23">
        <f>'Mall, Citadel, Rotana'!C24+'Mall, Citadel, Rotana'!E24+'Mall, Citadel, Rotana'!G24+'Mall, Citadel, Rotana'!I24</f>
        <v>1354</v>
      </c>
      <c r="AA23">
        <f>'Mall, Citadel, Rotana'!K24+'Mall, Citadel, Rotana'!M24</f>
        <v>343</v>
      </c>
      <c r="AB23">
        <f>'Mall, Citadel, Rotana'!O24</f>
        <v>3</v>
      </c>
      <c r="AC23">
        <f>'Mall, Citadel, Rotana'!Q24+'Mall, Citadel, Rotana'!S24</f>
        <v>114</v>
      </c>
      <c r="AD23" s="33">
        <f t="shared" si="1"/>
        <v>84.623244400000004</v>
      </c>
      <c r="AE23" s="33">
        <f t="shared" si="2"/>
        <v>557.43475560000002</v>
      </c>
    </row>
    <row r="24" spans="1:31" x14ac:dyDescent="0.2">
      <c r="A24" s="46" t="s">
        <v>51</v>
      </c>
      <c r="B24" s="51">
        <f t="shared" si="3"/>
        <v>23</v>
      </c>
      <c r="C24" s="51">
        <v>12</v>
      </c>
      <c r="D24" s="51">
        <v>2022</v>
      </c>
      <c r="E24" s="35">
        <f>Water!C25</f>
        <v>720</v>
      </c>
      <c r="F24" s="35">
        <f>Water!E25</f>
        <v>380</v>
      </c>
      <c r="G24" s="35">
        <f>Water!G25</f>
        <v>359.1</v>
      </c>
      <c r="H24" s="35">
        <f>Water!I25</f>
        <v>3.5640000000000001</v>
      </c>
      <c r="I24" s="35">
        <f>ELECT.!F25</f>
        <v>12667</v>
      </c>
      <c r="J24" s="35">
        <f>ELECT.!H25</f>
        <v>38180</v>
      </c>
      <c r="K24" s="35">
        <f>ELECT.!K25</f>
        <v>10638</v>
      </c>
      <c r="L24" s="35">
        <f>ELECT.!M25</f>
        <v>4592</v>
      </c>
      <c r="M24" s="35">
        <f>ELECT.!O25</f>
        <v>7886</v>
      </c>
      <c r="N24" s="35">
        <f>ELECT.!Q25</f>
        <v>2347</v>
      </c>
      <c r="O24" s="35">
        <f>ELECT.!S25</f>
        <v>10242</v>
      </c>
      <c r="P24" s="35">
        <f>ELECT.!W25*2</f>
        <v>19512</v>
      </c>
      <c r="Q24" s="35">
        <f>ELECT.!D25</f>
        <v>320</v>
      </c>
      <c r="R24" s="128">
        <f>BTU!C25</f>
        <v>4.1379999999990105</v>
      </c>
      <c r="S24" s="128">
        <f>BTU!F25</f>
        <v>0.7680000000000291</v>
      </c>
      <c r="T24" s="128">
        <f>BTU!I25</f>
        <v>3</v>
      </c>
      <c r="U24" s="128">
        <f>BTU!O25</f>
        <v>2.6630000000000109</v>
      </c>
      <c r="V24" s="128">
        <f>BTU!L25</f>
        <v>1.1500000000014552</v>
      </c>
      <c r="W24" s="128">
        <f>BTU!R25</f>
        <v>0.46000000000003638</v>
      </c>
      <c r="X24" s="33">
        <f>ELECT.!B25</f>
        <v>320</v>
      </c>
      <c r="Y24" s="33">
        <f t="shared" si="0"/>
        <v>-4370</v>
      </c>
      <c r="Z24">
        <f>'Mall, Citadel, Rotana'!C25+'Mall, Citadel, Rotana'!E25+'Mall, Citadel, Rotana'!G25+'Mall, Citadel, Rotana'!I25</f>
        <v>1506</v>
      </c>
      <c r="AA24">
        <f>'Mall, Citadel, Rotana'!K25+'Mall, Citadel, Rotana'!M25</f>
        <v>343</v>
      </c>
      <c r="AB24">
        <f>'Mall, Citadel, Rotana'!O25</f>
        <v>3</v>
      </c>
      <c r="AC24">
        <f>'Mall, Citadel, Rotana'!Q25+'Mall, Citadel, Rotana'!S25</f>
        <v>120</v>
      </c>
      <c r="AD24" s="33">
        <f t="shared" si="1"/>
        <v>68.857064800000003</v>
      </c>
      <c r="AE24" s="33">
        <f t="shared" si="2"/>
        <v>453.57893520000005</v>
      </c>
    </row>
    <row r="25" spans="1:31" x14ac:dyDescent="0.2">
      <c r="A25" s="46" t="s">
        <v>51</v>
      </c>
      <c r="B25" s="51">
        <f t="shared" si="3"/>
        <v>24</v>
      </c>
      <c r="C25" s="51">
        <v>12</v>
      </c>
      <c r="D25" s="51">
        <v>2022</v>
      </c>
      <c r="E25" s="35">
        <f>Water!C26</f>
        <v>740</v>
      </c>
      <c r="F25" s="35">
        <f>Water!E26</f>
        <v>370</v>
      </c>
      <c r="G25" s="35">
        <f>Water!G26</f>
        <v>364.5</v>
      </c>
      <c r="H25" s="35">
        <f>Water!I26</f>
        <v>4.4279999999999999</v>
      </c>
      <c r="I25" s="35">
        <f>ELECT.!F26</f>
        <v>10947</v>
      </c>
      <c r="J25" s="35">
        <f>ELECT.!H26</f>
        <v>33120</v>
      </c>
      <c r="K25" s="35">
        <f>ELECT.!K26</f>
        <v>8534</v>
      </c>
      <c r="L25" s="35">
        <f>ELECT.!M26</f>
        <v>4098</v>
      </c>
      <c r="M25" s="35">
        <f>ELECT.!O26</f>
        <v>6690</v>
      </c>
      <c r="N25" s="35">
        <f>ELECT.!Q26</f>
        <v>2076</v>
      </c>
      <c r="O25" s="35">
        <f>ELECT.!S26</f>
        <v>9112</v>
      </c>
      <c r="P25" s="35">
        <f>ELECT.!W26*2</f>
        <v>17016</v>
      </c>
      <c r="Q25" s="35">
        <f>ELECT.!D26</f>
        <v>320</v>
      </c>
      <c r="R25" s="128">
        <f>BTU!C26</f>
        <v>3.2890000000006694</v>
      </c>
      <c r="S25" s="128">
        <f>BTU!F26</f>
        <v>0.62899999999990541</v>
      </c>
      <c r="T25" s="128">
        <f>BTU!I26</f>
        <v>3</v>
      </c>
      <c r="U25" s="128">
        <f>BTU!O26</f>
        <v>1.9639999999999418</v>
      </c>
      <c r="V25" s="128">
        <f>BTU!L26</f>
        <v>0.60999999999876309</v>
      </c>
      <c r="W25" s="128">
        <f>BTU!R26</f>
        <v>0.31999999999970896</v>
      </c>
      <c r="X25" s="33">
        <f>ELECT.!B26</f>
        <v>304</v>
      </c>
      <c r="Y25" s="33">
        <f t="shared" si="0"/>
        <v>-3459</v>
      </c>
      <c r="Z25">
        <f>'Mall, Citadel, Rotana'!C26+'Mall, Citadel, Rotana'!E26+'Mall, Citadel, Rotana'!G26+'Mall, Citadel, Rotana'!I26</f>
        <v>1086</v>
      </c>
      <c r="AA25">
        <f>'Mall, Citadel, Rotana'!K26+'Mall, Citadel, Rotana'!M26</f>
        <v>172</v>
      </c>
      <c r="AB25">
        <f>'Mall, Citadel, Rotana'!O26</f>
        <v>4</v>
      </c>
      <c r="AC25">
        <f>'Mall, Citadel, Rotana'!Q26+'Mall, Citadel, Rotana'!S26</f>
        <v>121</v>
      </c>
      <c r="AD25" s="33">
        <f t="shared" si="1"/>
        <v>71.379189600000004</v>
      </c>
      <c r="AE25" s="33">
        <f t="shared" si="2"/>
        <v>470.19281039999998</v>
      </c>
    </row>
    <row r="26" spans="1:31" x14ac:dyDescent="0.2">
      <c r="A26" s="46" t="s">
        <v>51</v>
      </c>
      <c r="B26" s="51">
        <f>B25+1</f>
        <v>25</v>
      </c>
      <c r="C26" s="51">
        <v>12</v>
      </c>
      <c r="D26" s="51">
        <v>2022</v>
      </c>
      <c r="E26" s="35">
        <f>Water!C27</f>
        <v>740</v>
      </c>
      <c r="F26" s="35">
        <f>Water!E27</f>
        <v>360</v>
      </c>
      <c r="G26" s="35">
        <f>Water!G27</f>
        <v>345.6</v>
      </c>
      <c r="H26" s="35">
        <f>Water!I27</f>
        <v>4.1849999999999996</v>
      </c>
      <c r="I26" s="35">
        <f>ELECT.!F27</f>
        <v>18596</v>
      </c>
      <c r="J26" s="35">
        <f>ELECT.!H27</f>
        <v>56220</v>
      </c>
      <c r="K26" s="35">
        <f>ELECT.!K27</f>
        <v>16062</v>
      </c>
      <c r="L26" s="35">
        <f>ELECT.!M27</f>
        <v>7435</v>
      </c>
      <c r="M26" s="35">
        <f>ELECT.!O27</f>
        <v>10924</v>
      </c>
      <c r="N26" s="35">
        <f>ELECT.!Q27</f>
        <v>3466</v>
      </c>
      <c r="O26" s="35">
        <f>ELECT.!S27</f>
        <v>14824</v>
      </c>
      <c r="P26" s="35">
        <f>ELECT.!W27*2</f>
        <v>28742</v>
      </c>
      <c r="Q26" s="35">
        <f>ELECT.!D27</f>
        <v>480</v>
      </c>
      <c r="R26" s="128">
        <f>BTU!C27</f>
        <v>3.3590000000003783</v>
      </c>
      <c r="S26" s="128">
        <f>BTU!F27</f>
        <v>0.90200000000004366</v>
      </c>
      <c r="T26" s="128">
        <f>BTU!I27</f>
        <v>3</v>
      </c>
      <c r="U26" s="128">
        <f>BTU!O27</f>
        <v>2.0219999999999345</v>
      </c>
      <c r="V26" s="128">
        <f>BTU!L27</f>
        <v>0.53000000000065484</v>
      </c>
      <c r="W26" s="128">
        <f>BTU!R27</f>
        <v>0.16000000000076398</v>
      </c>
      <c r="X26" s="33">
        <f>ELECT.!B27</f>
        <v>278</v>
      </c>
      <c r="Y26" s="33">
        <f t="shared" si="0"/>
        <v>-6637</v>
      </c>
      <c r="Z26">
        <f>'Mall, Citadel, Rotana'!C27+'Mall, Citadel, Rotana'!E27+'Mall, Citadel, Rotana'!G27+'Mall, Citadel, Rotana'!I27</f>
        <v>1353</v>
      </c>
      <c r="AA26">
        <f>'Mall, Citadel, Rotana'!K27+'Mall, Citadel, Rotana'!M27</f>
        <v>366</v>
      </c>
      <c r="AB26">
        <f>'Mall, Citadel, Rotana'!O27</f>
        <v>3</v>
      </c>
      <c r="AC26">
        <f>'Mall, Citadel, Rotana'!Q27+'Mall, Citadel, Rotana'!S27</f>
        <v>120</v>
      </c>
      <c r="AD26" s="33">
        <f t="shared" si="1"/>
        <v>71.411217000000008</v>
      </c>
      <c r="AE26" s="33">
        <f t="shared" si="2"/>
        <v>470.40378300000009</v>
      </c>
    </row>
    <row r="27" spans="1:31" x14ac:dyDescent="0.2">
      <c r="A27" s="46" t="s">
        <v>51</v>
      </c>
      <c r="B27" s="51">
        <f t="shared" si="3"/>
        <v>26</v>
      </c>
      <c r="C27" s="51">
        <v>12</v>
      </c>
      <c r="D27" s="51">
        <v>2022</v>
      </c>
      <c r="E27" s="35">
        <f>Water!C28</f>
        <v>680</v>
      </c>
      <c r="F27" s="35">
        <f>Water!E28</f>
        <v>310</v>
      </c>
      <c r="G27" s="35">
        <f>Water!G28</f>
        <v>283.5</v>
      </c>
      <c r="H27" s="35">
        <f>Water!I28</f>
        <v>4.59</v>
      </c>
      <c r="I27" s="35">
        <f>ELECT.!F28</f>
        <v>11331</v>
      </c>
      <c r="J27" s="35">
        <f>ELECT.!H28</f>
        <v>32547</v>
      </c>
      <c r="K27" s="35">
        <f>ELECT.!K28</f>
        <v>10054</v>
      </c>
      <c r="L27" s="35">
        <f>ELECT.!M28</f>
        <v>4520</v>
      </c>
      <c r="M27" s="35">
        <f>ELECT.!O28</f>
        <v>6646</v>
      </c>
      <c r="N27" s="35">
        <f>ELECT.!Q28</f>
        <v>2078</v>
      </c>
      <c r="O27" s="35">
        <f>ELECT.!S28</f>
        <v>8364</v>
      </c>
      <c r="P27" s="35">
        <f>ELECT.!W28*2</f>
        <v>16318</v>
      </c>
      <c r="Q27" s="35">
        <f>ELECT.!D28</f>
        <v>320</v>
      </c>
      <c r="R27" s="128">
        <f>BTU!C28</f>
        <v>4.1929999999993015</v>
      </c>
      <c r="S27" s="128">
        <f>BTU!F28</f>
        <v>1.0280000000002474</v>
      </c>
      <c r="T27" s="128">
        <f>BTU!I28</f>
        <v>3</v>
      </c>
      <c r="U27" s="128">
        <f>BTU!O28</f>
        <v>2.6600000000003092</v>
      </c>
      <c r="V27" s="128">
        <f>BTU!L28</f>
        <v>0.8999999999996362</v>
      </c>
      <c r="W27" s="128">
        <f>BTU!R28</f>
        <v>0</v>
      </c>
      <c r="X27" s="33">
        <f>ELECT.!B28</f>
        <v>208</v>
      </c>
      <c r="Y27" s="33">
        <f t="shared" si="0"/>
        <v>-4102</v>
      </c>
      <c r="Z27">
        <f>'Mall, Citadel, Rotana'!C28+'Mall, Citadel, Rotana'!E28+'Mall, Citadel, Rotana'!G28+'Mall, Citadel, Rotana'!I28</f>
        <v>1204</v>
      </c>
      <c r="AA27">
        <f>'Mall, Citadel, Rotana'!K28+'Mall, Citadel, Rotana'!M28</f>
        <v>397</v>
      </c>
      <c r="AB27">
        <f>'Mall, Citadel, Rotana'!O28</f>
        <v>3</v>
      </c>
      <c r="AC27">
        <f>'Mall, Citadel, Rotana'!Q28+'Mall, Citadel, Rotana'!S28</f>
        <v>119</v>
      </c>
      <c r="AD27" s="33">
        <f t="shared" si="1"/>
        <v>63.449837999999993</v>
      </c>
      <c r="AE27" s="33">
        <f t="shared" si="2"/>
        <v>417.96016199999997</v>
      </c>
    </row>
    <row r="28" spans="1:31" x14ac:dyDescent="0.2">
      <c r="A28" s="46" t="s">
        <v>51</v>
      </c>
      <c r="B28" s="51">
        <f t="shared" si="3"/>
        <v>27</v>
      </c>
      <c r="C28" s="51">
        <v>12</v>
      </c>
      <c r="D28" s="51">
        <v>2022</v>
      </c>
      <c r="E28" s="35">
        <f>Water!C29</f>
        <v>720</v>
      </c>
      <c r="F28" s="35">
        <f>Water!E29</f>
        <v>320</v>
      </c>
      <c r="G28" s="35">
        <f>Water!G29</f>
        <v>361.8</v>
      </c>
      <c r="H28" s="35">
        <f>Water!I29</f>
        <v>4.1849999999999996</v>
      </c>
      <c r="I28" s="35">
        <f>ELECT.!F29</f>
        <v>15533</v>
      </c>
      <c r="J28" s="35">
        <f>ELECT.!H29</f>
        <v>46817</v>
      </c>
      <c r="K28" s="35">
        <f>ELECT.!K29</f>
        <v>13892</v>
      </c>
      <c r="L28" s="35">
        <f>ELECT.!M29</f>
        <v>6437</v>
      </c>
      <c r="M28" s="35">
        <f>ELECT.!O29</f>
        <v>8890</v>
      </c>
      <c r="N28" s="35">
        <f>ELECT.!Q29</f>
        <v>3005</v>
      </c>
      <c r="O28" s="35">
        <f>ELECT.!S29</f>
        <v>12370</v>
      </c>
      <c r="P28" s="35">
        <f>ELECT.!W29*2</f>
        <v>23434</v>
      </c>
      <c r="Q28" s="35">
        <f>ELECT.!D29</f>
        <v>320</v>
      </c>
      <c r="R28" s="128">
        <f>BTU!C29</f>
        <v>3.6049999999995634</v>
      </c>
      <c r="S28" s="128">
        <f>BTU!F29</f>
        <v>0.86700000000018917</v>
      </c>
      <c r="T28" s="128">
        <f>BTU!I29</f>
        <v>3</v>
      </c>
      <c r="U28" s="128">
        <f>BTU!O29</f>
        <v>2.3409999999998945</v>
      </c>
      <c r="V28" s="128">
        <f>BTU!L29</f>
        <v>0.73999999999978172</v>
      </c>
      <c r="W28" s="128">
        <f>BTU!R29</f>
        <v>0</v>
      </c>
      <c r="X28" s="33">
        <f>ELECT.!B29</f>
        <v>249</v>
      </c>
      <c r="Y28" s="33">
        <f t="shared" si="0"/>
        <v>-5678</v>
      </c>
      <c r="Z28">
        <f>'Mall, Citadel, Rotana'!C29+'Mall, Citadel, Rotana'!E29+'Mall, Citadel, Rotana'!G29+'Mall, Citadel, Rotana'!I29</f>
        <v>1225</v>
      </c>
      <c r="AA28">
        <f>'Mall, Citadel, Rotana'!K29+'Mall, Citadel, Rotana'!M29</f>
        <v>340</v>
      </c>
      <c r="AB28">
        <f>'Mall, Citadel, Rotana'!O29</f>
        <v>4</v>
      </c>
      <c r="AC28">
        <f>'Mall, Citadel, Rotana'!Q29+'Mall, Citadel, Rotana'!S29</f>
        <v>356</v>
      </c>
      <c r="AD28" s="33">
        <f t="shared" si="1"/>
        <v>68.775217000000012</v>
      </c>
      <c r="AE28" s="33">
        <f t="shared" si="2"/>
        <v>453.03978300000006</v>
      </c>
    </row>
    <row r="29" spans="1:31" x14ac:dyDescent="0.2">
      <c r="A29" s="46" t="s">
        <v>51</v>
      </c>
      <c r="B29" s="51">
        <f t="shared" si="3"/>
        <v>28</v>
      </c>
      <c r="C29" s="51">
        <v>12</v>
      </c>
      <c r="D29" s="51">
        <v>2022</v>
      </c>
      <c r="E29" s="35">
        <f>Water!C30</f>
        <v>720</v>
      </c>
      <c r="F29" s="35">
        <f>Water!E30</f>
        <v>350</v>
      </c>
      <c r="G29" s="35">
        <f>Water!G30</f>
        <v>423.9</v>
      </c>
      <c r="H29" s="35">
        <f>Water!I30</f>
        <v>4.3739999999999997</v>
      </c>
      <c r="I29" s="35">
        <f>ELECT.!F30</f>
        <v>9044</v>
      </c>
      <c r="J29" s="35">
        <f>ELECT.!H30</f>
        <v>27698</v>
      </c>
      <c r="K29" s="35">
        <f>ELECT.!K30</f>
        <v>8566</v>
      </c>
      <c r="L29" s="35">
        <f>ELECT.!M30</f>
        <v>3599</v>
      </c>
      <c r="M29" s="35">
        <f>ELECT.!O30</f>
        <v>5302</v>
      </c>
      <c r="N29" s="35">
        <f>ELECT.!Q30</f>
        <v>1907</v>
      </c>
      <c r="O29" s="35">
        <f>ELECT.!S30</f>
        <v>7021</v>
      </c>
      <c r="P29" s="35">
        <f>ELECT.!W30*2</f>
        <v>13874</v>
      </c>
      <c r="Q29" s="35">
        <f>ELECT.!D30</f>
        <v>320</v>
      </c>
      <c r="R29" s="128">
        <f>BTU!C30</f>
        <v>3.4819999999999709</v>
      </c>
      <c r="S29" s="128">
        <f>BTU!F30</f>
        <v>0.87199999999938882</v>
      </c>
      <c r="T29" s="128">
        <f>BTU!I30</f>
        <v>4</v>
      </c>
      <c r="U29" s="128">
        <f>BTU!O30</f>
        <v>2.3269999999997708</v>
      </c>
      <c r="V29" s="128">
        <f>BTU!L30</f>
        <v>0.80000000000109139</v>
      </c>
      <c r="W29" s="128">
        <f>BTU!R30</f>
        <v>0</v>
      </c>
      <c r="X29" s="33">
        <f>ELECT.!B30</f>
        <v>313</v>
      </c>
      <c r="Y29" s="33">
        <f t="shared" si="0"/>
        <v>-3527</v>
      </c>
      <c r="Z29">
        <f>'Mall, Citadel, Rotana'!C30+'Mall, Citadel, Rotana'!E30+'Mall, Citadel, Rotana'!G30+'Mall, Citadel, Rotana'!I30</f>
        <v>2799</v>
      </c>
      <c r="AA29">
        <f>'Mall, Citadel, Rotana'!K30+'Mall, Citadel, Rotana'!M30</f>
        <v>255</v>
      </c>
      <c r="AB29">
        <f>'Mall, Citadel, Rotana'!O30</f>
        <v>14</v>
      </c>
      <c r="AC29">
        <f>'Mall, Citadel, Rotana'!Q30+'Mall, Citadel, Rotana'!S30</f>
        <v>0</v>
      </c>
      <c r="AD29" s="33">
        <f t="shared" si="1"/>
        <v>68.750306800000004</v>
      </c>
      <c r="AE29" s="33">
        <f t="shared" si="2"/>
        <v>452.8756932</v>
      </c>
    </row>
    <row r="30" spans="1:31" x14ac:dyDescent="0.2">
      <c r="A30" s="46" t="s">
        <v>51</v>
      </c>
      <c r="B30" s="51">
        <f t="shared" si="3"/>
        <v>29</v>
      </c>
      <c r="C30" s="51">
        <v>12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 t="str">
        <f>ELECT.!F31</f>
        <v>0</v>
      </c>
      <c r="J30" s="35" t="str">
        <f>ELECT.!H31</f>
        <v>0</v>
      </c>
      <c r="K30" s="35">
        <f>ELECT.!K31</f>
        <v>0</v>
      </c>
      <c r="L30" s="35" t="str">
        <f>ELECT.!M31</f>
        <v>0</v>
      </c>
      <c r="M30" s="35">
        <f>ELECT.!O31</f>
        <v>0</v>
      </c>
      <c r="N30" s="35" t="str">
        <f>ELECT.!Q31</f>
        <v>0</v>
      </c>
      <c r="O30" s="35" t="str">
        <f>ELECT.!S31</f>
        <v>0</v>
      </c>
      <c r="P30" s="35">
        <f>ELECT.!W31*2</f>
        <v>0</v>
      </c>
      <c r="Q30" s="35">
        <f>ELECT.!D31</f>
        <v>0</v>
      </c>
      <c r="R30" s="128" t="str">
        <f>BTU!C31</f>
        <v>0</v>
      </c>
      <c r="S30" s="128" t="str">
        <f>BTU!F31</f>
        <v>0</v>
      </c>
      <c r="T30" s="128" t="str">
        <f>BTU!I31</f>
        <v>0</v>
      </c>
      <c r="U30" s="128" t="str">
        <f>BTU!O31</f>
        <v>0</v>
      </c>
      <c r="V30" s="128" t="str">
        <f>BTU!L31</f>
        <v>0</v>
      </c>
      <c r="W30" s="128" t="str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12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12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T30" sqref="T3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44895</v>
      </c>
      <c r="B2" s="31">
        <v>47925</v>
      </c>
      <c r="C2" s="14"/>
      <c r="D2" s="31">
        <v>41188</v>
      </c>
      <c r="E2" s="14"/>
      <c r="F2" s="31">
        <v>22339</v>
      </c>
      <c r="G2" s="14"/>
      <c r="H2" s="31">
        <v>260573</v>
      </c>
      <c r="I2" s="14"/>
      <c r="J2" s="31">
        <v>345133</v>
      </c>
      <c r="K2" s="14"/>
      <c r="L2" s="31">
        <v>26732</v>
      </c>
      <c r="M2" s="14"/>
      <c r="N2" s="31">
        <v>226623</v>
      </c>
      <c r="O2" s="14"/>
      <c r="P2" s="31">
        <v>180956</v>
      </c>
      <c r="Q2" s="14"/>
      <c r="R2" s="1">
        <v>55047</v>
      </c>
      <c r="S2" s="14"/>
      <c r="T2" s="31">
        <v>4106</v>
      </c>
      <c r="U2" s="14"/>
    </row>
    <row r="3" spans="1:24" ht="13.5" thickBot="1" x14ac:dyDescent="0.25">
      <c r="A3" s="9">
        <v>44896</v>
      </c>
      <c r="B3" s="31">
        <v>47928</v>
      </c>
      <c r="C3" s="14">
        <f t="shared" ref="C3" si="0">(B3-B2)*800/5</f>
        <v>480</v>
      </c>
      <c r="D3" s="31">
        <v>41190</v>
      </c>
      <c r="E3" s="14">
        <f t="shared" ref="E3" si="1">(D3-D2)*800/5</f>
        <v>320</v>
      </c>
      <c r="F3" s="31">
        <v>22342</v>
      </c>
      <c r="G3" s="14">
        <f>(F3-F2)*100/5</f>
        <v>60</v>
      </c>
      <c r="H3" s="31">
        <v>260597</v>
      </c>
      <c r="I3" s="14">
        <f>(H3-H2)</f>
        <v>24</v>
      </c>
      <c r="J3" s="31">
        <v>345321</v>
      </c>
      <c r="K3" s="14">
        <f>(J3-J2)</f>
        <v>188</v>
      </c>
      <c r="L3" s="31">
        <v>26735</v>
      </c>
      <c r="M3" s="14">
        <f>(L3-L2)*300/5</f>
        <v>180</v>
      </c>
      <c r="N3" s="31">
        <v>226625</v>
      </c>
      <c r="O3" s="14">
        <f>N3-N2</f>
        <v>2</v>
      </c>
      <c r="P3" s="31">
        <v>181078</v>
      </c>
      <c r="Q3" s="14">
        <f t="shared" ref="Q3:Q31" si="2">P3-P2</f>
        <v>122</v>
      </c>
      <c r="R3" s="31">
        <f>R2</f>
        <v>55047</v>
      </c>
      <c r="S3" s="14">
        <v>0</v>
      </c>
      <c r="T3" s="31">
        <v>4106</v>
      </c>
      <c r="U3" s="14">
        <f>(T3-T2)*800/5</f>
        <v>0</v>
      </c>
    </row>
    <row r="4" spans="1:24" ht="13.5" thickBot="1" x14ac:dyDescent="0.25">
      <c r="A4" s="9">
        <v>44897</v>
      </c>
      <c r="B4" s="31">
        <v>47933</v>
      </c>
      <c r="C4" s="14">
        <f t="shared" ref="C4:C31" si="3">(B4-B3)*800/5</f>
        <v>800</v>
      </c>
      <c r="D4" s="31">
        <v>41193</v>
      </c>
      <c r="E4" s="14">
        <f t="shared" ref="E4:E31" si="4">(D4-D3)*800/5</f>
        <v>480</v>
      </c>
      <c r="F4" s="31">
        <v>22346</v>
      </c>
      <c r="G4" s="14">
        <f t="shared" ref="G4:G31" si="5">(F4-F3)*100/5</f>
        <v>80</v>
      </c>
      <c r="H4" s="31">
        <v>260615</v>
      </c>
      <c r="I4" s="14">
        <f t="shared" ref="I4:I31" si="6">(H4-H3)</f>
        <v>18</v>
      </c>
      <c r="J4" s="31">
        <v>345424</v>
      </c>
      <c r="K4" s="14">
        <f t="shared" ref="K4:K31" si="7">(J4-J3)</f>
        <v>103</v>
      </c>
      <c r="L4" s="31">
        <v>26737</v>
      </c>
      <c r="M4" s="14">
        <f t="shared" ref="M4:M31" si="8">(L4-L3)*300/5</f>
        <v>120</v>
      </c>
      <c r="N4" s="31">
        <v>226629</v>
      </c>
      <c r="O4" s="14">
        <f t="shared" ref="O4:O31" si="9">N4-N3</f>
        <v>4</v>
      </c>
      <c r="P4" s="31">
        <v>181197</v>
      </c>
      <c r="Q4" s="14">
        <f t="shared" si="2"/>
        <v>119</v>
      </c>
      <c r="R4" s="31">
        <f t="shared" ref="R4:R33" si="10">R3</f>
        <v>55047</v>
      </c>
      <c r="S4" s="14">
        <v>0</v>
      </c>
      <c r="T4" s="31">
        <v>4106</v>
      </c>
      <c r="U4" s="14">
        <f t="shared" ref="U4:U31" si="11">(T4-T3)*800/5</f>
        <v>0</v>
      </c>
    </row>
    <row r="5" spans="1:24" ht="13.5" thickBot="1" x14ac:dyDescent="0.25">
      <c r="A5" s="9">
        <v>44898</v>
      </c>
      <c r="B5" s="31">
        <v>47937</v>
      </c>
      <c r="C5" s="14">
        <f t="shared" si="3"/>
        <v>640</v>
      </c>
      <c r="D5" s="31">
        <v>41196</v>
      </c>
      <c r="E5" s="14">
        <f t="shared" si="4"/>
        <v>480</v>
      </c>
      <c r="F5" s="31">
        <v>22349</v>
      </c>
      <c r="G5" s="14">
        <f t="shared" si="5"/>
        <v>60</v>
      </c>
      <c r="H5" s="31">
        <v>260626</v>
      </c>
      <c r="I5" s="14">
        <f t="shared" si="6"/>
        <v>11</v>
      </c>
      <c r="J5" s="31">
        <v>345561</v>
      </c>
      <c r="K5" s="14">
        <f t="shared" si="7"/>
        <v>137</v>
      </c>
      <c r="L5" s="31">
        <v>26739</v>
      </c>
      <c r="M5" s="14">
        <f t="shared" si="8"/>
        <v>120</v>
      </c>
      <c r="N5" s="31">
        <v>226632</v>
      </c>
      <c r="O5" s="14">
        <f t="shared" si="9"/>
        <v>3</v>
      </c>
      <c r="P5" s="31">
        <v>181319</v>
      </c>
      <c r="Q5" s="14">
        <f t="shared" si="2"/>
        <v>122</v>
      </c>
      <c r="R5" s="31">
        <f t="shared" si="10"/>
        <v>55047</v>
      </c>
      <c r="S5" s="14">
        <f t="shared" ref="S5:S30" si="12">R5-R4</f>
        <v>0</v>
      </c>
      <c r="T5" s="31">
        <v>4107</v>
      </c>
      <c r="U5" s="14">
        <f t="shared" si="11"/>
        <v>160</v>
      </c>
    </row>
    <row r="6" spans="1:24" ht="13.5" thickBot="1" x14ac:dyDescent="0.25">
      <c r="A6" s="9">
        <v>44899</v>
      </c>
      <c r="B6" s="31">
        <v>47941</v>
      </c>
      <c r="C6" s="14">
        <f t="shared" si="3"/>
        <v>640</v>
      </c>
      <c r="D6" s="31">
        <v>41199</v>
      </c>
      <c r="E6" s="14">
        <f t="shared" si="4"/>
        <v>480</v>
      </c>
      <c r="F6" s="31">
        <v>22352</v>
      </c>
      <c r="G6" s="14">
        <f t="shared" si="5"/>
        <v>60</v>
      </c>
      <c r="H6" s="31">
        <v>260651</v>
      </c>
      <c r="I6" s="14">
        <f t="shared" si="6"/>
        <v>25</v>
      </c>
      <c r="J6" s="31">
        <v>345726</v>
      </c>
      <c r="K6" s="14">
        <f t="shared" si="7"/>
        <v>165</v>
      </c>
      <c r="L6" s="31">
        <v>26743</v>
      </c>
      <c r="M6" s="14">
        <f t="shared" si="8"/>
        <v>240</v>
      </c>
      <c r="N6" s="31">
        <v>226635</v>
      </c>
      <c r="O6" s="14">
        <f t="shared" si="9"/>
        <v>3</v>
      </c>
      <c r="P6" s="31">
        <v>181439</v>
      </c>
      <c r="Q6" s="14">
        <f t="shared" si="2"/>
        <v>120</v>
      </c>
      <c r="R6" s="31">
        <f t="shared" si="10"/>
        <v>55047</v>
      </c>
      <c r="S6" s="14">
        <v>0</v>
      </c>
      <c r="T6" s="31">
        <v>4108</v>
      </c>
      <c r="U6" s="14">
        <f t="shared" si="11"/>
        <v>160</v>
      </c>
    </row>
    <row r="7" spans="1:24" ht="13.5" thickBot="1" x14ac:dyDescent="0.25">
      <c r="A7" s="9">
        <v>44900</v>
      </c>
      <c r="B7" s="31">
        <v>47946</v>
      </c>
      <c r="C7" s="14">
        <f t="shared" si="3"/>
        <v>800</v>
      </c>
      <c r="D7" s="31">
        <v>41202</v>
      </c>
      <c r="E7" s="14">
        <f t="shared" si="4"/>
        <v>480</v>
      </c>
      <c r="F7" s="31">
        <v>22356</v>
      </c>
      <c r="G7" s="14">
        <f t="shared" si="5"/>
        <v>80</v>
      </c>
      <c r="H7" s="31">
        <v>260678</v>
      </c>
      <c r="I7" s="14">
        <f t="shared" si="6"/>
        <v>27</v>
      </c>
      <c r="J7" s="31">
        <v>345911</v>
      </c>
      <c r="K7" s="14">
        <f t="shared" si="7"/>
        <v>185</v>
      </c>
      <c r="L7" s="31">
        <v>26747</v>
      </c>
      <c r="M7" s="14">
        <f t="shared" si="8"/>
        <v>240</v>
      </c>
      <c r="N7" s="31">
        <v>226639</v>
      </c>
      <c r="O7" s="14">
        <f t="shared" si="9"/>
        <v>4</v>
      </c>
      <c r="P7" s="31">
        <v>181560</v>
      </c>
      <c r="Q7" s="14">
        <f t="shared" si="2"/>
        <v>121</v>
      </c>
      <c r="R7" s="31">
        <f t="shared" si="10"/>
        <v>55047</v>
      </c>
      <c r="S7" s="14">
        <v>0</v>
      </c>
      <c r="T7" s="31">
        <v>4109</v>
      </c>
      <c r="U7" s="14">
        <f t="shared" si="11"/>
        <v>160</v>
      </c>
    </row>
    <row r="8" spans="1:24" ht="13.5" thickBot="1" x14ac:dyDescent="0.25">
      <c r="A8" s="9">
        <v>44901</v>
      </c>
      <c r="B8" s="31">
        <v>47950</v>
      </c>
      <c r="C8" s="14">
        <f t="shared" si="3"/>
        <v>640</v>
      </c>
      <c r="D8" s="31">
        <v>41205</v>
      </c>
      <c r="E8" s="14">
        <f t="shared" si="4"/>
        <v>480</v>
      </c>
      <c r="F8" s="31">
        <v>22359</v>
      </c>
      <c r="G8" s="14">
        <f t="shared" si="5"/>
        <v>60</v>
      </c>
      <c r="H8" s="31">
        <v>260707</v>
      </c>
      <c r="I8" s="14">
        <f t="shared" si="6"/>
        <v>29</v>
      </c>
      <c r="J8" s="31">
        <v>346089</v>
      </c>
      <c r="K8" s="14">
        <f t="shared" si="7"/>
        <v>178</v>
      </c>
      <c r="L8" s="31">
        <v>26751</v>
      </c>
      <c r="M8" s="14">
        <f t="shared" si="8"/>
        <v>240</v>
      </c>
      <c r="N8" s="31">
        <v>226642</v>
      </c>
      <c r="O8" s="14">
        <f t="shared" si="9"/>
        <v>3</v>
      </c>
      <c r="P8" s="31">
        <v>181682</v>
      </c>
      <c r="Q8" s="14">
        <f t="shared" si="2"/>
        <v>122</v>
      </c>
      <c r="R8" s="31">
        <f t="shared" si="10"/>
        <v>55047</v>
      </c>
      <c r="S8" s="14">
        <f>R8-R7</f>
        <v>0</v>
      </c>
      <c r="T8" s="31">
        <v>4110</v>
      </c>
      <c r="U8" s="14">
        <f t="shared" si="11"/>
        <v>160</v>
      </c>
    </row>
    <row r="9" spans="1:24" ht="13.5" thickBot="1" x14ac:dyDescent="0.25">
      <c r="A9" s="9">
        <v>44902</v>
      </c>
      <c r="B9" s="31">
        <v>47954</v>
      </c>
      <c r="C9" s="14">
        <f t="shared" si="3"/>
        <v>640</v>
      </c>
      <c r="D9" s="31">
        <v>41208</v>
      </c>
      <c r="E9" s="14">
        <f t="shared" si="4"/>
        <v>480</v>
      </c>
      <c r="F9" s="31">
        <v>22362</v>
      </c>
      <c r="G9" s="14">
        <f t="shared" si="5"/>
        <v>60</v>
      </c>
      <c r="H9" s="31">
        <v>260729</v>
      </c>
      <c r="I9" s="14">
        <f t="shared" si="6"/>
        <v>22</v>
      </c>
      <c r="J9" s="31">
        <v>346250</v>
      </c>
      <c r="K9" s="14">
        <f t="shared" si="7"/>
        <v>161</v>
      </c>
      <c r="L9" s="31">
        <v>26753</v>
      </c>
      <c r="M9" s="14">
        <f t="shared" si="8"/>
        <v>120</v>
      </c>
      <c r="N9" s="31">
        <v>226645</v>
      </c>
      <c r="O9" s="14">
        <f t="shared" si="9"/>
        <v>3</v>
      </c>
      <c r="P9" s="31">
        <v>181791</v>
      </c>
      <c r="Q9" s="14">
        <f t="shared" si="2"/>
        <v>109</v>
      </c>
      <c r="R9" s="31">
        <f t="shared" si="10"/>
        <v>55047</v>
      </c>
      <c r="S9" s="14">
        <f>R9-R8</f>
        <v>0</v>
      </c>
      <c r="T9" s="31">
        <f t="shared" ref="T9:T33" si="13">T8</f>
        <v>4110</v>
      </c>
      <c r="U9" s="14">
        <f t="shared" si="11"/>
        <v>0</v>
      </c>
    </row>
    <row r="10" spans="1:24" ht="13.5" thickBot="1" x14ac:dyDescent="0.25">
      <c r="A10" s="9">
        <v>44903</v>
      </c>
      <c r="B10" s="31">
        <v>47959</v>
      </c>
      <c r="C10" s="14">
        <f t="shared" si="3"/>
        <v>800</v>
      </c>
      <c r="D10" s="31">
        <v>41211</v>
      </c>
      <c r="E10" s="14">
        <f t="shared" si="4"/>
        <v>480</v>
      </c>
      <c r="F10" s="31">
        <v>22366</v>
      </c>
      <c r="G10" s="14">
        <f t="shared" si="5"/>
        <v>80</v>
      </c>
      <c r="H10" s="31">
        <v>260756</v>
      </c>
      <c r="I10" s="14">
        <f t="shared" si="6"/>
        <v>27</v>
      </c>
      <c r="J10" s="31">
        <v>346439</v>
      </c>
      <c r="K10" s="14">
        <f t="shared" si="7"/>
        <v>189</v>
      </c>
      <c r="L10" s="31">
        <v>26757</v>
      </c>
      <c r="M10" s="14">
        <f t="shared" si="8"/>
        <v>240</v>
      </c>
      <c r="N10" s="31">
        <v>226649</v>
      </c>
      <c r="O10" s="14">
        <f t="shared" si="9"/>
        <v>4</v>
      </c>
      <c r="P10" s="31">
        <v>181904</v>
      </c>
      <c r="Q10" s="14">
        <f t="shared" si="2"/>
        <v>113</v>
      </c>
      <c r="R10" s="31">
        <f t="shared" si="10"/>
        <v>55047</v>
      </c>
      <c r="S10" s="14">
        <f>R10-R9</f>
        <v>0</v>
      </c>
      <c r="T10" s="31">
        <v>4111</v>
      </c>
      <c r="U10" s="14">
        <f t="shared" si="11"/>
        <v>160</v>
      </c>
    </row>
    <row r="11" spans="1:24" ht="13.5" thickBot="1" x14ac:dyDescent="0.25">
      <c r="A11" s="9">
        <v>44904</v>
      </c>
      <c r="B11" s="31">
        <v>47964</v>
      </c>
      <c r="C11" s="14">
        <f t="shared" si="3"/>
        <v>800</v>
      </c>
      <c r="D11" s="31">
        <v>41214</v>
      </c>
      <c r="E11" s="14">
        <f t="shared" si="4"/>
        <v>480</v>
      </c>
      <c r="F11" s="31">
        <v>22370</v>
      </c>
      <c r="G11" s="14">
        <f t="shared" si="5"/>
        <v>80</v>
      </c>
      <c r="H11" s="31">
        <v>260774</v>
      </c>
      <c r="I11" s="14">
        <f t="shared" si="6"/>
        <v>18</v>
      </c>
      <c r="J11" s="31">
        <v>346534</v>
      </c>
      <c r="K11" s="14">
        <f t="shared" si="7"/>
        <v>95</v>
      </c>
      <c r="L11" s="31">
        <v>26759</v>
      </c>
      <c r="M11" s="14">
        <f t="shared" si="8"/>
        <v>120</v>
      </c>
      <c r="N11" s="31">
        <v>226652</v>
      </c>
      <c r="O11" s="14">
        <f t="shared" si="9"/>
        <v>3</v>
      </c>
      <c r="P11" s="31">
        <v>182024</v>
      </c>
      <c r="Q11" s="14">
        <f t="shared" si="2"/>
        <v>120</v>
      </c>
      <c r="R11" s="31">
        <f t="shared" si="10"/>
        <v>55047</v>
      </c>
      <c r="S11" s="14">
        <f t="shared" si="12"/>
        <v>0</v>
      </c>
      <c r="T11" s="31">
        <v>4112</v>
      </c>
      <c r="U11" s="14">
        <f t="shared" si="11"/>
        <v>160</v>
      </c>
    </row>
    <row r="12" spans="1:24" ht="13.5" thickBot="1" x14ac:dyDescent="0.25">
      <c r="A12" s="9">
        <v>44905</v>
      </c>
      <c r="B12" s="31">
        <v>47968</v>
      </c>
      <c r="C12" s="14">
        <f t="shared" si="3"/>
        <v>640</v>
      </c>
      <c r="D12" s="31">
        <v>41217</v>
      </c>
      <c r="E12" s="14">
        <f t="shared" si="4"/>
        <v>480</v>
      </c>
      <c r="F12" s="31">
        <v>22373</v>
      </c>
      <c r="G12" s="14">
        <f t="shared" si="5"/>
        <v>60</v>
      </c>
      <c r="H12" s="31">
        <v>260797</v>
      </c>
      <c r="I12" s="14">
        <f t="shared" si="6"/>
        <v>23</v>
      </c>
      <c r="J12" s="31">
        <v>346675</v>
      </c>
      <c r="K12" s="14">
        <f t="shared" si="7"/>
        <v>141</v>
      </c>
      <c r="L12" s="31">
        <v>26761</v>
      </c>
      <c r="M12" s="14">
        <f t="shared" si="8"/>
        <v>120</v>
      </c>
      <c r="N12" s="31">
        <v>226655</v>
      </c>
      <c r="O12" s="14">
        <f t="shared" si="9"/>
        <v>3</v>
      </c>
      <c r="P12" s="31">
        <v>182108</v>
      </c>
      <c r="Q12" s="14">
        <f t="shared" si="2"/>
        <v>84</v>
      </c>
      <c r="R12" s="31">
        <f t="shared" si="10"/>
        <v>55047</v>
      </c>
      <c r="S12" s="14">
        <f t="shared" si="12"/>
        <v>0</v>
      </c>
      <c r="T12" s="31">
        <f t="shared" si="13"/>
        <v>4112</v>
      </c>
      <c r="U12" s="14">
        <f t="shared" si="11"/>
        <v>0</v>
      </c>
    </row>
    <row r="13" spans="1:24" ht="13.5" thickBot="1" x14ac:dyDescent="0.25">
      <c r="A13" s="9">
        <v>44906</v>
      </c>
      <c r="B13" s="31">
        <v>47972</v>
      </c>
      <c r="C13" s="14">
        <f t="shared" si="3"/>
        <v>640</v>
      </c>
      <c r="D13" s="31">
        <v>41220</v>
      </c>
      <c r="E13" s="14">
        <f t="shared" si="4"/>
        <v>480</v>
      </c>
      <c r="F13" s="31">
        <v>22376</v>
      </c>
      <c r="G13" s="14">
        <f t="shared" si="5"/>
        <v>60</v>
      </c>
      <c r="H13" s="31">
        <v>260819</v>
      </c>
      <c r="I13" s="14">
        <f t="shared" si="6"/>
        <v>22</v>
      </c>
      <c r="J13" s="31">
        <v>346849</v>
      </c>
      <c r="K13" s="14">
        <f t="shared" si="7"/>
        <v>174</v>
      </c>
      <c r="L13" s="31">
        <v>26765</v>
      </c>
      <c r="M13" s="14">
        <f t="shared" si="8"/>
        <v>240</v>
      </c>
      <c r="N13" s="31">
        <v>226658</v>
      </c>
      <c r="O13" s="14">
        <f t="shared" si="9"/>
        <v>3</v>
      </c>
      <c r="P13" s="31">
        <f t="shared" ref="P13:P33" si="14">P12</f>
        <v>182108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4113</v>
      </c>
      <c r="U13" s="14">
        <f t="shared" si="11"/>
        <v>160</v>
      </c>
    </row>
    <row r="14" spans="1:24" ht="13.5" thickBot="1" x14ac:dyDescent="0.25">
      <c r="A14" s="9">
        <v>44907</v>
      </c>
      <c r="B14" s="31">
        <v>47977</v>
      </c>
      <c r="C14" s="14">
        <f t="shared" si="3"/>
        <v>800</v>
      </c>
      <c r="D14" s="31">
        <v>41223</v>
      </c>
      <c r="E14" s="14">
        <f t="shared" si="4"/>
        <v>480</v>
      </c>
      <c r="F14" s="31">
        <v>22379</v>
      </c>
      <c r="G14" s="14">
        <f t="shared" si="5"/>
        <v>60</v>
      </c>
      <c r="H14" s="31">
        <v>260836</v>
      </c>
      <c r="I14" s="14">
        <f t="shared" si="6"/>
        <v>17</v>
      </c>
      <c r="J14" s="31">
        <v>347024</v>
      </c>
      <c r="K14" s="14">
        <f t="shared" si="7"/>
        <v>175</v>
      </c>
      <c r="L14" s="31">
        <v>26768</v>
      </c>
      <c r="M14" s="14">
        <f t="shared" si="8"/>
        <v>180</v>
      </c>
      <c r="N14" s="31">
        <v>226661</v>
      </c>
      <c r="O14" s="14">
        <f t="shared" si="9"/>
        <v>3</v>
      </c>
      <c r="P14" s="31">
        <v>182365</v>
      </c>
      <c r="Q14" s="14">
        <f t="shared" si="2"/>
        <v>257</v>
      </c>
      <c r="R14" s="31">
        <f t="shared" si="10"/>
        <v>55047</v>
      </c>
      <c r="S14" s="14">
        <v>0</v>
      </c>
      <c r="T14" s="31">
        <v>4114</v>
      </c>
      <c r="U14" s="14">
        <f t="shared" si="11"/>
        <v>160</v>
      </c>
    </row>
    <row r="15" spans="1:24" ht="13.5" thickBot="1" x14ac:dyDescent="0.25">
      <c r="A15" s="9">
        <v>44908</v>
      </c>
      <c r="B15" s="31">
        <v>47981</v>
      </c>
      <c r="C15" s="14">
        <f t="shared" si="3"/>
        <v>640</v>
      </c>
      <c r="D15" s="31">
        <v>41226</v>
      </c>
      <c r="E15" s="14">
        <f t="shared" si="4"/>
        <v>480</v>
      </c>
      <c r="F15" s="31">
        <v>22383</v>
      </c>
      <c r="G15" s="14">
        <f t="shared" si="5"/>
        <v>80</v>
      </c>
      <c r="H15" s="31">
        <v>260851</v>
      </c>
      <c r="I15" s="14">
        <f t="shared" si="6"/>
        <v>15</v>
      </c>
      <c r="J15" s="31">
        <v>347199</v>
      </c>
      <c r="K15" s="14">
        <f t="shared" si="7"/>
        <v>175</v>
      </c>
      <c r="L15" s="31">
        <v>26772</v>
      </c>
      <c r="M15" s="14">
        <f t="shared" si="8"/>
        <v>240</v>
      </c>
      <c r="N15" s="31">
        <v>226664</v>
      </c>
      <c r="O15" s="14">
        <f t="shared" si="9"/>
        <v>3</v>
      </c>
      <c r="P15" s="31">
        <f t="shared" si="14"/>
        <v>182365</v>
      </c>
      <c r="Q15" s="14">
        <f t="shared" si="2"/>
        <v>0</v>
      </c>
      <c r="R15" s="31">
        <f t="shared" si="10"/>
        <v>55047</v>
      </c>
      <c r="S15" s="14">
        <v>0</v>
      </c>
      <c r="T15" s="31">
        <v>4114</v>
      </c>
      <c r="U15" s="14">
        <f t="shared" si="11"/>
        <v>0</v>
      </c>
      <c r="X15" t="s">
        <v>12</v>
      </c>
    </row>
    <row r="16" spans="1:24" ht="13.5" thickBot="1" x14ac:dyDescent="0.25">
      <c r="A16" s="9">
        <v>44909</v>
      </c>
      <c r="B16" s="31">
        <v>47986</v>
      </c>
      <c r="C16" s="14">
        <f t="shared" si="3"/>
        <v>800</v>
      </c>
      <c r="D16" s="31">
        <v>41228</v>
      </c>
      <c r="E16" s="14">
        <f t="shared" si="4"/>
        <v>320</v>
      </c>
      <c r="F16" s="31">
        <v>22386</v>
      </c>
      <c r="G16" s="14">
        <f t="shared" si="5"/>
        <v>60</v>
      </c>
      <c r="H16" s="31">
        <v>260876</v>
      </c>
      <c r="I16" s="14">
        <f t="shared" si="6"/>
        <v>25</v>
      </c>
      <c r="J16" s="31">
        <v>347375</v>
      </c>
      <c r="K16" s="14">
        <f t="shared" si="7"/>
        <v>176</v>
      </c>
      <c r="L16" s="31">
        <v>26776</v>
      </c>
      <c r="M16" s="14">
        <f t="shared" si="8"/>
        <v>240</v>
      </c>
      <c r="N16" s="31">
        <v>226668</v>
      </c>
      <c r="O16" s="14">
        <f t="shared" si="9"/>
        <v>4</v>
      </c>
      <c r="P16" s="31">
        <f t="shared" si="14"/>
        <v>182365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v>4115</v>
      </c>
      <c r="U16" s="14">
        <f t="shared" si="11"/>
        <v>160</v>
      </c>
      <c r="W16" t="s">
        <v>12</v>
      </c>
    </row>
    <row r="17" spans="1:23" ht="13.5" thickBot="1" x14ac:dyDescent="0.25">
      <c r="A17" s="9">
        <v>44910</v>
      </c>
      <c r="B17" s="31">
        <v>47991</v>
      </c>
      <c r="C17" s="14">
        <f t="shared" si="3"/>
        <v>800</v>
      </c>
      <c r="D17" s="31">
        <v>41231</v>
      </c>
      <c r="E17" s="14">
        <f t="shared" si="4"/>
        <v>480</v>
      </c>
      <c r="F17" s="31">
        <v>22390</v>
      </c>
      <c r="G17" s="14">
        <f t="shared" si="5"/>
        <v>80</v>
      </c>
      <c r="H17" s="31">
        <v>260902</v>
      </c>
      <c r="I17" s="14">
        <f t="shared" si="6"/>
        <v>26</v>
      </c>
      <c r="J17" s="31">
        <v>347548</v>
      </c>
      <c r="K17" s="14">
        <f t="shared" si="7"/>
        <v>173</v>
      </c>
      <c r="L17" s="31">
        <v>26779</v>
      </c>
      <c r="M17" s="14">
        <f t="shared" si="8"/>
        <v>180</v>
      </c>
      <c r="N17" s="31">
        <v>226671</v>
      </c>
      <c r="O17" s="14">
        <f t="shared" si="9"/>
        <v>3</v>
      </c>
      <c r="P17" s="31">
        <f t="shared" si="14"/>
        <v>182365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v>4116</v>
      </c>
      <c r="U17" s="14">
        <f t="shared" si="11"/>
        <v>160</v>
      </c>
    </row>
    <row r="18" spans="1:23" ht="13.5" thickBot="1" x14ac:dyDescent="0.25">
      <c r="A18" s="9">
        <v>44911</v>
      </c>
      <c r="B18" s="31">
        <v>47995</v>
      </c>
      <c r="C18" s="14">
        <f t="shared" si="3"/>
        <v>640</v>
      </c>
      <c r="D18" s="31">
        <v>41234</v>
      </c>
      <c r="E18" s="14">
        <f t="shared" si="4"/>
        <v>480</v>
      </c>
      <c r="F18" s="31">
        <v>22395</v>
      </c>
      <c r="G18" s="14">
        <f t="shared" si="5"/>
        <v>100</v>
      </c>
      <c r="H18" s="31">
        <v>260917</v>
      </c>
      <c r="I18" s="14">
        <f t="shared" si="6"/>
        <v>15</v>
      </c>
      <c r="J18" s="31">
        <v>347665</v>
      </c>
      <c r="K18" s="14">
        <f t="shared" si="7"/>
        <v>117</v>
      </c>
      <c r="L18" s="31">
        <v>26782</v>
      </c>
      <c r="M18" s="14">
        <f t="shared" si="8"/>
        <v>180</v>
      </c>
      <c r="N18" s="31">
        <v>226674</v>
      </c>
      <c r="O18" s="14">
        <f t="shared" si="9"/>
        <v>3</v>
      </c>
      <c r="P18" s="31">
        <v>182874</v>
      </c>
      <c r="Q18" s="14">
        <f t="shared" si="2"/>
        <v>509</v>
      </c>
      <c r="R18" s="31">
        <v>55047</v>
      </c>
      <c r="S18" s="14">
        <f t="shared" si="12"/>
        <v>0</v>
      </c>
      <c r="T18" s="31">
        <v>4117</v>
      </c>
      <c r="U18" s="14">
        <f t="shared" si="11"/>
        <v>160</v>
      </c>
    </row>
    <row r="19" spans="1:23" ht="13.5" thickBot="1" x14ac:dyDescent="0.25">
      <c r="A19" s="9">
        <v>44912</v>
      </c>
      <c r="B19" s="31">
        <v>47999</v>
      </c>
      <c r="C19" s="14">
        <f t="shared" si="3"/>
        <v>640</v>
      </c>
      <c r="D19" s="31">
        <v>41237</v>
      </c>
      <c r="E19" s="14">
        <f t="shared" si="4"/>
        <v>480</v>
      </c>
      <c r="F19" s="31">
        <v>22398</v>
      </c>
      <c r="G19" s="14">
        <f t="shared" si="5"/>
        <v>60</v>
      </c>
      <c r="H19" s="31">
        <v>260936</v>
      </c>
      <c r="I19" s="14">
        <f t="shared" si="6"/>
        <v>19</v>
      </c>
      <c r="J19" s="31">
        <v>347802</v>
      </c>
      <c r="K19" s="14">
        <f t="shared" si="7"/>
        <v>137</v>
      </c>
      <c r="L19" s="31">
        <v>26784</v>
      </c>
      <c r="M19" s="14">
        <f t="shared" si="8"/>
        <v>120</v>
      </c>
      <c r="N19" s="31">
        <v>226677</v>
      </c>
      <c r="O19" s="14">
        <f t="shared" si="9"/>
        <v>3</v>
      </c>
      <c r="P19" s="31">
        <v>182989</v>
      </c>
      <c r="Q19" s="14">
        <f t="shared" si="2"/>
        <v>115</v>
      </c>
      <c r="R19" s="31">
        <v>55047</v>
      </c>
      <c r="S19" s="14">
        <f t="shared" si="12"/>
        <v>0</v>
      </c>
      <c r="T19" s="31">
        <v>4118</v>
      </c>
      <c r="U19" s="14">
        <f t="shared" si="11"/>
        <v>160</v>
      </c>
      <c r="W19" t="s">
        <v>12</v>
      </c>
    </row>
    <row r="20" spans="1:23" ht="13.5" thickBot="1" x14ac:dyDescent="0.25">
      <c r="A20" s="9">
        <v>44913</v>
      </c>
      <c r="B20" s="31">
        <v>47999</v>
      </c>
      <c r="C20" s="14">
        <f t="shared" si="3"/>
        <v>0</v>
      </c>
      <c r="D20" s="31">
        <v>41240</v>
      </c>
      <c r="E20" s="14">
        <f t="shared" si="4"/>
        <v>480</v>
      </c>
      <c r="F20" s="31">
        <v>22401</v>
      </c>
      <c r="G20" s="14">
        <f t="shared" si="5"/>
        <v>60</v>
      </c>
      <c r="H20" s="31">
        <v>260955</v>
      </c>
      <c r="I20" s="14">
        <f t="shared" si="6"/>
        <v>19</v>
      </c>
      <c r="J20" s="31">
        <v>347939</v>
      </c>
      <c r="K20" s="14">
        <f t="shared" si="7"/>
        <v>137</v>
      </c>
      <c r="L20" s="31">
        <v>26786</v>
      </c>
      <c r="M20" s="14">
        <f t="shared" si="8"/>
        <v>120</v>
      </c>
      <c r="N20" s="31">
        <v>226680</v>
      </c>
      <c r="O20" s="14">
        <f t="shared" si="9"/>
        <v>3</v>
      </c>
      <c r="P20" s="31">
        <v>183107</v>
      </c>
      <c r="Q20" s="14">
        <f t="shared" si="2"/>
        <v>118</v>
      </c>
      <c r="R20" s="31">
        <v>55047</v>
      </c>
      <c r="S20" s="14">
        <f t="shared" si="12"/>
        <v>0</v>
      </c>
      <c r="T20" s="31">
        <v>4119</v>
      </c>
      <c r="U20" s="14">
        <f t="shared" si="11"/>
        <v>160</v>
      </c>
    </row>
    <row r="21" spans="1:23" ht="13.5" thickBot="1" x14ac:dyDescent="0.25">
      <c r="A21" s="9">
        <v>44914</v>
      </c>
      <c r="B21" s="31">
        <v>48008</v>
      </c>
      <c r="C21" s="14">
        <f t="shared" si="3"/>
        <v>1440</v>
      </c>
      <c r="D21" s="31">
        <v>41243</v>
      </c>
      <c r="E21" s="14">
        <f t="shared" si="4"/>
        <v>480</v>
      </c>
      <c r="F21" s="31">
        <v>22404</v>
      </c>
      <c r="G21" s="14">
        <f t="shared" si="5"/>
        <v>60</v>
      </c>
      <c r="H21" s="31">
        <v>260977</v>
      </c>
      <c r="I21" s="14">
        <f t="shared" si="6"/>
        <v>22</v>
      </c>
      <c r="J21" s="31">
        <v>348147</v>
      </c>
      <c r="K21" s="14">
        <f t="shared" si="7"/>
        <v>208</v>
      </c>
      <c r="L21" s="31">
        <v>26791</v>
      </c>
      <c r="M21" s="14">
        <f t="shared" si="8"/>
        <v>300</v>
      </c>
      <c r="N21" s="31">
        <v>226684</v>
      </c>
      <c r="O21" s="14">
        <f t="shared" si="9"/>
        <v>4</v>
      </c>
      <c r="P21" s="31">
        <v>183226</v>
      </c>
      <c r="Q21" s="14">
        <f t="shared" si="2"/>
        <v>119</v>
      </c>
      <c r="R21" s="31">
        <v>55047</v>
      </c>
      <c r="S21" s="14">
        <f t="shared" si="12"/>
        <v>0</v>
      </c>
      <c r="T21" s="31">
        <v>4119</v>
      </c>
      <c r="U21" s="14">
        <f t="shared" si="11"/>
        <v>0</v>
      </c>
    </row>
    <row r="22" spans="1:23" ht="13.5" thickBot="1" x14ac:dyDescent="0.25">
      <c r="A22" s="9">
        <v>44915</v>
      </c>
      <c r="B22" s="31">
        <v>48013</v>
      </c>
      <c r="C22" s="14">
        <f t="shared" si="3"/>
        <v>800</v>
      </c>
      <c r="D22" s="31">
        <v>41247</v>
      </c>
      <c r="E22" s="14">
        <f t="shared" si="4"/>
        <v>640</v>
      </c>
      <c r="F22" s="31">
        <v>22407</v>
      </c>
      <c r="G22" s="14">
        <f t="shared" si="5"/>
        <v>60</v>
      </c>
      <c r="H22" s="31">
        <v>260999</v>
      </c>
      <c r="I22" s="14">
        <f t="shared" si="6"/>
        <v>22</v>
      </c>
      <c r="J22" s="31">
        <v>348269</v>
      </c>
      <c r="K22" s="14">
        <f t="shared" si="7"/>
        <v>122</v>
      </c>
      <c r="L22" s="31">
        <v>26793</v>
      </c>
      <c r="M22" s="14">
        <f t="shared" si="8"/>
        <v>120</v>
      </c>
      <c r="N22" s="31">
        <v>226687</v>
      </c>
      <c r="O22" s="14">
        <f t="shared" si="9"/>
        <v>3</v>
      </c>
      <c r="P22" s="31">
        <v>183347</v>
      </c>
      <c r="Q22" s="14">
        <f t="shared" si="2"/>
        <v>121</v>
      </c>
      <c r="R22" s="31">
        <f t="shared" si="10"/>
        <v>55047</v>
      </c>
      <c r="S22" s="14">
        <f t="shared" si="12"/>
        <v>0</v>
      </c>
      <c r="T22" s="31">
        <v>4119</v>
      </c>
      <c r="U22" s="14">
        <f t="shared" si="11"/>
        <v>0</v>
      </c>
    </row>
    <row r="23" spans="1:23" ht="13.5" thickBot="1" x14ac:dyDescent="0.25">
      <c r="A23" s="9">
        <v>44916</v>
      </c>
      <c r="B23" s="31">
        <v>48017</v>
      </c>
      <c r="C23" s="14">
        <f t="shared" si="3"/>
        <v>640</v>
      </c>
      <c r="D23" s="31">
        <v>41249</v>
      </c>
      <c r="E23" s="14">
        <f t="shared" si="4"/>
        <v>320</v>
      </c>
      <c r="F23" s="31">
        <v>22411</v>
      </c>
      <c r="G23" s="14">
        <f t="shared" si="5"/>
        <v>80</v>
      </c>
      <c r="H23" s="31">
        <v>261022</v>
      </c>
      <c r="I23" s="14">
        <f t="shared" si="6"/>
        <v>23</v>
      </c>
      <c r="J23" s="31">
        <v>348496</v>
      </c>
      <c r="K23" s="14">
        <f t="shared" si="7"/>
        <v>227</v>
      </c>
      <c r="L23" s="31">
        <v>26797</v>
      </c>
      <c r="M23" s="14">
        <f t="shared" si="8"/>
        <v>240</v>
      </c>
      <c r="N23" s="31">
        <v>226690</v>
      </c>
      <c r="O23" s="14">
        <f t="shared" si="9"/>
        <v>3</v>
      </c>
      <c r="P23" s="31">
        <v>183465</v>
      </c>
      <c r="Q23" s="14">
        <f t="shared" si="2"/>
        <v>118</v>
      </c>
      <c r="R23" s="31">
        <f t="shared" si="10"/>
        <v>55047</v>
      </c>
      <c r="S23" s="14">
        <f t="shared" si="12"/>
        <v>0</v>
      </c>
      <c r="T23" s="31">
        <v>4121</v>
      </c>
      <c r="U23" s="14">
        <f t="shared" si="11"/>
        <v>320</v>
      </c>
    </row>
    <row r="24" spans="1:23" s="118" customFormat="1" ht="13.5" thickBot="1" x14ac:dyDescent="0.25">
      <c r="A24" s="9">
        <v>44917</v>
      </c>
      <c r="B24" s="31">
        <v>48022</v>
      </c>
      <c r="C24" s="14">
        <f t="shared" si="3"/>
        <v>800</v>
      </c>
      <c r="D24" s="31">
        <v>41252</v>
      </c>
      <c r="E24" s="14">
        <f t="shared" si="4"/>
        <v>480</v>
      </c>
      <c r="F24" s="31">
        <v>22414</v>
      </c>
      <c r="G24" s="14">
        <f t="shared" si="5"/>
        <v>60</v>
      </c>
      <c r="H24" s="31">
        <v>261036</v>
      </c>
      <c r="I24" s="14">
        <f t="shared" si="6"/>
        <v>14</v>
      </c>
      <c r="J24" s="31">
        <v>348659</v>
      </c>
      <c r="K24" s="14">
        <f t="shared" si="7"/>
        <v>163</v>
      </c>
      <c r="L24" s="31">
        <v>26800</v>
      </c>
      <c r="M24" s="14">
        <f t="shared" si="8"/>
        <v>180</v>
      </c>
      <c r="N24" s="31">
        <v>226693</v>
      </c>
      <c r="O24" s="14">
        <f t="shared" si="9"/>
        <v>3</v>
      </c>
      <c r="P24" s="31">
        <v>183579</v>
      </c>
      <c r="Q24" s="14">
        <f t="shared" si="2"/>
        <v>114</v>
      </c>
      <c r="R24" s="31">
        <f t="shared" si="10"/>
        <v>55047</v>
      </c>
      <c r="S24" s="14">
        <f t="shared" si="12"/>
        <v>0</v>
      </c>
      <c r="T24" s="31">
        <v>4122</v>
      </c>
      <c r="U24" s="14">
        <f t="shared" si="11"/>
        <v>160</v>
      </c>
    </row>
    <row r="25" spans="1:23" ht="13.5" thickBot="1" x14ac:dyDescent="0.25">
      <c r="A25" s="9">
        <v>44918</v>
      </c>
      <c r="B25" s="31">
        <v>48026</v>
      </c>
      <c r="C25" s="14">
        <f t="shared" si="3"/>
        <v>640</v>
      </c>
      <c r="D25" s="31">
        <v>41257</v>
      </c>
      <c r="E25" s="14">
        <f t="shared" si="4"/>
        <v>800</v>
      </c>
      <c r="F25" s="31">
        <v>22417</v>
      </c>
      <c r="G25" s="14">
        <f t="shared" si="5"/>
        <v>60</v>
      </c>
      <c r="H25" s="31">
        <v>261042</v>
      </c>
      <c r="I25" s="14">
        <f t="shared" si="6"/>
        <v>6</v>
      </c>
      <c r="J25" s="31">
        <v>348822</v>
      </c>
      <c r="K25" s="14">
        <f t="shared" si="7"/>
        <v>163</v>
      </c>
      <c r="L25" s="31">
        <v>26803</v>
      </c>
      <c r="M25" s="14">
        <f t="shared" si="8"/>
        <v>180</v>
      </c>
      <c r="N25" s="31">
        <v>226696</v>
      </c>
      <c r="O25" s="14">
        <f t="shared" si="9"/>
        <v>3</v>
      </c>
      <c r="P25" s="31">
        <v>183699</v>
      </c>
      <c r="Q25" s="14">
        <f t="shared" si="2"/>
        <v>120</v>
      </c>
      <c r="R25" s="31">
        <f t="shared" si="10"/>
        <v>55047</v>
      </c>
      <c r="S25" s="14">
        <f t="shared" si="12"/>
        <v>0</v>
      </c>
      <c r="T25" s="31">
        <v>4123</v>
      </c>
      <c r="U25" s="14">
        <f t="shared" si="11"/>
        <v>160</v>
      </c>
      <c r="V25" t="s">
        <v>12</v>
      </c>
    </row>
    <row r="26" spans="1:23" ht="12.75" customHeight="1" thickBot="1" x14ac:dyDescent="0.25">
      <c r="A26" s="9">
        <v>44919</v>
      </c>
      <c r="B26" s="31">
        <v>48031</v>
      </c>
      <c r="C26" s="14">
        <f t="shared" si="3"/>
        <v>800</v>
      </c>
      <c r="D26" s="31">
        <v>41258</v>
      </c>
      <c r="E26" s="14">
        <f t="shared" si="4"/>
        <v>160</v>
      </c>
      <c r="F26" s="31">
        <v>22422</v>
      </c>
      <c r="G26" s="14">
        <f t="shared" si="5"/>
        <v>100</v>
      </c>
      <c r="H26" s="31">
        <v>261068</v>
      </c>
      <c r="I26" s="14">
        <f t="shared" si="6"/>
        <v>26</v>
      </c>
      <c r="J26" s="31">
        <v>348934</v>
      </c>
      <c r="K26" s="14">
        <f t="shared" si="7"/>
        <v>112</v>
      </c>
      <c r="L26" s="31">
        <v>26804</v>
      </c>
      <c r="M26" s="14">
        <f t="shared" si="8"/>
        <v>60</v>
      </c>
      <c r="N26" s="31">
        <v>226700</v>
      </c>
      <c r="O26" s="14">
        <f t="shared" si="9"/>
        <v>4</v>
      </c>
      <c r="P26" s="31">
        <v>183820</v>
      </c>
      <c r="Q26" s="14">
        <f t="shared" si="2"/>
        <v>121</v>
      </c>
      <c r="R26" s="31">
        <f t="shared" si="10"/>
        <v>55047</v>
      </c>
      <c r="S26" s="14">
        <f t="shared" si="12"/>
        <v>0</v>
      </c>
      <c r="T26" s="31">
        <f t="shared" si="13"/>
        <v>4123</v>
      </c>
      <c r="U26" s="14">
        <f t="shared" si="11"/>
        <v>0</v>
      </c>
      <c r="W26" t="s">
        <v>12</v>
      </c>
    </row>
    <row r="27" spans="1:23" ht="13.5" thickBot="1" x14ac:dyDescent="0.25">
      <c r="A27" s="9">
        <v>44920</v>
      </c>
      <c r="B27" s="31">
        <v>48036</v>
      </c>
      <c r="C27" s="14">
        <f t="shared" si="3"/>
        <v>800</v>
      </c>
      <c r="D27" s="31">
        <v>41261</v>
      </c>
      <c r="E27" s="14">
        <f t="shared" si="4"/>
        <v>480</v>
      </c>
      <c r="F27" s="31">
        <v>22425</v>
      </c>
      <c r="G27" s="14">
        <f t="shared" si="5"/>
        <v>60</v>
      </c>
      <c r="H27" s="31">
        <v>261081</v>
      </c>
      <c r="I27" s="14">
        <f t="shared" si="6"/>
        <v>13</v>
      </c>
      <c r="J27" s="31">
        <v>349120</v>
      </c>
      <c r="K27" s="14">
        <f t="shared" si="7"/>
        <v>186</v>
      </c>
      <c r="L27" s="31">
        <v>26807</v>
      </c>
      <c r="M27" s="14">
        <f t="shared" si="8"/>
        <v>180</v>
      </c>
      <c r="N27" s="31">
        <v>226703</v>
      </c>
      <c r="O27" s="14">
        <f t="shared" si="9"/>
        <v>3</v>
      </c>
      <c r="P27" s="31">
        <v>183940</v>
      </c>
      <c r="Q27" s="14">
        <f t="shared" si="2"/>
        <v>120</v>
      </c>
      <c r="R27" s="31">
        <f t="shared" si="10"/>
        <v>55047</v>
      </c>
      <c r="S27" s="14">
        <f t="shared" si="12"/>
        <v>0</v>
      </c>
      <c r="T27" s="31">
        <v>4124</v>
      </c>
      <c r="U27" s="14">
        <f t="shared" si="11"/>
        <v>160</v>
      </c>
    </row>
    <row r="28" spans="1:23" ht="13.5" thickBot="1" x14ac:dyDescent="0.25">
      <c r="A28" s="9">
        <v>44921</v>
      </c>
      <c r="B28" s="31">
        <v>48040</v>
      </c>
      <c r="C28" s="14">
        <f t="shared" si="3"/>
        <v>640</v>
      </c>
      <c r="D28" s="31">
        <v>41264</v>
      </c>
      <c r="E28" s="14">
        <f t="shared" si="4"/>
        <v>480</v>
      </c>
      <c r="F28" s="31">
        <v>22428</v>
      </c>
      <c r="G28" s="14">
        <f t="shared" si="5"/>
        <v>60</v>
      </c>
      <c r="H28" s="31">
        <v>261105</v>
      </c>
      <c r="I28" s="14">
        <f t="shared" si="6"/>
        <v>24</v>
      </c>
      <c r="J28" s="31">
        <v>349277</v>
      </c>
      <c r="K28" s="14">
        <f t="shared" si="7"/>
        <v>157</v>
      </c>
      <c r="L28" s="31">
        <v>26811</v>
      </c>
      <c r="M28" s="14">
        <f t="shared" si="8"/>
        <v>240</v>
      </c>
      <c r="N28" s="31">
        <v>226706</v>
      </c>
      <c r="O28" s="14">
        <f t="shared" si="9"/>
        <v>3</v>
      </c>
      <c r="P28" s="31">
        <v>184059</v>
      </c>
      <c r="Q28" s="14">
        <f t="shared" si="2"/>
        <v>119</v>
      </c>
      <c r="R28" s="31">
        <f t="shared" si="10"/>
        <v>55047</v>
      </c>
      <c r="S28" s="15">
        <f t="shared" si="12"/>
        <v>0</v>
      </c>
      <c r="T28" s="31">
        <v>4125</v>
      </c>
      <c r="U28" s="14">
        <f t="shared" si="11"/>
        <v>160</v>
      </c>
    </row>
    <row r="29" spans="1:23" ht="13.5" thickBot="1" x14ac:dyDescent="0.25">
      <c r="A29" s="9">
        <v>44922</v>
      </c>
      <c r="B29" s="31">
        <v>48044</v>
      </c>
      <c r="C29" s="14">
        <f t="shared" si="3"/>
        <v>640</v>
      </c>
      <c r="D29" s="31">
        <v>41267</v>
      </c>
      <c r="E29" s="14">
        <f t="shared" si="4"/>
        <v>480</v>
      </c>
      <c r="F29" s="31">
        <v>22432</v>
      </c>
      <c r="G29" s="14">
        <f t="shared" si="5"/>
        <v>80</v>
      </c>
      <c r="H29" s="31">
        <v>261130</v>
      </c>
      <c r="I29" s="14">
        <f t="shared" si="6"/>
        <v>25</v>
      </c>
      <c r="J29" s="31">
        <v>349437</v>
      </c>
      <c r="K29" s="14">
        <f t="shared" si="7"/>
        <v>160</v>
      </c>
      <c r="L29" s="31">
        <v>26814</v>
      </c>
      <c r="M29" s="14">
        <f t="shared" si="8"/>
        <v>180</v>
      </c>
      <c r="N29" s="31">
        <v>226710</v>
      </c>
      <c r="O29" s="14">
        <f t="shared" si="9"/>
        <v>4</v>
      </c>
      <c r="P29" s="31">
        <v>184415</v>
      </c>
      <c r="Q29" s="14">
        <f t="shared" si="2"/>
        <v>356</v>
      </c>
      <c r="R29" s="31">
        <f t="shared" si="10"/>
        <v>55047</v>
      </c>
      <c r="S29" s="14">
        <f t="shared" si="12"/>
        <v>0</v>
      </c>
      <c r="T29" s="31">
        <v>4126</v>
      </c>
      <c r="U29" s="14">
        <f t="shared" si="11"/>
        <v>160</v>
      </c>
    </row>
    <row r="30" spans="1:23" ht="13.5" thickBot="1" x14ac:dyDescent="0.25">
      <c r="A30" s="9">
        <v>44923</v>
      </c>
      <c r="B30" s="31">
        <v>48049</v>
      </c>
      <c r="C30" s="14">
        <f t="shared" si="3"/>
        <v>800</v>
      </c>
      <c r="D30" s="31">
        <v>41279</v>
      </c>
      <c r="E30" s="14">
        <f t="shared" si="4"/>
        <v>1920</v>
      </c>
      <c r="F30" s="31">
        <v>22435</v>
      </c>
      <c r="G30" s="14">
        <f t="shared" si="5"/>
        <v>60</v>
      </c>
      <c r="H30" s="31">
        <v>261149</v>
      </c>
      <c r="I30" s="14">
        <f t="shared" si="6"/>
        <v>19</v>
      </c>
      <c r="J30" s="31">
        <v>349512</v>
      </c>
      <c r="K30" s="14">
        <f t="shared" si="7"/>
        <v>75</v>
      </c>
      <c r="L30" s="31">
        <v>26817</v>
      </c>
      <c r="M30" s="14">
        <f t="shared" si="8"/>
        <v>180</v>
      </c>
      <c r="N30" s="31">
        <v>226724</v>
      </c>
      <c r="O30" s="14">
        <f t="shared" si="9"/>
        <v>14</v>
      </c>
      <c r="P30" s="31">
        <f t="shared" si="14"/>
        <v>184415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13"/>
        <v>4126</v>
      </c>
      <c r="U30" s="14">
        <f t="shared" si="11"/>
        <v>0</v>
      </c>
    </row>
    <row r="31" spans="1:23" ht="13.5" thickBot="1" x14ac:dyDescent="0.25">
      <c r="A31" s="9">
        <v>44924</v>
      </c>
      <c r="B31" s="31">
        <f t="shared" ref="B30:B33" si="15">B30</f>
        <v>48049</v>
      </c>
      <c r="C31" s="14">
        <f t="shared" si="3"/>
        <v>0</v>
      </c>
      <c r="D31" s="31">
        <f t="shared" ref="D30:D33" si="16">D30</f>
        <v>41279</v>
      </c>
      <c r="E31" s="14">
        <f t="shared" si="4"/>
        <v>0</v>
      </c>
      <c r="F31" s="31">
        <f t="shared" ref="F30:F33" si="17">F30</f>
        <v>22435</v>
      </c>
      <c r="G31" s="14">
        <f t="shared" si="5"/>
        <v>0</v>
      </c>
      <c r="H31" s="31">
        <f t="shared" ref="H30:H33" si="18">H30</f>
        <v>261149</v>
      </c>
      <c r="I31" s="14">
        <f t="shared" si="6"/>
        <v>0</v>
      </c>
      <c r="J31" s="31">
        <f t="shared" ref="J30:J33" si="19">J30</f>
        <v>349512</v>
      </c>
      <c r="K31" s="14">
        <f t="shared" si="7"/>
        <v>0</v>
      </c>
      <c r="L31" s="31">
        <f t="shared" ref="L30:L33" si="20">L30</f>
        <v>26817</v>
      </c>
      <c r="M31" s="14">
        <f t="shared" si="8"/>
        <v>0</v>
      </c>
      <c r="N31" s="31">
        <f t="shared" ref="N30:N33" si="21">N30</f>
        <v>226724</v>
      </c>
      <c r="O31" s="14">
        <f t="shared" si="9"/>
        <v>0</v>
      </c>
      <c r="P31" s="31">
        <f t="shared" si="14"/>
        <v>184415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13"/>
        <v>4126</v>
      </c>
      <c r="U31" s="14">
        <f t="shared" si="11"/>
        <v>0</v>
      </c>
    </row>
    <row r="32" spans="1:23" ht="13.5" thickBot="1" x14ac:dyDescent="0.25">
      <c r="A32" s="9">
        <v>44925</v>
      </c>
      <c r="B32" s="31">
        <f t="shared" si="15"/>
        <v>48049</v>
      </c>
      <c r="C32" s="14">
        <f>(B32-B31)*800/5</f>
        <v>0</v>
      </c>
      <c r="D32" s="31">
        <f t="shared" si="16"/>
        <v>41279</v>
      </c>
      <c r="E32" s="14">
        <f>(D32-D31)*800/5</f>
        <v>0</v>
      </c>
      <c r="F32" s="31">
        <f t="shared" si="17"/>
        <v>22435</v>
      </c>
      <c r="G32" s="14">
        <f>(F32-F31)*100/5</f>
        <v>0</v>
      </c>
      <c r="H32" s="31">
        <f t="shared" si="18"/>
        <v>261149</v>
      </c>
      <c r="I32" s="14">
        <f>(H32-H31)</f>
        <v>0</v>
      </c>
      <c r="J32" s="31">
        <f t="shared" si="19"/>
        <v>349512</v>
      </c>
      <c r="K32" s="14">
        <f>(J32-J31)</f>
        <v>0</v>
      </c>
      <c r="L32" s="31">
        <f t="shared" si="20"/>
        <v>26817</v>
      </c>
      <c r="M32" s="14">
        <f>(L32-L31)*300/5</f>
        <v>0</v>
      </c>
      <c r="N32" s="31">
        <f t="shared" si="21"/>
        <v>226724</v>
      </c>
      <c r="O32" s="14">
        <f>N32-N31</f>
        <v>0</v>
      </c>
      <c r="P32" s="31">
        <f t="shared" si="14"/>
        <v>184415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13"/>
        <v>4126</v>
      </c>
      <c r="U32" s="14">
        <f>(T32-T31)*800/5</f>
        <v>0</v>
      </c>
    </row>
    <row r="33" spans="1:21" ht="13.5" thickBot="1" x14ac:dyDescent="0.25">
      <c r="A33" s="9">
        <v>44926</v>
      </c>
      <c r="B33" s="31">
        <f t="shared" si="15"/>
        <v>48049</v>
      </c>
      <c r="C33" s="14">
        <f>(B33-B32)*800/5</f>
        <v>0</v>
      </c>
      <c r="D33" s="31">
        <f t="shared" si="16"/>
        <v>41279</v>
      </c>
      <c r="E33" s="14">
        <f>(D33-D32)*800/5</f>
        <v>0</v>
      </c>
      <c r="F33" s="31">
        <f t="shared" si="17"/>
        <v>22435</v>
      </c>
      <c r="G33" s="14">
        <f>(F33-F32)*100/5</f>
        <v>0</v>
      </c>
      <c r="H33" s="31">
        <f t="shared" si="18"/>
        <v>261149</v>
      </c>
      <c r="I33" s="14">
        <f>(H33-H32)</f>
        <v>0</v>
      </c>
      <c r="J33" s="31">
        <f t="shared" si="19"/>
        <v>349512</v>
      </c>
      <c r="K33" s="14">
        <f>(J33-J32)</f>
        <v>0</v>
      </c>
      <c r="L33" s="31">
        <f t="shared" si="20"/>
        <v>26817</v>
      </c>
      <c r="M33" s="14">
        <f>(L33-L32)*300/5</f>
        <v>0</v>
      </c>
      <c r="N33" s="31">
        <f t="shared" si="21"/>
        <v>226724</v>
      </c>
      <c r="O33" s="14">
        <f>N33-N32</f>
        <v>0</v>
      </c>
      <c r="P33" s="31">
        <f t="shared" si="14"/>
        <v>184415</v>
      </c>
      <c r="Q33" s="14">
        <f>P33-P32</f>
        <v>0</v>
      </c>
      <c r="R33" s="31">
        <f t="shared" si="10"/>
        <v>55047</v>
      </c>
      <c r="S33" s="14">
        <f>R33-R32</f>
        <v>0</v>
      </c>
      <c r="T33" s="31">
        <f t="shared" si="13"/>
        <v>4126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19840</v>
      </c>
      <c r="D34" s="14"/>
      <c r="E34" s="14">
        <f>SUM(E3:E33)</f>
        <v>14560</v>
      </c>
      <c r="F34" s="14"/>
      <c r="G34" s="14">
        <f>SUM(G3:G33)</f>
        <v>1920</v>
      </c>
      <c r="H34" s="14"/>
      <c r="I34" s="14">
        <f>SUM(I3:I33)</f>
        <v>576</v>
      </c>
      <c r="J34" s="14"/>
      <c r="K34" s="14">
        <f>SUM(K3:K33)</f>
        <v>4379</v>
      </c>
      <c r="L34" s="14"/>
      <c r="M34" s="14">
        <f>SUM(M3:M33)</f>
        <v>5100</v>
      </c>
      <c r="N34" s="14"/>
      <c r="O34" s="14">
        <f>SUM(O3:O33)</f>
        <v>101</v>
      </c>
      <c r="P34" s="14"/>
      <c r="Q34" s="14">
        <f>SUM(Q3:Q33)</f>
        <v>3459</v>
      </c>
      <c r="R34" s="14"/>
      <c r="S34" s="14">
        <f>SUM(S3:S33)</f>
        <v>0</v>
      </c>
      <c r="T34" s="14"/>
      <c r="U34" s="14">
        <f>SUM(U3:U33)</f>
        <v>3200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2:U34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D34" sqref="D3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44895</v>
      </c>
      <c r="B2" s="37"/>
      <c r="C2" s="130">
        <v>20370</v>
      </c>
      <c r="D2" s="37"/>
      <c r="E2" s="131">
        <v>34813672</v>
      </c>
      <c r="F2" s="37"/>
      <c r="G2" s="132">
        <v>9505179</v>
      </c>
      <c r="H2" s="37"/>
      <c r="I2" s="133">
        <f t="shared" ref="I2" si="0">F2+H2</f>
        <v>0</v>
      </c>
      <c r="J2" s="131">
        <v>955257</v>
      </c>
      <c r="K2" s="116"/>
      <c r="L2" s="134">
        <v>1268813</v>
      </c>
      <c r="M2" s="37"/>
      <c r="N2" s="131">
        <v>7900073</v>
      </c>
      <c r="O2" s="37"/>
      <c r="P2" s="134">
        <v>8942991</v>
      </c>
      <c r="Q2" s="37"/>
      <c r="R2" s="131">
        <v>23225466</v>
      </c>
      <c r="S2" s="37"/>
      <c r="T2" s="131"/>
      <c r="U2" s="135"/>
      <c r="V2" s="131">
        <v>1312246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44896</v>
      </c>
      <c r="B3" s="37">
        <v>249</v>
      </c>
      <c r="C3" s="130">
        <v>20373</v>
      </c>
      <c r="D3" s="37">
        <f>IF((C3-C2)&lt;0,"0",(C3-C2))*160</f>
        <v>480</v>
      </c>
      <c r="E3" s="131">
        <v>34834416</v>
      </c>
      <c r="F3" s="37">
        <f>IF((E3-E2)&lt;0,"0",(E3-E2))</f>
        <v>20744</v>
      </c>
      <c r="G3" s="132">
        <v>9560794</v>
      </c>
      <c r="H3" s="37">
        <f>IF((G3-G2)&lt;0,"0",(G3-G2))</f>
        <v>55615</v>
      </c>
      <c r="I3" s="19">
        <f>F3+H3</f>
        <v>76359</v>
      </c>
      <c r="J3" s="131">
        <v>963331</v>
      </c>
      <c r="K3" s="37">
        <f>(IF((J3-J2)&lt;L86,"0",(J3-J2)))*2</f>
        <v>16148</v>
      </c>
      <c r="L3" s="134">
        <v>1276631</v>
      </c>
      <c r="M3" s="37">
        <f>IF((L3-L2)&lt;0,"0",(L3-L2))</f>
        <v>7818</v>
      </c>
      <c r="N3" s="131">
        <v>7906412</v>
      </c>
      <c r="O3" s="37">
        <f>(IF((N3-N2)&lt;P86,"0",(N3-N2)))*2</f>
        <v>12678</v>
      </c>
      <c r="P3" s="134">
        <v>8946726</v>
      </c>
      <c r="Q3" s="37">
        <f>IF((P3-P2)&lt;0,"0",(P3-P2))</f>
        <v>3735</v>
      </c>
      <c r="R3" s="131">
        <v>23239486</v>
      </c>
      <c r="S3" s="37">
        <f>IF((R3-R2)&lt;0,"0",(R3-R2))</f>
        <v>14020</v>
      </c>
      <c r="T3" s="131"/>
      <c r="U3" s="135"/>
      <c r="V3" s="131">
        <v>1326547</v>
      </c>
      <c r="W3" s="37">
        <f>IF((V3-V2)&lt;0,"0",(V3-V2))</f>
        <v>14301</v>
      </c>
      <c r="X3" s="19">
        <f>K3+M3+O3+Q3+S3+U3+W3</f>
        <v>68700</v>
      </c>
      <c r="Y3" s="150">
        <f>I3-X3</f>
        <v>7659</v>
      </c>
      <c r="Z3" s="3">
        <f>(0.93352*(W3+S3)+0.5568*(Q3+O3))*0.26</f>
        <v>9250.0143631999981</v>
      </c>
      <c r="AA3" s="3">
        <f>SUM(Z1:Z3)</f>
        <v>9250.0143631999981</v>
      </c>
    </row>
    <row r="4" spans="1:27" ht="16.5" thickBot="1" x14ac:dyDescent="0.3">
      <c r="A4" s="9">
        <v>44897</v>
      </c>
      <c r="B4" s="37">
        <v>260</v>
      </c>
      <c r="C4" s="130">
        <v>20375</v>
      </c>
      <c r="D4" s="37">
        <f t="shared" ref="D4:D29" si="4">IF((C4-C3)&lt;0,"0",(C4-C3))*160</f>
        <v>320</v>
      </c>
      <c r="E4" s="131">
        <v>34849951</v>
      </c>
      <c r="F4" s="37">
        <f t="shared" ref="F4:F29" si="5">IF((E4-E3)&lt;0,"0",(E4-E3))</f>
        <v>15535</v>
      </c>
      <c r="G4" s="132">
        <v>9602176</v>
      </c>
      <c r="H4" s="37">
        <f t="shared" ref="H4:H31" si="6">IF((G4-G3)&lt;0,"0",(G4-G3))</f>
        <v>41382</v>
      </c>
      <c r="I4" s="133">
        <f t="shared" ref="I4:I30" si="7">F4+H4</f>
        <v>56917</v>
      </c>
      <c r="J4" s="131">
        <v>968763</v>
      </c>
      <c r="K4" s="37">
        <f>(IF((J4-J3)&lt;L88,"0",(J4-J3)))*2</f>
        <v>10864</v>
      </c>
      <c r="L4" s="134">
        <v>1282115</v>
      </c>
      <c r="M4" s="37">
        <f t="shared" ref="M4:M29" si="8">IF((L4-L3)&lt;0,"0",(L4-L3))</f>
        <v>5484</v>
      </c>
      <c r="N4" s="131">
        <v>7911318</v>
      </c>
      <c r="O4" s="37">
        <f>(IF((N4-N3)&lt;P88,"0",(N4-N3)))*2</f>
        <v>9812</v>
      </c>
      <c r="P4" s="134">
        <v>8949165</v>
      </c>
      <c r="Q4" s="37">
        <f t="shared" ref="Q4:Q29" si="9">IF((P4-P3)&lt;0,"0",(P4-P3))</f>
        <v>2439</v>
      </c>
      <c r="R4" s="131">
        <v>23250262</v>
      </c>
      <c r="S4" s="37">
        <f t="shared" ref="S4:S30" si="10">IF((R4-R3)&lt;0,"0",(R4-R3))</f>
        <v>10776</v>
      </c>
      <c r="T4" s="131"/>
      <c r="U4" s="135"/>
      <c r="V4" s="131">
        <v>1337485</v>
      </c>
      <c r="W4" s="37">
        <f t="shared" ref="W4:W29" si="11">IF((V4-V3)&lt;0,"0",(V4-V3))</f>
        <v>10938</v>
      </c>
      <c r="X4" s="19">
        <f t="shared" ref="X4:X30" si="12">K4+M4+O4+Q4+S4+U4+W4</f>
        <v>50313</v>
      </c>
      <c r="Y4" s="150">
        <f t="shared" ref="Y4:Y30" si="13">I4-X4</f>
        <v>6604</v>
      </c>
      <c r="Z4" s="3">
        <f t="shared" ref="Z4:Z30" si="14">(0.93352*(W4+S4)+0.5568*(Q4+O4))*0.26</f>
        <v>7043.8706208000012</v>
      </c>
      <c r="AA4" s="3">
        <f>SUM(Z1:Z4)</f>
        <v>16293.884984</v>
      </c>
    </row>
    <row r="5" spans="1:27" ht="16.5" thickBot="1" x14ac:dyDescent="0.3">
      <c r="A5" s="9">
        <v>44898</v>
      </c>
      <c r="B5" s="37">
        <v>313</v>
      </c>
      <c r="C5" s="130">
        <v>20378</v>
      </c>
      <c r="D5" s="37">
        <f t="shared" si="4"/>
        <v>480</v>
      </c>
      <c r="E5" s="131">
        <v>34863995</v>
      </c>
      <c r="F5" s="37">
        <f t="shared" si="5"/>
        <v>14044</v>
      </c>
      <c r="G5" s="132">
        <v>9640608</v>
      </c>
      <c r="H5" s="37">
        <f t="shared" si="6"/>
        <v>38432</v>
      </c>
      <c r="I5" s="133">
        <f t="shared" si="7"/>
        <v>52476</v>
      </c>
      <c r="J5" s="131">
        <v>974236</v>
      </c>
      <c r="K5" s="37">
        <f t="shared" ref="K5:K31" si="15">(IF((J5-J4)&lt;0,"0",(J5-J4)))*2</f>
        <v>10946</v>
      </c>
      <c r="L5" s="134">
        <v>1287011</v>
      </c>
      <c r="M5" s="37">
        <f t="shared" si="8"/>
        <v>4896</v>
      </c>
      <c r="N5" s="131">
        <v>7915825</v>
      </c>
      <c r="O5" s="37">
        <f t="shared" ref="O5:O29" si="16">(IF((N5-N4)&lt;0,"0",(N5-N4)))*2</f>
        <v>9014</v>
      </c>
      <c r="P5" s="134">
        <v>8951457</v>
      </c>
      <c r="Q5" s="37">
        <f t="shared" si="9"/>
        <v>2292</v>
      </c>
      <c r="R5" s="131">
        <v>23260094</v>
      </c>
      <c r="S5" s="37">
        <f t="shared" si="10"/>
        <v>9832</v>
      </c>
      <c r="T5" s="131"/>
      <c r="U5" s="135"/>
      <c r="V5" s="131">
        <v>1347446</v>
      </c>
      <c r="W5" s="37">
        <f t="shared" si="11"/>
        <v>9961</v>
      </c>
      <c r="X5" s="19">
        <f t="shared" si="12"/>
        <v>46941</v>
      </c>
      <c r="Y5" s="150">
        <f t="shared" si="13"/>
        <v>5535</v>
      </c>
      <c r="Z5" s="3">
        <f t="shared" si="14"/>
        <v>6440.8089616000007</v>
      </c>
      <c r="AA5" s="3">
        <f>SUM(Z1:Z5)</f>
        <v>22734.6939456</v>
      </c>
    </row>
    <row r="6" spans="1:27" ht="16.5" thickBot="1" x14ac:dyDescent="0.3">
      <c r="A6" s="9">
        <v>44899</v>
      </c>
      <c r="B6" s="37">
        <v>263</v>
      </c>
      <c r="C6" s="130">
        <v>20380</v>
      </c>
      <c r="D6" s="37">
        <f t="shared" si="4"/>
        <v>320</v>
      </c>
      <c r="E6" s="131">
        <v>34877754</v>
      </c>
      <c r="F6" s="37">
        <f t="shared" si="5"/>
        <v>13759</v>
      </c>
      <c r="G6" s="132">
        <v>9677539</v>
      </c>
      <c r="H6" s="37">
        <f t="shared" si="6"/>
        <v>36931</v>
      </c>
      <c r="I6" s="133">
        <f t="shared" si="7"/>
        <v>50690</v>
      </c>
      <c r="J6" s="131">
        <v>979738</v>
      </c>
      <c r="K6" s="37">
        <f t="shared" si="15"/>
        <v>11004</v>
      </c>
      <c r="L6" s="134">
        <v>1291997</v>
      </c>
      <c r="M6" s="37">
        <f t="shared" si="8"/>
        <v>4986</v>
      </c>
      <c r="N6" s="131">
        <v>7920131</v>
      </c>
      <c r="O6" s="37">
        <f t="shared" si="16"/>
        <v>8612</v>
      </c>
      <c r="P6" s="134">
        <v>8953725</v>
      </c>
      <c r="Q6" s="37">
        <f t="shared" si="9"/>
        <v>2268</v>
      </c>
      <c r="R6" s="131">
        <v>23269289</v>
      </c>
      <c r="S6" s="37">
        <f t="shared" si="10"/>
        <v>9195</v>
      </c>
      <c r="T6" s="131"/>
      <c r="U6" s="135"/>
      <c r="V6" s="131">
        <v>1357002</v>
      </c>
      <c r="W6" s="37">
        <f t="shared" si="11"/>
        <v>9556</v>
      </c>
      <c r="X6" s="19">
        <f t="shared" si="12"/>
        <v>45621</v>
      </c>
      <c r="Y6" s="150">
        <f t="shared" si="13"/>
        <v>5069</v>
      </c>
      <c r="Z6" s="3">
        <f t="shared" si="14"/>
        <v>6126.2285552000003</v>
      </c>
      <c r="AA6" s="3">
        <f>SUM(Z1:Z6)</f>
        <v>28860.922500799999</v>
      </c>
    </row>
    <row r="7" spans="1:27" ht="16.5" thickBot="1" x14ac:dyDescent="0.3">
      <c r="A7" s="9">
        <v>44900</v>
      </c>
      <c r="B7" s="37">
        <v>245</v>
      </c>
      <c r="C7" s="130">
        <v>20383</v>
      </c>
      <c r="D7" s="37">
        <f t="shared" si="4"/>
        <v>480</v>
      </c>
      <c r="E7" s="131">
        <v>34898184</v>
      </c>
      <c r="F7" s="37">
        <f t="shared" si="5"/>
        <v>20430</v>
      </c>
      <c r="G7" s="132">
        <v>9731482</v>
      </c>
      <c r="H7" s="37">
        <f t="shared" si="6"/>
        <v>53943</v>
      </c>
      <c r="I7" s="133">
        <f t="shared" si="7"/>
        <v>74373</v>
      </c>
      <c r="J7" s="131">
        <v>987448</v>
      </c>
      <c r="K7" s="37">
        <f t="shared" si="15"/>
        <v>15420</v>
      </c>
      <c r="L7" s="134">
        <v>1299492</v>
      </c>
      <c r="M7" s="37">
        <f t="shared" si="8"/>
        <v>7495</v>
      </c>
      <c r="N7" s="131">
        <v>7926482</v>
      </c>
      <c r="O7" s="37">
        <f t="shared" si="16"/>
        <v>12702</v>
      </c>
      <c r="P7" s="134">
        <v>8957276</v>
      </c>
      <c r="Q7" s="37">
        <f t="shared" si="9"/>
        <v>3551</v>
      </c>
      <c r="R7" s="131">
        <v>23282528</v>
      </c>
      <c r="S7" s="37">
        <f t="shared" si="10"/>
        <v>13239</v>
      </c>
      <c r="T7" s="131"/>
      <c r="U7" s="135"/>
      <c r="V7" s="131">
        <v>1371109</v>
      </c>
      <c r="W7" s="37">
        <f t="shared" si="11"/>
        <v>14107</v>
      </c>
      <c r="X7" s="19">
        <f t="shared" si="12"/>
        <v>66514</v>
      </c>
      <c r="Y7" s="150">
        <f t="shared" si="13"/>
        <v>7859</v>
      </c>
      <c r="Z7" s="3">
        <f t="shared" si="14"/>
        <v>8990.2041632</v>
      </c>
      <c r="AA7" s="3">
        <f>SUM(Z1:Z7)</f>
        <v>37851.126663999996</v>
      </c>
    </row>
    <row r="8" spans="1:27" ht="16.5" thickBot="1" x14ac:dyDescent="0.3">
      <c r="A8" s="9">
        <v>44901</v>
      </c>
      <c r="B8" s="37">
        <v>264</v>
      </c>
      <c r="C8" s="130">
        <v>20385</v>
      </c>
      <c r="D8" s="37">
        <f t="shared" si="4"/>
        <v>320</v>
      </c>
      <c r="E8" s="131">
        <v>34912377</v>
      </c>
      <c r="F8" s="37">
        <f t="shared" si="5"/>
        <v>14193</v>
      </c>
      <c r="G8" s="132">
        <v>9769228</v>
      </c>
      <c r="H8" s="37">
        <f t="shared" si="6"/>
        <v>37746</v>
      </c>
      <c r="I8" s="133">
        <f t="shared" si="7"/>
        <v>51939</v>
      </c>
      <c r="J8" s="131">
        <v>992675</v>
      </c>
      <c r="K8" s="37">
        <f t="shared" si="15"/>
        <v>10454</v>
      </c>
      <c r="L8" s="134">
        <v>1305003</v>
      </c>
      <c r="M8" s="37">
        <f t="shared" si="8"/>
        <v>5511</v>
      </c>
      <c r="N8" s="131">
        <v>7930731</v>
      </c>
      <c r="O8" s="37">
        <f t="shared" si="16"/>
        <v>8498</v>
      </c>
      <c r="P8" s="134">
        <v>8959646</v>
      </c>
      <c r="Q8" s="37">
        <f t="shared" si="9"/>
        <v>2370</v>
      </c>
      <c r="R8" s="131">
        <v>23291732</v>
      </c>
      <c r="S8" s="37">
        <f t="shared" si="10"/>
        <v>9204</v>
      </c>
      <c r="T8" s="131"/>
      <c r="U8" s="135"/>
      <c r="V8" s="131">
        <v>1381141</v>
      </c>
      <c r="W8" s="37">
        <f t="shared" si="11"/>
        <v>10032</v>
      </c>
      <c r="X8" s="19">
        <f t="shared" si="12"/>
        <v>46069</v>
      </c>
      <c r="Y8" s="150">
        <f t="shared" si="13"/>
        <v>5870</v>
      </c>
      <c r="Z8" s="3">
        <f t="shared" si="14"/>
        <v>6242.2082111999998</v>
      </c>
      <c r="AA8" s="3">
        <f>SUM(Z1:Z8)</f>
        <v>44093.334875199995</v>
      </c>
    </row>
    <row r="9" spans="1:27" ht="16.5" thickBot="1" x14ac:dyDescent="0.3">
      <c r="A9" s="9">
        <v>44902</v>
      </c>
      <c r="B9" s="37">
        <v>266</v>
      </c>
      <c r="C9" s="130">
        <v>20388</v>
      </c>
      <c r="D9" s="37">
        <f t="shared" si="4"/>
        <v>480</v>
      </c>
      <c r="E9" s="131">
        <v>34929407</v>
      </c>
      <c r="F9" s="37">
        <f t="shared" si="5"/>
        <v>17030</v>
      </c>
      <c r="G9" s="132">
        <v>9818211</v>
      </c>
      <c r="H9" s="37">
        <f t="shared" si="6"/>
        <v>48983</v>
      </c>
      <c r="I9" s="133">
        <f t="shared" si="7"/>
        <v>66013</v>
      </c>
      <c r="J9" s="131">
        <v>999313</v>
      </c>
      <c r="K9" s="37">
        <f t="shared" si="15"/>
        <v>13276</v>
      </c>
      <c r="L9" s="134">
        <v>1311136</v>
      </c>
      <c r="M9" s="37">
        <f t="shared" si="8"/>
        <v>6133</v>
      </c>
      <c r="N9" s="131">
        <v>7936079</v>
      </c>
      <c r="O9" s="37">
        <f t="shared" si="16"/>
        <v>10696</v>
      </c>
      <c r="P9" s="134">
        <v>8963046</v>
      </c>
      <c r="Q9" s="37">
        <f t="shared" si="9"/>
        <v>3400</v>
      </c>
      <c r="R9" s="131">
        <v>23303517</v>
      </c>
      <c r="S9" s="37">
        <f t="shared" si="10"/>
        <v>11785</v>
      </c>
      <c r="T9" s="131"/>
      <c r="U9" s="135"/>
      <c r="V9" s="131">
        <v>1394228</v>
      </c>
      <c r="W9" s="37">
        <f t="shared" si="11"/>
        <v>13087</v>
      </c>
      <c r="X9" s="19">
        <f t="shared" si="12"/>
        <v>58377</v>
      </c>
      <c r="Y9" s="150">
        <f t="shared" si="13"/>
        <v>7636</v>
      </c>
      <c r="Z9" s="3">
        <f t="shared" si="14"/>
        <v>8077.4621824000005</v>
      </c>
      <c r="AA9" s="3">
        <f>SUM(Z1:Z9)</f>
        <v>52170.797057599993</v>
      </c>
    </row>
    <row r="10" spans="1:27" ht="16.5" thickBot="1" x14ac:dyDescent="0.3">
      <c r="A10" s="9">
        <v>44903</v>
      </c>
      <c r="B10" s="37">
        <v>255</v>
      </c>
      <c r="C10" s="130">
        <v>20390</v>
      </c>
      <c r="D10" s="37">
        <f>IF((C10-C9)&lt;0,"0",(C10-C9))*160</f>
        <v>320</v>
      </c>
      <c r="E10" s="131">
        <v>34939310</v>
      </c>
      <c r="F10" s="37">
        <f t="shared" si="5"/>
        <v>9903</v>
      </c>
      <c r="G10" s="132">
        <v>9848228</v>
      </c>
      <c r="H10" s="37">
        <f t="shared" si="6"/>
        <v>30017</v>
      </c>
      <c r="I10" s="133">
        <f t="shared" si="7"/>
        <v>39920</v>
      </c>
      <c r="J10" s="131">
        <v>1003520</v>
      </c>
      <c r="K10" s="37">
        <f t="shared" si="15"/>
        <v>8414</v>
      </c>
      <c r="L10" s="134">
        <v>1315020</v>
      </c>
      <c r="M10" s="37">
        <f t="shared" si="8"/>
        <v>3884</v>
      </c>
      <c r="N10" s="131">
        <v>7939017</v>
      </c>
      <c r="O10" s="37">
        <f t="shared" si="16"/>
        <v>5876</v>
      </c>
      <c r="P10" s="134">
        <v>8965570</v>
      </c>
      <c r="Q10" s="37">
        <f t="shared" si="9"/>
        <v>2524</v>
      </c>
      <c r="R10" s="131">
        <v>23310780</v>
      </c>
      <c r="S10" s="37">
        <f t="shared" si="10"/>
        <v>7263</v>
      </c>
      <c r="T10" s="131"/>
      <c r="U10" s="135"/>
      <c r="V10" s="131">
        <v>1401924</v>
      </c>
      <c r="W10" s="37">
        <f t="shared" si="11"/>
        <v>7696</v>
      </c>
      <c r="X10" s="19">
        <f t="shared" si="12"/>
        <v>35657</v>
      </c>
      <c r="Y10" s="150">
        <f t="shared" si="13"/>
        <v>4263</v>
      </c>
      <c r="Z10" s="3">
        <f t="shared" si="14"/>
        <v>4846.8278768000009</v>
      </c>
      <c r="AA10" s="3">
        <f>SUM(Z1:Z10)</f>
        <v>57017.624934399995</v>
      </c>
    </row>
    <row r="11" spans="1:27" ht="15.75" customHeight="1" thickBot="1" x14ac:dyDescent="0.3">
      <c r="A11" s="9">
        <v>44904</v>
      </c>
      <c r="B11" s="37">
        <v>265</v>
      </c>
      <c r="C11" s="130">
        <v>20392</v>
      </c>
      <c r="D11" s="37">
        <f>IF((C11-C10)&lt;0,"0",(C11-C10))*160</f>
        <v>320</v>
      </c>
      <c r="E11" s="131">
        <v>34957197</v>
      </c>
      <c r="F11" s="37">
        <f t="shared" si="5"/>
        <v>17887</v>
      </c>
      <c r="G11" s="132">
        <v>9898475</v>
      </c>
      <c r="H11" s="37">
        <f t="shared" si="6"/>
        <v>50247</v>
      </c>
      <c r="I11" s="133">
        <f t="shared" si="7"/>
        <v>68134</v>
      </c>
      <c r="J11" s="131">
        <v>1009899</v>
      </c>
      <c r="K11" s="37">
        <f t="shared" si="15"/>
        <v>12758</v>
      </c>
      <c r="L11" s="134">
        <v>1321856</v>
      </c>
      <c r="M11" s="37">
        <f t="shared" si="8"/>
        <v>6836</v>
      </c>
      <c r="N11" s="131">
        <v>7944426</v>
      </c>
      <c r="O11" s="37">
        <f t="shared" si="16"/>
        <v>10818</v>
      </c>
      <c r="P11" s="134">
        <v>8968813</v>
      </c>
      <c r="Q11" s="37">
        <f t="shared" si="9"/>
        <v>3243</v>
      </c>
      <c r="R11" s="131">
        <v>23323632</v>
      </c>
      <c r="S11" s="37">
        <f t="shared" si="10"/>
        <v>12852</v>
      </c>
      <c r="T11" s="131"/>
      <c r="U11" s="135"/>
      <c r="V11" s="131">
        <v>1415312</v>
      </c>
      <c r="W11" s="37">
        <f t="shared" si="11"/>
        <v>13388</v>
      </c>
      <c r="X11" s="19">
        <f t="shared" si="12"/>
        <v>59895</v>
      </c>
      <c r="Y11" s="150">
        <f t="shared" si="13"/>
        <v>8239</v>
      </c>
      <c r="Z11" s="3">
        <f t="shared" si="14"/>
        <v>8404.4296959999992</v>
      </c>
      <c r="AA11" s="3">
        <f>SUM(Z1:Z11)</f>
        <v>65422.054630399994</v>
      </c>
    </row>
    <row r="12" spans="1:27" ht="16.5" thickBot="1" x14ac:dyDescent="0.3">
      <c r="A12" s="9">
        <v>44905</v>
      </c>
      <c r="B12" s="37">
        <v>240</v>
      </c>
      <c r="C12" s="130">
        <v>20395</v>
      </c>
      <c r="D12" s="37">
        <f>IF((C12-C11)&lt;0,"0",(C12-C11))*160</f>
        <v>480</v>
      </c>
      <c r="E12" s="131">
        <v>34971616</v>
      </c>
      <c r="F12" s="37">
        <f t="shared" si="5"/>
        <v>14419</v>
      </c>
      <c r="G12" s="132">
        <v>9938676</v>
      </c>
      <c r="H12" s="37">
        <f t="shared" si="6"/>
        <v>40201</v>
      </c>
      <c r="I12" s="133">
        <f t="shared" si="7"/>
        <v>54620</v>
      </c>
      <c r="J12" s="131">
        <v>1015133</v>
      </c>
      <c r="K12" s="37">
        <f t="shared" si="15"/>
        <v>10468</v>
      </c>
      <c r="L12" s="134">
        <v>1327260</v>
      </c>
      <c r="M12" s="37">
        <f t="shared" si="8"/>
        <v>5404</v>
      </c>
      <c r="N12" s="131">
        <v>7948840</v>
      </c>
      <c r="O12" s="37">
        <f t="shared" si="16"/>
        <v>8828</v>
      </c>
      <c r="P12" s="134">
        <v>8971494</v>
      </c>
      <c r="Q12" s="37">
        <f t="shared" si="9"/>
        <v>2681</v>
      </c>
      <c r="R12" s="131">
        <v>23333876</v>
      </c>
      <c r="S12" s="37">
        <f t="shared" si="10"/>
        <v>10244</v>
      </c>
      <c r="T12" s="131"/>
      <c r="U12" s="135"/>
      <c r="V12" s="131">
        <v>1425890</v>
      </c>
      <c r="W12" s="37">
        <f t="shared" si="11"/>
        <v>10578</v>
      </c>
      <c r="X12" s="19">
        <f t="shared" si="12"/>
        <v>48203</v>
      </c>
      <c r="Y12" s="150">
        <f t="shared" si="13"/>
        <v>6417</v>
      </c>
      <c r="Z12" s="3">
        <f t="shared" si="14"/>
        <v>6719.9508064000001</v>
      </c>
      <c r="AA12" s="3">
        <f>SUM(Z1:Z12)</f>
        <v>72142.005436799998</v>
      </c>
    </row>
    <row r="13" spans="1:27" ht="16.5" thickBot="1" x14ac:dyDescent="0.3">
      <c r="A13" s="9">
        <v>44906</v>
      </c>
      <c r="B13" s="37">
        <v>168</v>
      </c>
      <c r="C13" s="130">
        <v>20398</v>
      </c>
      <c r="D13" s="37">
        <f t="shared" ref="D13" si="17">IF((C13-C12)&lt;0,"0",(C13-C12))*160</f>
        <v>480</v>
      </c>
      <c r="E13" s="131">
        <v>34988956</v>
      </c>
      <c r="F13" s="37">
        <f t="shared" ref="F13" si="18">IF((E13-E12)&lt;0,"0",(E13-E12))</f>
        <v>17340</v>
      </c>
      <c r="G13" s="132">
        <v>9986443</v>
      </c>
      <c r="H13" s="37">
        <f t="shared" si="6"/>
        <v>47767</v>
      </c>
      <c r="I13" s="133">
        <f t="shared" ref="I13" si="19">F13+H13</f>
        <v>65107</v>
      </c>
      <c r="J13" s="131">
        <v>1021890</v>
      </c>
      <c r="K13" s="37">
        <f t="shared" ref="K13" si="20">(IF((J13-J12)&lt;0,"0",(J13-J12)))*2</f>
        <v>13514</v>
      </c>
      <c r="L13" s="134">
        <v>1333998</v>
      </c>
      <c r="M13" s="37">
        <f t="shared" ref="M13" si="21">IF((L13-L12)&lt;0,"0",(L13-L12))</f>
        <v>6738</v>
      </c>
      <c r="N13" s="131">
        <v>7954033</v>
      </c>
      <c r="O13" s="37">
        <f t="shared" ref="O13" si="22">(IF((N13-N12)&lt;0,"0",(N13-N12)))*2</f>
        <v>10386</v>
      </c>
      <c r="P13" s="134">
        <v>8974402</v>
      </c>
      <c r="Q13" s="37">
        <f t="shared" ref="Q13" si="23">IF((P13-P12)&lt;0,"0",(P13-P12))</f>
        <v>2908</v>
      </c>
      <c r="R13" s="131">
        <v>23345763</v>
      </c>
      <c r="S13" s="37">
        <f t="shared" ref="S13" si="24">IF((R13-R12)&lt;0,"0",(R13-R12))</f>
        <v>11887</v>
      </c>
      <c r="T13" s="131"/>
      <c r="U13" s="135"/>
      <c r="V13" s="131">
        <v>1438490</v>
      </c>
      <c r="W13" s="37">
        <f t="shared" si="11"/>
        <v>12600</v>
      </c>
      <c r="X13" s="19">
        <f t="shared" ref="X13" si="25">K13+M13+O13+Q13+S13+U13+W13</f>
        <v>58033</v>
      </c>
      <c r="Y13" s="150">
        <f t="shared" si="13"/>
        <v>7074</v>
      </c>
      <c r="Z13" s="3">
        <f t="shared" ref="Z13" si="26">(0.93352*(W13+S13)+0.5568*(Q13+O13))*0.26</f>
        <v>7867.9128944000004</v>
      </c>
      <c r="AA13" s="3">
        <f>SUM(Z1:Z13)</f>
        <v>80009.918331199995</v>
      </c>
    </row>
    <row r="14" spans="1:27" ht="16.5" thickBot="1" x14ac:dyDescent="0.3">
      <c r="A14" s="9">
        <v>44907</v>
      </c>
      <c r="B14" s="37">
        <v>235</v>
      </c>
      <c r="C14" s="130">
        <v>20401</v>
      </c>
      <c r="D14" s="37">
        <f t="shared" si="4"/>
        <v>480</v>
      </c>
      <c r="E14" s="131">
        <v>34998909</v>
      </c>
      <c r="F14" s="37">
        <f t="shared" si="5"/>
        <v>9953</v>
      </c>
      <c r="G14" s="132">
        <v>10014259</v>
      </c>
      <c r="H14" s="37">
        <f t="shared" si="6"/>
        <v>27816</v>
      </c>
      <c r="I14" s="133">
        <f t="shared" si="7"/>
        <v>37769</v>
      </c>
      <c r="J14" s="131">
        <v>1025968</v>
      </c>
      <c r="K14" s="37">
        <f t="shared" si="15"/>
        <v>8156</v>
      </c>
      <c r="L14" s="134">
        <v>1337954</v>
      </c>
      <c r="M14" s="37">
        <f t="shared" si="8"/>
        <v>3956</v>
      </c>
      <c r="N14" s="131">
        <v>7956967</v>
      </c>
      <c r="O14" s="37">
        <f t="shared" si="16"/>
        <v>5868</v>
      </c>
      <c r="P14" s="134">
        <v>8976214</v>
      </c>
      <c r="Q14" s="37">
        <f t="shared" si="9"/>
        <v>1812</v>
      </c>
      <c r="R14" s="131">
        <v>23352413</v>
      </c>
      <c r="S14" s="37">
        <f>IF((R14-R13)&lt;0,"0",(R14-R13))</f>
        <v>6650</v>
      </c>
      <c r="T14" s="131"/>
      <c r="U14" s="135"/>
      <c r="V14" s="131">
        <v>1445827</v>
      </c>
      <c r="W14" s="37">
        <f t="shared" si="11"/>
        <v>7337</v>
      </c>
      <c r="X14" s="19">
        <f t="shared" si="12"/>
        <v>33779</v>
      </c>
      <c r="Y14" s="150">
        <f t="shared" si="13"/>
        <v>3990</v>
      </c>
      <c r="Z14" s="3">
        <f t="shared" si="14"/>
        <v>4506.6757423999998</v>
      </c>
      <c r="AA14" s="3">
        <f>SUM(Z1:Z14)</f>
        <v>84516.59407359999</v>
      </c>
    </row>
    <row r="15" spans="1:27" ht="16.5" thickBot="1" x14ac:dyDescent="0.3">
      <c r="A15" s="9">
        <v>44908</v>
      </c>
      <c r="B15" s="37">
        <v>151</v>
      </c>
      <c r="C15" s="130">
        <v>20404</v>
      </c>
      <c r="D15" s="37">
        <f t="shared" si="4"/>
        <v>480</v>
      </c>
      <c r="E15" s="131">
        <v>35016621</v>
      </c>
      <c r="F15" s="37">
        <f t="shared" si="5"/>
        <v>17712</v>
      </c>
      <c r="G15" s="132">
        <v>10062134</v>
      </c>
      <c r="H15" s="37">
        <f t="shared" si="6"/>
        <v>47875</v>
      </c>
      <c r="I15" s="133">
        <f t="shared" si="7"/>
        <v>65587</v>
      </c>
      <c r="J15" s="131">
        <v>1033066</v>
      </c>
      <c r="K15" s="37">
        <f t="shared" si="15"/>
        <v>14196</v>
      </c>
      <c r="L15" s="134">
        <v>1345067</v>
      </c>
      <c r="M15" s="37">
        <f t="shared" si="8"/>
        <v>7113</v>
      </c>
      <c r="N15" s="131">
        <v>7962165</v>
      </c>
      <c r="O15" s="37">
        <f t="shared" si="16"/>
        <v>10396</v>
      </c>
      <c r="P15" s="134">
        <v>8979336</v>
      </c>
      <c r="Q15" s="37">
        <f t="shared" si="9"/>
        <v>3122</v>
      </c>
      <c r="R15" s="131">
        <v>23364125</v>
      </c>
      <c r="S15" s="37">
        <f>IF((R15-R14)&lt;0,"0",(R15-R14))</f>
        <v>11712</v>
      </c>
      <c r="T15" s="131"/>
      <c r="U15" s="135"/>
      <c r="V15" s="131">
        <v>1458290</v>
      </c>
      <c r="W15" s="37">
        <f t="shared" si="11"/>
        <v>12463</v>
      </c>
      <c r="X15" s="19">
        <f t="shared" si="12"/>
        <v>59002</v>
      </c>
      <c r="Y15" s="150">
        <f t="shared" si="13"/>
        <v>6585</v>
      </c>
      <c r="Z15" s="3">
        <f t="shared" si="14"/>
        <v>7824.613784000001</v>
      </c>
      <c r="AA15" s="3">
        <f>SUM(Z1:Z15)</f>
        <v>92341.207857599991</v>
      </c>
    </row>
    <row r="16" spans="1:27" ht="16.5" thickBot="1" x14ac:dyDescent="0.3">
      <c r="A16" s="9">
        <v>44909</v>
      </c>
      <c r="B16" s="37">
        <v>204</v>
      </c>
      <c r="C16" s="130">
        <v>20406</v>
      </c>
      <c r="D16" s="37">
        <f t="shared" si="4"/>
        <v>320</v>
      </c>
      <c r="E16" s="131">
        <v>35027044</v>
      </c>
      <c r="F16" s="37">
        <f t="shared" si="5"/>
        <v>10423</v>
      </c>
      <c r="G16" s="132">
        <v>10110724</v>
      </c>
      <c r="H16" s="37">
        <f t="shared" si="6"/>
        <v>48590</v>
      </c>
      <c r="I16" s="133">
        <f t="shared" si="7"/>
        <v>59013</v>
      </c>
      <c r="J16" s="131">
        <v>1039047</v>
      </c>
      <c r="K16" s="37">
        <f t="shared" si="15"/>
        <v>11962</v>
      </c>
      <c r="L16" s="134">
        <v>1351188</v>
      </c>
      <c r="M16" s="37">
        <f t="shared" si="8"/>
        <v>6121</v>
      </c>
      <c r="N16" s="131">
        <v>7968420</v>
      </c>
      <c r="O16" s="37">
        <f t="shared" si="16"/>
        <v>12510</v>
      </c>
      <c r="P16" s="134">
        <v>8987499</v>
      </c>
      <c r="Q16" s="37">
        <f t="shared" si="9"/>
        <v>8163</v>
      </c>
      <c r="R16" s="131">
        <v>23374938</v>
      </c>
      <c r="S16" s="37">
        <f t="shared" si="10"/>
        <v>10813</v>
      </c>
      <c r="T16" s="131"/>
      <c r="U16" s="135"/>
      <c r="V16" s="131">
        <v>1469622</v>
      </c>
      <c r="W16" s="37">
        <f t="shared" si="11"/>
        <v>11332</v>
      </c>
      <c r="X16" s="19">
        <f t="shared" si="12"/>
        <v>60901</v>
      </c>
      <c r="Y16" s="150">
        <f t="shared" si="13"/>
        <v>-1888</v>
      </c>
      <c r="Z16" s="3">
        <f t="shared" si="14"/>
        <v>8367.7169680000006</v>
      </c>
      <c r="AA16" s="3">
        <f>SUM(Z1:Z16)</f>
        <v>100708.9248256</v>
      </c>
    </row>
    <row r="17" spans="1:27" s="117" customFormat="1" ht="16.5" thickBot="1" x14ac:dyDescent="0.3">
      <c r="A17" s="9">
        <v>44910</v>
      </c>
      <c r="B17" s="37">
        <v>237</v>
      </c>
      <c r="C17" s="130">
        <v>20408</v>
      </c>
      <c r="D17" s="37">
        <f t="shared" ref="D17" si="27">IF((C17-C16)&lt;0,"0",(C17-C16))*160</f>
        <v>320</v>
      </c>
      <c r="E17" s="131">
        <v>35056222</v>
      </c>
      <c r="F17" s="37">
        <f t="shared" ref="F17" si="28">IF((E17-E16)&lt;0,"0",(E17-E16))</f>
        <v>29178</v>
      </c>
      <c r="G17" s="132">
        <v>10133168</v>
      </c>
      <c r="H17" s="37">
        <f t="shared" ref="H17" si="29">IF((G17-G16)&lt;0,"0",(G17-G16))</f>
        <v>22444</v>
      </c>
      <c r="I17" s="133">
        <f t="shared" ref="I17" si="30">F17+H17</f>
        <v>51622</v>
      </c>
      <c r="J17" s="131">
        <v>1044332</v>
      </c>
      <c r="K17" s="37">
        <f t="shared" ref="K17" si="31">(IF((J17-J16)&lt;0,"0",(J17-J16)))*2</f>
        <v>10570</v>
      </c>
      <c r="L17" s="134">
        <v>1356512</v>
      </c>
      <c r="M17" s="37">
        <f t="shared" ref="M17" si="32">IF((L17-L16)&lt;0,"0",(L17-L16))</f>
        <v>5324</v>
      </c>
      <c r="N17" s="131">
        <v>7973995</v>
      </c>
      <c r="O17" s="37">
        <f t="shared" ref="O17" si="33">(IF((N17-N16)&lt;0,"0",(N17-N16)))*2</f>
        <v>11150</v>
      </c>
      <c r="P17" s="134">
        <v>8991453</v>
      </c>
      <c r="Q17" s="37">
        <f t="shared" ref="Q17" si="34">IF((P17-P16)&lt;0,"0",(P17-P16))</f>
        <v>3954</v>
      </c>
      <c r="R17" s="131">
        <v>23384432</v>
      </c>
      <c r="S17" s="37">
        <f t="shared" ref="S17" si="35">IF((R17-R16)&lt;0,"0",(R17-R16))</f>
        <v>9494</v>
      </c>
      <c r="T17" s="131"/>
      <c r="U17" s="135"/>
      <c r="V17" s="131">
        <v>1473114</v>
      </c>
      <c r="W17" s="116">
        <f t="shared" si="11"/>
        <v>3492</v>
      </c>
      <c r="X17" s="19">
        <f t="shared" si="12"/>
        <v>43984</v>
      </c>
      <c r="Y17" s="137">
        <f t="shared" si="13"/>
        <v>7638</v>
      </c>
      <c r="Z17" s="138">
        <f t="shared" si="14"/>
        <v>5338.4754591999999</v>
      </c>
      <c r="AA17" s="3">
        <f>SUM(Z1:Z17)</f>
        <v>106047.40028479999</v>
      </c>
    </row>
    <row r="18" spans="1:27" s="117" customFormat="1" ht="16.5" thickBot="1" x14ac:dyDescent="0.3">
      <c r="A18" s="9">
        <v>44911</v>
      </c>
      <c r="B18" s="37">
        <v>262</v>
      </c>
      <c r="C18" s="130">
        <v>20411</v>
      </c>
      <c r="D18" s="37">
        <f t="shared" si="4"/>
        <v>480</v>
      </c>
      <c r="E18" s="131">
        <v>35105958</v>
      </c>
      <c r="F18" s="37">
        <f t="shared" si="5"/>
        <v>49736</v>
      </c>
      <c r="G18" s="132">
        <v>10158845</v>
      </c>
      <c r="H18" s="37">
        <f t="shared" si="6"/>
        <v>25677</v>
      </c>
      <c r="I18" s="136">
        <f t="shared" si="7"/>
        <v>75413</v>
      </c>
      <c r="J18" s="131">
        <v>1051116</v>
      </c>
      <c r="K18" s="116">
        <f t="shared" si="15"/>
        <v>13568</v>
      </c>
      <c r="L18" s="134">
        <v>1363408</v>
      </c>
      <c r="M18" s="116">
        <f t="shared" si="8"/>
        <v>6896</v>
      </c>
      <c r="N18" s="131">
        <v>7995203</v>
      </c>
      <c r="O18" s="116">
        <f t="shared" si="16"/>
        <v>42416</v>
      </c>
      <c r="P18" s="134">
        <v>8995152</v>
      </c>
      <c r="Q18" s="116">
        <f t="shared" si="9"/>
        <v>3699</v>
      </c>
      <c r="R18" s="131">
        <v>23398736</v>
      </c>
      <c r="S18" s="116">
        <f t="shared" si="10"/>
        <v>14304</v>
      </c>
      <c r="T18" s="137"/>
      <c r="U18" s="135"/>
      <c r="V18" s="131">
        <v>1473114</v>
      </c>
      <c r="W18" s="116">
        <f t="shared" si="11"/>
        <v>0</v>
      </c>
      <c r="X18" s="19">
        <f t="shared" si="12"/>
        <v>80883</v>
      </c>
      <c r="Y18" s="137">
        <f t="shared" si="13"/>
        <v>-5470</v>
      </c>
      <c r="Z18" s="138">
        <f t="shared" si="14"/>
        <v>10147.774540800001</v>
      </c>
      <c r="AA18" s="3">
        <f>SUM(Z1:Z18)</f>
        <v>116195.1748256</v>
      </c>
    </row>
    <row r="19" spans="1:27" s="117" customFormat="1" ht="16.5" thickBot="1" x14ac:dyDescent="0.3">
      <c r="A19" s="9">
        <v>44912</v>
      </c>
      <c r="B19" s="37">
        <v>245</v>
      </c>
      <c r="C19" s="130">
        <v>20413</v>
      </c>
      <c r="D19" s="37">
        <f t="shared" si="4"/>
        <v>320</v>
      </c>
      <c r="E19" s="131">
        <v>35137583</v>
      </c>
      <c r="F19" s="37">
        <f t="shared" si="5"/>
        <v>31625</v>
      </c>
      <c r="G19" s="132">
        <v>10174975</v>
      </c>
      <c r="H19" s="37">
        <f t="shared" si="6"/>
        <v>16130</v>
      </c>
      <c r="I19" s="136">
        <f t="shared" si="7"/>
        <v>47755</v>
      </c>
      <c r="J19" s="131">
        <v>1055550</v>
      </c>
      <c r="K19" s="116">
        <f t="shared" si="15"/>
        <v>8868</v>
      </c>
      <c r="L19" s="134">
        <v>1367934</v>
      </c>
      <c r="M19" s="116">
        <f t="shared" si="8"/>
        <v>4526</v>
      </c>
      <c r="N19" s="131">
        <v>8008613</v>
      </c>
      <c r="O19" s="116">
        <f t="shared" si="16"/>
        <v>26820</v>
      </c>
      <c r="P19" s="134">
        <v>8997351</v>
      </c>
      <c r="Q19" s="116">
        <f t="shared" si="9"/>
        <v>2199</v>
      </c>
      <c r="R19" s="131">
        <v>23407625</v>
      </c>
      <c r="S19" s="116">
        <f t="shared" si="10"/>
        <v>8889</v>
      </c>
      <c r="T19" s="137"/>
      <c r="U19" s="135"/>
      <c r="V19" s="131">
        <v>1473114</v>
      </c>
      <c r="W19" s="116">
        <f t="shared" si="11"/>
        <v>0</v>
      </c>
      <c r="X19" s="19">
        <f t="shared" si="12"/>
        <v>51302</v>
      </c>
      <c r="Y19" s="137">
        <f t="shared" si="13"/>
        <v>-3547</v>
      </c>
      <c r="Z19" s="138">
        <f t="shared" si="14"/>
        <v>6358.5180048000002</v>
      </c>
      <c r="AA19" s="3">
        <f>SUM(Z1:Z19)</f>
        <v>122553.6928304</v>
      </c>
    </row>
    <row r="20" spans="1:27" s="117" customFormat="1" ht="16.5" thickBot="1" x14ac:dyDescent="0.3">
      <c r="A20" s="9">
        <v>44913</v>
      </c>
      <c r="B20" s="37">
        <v>240</v>
      </c>
      <c r="C20" s="130">
        <v>20415</v>
      </c>
      <c r="D20" s="37">
        <f t="shared" si="4"/>
        <v>320</v>
      </c>
      <c r="E20" s="131">
        <v>35178337</v>
      </c>
      <c r="F20" s="37">
        <f t="shared" si="5"/>
        <v>40754</v>
      </c>
      <c r="G20" s="132">
        <v>10196356</v>
      </c>
      <c r="H20" s="37">
        <f t="shared" si="6"/>
        <v>21381</v>
      </c>
      <c r="I20" s="136">
        <f t="shared" si="7"/>
        <v>62135</v>
      </c>
      <c r="J20" s="131">
        <v>1061496</v>
      </c>
      <c r="K20" s="116">
        <f t="shared" si="15"/>
        <v>11892</v>
      </c>
      <c r="L20" s="134">
        <v>1374036</v>
      </c>
      <c r="M20" s="116">
        <f t="shared" si="8"/>
        <v>6102</v>
      </c>
      <c r="N20" s="131">
        <v>8025761</v>
      </c>
      <c r="O20" s="116">
        <f t="shared" si="16"/>
        <v>34296</v>
      </c>
      <c r="P20" s="134">
        <v>9000291</v>
      </c>
      <c r="Q20" s="116">
        <f t="shared" si="9"/>
        <v>2940</v>
      </c>
      <c r="R20" s="131">
        <v>23419357</v>
      </c>
      <c r="S20" s="116">
        <f t="shared" si="10"/>
        <v>11732</v>
      </c>
      <c r="T20" s="137"/>
      <c r="U20" s="135"/>
      <c r="V20" s="131">
        <v>1473114</v>
      </c>
      <c r="W20" s="116">
        <f t="shared" si="11"/>
        <v>0</v>
      </c>
      <c r="X20" s="19">
        <f t="shared" si="12"/>
        <v>66962</v>
      </c>
      <c r="Y20" s="137">
        <f t="shared" si="13"/>
        <v>-4827</v>
      </c>
      <c r="Z20" s="138">
        <f t="shared" si="14"/>
        <v>8238.1159743999997</v>
      </c>
      <c r="AA20" s="3">
        <f>SUM(Z1:Z20)</f>
        <v>130791.80880480001</v>
      </c>
    </row>
    <row r="21" spans="1:27" s="117" customFormat="1" ht="16.5" thickBot="1" x14ac:dyDescent="0.3">
      <c r="A21" s="9">
        <v>44914</v>
      </c>
      <c r="B21" s="37">
        <v>285</v>
      </c>
      <c r="C21" s="130">
        <v>20418</v>
      </c>
      <c r="D21" s="37">
        <f t="shared" si="4"/>
        <v>480</v>
      </c>
      <c r="E21" s="131">
        <v>35224217</v>
      </c>
      <c r="F21" s="37">
        <f t="shared" si="5"/>
        <v>45880</v>
      </c>
      <c r="G21" s="132">
        <v>10219859</v>
      </c>
      <c r="H21" s="37">
        <f t="shared" si="6"/>
        <v>23503</v>
      </c>
      <c r="I21" s="136">
        <f t="shared" si="7"/>
        <v>69383</v>
      </c>
      <c r="J21" s="131">
        <v>1068041</v>
      </c>
      <c r="K21" s="116">
        <f t="shared" si="15"/>
        <v>13090</v>
      </c>
      <c r="L21" s="134">
        <v>1380492</v>
      </c>
      <c r="M21" s="116">
        <f t="shared" si="8"/>
        <v>6456</v>
      </c>
      <c r="N21" s="131">
        <v>8045290</v>
      </c>
      <c r="O21" s="116">
        <f t="shared" si="16"/>
        <v>39058</v>
      </c>
      <c r="P21" s="134">
        <v>9003298</v>
      </c>
      <c r="Q21" s="116">
        <f t="shared" si="9"/>
        <v>3007</v>
      </c>
      <c r="R21" s="131">
        <v>23432306</v>
      </c>
      <c r="S21" s="116">
        <f t="shared" si="10"/>
        <v>12949</v>
      </c>
      <c r="T21" s="137"/>
      <c r="U21" s="135"/>
      <c r="V21" s="131">
        <v>1473114</v>
      </c>
      <c r="W21" s="116">
        <f t="shared" si="11"/>
        <v>0</v>
      </c>
      <c r="X21" s="19">
        <f t="shared" si="12"/>
        <v>74560</v>
      </c>
      <c r="Y21" s="137">
        <f t="shared" si="13"/>
        <v>-5177</v>
      </c>
      <c r="Z21" s="138">
        <f t="shared" si="14"/>
        <v>9232.5850448000001</v>
      </c>
      <c r="AA21" s="3">
        <f>SUM(Z1:Z21)</f>
        <v>140024.39384960002</v>
      </c>
    </row>
    <row r="22" spans="1:27" ht="16.5" thickBot="1" x14ac:dyDescent="0.3">
      <c r="A22" s="9">
        <v>44915</v>
      </c>
      <c r="B22" s="37">
        <v>310</v>
      </c>
      <c r="C22" s="130">
        <v>20420</v>
      </c>
      <c r="D22" s="37">
        <f t="shared" si="4"/>
        <v>320</v>
      </c>
      <c r="E22" s="131">
        <v>35247736</v>
      </c>
      <c r="F22" s="37">
        <f t="shared" si="5"/>
        <v>23519</v>
      </c>
      <c r="G22" s="132">
        <v>10232901</v>
      </c>
      <c r="H22" s="37">
        <f t="shared" si="6"/>
        <v>13042</v>
      </c>
      <c r="I22" s="133">
        <f t="shared" si="7"/>
        <v>36561</v>
      </c>
      <c r="J22" s="131">
        <v>1071750</v>
      </c>
      <c r="K22" s="116">
        <f t="shared" si="15"/>
        <v>7418</v>
      </c>
      <c r="L22" s="134">
        <v>1384351</v>
      </c>
      <c r="M22" s="37">
        <f t="shared" si="8"/>
        <v>3859</v>
      </c>
      <c r="N22" s="131">
        <v>8054999</v>
      </c>
      <c r="O22" s="37">
        <f t="shared" si="16"/>
        <v>19418</v>
      </c>
      <c r="P22" s="134">
        <v>9004944</v>
      </c>
      <c r="Q22" s="37">
        <f t="shared" si="9"/>
        <v>1646</v>
      </c>
      <c r="R22" s="131">
        <v>23439512</v>
      </c>
      <c r="S22" s="37">
        <f t="shared" si="10"/>
        <v>7206</v>
      </c>
      <c r="T22" s="131"/>
      <c r="U22" s="135"/>
      <c r="V22" s="131">
        <v>1473114</v>
      </c>
      <c r="W22" s="37">
        <f t="shared" si="11"/>
        <v>0</v>
      </c>
      <c r="X22" s="19">
        <f t="shared" si="12"/>
        <v>39547</v>
      </c>
      <c r="Y22" s="150">
        <f t="shared" si="13"/>
        <v>-2986</v>
      </c>
      <c r="Z22" s="3">
        <f t="shared" si="14"/>
        <v>4798.3988832000005</v>
      </c>
      <c r="AA22" s="3">
        <f>SUM(Z1:Z22)</f>
        <v>144822.79273280001</v>
      </c>
    </row>
    <row r="23" spans="1:27" ht="16.5" thickBot="1" x14ac:dyDescent="0.3">
      <c r="A23" s="9">
        <v>44916</v>
      </c>
      <c r="B23" s="37">
        <v>311</v>
      </c>
      <c r="C23" s="130">
        <v>20424</v>
      </c>
      <c r="D23" s="37">
        <f t="shared" si="4"/>
        <v>640</v>
      </c>
      <c r="E23" s="131">
        <v>35275398</v>
      </c>
      <c r="F23" s="37">
        <f t="shared" si="5"/>
        <v>27662</v>
      </c>
      <c r="G23" s="132">
        <v>10270913</v>
      </c>
      <c r="H23" s="37">
        <f t="shared" si="6"/>
        <v>38012</v>
      </c>
      <c r="I23" s="133">
        <f t="shared" si="7"/>
        <v>65674</v>
      </c>
      <c r="J23" s="131">
        <v>1078698</v>
      </c>
      <c r="K23" s="116">
        <f t="shared" si="15"/>
        <v>13896</v>
      </c>
      <c r="L23" s="134">
        <v>1391208</v>
      </c>
      <c r="M23" s="37">
        <f t="shared" si="8"/>
        <v>6857</v>
      </c>
      <c r="N23" s="131">
        <v>8065268</v>
      </c>
      <c r="O23" s="37">
        <f t="shared" si="16"/>
        <v>20538</v>
      </c>
      <c r="P23" s="134">
        <v>9008532</v>
      </c>
      <c r="Q23" s="37">
        <f t="shared" si="9"/>
        <v>3588</v>
      </c>
      <c r="R23" s="131">
        <v>23451992</v>
      </c>
      <c r="S23" s="37">
        <f t="shared" si="10"/>
        <v>12480</v>
      </c>
      <c r="T23" s="131"/>
      <c r="U23" s="135"/>
      <c r="V23" s="131">
        <v>1480754</v>
      </c>
      <c r="W23" s="37">
        <f t="shared" si="11"/>
        <v>7640</v>
      </c>
      <c r="X23" s="19">
        <f t="shared" si="12"/>
        <v>64999</v>
      </c>
      <c r="Y23" s="150">
        <f t="shared" si="13"/>
        <v>675</v>
      </c>
      <c r="Z23" s="3">
        <f t="shared" si="14"/>
        <v>8376.1025919999993</v>
      </c>
      <c r="AA23" s="3">
        <f>SUM(Z1:Z23)</f>
        <v>153198.89532480002</v>
      </c>
    </row>
    <row r="24" spans="1:27" ht="16.5" thickBot="1" x14ac:dyDescent="0.3">
      <c r="A24" s="9">
        <v>44917</v>
      </c>
      <c r="B24" s="37">
        <v>312</v>
      </c>
      <c r="C24" s="130">
        <v>20426</v>
      </c>
      <c r="D24" s="37">
        <f t="shared" si="4"/>
        <v>320</v>
      </c>
      <c r="E24" s="131">
        <v>35291916</v>
      </c>
      <c r="F24" s="37">
        <f t="shared" si="5"/>
        <v>16518</v>
      </c>
      <c r="G24" s="132">
        <v>10319882</v>
      </c>
      <c r="H24" s="37">
        <f t="shared" si="6"/>
        <v>48969</v>
      </c>
      <c r="I24" s="133">
        <f t="shared" si="7"/>
        <v>65487</v>
      </c>
      <c r="J24" s="131">
        <v>1085550</v>
      </c>
      <c r="K24" s="116">
        <f t="shared" si="15"/>
        <v>13704</v>
      </c>
      <c r="L24" s="134">
        <v>1397535</v>
      </c>
      <c r="M24" s="37">
        <f t="shared" si="8"/>
        <v>6327</v>
      </c>
      <c r="N24" s="131">
        <v>8070262</v>
      </c>
      <c r="O24" s="37">
        <f t="shared" si="16"/>
        <v>9988</v>
      </c>
      <c r="P24" s="134">
        <v>9011551</v>
      </c>
      <c r="Q24" s="37">
        <f t="shared" si="9"/>
        <v>3019</v>
      </c>
      <c r="R24" s="131">
        <v>23465036</v>
      </c>
      <c r="S24" s="37">
        <f t="shared" si="10"/>
        <v>13044</v>
      </c>
      <c r="T24" s="131"/>
      <c r="U24" s="135"/>
      <c r="V24" s="131">
        <v>1492687</v>
      </c>
      <c r="W24" s="37">
        <f t="shared" si="11"/>
        <v>11933</v>
      </c>
      <c r="X24" s="19">
        <f t="shared" si="12"/>
        <v>58015</v>
      </c>
      <c r="Y24" s="150">
        <f t="shared" si="13"/>
        <v>7472</v>
      </c>
      <c r="Z24" s="3">
        <f t="shared" si="14"/>
        <v>7945.2949263999999</v>
      </c>
      <c r="AA24" s="3">
        <f>SUM(Z1:Z24)</f>
        <v>161144.19025120002</v>
      </c>
    </row>
    <row r="25" spans="1:27" ht="16.5" thickBot="1" x14ac:dyDescent="0.3">
      <c r="A25" s="9">
        <v>44918</v>
      </c>
      <c r="B25" s="37">
        <v>320</v>
      </c>
      <c r="C25" s="130">
        <v>20428</v>
      </c>
      <c r="D25" s="37">
        <f t="shared" si="4"/>
        <v>320</v>
      </c>
      <c r="E25" s="131">
        <v>35304583</v>
      </c>
      <c r="F25" s="37">
        <f t="shared" si="5"/>
        <v>12667</v>
      </c>
      <c r="G25" s="132">
        <v>10358062</v>
      </c>
      <c r="H25" s="37">
        <f t="shared" si="6"/>
        <v>38180</v>
      </c>
      <c r="I25" s="133">
        <f t="shared" si="7"/>
        <v>50847</v>
      </c>
      <c r="J25" s="131">
        <v>1090869</v>
      </c>
      <c r="K25" s="116">
        <f t="shared" si="15"/>
        <v>10638</v>
      </c>
      <c r="L25" s="134">
        <v>1402127</v>
      </c>
      <c r="M25" s="37">
        <f t="shared" si="8"/>
        <v>4592</v>
      </c>
      <c r="N25" s="131">
        <v>8074205</v>
      </c>
      <c r="O25" s="37">
        <f t="shared" si="16"/>
        <v>7886</v>
      </c>
      <c r="P25" s="134">
        <v>9013898</v>
      </c>
      <c r="Q25" s="37">
        <f t="shared" si="9"/>
        <v>2347</v>
      </c>
      <c r="R25" s="131">
        <v>23475278</v>
      </c>
      <c r="S25" s="37">
        <f t="shared" si="10"/>
        <v>10242</v>
      </c>
      <c r="T25" s="131"/>
      <c r="U25" s="135"/>
      <c r="V25" s="131">
        <v>1502443</v>
      </c>
      <c r="W25" s="37">
        <f t="shared" si="11"/>
        <v>9756</v>
      </c>
      <c r="X25" s="19">
        <f t="shared" si="12"/>
        <v>45461</v>
      </c>
      <c r="Y25" s="150">
        <f t="shared" si="13"/>
        <v>5386</v>
      </c>
      <c r="Z25" s="3">
        <f t="shared" si="14"/>
        <v>6335.2295135999993</v>
      </c>
      <c r="AA25" s="3">
        <f>SUM(Z1:Z25)</f>
        <v>167479.41976480003</v>
      </c>
    </row>
    <row r="26" spans="1:27" ht="16.5" thickBot="1" x14ac:dyDescent="0.3">
      <c r="A26" s="9">
        <v>44919</v>
      </c>
      <c r="B26" s="37">
        <v>304</v>
      </c>
      <c r="C26" s="130">
        <v>20430</v>
      </c>
      <c r="D26" s="37">
        <f t="shared" si="4"/>
        <v>320</v>
      </c>
      <c r="E26" s="131">
        <v>35315530</v>
      </c>
      <c r="F26" s="37">
        <f t="shared" si="5"/>
        <v>10947</v>
      </c>
      <c r="G26" s="132">
        <v>10391182</v>
      </c>
      <c r="H26" s="37">
        <f t="shared" si="6"/>
        <v>33120</v>
      </c>
      <c r="I26" s="133">
        <f t="shared" si="7"/>
        <v>44067</v>
      </c>
      <c r="J26" s="131">
        <v>1095136</v>
      </c>
      <c r="K26" s="116">
        <f t="shared" si="15"/>
        <v>8534</v>
      </c>
      <c r="L26" s="134">
        <v>1406225</v>
      </c>
      <c r="M26" s="37">
        <f t="shared" si="8"/>
        <v>4098</v>
      </c>
      <c r="N26" s="131">
        <v>8077550</v>
      </c>
      <c r="O26" s="37">
        <f t="shared" si="16"/>
        <v>6690</v>
      </c>
      <c r="P26" s="134">
        <v>9015974</v>
      </c>
      <c r="Q26" s="37">
        <f t="shared" si="9"/>
        <v>2076</v>
      </c>
      <c r="R26" s="131">
        <v>23484390</v>
      </c>
      <c r="S26" s="37">
        <f t="shared" si="10"/>
        <v>9112</v>
      </c>
      <c r="T26" s="131"/>
      <c r="U26" s="135"/>
      <c r="V26" s="131">
        <v>1510951</v>
      </c>
      <c r="W26" s="37">
        <f t="shared" si="11"/>
        <v>8508</v>
      </c>
      <c r="X26" s="19">
        <f t="shared" si="12"/>
        <v>39018</v>
      </c>
      <c r="Y26" s="150">
        <f t="shared" si="13"/>
        <v>5049</v>
      </c>
      <c r="Z26" s="3">
        <f t="shared" si="14"/>
        <v>5545.6781119999996</v>
      </c>
      <c r="AA26" s="3">
        <f>SUM(Z1:Z26)</f>
        <v>173025.09787680002</v>
      </c>
    </row>
    <row r="27" spans="1:27" ht="16.5" thickBot="1" x14ac:dyDescent="0.3">
      <c r="A27" s="9">
        <v>44920</v>
      </c>
      <c r="B27" s="37">
        <v>278</v>
      </c>
      <c r="C27" s="130">
        <v>20433</v>
      </c>
      <c r="D27" s="37">
        <f t="shared" si="4"/>
        <v>480</v>
      </c>
      <c r="E27" s="131">
        <v>35334126</v>
      </c>
      <c r="F27" s="37">
        <f t="shared" si="5"/>
        <v>18596</v>
      </c>
      <c r="G27" s="132">
        <v>10447402</v>
      </c>
      <c r="H27" s="37">
        <f t="shared" si="6"/>
        <v>56220</v>
      </c>
      <c r="I27" s="133">
        <f t="shared" si="7"/>
        <v>74816</v>
      </c>
      <c r="J27" s="131">
        <v>1103167</v>
      </c>
      <c r="K27" s="116">
        <f t="shared" si="15"/>
        <v>16062</v>
      </c>
      <c r="L27" s="134">
        <v>1413660</v>
      </c>
      <c r="M27" s="37">
        <f t="shared" si="8"/>
        <v>7435</v>
      </c>
      <c r="N27" s="131">
        <v>8083012</v>
      </c>
      <c r="O27" s="37">
        <f t="shared" si="16"/>
        <v>10924</v>
      </c>
      <c r="P27" s="134">
        <v>9019440</v>
      </c>
      <c r="Q27" s="37">
        <f t="shared" si="9"/>
        <v>3466</v>
      </c>
      <c r="R27" s="131">
        <v>23499214</v>
      </c>
      <c r="S27" s="37">
        <f t="shared" si="10"/>
        <v>14824</v>
      </c>
      <c r="T27" s="131"/>
      <c r="U27" s="135"/>
      <c r="V27" s="131">
        <v>1525322</v>
      </c>
      <c r="W27" s="37">
        <f t="shared" si="11"/>
        <v>14371</v>
      </c>
      <c r="X27" s="19">
        <f t="shared" si="12"/>
        <v>67082</v>
      </c>
      <c r="Y27" s="150">
        <f t="shared" si="13"/>
        <v>7734</v>
      </c>
      <c r="Z27" s="3">
        <f t="shared" si="14"/>
        <v>9169.2817839999989</v>
      </c>
      <c r="AA27" s="3">
        <f>SUM(Z1:Z27)</f>
        <v>182194.37966080001</v>
      </c>
    </row>
    <row r="28" spans="1:27" ht="16.5" thickBot="1" x14ac:dyDescent="0.3">
      <c r="A28" s="9">
        <v>44921</v>
      </c>
      <c r="B28" s="37">
        <v>208</v>
      </c>
      <c r="C28" s="130">
        <v>20435</v>
      </c>
      <c r="D28" s="37">
        <f t="shared" si="4"/>
        <v>320</v>
      </c>
      <c r="E28" s="131">
        <v>35345457</v>
      </c>
      <c r="F28" s="37">
        <f t="shared" si="5"/>
        <v>11331</v>
      </c>
      <c r="G28" s="132">
        <v>10479949</v>
      </c>
      <c r="H28" s="37">
        <f t="shared" si="6"/>
        <v>32547</v>
      </c>
      <c r="I28" s="133">
        <f t="shared" si="7"/>
        <v>43878</v>
      </c>
      <c r="J28" s="131">
        <v>1108194</v>
      </c>
      <c r="K28" s="116">
        <f t="shared" si="15"/>
        <v>10054</v>
      </c>
      <c r="L28" s="134">
        <v>1418180</v>
      </c>
      <c r="M28" s="37">
        <f t="shared" si="8"/>
        <v>4520</v>
      </c>
      <c r="N28" s="131">
        <v>8086335</v>
      </c>
      <c r="O28" s="37">
        <f t="shared" si="16"/>
        <v>6646</v>
      </c>
      <c r="P28" s="134">
        <v>9021518</v>
      </c>
      <c r="Q28" s="37">
        <f t="shared" si="9"/>
        <v>2078</v>
      </c>
      <c r="R28" s="131">
        <v>23507578</v>
      </c>
      <c r="S28" s="37">
        <f t="shared" si="10"/>
        <v>8364</v>
      </c>
      <c r="T28" s="131"/>
      <c r="U28" s="135"/>
      <c r="V28" s="131">
        <v>1533481</v>
      </c>
      <c r="W28" s="37">
        <f t="shared" si="11"/>
        <v>8159</v>
      </c>
      <c r="X28" s="19">
        <f t="shared" si="12"/>
        <v>39821</v>
      </c>
      <c r="Y28" s="150">
        <f t="shared" si="13"/>
        <v>4057</v>
      </c>
      <c r="Z28" s="3">
        <f t="shared" si="14"/>
        <v>5273.3392816000005</v>
      </c>
      <c r="AA28" s="3">
        <f>SUM(Z1:Z28)</f>
        <v>187467.71894240001</v>
      </c>
    </row>
    <row r="29" spans="1:27" ht="16.5" thickBot="1" x14ac:dyDescent="0.3">
      <c r="A29" s="9">
        <v>44922</v>
      </c>
      <c r="B29" s="37">
        <v>249</v>
      </c>
      <c r="C29" s="130">
        <v>20437</v>
      </c>
      <c r="D29" s="37">
        <f t="shared" si="4"/>
        <v>320</v>
      </c>
      <c r="E29" s="131">
        <v>35360990</v>
      </c>
      <c r="F29" s="37">
        <f t="shared" si="5"/>
        <v>15533</v>
      </c>
      <c r="G29" s="132">
        <v>10526766</v>
      </c>
      <c r="H29" s="37">
        <f t="shared" si="6"/>
        <v>46817</v>
      </c>
      <c r="I29" s="133">
        <f t="shared" si="7"/>
        <v>62350</v>
      </c>
      <c r="J29" s="131">
        <v>1115140</v>
      </c>
      <c r="K29" s="116">
        <f t="shared" si="15"/>
        <v>13892</v>
      </c>
      <c r="L29" s="134">
        <v>1424617</v>
      </c>
      <c r="M29" s="37">
        <f t="shared" si="8"/>
        <v>6437</v>
      </c>
      <c r="N29" s="131">
        <v>8090780</v>
      </c>
      <c r="O29" s="37">
        <f t="shared" si="16"/>
        <v>8890</v>
      </c>
      <c r="P29" s="134">
        <v>9024523</v>
      </c>
      <c r="Q29" s="37">
        <f t="shared" si="9"/>
        <v>3005</v>
      </c>
      <c r="R29" s="131">
        <v>23519948</v>
      </c>
      <c r="S29" s="37">
        <f t="shared" si="10"/>
        <v>12370</v>
      </c>
      <c r="T29" s="131"/>
      <c r="U29" s="135"/>
      <c r="V29" s="131">
        <v>1545198</v>
      </c>
      <c r="W29" s="37">
        <f t="shared" si="11"/>
        <v>11717</v>
      </c>
      <c r="X29" s="19">
        <f t="shared" si="12"/>
        <v>56311</v>
      </c>
      <c r="Y29" s="150">
        <f t="shared" si="13"/>
        <v>6039</v>
      </c>
      <c r="Z29" s="3">
        <f t="shared" si="14"/>
        <v>7568.2963823999999</v>
      </c>
      <c r="AA29" s="3">
        <f>SUM(Z1:Z29)</f>
        <v>195036.01532480001</v>
      </c>
    </row>
    <row r="30" spans="1:27" ht="16.5" thickBot="1" x14ac:dyDescent="0.3">
      <c r="A30" s="9">
        <v>44923</v>
      </c>
      <c r="B30" s="37">
        <v>313</v>
      </c>
      <c r="C30" s="130">
        <v>20439</v>
      </c>
      <c r="D30" s="37">
        <f>IF((C30-C29)&lt;0,"0",(C30-C29))*160</f>
        <v>320</v>
      </c>
      <c r="E30" s="131">
        <v>35370034</v>
      </c>
      <c r="F30" s="37">
        <f>IF((E30-E29)&lt;0,"0",(E30-E29))</f>
        <v>9044</v>
      </c>
      <c r="G30" s="132">
        <v>10554464</v>
      </c>
      <c r="H30" s="37">
        <f t="shared" si="6"/>
        <v>27698</v>
      </c>
      <c r="I30" s="133">
        <f t="shared" si="7"/>
        <v>36742</v>
      </c>
      <c r="J30" s="131">
        <v>1119423</v>
      </c>
      <c r="K30" s="116">
        <f t="shared" si="15"/>
        <v>8566</v>
      </c>
      <c r="L30" s="134">
        <v>1428216</v>
      </c>
      <c r="M30" s="37">
        <f>IF((L30-L29)&lt;0,"0",(L30-L29))</f>
        <v>3599</v>
      </c>
      <c r="N30" s="131">
        <v>8093431</v>
      </c>
      <c r="O30" s="37">
        <f>(IF((N30-N29)&lt;0,"0",(N30-N29)))*2</f>
        <v>5302</v>
      </c>
      <c r="P30" s="134">
        <v>9026430</v>
      </c>
      <c r="Q30" s="37">
        <f>IF((P30-P29)&lt;0,"0",(P30-P29))</f>
        <v>1907</v>
      </c>
      <c r="R30" s="131">
        <v>23526969</v>
      </c>
      <c r="S30" s="37">
        <f t="shared" si="10"/>
        <v>7021</v>
      </c>
      <c r="T30" s="131"/>
      <c r="U30" s="135"/>
      <c r="V30" s="131">
        <v>1552135</v>
      </c>
      <c r="W30" s="37">
        <f>IF((V30-V29)&lt;0,"0",(V30-V29))</f>
        <v>6937</v>
      </c>
      <c r="X30" s="19">
        <f t="shared" si="12"/>
        <v>33332</v>
      </c>
      <c r="Y30" s="150">
        <f t="shared" si="13"/>
        <v>3410</v>
      </c>
      <c r="Z30" s="3">
        <f t="shared" si="14"/>
        <v>4431.4512735999997</v>
      </c>
      <c r="AA30" s="3">
        <f>SUM(Z1:Z30)</f>
        <v>199467.4665984</v>
      </c>
    </row>
    <row r="31" spans="1:27" ht="16.5" thickBot="1" x14ac:dyDescent="0.3">
      <c r="A31" s="9">
        <v>44924</v>
      </c>
      <c r="B31" s="37"/>
      <c r="C31" s="130"/>
      <c r="D31" s="37">
        <f t="shared" ref="D31" si="36">IF((C31-C30)&lt;0,"0",(C31-C30))*160</f>
        <v>0</v>
      </c>
      <c r="E31" s="131"/>
      <c r="F31" s="37" t="str">
        <f t="shared" ref="F31" si="37">IF((E31-E30)&lt;0,"0",(E31-E30))</f>
        <v>0</v>
      </c>
      <c r="G31" s="132"/>
      <c r="H31" s="37" t="str">
        <f t="shared" si="6"/>
        <v>0</v>
      </c>
      <c r="I31" s="133">
        <f t="shared" ref="I31:I32" si="38">F31+H31</f>
        <v>0</v>
      </c>
      <c r="J31" s="131"/>
      <c r="K31" s="116">
        <f t="shared" si="15"/>
        <v>0</v>
      </c>
      <c r="L31" s="134"/>
      <c r="M31" s="37" t="str">
        <f t="shared" ref="M31" si="39">IF((L31-L30)&lt;0,"0",(L31-L30))</f>
        <v>0</v>
      </c>
      <c r="N31" s="131"/>
      <c r="O31" s="37">
        <f t="shared" ref="O31" si="40">(IF((N31-N30)&lt;0,"0",(N31-N30)))*2</f>
        <v>0</v>
      </c>
      <c r="P31" s="134"/>
      <c r="Q31" s="37" t="str">
        <f t="shared" ref="Q31" si="41">IF((P31-P30)&lt;0,"0",(P31-P30))</f>
        <v>0</v>
      </c>
      <c r="R31" s="131"/>
      <c r="S31" s="37" t="str">
        <f t="shared" ref="S31" si="42">IF((R31-R30)&lt;0,"0",(R31-R30))</f>
        <v>0</v>
      </c>
      <c r="T31" s="131"/>
      <c r="U31" s="135"/>
      <c r="V31" s="131"/>
      <c r="W31" s="37" t="str">
        <f t="shared" ref="W31" si="43">IF((V31-V30)&lt;0,"0",(V31-V30))</f>
        <v>0</v>
      </c>
      <c r="X31" s="19">
        <f t="shared" ref="X31:X32" si="44">K31+M31+O31+Q31+S31+U31+W31</f>
        <v>0</v>
      </c>
      <c r="Y31" s="150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199467.4665984</v>
      </c>
    </row>
    <row r="32" spans="1:27" ht="16.5" thickBot="1" x14ac:dyDescent="0.3">
      <c r="A32" s="9">
        <v>44925</v>
      </c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38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44"/>
        <v>0</v>
      </c>
      <c r="Y32" s="150">
        <f t="shared" si="45"/>
        <v>0</v>
      </c>
      <c r="Z32" s="3">
        <f t="shared" si="46"/>
        <v>0</v>
      </c>
      <c r="AA32" s="3">
        <f>SUM(Z1:Z32)</f>
        <v>199467.4665984</v>
      </c>
    </row>
    <row r="33" spans="1:27" ht="16.5" thickBot="1" x14ac:dyDescent="0.3">
      <c r="A33" s="9">
        <v>44926</v>
      </c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/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47">K33+M33+O33+Q33+S33+U33+W33</f>
        <v>0</v>
      </c>
      <c r="Y33" s="150">
        <f t="shared" ref="Y33" si="48">I33-X33</f>
        <v>0</v>
      </c>
      <c r="Z33" s="3">
        <f t="shared" ref="Z33" si="49">(0.93352*(W33+S33)+0.5568*(Q33+O33))*0.26</f>
        <v>0</v>
      </c>
      <c r="AA33" s="3">
        <f>SUM(Z2:Z33)</f>
        <v>199467.4665984</v>
      </c>
    </row>
    <row r="34" spans="1:27" ht="16.5" thickBot="1" x14ac:dyDescent="0.3">
      <c r="A34" s="123" t="s">
        <v>23</v>
      </c>
      <c r="B34" s="123">
        <f>SUM(B3:B33)</f>
        <v>7252</v>
      </c>
      <c r="C34" s="123"/>
      <c r="D34" s="123">
        <f>SUM(D3:D33)</f>
        <v>11040</v>
      </c>
      <c r="E34" s="54"/>
      <c r="F34" s="123">
        <f>SUM(F3:F33)</f>
        <v>556362</v>
      </c>
      <c r="G34" s="54"/>
      <c r="H34" s="123">
        <f>SUM(H3:H33)</f>
        <v>1049285</v>
      </c>
      <c r="I34" s="123">
        <f t="shared" ref="I34" si="50">F34+H34</f>
        <v>1605647</v>
      </c>
      <c r="J34" s="54"/>
      <c r="K34" s="123">
        <f>SUM(K3:K33)</f>
        <v>328332</v>
      </c>
      <c r="L34" s="54"/>
      <c r="M34" s="123">
        <f>SUM(M3:M33)</f>
        <v>159403</v>
      </c>
      <c r="N34" s="54"/>
      <c r="O34" s="123">
        <f>SUM(O3:O33)</f>
        <v>386716</v>
      </c>
      <c r="P34" s="54"/>
      <c r="Q34" s="123">
        <f>SUM(Q3:Q33)</f>
        <v>83439</v>
      </c>
      <c r="R34" s="54"/>
      <c r="S34" s="123">
        <f>SUM(S3:S33)</f>
        <v>301503</v>
      </c>
      <c r="T34" s="54"/>
      <c r="U34" s="123">
        <f>SUM(U3:U33)</f>
        <v>0</v>
      </c>
      <c r="V34" s="54"/>
      <c r="W34" s="123">
        <f>SUM(W3:W33)</f>
        <v>239889</v>
      </c>
      <c r="X34" s="123">
        <f>SUM(X3:X33)</f>
        <v>1499282</v>
      </c>
      <c r="Y34" s="123">
        <f>SUM(Y3:Y33)</f>
        <v>106365</v>
      </c>
      <c r="Z34" s="123">
        <f>SUM(Z3:Z33)</f>
        <v>199467.4665984</v>
      </c>
      <c r="AA34" s="123">
        <f>SUM(AA2:AA33)</f>
        <v>3541263.9513471997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2:AA5 B6:D6 F6:AA6 B7:AA34">
    <cfRule type="cellIs" dxfId="4" priority="3" operator="lessThan">
      <formula>0</formula>
    </cfRule>
  </conditionalFormatting>
  <conditionalFormatting sqref="E6">
    <cfRule type="cellIs" dxfId="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30" sqref="I3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44895</v>
      </c>
      <c r="B2" s="3">
        <v>467828</v>
      </c>
      <c r="C2" s="37"/>
      <c r="D2" s="3">
        <v>16303</v>
      </c>
      <c r="E2" s="37"/>
      <c r="F2" s="3">
        <v>12930800</v>
      </c>
      <c r="G2" s="37"/>
      <c r="H2" s="3">
        <v>824872</v>
      </c>
      <c r="I2" s="42"/>
      <c r="J2" s="19">
        <f t="shared" ref="J2" si="0">C2+E2+G2+I2</f>
        <v>0</v>
      </c>
      <c r="K2" s="162">
        <f t="shared" ref="K2" si="1">J2*5.86</f>
        <v>0</v>
      </c>
    </row>
    <row r="3" spans="1:14" ht="16.5" thickBot="1" x14ac:dyDescent="0.3">
      <c r="A3" s="9">
        <v>44896</v>
      </c>
      <c r="B3" s="3">
        <v>467907</v>
      </c>
      <c r="C3" s="37">
        <f t="shared" ref="C3:E18" si="2">(IF((B3-B2)&lt;0,"0",(B3-B2)))*10</f>
        <v>790</v>
      </c>
      <c r="D3" s="3">
        <v>16338</v>
      </c>
      <c r="E3" s="37">
        <f t="shared" si="2"/>
        <v>350</v>
      </c>
      <c r="F3" s="3">
        <v>12935600</v>
      </c>
      <c r="G3" s="37">
        <f>(IF((F3-F2)&lt;0,"0",(F3-F2)))*0.027</f>
        <v>129.6</v>
      </c>
      <c r="H3" s="3">
        <v>825098</v>
      </c>
      <c r="I3" s="42">
        <f>(IF((H3-H2)&lt;0,"0",(H3-H2)))*0.027</f>
        <v>6.1020000000000003</v>
      </c>
      <c r="J3" s="19">
        <f>C3+E3+G3+I3</f>
        <v>1275.702</v>
      </c>
      <c r="K3" s="162">
        <f>J3*5.86</f>
        <v>7475.6137200000003</v>
      </c>
    </row>
    <row r="4" spans="1:14" ht="16.5" thickBot="1" x14ac:dyDescent="0.3">
      <c r="A4" s="9">
        <v>44897</v>
      </c>
      <c r="B4" s="3">
        <v>467983</v>
      </c>
      <c r="C4" s="37">
        <f t="shared" si="2"/>
        <v>760</v>
      </c>
      <c r="D4" s="3">
        <v>16372</v>
      </c>
      <c r="E4" s="37">
        <f t="shared" si="2"/>
        <v>340</v>
      </c>
      <c r="F4" s="3">
        <v>12947300</v>
      </c>
      <c r="G4" s="37">
        <f>(IF((F4-F3)&lt;0,"0",(F4-F3)))*0.027</f>
        <v>315.89999999999998</v>
      </c>
      <c r="H4" s="3">
        <v>825275</v>
      </c>
      <c r="I4" s="42">
        <f>(IF((H4-H3)&lt;0,"0",(H4-H3)))*0.027</f>
        <v>4.7789999999999999</v>
      </c>
      <c r="J4" s="19">
        <f t="shared" ref="J4:J32" si="3">C4+E4+G4+I4</f>
        <v>1420.6790000000001</v>
      </c>
      <c r="K4" s="162">
        <f t="shared" ref="K4:K32" si="4">J4*5.86</f>
        <v>8325.1789400000016</v>
      </c>
    </row>
    <row r="5" spans="1:14" ht="16.5" thickBot="1" x14ac:dyDescent="0.3">
      <c r="A5" s="9">
        <v>44898</v>
      </c>
      <c r="B5" s="3">
        <v>468056</v>
      </c>
      <c r="C5" s="37">
        <f t="shared" si="2"/>
        <v>730</v>
      </c>
      <c r="D5" s="3">
        <v>16409</v>
      </c>
      <c r="E5" s="37">
        <f t="shared" si="2"/>
        <v>370</v>
      </c>
      <c r="F5" s="3">
        <v>12960200</v>
      </c>
      <c r="G5" s="37">
        <f t="shared" ref="G5:G32" si="5">(IF((F5-F4)&lt;0,"0",(F5-F4)))*0.027</f>
        <v>348.3</v>
      </c>
      <c r="H5" s="3">
        <v>825492</v>
      </c>
      <c r="I5" s="42">
        <f t="shared" ref="I5:I32" si="6">(IF((H5-H4)&lt;0,"0",(H5-H4)))*0.027</f>
        <v>5.859</v>
      </c>
      <c r="J5" s="19">
        <f t="shared" si="3"/>
        <v>1454.1589999999999</v>
      </c>
      <c r="K5" s="162">
        <f t="shared" si="4"/>
        <v>8521.3717400000005</v>
      </c>
    </row>
    <row r="6" spans="1:14" ht="16.5" thickBot="1" x14ac:dyDescent="0.3">
      <c r="A6" s="9">
        <v>44899</v>
      </c>
      <c r="B6" s="3">
        <v>468124</v>
      </c>
      <c r="C6" s="37">
        <f t="shared" si="2"/>
        <v>680</v>
      </c>
      <c r="D6" s="3">
        <v>16445</v>
      </c>
      <c r="E6" s="37">
        <f t="shared" si="2"/>
        <v>360</v>
      </c>
      <c r="F6" s="3">
        <v>12971200</v>
      </c>
      <c r="G6" s="37">
        <f t="shared" si="5"/>
        <v>297</v>
      </c>
      <c r="H6" s="3">
        <v>825707</v>
      </c>
      <c r="I6" s="42">
        <f t="shared" si="6"/>
        <v>5.8049999999999997</v>
      </c>
      <c r="J6" s="19">
        <f t="shared" si="3"/>
        <v>1342.8050000000001</v>
      </c>
      <c r="K6" s="162">
        <f t="shared" si="4"/>
        <v>7868.8373000000011</v>
      </c>
    </row>
    <row r="7" spans="1:14" ht="16.5" thickBot="1" x14ac:dyDescent="0.3">
      <c r="A7" s="9">
        <v>44900</v>
      </c>
      <c r="B7" s="3">
        <v>468192</v>
      </c>
      <c r="C7" s="37">
        <f t="shared" si="2"/>
        <v>680</v>
      </c>
      <c r="D7" s="3">
        <v>16479</v>
      </c>
      <c r="E7" s="37">
        <f t="shared" si="2"/>
        <v>340</v>
      </c>
      <c r="F7" s="3">
        <v>12984000</v>
      </c>
      <c r="G7" s="37">
        <f t="shared" si="5"/>
        <v>345.6</v>
      </c>
      <c r="H7" s="3">
        <v>825880</v>
      </c>
      <c r="I7" s="42">
        <f t="shared" si="6"/>
        <v>4.6710000000000003</v>
      </c>
      <c r="J7" s="19">
        <f t="shared" si="3"/>
        <v>1370.271</v>
      </c>
      <c r="K7" s="162">
        <f t="shared" si="4"/>
        <v>8029.7880599999999</v>
      </c>
      <c r="L7" t="s">
        <v>12</v>
      </c>
      <c r="N7" t="s">
        <v>12</v>
      </c>
    </row>
    <row r="8" spans="1:14" ht="16.5" thickBot="1" x14ac:dyDescent="0.3">
      <c r="A8" s="9">
        <v>44901</v>
      </c>
      <c r="B8" s="3">
        <v>468268</v>
      </c>
      <c r="C8" s="37">
        <f t="shared" si="2"/>
        <v>760</v>
      </c>
      <c r="D8" s="3">
        <v>16516</v>
      </c>
      <c r="E8" s="37">
        <f t="shared" si="2"/>
        <v>370</v>
      </c>
      <c r="F8" s="3">
        <v>12997100</v>
      </c>
      <c r="G8" s="37">
        <f t="shared" si="5"/>
        <v>353.7</v>
      </c>
      <c r="H8" s="3">
        <v>826102</v>
      </c>
      <c r="I8" s="42">
        <f t="shared" si="6"/>
        <v>5.9939999999999998</v>
      </c>
      <c r="J8" s="19">
        <f t="shared" si="3"/>
        <v>1489.694</v>
      </c>
      <c r="K8" s="162">
        <f t="shared" si="4"/>
        <v>8729.6068400000004</v>
      </c>
    </row>
    <row r="9" spans="1:14" ht="16.5" thickBot="1" x14ac:dyDescent="0.3">
      <c r="A9" s="9">
        <v>44902</v>
      </c>
      <c r="B9" s="3">
        <v>468342</v>
      </c>
      <c r="C9" s="37">
        <f t="shared" ref="C9:C32" si="7">(IF((B9-B8)&lt;0,"0",(B9-B8)))*10</f>
        <v>740</v>
      </c>
      <c r="D9" s="3">
        <v>16553</v>
      </c>
      <c r="E9" s="37">
        <f t="shared" si="2"/>
        <v>370</v>
      </c>
      <c r="F9" s="3">
        <v>13010000</v>
      </c>
      <c r="G9" s="37">
        <f t="shared" si="5"/>
        <v>348.3</v>
      </c>
      <c r="H9" s="3">
        <v>826341</v>
      </c>
      <c r="I9" s="42">
        <f t="shared" si="6"/>
        <v>6.4530000000000003</v>
      </c>
      <c r="J9" s="19">
        <f t="shared" si="3"/>
        <v>1464.7529999999999</v>
      </c>
      <c r="K9" s="162">
        <f t="shared" si="4"/>
        <v>8583.4525799999992</v>
      </c>
    </row>
    <row r="10" spans="1:14" ht="16.5" thickBot="1" x14ac:dyDescent="0.3">
      <c r="A10" s="9">
        <v>44903</v>
      </c>
      <c r="B10" s="3">
        <v>468411</v>
      </c>
      <c r="C10" s="37">
        <f>(IF((B10-B9)&lt;0,"0",(B10-B9)))*10</f>
        <v>690</v>
      </c>
      <c r="D10" s="3">
        <v>16588</v>
      </c>
      <c r="E10" s="37">
        <f t="shared" si="2"/>
        <v>350</v>
      </c>
      <c r="F10" s="3">
        <v>13022200</v>
      </c>
      <c r="G10" s="37">
        <f t="shared" si="5"/>
        <v>329.4</v>
      </c>
      <c r="H10" s="3">
        <v>826544</v>
      </c>
      <c r="I10" s="42">
        <f t="shared" si="6"/>
        <v>5.4809999999999999</v>
      </c>
      <c r="J10" s="19">
        <f t="shared" si="3"/>
        <v>1374.8810000000001</v>
      </c>
      <c r="K10" s="162">
        <f t="shared" si="4"/>
        <v>8056.8026600000012</v>
      </c>
    </row>
    <row r="11" spans="1:14" ht="16.5" thickBot="1" x14ac:dyDescent="0.3">
      <c r="A11" s="9">
        <v>44904</v>
      </c>
      <c r="B11" s="3">
        <v>468485</v>
      </c>
      <c r="C11" s="37">
        <f t="shared" si="7"/>
        <v>740</v>
      </c>
      <c r="D11" s="3">
        <v>16622</v>
      </c>
      <c r="E11" s="37">
        <f t="shared" si="2"/>
        <v>340</v>
      </c>
      <c r="F11" s="3">
        <v>13036400</v>
      </c>
      <c r="G11" s="37">
        <f t="shared" si="5"/>
        <v>383.4</v>
      </c>
      <c r="H11" s="3">
        <v>826727</v>
      </c>
      <c r="I11" s="42">
        <f t="shared" si="6"/>
        <v>4.9409999999999998</v>
      </c>
      <c r="J11" s="19">
        <f t="shared" si="3"/>
        <v>1468.3410000000001</v>
      </c>
      <c r="K11" s="162">
        <f t="shared" si="4"/>
        <v>8604.4782600000017</v>
      </c>
      <c r="N11" t="s">
        <v>12</v>
      </c>
    </row>
    <row r="12" spans="1:14" ht="16.5" thickBot="1" x14ac:dyDescent="0.3">
      <c r="A12" s="9">
        <v>44905</v>
      </c>
      <c r="B12" s="3">
        <v>468559</v>
      </c>
      <c r="C12" s="37">
        <f t="shared" si="7"/>
        <v>740</v>
      </c>
      <c r="D12" s="3">
        <v>16658</v>
      </c>
      <c r="E12" s="37">
        <f t="shared" si="2"/>
        <v>360</v>
      </c>
      <c r="F12" s="3">
        <v>13049700</v>
      </c>
      <c r="G12" s="37">
        <f t="shared" si="5"/>
        <v>359.1</v>
      </c>
      <c r="H12" s="3">
        <v>826932</v>
      </c>
      <c r="I12" s="42">
        <f t="shared" si="6"/>
        <v>5.5350000000000001</v>
      </c>
      <c r="J12" s="19">
        <f t="shared" si="3"/>
        <v>1464.635</v>
      </c>
      <c r="K12" s="162">
        <f t="shared" si="4"/>
        <v>8582.7610999999997</v>
      </c>
    </row>
    <row r="13" spans="1:14" ht="16.5" thickBot="1" x14ac:dyDescent="0.3">
      <c r="A13" s="9">
        <v>44906</v>
      </c>
      <c r="B13" s="3">
        <v>468631</v>
      </c>
      <c r="C13" s="37">
        <f t="shared" si="7"/>
        <v>720</v>
      </c>
      <c r="D13" s="3">
        <v>16694</v>
      </c>
      <c r="E13" s="37">
        <f t="shared" si="2"/>
        <v>360</v>
      </c>
      <c r="F13" s="3">
        <v>13061500</v>
      </c>
      <c r="G13" s="37">
        <f t="shared" si="5"/>
        <v>318.60000000000002</v>
      </c>
      <c r="H13" s="3">
        <v>827167</v>
      </c>
      <c r="I13" s="42">
        <f t="shared" si="6"/>
        <v>6.3449999999999998</v>
      </c>
      <c r="J13" s="19">
        <f t="shared" si="3"/>
        <v>1404.9449999999999</v>
      </c>
      <c r="K13" s="162">
        <f t="shared" si="4"/>
        <v>8232.9776999999995</v>
      </c>
    </row>
    <row r="14" spans="1:14" ht="16.5" thickBot="1" x14ac:dyDescent="0.3">
      <c r="A14" s="9">
        <v>44907</v>
      </c>
      <c r="B14" s="3">
        <v>468703</v>
      </c>
      <c r="C14" s="37">
        <f t="shared" si="7"/>
        <v>720</v>
      </c>
      <c r="D14" s="3">
        <v>16730</v>
      </c>
      <c r="E14" s="37">
        <f t="shared" si="2"/>
        <v>360</v>
      </c>
      <c r="F14" s="3">
        <v>13074500</v>
      </c>
      <c r="G14" s="37">
        <f t="shared" si="5"/>
        <v>351</v>
      </c>
      <c r="H14" s="3">
        <v>827386</v>
      </c>
      <c r="I14" s="42">
        <f t="shared" si="6"/>
        <v>5.9130000000000003</v>
      </c>
      <c r="J14" s="19">
        <f t="shared" si="3"/>
        <v>1436.913</v>
      </c>
      <c r="K14" s="162">
        <f t="shared" si="4"/>
        <v>8420.3101800000004</v>
      </c>
    </row>
    <row r="15" spans="1:14" ht="16.5" thickBot="1" x14ac:dyDescent="0.3">
      <c r="A15" s="9">
        <v>44908</v>
      </c>
      <c r="B15" s="3">
        <v>468776</v>
      </c>
      <c r="C15" s="37">
        <f t="shared" si="7"/>
        <v>730</v>
      </c>
      <c r="D15" s="3">
        <v>16768</v>
      </c>
      <c r="E15" s="37">
        <f t="shared" si="2"/>
        <v>380</v>
      </c>
      <c r="F15" s="3">
        <v>13086400</v>
      </c>
      <c r="G15" s="37">
        <f t="shared" si="5"/>
        <v>321.3</v>
      </c>
      <c r="H15" s="3">
        <v>827683</v>
      </c>
      <c r="I15" s="42">
        <f t="shared" si="6"/>
        <v>8.0190000000000001</v>
      </c>
      <c r="J15" s="19">
        <f t="shared" si="3"/>
        <v>1439.319</v>
      </c>
      <c r="K15" s="162">
        <f t="shared" si="4"/>
        <v>8434.4093400000002</v>
      </c>
    </row>
    <row r="16" spans="1:14" ht="16.5" thickBot="1" x14ac:dyDescent="0.3">
      <c r="A16" s="9">
        <v>44909</v>
      </c>
      <c r="B16" s="3">
        <v>468844</v>
      </c>
      <c r="C16" s="37">
        <f t="shared" si="7"/>
        <v>680</v>
      </c>
      <c r="D16" s="3">
        <v>16806</v>
      </c>
      <c r="E16" s="37">
        <f t="shared" si="2"/>
        <v>380</v>
      </c>
      <c r="F16" s="3">
        <v>13099100</v>
      </c>
      <c r="G16" s="37">
        <f t="shared" si="5"/>
        <v>342.9</v>
      </c>
      <c r="H16" s="3">
        <v>827757</v>
      </c>
      <c r="I16" s="42">
        <f t="shared" si="6"/>
        <v>1.998</v>
      </c>
      <c r="J16" s="19">
        <f t="shared" si="3"/>
        <v>1404.8980000000001</v>
      </c>
      <c r="K16" s="162">
        <f t="shared" si="4"/>
        <v>8232.7022800000013</v>
      </c>
    </row>
    <row r="17" spans="1:25" ht="16.5" thickBot="1" x14ac:dyDescent="0.3">
      <c r="A17" s="9">
        <v>44910</v>
      </c>
      <c r="B17" s="3">
        <v>468920</v>
      </c>
      <c r="C17" s="37">
        <f t="shared" si="7"/>
        <v>760</v>
      </c>
      <c r="D17" s="3">
        <v>16843</v>
      </c>
      <c r="E17" s="37">
        <f t="shared" si="2"/>
        <v>370</v>
      </c>
      <c r="F17" s="3">
        <v>13112000</v>
      </c>
      <c r="G17" s="37">
        <f t="shared" si="5"/>
        <v>348.3</v>
      </c>
      <c r="H17" s="3">
        <v>827940</v>
      </c>
      <c r="I17" s="42">
        <f t="shared" si="6"/>
        <v>4.9409999999999998</v>
      </c>
      <c r="J17" s="19">
        <f t="shared" si="3"/>
        <v>1483.241</v>
      </c>
      <c r="K17" s="162">
        <f t="shared" si="4"/>
        <v>8691.7922600000002</v>
      </c>
      <c r="P17" t="s">
        <v>12</v>
      </c>
      <c r="R17" t="s">
        <v>12</v>
      </c>
    </row>
    <row r="18" spans="1:25" ht="16.5" thickBot="1" x14ac:dyDescent="0.3">
      <c r="A18" s="9">
        <v>44911</v>
      </c>
      <c r="B18" s="3">
        <v>468992</v>
      </c>
      <c r="C18" s="37">
        <f t="shared" si="7"/>
        <v>720</v>
      </c>
      <c r="D18" s="3">
        <v>16880</v>
      </c>
      <c r="E18" s="37">
        <f t="shared" si="2"/>
        <v>370</v>
      </c>
      <c r="F18" s="3">
        <v>13124800</v>
      </c>
      <c r="G18" s="37">
        <f t="shared" si="5"/>
        <v>345.6</v>
      </c>
      <c r="H18" s="3">
        <v>828106</v>
      </c>
      <c r="I18" s="42">
        <f t="shared" si="6"/>
        <v>4.4820000000000002</v>
      </c>
      <c r="J18" s="19">
        <f t="shared" si="3"/>
        <v>1440.0819999999999</v>
      </c>
      <c r="K18" s="162">
        <f t="shared" si="4"/>
        <v>8438.8805200000006</v>
      </c>
      <c r="Q18" t="s">
        <v>43</v>
      </c>
    </row>
    <row r="19" spans="1:25" ht="16.5" thickBot="1" x14ac:dyDescent="0.3">
      <c r="A19" s="9">
        <v>44912</v>
      </c>
      <c r="B19" s="3">
        <v>469292</v>
      </c>
      <c r="C19" s="37">
        <f t="shared" si="7"/>
        <v>3000</v>
      </c>
      <c r="D19" s="3">
        <v>16917</v>
      </c>
      <c r="E19" s="37">
        <f t="shared" ref="E19:E32" si="8">(IF((D19-D18)&lt;0,"0",(D19-D18)))*10</f>
        <v>370</v>
      </c>
      <c r="F19" s="3">
        <v>13139200</v>
      </c>
      <c r="G19" s="37">
        <f t="shared" si="5"/>
        <v>388.8</v>
      </c>
      <c r="H19" s="3">
        <v>828256</v>
      </c>
      <c r="I19" s="42">
        <f t="shared" si="6"/>
        <v>4.05</v>
      </c>
      <c r="J19" s="19">
        <f t="shared" si="3"/>
        <v>3762.8500000000004</v>
      </c>
      <c r="K19" s="162">
        <f t="shared" si="4"/>
        <v>22050.301000000003</v>
      </c>
      <c r="Q19" t="s">
        <v>12</v>
      </c>
    </row>
    <row r="20" spans="1:25" ht="16.5" thickBot="1" x14ac:dyDescent="0.3">
      <c r="A20" s="9">
        <v>44913</v>
      </c>
      <c r="B20" s="3">
        <v>469386</v>
      </c>
      <c r="C20" s="37">
        <f t="shared" si="7"/>
        <v>940</v>
      </c>
      <c r="D20" s="3">
        <v>16954</v>
      </c>
      <c r="E20" s="37">
        <f t="shared" si="8"/>
        <v>370</v>
      </c>
      <c r="F20" s="3">
        <v>13154300</v>
      </c>
      <c r="G20" s="37">
        <f t="shared" si="5"/>
        <v>407.7</v>
      </c>
      <c r="H20" s="3">
        <v>828420</v>
      </c>
      <c r="I20" s="42">
        <f t="shared" si="6"/>
        <v>4.4279999999999999</v>
      </c>
      <c r="J20" s="19">
        <f t="shared" si="3"/>
        <v>1722.1280000000002</v>
      </c>
      <c r="K20" s="162">
        <f t="shared" si="4"/>
        <v>10091.670080000002</v>
      </c>
    </row>
    <row r="21" spans="1:25" ht="16.5" thickBot="1" x14ac:dyDescent="0.3">
      <c r="A21" s="9">
        <v>44914</v>
      </c>
      <c r="B21" s="3">
        <v>469477</v>
      </c>
      <c r="C21" s="37">
        <f t="shared" si="7"/>
        <v>910</v>
      </c>
      <c r="D21" s="3">
        <v>16992</v>
      </c>
      <c r="E21" s="37">
        <f t="shared" si="8"/>
        <v>380</v>
      </c>
      <c r="F21" s="3">
        <v>13168200</v>
      </c>
      <c r="G21" s="37">
        <f t="shared" si="5"/>
        <v>375.3</v>
      </c>
      <c r="H21" s="3">
        <v>828554</v>
      </c>
      <c r="I21" s="42">
        <f t="shared" si="6"/>
        <v>3.6179999999999999</v>
      </c>
      <c r="J21" s="19">
        <f t="shared" si="3"/>
        <v>1668.9179999999999</v>
      </c>
      <c r="K21" s="162">
        <f t="shared" si="4"/>
        <v>9779.8594799999992</v>
      </c>
    </row>
    <row r="22" spans="1:25" ht="16.5" thickBot="1" x14ac:dyDescent="0.3">
      <c r="A22" s="9">
        <v>44915</v>
      </c>
      <c r="B22" s="3">
        <v>469578</v>
      </c>
      <c r="C22" s="37">
        <f t="shared" si="7"/>
        <v>1010</v>
      </c>
      <c r="D22" s="3">
        <v>17036</v>
      </c>
      <c r="E22" s="37">
        <f t="shared" si="8"/>
        <v>440</v>
      </c>
      <c r="F22" s="3">
        <v>13188000</v>
      </c>
      <c r="G22" s="37">
        <f t="shared" si="5"/>
        <v>534.6</v>
      </c>
      <c r="H22" s="3">
        <v>828720</v>
      </c>
      <c r="I22" s="42">
        <f t="shared" si="6"/>
        <v>4.4820000000000002</v>
      </c>
      <c r="J22" s="19">
        <f t="shared" si="3"/>
        <v>1989.0819999999999</v>
      </c>
      <c r="K22" s="162">
        <f t="shared" si="4"/>
        <v>11656.02052</v>
      </c>
      <c r="P22" t="s">
        <v>12</v>
      </c>
      <c r="S22" s="25" t="s">
        <v>12</v>
      </c>
    </row>
    <row r="23" spans="1:25" ht="16.5" thickBot="1" x14ac:dyDescent="0.3">
      <c r="A23" s="9">
        <v>44916</v>
      </c>
      <c r="B23" s="3">
        <v>469655</v>
      </c>
      <c r="C23" s="37">
        <f t="shared" si="7"/>
        <v>770</v>
      </c>
      <c r="D23" s="3">
        <v>17073</v>
      </c>
      <c r="E23" s="37">
        <f t="shared" si="8"/>
        <v>370</v>
      </c>
      <c r="F23" s="3">
        <v>13201400</v>
      </c>
      <c r="G23" s="37">
        <f t="shared" si="5"/>
        <v>361.8</v>
      </c>
      <c r="H23" s="3">
        <v>828864</v>
      </c>
      <c r="I23" s="42">
        <f t="shared" si="6"/>
        <v>3.8879999999999999</v>
      </c>
      <c r="J23" s="19">
        <f t="shared" si="3"/>
        <v>1505.6879999999999</v>
      </c>
      <c r="K23" s="162">
        <f t="shared" si="4"/>
        <v>8823.3316799999993</v>
      </c>
      <c r="Q23" t="s">
        <v>12</v>
      </c>
    </row>
    <row r="24" spans="1:25" ht="16.5" thickBot="1" x14ac:dyDescent="0.3">
      <c r="A24" s="9">
        <v>44917</v>
      </c>
      <c r="B24" s="3">
        <v>469739</v>
      </c>
      <c r="C24" s="37">
        <f t="shared" si="7"/>
        <v>840</v>
      </c>
      <c r="D24" s="3">
        <v>17113</v>
      </c>
      <c r="E24" s="37">
        <f t="shared" si="8"/>
        <v>400</v>
      </c>
      <c r="F24" s="3">
        <v>13216000</v>
      </c>
      <c r="G24" s="37">
        <f t="shared" si="5"/>
        <v>394.2</v>
      </c>
      <c r="H24" s="3">
        <v>829010</v>
      </c>
      <c r="I24" s="42">
        <f t="shared" si="6"/>
        <v>3.9420000000000002</v>
      </c>
      <c r="J24" s="19">
        <f t="shared" si="3"/>
        <v>1638.1420000000001</v>
      </c>
      <c r="K24" s="162">
        <f t="shared" si="4"/>
        <v>9599.5121200000012</v>
      </c>
      <c r="N24" s="151"/>
    </row>
    <row r="25" spans="1:25" ht="17.25" customHeight="1" thickBot="1" x14ac:dyDescent="0.4">
      <c r="A25" s="9">
        <v>44918</v>
      </c>
      <c r="B25" s="3">
        <v>469811</v>
      </c>
      <c r="C25" s="37">
        <f t="shared" si="7"/>
        <v>720</v>
      </c>
      <c r="D25" s="3">
        <v>17151</v>
      </c>
      <c r="E25" s="37">
        <f t="shared" si="8"/>
        <v>380</v>
      </c>
      <c r="F25" s="3">
        <v>13229300</v>
      </c>
      <c r="G25" s="37">
        <f t="shared" si="5"/>
        <v>359.1</v>
      </c>
      <c r="H25" s="3">
        <v>829142</v>
      </c>
      <c r="I25" s="42">
        <f t="shared" si="6"/>
        <v>3.5640000000000001</v>
      </c>
      <c r="J25" s="19">
        <f t="shared" si="3"/>
        <v>1462.664</v>
      </c>
      <c r="K25" s="162">
        <f t="shared" si="4"/>
        <v>8571.2110400000001</v>
      </c>
      <c r="Y25" s="53"/>
    </row>
    <row r="26" spans="1:25" ht="16.5" thickBot="1" x14ac:dyDescent="0.3">
      <c r="A26" s="9">
        <v>44919</v>
      </c>
      <c r="B26" s="3">
        <v>469885</v>
      </c>
      <c r="C26" s="37">
        <f t="shared" si="7"/>
        <v>740</v>
      </c>
      <c r="D26" s="3">
        <v>17188</v>
      </c>
      <c r="E26" s="37">
        <f t="shared" si="8"/>
        <v>370</v>
      </c>
      <c r="F26" s="3">
        <v>13242800</v>
      </c>
      <c r="G26" s="37">
        <f t="shared" si="5"/>
        <v>364.5</v>
      </c>
      <c r="H26" s="3">
        <v>829306</v>
      </c>
      <c r="I26" s="42">
        <f t="shared" si="6"/>
        <v>4.4279999999999999</v>
      </c>
      <c r="J26" s="19">
        <f t="shared" si="3"/>
        <v>1478.9280000000001</v>
      </c>
      <c r="K26" s="162">
        <f t="shared" si="4"/>
        <v>8666.5180800000016</v>
      </c>
      <c r="L26" t="s">
        <v>12</v>
      </c>
    </row>
    <row r="27" spans="1:25" ht="16.5" thickBot="1" x14ac:dyDescent="0.3">
      <c r="A27" s="9">
        <v>44920</v>
      </c>
      <c r="B27" s="3">
        <v>469959</v>
      </c>
      <c r="C27" s="37">
        <f t="shared" si="7"/>
        <v>740</v>
      </c>
      <c r="D27" s="3">
        <v>17224</v>
      </c>
      <c r="E27" s="37">
        <f t="shared" si="8"/>
        <v>360</v>
      </c>
      <c r="F27" s="3">
        <v>13255600</v>
      </c>
      <c r="G27" s="37">
        <f t="shared" si="5"/>
        <v>345.6</v>
      </c>
      <c r="H27" s="3">
        <v>829461</v>
      </c>
      <c r="I27" s="42">
        <f t="shared" si="6"/>
        <v>4.1849999999999996</v>
      </c>
      <c r="J27" s="19">
        <f t="shared" si="3"/>
        <v>1449.7849999999999</v>
      </c>
      <c r="K27" s="162">
        <f t="shared" si="4"/>
        <v>8495.7400999999991</v>
      </c>
      <c r="N27" s="33"/>
      <c r="O27" t="s">
        <v>12</v>
      </c>
    </row>
    <row r="28" spans="1:25" ht="16.5" thickBot="1" x14ac:dyDescent="0.3">
      <c r="A28" s="9">
        <v>44921</v>
      </c>
      <c r="B28" s="3">
        <v>470027</v>
      </c>
      <c r="C28" s="37">
        <f t="shared" si="7"/>
        <v>680</v>
      </c>
      <c r="D28" s="3">
        <v>17255</v>
      </c>
      <c r="E28" s="37">
        <f t="shared" si="8"/>
        <v>310</v>
      </c>
      <c r="F28" s="3">
        <v>13266100</v>
      </c>
      <c r="G28" s="37">
        <f t="shared" si="5"/>
        <v>283.5</v>
      </c>
      <c r="H28" s="3">
        <v>829631</v>
      </c>
      <c r="I28" s="42">
        <f t="shared" si="6"/>
        <v>4.59</v>
      </c>
      <c r="J28" s="19">
        <f t="shared" si="3"/>
        <v>1278.0899999999999</v>
      </c>
      <c r="K28" s="162">
        <f t="shared" si="4"/>
        <v>7489.6073999999999</v>
      </c>
    </row>
    <row r="29" spans="1:25" ht="16.5" thickBot="1" x14ac:dyDescent="0.3">
      <c r="A29" s="9">
        <v>44922</v>
      </c>
      <c r="B29" s="3">
        <v>470099</v>
      </c>
      <c r="C29" s="37">
        <f t="shared" si="7"/>
        <v>720</v>
      </c>
      <c r="D29" s="3">
        <v>17287</v>
      </c>
      <c r="E29" s="37">
        <f t="shared" si="8"/>
        <v>320</v>
      </c>
      <c r="F29" s="3">
        <v>13279500</v>
      </c>
      <c r="G29" s="37">
        <f t="shared" si="5"/>
        <v>361.8</v>
      </c>
      <c r="H29" s="3">
        <v>829786</v>
      </c>
      <c r="I29" s="42">
        <f t="shared" si="6"/>
        <v>4.1849999999999996</v>
      </c>
      <c r="J29" s="19">
        <f t="shared" si="3"/>
        <v>1405.9849999999999</v>
      </c>
      <c r="K29" s="162">
        <f t="shared" si="4"/>
        <v>8239.0720999999994</v>
      </c>
    </row>
    <row r="30" spans="1:25" ht="16.5" thickBot="1" x14ac:dyDescent="0.3">
      <c r="A30" s="9">
        <v>44923</v>
      </c>
      <c r="B30" s="3">
        <v>470171</v>
      </c>
      <c r="C30" s="37">
        <f t="shared" si="7"/>
        <v>720</v>
      </c>
      <c r="D30" s="3">
        <v>17322</v>
      </c>
      <c r="E30" s="37">
        <f t="shared" si="8"/>
        <v>350</v>
      </c>
      <c r="F30" s="3">
        <v>13295200</v>
      </c>
      <c r="G30" s="37">
        <f t="shared" si="5"/>
        <v>423.9</v>
      </c>
      <c r="H30" s="3">
        <v>829948</v>
      </c>
      <c r="I30" s="42">
        <f t="shared" si="6"/>
        <v>4.3739999999999997</v>
      </c>
      <c r="J30" s="19">
        <f t="shared" si="3"/>
        <v>1498.2740000000001</v>
      </c>
      <c r="K30" s="162">
        <f t="shared" si="4"/>
        <v>8779.8856400000004</v>
      </c>
    </row>
    <row r="31" spans="1:25" ht="16.5" thickBot="1" x14ac:dyDescent="0.3">
      <c r="A31" s="9">
        <v>44924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2">
        <f t="shared" si="4"/>
        <v>0</v>
      </c>
    </row>
    <row r="32" spans="1:25" ht="16.5" thickBot="1" x14ac:dyDescent="0.3">
      <c r="A32" s="9">
        <v>44925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2">
        <f t="shared" si="4"/>
        <v>0</v>
      </c>
    </row>
    <row r="33" spans="1:11" ht="16.5" thickBot="1" x14ac:dyDescent="0.3">
      <c r="A33" s="9">
        <v>44926</v>
      </c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2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23430</v>
      </c>
      <c r="D34" s="54"/>
      <c r="E34" s="54">
        <f t="shared" ref="E34:K34" si="15">SUM(E3:E33)</f>
        <v>10190</v>
      </c>
      <c r="F34" s="54"/>
      <c r="G34" s="54">
        <f t="shared" si="15"/>
        <v>9838.7999999999993</v>
      </c>
      <c r="H34" s="54"/>
      <c r="I34" s="54">
        <f t="shared" si="15"/>
        <v>137.05199999999999</v>
      </c>
      <c r="J34" s="54">
        <f t="shared" si="15"/>
        <v>43595.851999999992</v>
      </c>
      <c r="K34" s="54">
        <f t="shared" si="15"/>
        <v>255471.69271999999</v>
      </c>
    </row>
  </sheetData>
  <phoneticPr fontId="0" type="noConversion"/>
  <conditionalFormatting sqref="B2:K34"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55" zoomScaleSheetLayoutView="80" workbookViewId="0">
      <pane ySplit="1" topLeftCell="A5" activePane="bottomLeft" state="frozen"/>
      <selection pane="bottomLeft" activeCell="B32" sqref="B3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44895</v>
      </c>
      <c r="B2" s="119">
        <v>18602968</v>
      </c>
      <c r="C2" s="43"/>
    </row>
    <row r="3" spans="1:9" ht="24" thickBot="1" x14ac:dyDescent="0.4">
      <c r="A3" s="9">
        <v>44896</v>
      </c>
      <c r="B3" s="119">
        <v>18605123</v>
      </c>
      <c r="C3" s="43">
        <f t="shared" ref="C3:C33" si="0">IF((B3-B2)&lt;0,"0",(B3-B2))</f>
        <v>2155</v>
      </c>
    </row>
    <row r="4" spans="1:9" ht="24" thickBot="1" x14ac:dyDescent="0.4">
      <c r="A4" s="9">
        <v>44897</v>
      </c>
      <c r="B4" s="119">
        <v>18607316</v>
      </c>
      <c r="C4" s="43">
        <f t="shared" si="0"/>
        <v>2193</v>
      </c>
    </row>
    <row r="5" spans="1:9" ht="24" thickBot="1" x14ac:dyDescent="0.4">
      <c r="A5" s="9">
        <v>44898</v>
      </c>
      <c r="B5" s="119">
        <v>18609346</v>
      </c>
      <c r="C5" s="43">
        <f t="shared" si="0"/>
        <v>2030</v>
      </c>
      <c r="E5" s="160"/>
      <c r="F5" s="33"/>
    </row>
    <row r="6" spans="1:9" ht="24" thickBot="1" x14ac:dyDescent="0.4">
      <c r="A6" s="9">
        <v>44899</v>
      </c>
      <c r="B6" s="119">
        <v>18611481</v>
      </c>
      <c r="C6" s="43">
        <f>IF((B6-B5)&lt;0,"0",(B6-B5))</f>
        <v>2135</v>
      </c>
      <c r="F6" s="33"/>
    </row>
    <row r="7" spans="1:9" ht="24" thickBot="1" x14ac:dyDescent="0.4">
      <c r="A7" s="9">
        <v>44900</v>
      </c>
      <c r="B7" s="119">
        <v>18613521</v>
      </c>
      <c r="C7" s="43">
        <f t="shared" si="0"/>
        <v>2040</v>
      </c>
    </row>
    <row r="8" spans="1:9" ht="24" thickBot="1" x14ac:dyDescent="0.4">
      <c r="A8" s="9">
        <v>44901</v>
      </c>
      <c r="B8" s="119">
        <v>18615678</v>
      </c>
      <c r="C8" s="43">
        <f t="shared" si="0"/>
        <v>2157</v>
      </c>
    </row>
    <row r="9" spans="1:9" ht="24" thickBot="1" x14ac:dyDescent="0.4">
      <c r="A9" s="9">
        <v>44902</v>
      </c>
      <c r="B9" s="119">
        <v>18617178</v>
      </c>
      <c r="C9" s="43">
        <f t="shared" si="0"/>
        <v>1500</v>
      </c>
    </row>
    <row r="10" spans="1:9" ht="24" thickBot="1" x14ac:dyDescent="0.4">
      <c r="A10" s="9">
        <v>44903</v>
      </c>
      <c r="B10" s="119">
        <v>18619014</v>
      </c>
      <c r="C10" s="43">
        <f t="shared" si="0"/>
        <v>1836</v>
      </c>
    </row>
    <row r="11" spans="1:9" ht="24" thickBot="1" x14ac:dyDescent="0.4">
      <c r="A11" s="9">
        <v>44904</v>
      </c>
      <c r="B11" s="119">
        <v>18621207</v>
      </c>
      <c r="C11" s="43">
        <f t="shared" si="0"/>
        <v>2193</v>
      </c>
    </row>
    <row r="12" spans="1:9" ht="24" thickBot="1" x14ac:dyDescent="0.4">
      <c r="A12" s="9">
        <v>44905</v>
      </c>
      <c r="B12" s="119">
        <v>18622927</v>
      </c>
      <c r="C12" s="43">
        <f t="shared" si="0"/>
        <v>1720</v>
      </c>
    </row>
    <row r="13" spans="1:9" ht="24" thickBot="1" x14ac:dyDescent="0.4">
      <c r="A13" s="9">
        <v>44906</v>
      </c>
      <c r="B13" s="119">
        <v>18624614</v>
      </c>
      <c r="C13" s="43">
        <f t="shared" si="0"/>
        <v>1687</v>
      </c>
    </row>
    <row r="14" spans="1:9" ht="24" thickBot="1" x14ac:dyDescent="0.4">
      <c r="A14" s="9">
        <v>44907</v>
      </c>
      <c r="B14" s="119">
        <v>18626324</v>
      </c>
      <c r="C14" s="43">
        <f t="shared" si="0"/>
        <v>1710</v>
      </c>
      <c r="I14" s="33"/>
    </row>
    <row r="15" spans="1:9" ht="24" thickBot="1" x14ac:dyDescent="0.4">
      <c r="A15" s="9">
        <v>44908</v>
      </c>
      <c r="B15" s="119">
        <v>18628215</v>
      </c>
      <c r="C15" s="43">
        <f t="shared" si="0"/>
        <v>1891</v>
      </c>
      <c r="I15" t="s">
        <v>12</v>
      </c>
    </row>
    <row r="16" spans="1:9" ht="26.25" customHeight="1" thickBot="1" x14ac:dyDescent="0.4">
      <c r="A16" s="9">
        <v>44909</v>
      </c>
      <c r="B16" s="119">
        <v>18629971</v>
      </c>
      <c r="C16" s="43">
        <f t="shared" si="0"/>
        <v>1756</v>
      </c>
      <c r="F16" s="139"/>
    </row>
    <row r="17" spans="1:9" ht="25.5" customHeight="1" thickBot="1" x14ac:dyDescent="0.4">
      <c r="A17" s="9">
        <v>44910</v>
      </c>
      <c r="B17" s="119">
        <v>18631851</v>
      </c>
      <c r="C17" s="43">
        <f t="shared" si="0"/>
        <v>1880</v>
      </c>
    </row>
    <row r="18" spans="1:9" ht="24" thickBot="1" x14ac:dyDescent="0.4">
      <c r="A18" s="9">
        <v>44911</v>
      </c>
      <c r="B18" s="119">
        <v>18634383</v>
      </c>
      <c r="C18" s="43">
        <f t="shared" si="0"/>
        <v>2532</v>
      </c>
      <c r="I18" s="33"/>
    </row>
    <row r="19" spans="1:9" ht="24" thickBot="1" x14ac:dyDescent="0.4">
      <c r="A19" s="9">
        <v>44912</v>
      </c>
      <c r="B19" s="119">
        <v>18636201</v>
      </c>
      <c r="C19" s="43">
        <f t="shared" si="0"/>
        <v>1818</v>
      </c>
    </row>
    <row r="20" spans="1:9" ht="24" thickBot="1" x14ac:dyDescent="0.4">
      <c r="A20" s="9">
        <v>44913</v>
      </c>
      <c r="B20" s="119">
        <v>18638106</v>
      </c>
      <c r="C20" s="43">
        <f t="shared" si="0"/>
        <v>1905</v>
      </c>
      <c r="I20" s="33"/>
    </row>
    <row r="21" spans="1:9" ht="24" thickBot="1" x14ac:dyDescent="0.4">
      <c r="A21" s="9">
        <v>44914</v>
      </c>
      <c r="B21" s="119">
        <v>18640166</v>
      </c>
      <c r="C21" s="43">
        <f t="shared" si="0"/>
        <v>2060</v>
      </c>
    </row>
    <row r="22" spans="1:9" ht="24" thickBot="1" x14ac:dyDescent="0.4">
      <c r="A22" s="9">
        <v>44915</v>
      </c>
      <c r="B22" s="119">
        <v>18642394</v>
      </c>
      <c r="C22" s="43">
        <f t="shared" si="0"/>
        <v>2228</v>
      </c>
    </row>
    <row r="23" spans="1:9" ht="24" thickBot="1" x14ac:dyDescent="0.4">
      <c r="A23" s="9">
        <v>44916</v>
      </c>
      <c r="B23" s="119">
        <v>18644474</v>
      </c>
      <c r="C23" s="43">
        <f t="shared" si="0"/>
        <v>2080</v>
      </c>
      <c r="F23" t="s">
        <v>12</v>
      </c>
    </row>
    <row r="24" spans="1:9" ht="24" thickBot="1" x14ac:dyDescent="0.4">
      <c r="A24" s="9">
        <v>44917</v>
      </c>
      <c r="B24" s="119">
        <v>18646343</v>
      </c>
      <c r="C24" s="43">
        <f t="shared" si="0"/>
        <v>1869</v>
      </c>
      <c r="E24" t="s">
        <v>12</v>
      </c>
    </row>
    <row r="25" spans="1:9" ht="24" thickBot="1" x14ac:dyDescent="0.4">
      <c r="A25" s="9">
        <v>44918</v>
      </c>
      <c r="B25" s="119">
        <v>18648293</v>
      </c>
      <c r="C25" s="43">
        <f t="shared" si="0"/>
        <v>1950</v>
      </c>
    </row>
    <row r="26" spans="1:9" ht="24" thickBot="1" x14ac:dyDescent="0.4">
      <c r="A26" s="9">
        <v>44919</v>
      </c>
      <c r="B26" s="119">
        <v>18650214</v>
      </c>
      <c r="C26" s="43">
        <f t="shared" si="0"/>
        <v>1921</v>
      </c>
    </row>
    <row r="27" spans="1:9" ht="24" thickBot="1" x14ac:dyDescent="0.4">
      <c r="A27" s="9">
        <v>44920</v>
      </c>
      <c r="B27" s="119">
        <v>18651810</v>
      </c>
      <c r="C27" s="43">
        <f t="shared" si="0"/>
        <v>1596</v>
      </c>
    </row>
    <row r="28" spans="1:9" ht="24" thickBot="1" x14ac:dyDescent="0.4">
      <c r="A28" s="9">
        <v>44921</v>
      </c>
      <c r="B28" s="119">
        <v>18653719</v>
      </c>
      <c r="C28" s="43">
        <f t="shared" si="0"/>
        <v>1909</v>
      </c>
      <c r="I28" t="s">
        <v>12</v>
      </c>
    </row>
    <row r="29" spans="1:9" ht="24" thickBot="1" x14ac:dyDescent="0.4">
      <c r="A29" s="9">
        <v>44922</v>
      </c>
      <c r="B29" s="119">
        <v>18654366</v>
      </c>
      <c r="C29" s="43">
        <f t="shared" si="0"/>
        <v>647</v>
      </c>
    </row>
    <row r="30" spans="1:9" ht="24" thickBot="1" x14ac:dyDescent="0.4">
      <c r="A30" s="9">
        <v>44923</v>
      </c>
      <c r="B30" s="119">
        <v>18655599</v>
      </c>
      <c r="C30" s="43">
        <f t="shared" si="0"/>
        <v>1233</v>
      </c>
    </row>
    <row r="31" spans="1:9" ht="24" thickBot="1" x14ac:dyDescent="0.4">
      <c r="A31" s="9">
        <v>44924</v>
      </c>
      <c r="B31" s="119"/>
      <c r="C31" s="43" t="str">
        <f t="shared" si="0"/>
        <v>0</v>
      </c>
    </row>
    <row r="32" spans="1:9" ht="24" thickBot="1" x14ac:dyDescent="0.4">
      <c r="A32" s="9">
        <v>44925</v>
      </c>
      <c r="B32" s="119"/>
      <c r="C32" s="43">
        <f t="shared" si="0"/>
        <v>0</v>
      </c>
    </row>
    <row r="33" spans="1:3" ht="24" thickBot="1" x14ac:dyDescent="0.4">
      <c r="A33" s="9">
        <v>44926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50476</v>
      </c>
    </row>
  </sheetData>
  <phoneticPr fontId="0" type="noConversion"/>
  <conditionalFormatting sqref="B2:C34">
    <cfRule type="cellIs" dxfId="1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topLeftCell="K1" zoomScaleNormal="100" workbookViewId="0">
      <pane ySplit="1" topLeftCell="A2" activePane="bottomLeft" state="frozen"/>
      <selection pane="bottomLeft" activeCell="AD31" sqref="AD31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s="21" customFormat="1" ht="16.5" thickBot="1" x14ac:dyDescent="0.25">
      <c r="A2" s="9">
        <v>44895</v>
      </c>
      <c r="B2" s="143">
        <v>25496.791000000001</v>
      </c>
      <c r="C2" s="42"/>
      <c r="D2" s="27">
        <f t="shared" ref="D2" si="0">C2*1.9*1000</f>
        <v>0</v>
      </c>
      <c r="E2" s="1">
        <v>4680.0630000000001</v>
      </c>
      <c r="F2" s="42"/>
      <c r="G2" s="27">
        <f t="shared" ref="G2" si="1">F2*1.9*1000</f>
        <v>0</v>
      </c>
      <c r="H2" s="1">
        <v>6560</v>
      </c>
      <c r="I2" s="42"/>
      <c r="J2" s="27">
        <f t="shared" ref="J2" si="2">I2*1.9*1000</f>
        <v>0</v>
      </c>
      <c r="K2" s="7">
        <v>14323.06</v>
      </c>
      <c r="L2" s="42"/>
      <c r="M2" s="27">
        <f t="shared" ref="M2" si="3">L2*1.9*1000</f>
        <v>0</v>
      </c>
      <c r="N2" s="7">
        <v>3922.6660000000002</v>
      </c>
      <c r="O2" s="42"/>
      <c r="P2" s="27">
        <f t="shared" ref="P2" si="4">O2*1.9*1000</f>
        <v>0</v>
      </c>
      <c r="Q2" s="7">
        <v>5671.07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V2"/>
      <c r="W2" s="140">
        <v>44895</v>
      </c>
      <c r="X2" s="141">
        <v>224119</v>
      </c>
      <c r="Y2" s="146"/>
      <c r="Z2" s="141">
        <v>10284</v>
      </c>
      <c r="AA2" s="146"/>
      <c r="AB2" s="141">
        <v>62</v>
      </c>
      <c r="AC2" s="146"/>
      <c r="AD2" s="141">
        <v>825</v>
      </c>
      <c r="AE2" s="146"/>
      <c r="AF2" s="141">
        <v>9882</v>
      </c>
      <c r="AG2" s="146"/>
    </row>
    <row r="3" spans="1:33" ht="16.5" thickBot="1" x14ac:dyDescent="0.25">
      <c r="A3" s="9">
        <v>44896</v>
      </c>
      <c r="B3" s="143">
        <v>25499.870999999999</v>
      </c>
      <c r="C3" s="42">
        <f t="shared" ref="C3" si="8">IF((B3-B2)&lt;0,"0",(B3-B2))</f>
        <v>3.0799999999981083</v>
      </c>
      <c r="D3" s="27">
        <f t="shared" ref="D3" si="9">C3*1.9*1000</f>
        <v>5851.9999999964048</v>
      </c>
      <c r="E3" s="1">
        <v>4681.0240000000003</v>
      </c>
      <c r="F3" s="42">
        <f t="shared" ref="F3" si="10">IF((E3-E2)&lt;0,"0",(E3-E2))</f>
        <v>0.96100000000024011</v>
      </c>
      <c r="G3" s="27">
        <f t="shared" ref="G3" si="11">F3*1.9*1000</f>
        <v>1825.9000000004562</v>
      </c>
      <c r="H3" s="1">
        <v>6563</v>
      </c>
      <c r="I3" s="42">
        <f t="shared" ref="I3" si="12">IF((H3-H2)&lt;0,"0",(H3-H2))</f>
        <v>3</v>
      </c>
      <c r="J3" s="27">
        <f t="shared" ref="J3" si="13">I3*1.9*1000</f>
        <v>5699.9999999999991</v>
      </c>
      <c r="K3" s="7">
        <v>14323.96</v>
      </c>
      <c r="L3" s="42">
        <f t="shared" ref="L3" si="14">IF((K3-K2)&lt;0,"0",(K3-K2))</f>
        <v>0.8999999999996362</v>
      </c>
      <c r="M3" s="27">
        <f t="shared" ref="M3" si="15">L3*1.9*1000</f>
        <v>1709.9999999993088</v>
      </c>
      <c r="N3" s="7">
        <v>3924.835</v>
      </c>
      <c r="O3" s="42">
        <f t="shared" ref="O3" si="16">IF((N3-N2)&lt;0,"0",(N3-N2))</f>
        <v>2.168999999999869</v>
      </c>
      <c r="P3" s="27">
        <f t="shared" ref="P3" si="17">O3*1.9*1000</f>
        <v>4121.0999999997503</v>
      </c>
      <c r="Q3" s="7">
        <v>5671.07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10.109999999997854</v>
      </c>
      <c r="U3" s="29">
        <f t="shared" ref="U3" si="20">T3*1.9*1000</f>
        <v>19208.999999995922</v>
      </c>
      <c r="W3" s="140">
        <v>44896</v>
      </c>
      <c r="X3" s="141">
        <v>224154</v>
      </c>
      <c r="Y3" s="146">
        <f t="shared" ref="Y3:AG31" si="21">IF((X3-X2)&lt;0,"0",(X3-X2))</f>
        <v>35</v>
      </c>
      <c r="Z3" s="141">
        <v>10290</v>
      </c>
      <c r="AA3" s="146">
        <f t="shared" si="21"/>
        <v>6</v>
      </c>
      <c r="AB3" s="141">
        <v>62</v>
      </c>
      <c r="AC3" s="146">
        <f t="shared" si="21"/>
        <v>0</v>
      </c>
      <c r="AD3" s="141">
        <v>826</v>
      </c>
      <c r="AE3" s="146">
        <f t="shared" si="21"/>
        <v>1</v>
      </c>
      <c r="AF3" s="141">
        <v>9889</v>
      </c>
      <c r="AG3" s="146">
        <f t="shared" si="21"/>
        <v>7</v>
      </c>
    </row>
    <row r="4" spans="1:33" ht="16.5" thickBot="1" x14ac:dyDescent="0.25">
      <c r="A4" s="9">
        <v>44897</v>
      </c>
      <c r="B4" s="143">
        <v>25503.726999999999</v>
      </c>
      <c r="C4" s="42">
        <f t="shared" ref="C4:C32" si="22">IF((B4-B3)&lt;0,"0",(B4-B3))</f>
        <v>3.8559999999997672</v>
      </c>
      <c r="D4" s="27">
        <f t="shared" ref="D4:D32" si="23">C4*1.9*1000</f>
        <v>7326.3999999995576</v>
      </c>
      <c r="E4" s="1">
        <v>4682.01</v>
      </c>
      <c r="F4" s="42">
        <f t="shared" ref="F4:F32" si="24">IF((E4-E3)&lt;0,"0",(E4-E3))</f>
        <v>0.98599999999987631</v>
      </c>
      <c r="G4" s="27">
        <f t="shared" ref="G4:G32" si="25">F4*1.9*1000</f>
        <v>1873.3999999997648</v>
      </c>
      <c r="H4" s="1">
        <v>6566</v>
      </c>
      <c r="I4" s="42">
        <f t="shared" ref="I4:I32" si="26">IF((H4-H3)&lt;0,"0",(H4-H3))</f>
        <v>3</v>
      </c>
      <c r="J4" s="27">
        <f t="shared" ref="J4:J32" si="27">I4*1.9*1000</f>
        <v>5699.9999999999991</v>
      </c>
      <c r="K4" s="7">
        <v>14325.21</v>
      </c>
      <c r="L4" s="42">
        <f t="shared" ref="L4:L32" si="28">IF((K4-K3)&lt;0,"0",(K4-K3))</f>
        <v>1.25</v>
      </c>
      <c r="M4" s="27">
        <f t="shared" ref="M4:M32" si="29">L4*1.9*1000</f>
        <v>2375</v>
      </c>
      <c r="N4" s="7">
        <v>3927.0450000000001</v>
      </c>
      <c r="O4" s="42">
        <f t="shared" ref="O4:O32" si="30">IF((N4-N3)&lt;0,"0",(N4-N3))</f>
        <v>2.2100000000000364</v>
      </c>
      <c r="P4" s="27">
        <f t="shared" ref="P4:P32" si="31">O4*1.9*1000</f>
        <v>4199.0000000000691</v>
      </c>
      <c r="Q4" s="7">
        <v>5671.07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11.30199999999968</v>
      </c>
      <c r="U4" s="29">
        <f t="shared" ref="U4:U32" si="34">T4*1.9*1000</f>
        <v>21473.799999999388</v>
      </c>
      <c r="W4" s="140">
        <v>44897</v>
      </c>
      <c r="X4" s="141">
        <v>224201</v>
      </c>
      <c r="Y4" s="146">
        <f t="shared" si="21"/>
        <v>47</v>
      </c>
      <c r="Z4" s="141">
        <v>10294</v>
      </c>
      <c r="AA4" s="146">
        <f t="shared" si="21"/>
        <v>4</v>
      </c>
      <c r="AB4" s="141">
        <v>62</v>
      </c>
      <c r="AC4" s="146">
        <f t="shared" si="21"/>
        <v>0</v>
      </c>
      <c r="AD4" s="141">
        <v>828</v>
      </c>
      <c r="AE4" s="146">
        <f t="shared" si="21"/>
        <v>2</v>
      </c>
      <c r="AF4" s="141">
        <v>9897</v>
      </c>
      <c r="AG4" s="146">
        <f t="shared" si="21"/>
        <v>8</v>
      </c>
    </row>
    <row r="5" spans="1:33" ht="16.5" thickBot="1" x14ac:dyDescent="0.25">
      <c r="A5" s="9">
        <v>44898</v>
      </c>
      <c r="B5" s="143">
        <v>25507.536</v>
      </c>
      <c r="C5" s="42">
        <f t="shared" si="22"/>
        <v>3.8090000000011059</v>
      </c>
      <c r="D5" s="27">
        <f t="shared" si="23"/>
        <v>7237.1000000021013</v>
      </c>
      <c r="E5" s="1">
        <v>4682.5079999999998</v>
      </c>
      <c r="F5" s="42">
        <f t="shared" si="24"/>
        <v>0.49799999999959255</v>
      </c>
      <c r="G5" s="27">
        <f t="shared" si="25"/>
        <v>946.19999999922572</v>
      </c>
      <c r="H5" s="1">
        <v>6569</v>
      </c>
      <c r="I5" s="42">
        <f t="shared" si="26"/>
        <v>3</v>
      </c>
      <c r="J5" s="27">
        <f t="shared" si="27"/>
        <v>5699.9999999999991</v>
      </c>
      <c r="K5" s="7">
        <v>14326.57</v>
      </c>
      <c r="L5" s="42">
        <f t="shared" si="28"/>
        <v>1.3600000000005821</v>
      </c>
      <c r="M5" s="27">
        <f t="shared" si="29"/>
        <v>2584.0000000011059</v>
      </c>
      <c r="N5" s="7">
        <v>3929.6550000000002</v>
      </c>
      <c r="O5" s="42">
        <f t="shared" si="30"/>
        <v>2.6100000000001273</v>
      </c>
      <c r="P5" s="27">
        <f t="shared" si="31"/>
        <v>4959.0000000002419</v>
      </c>
      <c r="Q5" s="7">
        <v>5671.07</v>
      </c>
      <c r="R5" s="42">
        <f t="shared" si="32"/>
        <v>0</v>
      </c>
      <c r="S5" s="27">
        <f t="shared" si="33"/>
        <v>0</v>
      </c>
      <c r="T5" s="8">
        <f>C5+F5+I5+L5+O5+R5</f>
        <v>11.277000000001408</v>
      </c>
      <c r="U5" s="29">
        <f t="shared" si="34"/>
        <v>21426.300000002673</v>
      </c>
      <c r="W5" s="140">
        <v>44898</v>
      </c>
      <c r="X5" s="141">
        <v>224232</v>
      </c>
      <c r="Y5" s="146">
        <f t="shared" si="21"/>
        <v>31</v>
      </c>
      <c r="Z5" s="141">
        <v>10299</v>
      </c>
      <c r="AA5" s="146">
        <f t="shared" si="21"/>
        <v>5</v>
      </c>
      <c r="AB5" s="141">
        <v>62</v>
      </c>
      <c r="AC5" s="146">
        <f t="shared" si="21"/>
        <v>0</v>
      </c>
      <c r="AD5" s="141">
        <v>830</v>
      </c>
      <c r="AE5" s="146">
        <f t="shared" si="21"/>
        <v>2</v>
      </c>
      <c r="AF5" s="141">
        <v>9905</v>
      </c>
      <c r="AG5" s="146">
        <f t="shared" si="21"/>
        <v>8</v>
      </c>
    </row>
    <row r="6" spans="1:33" ht="16.5" thickBot="1" x14ac:dyDescent="0.25">
      <c r="A6" s="9">
        <v>44899</v>
      </c>
      <c r="B6" s="143">
        <v>25511.463</v>
      </c>
      <c r="C6" s="42">
        <f t="shared" si="22"/>
        <v>3.9269999999996799</v>
      </c>
      <c r="D6" s="27">
        <f t="shared" si="23"/>
        <v>7461.2999999993908</v>
      </c>
      <c r="E6" s="1">
        <v>4683.6080000000002</v>
      </c>
      <c r="F6" s="42">
        <f t="shared" si="24"/>
        <v>1.1000000000003638</v>
      </c>
      <c r="G6" s="27">
        <f t="shared" si="25"/>
        <v>2090.0000000006912</v>
      </c>
      <c r="H6" s="1">
        <v>6573</v>
      </c>
      <c r="I6" s="42">
        <f t="shared" si="26"/>
        <v>4</v>
      </c>
      <c r="J6" s="27">
        <f t="shared" si="27"/>
        <v>7600</v>
      </c>
      <c r="K6" s="7">
        <v>14327.85</v>
      </c>
      <c r="L6" s="42">
        <f t="shared" si="28"/>
        <v>1.2800000000006548</v>
      </c>
      <c r="M6" s="27">
        <f t="shared" si="29"/>
        <v>2432.0000000012442</v>
      </c>
      <c r="N6" s="7">
        <v>3932.1289999999999</v>
      </c>
      <c r="O6" s="42">
        <f t="shared" si="30"/>
        <v>2.4739999999997053</v>
      </c>
      <c r="P6" s="27">
        <f t="shared" si="31"/>
        <v>4700.5999999994401</v>
      </c>
      <c r="Q6" s="7">
        <v>5671.07</v>
      </c>
      <c r="R6" s="42">
        <f t="shared" si="32"/>
        <v>0</v>
      </c>
      <c r="S6" s="27">
        <f t="shared" si="33"/>
        <v>0</v>
      </c>
      <c r="T6" s="8">
        <f t="shared" ref="T6:T32" si="35">C6+F6+I6+L6+O6+R6</f>
        <v>12.781000000000404</v>
      </c>
      <c r="U6" s="29">
        <f t="shared" si="34"/>
        <v>24283.900000000765</v>
      </c>
      <c r="W6" s="140">
        <v>44899</v>
      </c>
      <c r="X6" s="141">
        <v>224287</v>
      </c>
      <c r="Y6" s="146">
        <f t="shared" si="21"/>
        <v>55</v>
      </c>
      <c r="Z6" s="141">
        <v>10302</v>
      </c>
      <c r="AA6" s="146">
        <f t="shared" si="21"/>
        <v>3</v>
      </c>
      <c r="AB6" s="141">
        <v>62</v>
      </c>
      <c r="AC6" s="146">
        <f t="shared" si="21"/>
        <v>0</v>
      </c>
      <c r="AD6" s="141">
        <v>831</v>
      </c>
      <c r="AE6" s="146">
        <f t="shared" si="21"/>
        <v>1</v>
      </c>
      <c r="AF6" s="141">
        <v>9920</v>
      </c>
      <c r="AG6" s="146">
        <f t="shared" si="21"/>
        <v>15</v>
      </c>
    </row>
    <row r="7" spans="1:33" ht="16.5" thickBot="1" x14ac:dyDescent="0.25">
      <c r="A7" s="9">
        <v>44900</v>
      </c>
      <c r="B7" s="143">
        <v>25516.098999999998</v>
      </c>
      <c r="C7" s="42">
        <f t="shared" si="22"/>
        <v>4.635999999998603</v>
      </c>
      <c r="D7" s="27">
        <f t="shared" si="23"/>
        <v>8808.3999999973457</v>
      </c>
      <c r="E7" s="1">
        <v>4685.1729999999998</v>
      </c>
      <c r="F7" s="42">
        <f t="shared" si="24"/>
        <v>1.5649999999995998</v>
      </c>
      <c r="G7" s="27">
        <f t="shared" si="25"/>
        <v>2973.4999999992392</v>
      </c>
      <c r="H7" s="1">
        <v>6576</v>
      </c>
      <c r="I7" s="42">
        <f t="shared" si="26"/>
        <v>3</v>
      </c>
      <c r="J7" s="27">
        <f t="shared" si="27"/>
        <v>5699.9999999999991</v>
      </c>
      <c r="K7" s="7">
        <v>14329.4</v>
      </c>
      <c r="L7" s="42">
        <f t="shared" si="28"/>
        <v>1.5499999999992724</v>
      </c>
      <c r="M7" s="27">
        <f t="shared" si="29"/>
        <v>2944.9999999986176</v>
      </c>
      <c r="N7" s="7">
        <v>3935.0219999999999</v>
      </c>
      <c r="O7" s="42">
        <f t="shared" si="30"/>
        <v>2.8930000000000291</v>
      </c>
      <c r="P7" s="27">
        <f t="shared" si="31"/>
        <v>5496.7000000000544</v>
      </c>
      <c r="Q7" s="7">
        <v>5671.07</v>
      </c>
      <c r="R7" s="42">
        <f t="shared" si="32"/>
        <v>0</v>
      </c>
      <c r="S7" s="27">
        <f t="shared" si="33"/>
        <v>0</v>
      </c>
      <c r="T7" s="8">
        <f t="shared" si="35"/>
        <v>13.643999999997504</v>
      </c>
      <c r="U7" s="29">
        <f t="shared" si="34"/>
        <v>25923.599999995258</v>
      </c>
      <c r="W7" s="140">
        <v>44900</v>
      </c>
      <c r="X7" s="141">
        <v>224373</v>
      </c>
      <c r="Y7" s="146">
        <f t="shared" si="21"/>
        <v>86</v>
      </c>
      <c r="Z7" s="141">
        <v>10305</v>
      </c>
      <c r="AA7" s="146">
        <f t="shared" si="21"/>
        <v>3</v>
      </c>
      <c r="AB7" s="141">
        <v>62</v>
      </c>
      <c r="AC7" s="146">
        <f t="shared" si="21"/>
        <v>0</v>
      </c>
      <c r="AD7" s="141">
        <v>832</v>
      </c>
      <c r="AE7" s="146">
        <f t="shared" si="21"/>
        <v>1</v>
      </c>
      <c r="AF7" s="141">
        <v>9929</v>
      </c>
      <c r="AG7" s="146">
        <f t="shared" si="21"/>
        <v>9</v>
      </c>
    </row>
    <row r="8" spans="1:33" ht="16.5" thickBot="1" x14ac:dyDescent="0.25">
      <c r="A8" s="9">
        <v>44901</v>
      </c>
      <c r="B8" s="143">
        <v>25519.949000000001</v>
      </c>
      <c r="C8" s="42">
        <f t="shared" si="22"/>
        <v>3.8500000000021828</v>
      </c>
      <c r="D8" s="27">
        <f t="shared" si="23"/>
        <v>7315.0000000041473</v>
      </c>
      <c r="E8" s="1">
        <v>4687.2439999999997</v>
      </c>
      <c r="F8" s="42">
        <f t="shared" si="24"/>
        <v>2.0709999999999127</v>
      </c>
      <c r="G8" s="27">
        <f t="shared" si="25"/>
        <v>3934.8999999998337</v>
      </c>
      <c r="H8" s="1">
        <v>6579</v>
      </c>
      <c r="I8" s="42">
        <f t="shared" si="26"/>
        <v>3</v>
      </c>
      <c r="J8" s="27">
        <f t="shared" si="27"/>
        <v>5699.9999999999991</v>
      </c>
      <c r="K8" s="7">
        <v>14330.9</v>
      </c>
      <c r="L8" s="42">
        <f t="shared" si="28"/>
        <v>1.5</v>
      </c>
      <c r="M8" s="27">
        <f t="shared" si="29"/>
        <v>2849.9999999999995</v>
      </c>
      <c r="N8" s="7">
        <v>3937.4050000000002</v>
      </c>
      <c r="O8" s="42">
        <f t="shared" si="30"/>
        <v>2.3830000000002656</v>
      </c>
      <c r="P8" s="27">
        <f t="shared" si="31"/>
        <v>4527.7000000005046</v>
      </c>
      <c r="Q8" s="7">
        <v>5671.07</v>
      </c>
      <c r="R8" s="42">
        <f t="shared" si="32"/>
        <v>0</v>
      </c>
      <c r="S8" s="27">
        <f t="shared" si="33"/>
        <v>0</v>
      </c>
      <c r="T8" s="8">
        <f t="shared" si="35"/>
        <v>12.804000000002361</v>
      </c>
      <c r="U8" s="29">
        <f t="shared" si="34"/>
        <v>24327.600000004484</v>
      </c>
      <c r="W8" s="140">
        <v>44901</v>
      </c>
      <c r="X8" s="141">
        <v>224417</v>
      </c>
      <c r="Y8" s="146">
        <f t="shared" si="21"/>
        <v>44</v>
      </c>
      <c r="Z8" s="141">
        <v>10305</v>
      </c>
      <c r="AA8" s="146">
        <f t="shared" si="21"/>
        <v>0</v>
      </c>
      <c r="AB8" s="141">
        <v>62</v>
      </c>
      <c r="AC8" s="146">
        <f t="shared" si="21"/>
        <v>0</v>
      </c>
      <c r="AD8" s="141">
        <v>833</v>
      </c>
      <c r="AE8" s="146">
        <f t="shared" si="21"/>
        <v>1</v>
      </c>
      <c r="AF8" s="141">
        <v>9937</v>
      </c>
      <c r="AG8" s="146">
        <f t="shared" si="21"/>
        <v>8</v>
      </c>
    </row>
    <row r="9" spans="1:33" ht="16.5" thickBot="1" x14ac:dyDescent="0.25">
      <c r="A9" s="9">
        <v>44902</v>
      </c>
      <c r="B9" s="143">
        <v>25524.573</v>
      </c>
      <c r="C9" s="42">
        <f t="shared" si="22"/>
        <v>4.6239999999997963</v>
      </c>
      <c r="D9" s="27">
        <f t="shared" si="23"/>
        <v>8785.5999999996129</v>
      </c>
      <c r="E9" s="1">
        <v>4687.7129999999997</v>
      </c>
      <c r="F9" s="42">
        <f t="shared" si="24"/>
        <v>0.46900000000005093</v>
      </c>
      <c r="G9" s="27">
        <f t="shared" si="25"/>
        <v>891.10000000009666</v>
      </c>
      <c r="H9" s="1">
        <v>6583</v>
      </c>
      <c r="I9" s="42">
        <f t="shared" si="26"/>
        <v>4</v>
      </c>
      <c r="J9" s="27">
        <f t="shared" si="27"/>
        <v>7600</v>
      </c>
      <c r="K9" s="7">
        <v>14332.23</v>
      </c>
      <c r="L9" s="42">
        <f t="shared" si="28"/>
        <v>1.3299999999999272</v>
      </c>
      <c r="M9" s="27">
        <f t="shared" si="29"/>
        <v>2526.9999999998618</v>
      </c>
      <c r="N9" s="7">
        <v>3940.395</v>
      </c>
      <c r="O9" s="42">
        <f t="shared" si="30"/>
        <v>2.9899999999997817</v>
      </c>
      <c r="P9" s="27">
        <f t="shared" si="31"/>
        <v>5680.9999999995853</v>
      </c>
      <c r="Q9" s="7">
        <v>5671.07</v>
      </c>
      <c r="R9" s="42">
        <f t="shared" si="32"/>
        <v>0</v>
      </c>
      <c r="S9" s="27">
        <f t="shared" si="33"/>
        <v>0</v>
      </c>
      <c r="T9" s="8">
        <f t="shared" si="35"/>
        <v>13.412999999999556</v>
      </c>
      <c r="U9" s="29">
        <f t="shared" si="34"/>
        <v>25484.699999999153</v>
      </c>
      <c r="W9" s="140">
        <v>44902</v>
      </c>
      <c r="X9" s="141">
        <v>224488</v>
      </c>
      <c r="Y9" s="146">
        <f t="shared" si="21"/>
        <v>71</v>
      </c>
      <c r="Z9" s="141">
        <v>10305</v>
      </c>
      <c r="AA9" s="146">
        <f t="shared" si="21"/>
        <v>0</v>
      </c>
      <c r="AB9" s="141">
        <v>63</v>
      </c>
      <c r="AC9" s="146">
        <f t="shared" si="21"/>
        <v>1</v>
      </c>
      <c r="AD9" s="141">
        <v>834</v>
      </c>
      <c r="AE9" s="146">
        <f t="shared" si="21"/>
        <v>1</v>
      </c>
      <c r="AF9" s="141">
        <v>9945</v>
      </c>
      <c r="AG9" s="146">
        <f t="shared" si="21"/>
        <v>8</v>
      </c>
    </row>
    <row r="10" spans="1:33" ht="16.5" thickBot="1" x14ac:dyDescent="0.25">
      <c r="A10" s="9">
        <v>44903</v>
      </c>
      <c r="B10" s="143">
        <v>25526.87</v>
      </c>
      <c r="C10" s="42">
        <f t="shared" si="22"/>
        <v>2.2969999999986612</v>
      </c>
      <c r="D10" s="27">
        <f t="shared" si="23"/>
        <v>4364.2999999974563</v>
      </c>
      <c r="E10" s="1">
        <v>4688.4080000000004</v>
      </c>
      <c r="F10" s="42">
        <f t="shared" si="24"/>
        <v>0.69500000000061846</v>
      </c>
      <c r="G10" s="27">
        <f t="shared" si="25"/>
        <v>1320.5000000011751</v>
      </c>
      <c r="H10" s="1">
        <v>6585</v>
      </c>
      <c r="I10" s="42">
        <f t="shared" si="26"/>
        <v>2</v>
      </c>
      <c r="J10" s="27">
        <f t="shared" si="27"/>
        <v>3800</v>
      </c>
      <c r="K10" s="7">
        <v>14332.68</v>
      </c>
      <c r="L10" s="42">
        <f t="shared" si="28"/>
        <v>0.4500000000007276</v>
      </c>
      <c r="M10" s="27">
        <f t="shared" si="29"/>
        <v>855.00000000138243</v>
      </c>
      <c r="N10" s="7">
        <v>3941.7629999999999</v>
      </c>
      <c r="O10" s="42">
        <f>IF((N10-N9)&lt;0,"0",(N10-N9))</f>
        <v>1.3679999999999382</v>
      </c>
      <c r="P10" s="27">
        <f t="shared" si="31"/>
        <v>2599.1999999998825</v>
      </c>
      <c r="Q10" s="7">
        <v>5671.07</v>
      </c>
      <c r="R10" s="42">
        <f t="shared" si="32"/>
        <v>0</v>
      </c>
      <c r="S10" s="27">
        <f t="shared" si="33"/>
        <v>0</v>
      </c>
      <c r="T10" s="8">
        <f t="shared" si="35"/>
        <v>6.8099999999999454</v>
      </c>
      <c r="U10" s="29">
        <f t="shared" si="34"/>
        <v>12938.999999999894</v>
      </c>
      <c r="W10" s="140">
        <v>44903</v>
      </c>
      <c r="X10" s="141">
        <v>224597</v>
      </c>
      <c r="Y10" s="146">
        <f t="shared" si="21"/>
        <v>109</v>
      </c>
      <c r="Z10" s="141">
        <v>10307</v>
      </c>
      <c r="AA10" s="146">
        <f t="shared" si="21"/>
        <v>2</v>
      </c>
      <c r="AB10" s="141">
        <v>63</v>
      </c>
      <c r="AC10" s="146">
        <f t="shared" si="21"/>
        <v>0</v>
      </c>
      <c r="AD10" s="141">
        <v>835</v>
      </c>
      <c r="AE10" s="146">
        <f t="shared" si="21"/>
        <v>1</v>
      </c>
      <c r="AF10" s="141">
        <v>9949</v>
      </c>
      <c r="AG10" s="146">
        <f t="shared" si="21"/>
        <v>4</v>
      </c>
    </row>
    <row r="11" spans="1:33" ht="16.5" thickBot="1" x14ac:dyDescent="0.25">
      <c r="A11" s="9">
        <v>44904</v>
      </c>
      <c r="B11" s="143">
        <v>25530.400000000001</v>
      </c>
      <c r="C11" s="42">
        <f t="shared" si="22"/>
        <v>3.5300000000024738</v>
      </c>
      <c r="D11" s="27">
        <f t="shared" si="23"/>
        <v>6707.0000000047003</v>
      </c>
      <c r="E11" s="1">
        <v>4689.0810000000001</v>
      </c>
      <c r="F11" s="42">
        <f t="shared" si="24"/>
        <v>0.67299999999977445</v>
      </c>
      <c r="G11" s="27">
        <f t="shared" si="25"/>
        <v>1278.6999999995714</v>
      </c>
      <c r="H11" s="1">
        <v>6588</v>
      </c>
      <c r="I11" s="42">
        <f t="shared" si="26"/>
        <v>3</v>
      </c>
      <c r="J11" s="27">
        <f t="shared" si="27"/>
        <v>5699.9999999999991</v>
      </c>
      <c r="K11" s="7">
        <v>14333.8</v>
      </c>
      <c r="L11" s="42">
        <f t="shared" si="28"/>
        <v>1.1199999999989814</v>
      </c>
      <c r="M11" s="27">
        <f t="shared" si="29"/>
        <v>2127.9999999980641</v>
      </c>
      <c r="N11" s="7">
        <v>3944.2260000000001</v>
      </c>
      <c r="O11" s="42">
        <f t="shared" si="30"/>
        <v>2.4630000000001928</v>
      </c>
      <c r="P11" s="27">
        <f t="shared" si="31"/>
        <v>4679.7000000003663</v>
      </c>
      <c r="Q11" s="7">
        <v>5671.07</v>
      </c>
      <c r="R11" s="42">
        <f t="shared" si="32"/>
        <v>0</v>
      </c>
      <c r="S11" s="27">
        <f t="shared" si="33"/>
        <v>0</v>
      </c>
      <c r="T11" s="8">
        <f t="shared" si="35"/>
        <v>10.786000000001422</v>
      </c>
      <c r="U11" s="29">
        <f t="shared" si="34"/>
        <v>20493.400000002701</v>
      </c>
      <c r="W11" s="140">
        <v>44904</v>
      </c>
      <c r="X11" s="141">
        <v>224637</v>
      </c>
      <c r="Y11" s="146">
        <f t="shared" si="21"/>
        <v>40</v>
      </c>
      <c r="Z11" s="141">
        <v>10312</v>
      </c>
      <c r="AA11" s="146">
        <f t="shared" si="21"/>
        <v>5</v>
      </c>
      <c r="AB11" s="141">
        <v>63</v>
      </c>
      <c r="AC11" s="146">
        <f t="shared" si="21"/>
        <v>0</v>
      </c>
      <c r="AD11" s="141">
        <v>836</v>
      </c>
      <c r="AE11" s="146">
        <f t="shared" si="21"/>
        <v>1</v>
      </c>
      <c r="AF11" s="141">
        <v>9956</v>
      </c>
      <c r="AG11" s="146">
        <f t="shared" si="21"/>
        <v>7</v>
      </c>
    </row>
    <row r="12" spans="1:33" ht="16.5" thickBot="1" x14ac:dyDescent="0.25">
      <c r="A12" s="9">
        <v>44905</v>
      </c>
      <c r="B12" s="143">
        <v>25534.044000000002</v>
      </c>
      <c r="C12" s="42">
        <f t="shared" si="22"/>
        <v>3.6440000000002328</v>
      </c>
      <c r="D12" s="27">
        <f t="shared" si="23"/>
        <v>6923.6000000004415</v>
      </c>
      <c r="E12" s="1">
        <v>4689.7389999999996</v>
      </c>
      <c r="F12" s="42">
        <f t="shared" si="24"/>
        <v>0.65799999999944703</v>
      </c>
      <c r="G12" s="27">
        <f t="shared" si="25"/>
        <v>1250.1999999989494</v>
      </c>
      <c r="H12" s="1">
        <v>6591</v>
      </c>
      <c r="I12" s="42">
        <f t="shared" si="26"/>
        <v>3</v>
      </c>
      <c r="J12" s="27">
        <f t="shared" si="27"/>
        <v>5699.9999999999991</v>
      </c>
      <c r="K12" s="7">
        <v>14334.82</v>
      </c>
      <c r="L12" s="42">
        <f t="shared" si="28"/>
        <v>1.0200000000004366</v>
      </c>
      <c r="M12" s="27">
        <f t="shared" si="29"/>
        <v>1938.0000000008292</v>
      </c>
      <c r="N12" s="7">
        <v>3946.491</v>
      </c>
      <c r="O12" s="42">
        <f t="shared" si="30"/>
        <v>2.2649999999998727</v>
      </c>
      <c r="P12" s="27">
        <f t="shared" si="31"/>
        <v>4303.4999999997581</v>
      </c>
      <c r="Q12" s="7">
        <v>5671.07</v>
      </c>
      <c r="R12" s="42">
        <f t="shared" si="32"/>
        <v>0</v>
      </c>
      <c r="S12" s="27">
        <f t="shared" si="33"/>
        <v>0</v>
      </c>
      <c r="T12" s="8">
        <f t="shared" si="35"/>
        <v>10.586999999999989</v>
      </c>
      <c r="U12" s="29">
        <f t="shared" si="34"/>
        <v>20115.299999999981</v>
      </c>
      <c r="W12" s="140">
        <v>44905</v>
      </c>
      <c r="X12" s="141">
        <v>224710</v>
      </c>
      <c r="Y12" s="146">
        <f t="shared" si="21"/>
        <v>73</v>
      </c>
      <c r="Z12" s="141">
        <v>10317</v>
      </c>
      <c r="AA12" s="146">
        <f t="shared" si="21"/>
        <v>5</v>
      </c>
      <c r="AB12" s="141">
        <v>63</v>
      </c>
      <c r="AC12" s="146">
        <f t="shared" si="21"/>
        <v>0</v>
      </c>
      <c r="AD12" s="141">
        <v>837</v>
      </c>
      <c r="AE12" s="146">
        <f t="shared" si="21"/>
        <v>1</v>
      </c>
      <c r="AF12" s="141">
        <v>9963</v>
      </c>
      <c r="AG12" s="146">
        <f t="shared" si="21"/>
        <v>7</v>
      </c>
    </row>
    <row r="13" spans="1:33" ht="16.5" thickBot="1" x14ac:dyDescent="0.25">
      <c r="A13" s="9">
        <v>44906</v>
      </c>
      <c r="B13" s="143">
        <v>25537.651000000002</v>
      </c>
      <c r="C13" s="42">
        <f t="shared" si="22"/>
        <v>3.6069999999999709</v>
      </c>
      <c r="D13" s="27">
        <f t="shared" si="23"/>
        <v>6853.2999999999438</v>
      </c>
      <c r="E13" s="1">
        <v>4690.6610000000001</v>
      </c>
      <c r="F13" s="42">
        <f t="shared" si="24"/>
        <v>0.92200000000048021</v>
      </c>
      <c r="G13" s="27">
        <f t="shared" si="25"/>
        <v>1751.8000000009124</v>
      </c>
      <c r="H13" s="1">
        <v>6594</v>
      </c>
      <c r="I13" s="42">
        <f t="shared" si="26"/>
        <v>3</v>
      </c>
      <c r="J13" s="27">
        <f t="shared" si="27"/>
        <v>5699.9999999999991</v>
      </c>
      <c r="K13" s="7">
        <v>14335.79</v>
      </c>
      <c r="L13" s="42">
        <f t="shared" si="28"/>
        <v>0.97000000000116415</v>
      </c>
      <c r="M13" s="27">
        <f t="shared" si="29"/>
        <v>1843.0000000022117</v>
      </c>
      <c r="N13" s="7">
        <v>3948</v>
      </c>
      <c r="O13" s="42">
        <f t="shared" si="30"/>
        <v>1.5090000000000146</v>
      </c>
      <c r="P13" s="27">
        <f t="shared" si="31"/>
        <v>2867.1000000000272</v>
      </c>
      <c r="Q13" s="7">
        <v>5671.07</v>
      </c>
      <c r="R13" s="42">
        <f t="shared" si="32"/>
        <v>0</v>
      </c>
      <c r="S13" s="27">
        <f t="shared" si="33"/>
        <v>0</v>
      </c>
      <c r="T13" s="8">
        <f t="shared" si="35"/>
        <v>10.00800000000163</v>
      </c>
      <c r="U13" s="29">
        <f t="shared" si="34"/>
        <v>19015.200000003093</v>
      </c>
      <c r="W13" s="140">
        <v>44906</v>
      </c>
      <c r="X13" s="141">
        <v>224776</v>
      </c>
      <c r="Y13" s="146">
        <f t="shared" si="21"/>
        <v>66</v>
      </c>
      <c r="Z13" s="141">
        <v>10323</v>
      </c>
      <c r="AA13" s="146">
        <f t="shared" si="21"/>
        <v>6</v>
      </c>
      <c r="AB13" s="141">
        <v>63</v>
      </c>
      <c r="AC13" s="146">
        <f t="shared" si="21"/>
        <v>0</v>
      </c>
      <c r="AD13" s="141">
        <v>840</v>
      </c>
      <c r="AE13" s="146">
        <f t="shared" si="21"/>
        <v>3</v>
      </c>
      <c r="AF13" s="141">
        <v>9971</v>
      </c>
      <c r="AG13" s="146">
        <f t="shared" si="21"/>
        <v>8</v>
      </c>
    </row>
    <row r="14" spans="1:33" ht="16.5" thickBot="1" x14ac:dyDescent="0.25">
      <c r="A14" s="9">
        <v>44907</v>
      </c>
      <c r="B14" s="143">
        <v>25541</v>
      </c>
      <c r="C14" s="42">
        <f t="shared" si="22"/>
        <v>3.3489999999983411</v>
      </c>
      <c r="D14" s="27">
        <f t="shared" si="23"/>
        <v>6363.0999999968481</v>
      </c>
      <c r="E14" s="1">
        <v>4691.8</v>
      </c>
      <c r="F14" s="42">
        <f t="shared" si="24"/>
        <v>1.1390000000001237</v>
      </c>
      <c r="G14" s="27">
        <f t="shared" si="25"/>
        <v>2164.100000000235</v>
      </c>
      <c r="H14" s="1">
        <v>6597</v>
      </c>
      <c r="I14" s="42">
        <f t="shared" si="26"/>
        <v>3</v>
      </c>
      <c r="J14" s="27">
        <f t="shared" si="27"/>
        <v>5699.9999999999991</v>
      </c>
      <c r="K14" s="7">
        <v>14336.76</v>
      </c>
      <c r="L14" s="42">
        <f t="shared" si="28"/>
        <v>0.96999999999934516</v>
      </c>
      <c r="M14" s="27">
        <f t="shared" si="29"/>
        <v>1842.9999999987556</v>
      </c>
      <c r="N14" s="7">
        <v>3951.3</v>
      </c>
      <c r="O14" s="42">
        <f>IF((N14-N13)&lt;0,"0",(N14-N13))</f>
        <v>3.3000000000001819</v>
      </c>
      <c r="P14" s="27">
        <f t="shared" si="31"/>
        <v>6270.0000000003447</v>
      </c>
      <c r="Q14" s="7">
        <v>5671.07</v>
      </c>
      <c r="R14" s="42">
        <f t="shared" si="32"/>
        <v>0</v>
      </c>
      <c r="S14" s="27">
        <f t="shared" si="33"/>
        <v>0</v>
      </c>
      <c r="T14" s="8">
        <f t="shared" si="35"/>
        <v>11.757999999997992</v>
      </c>
      <c r="U14" s="29">
        <f t="shared" si="34"/>
        <v>22340.199999996184</v>
      </c>
      <c r="W14" s="140">
        <v>44907</v>
      </c>
      <c r="X14" s="141">
        <v>224878</v>
      </c>
      <c r="Y14" s="146">
        <f t="shared" si="21"/>
        <v>102</v>
      </c>
      <c r="Z14" s="141">
        <v>10327</v>
      </c>
      <c r="AA14" s="146">
        <f t="shared" si="21"/>
        <v>4</v>
      </c>
      <c r="AB14" s="141">
        <v>63</v>
      </c>
      <c r="AC14" s="146">
        <f t="shared" si="21"/>
        <v>0</v>
      </c>
      <c r="AD14" s="141">
        <v>843</v>
      </c>
      <c r="AE14" s="146">
        <f t="shared" si="21"/>
        <v>3</v>
      </c>
      <c r="AF14" s="141">
        <v>9982</v>
      </c>
      <c r="AG14" s="146">
        <f t="shared" si="21"/>
        <v>11</v>
      </c>
    </row>
    <row r="15" spans="1:33" ht="16.5" thickBot="1" x14ac:dyDescent="0.25">
      <c r="A15" s="9">
        <v>44908</v>
      </c>
      <c r="B15" s="143">
        <v>25544.751</v>
      </c>
      <c r="C15" s="42">
        <f t="shared" ref="C15" si="36">IF((B15-B14)&lt;0,"0",(B15-B14))</f>
        <v>3.7510000000002037</v>
      </c>
      <c r="D15" s="27">
        <f t="shared" ref="D15" si="37">C15*1.9*1000</f>
        <v>7126.9000000003862</v>
      </c>
      <c r="E15" s="1">
        <v>4692.87</v>
      </c>
      <c r="F15" s="42">
        <f t="shared" ref="F15" si="38">IF((E15-E14)&lt;0,"0",(E15-E14))</f>
        <v>1.069999999999709</v>
      </c>
      <c r="G15" s="27">
        <f t="shared" ref="G15" si="39">F15*1.9*1000</f>
        <v>2032.999999999447</v>
      </c>
      <c r="H15" s="1">
        <v>6600</v>
      </c>
      <c r="I15" s="42">
        <f t="shared" ref="I15" si="40">IF((H15-H14)&lt;0,"0",(H15-H14))</f>
        <v>3</v>
      </c>
      <c r="J15" s="27">
        <f t="shared" ref="J15" si="41">I15*1.9*1000</f>
        <v>5699.9999999999991</v>
      </c>
      <c r="K15" s="7">
        <v>14337.73</v>
      </c>
      <c r="L15" s="42">
        <f t="shared" ref="L15" si="42">IF((K15-K14)&lt;0,"0",(K15-K14))</f>
        <v>0.96999999999934516</v>
      </c>
      <c r="M15" s="27">
        <f t="shared" ref="M15" si="43">L15*1.9*1000</f>
        <v>1842.9999999987556</v>
      </c>
      <c r="N15" s="7">
        <v>3953.53</v>
      </c>
      <c r="O15" s="42">
        <f>IF((N15-N14)&lt;0,"0",(N15-N14))</f>
        <v>2.2300000000000182</v>
      </c>
      <c r="P15" s="27">
        <f t="shared" ref="P15" si="44">O15*1.9*1000</f>
        <v>4237.0000000000346</v>
      </c>
      <c r="Q15" s="7">
        <v>5671.07</v>
      </c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11.020999999999276</v>
      </c>
      <c r="U15" s="29">
        <f t="shared" ref="U15" si="48">T15*1.9*1000</f>
        <v>20939.899999998623</v>
      </c>
      <c r="W15" s="140">
        <v>44908</v>
      </c>
      <c r="X15" s="141">
        <v>224935</v>
      </c>
      <c r="Y15" s="146">
        <f t="shared" si="21"/>
        <v>57</v>
      </c>
      <c r="Z15" s="141">
        <v>10332</v>
      </c>
      <c r="AA15" s="146">
        <f t="shared" si="21"/>
        <v>5</v>
      </c>
      <c r="AB15" s="141">
        <v>63</v>
      </c>
      <c r="AC15" s="146">
        <f t="shared" si="21"/>
        <v>0</v>
      </c>
      <c r="AD15" s="141">
        <v>846</v>
      </c>
      <c r="AE15" s="146">
        <f t="shared" si="21"/>
        <v>3</v>
      </c>
      <c r="AF15" s="141">
        <v>9991</v>
      </c>
      <c r="AG15" s="146">
        <f t="shared" si="21"/>
        <v>9</v>
      </c>
    </row>
    <row r="16" spans="1:33" ht="16.5" thickBot="1" x14ac:dyDescent="0.25">
      <c r="A16" s="9">
        <v>44909</v>
      </c>
      <c r="B16" s="143">
        <v>25549.003000000001</v>
      </c>
      <c r="C16" s="42">
        <f t="shared" si="22"/>
        <v>4.2520000000004075</v>
      </c>
      <c r="D16" s="27">
        <f t="shared" si="23"/>
        <v>8078.8000000007742</v>
      </c>
      <c r="E16" s="1">
        <v>4694.0029999999997</v>
      </c>
      <c r="F16" s="42">
        <f t="shared" si="24"/>
        <v>1.1329999999998108</v>
      </c>
      <c r="G16" s="27">
        <f t="shared" si="25"/>
        <v>2152.6999999996406</v>
      </c>
      <c r="H16" s="1">
        <v>6606</v>
      </c>
      <c r="I16" s="42">
        <f t="shared" si="26"/>
        <v>6</v>
      </c>
      <c r="J16" s="27">
        <f t="shared" si="27"/>
        <v>11399.999999999998</v>
      </c>
      <c r="K16" s="7">
        <v>14339</v>
      </c>
      <c r="L16" s="42">
        <f t="shared" si="28"/>
        <v>1.2700000000004366</v>
      </c>
      <c r="M16" s="27">
        <f t="shared" si="29"/>
        <v>2413.0000000008295</v>
      </c>
      <c r="N16" s="7">
        <v>3955.732</v>
      </c>
      <c r="O16" s="42">
        <f t="shared" si="30"/>
        <v>2.2019999999997708</v>
      </c>
      <c r="P16" s="27">
        <f t="shared" si="31"/>
        <v>4183.7999999995645</v>
      </c>
      <c r="Q16" s="7">
        <v>5671.07</v>
      </c>
      <c r="R16" s="42">
        <f t="shared" si="32"/>
        <v>0</v>
      </c>
      <c r="S16" s="27">
        <f t="shared" si="33"/>
        <v>0</v>
      </c>
      <c r="T16" s="8">
        <f t="shared" si="35"/>
        <v>14.857000000000426</v>
      </c>
      <c r="U16" s="29">
        <f t="shared" si="34"/>
        <v>28228.300000000807</v>
      </c>
      <c r="W16" s="140">
        <v>44909</v>
      </c>
      <c r="X16" s="141">
        <v>225006</v>
      </c>
      <c r="Y16" s="146">
        <f t="shared" si="21"/>
        <v>71</v>
      </c>
      <c r="Z16" s="141">
        <v>10336</v>
      </c>
      <c r="AA16" s="146">
        <f t="shared" si="21"/>
        <v>4</v>
      </c>
      <c r="AB16" s="141">
        <v>63</v>
      </c>
      <c r="AC16" s="146">
        <f t="shared" si="21"/>
        <v>0</v>
      </c>
      <c r="AD16" s="141">
        <v>848</v>
      </c>
      <c r="AE16" s="146">
        <f t="shared" si="21"/>
        <v>2</v>
      </c>
      <c r="AF16" s="141">
        <v>9999</v>
      </c>
      <c r="AG16" s="146">
        <f t="shared" si="21"/>
        <v>8</v>
      </c>
    </row>
    <row r="17" spans="1:33" ht="16.5" thickBot="1" x14ac:dyDescent="0.25">
      <c r="A17" s="9">
        <v>44910</v>
      </c>
      <c r="B17" s="143">
        <v>25551.931</v>
      </c>
      <c r="C17" s="42">
        <f t="shared" si="22"/>
        <v>2.9279999999998836</v>
      </c>
      <c r="D17" s="27">
        <f t="shared" si="23"/>
        <v>5563.1999999997788</v>
      </c>
      <c r="E17" s="1">
        <v>4695.0050000000001</v>
      </c>
      <c r="F17" s="42">
        <f t="shared" si="24"/>
        <v>1.0020000000004075</v>
      </c>
      <c r="G17" s="27">
        <f t="shared" si="25"/>
        <v>1903.8000000007739</v>
      </c>
      <c r="H17" s="1">
        <v>6606</v>
      </c>
      <c r="I17" s="42">
        <f t="shared" si="26"/>
        <v>0</v>
      </c>
      <c r="J17" s="27">
        <f t="shared" si="27"/>
        <v>0</v>
      </c>
      <c r="K17" s="7">
        <v>14339.84</v>
      </c>
      <c r="L17" s="42">
        <f t="shared" si="28"/>
        <v>0.84000000000014552</v>
      </c>
      <c r="M17" s="27">
        <f t="shared" si="29"/>
        <v>1596.0000000002763</v>
      </c>
      <c r="N17" s="7">
        <v>3957.6480000000001</v>
      </c>
      <c r="O17" s="42">
        <f t="shared" si="30"/>
        <v>1.9160000000001673</v>
      </c>
      <c r="P17" s="27">
        <f t="shared" si="31"/>
        <v>3640.4000000003175</v>
      </c>
      <c r="Q17" s="7">
        <v>5671.07</v>
      </c>
      <c r="R17" s="42">
        <f t="shared" si="32"/>
        <v>0</v>
      </c>
      <c r="S17" s="27">
        <f t="shared" si="33"/>
        <v>0</v>
      </c>
      <c r="T17" s="8">
        <f t="shared" si="35"/>
        <v>6.6860000000006039</v>
      </c>
      <c r="U17" s="29">
        <f t="shared" si="34"/>
        <v>12703.400000001146</v>
      </c>
      <c r="W17" s="140">
        <v>44910</v>
      </c>
      <c r="X17" s="141">
        <v>225006</v>
      </c>
      <c r="Y17" s="146">
        <f t="shared" si="21"/>
        <v>0</v>
      </c>
      <c r="Z17" s="141">
        <v>10340</v>
      </c>
      <c r="AA17" s="146">
        <f t="shared" si="21"/>
        <v>4</v>
      </c>
      <c r="AB17" s="141">
        <v>63</v>
      </c>
      <c r="AC17" s="146">
        <f t="shared" si="21"/>
        <v>0</v>
      </c>
      <c r="AD17" s="141">
        <v>849</v>
      </c>
      <c r="AE17" s="146">
        <f t="shared" si="21"/>
        <v>1</v>
      </c>
      <c r="AF17" s="141">
        <v>10007</v>
      </c>
      <c r="AG17" s="146">
        <f t="shared" si="21"/>
        <v>8</v>
      </c>
    </row>
    <row r="18" spans="1:33" ht="16.5" thickBot="1" x14ac:dyDescent="0.25">
      <c r="A18" s="9">
        <v>44911</v>
      </c>
      <c r="B18" s="143">
        <v>25556.392</v>
      </c>
      <c r="C18" s="42">
        <f t="shared" si="22"/>
        <v>4.4609999999993306</v>
      </c>
      <c r="D18" s="27">
        <f t="shared" si="23"/>
        <v>8475.8999999987282</v>
      </c>
      <c r="E18" s="1">
        <v>4695.8990000000003</v>
      </c>
      <c r="F18" s="42">
        <f t="shared" si="24"/>
        <v>0.89400000000023283</v>
      </c>
      <c r="G18" s="27">
        <f t="shared" si="25"/>
        <v>1698.6000000004422</v>
      </c>
      <c r="H18" s="1">
        <v>6610</v>
      </c>
      <c r="I18" s="42">
        <f t="shared" si="26"/>
        <v>4</v>
      </c>
      <c r="J18" s="27">
        <f t="shared" si="27"/>
        <v>7600</v>
      </c>
      <c r="K18" s="7">
        <v>14341.26</v>
      </c>
      <c r="L18" s="42">
        <f t="shared" si="28"/>
        <v>1.4200000000000728</v>
      </c>
      <c r="M18" s="27">
        <f t="shared" si="29"/>
        <v>2698.0000000001382</v>
      </c>
      <c r="N18" s="7">
        <v>3960.0949999999998</v>
      </c>
      <c r="O18" s="42">
        <f t="shared" si="30"/>
        <v>2.4469999999996617</v>
      </c>
      <c r="P18" s="27">
        <f t="shared" si="31"/>
        <v>4649.2999999993572</v>
      </c>
      <c r="Q18" s="7">
        <v>5671.07</v>
      </c>
      <c r="R18" s="42">
        <f t="shared" si="32"/>
        <v>0</v>
      </c>
      <c r="S18" s="27">
        <f t="shared" si="33"/>
        <v>0</v>
      </c>
      <c r="T18" s="8">
        <f t="shared" si="35"/>
        <v>13.221999999999298</v>
      </c>
      <c r="U18" s="29">
        <f t="shared" si="34"/>
        <v>25121.799999998664</v>
      </c>
      <c r="W18" s="140">
        <v>44911</v>
      </c>
      <c r="X18" s="141">
        <v>225039</v>
      </c>
      <c r="Y18" s="146">
        <f t="shared" si="21"/>
        <v>33</v>
      </c>
      <c r="Z18" s="141">
        <v>10344</v>
      </c>
      <c r="AA18" s="146">
        <f t="shared" si="21"/>
        <v>4</v>
      </c>
      <c r="AB18" s="141">
        <v>63</v>
      </c>
      <c r="AC18" s="146">
        <f t="shared" si="21"/>
        <v>0</v>
      </c>
      <c r="AD18" s="141">
        <v>850</v>
      </c>
      <c r="AE18" s="146">
        <f t="shared" si="21"/>
        <v>1</v>
      </c>
      <c r="AF18" s="141">
        <v>10014</v>
      </c>
      <c r="AG18" s="146">
        <f t="shared" si="21"/>
        <v>7</v>
      </c>
    </row>
    <row r="19" spans="1:33" ht="16.5" thickBot="1" x14ac:dyDescent="0.25">
      <c r="A19" s="9">
        <v>44912</v>
      </c>
      <c r="B19" s="143">
        <v>25561.567999999999</v>
      </c>
      <c r="C19" s="42">
        <f t="shared" si="22"/>
        <v>5.1759999999994761</v>
      </c>
      <c r="D19" s="27">
        <f t="shared" si="23"/>
        <v>9834.3999999990046</v>
      </c>
      <c r="E19" s="1">
        <v>4696.9549999999999</v>
      </c>
      <c r="F19" s="42">
        <f t="shared" si="24"/>
        <v>1.0559999999995853</v>
      </c>
      <c r="G19" s="27">
        <f t="shared" si="25"/>
        <v>2006.399999999212</v>
      </c>
      <c r="H19" s="1">
        <v>6614</v>
      </c>
      <c r="I19" s="42">
        <f t="shared" si="26"/>
        <v>4</v>
      </c>
      <c r="J19" s="27">
        <f t="shared" si="27"/>
        <v>7600</v>
      </c>
      <c r="K19" s="7">
        <v>14342.95</v>
      </c>
      <c r="L19" s="42">
        <f t="shared" si="28"/>
        <v>1.6900000000005093</v>
      </c>
      <c r="M19" s="27">
        <f t="shared" si="29"/>
        <v>3211.0000000009677</v>
      </c>
      <c r="N19" s="7">
        <v>3963.0320000000002</v>
      </c>
      <c r="O19" s="42">
        <f t="shared" si="30"/>
        <v>2.9370000000003529</v>
      </c>
      <c r="P19" s="27">
        <f t="shared" si="31"/>
        <v>5580.3000000006696</v>
      </c>
      <c r="Q19" s="7">
        <v>5671.07</v>
      </c>
      <c r="R19" s="42">
        <f t="shared" si="32"/>
        <v>0</v>
      </c>
      <c r="S19" s="27">
        <f t="shared" si="33"/>
        <v>0</v>
      </c>
      <c r="T19" s="8">
        <f t="shared" si="35"/>
        <v>14.858999999999924</v>
      </c>
      <c r="U19" s="29">
        <f t="shared" si="34"/>
        <v>28232.099999999853</v>
      </c>
      <c r="W19" s="140">
        <v>44912</v>
      </c>
      <c r="X19" s="141">
        <v>225075</v>
      </c>
      <c r="Y19" s="146">
        <f t="shared" si="21"/>
        <v>36</v>
      </c>
      <c r="Z19" s="141">
        <v>10348</v>
      </c>
      <c r="AA19" s="146">
        <f t="shared" si="21"/>
        <v>4</v>
      </c>
      <c r="AB19" s="141">
        <v>63</v>
      </c>
      <c r="AC19" s="146">
        <f t="shared" si="21"/>
        <v>0</v>
      </c>
      <c r="AD19" s="141">
        <v>852</v>
      </c>
      <c r="AE19" s="146">
        <f t="shared" si="21"/>
        <v>2</v>
      </c>
      <c r="AF19" s="141">
        <v>10022</v>
      </c>
      <c r="AG19" s="146">
        <f t="shared" si="21"/>
        <v>8</v>
      </c>
    </row>
    <row r="20" spans="1:33" ht="16.5" thickBot="1" x14ac:dyDescent="0.25">
      <c r="A20" s="9">
        <v>44913</v>
      </c>
      <c r="B20" s="143">
        <v>25565.227999999999</v>
      </c>
      <c r="C20" s="42">
        <f t="shared" si="22"/>
        <v>3.6599999999998545</v>
      </c>
      <c r="D20" s="27">
        <f t="shared" si="23"/>
        <v>6953.9999999997235</v>
      </c>
      <c r="E20" s="1">
        <v>4698.16</v>
      </c>
      <c r="F20" s="42">
        <f t="shared" si="24"/>
        <v>1.2049999999999272</v>
      </c>
      <c r="G20" s="27">
        <f t="shared" si="25"/>
        <v>2289.4999999998618</v>
      </c>
      <c r="H20" s="1">
        <v>6617</v>
      </c>
      <c r="I20" s="42">
        <f t="shared" si="26"/>
        <v>3</v>
      </c>
      <c r="J20" s="27">
        <f t="shared" si="27"/>
        <v>5699.9999999999991</v>
      </c>
      <c r="K20" s="7">
        <v>14343.86</v>
      </c>
      <c r="L20" s="42">
        <f t="shared" si="28"/>
        <v>0.90999999999985448</v>
      </c>
      <c r="M20" s="27">
        <f t="shared" si="29"/>
        <v>1728.9999999997235</v>
      </c>
      <c r="N20" s="7">
        <v>3965.0439999999999</v>
      </c>
      <c r="O20" s="42">
        <f t="shared" si="30"/>
        <v>2.0119999999997162</v>
      </c>
      <c r="P20" s="27">
        <f t="shared" si="31"/>
        <v>3822.7999999994609</v>
      </c>
      <c r="Q20" s="7">
        <v>5671.07</v>
      </c>
      <c r="R20" s="42">
        <f t="shared" si="32"/>
        <v>0</v>
      </c>
      <c r="S20" s="27">
        <f t="shared" si="33"/>
        <v>0</v>
      </c>
      <c r="T20" s="8">
        <f t="shared" si="35"/>
        <v>10.786999999999352</v>
      </c>
      <c r="U20" s="29">
        <f t="shared" si="34"/>
        <v>20495.299999998766</v>
      </c>
      <c r="W20" s="140">
        <v>44913</v>
      </c>
      <c r="X20" s="141">
        <v>225201</v>
      </c>
      <c r="Y20" s="146">
        <f t="shared" si="21"/>
        <v>126</v>
      </c>
      <c r="Z20" s="141">
        <v>10351</v>
      </c>
      <c r="AA20" s="146">
        <f t="shared" si="21"/>
        <v>3</v>
      </c>
      <c r="AB20" s="141">
        <v>63</v>
      </c>
      <c r="AC20" s="146">
        <f t="shared" si="21"/>
        <v>0</v>
      </c>
      <c r="AD20" s="141">
        <v>855</v>
      </c>
      <c r="AE20" s="146">
        <f t="shared" si="21"/>
        <v>3</v>
      </c>
      <c r="AF20" s="141">
        <v>10030</v>
      </c>
      <c r="AG20" s="146">
        <f t="shared" si="21"/>
        <v>8</v>
      </c>
    </row>
    <row r="21" spans="1:33" ht="16.5" thickBot="1" x14ac:dyDescent="0.25">
      <c r="A21" s="9">
        <v>44914</v>
      </c>
      <c r="B21" s="143">
        <v>25570.321</v>
      </c>
      <c r="C21" s="42">
        <f t="shared" si="22"/>
        <v>5.0930000000007567</v>
      </c>
      <c r="D21" s="27">
        <f t="shared" si="23"/>
        <v>9676.7000000014377</v>
      </c>
      <c r="E21" s="1">
        <v>4699.8310000000001</v>
      </c>
      <c r="F21" s="42">
        <f t="shared" si="24"/>
        <v>1.6710000000002765</v>
      </c>
      <c r="G21" s="27">
        <f t="shared" si="25"/>
        <v>3174.9000000005249</v>
      </c>
      <c r="H21" s="1">
        <v>6622</v>
      </c>
      <c r="I21" s="42">
        <f t="shared" si="26"/>
        <v>5</v>
      </c>
      <c r="J21" s="27">
        <f t="shared" si="27"/>
        <v>9500</v>
      </c>
      <c r="K21" s="7">
        <v>14345.49</v>
      </c>
      <c r="L21" s="42">
        <f t="shared" si="28"/>
        <v>1.6299999999991996</v>
      </c>
      <c r="M21" s="27">
        <f t="shared" si="29"/>
        <v>3096.9999999984789</v>
      </c>
      <c r="N21" s="7">
        <v>3967.942</v>
      </c>
      <c r="O21" s="42">
        <f t="shared" si="30"/>
        <v>2.8980000000001382</v>
      </c>
      <c r="P21" s="27">
        <f t="shared" si="31"/>
        <v>5506.2000000002627</v>
      </c>
      <c r="Q21" s="7">
        <v>5671.07</v>
      </c>
      <c r="R21" s="42">
        <f t="shared" si="32"/>
        <v>0</v>
      </c>
      <c r="S21" s="27">
        <f t="shared" si="33"/>
        <v>0</v>
      </c>
      <c r="T21" s="8">
        <f t="shared" si="35"/>
        <v>16.292000000000371</v>
      </c>
      <c r="U21" s="29">
        <f t="shared" si="34"/>
        <v>30954.800000000701</v>
      </c>
      <c r="W21" s="140">
        <v>44914</v>
      </c>
      <c r="X21" s="141">
        <v>225325</v>
      </c>
      <c r="Y21" s="146">
        <f t="shared" si="21"/>
        <v>124</v>
      </c>
      <c r="Z21" s="141">
        <v>10358</v>
      </c>
      <c r="AA21" s="146">
        <f t="shared" si="21"/>
        <v>7</v>
      </c>
      <c r="AB21" s="141">
        <v>63</v>
      </c>
      <c r="AC21" s="146">
        <f t="shared" si="21"/>
        <v>0</v>
      </c>
      <c r="AD21" s="141">
        <v>858</v>
      </c>
      <c r="AE21" s="146">
        <f t="shared" si="21"/>
        <v>3</v>
      </c>
      <c r="AF21" s="141">
        <v>10049</v>
      </c>
      <c r="AG21" s="146">
        <f t="shared" si="21"/>
        <v>19</v>
      </c>
    </row>
    <row r="22" spans="1:33" ht="16.5" thickBot="1" x14ac:dyDescent="0.25">
      <c r="A22" s="9">
        <v>44915</v>
      </c>
      <c r="B22" s="143">
        <v>25573.753000000001</v>
      </c>
      <c r="C22" s="42">
        <f t="shared" si="22"/>
        <v>3.4320000000006985</v>
      </c>
      <c r="D22" s="27">
        <f t="shared" si="23"/>
        <v>6520.8000000013262</v>
      </c>
      <c r="E22" s="1">
        <v>4700.8159999999998</v>
      </c>
      <c r="F22" s="42">
        <f t="shared" si="24"/>
        <v>0.98499999999967258</v>
      </c>
      <c r="G22" s="27">
        <f t="shared" si="25"/>
        <v>1871.4999999993777</v>
      </c>
      <c r="H22" s="1">
        <v>6625</v>
      </c>
      <c r="I22" s="42">
        <f t="shared" si="26"/>
        <v>3</v>
      </c>
      <c r="J22" s="27">
        <f t="shared" si="27"/>
        <v>5699.9999999999991</v>
      </c>
      <c r="K22" s="7">
        <v>14346.2</v>
      </c>
      <c r="L22" s="42">
        <f t="shared" si="28"/>
        <v>0.71000000000094587</v>
      </c>
      <c r="M22" s="27">
        <f t="shared" si="29"/>
        <v>1349.0000000017972</v>
      </c>
      <c r="N22" s="7">
        <v>3969.6930000000002</v>
      </c>
      <c r="O22" s="42">
        <f t="shared" si="30"/>
        <v>1.7510000000002037</v>
      </c>
      <c r="P22" s="27">
        <f t="shared" si="31"/>
        <v>3326.9000000003871</v>
      </c>
      <c r="Q22" s="7">
        <v>5671.07</v>
      </c>
      <c r="R22" s="42">
        <f t="shared" si="32"/>
        <v>0</v>
      </c>
      <c r="S22" s="27">
        <f t="shared" si="33"/>
        <v>0</v>
      </c>
      <c r="T22" s="8">
        <f t="shared" si="35"/>
        <v>9.8780000000015207</v>
      </c>
      <c r="U22" s="29">
        <f t="shared" si="34"/>
        <v>18768.200000002889</v>
      </c>
      <c r="W22" s="140">
        <v>44915</v>
      </c>
      <c r="X22" s="141">
        <v>225433</v>
      </c>
      <c r="Y22" s="146">
        <f t="shared" si="21"/>
        <v>108</v>
      </c>
      <c r="Z22" s="141">
        <v>10361</v>
      </c>
      <c r="AA22" s="146">
        <f t="shared" si="21"/>
        <v>3</v>
      </c>
      <c r="AB22" s="141">
        <v>63</v>
      </c>
      <c r="AC22" s="146">
        <f t="shared" si="21"/>
        <v>0</v>
      </c>
      <c r="AD22" s="141">
        <v>860</v>
      </c>
      <c r="AE22" s="146">
        <f t="shared" si="21"/>
        <v>2</v>
      </c>
      <c r="AF22" s="141">
        <v>10057</v>
      </c>
      <c r="AG22" s="146">
        <f t="shared" si="21"/>
        <v>8</v>
      </c>
    </row>
    <row r="23" spans="1:33" ht="16.5" thickBot="1" x14ac:dyDescent="0.25">
      <c r="A23" s="9">
        <v>44916</v>
      </c>
      <c r="B23" s="143">
        <v>25578.724999999999</v>
      </c>
      <c r="C23" s="42">
        <f t="shared" si="22"/>
        <v>4.9719999999979336</v>
      </c>
      <c r="D23" s="27">
        <f t="shared" si="23"/>
        <v>9446.7999999960739</v>
      </c>
      <c r="E23" s="1">
        <v>4702.43</v>
      </c>
      <c r="F23" s="42">
        <f t="shared" si="24"/>
        <v>1.6140000000004875</v>
      </c>
      <c r="G23" s="27">
        <f t="shared" si="25"/>
        <v>3066.6000000009262</v>
      </c>
      <c r="H23" s="1">
        <v>6629</v>
      </c>
      <c r="I23" s="42">
        <f t="shared" si="26"/>
        <v>4</v>
      </c>
      <c r="J23" s="27">
        <f t="shared" si="27"/>
        <v>7600</v>
      </c>
      <c r="K23" s="7">
        <v>14347.69</v>
      </c>
      <c r="L23" s="42">
        <f t="shared" si="28"/>
        <v>1.4899999999997817</v>
      </c>
      <c r="M23" s="27">
        <f t="shared" si="29"/>
        <v>2830.9999999995853</v>
      </c>
      <c r="N23" s="7">
        <v>3972.6970000000001</v>
      </c>
      <c r="O23" s="42">
        <f t="shared" si="30"/>
        <v>3.0039999999999054</v>
      </c>
      <c r="P23" s="27">
        <f t="shared" si="31"/>
        <v>5707.5999999998203</v>
      </c>
      <c r="Q23" s="7">
        <v>5671.59</v>
      </c>
      <c r="R23" s="42">
        <f t="shared" si="32"/>
        <v>0.52000000000043656</v>
      </c>
      <c r="S23" s="27">
        <f t="shared" si="33"/>
        <v>988.00000000082946</v>
      </c>
      <c r="T23" s="8">
        <f t="shared" si="35"/>
        <v>15.599999999998545</v>
      </c>
      <c r="U23" s="29">
        <f t="shared" si="34"/>
        <v>29639.999999997231</v>
      </c>
      <c r="W23" s="140">
        <v>44916</v>
      </c>
      <c r="X23" s="141">
        <v>225530</v>
      </c>
      <c r="Y23" s="146">
        <f t="shared" si="21"/>
        <v>97</v>
      </c>
      <c r="Z23" s="141">
        <v>10363</v>
      </c>
      <c r="AA23" s="146">
        <f t="shared" si="21"/>
        <v>2</v>
      </c>
      <c r="AB23" s="141">
        <v>63</v>
      </c>
      <c r="AC23" s="146">
        <f t="shared" si="21"/>
        <v>0</v>
      </c>
      <c r="AD23" s="141">
        <v>861</v>
      </c>
      <c r="AE23" s="146">
        <f t="shared" si="21"/>
        <v>1</v>
      </c>
      <c r="AF23" s="141">
        <v>10064</v>
      </c>
      <c r="AG23" s="146">
        <f t="shared" si="21"/>
        <v>7</v>
      </c>
    </row>
    <row r="24" spans="1:33" ht="16.5" thickBot="1" x14ac:dyDescent="0.25">
      <c r="A24" s="9">
        <v>44917</v>
      </c>
      <c r="B24" s="143">
        <v>25581.254000000001</v>
      </c>
      <c r="C24" s="42">
        <f t="shared" si="22"/>
        <v>2.5290000000022701</v>
      </c>
      <c r="D24" s="27">
        <f t="shared" si="23"/>
        <v>4805.1000000043132</v>
      </c>
      <c r="E24" s="1">
        <v>4703.116</v>
      </c>
      <c r="F24" s="42">
        <f t="shared" si="24"/>
        <v>0.68599999999969441</v>
      </c>
      <c r="G24" s="27">
        <f t="shared" si="25"/>
        <v>1303.3999999994192</v>
      </c>
      <c r="H24" s="1">
        <v>6632</v>
      </c>
      <c r="I24" s="42">
        <f t="shared" si="26"/>
        <v>3</v>
      </c>
      <c r="J24" s="27">
        <f t="shared" si="27"/>
        <v>5699.9999999999991</v>
      </c>
      <c r="K24" s="7">
        <v>14348.13</v>
      </c>
      <c r="L24" s="42">
        <f t="shared" si="28"/>
        <v>0.43999999999869033</v>
      </c>
      <c r="M24" s="27">
        <f t="shared" si="29"/>
        <v>835.99999999751162</v>
      </c>
      <c r="N24" s="7">
        <v>3974.203</v>
      </c>
      <c r="O24" s="42">
        <f t="shared" si="30"/>
        <v>1.5059999999998581</v>
      </c>
      <c r="P24" s="27">
        <f t="shared" si="31"/>
        <v>2861.39999999973</v>
      </c>
      <c r="Q24" s="7">
        <v>5672.16</v>
      </c>
      <c r="R24" s="42">
        <f t="shared" si="32"/>
        <v>0.56999999999970896</v>
      </c>
      <c r="S24" s="27">
        <f t="shared" si="33"/>
        <v>1082.999999999447</v>
      </c>
      <c r="T24" s="8">
        <f t="shared" si="35"/>
        <v>8.7310000000002219</v>
      </c>
      <c r="U24" s="29">
        <f t="shared" si="34"/>
        <v>16588.900000000423</v>
      </c>
      <c r="W24" s="140">
        <v>44917</v>
      </c>
      <c r="X24" s="141">
        <v>225568</v>
      </c>
      <c r="Y24" s="146">
        <f t="shared" si="21"/>
        <v>38</v>
      </c>
      <c r="Z24" s="141">
        <v>10367</v>
      </c>
      <c r="AA24" s="146">
        <f t="shared" si="21"/>
        <v>4</v>
      </c>
      <c r="AB24" s="141">
        <v>63</v>
      </c>
      <c r="AC24" s="146">
        <f t="shared" si="21"/>
        <v>0</v>
      </c>
      <c r="AD24" s="141">
        <v>862</v>
      </c>
      <c r="AE24" s="146">
        <f t="shared" si="21"/>
        <v>1</v>
      </c>
      <c r="AF24" s="141">
        <v>10070</v>
      </c>
      <c r="AG24" s="146">
        <f t="shared" si="21"/>
        <v>6</v>
      </c>
    </row>
    <row r="25" spans="1:33" ht="16.5" thickBot="1" x14ac:dyDescent="0.25">
      <c r="A25" s="9">
        <v>44918</v>
      </c>
      <c r="B25" s="143">
        <v>25585.392</v>
      </c>
      <c r="C25" s="42">
        <f t="shared" si="22"/>
        <v>4.1379999999990105</v>
      </c>
      <c r="D25" s="27">
        <f t="shared" si="23"/>
        <v>7862.199999998119</v>
      </c>
      <c r="E25" s="1">
        <v>4703.884</v>
      </c>
      <c r="F25" s="42">
        <f t="shared" si="24"/>
        <v>0.7680000000000291</v>
      </c>
      <c r="G25" s="27">
        <f t="shared" si="25"/>
        <v>1459.2000000000551</v>
      </c>
      <c r="H25" s="1">
        <v>6635</v>
      </c>
      <c r="I25" s="42">
        <f t="shared" si="26"/>
        <v>3</v>
      </c>
      <c r="J25" s="27">
        <f t="shared" si="27"/>
        <v>5699.9999999999991</v>
      </c>
      <c r="K25" s="7">
        <v>14349.28</v>
      </c>
      <c r="L25" s="42">
        <f t="shared" si="28"/>
        <v>1.1500000000014552</v>
      </c>
      <c r="M25" s="27">
        <f t="shared" si="29"/>
        <v>2185.0000000027649</v>
      </c>
      <c r="N25" s="7">
        <v>3976.866</v>
      </c>
      <c r="O25" s="42">
        <f t="shared" si="30"/>
        <v>2.6630000000000109</v>
      </c>
      <c r="P25" s="27">
        <f t="shared" si="31"/>
        <v>5059.7000000000207</v>
      </c>
      <c r="Q25" s="7">
        <v>5672.62</v>
      </c>
      <c r="R25" s="42">
        <f t="shared" si="32"/>
        <v>0.46000000000003638</v>
      </c>
      <c r="S25" s="27">
        <f t="shared" si="33"/>
        <v>874.00000000006901</v>
      </c>
      <c r="T25" s="8">
        <f t="shared" si="35"/>
        <v>12.179000000000542</v>
      </c>
      <c r="U25" s="29">
        <f t="shared" si="34"/>
        <v>23140.100000001028</v>
      </c>
      <c r="W25" s="140">
        <v>44918</v>
      </c>
      <c r="X25" s="141">
        <v>225627</v>
      </c>
      <c r="Y25" s="146">
        <f t="shared" si="21"/>
        <v>59</v>
      </c>
      <c r="Z25" s="141">
        <v>10372</v>
      </c>
      <c r="AA25" s="146">
        <f t="shared" si="21"/>
        <v>5</v>
      </c>
      <c r="AB25" s="141">
        <v>63</v>
      </c>
      <c r="AC25" s="146">
        <f t="shared" si="21"/>
        <v>0</v>
      </c>
      <c r="AD25" s="141">
        <v>863</v>
      </c>
      <c r="AE25" s="146">
        <f t="shared" si="21"/>
        <v>1</v>
      </c>
      <c r="AF25" s="141">
        <v>10075</v>
      </c>
      <c r="AG25" s="146">
        <f t="shared" si="21"/>
        <v>5</v>
      </c>
    </row>
    <row r="26" spans="1:33" ht="16.5" thickBot="1" x14ac:dyDescent="0.25">
      <c r="A26" s="9">
        <v>44919</v>
      </c>
      <c r="B26" s="143">
        <v>25588.681</v>
      </c>
      <c r="C26" s="42">
        <f t="shared" si="22"/>
        <v>3.2890000000006694</v>
      </c>
      <c r="D26" s="27">
        <f t="shared" si="23"/>
        <v>6249.1000000012709</v>
      </c>
      <c r="E26" s="1">
        <v>4704.5129999999999</v>
      </c>
      <c r="F26" s="42">
        <f t="shared" si="24"/>
        <v>0.62899999999990541</v>
      </c>
      <c r="G26" s="27">
        <f t="shared" si="25"/>
        <v>1195.0999999998203</v>
      </c>
      <c r="H26" s="1">
        <v>6638</v>
      </c>
      <c r="I26" s="42">
        <f t="shared" si="26"/>
        <v>3</v>
      </c>
      <c r="J26" s="27">
        <f t="shared" si="27"/>
        <v>5699.9999999999991</v>
      </c>
      <c r="K26" s="7">
        <v>14349.89</v>
      </c>
      <c r="L26" s="42">
        <f>IF((K26-K25)&lt;0,"0",(K26-K25))</f>
        <v>0.60999999999876309</v>
      </c>
      <c r="M26" s="27">
        <f t="shared" si="29"/>
        <v>1158.9999999976499</v>
      </c>
      <c r="N26" s="7">
        <v>3978.83</v>
      </c>
      <c r="O26" s="42">
        <f t="shared" si="30"/>
        <v>1.9639999999999418</v>
      </c>
      <c r="P26" s="27">
        <f t="shared" si="31"/>
        <v>3731.5999999998894</v>
      </c>
      <c r="Q26" s="7">
        <v>5672.94</v>
      </c>
      <c r="R26" s="42">
        <f t="shared" si="32"/>
        <v>0.31999999999970896</v>
      </c>
      <c r="S26" s="27">
        <f t="shared" si="33"/>
        <v>607.99999999944703</v>
      </c>
      <c r="T26" s="8">
        <f t="shared" si="35"/>
        <v>9.8119999999989886</v>
      </c>
      <c r="U26" s="29">
        <f t="shared" si="34"/>
        <v>18642.799999998078</v>
      </c>
      <c r="V26" t="s">
        <v>12</v>
      </c>
      <c r="W26" s="140">
        <v>44919</v>
      </c>
      <c r="X26" s="141">
        <v>225682</v>
      </c>
      <c r="Y26" s="146">
        <f t="shared" si="21"/>
        <v>55</v>
      </c>
      <c r="Z26" s="141">
        <v>10375</v>
      </c>
      <c r="AA26" s="146">
        <f t="shared" si="21"/>
        <v>3</v>
      </c>
      <c r="AB26" s="141">
        <v>63</v>
      </c>
      <c r="AC26" s="146">
        <f t="shared" si="21"/>
        <v>0</v>
      </c>
      <c r="AD26" s="141">
        <v>863</v>
      </c>
      <c r="AE26" s="146">
        <f t="shared" si="21"/>
        <v>0</v>
      </c>
      <c r="AF26" s="141">
        <v>10083</v>
      </c>
      <c r="AG26" s="146">
        <f t="shared" si="21"/>
        <v>8</v>
      </c>
    </row>
    <row r="27" spans="1:33" ht="16.5" thickBot="1" x14ac:dyDescent="0.25">
      <c r="A27" s="9">
        <v>44920</v>
      </c>
      <c r="B27" s="143">
        <v>25592.04</v>
      </c>
      <c r="C27" s="42">
        <f t="shared" si="22"/>
        <v>3.3590000000003783</v>
      </c>
      <c r="D27" s="27">
        <f t="shared" si="23"/>
        <v>6382.1000000007189</v>
      </c>
      <c r="E27" s="1">
        <v>4705.415</v>
      </c>
      <c r="F27" s="42">
        <f t="shared" si="24"/>
        <v>0.90200000000004366</v>
      </c>
      <c r="G27" s="27">
        <f t="shared" si="25"/>
        <v>1713.8000000000827</v>
      </c>
      <c r="H27" s="1">
        <v>6641</v>
      </c>
      <c r="I27" s="42">
        <f t="shared" si="26"/>
        <v>3</v>
      </c>
      <c r="J27" s="27">
        <f t="shared" si="27"/>
        <v>5699.9999999999991</v>
      </c>
      <c r="K27" s="7">
        <v>14350.42</v>
      </c>
      <c r="L27" s="42">
        <f t="shared" si="28"/>
        <v>0.53000000000065484</v>
      </c>
      <c r="M27" s="27">
        <f t="shared" si="29"/>
        <v>1007.0000000012442</v>
      </c>
      <c r="N27" s="7">
        <v>3980.8519999999999</v>
      </c>
      <c r="O27" s="42">
        <f t="shared" si="30"/>
        <v>2.0219999999999345</v>
      </c>
      <c r="P27" s="27">
        <f t="shared" si="31"/>
        <v>3841.7999999998751</v>
      </c>
      <c r="Q27" s="7">
        <v>5673.1</v>
      </c>
      <c r="R27" s="42">
        <f t="shared" si="32"/>
        <v>0.16000000000076398</v>
      </c>
      <c r="S27" s="27">
        <f t="shared" si="33"/>
        <v>304.00000000145155</v>
      </c>
      <c r="T27" s="8">
        <f t="shared" si="35"/>
        <v>9.9730000000017753</v>
      </c>
      <c r="U27" s="29">
        <f t="shared" si="34"/>
        <v>18948.700000003373</v>
      </c>
      <c r="V27" t="s">
        <v>12</v>
      </c>
      <c r="W27" s="140">
        <v>44920</v>
      </c>
      <c r="X27" s="141">
        <v>225745</v>
      </c>
      <c r="Y27" s="146">
        <f t="shared" si="21"/>
        <v>63</v>
      </c>
      <c r="Z27" s="141">
        <v>10378</v>
      </c>
      <c r="AA27" s="146">
        <f t="shared" si="21"/>
        <v>3</v>
      </c>
      <c r="AB27" s="141">
        <v>63</v>
      </c>
      <c r="AC27" s="146">
        <f t="shared" si="21"/>
        <v>0</v>
      </c>
      <c r="AD27" s="141">
        <v>865</v>
      </c>
      <c r="AE27" s="146">
        <f t="shared" si="21"/>
        <v>2</v>
      </c>
      <c r="AF27" s="141">
        <v>10090</v>
      </c>
      <c r="AG27" s="146">
        <f t="shared" si="21"/>
        <v>7</v>
      </c>
    </row>
    <row r="28" spans="1:33" ht="16.5" thickBot="1" x14ac:dyDescent="0.25">
      <c r="A28" s="9">
        <v>44921</v>
      </c>
      <c r="B28" s="143">
        <v>25596.233</v>
      </c>
      <c r="C28" s="42">
        <f t="shared" si="22"/>
        <v>4.1929999999993015</v>
      </c>
      <c r="D28" s="27">
        <f t="shared" si="23"/>
        <v>7966.6999999986729</v>
      </c>
      <c r="E28" s="1">
        <v>4706.4430000000002</v>
      </c>
      <c r="F28" s="42">
        <f t="shared" si="24"/>
        <v>1.0280000000002474</v>
      </c>
      <c r="G28" s="27">
        <f t="shared" si="25"/>
        <v>1953.2000000004698</v>
      </c>
      <c r="H28" s="1">
        <v>6644</v>
      </c>
      <c r="I28" s="42">
        <f t="shared" si="26"/>
        <v>3</v>
      </c>
      <c r="J28" s="27">
        <f t="shared" si="27"/>
        <v>5699.9999999999991</v>
      </c>
      <c r="K28" s="7">
        <v>14351.32</v>
      </c>
      <c r="L28" s="42">
        <f t="shared" si="28"/>
        <v>0.8999999999996362</v>
      </c>
      <c r="M28" s="27">
        <f t="shared" si="29"/>
        <v>1709.9999999993088</v>
      </c>
      <c r="N28" s="7">
        <v>3983.5120000000002</v>
      </c>
      <c r="O28" s="42">
        <f t="shared" si="30"/>
        <v>2.6600000000003092</v>
      </c>
      <c r="P28" s="27">
        <f t="shared" si="31"/>
        <v>5054.0000000005875</v>
      </c>
      <c r="Q28" s="7">
        <v>5673.1</v>
      </c>
      <c r="R28" s="42">
        <f t="shared" si="32"/>
        <v>0</v>
      </c>
      <c r="S28" s="27">
        <f t="shared" si="33"/>
        <v>0</v>
      </c>
      <c r="T28" s="8">
        <f t="shared" si="35"/>
        <v>11.780999999999494</v>
      </c>
      <c r="U28" s="29">
        <f t="shared" si="34"/>
        <v>22383.899999999037</v>
      </c>
      <c r="W28" s="140">
        <v>44921</v>
      </c>
      <c r="X28" s="141">
        <v>225790</v>
      </c>
      <c r="Y28" s="146">
        <f t="shared" si="21"/>
        <v>45</v>
      </c>
      <c r="Z28" s="141">
        <v>10380</v>
      </c>
      <c r="AA28" s="146">
        <f t="shared" si="21"/>
        <v>2</v>
      </c>
      <c r="AB28" s="141">
        <v>63</v>
      </c>
      <c r="AC28" s="146">
        <f t="shared" si="21"/>
        <v>0</v>
      </c>
      <c r="AD28" s="141">
        <v>867</v>
      </c>
      <c r="AE28" s="146">
        <f t="shared" si="21"/>
        <v>2</v>
      </c>
      <c r="AF28" s="141">
        <v>10097</v>
      </c>
      <c r="AG28" s="146">
        <f t="shared" si="21"/>
        <v>7</v>
      </c>
    </row>
    <row r="29" spans="1:33" ht="16.5" thickBot="1" x14ac:dyDescent="0.25">
      <c r="A29" s="9">
        <v>44922</v>
      </c>
      <c r="B29" s="143">
        <v>25599.838</v>
      </c>
      <c r="C29" s="42">
        <f t="shared" si="22"/>
        <v>3.6049999999995634</v>
      </c>
      <c r="D29" s="27">
        <f t="shared" si="23"/>
        <v>6849.4999999991705</v>
      </c>
      <c r="E29" s="1">
        <v>4707.3100000000004</v>
      </c>
      <c r="F29" s="42">
        <f t="shared" si="24"/>
        <v>0.86700000000018917</v>
      </c>
      <c r="G29" s="27">
        <f t="shared" si="25"/>
        <v>1647.3000000003592</v>
      </c>
      <c r="H29" s="1">
        <v>6647</v>
      </c>
      <c r="I29" s="42">
        <f t="shared" si="26"/>
        <v>3</v>
      </c>
      <c r="J29" s="27">
        <f t="shared" si="27"/>
        <v>5699.9999999999991</v>
      </c>
      <c r="K29" s="7">
        <v>14352.06</v>
      </c>
      <c r="L29" s="42">
        <f t="shared" si="28"/>
        <v>0.73999999999978172</v>
      </c>
      <c r="M29" s="27">
        <f t="shared" si="29"/>
        <v>1405.999999999585</v>
      </c>
      <c r="N29" s="7">
        <v>3985.8530000000001</v>
      </c>
      <c r="O29" s="42">
        <f t="shared" si="30"/>
        <v>2.3409999999998945</v>
      </c>
      <c r="P29" s="27">
        <f t="shared" si="31"/>
        <v>4447.8999999997986</v>
      </c>
      <c r="Q29" s="7">
        <v>5673.1</v>
      </c>
      <c r="R29" s="42">
        <f t="shared" si="32"/>
        <v>0</v>
      </c>
      <c r="S29" s="27">
        <f t="shared" si="33"/>
        <v>0</v>
      </c>
      <c r="T29" s="8">
        <f t="shared" si="35"/>
        <v>10.552999999999429</v>
      </c>
      <c r="U29" s="29">
        <f t="shared" si="34"/>
        <v>20050.699999998917</v>
      </c>
      <c r="W29" s="140">
        <v>44922</v>
      </c>
      <c r="X29" s="141">
        <v>225834</v>
      </c>
      <c r="Y29" s="146">
        <f t="shared" si="21"/>
        <v>44</v>
      </c>
      <c r="Z29" s="141">
        <v>10384</v>
      </c>
      <c r="AA29" s="146">
        <f t="shared" si="21"/>
        <v>4</v>
      </c>
      <c r="AB29" s="141">
        <v>63</v>
      </c>
      <c r="AC29" s="146">
        <f t="shared" si="21"/>
        <v>0</v>
      </c>
      <c r="AD29" s="141">
        <v>868</v>
      </c>
      <c r="AE29" s="146">
        <f t="shared" si="21"/>
        <v>1</v>
      </c>
      <c r="AF29" s="141">
        <v>10106</v>
      </c>
      <c r="AG29" s="146">
        <f t="shared" si="21"/>
        <v>9</v>
      </c>
    </row>
    <row r="30" spans="1:33" ht="16.5" thickBot="1" x14ac:dyDescent="0.25">
      <c r="A30" s="9">
        <v>44923</v>
      </c>
      <c r="B30" s="143">
        <v>25603.32</v>
      </c>
      <c r="C30" s="42">
        <f t="shared" si="22"/>
        <v>3.4819999999999709</v>
      </c>
      <c r="D30" s="27">
        <f t="shared" si="23"/>
        <v>6615.7999999999438</v>
      </c>
      <c r="E30" s="1">
        <v>4708.1819999999998</v>
      </c>
      <c r="F30" s="42">
        <f t="shared" si="24"/>
        <v>0.87199999999938882</v>
      </c>
      <c r="G30" s="27">
        <f t="shared" si="25"/>
        <v>1656.7999999988388</v>
      </c>
      <c r="H30" s="1">
        <v>6651</v>
      </c>
      <c r="I30" s="42">
        <f t="shared" si="26"/>
        <v>4</v>
      </c>
      <c r="J30" s="27">
        <f t="shared" si="27"/>
        <v>7600</v>
      </c>
      <c r="K30" s="7">
        <v>14352.86</v>
      </c>
      <c r="L30" s="42">
        <f t="shared" si="28"/>
        <v>0.80000000000109139</v>
      </c>
      <c r="M30" s="27">
        <f t="shared" si="29"/>
        <v>1520.0000000020734</v>
      </c>
      <c r="N30" s="7">
        <v>3988.18</v>
      </c>
      <c r="O30" s="42">
        <f t="shared" si="30"/>
        <v>2.3269999999997708</v>
      </c>
      <c r="P30" s="27">
        <f t="shared" si="31"/>
        <v>4421.2999999995645</v>
      </c>
      <c r="Q30" s="7">
        <v>5673.1</v>
      </c>
      <c r="R30" s="42">
        <f t="shared" si="32"/>
        <v>0</v>
      </c>
      <c r="S30" s="27">
        <f t="shared" si="33"/>
        <v>0</v>
      </c>
      <c r="T30" s="8">
        <f t="shared" si="35"/>
        <v>11.481000000000222</v>
      </c>
      <c r="U30" s="29">
        <f t="shared" si="34"/>
        <v>21813.90000000042</v>
      </c>
      <c r="W30" s="140">
        <v>44923</v>
      </c>
      <c r="X30" s="141">
        <v>225875</v>
      </c>
      <c r="Y30" s="146">
        <f t="shared" si="21"/>
        <v>41</v>
      </c>
      <c r="Z30" s="141">
        <v>10388</v>
      </c>
      <c r="AA30" s="146">
        <f t="shared" si="21"/>
        <v>4</v>
      </c>
      <c r="AB30" s="141">
        <v>63</v>
      </c>
      <c r="AC30" s="146">
        <f t="shared" si="21"/>
        <v>0</v>
      </c>
      <c r="AD30" s="141">
        <v>868</v>
      </c>
      <c r="AE30" s="146">
        <f t="shared" si="21"/>
        <v>0</v>
      </c>
      <c r="AF30" s="141">
        <v>10111</v>
      </c>
      <c r="AG30" s="146">
        <f t="shared" si="21"/>
        <v>5</v>
      </c>
    </row>
    <row r="31" spans="1:33" ht="16.5" thickBot="1" x14ac:dyDescent="0.25">
      <c r="A31" s="9">
        <v>44924</v>
      </c>
      <c r="B31" s="143"/>
      <c r="C31" s="42" t="str">
        <f t="shared" si="22"/>
        <v>0</v>
      </c>
      <c r="D31" s="27">
        <f t="shared" si="23"/>
        <v>0</v>
      </c>
      <c r="E31" s="1"/>
      <c r="F31" s="42" t="str">
        <f t="shared" si="24"/>
        <v>0</v>
      </c>
      <c r="G31" s="27">
        <f t="shared" si="25"/>
        <v>0</v>
      </c>
      <c r="H31" s="1"/>
      <c r="I31" s="42" t="str">
        <f t="shared" si="26"/>
        <v>0</v>
      </c>
      <c r="J31" s="27">
        <f t="shared" si="27"/>
        <v>0</v>
      </c>
      <c r="K31" s="7"/>
      <c r="L31" s="42" t="str">
        <f t="shared" si="28"/>
        <v>0</v>
      </c>
      <c r="M31" s="27">
        <f t="shared" si="29"/>
        <v>0</v>
      </c>
      <c r="N31" s="7"/>
      <c r="O31" s="42" t="str">
        <f t="shared" si="30"/>
        <v>0</v>
      </c>
      <c r="P31" s="27">
        <f t="shared" si="31"/>
        <v>0</v>
      </c>
      <c r="Q31" s="7"/>
      <c r="R31" s="42" t="str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>
        <v>44924</v>
      </c>
      <c r="X31" s="141"/>
      <c r="Y31" s="146" t="str">
        <f t="shared" si="21"/>
        <v>0</v>
      </c>
      <c r="Z31" s="141"/>
      <c r="AA31" s="146" t="str">
        <f t="shared" si="21"/>
        <v>0</v>
      </c>
      <c r="AB31" s="141"/>
      <c r="AC31" s="146" t="str">
        <f t="shared" si="21"/>
        <v>0</v>
      </c>
      <c r="AD31" s="141"/>
      <c r="AE31" s="146" t="str">
        <f t="shared" si="21"/>
        <v>0</v>
      </c>
      <c r="AF31" s="141"/>
      <c r="AG31" s="146" t="str">
        <f t="shared" si="21"/>
        <v>0</v>
      </c>
    </row>
    <row r="32" spans="1:33" ht="16.5" thickBot="1" x14ac:dyDescent="0.25">
      <c r="A32" s="9">
        <v>44925</v>
      </c>
      <c r="B32" s="143"/>
      <c r="C32" s="42">
        <f t="shared" si="22"/>
        <v>0</v>
      </c>
      <c r="D32" s="27">
        <f t="shared" si="23"/>
        <v>0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>
        <v>44925</v>
      </c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>
        <v>44926</v>
      </c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61">
        <v>44926</v>
      </c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106.52899999999863</v>
      </c>
      <c r="D34" s="123">
        <f>SUM(D3:D33)</f>
        <v>202405.09999999742</v>
      </c>
      <c r="E34" s="123"/>
      <c r="F34" s="123">
        <f t="shared" ref="F34:U34" si="73">SUM(F3:F33)</f>
        <v>28.118999999999687</v>
      </c>
      <c r="G34" s="123">
        <f t="shared" si="73"/>
        <v>53426.099999999402</v>
      </c>
      <c r="H34" s="123"/>
      <c r="I34" s="123">
        <f t="shared" si="73"/>
        <v>91</v>
      </c>
      <c r="J34" s="123">
        <f t="shared" si="73"/>
        <v>172900</v>
      </c>
      <c r="K34" s="123"/>
      <c r="L34" s="123">
        <f t="shared" si="73"/>
        <v>29.800000000001091</v>
      </c>
      <c r="M34" s="123">
        <f t="shared" si="73"/>
        <v>56620.000000002074</v>
      </c>
      <c r="N34" s="123"/>
      <c r="O34" s="123">
        <f t="shared" si="73"/>
        <v>65.513999999999669</v>
      </c>
      <c r="P34" s="123">
        <f t="shared" si="73"/>
        <v>124476.59999999938</v>
      </c>
      <c r="Q34" s="123">
        <f t="shared" si="73"/>
        <v>158803.11000000007</v>
      </c>
      <c r="R34" s="123">
        <f t="shared" si="73"/>
        <v>2.0300000000006548</v>
      </c>
      <c r="S34" s="123">
        <f t="shared" si="73"/>
        <v>3857.0000000012442</v>
      </c>
      <c r="T34" s="123">
        <f t="shared" si="73"/>
        <v>322.99199999999973</v>
      </c>
      <c r="U34" s="123">
        <f t="shared" si="73"/>
        <v>613684.79999999935</v>
      </c>
      <c r="V34"/>
      <c r="W34" s="123" t="s">
        <v>139</v>
      </c>
      <c r="X34" s="123"/>
      <c r="Y34" s="123">
        <f>SUM(Y3:Y33)</f>
        <v>1756</v>
      </c>
      <c r="Z34" s="123"/>
      <c r="AA34" s="123">
        <f t="shared" ref="AA34:AG34" si="74">SUM(AA3:AA33)</f>
        <v>104</v>
      </c>
      <c r="AB34" s="123"/>
      <c r="AC34" s="123">
        <f t="shared" si="74"/>
        <v>1</v>
      </c>
      <c r="AD34" s="123"/>
      <c r="AE34" s="123">
        <f t="shared" si="74"/>
        <v>43</v>
      </c>
      <c r="AF34" s="123"/>
      <c r="AG34" s="123">
        <f t="shared" si="74"/>
        <v>229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2:AG34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2" activePane="bottomLeft" state="frozen"/>
      <selection pane="bottomLeft" activeCell="T12" sqref="T1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289776</v>
      </c>
      <c r="E2" s="59">
        <v>290188</v>
      </c>
      <c r="F2" s="60">
        <f t="shared" ref="F2:F43" si="0">IF((E2-D2)&lt;0,"0",(E2-D2))</f>
        <v>412</v>
      </c>
      <c r="G2" s="61"/>
      <c r="I2" s="172">
        <v>6</v>
      </c>
      <c r="J2" s="58" t="s">
        <v>78</v>
      </c>
      <c r="K2" s="59">
        <v>290188</v>
      </c>
      <c r="L2" s="59">
        <v>290920</v>
      </c>
      <c r="M2" s="60">
        <f t="shared" ref="M2:M63" si="1">IF((L2-K2)&lt;0,"0",(L2-K2))</f>
        <v>732</v>
      </c>
      <c r="N2" s="61"/>
      <c r="P2" s="172">
        <v>6</v>
      </c>
      <c r="Q2" s="58" t="s">
        <v>78</v>
      </c>
      <c r="R2" s="59">
        <v>290920</v>
      </c>
      <c r="S2" s="59">
        <v>291777</v>
      </c>
      <c r="T2" s="60">
        <f t="shared" ref="T2:T4" si="2">IF((S2-R2)&lt;0,"0",(S2-R2))</f>
        <v>857</v>
      </c>
      <c r="U2" s="61"/>
    </row>
    <row r="3" spans="1:21" ht="15" x14ac:dyDescent="0.2">
      <c r="A3" s="152"/>
      <c r="B3" s="173"/>
      <c r="C3" s="58" t="s">
        <v>79</v>
      </c>
      <c r="D3" s="59">
        <v>251578</v>
      </c>
      <c r="E3" s="59">
        <v>252038</v>
      </c>
      <c r="F3" s="60">
        <f t="shared" si="0"/>
        <v>460</v>
      </c>
      <c r="G3" s="61"/>
      <c r="I3" s="173"/>
      <c r="J3" s="58" t="s">
        <v>79</v>
      </c>
      <c r="K3" s="59">
        <v>252038</v>
      </c>
      <c r="L3" s="59">
        <v>252743</v>
      </c>
      <c r="M3" s="60">
        <f t="shared" si="1"/>
        <v>705</v>
      </c>
      <c r="N3" s="61"/>
      <c r="P3" s="173"/>
      <c r="Q3" s="58" t="s">
        <v>79</v>
      </c>
      <c r="R3" s="59">
        <v>252743</v>
      </c>
      <c r="S3" s="59">
        <v>253211</v>
      </c>
      <c r="T3" s="60">
        <f t="shared" si="2"/>
        <v>468</v>
      </c>
      <c r="U3" s="61"/>
    </row>
    <row r="4" spans="1:21" ht="15" x14ac:dyDescent="0.2">
      <c r="A4" s="152"/>
      <c r="B4" s="174"/>
      <c r="C4" s="58" t="s">
        <v>80</v>
      </c>
      <c r="D4" s="59">
        <v>197120</v>
      </c>
      <c r="E4" s="59">
        <v>197459</v>
      </c>
      <c r="F4" s="60">
        <f t="shared" si="0"/>
        <v>339</v>
      </c>
      <c r="G4" s="61"/>
      <c r="I4" s="174"/>
      <c r="J4" s="58" t="s">
        <v>80</v>
      </c>
      <c r="K4" s="59">
        <v>197459</v>
      </c>
      <c r="L4" s="59">
        <v>197781</v>
      </c>
      <c r="M4" s="60">
        <f t="shared" si="1"/>
        <v>322</v>
      </c>
      <c r="N4" s="61"/>
      <c r="P4" s="174"/>
      <c r="Q4" s="58" t="s">
        <v>80</v>
      </c>
      <c r="R4" s="59">
        <v>197781</v>
      </c>
      <c r="S4" s="59">
        <v>198029</v>
      </c>
      <c r="T4" s="60">
        <f t="shared" si="2"/>
        <v>248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257058</v>
      </c>
      <c r="E5" s="59">
        <v>258466</v>
      </c>
      <c r="F5" s="60">
        <f t="shared" si="0"/>
        <v>1408</v>
      </c>
      <c r="G5" s="61"/>
      <c r="I5" s="172">
        <v>7</v>
      </c>
      <c r="J5" s="58" t="s">
        <v>78</v>
      </c>
      <c r="K5" s="59">
        <v>258466</v>
      </c>
      <c r="L5" s="59">
        <v>259655</v>
      </c>
      <c r="M5" s="60">
        <f t="shared" si="1"/>
        <v>1189</v>
      </c>
      <c r="N5" s="61"/>
      <c r="P5" s="172">
        <v>7</v>
      </c>
      <c r="Q5" s="58" t="s">
        <v>78</v>
      </c>
      <c r="R5" s="59">
        <v>259655</v>
      </c>
      <c r="S5" s="59">
        <v>260708</v>
      </c>
      <c r="T5" s="60">
        <f>IF((S5-R5)&lt;0,"0",(S5-R5))</f>
        <v>1053</v>
      </c>
      <c r="U5" s="61"/>
    </row>
    <row r="6" spans="1:21" ht="15" x14ac:dyDescent="0.2">
      <c r="A6" s="152"/>
      <c r="B6" s="173"/>
      <c r="C6" s="58" t="s">
        <v>79</v>
      </c>
      <c r="D6" s="59">
        <v>158012</v>
      </c>
      <c r="E6" s="59">
        <v>158264</v>
      </c>
      <c r="F6" s="60">
        <f t="shared" si="0"/>
        <v>252</v>
      </c>
      <c r="G6" s="61"/>
      <c r="I6" s="173"/>
      <c r="J6" s="58" t="s">
        <v>79</v>
      </c>
      <c r="K6" s="59">
        <v>158264</v>
      </c>
      <c r="L6" s="59">
        <v>158493</v>
      </c>
      <c r="M6" s="60">
        <f t="shared" si="1"/>
        <v>229</v>
      </c>
      <c r="N6" s="61"/>
      <c r="P6" s="173"/>
      <c r="Q6" s="58" t="s">
        <v>79</v>
      </c>
      <c r="R6" s="59">
        <v>158493</v>
      </c>
      <c r="S6" s="59">
        <v>158711</v>
      </c>
      <c r="T6" s="60">
        <f t="shared" ref="T6:T63" si="3">IF((S6-R6)&lt;0,"0",(S6-R6))</f>
        <v>218</v>
      </c>
      <c r="U6" s="61"/>
    </row>
    <row r="7" spans="1:21" ht="15" x14ac:dyDescent="0.2">
      <c r="A7" s="152"/>
      <c r="B7" s="174"/>
      <c r="C7" s="58" t="s">
        <v>80</v>
      </c>
      <c r="D7" s="59">
        <v>132401</v>
      </c>
      <c r="E7" s="59">
        <v>132783</v>
      </c>
      <c r="F7" s="60">
        <f t="shared" si="0"/>
        <v>382</v>
      </c>
      <c r="G7" s="61"/>
      <c r="I7" s="174"/>
      <c r="J7" s="58" t="s">
        <v>80</v>
      </c>
      <c r="K7" s="59">
        <v>132783</v>
      </c>
      <c r="L7" s="59">
        <v>132941</v>
      </c>
      <c r="M7" s="60">
        <f t="shared" si="1"/>
        <v>158</v>
      </c>
      <c r="N7" s="61"/>
      <c r="P7" s="174"/>
      <c r="Q7" s="58" t="s">
        <v>80</v>
      </c>
      <c r="R7" s="59">
        <v>132941</v>
      </c>
      <c r="S7" s="59">
        <v>133219</v>
      </c>
      <c r="T7" s="60">
        <f t="shared" si="3"/>
        <v>278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81272</v>
      </c>
      <c r="E8" s="59">
        <v>83064</v>
      </c>
      <c r="F8" s="60">
        <f t="shared" si="0"/>
        <v>1792</v>
      </c>
      <c r="G8" s="61"/>
      <c r="I8" s="172">
        <v>8</v>
      </c>
      <c r="J8" s="58" t="s">
        <v>78</v>
      </c>
      <c r="K8" s="59">
        <v>83064</v>
      </c>
      <c r="L8" s="59">
        <v>84513</v>
      </c>
      <c r="M8" s="60">
        <f t="shared" si="1"/>
        <v>1449</v>
      </c>
      <c r="N8" s="61"/>
      <c r="P8" s="172">
        <v>8</v>
      </c>
      <c r="Q8" s="58" t="s">
        <v>78</v>
      </c>
      <c r="R8" s="59">
        <v>84513</v>
      </c>
      <c r="S8" s="59">
        <v>85731</v>
      </c>
      <c r="T8" s="60">
        <f t="shared" si="3"/>
        <v>1218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1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3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106513</v>
      </c>
      <c r="E10" s="59">
        <v>107268</v>
      </c>
      <c r="F10" s="60">
        <f t="shared" si="0"/>
        <v>755</v>
      </c>
      <c r="G10" s="61"/>
      <c r="I10" s="174"/>
      <c r="J10" s="58" t="s">
        <v>80</v>
      </c>
      <c r="K10" s="59">
        <v>107268</v>
      </c>
      <c r="L10" s="59">
        <v>108266</v>
      </c>
      <c r="M10" s="60">
        <f t="shared" si="1"/>
        <v>998</v>
      </c>
      <c r="N10" s="61"/>
      <c r="P10" s="174"/>
      <c r="Q10" s="58" t="s">
        <v>80</v>
      </c>
      <c r="R10" s="59">
        <v>108266</v>
      </c>
      <c r="S10" s="59">
        <v>108945</v>
      </c>
      <c r="T10" s="60">
        <f t="shared" si="3"/>
        <v>679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35206</v>
      </c>
      <c r="E11" s="59">
        <v>35334</v>
      </c>
      <c r="F11" s="60">
        <f t="shared" si="0"/>
        <v>128</v>
      </c>
      <c r="G11" s="61"/>
      <c r="I11" s="172">
        <v>9</v>
      </c>
      <c r="J11" s="58" t="s">
        <v>78</v>
      </c>
      <c r="K11" s="59">
        <v>35334</v>
      </c>
      <c r="L11" s="59">
        <v>35418</v>
      </c>
      <c r="M11" s="60">
        <f t="shared" si="1"/>
        <v>84</v>
      </c>
      <c r="N11" s="61"/>
      <c r="P11" s="172">
        <v>9</v>
      </c>
      <c r="Q11" s="58" t="s">
        <v>78</v>
      </c>
      <c r="R11" s="59">
        <v>35418</v>
      </c>
      <c r="S11" s="59">
        <v>35452</v>
      </c>
      <c r="T11" s="60">
        <f t="shared" si="3"/>
        <v>34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1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3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29802</v>
      </c>
      <c r="E13" s="59">
        <v>29930</v>
      </c>
      <c r="F13" s="60">
        <f t="shared" si="0"/>
        <v>128</v>
      </c>
      <c r="G13" s="61"/>
      <c r="H13" s="153"/>
      <c r="I13" s="174"/>
      <c r="J13" s="58" t="s">
        <v>80</v>
      </c>
      <c r="K13" s="59">
        <v>29930</v>
      </c>
      <c r="L13" s="59">
        <v>30046</v>
      </c>
      <c r="M13" s="60">
        <f t="shared" si="1"/>
        <v>116</v>
      </c>
      <c r="N13" s="61"/>
      <c r="P13" s="174"/>
      <c r="Q13" s="58" t="s">
        <v>80</v>
      </c>
      <c r="R13" s="59">
        <v>30046</v>
      </c>
      <c r="S13" s="59">
        <v>30120</v>
      </c>
      <c r="T13" s="60">
        <f t="shared" si="3"/>
        <v>74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223186</v>
      </c>
      <c r="E14" s="59">
        <v>225406</v>
      </c>
      <c r="F14" s="60">
        <f t="shared" si="0"/>
        <v>2220</v>
      </c>
      <c r="G14" s="61"/>
      <c r="H14" s="154"/>
      <c r="I14" s="172">
        <v>10</v>
      </c>
      <c r="J14" s="58" t="s">
        <v>78</v>
      </c>
      <c r="K14" s="59">
        <v>225406</v>
      </c>
      <c r="L14" s="59">
        <v>227182</v>
      </c>
      <c r="M14" s="60">
        <f t="shared" si="1"/>
        <v>1776</v>
      </c>
      <c r="N14" s="61"/>
      <c r="P14" s="172">
        <v>10</v>
      </c>
      <c r="Q14" s="58" t="s">
        <v>78</v>
      </c>
      <c r="R14" s="59">
        <v>227182</v>
      </c>
      <c r="S14" s="59">
        <v>228837</v>
      </c>
      <c r="T14" s="60">
        <f t="shared" si="3"/>
        <v>1655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1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3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201131</v>
      </c>
      <c r="E16" s="59">
        <v>202582</v>
      </c>
      <c r="F16" s="60">
        <f t="shared" si="0"/>
        <v>1451</v>
      </c>
      <c r="G16" s="61"/>
      <c r="H16" s="154"/>
      <c r="I16" s="174"/>
      <c r="J16" s="58" t="s">
        <v>80</v>
      </c>
      <c r="K16" s="59">
        <v>202582</v>
      </c>
      <c r="L16" s="59">
        <v>203674</v>
      </c>
      <c r="M16" s="60">
        <f t="shared" si="1"/>
        <v>1092</v>
      </c>
      <c r="N16" s="61"/>
      <c r="P16" s="174"/>
      <c r="Q16" s="58" t="s">
        <v>80</v>
      </c>
      <c r="R16" s="59">
        <v>203674</v>
      </c>
      <c r="S16" s="59">
        <v>204856</v>
      </c>
      <c r="T16" s="60">
        <f t="shared" si="3"/>
        <v>1182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68732</v>
      </c>
      <c r="E17" s="59">
        <v>69016</v>
      </c>
      <c r="F17" s="60">
        <f t="shared" si="0"/>
        <v>284</v>
      </c>
      <c r="G17" s="61"/>
      <c r="H17" s="154"/>
      <c r="I17" s="172">
        <v>11</v>
      </c>
      <c r="J17" s="58" t="s">
        <v>78</v>
      </c>
      <c r="K17" s="59">
        <v>69016</v>
      </c>
      <c r="L17" s="59">
        <v>69168</v>
      </c>
      <c r="M17" s="60">
        <f t="shared" si="1"/>
        <v>152</v>
      </c>
      <c r="N17" s="61"/>
      <c r="P17" s="172">
        <v>11</v>
      </c>
      <c r="Q17" s="58" t="s">
        <v>78</v>
      </c>
      <c r="R17" s="59">
        <v>69168</v>
      </c>
      <c r="S17" s="59">
        <v>69227</v>
      </c>
      <c r="T17" s="60">
        <f t="shared" si="3"/>
        <v>59</v>
      </c>
      <c r="U17" s="61"/>
    </row>
    <row r="18" spans="1:21" ht="15" x14ac:dyDescent="0.2">
      <c r="A18" s="152"/>
      <c r="B18" s="173"/>
      <c r="C18" s="58" t="s">
        <v>79</v>
      </c>
      <c r="D18" s="59">
        <v>228067</v>
      </c>
      <c r="E18" s="59">
        <v>229111</v>
      </c>
      <c r="F18" s="60">
        <f t="shared" si="0"/>
        <v>1044</v>
      </c>
      <c r="G18" s="61"/>
      <c r="H18" s="154"/>
      <c r="I18" s="173"/>
      <c r="J18" s="58" t="s">
        <v>79</v>
      </c>
      <c r="K18" s="59">
        <v>229111</v>
      </c>
      <c r="L18" s="59">
        <v>230190</v>
      </c>
      <c r="M18" s="60">
        <f t="shared" si="1"/>
        <v>1079</v>
      </c>
      <c r="N18" s="61"/>
      <c r="P18" s="173"/>
      <c r="Q18" s="58" t="s">
        <v>79</v>
      </c>
      <c r="R18" s="59">
        <v>230190</v>
      </c>
      <c r="S18" s="59">
        <v>231045</v>
      </c>
      <c r="T18" s="60">
        <f t="shared" si="3"/>
        <v>855</v>
      </c>
      <c r="U18" s="61"/>
    </row>
    <row r="19" spans="1:21" ht="15" x14ac:dyDescent="0.2">
      <c r="A19" s="152"/>
      <c r="B19" s="174"/>
      <c r="C19" s="58" t="s">
        <v>80</v>
      </c>
      <c r="D19" s="59">
        <v>31466</v>
      </c>
      <c r="E19" s="59">
        <v>31528</v>
      </c>
      <c r="F19" s="60">
        <f t="shared" si="0"/>
        <v>62</v>
      </c>
      <c r="G19" s="61"/>
      <c r="H19" s="154"/>
      <c r="I19" s="174"/>
      <c r="J19" s="58" t="s">
        <v>80</v>
      </c>
      <c r="K19" s="59">
        <v>31528</v>
      </c>
      <c r="L19" s="59">
        <v>31582</v>
      </c>
      <c r="M19" s="60">
        <f t="shared" si="1"/>
        <v>54</v>
      </c>
      <c r="N19" s="61"/>
      <c r="P19" s="174"/>
      <c r="Q19" s="58" t="s">
        <v>80</v>
      </c>
      <c r="R19" s="59">
        <v>31582</v>
      </c>
      <c r="S19" s="59">
        <v>31628</v>
      </c>
      <c r="T19" s="60">
        <f t="shared" si="3"/>
        <v>46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147570</v>
      </c>
      <c r="E20" s="59">
        <v>147722</v>
      </c>
      <c r="F20" s="60">
        <f t="shared" si="0"/>
        <v>152</v>
      </c>
      <c r="G20" s="61"/>
      <c r="H20" s="154"/>
      <c r="I20" s="172">
        <v>12</v>
      </c>
      <c r="J20" s="58" t="s">
        <v>78</v>
      </c>
      <c r="K20" s="59">
        <v>147722</v>
      </c>
      <c r="L20" s="59">
        <v>147853</v>
      </c>
      <c r="M20" s="60">
        <f t="shared" si="1"/>
        <v>131</v>
      </c>
      <c r="N20" s="61"/>
      <c r="P20" s="172">
        <v>12</v>
      </c>
      <c r="Q20" s="58" t="s">
        <v>78</v>
      </c>
      <c r="R20" s="59">
        <v>147853</v>
      </c>
      <c r="S20" s="59">
        <v>148182</v>
      </c>
      <c r="T20" s="60">
        <f t="shared" si="3"/>
        <v>329</v>
      </c>
      <c r="U20" s="61"/>
    </row>
    <row r="21" spans="1:21" ht="15" x14ac:dyDescent="0.2">
      <c r="A21" s="152"/>
      <c r="B21" s="173"/>
      <c r="C21" s="58" t="s">
        <v>79</v>
      </c>
      <c r="D21" s="59">
        <v>23440</v>
      </c>
      <c r="E21" s="59">
        <v>23487</v>
      </c>
      <c r="F21" s="60">
        <f t="shared" si="0"/>
        <v>47</v>
      </c>
      <c r="G21" s="61"/>
      <c r="H21" s="155" t="s">
        <v>12</v>
      </c>
      <c r="I21" s="173"/>
      <c r="J21" s="58" t="s">
        <v>79</v>
      </c>
      <c r="K21" s="59">
        <v>23487</v>
      </c>
      <c r="L21" s="59">
        <v>23534</v>
      </c>
      <c r="M21" s="60">
        <f t="shared" si="1"/>
        <v>47</v>
      </c>
      <c r="N21" s="61"/>
      <c r="P21" s="173"/>
      <c r="Q21" s="58" t="s">
        <v>79</v>
      </c>
      <c r="R21" s="59">
        <v>23534</v>
      </c>
      <c r="S21" s="59">
        <v>23571</v>
      </c>
      <c r="T21" s="60">
        <f t="shared" si="3"/>
        <v>37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258660</v>
      </c>
      <c r="M22" s="60">
        <f t="shared" si="1"/>
        <v>0</v>
      </c>
      <c r="N22" s="61"/>
      <c r="P22" s="174"/>
      <c r="Q22" s="58" t="s">
        <v>80</v>
      </c>
      <c r="R22" s="59">
        <v>258660</v>
      </c>
      <c r="S22" s="59">
        <v>258661</v>
      </c>
      <c r="T22" s="60">
        <f t="shared" si="3"/>
        <v>1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120021</v>
      </c>
      <c r="E23" s="59">
        <v>120500</v>
      </c>
      <c r="F23" s="60">
        <f t="shared" si="0"/>
        <v>479</v>
      </c>
      <c r="G23" s="61"/>
      <c r="H23" s="154"/>
      <c r="I23" s="172">
        <v>14</v>
      </c>
      <c r="J23" s="58" t="s">
        <v>78</v>
      </c>
      <c r="K23" s="59">
        <v>120500</v>
      </c>
      <c r="L23" s="59">
        <v>120924</v>
      </c>
      <c r="M23" s="60">
        <f t="shared" si="1"/>
        <v>424</v>
      </c>
      <c r="N23" s="61"/>
      <c r="P23" s="172">
        <v>14</v>
      </c>
      <c r="Q23" s="58" t="s">
        <v>78</v>
      </c>
      <c r="R23" s="59">
        <v>120924</v>
      </c>
      <c r="S23" s="59">
        <v>121254</v>
      </c>
      <c r="T23" s="60">
        <f t="shared" si="3"/>
        <v>330</v>
      </c>
      <c r="U23" s="61"/>
    </row>
    <row r="24" spans="1:21" ht="15" x14ac:dyDescent="0.2">
      <c r="A24" s="152"/>
      <c r="B24" s="173"/>
      <c r="C24" s="58" t="s">
        <v>79</v>
      </c>
      <c r="D24" s="59">
        <v>37881</v>
      </c>
      <c r="E24" s="59">
        <v>39078</v>
      </c>
      <c r="F24" s="60">
        <f t="shared" si="0"/>
        <v>1197</v>
      </c>
      <c r="G24" s="61"/>
      <c r="H24" s="154"/>
      <c r="I24" s="173"/>
      <c r="J24" s="58" t="s">
        <v>79</v>
      </c>
      <c r="K24" s="59">
        <v>39078</v>
      </c>
      <c r="L24" s="59">
        <v>40188</v>
      </c>
      <c r="M24" s="60">
        <f t="shared" si="1"/>
        <v>1110</v>
      </c>
      <c r="N24" s="61"/>
      <c r="P24" s="173"/>
      <c r="Q24" s="58" t="s">
        <v>79</v>
      </c>
      <c r="R24" s="59">
        <v>40188</v>
      </c>
      <c r="S24" s="59">
        <v>41359</v>
      </c>
      <c r="T24" s="60">
        <f t="shared" si="3"/>
        <v>1171</v>
      </c>
      <c r="U24" s="61"/>
    </row>
    <row r="25" spans="1:21" ht="15" x14ac:dyDescent="0.2">
      <c r="A25" s="152"/>
      <c r="B25" s="174"/>
      <c r="C25" s="58" t="s">
        <v>80</v>
      </c>
      <c r="D25" s="59">
        <v>2001</v>
      </c>
      <c r="E25" s="59">
        <v>2025</v>
      </c>
      <c r="F25" s="60">
        <f t="shared" si="0"/>
        <v>24</v>
      </c>
      <c r="G25" s="61"/>
      <c r="H25" s="154"/>
      <c r="I25" s="174"/>
      <c r="J25" s="58" t="s">
        <v>80</v>
      </c>
      <c r="K25" s="59">
        <v>2025</v>
      </c>
      <c r="L25" s="59">
        <v>2045</v>
      </c>
      <c r="M25" s="60">
        <f t="shared" si="1"/>
        <v>20</v>
      </c>
      <c r="N25" s="61"/>
      <c r="P25" s="174"/>
      <c r="Q25" s="58" t="s">
        <v>80</v>
      </c>
      <c r="R25" s="59">
        <v>2045</v>
      </c>
      <c r="S25" s="59">
        <v>2047</v>
      </c>
      <c r="T25" s="60">
        <f t="shared" si="3"/>
        <v>2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39357</v>
      </c>
      <c r="M26" s="60">
        <f t="shared" si="1"/>
        <v>0</v>
      </c>
      <c r="N26" s="61"/>
      <c r="P26" s="172">
        <v>15</v>
      </c>
      <c r="Q26" s="58" t="s">
        <v>78</v>
      </c>
      <c r="R26" s="59">
        <v>39357</v>
      </c>
      <c r="S26" s="59">
        <v>39547</v>
      </c>
      <c r="T26" s="60">
        <f t="shared" si="3"/>
        <v>190</v>
      </c>
      <c r="U26" s="61"/>
    </row>
    <row r="27" spans="1:21" ht="15" x14ac:dyDescent="0.2">
      <c r="A27" s="152"/>
      <c r="B27" s="173"/>
      <c r="C27" s="58" t="s">
        <v>79</v>
      </c>
      <c r="D27" s="59">
        <v>86104</v>
      </c>
      <c r="E27" s="59">
        <v>86556</v>
      </c>
      <c r="F27" s="60">
        <f t="shared" si="0"/>
        <v>452</v>
      </c>
      <c r="G27" s="61"/>
      <c r="H27" s="155" t="s">
        <v>12</v>
      </c>
      <c r="I27" s="173"/>
      <c r="J27" s="58" t="s">
        <v>79</v>
      </c>
      <c r="K27" s="59">
        <v>86556</v>
      </c>
      <c r="L27" s="59">
        <v>86868</v>
      </c>
      <c r="M27" s="60">
        <f t="shared" si="1"/>
        <v>312</v>
      </c>
      <c r="N27" s="61"/>
      <c r="P27" s="173"/>
      <c r="Q27" s="58" t="s">
        <v>79</v>
      </c>
      <c r="R27" s="59">
        <v>86868</v>
      </c>
      <c r="S27" s="59">
        <v>87398</v>
      </c>
      <c r="T27" s="60">
        <f t="shared" si="3"/>
        <v>530</v>
      </c>
      <c r="U27" s="61"/>
    </row>
    <row r="28" spans="1:21" ht="15" x14ac:dyDescent="0.2">
      <c r="A28" s="152"/>
      <c r="B28" s="174"/>
      <c r="C28" s="58" t="s">
        <v>80</v>
      </c>
      <c r="D28" s="59">
        <v>166733</v>
      </c>
      <c r="E28" s="59">
        <v>167865</v>
      </c>
      <c r="F28" s="60">
        <f t="shared" si="0"/>
        <v>1132</v>
      </c>
      <c r="G28" s="61"/>
      <c r="H28" s="154"/>
      <c r="I28" s="174"/>
      <c r="J28" s="58" t="s">
        <v>80</v>
      </c>
      <c r="K28" s="59">
        <v>167865</v>
      </c>
      <c r="L28" s="59">
        <v>168708</v>
      </c>
      <c r="M28" s="60">
        <f t="shared" si="1"/>
        <v>843</v>
      </c>
      <c r="N28" s="61"/>
      <c r="P28" s="174"/>
      <c r="Q28" s="58" t="s">
        <v>80</v>
      </c>
      <c r="R28" s="59">
        <v>168708</v>
      </c>
      <c r="S28" s="59">
        <v>169585</v>
      </c>
      <c r="T28" s="60">
        <f t="shared" si="3"/>
        <v>877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1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97792</v>
      </c>
      <c r="T29" s="60">
        <f t="shared" si="3"/>
        <v>0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65075</v>
      </c>
      <c r="E30" s="59">
        <v>66159</v>
      </c>
      <c r="F30" s="60">
        <f t="shared" si="0"/>
        <v>1084</v>
      </c>
      <c r="G30" s="61"/>
      <c r="H30" s="154"/>
      <c r="I30" s="173"/>
      <c r="J30" s="58" t="s">
        <v>79</v>
      </c>
      <c r="K30" s="59">
        <v>66159</v>
      </c>
      <c r="L30" s="59">
        <v>66868</v>
      </c>
      <c r="M30" s="60">
        <f t="shared" si="1"/>
        <v>709</v>
      </c>
      <c r="N30" s="61"/>
      <c r="P30" s="173"/>
      <c r="Q30" s="58" t="s">
        <v>79</v>
      </c>
      <c r="R30" s="59">
        <v>66868</v>
      </c>
      <c r="S30" s="59">
        <v>67032</v>
      </c>
      <c r="T30" s="60">
        <f t="shared" si="3"/>
        <v>164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69432</v>
      </c>
      <c r="M31" s="60">
        <f t="shared" si="1"/>
        <v>0</v>
      </c>
      <c r="N31" s="63"/>
      <c r="P31" s="174"/>
      <c r="Q31" s="58" t="s">
        <v>80</v>
      </c>
      <c r="R31" s="59">
        <v>69432</v>
      </c>
      <c r="S31" s="59">
        <v>69444</v>
      </c>
      <c r="T31" s="60">
        <f t="shared" si="3"/>
        <v>12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37164</v>
      </c>
      <c r="E32" s="59">
        <v>37348</v>
      </c>
      <c r="F32" s="60">
        <f t="shared" si="0"/>
        <v>184</v>
      </c>
      <c r="G32" s="61"/>
      <c r="H32" s="154"/>
      <c r="I32" s="172">
        <v>17</v>
      </c>
      <c r="J32" s="58" t="s">
        <v>78</v>
      </c>
      <c r="K32" s="59">
        <v>37348</v>
      </c>
      <c r="L32" s="59">
        <v>37526</v>
      </c>
      <c r="M32" s="60">
        <f t="shared" si="1"/>
        <v>178</v>
      </c>
      <c r="N32" s="61"/>
      <c r="P32" s="172">
        <v>17</v>
      </c>
      <c r="Q32" s="58" t="s">
        <v>78</v>
      </c>
      <c r="R32" s="59">
        <v>37526</v>
      </c>
      <c r="S32" s="59">
        <v>37610</v>
      </c>
      <c r="T32" s="60">
        <f t="shared" si="3"/>
        <v>84</v>
      </c>
      <c r="U32" s="61"/>
    </row>
    <row r="33" spans="1:21" ht="15" x14ac:dyDescent="0.2">
      <c r="A33" s="152"/>
      <c r="B33" s="173"/>
      <c r="C33" s="58" t="s">
        <v>79</v>
      </c>
      <c r="D33" s="59">
        <v>64125</v>
      </c>
      <c r="E33" s="59">
        <v>64130</v>
      </c>
      <c r="F33" s="60">
        <f t="shared" si="0"/>
        <v>5</v>
      </c>
      <c r="G33" s="61"/>
      <c r="H33" s="154"/>
      <c r="I33" s="173"/>
      <c r="J33" s="58" t="s">
        <v>79</v>
      </c>
      <c r="K33" s="59">
        <v>64130</v>
      </c>
      <c r="L33" s="59">
        <v>64137</v>
      </c>
      <c r="M33" s="60">
        <f t="shared" si="1"/>
        <v>7</v>
      </c>
      <c r="N33" s="61"/>
      <c r="P33" s="173"/>
      <c r="Q33" s="58" t="s">
        <v>79</v>
      </c>
      <c r="R33" s="59">
        <v>64137</v>
      </c>
      <c r="S33" s="59">
        <v>64143</v>
      </c>
      <c r="T33" s="60">
        <f t="shared" si="3"/>
        <v>6</v>
      </c>
      <c r="U33" s="61"/>
    </row>
    <row r="34" spans="1:21" ht="15" x14ac:dyDescent="0.2">
      <c r="A34" s="152"/>
      <c r="B34" s="174"/>
      <c r="C34" s="58" t="s">
        <v>80</v>
      </c>
      <c r="D34" s="59">
        <v>12449</v>
      </c>
      <c r="E34" s="59">
        <v>12593</v>
      </c>
      <c r="F34" s="60">
        <f t="shared" si="0"/>
        <v>144</v>
      </c>
      <c r="G34" s="63"/>
      <c r="H34" s="154"/>
      <c r="I34" s="174"/>
      <c r="J34" s="58" t="s">
        <v>80</v>
      </c>
      <c r="K34" s="59">
        <v>12593</v>
      </c>
      <c r="L34" s="59">
        <v>12707</v>
      </c>
      <c r="M34" s="60">
        <f t="shared" si="1"/>
        <v>114</v>
      </c>
      <c r="N34" s="63"/>
      <c r="P34" s="174"/>
      <c r="Q34" s="58" t="s">
        <v>80</v>
      </c>
      <c r="R34" s="59">
        <v>12707</v>
      </c>
      <c r="S34" s="59">
        <v>12904</v>
      </c>
      <c r="T34" s="60">
        <f t="shared" si="3"/>
        <v>197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258487</v>
      </c>
      <c r="E35" s="59">
        <v>260358</v>
      </c>
      <c r="F35" s="60">
        <f t="shared" si="0"/>
        <v>1871</v>
      </c>
      <c r="G35" s="63"/>
      <c r="H35" s="154"/>
      <c r="I35" s="172">
        <v>18</v>
      </c>
      <c r="J35" s="58" t="s">
        <v>78</v>
      </c>
      <c r="K35" s="59">
        <v>260358</v>
      </c>
      <c r="L35" s="59">
        <v>262000</v>
      </c>
      <c r="M35" s="60">
        <f t="shared" si="1"/>
        <v>1642</v>
      </c>
      <c r="N35" s="63"/>
      <c r="O35" s="139"/>
      <c r="P35" s="172">
        <v>18</v>
      </c>
      <c r="Q35" s="58" t="s">
        <v>78</v>
      </c>
      <c r="R35" s="59">
        <v>262000</v>
      </c>
      <c r="S35" s="59">
        <v>263440</v>
      </c>
      <c r="T35" s="60">
        <f t="shared" si="3"/>
        <v>1440</v>
      </c>
      <c r="U35" s="63"/>
    </row>
    <row r="36" spans="1:21" ht="15" x14ac:dyDescent="0.2">
      <c r="A36" s="152"/>
      <c r="B36" s="173"/>
      <c r="C36" s="58" t="s">
        <v>79</v>
      </c>
      <c r="D36" s="59">
        <v>20089</v>
      </c>
      <c r="E36" s="59">
        <v>20279</v>
      </c>
      <c r="F36" s="60">
        <f t="shared" si="0"/>
        <v>190</v>
      </c>
      <c r="G36" s="61"/>
      <c r="H36" s="154"/>
      <c r="I36" s="173"/>
      <c r="J36" s="58" t="s">
        <v>79</v>
      </c>
      <c r="K36" s="59">
        <v>20279</v>
      </c>
      <c r="L36" s="59">
        <v>20932</v>
      </c>
      <c r="M36" s="60">
        <f t="shared" si="1"/>
        <v>653</v>
      </c>
      <c r="N36" s="61"/>
      <c r="O36" s="147"/>
      <c r="P36" s="173"/>
      <c r="Q36" s="58" t="s">
        <v>79</v>
      </c>
      <c r="R36" s="59">
        <v>20932</v>
      </c>
      <c r="S36" s="59">
        <v>21127</v>
      </c>
      <c r="T36" s="60">
        <f t="shared" si="3"/>
        <v>195</v>
      </c>
      <c r="U36" s="61"/>
    </row>
    <row r="37" spans="1:21" ht="15" x14ac:dyDescent="0.2">
      <c r="A37" s="152"/>
      <c r="B37" s="174"/>
      <c r="C37" s="58" t="s">
        <v>80</v>
      </c>
      <c r="D37" s="59">
        <v>97626</v>
      </c>
      <c r="E37" s="59">
        <v>99805</v>
      </c>
      <c r="F37" s="60">
        <f t="shared" si="0"/>
        <v>2179</v>
      </c>
      <c r="G37" s="61"/>
      <c r="H37" s="154"/>
      <c r="I37" s="174"/>
      <c r="J37" s="58" t="s">
        <v>80</v>
      </c>
      <c r="K37" s="59">
        <v>99805</v>
      </c>
      <c r="L37" s="59">
        <v>101181</v>
      </c>
      <c r="M37" s="60">
        <f t="shared" si="1"/>
        <v>1376</v>
      </c>
      <c r="N37" s="61"/>
      <c r="P37" s="174"/>
      <c r="Q37" s="58" t="s">
        <v>80</v>
      </c>
      <c r="R37" s="59">
        <v>101181</v>
      </c>
      <c r="S37" s="59">
        <v>102798</v>
      </c>
      <c r="T37" s="60">
        <f t="shared" si="3"/>
        <v>1617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25260</v>
      </c>
      <c r="E38" s="59">
        <v>25921</v>
      </c>
      <c r="F38" s="60">
        <f t="shared" si="0"/>
        <v>661</v>
      </c>
      <c r="G38" s="61"/>
      <c r="H38" s="154"/>
      <c r="I38" s="172">
        <v>19</v>
      </c>
      <c r="J38" s="58" t="s">
        <v>78</v>
      </c>
      <c r="K38" s="59">
        <v>25921</v>
      </c>
      <c r="L38" s="59">
        <v>26334</v>
      </c>
      <c r="M38" s="60">
        <f t="shared" si="1"/>
        <v>413</v>
      </c>
      <c r="N38" s="61"/>
      <c r="P38" s="172">
        <v>19</v>
      </c>
      <c r="Q38" s="58" t="s">
        <v>78</v>
      </c>
      <c r="R38" s="59">
        <v>26334</v>
      </c>
      <c r="S38" s="59">
        <v>26533</v>
      </c>
      <c r="T38" s="60">
        <f t="shared" si="3"/>
        <v>199</v>
      </c>
      <c r="U38" s="61"/>
    </row>
    <row r="39" spans="1:21" ht="15" x14ac:dyDescent="0.2">
      <c r="A39" s="152"/>
      <c r="B39" s="173"/>
      <c r="C39" s="58" t="s">
        <v>79</v>
      </c>
      <c r="D39" s="59">
        <v>85529</v>
      </c>
      <c r="E39" s="59">
        <v>85823</v>
      </c>
      <c r="F39" s="60">
        <f t="shared" si="0"/>
        <v>294</v>
      </c>
      <c r="G39" s="63"/>
      <c r="H39" s="154"/>
      <c r="I39" s="173"/>
      <c r="J39" s="58" t="s">
        <v>79</v>
      </c>
      <c r="K39" s="59">
        <v>85823</v>
      </c>
      <c r="L39" s="59">
        <v>86010</v>
      </c>
      <c r="M39" s="60">
        <f t="shared" si="1"/>
        <v>187</v>
      </c>
      <c r="N39" s="63"/>
      <c r="P39" s="173"/>
      <c r="Q39" s="58" t="s">
        <v>79</v>
      </c>
      <c r="R39" s="59">
        <v>86010</v>
      </c>
      <c r="S39" s="59">
        <v>86152</v>
      </c>
      <c r="T39" s="60">
        <f t="shared" si="3"/>
        <v>142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1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3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122525</v>
      </c>
      <c r="E41" s="59">
        <v>122828</v>
      </c>
      <c r="F41" s="60">
        <f t="shared" si="0"/>
        <v>303</v>
      </c>
      <c r="G41" s="61"/>
      <c r="H41" s="154"/>
      <c r="I41" s="172">
        <v>20</v>
      </c>
      <c r="J41" s="58" t="s">
        <v>78</v>
      </c>
      <c r="K41" s="59">
        <v>122828</v>
      </c>
      <c r="L41" s="59">
        <v>122102</v>
      </c>
      <c r="M41" s="60" t="str">
        <f t="shared" si="1"/>
        <v>0</v>
      </c>
      <c r="N41" s="61"/>
      <c r="P41" s="172">
        <v>20</v>
      </c>
      <c r="Q41" s="58" t="s">
        <v>78</v>
      </c>
      <c r="R41" s="59">
        <v>122102</v>
      </c>
      <c r="S41" s="59">
        <v>123343</v>
      </c>
      <c r="T41" s="60">
        <f t="shared" si="3"/>
        <v>1241</v>
      </c>
      <c r="U41" s="61"/>
    </row>
    <row r="42" spans="1:21" ht="15" x14ac:dyDescent="0.2">
      <c r="A42" s="152"/>
      <c r="B42" s="173"/>
      <c r="C42" s="58" t="s">
        <v>79</v>
      </c>
      <c r="D42" s="59">
        <v>75660</v>
      </c>
      <c r="E42" s="59">
        <v>76972</v>
      </c>
      <c r="F42" s="60">
        <f t="shared" si="0"/>
        <v>1312</v>
      </c>
      <c r="G42" s="61"/>
      <c r="I42" s="173"/>
      <c r="J42" s="58" t="s">
        <v>79</v>
      </c>
      <c r="K42" s="59">
        <v>76972</v>
      </c>
      <c r="L42" s="59">
        <v>78304</v>
      </c>
      <c r="M42" s="60">
        <f t="shared" si="1"/>
        <v>1332</v>
      </c>
      <c r="N42" s="61"/>
      <c r="P42" s="173"/>
      <c r="Q42" s="58" t="s">
        <v>79</v>
      </c>
      <c r="R42" s="59">
        <v>78304</v>
      </c>
      <c r="S42" s="59">
        <v>79464</v>
      </c>
      <c r="T42" s="60">
        <f t="shared" si="3"/>
        <v>1160</v>
      </c>
      <c r="U42" s="61"/>
    </row>
    <row r="43" spans="1:21" ht="15" x14ac:dyDescent="0.2">
      <c r="A43" s="152"/>
      <c r="B43" s="174"/>
      <c r="C43" s="58" t="s">
        <v>80</v>
      </c>
      <c r="D43" s="59">
        <v>3523</v>
      </c>
      <c r="E43" s="59">
        <v>3712</v>
      </c>
      <c r="F43" s="60">
        <f t="shared" si="0"/>
        <v>189</v>
      </c>
      <c r="G43" s="61"/>
      <c r="I43" s="174"/>
      <c r="J43" s="58" t="s">
        <v>80</v>
      </c>
      <c r="K43" s="59">
        <v>3712</v>
      </c>
      <c r="L43" s="59">
        <v>3728</v>
      </c>
      <c r="M43" s="60">
        <f t="shared" si="1"/>
        <v>16</v>
      </c>
      <c r="N43" s="61"/>
      <c r="P43" s="174"/>
      <c r="Q43" s="58" t="s">
        <v>80</v>
      </c>
      <c r="R43" s="59">
        <v>3728</v>
      </c>
      <c r="S43" s="59">
        <v>3934</v>
      </c>
      <c r="T43" s="60">
        <f t="shared" si="3"/>
        <v>206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3911</v>
      </c>
      <c r="E45" s="59">
        <v>4016</v>
      </c>
      <c r="F45" s="60">
        <f t="shared" ref="F45:F63" si="4">IF((E45-D45)&lt;0,"0",(E45-D45))</f>
        <v>105</v>
      </c>
      <c r="G45" s="62" t="s">
        <v>12</v>
      </c>
      <c r="I45" s="172">
        <v>21</v>
      </c>
      <c r="J45" s="68" t="s">
        <v>81</v>
      </c>
      <c r="K45" s="59">
        <v>4016</v>
      </c>
      <c r="L45" s="59">
        <v>4050</v>
      </c>
      <c r="M45" s="60">
        <f t="shared" si="1"/>
        <v>34</v>
      </c>
      <c r="N45" s="62" t="s">
        <v>12</v>
      </c>
      <c r="P45" s="172">
        <v>21</v>
      </c>
      <c r="Q45" s="68" t="s">
        <v>81</v>
      </c>
      <c r="R45" s="59">
        <v>4050</v>
      </c>
      <c r="S45" s="59">
        <v>4548</v>
      </c>
      <c r="T45" s="60">
        <f t="shared" si="3"/>
        <v>498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45863</v>
      </c>
      <c r="E46" s="59">
        <v>45864</v>
      </c>
      <c r="F46" s="60">
        <f t="shared" si="4"/>
        <v>1</v>
      </c>
      <c r="G46" s="61"/>
      <c r="I46" s="173"/>
      <c r="J46" s="68" t="s">
        <v>80</v>
      </c>
      <c r="K46" s="59">
        <v>45864</v>
      </c>
      <c r="L46" s="59">
        <v>45960</v>
      </c>
      <c r="M46" s="60">
        <f t="shared" si="1"/>
        <v>96</v>
      </c>
      <c r="N46" s="61"/>
      <c r="P46" s="173"/>
      <c r="Q46" s="68" t="s">
        <v>80</v>
      </c>
      <c r="R46" s="59">
        <v>45960</v>
      </c>
      <c r="S46" s="59">
        <v>46299</v>
      </c>
      <c r="T46" s="60">
        <f t="shared" si="3"/>
        <v>339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13771</v>
      </c>
      <c r="F47" s="60">
        <f t="shared" si="4"/>
        <v>0</v>
      </c>
      <c r="G47" s="61"/>
      <c r="H47" t="s">
        <v>12</v>
      </c>
      <c r="I47" s="172">
        <v>22</v>
      </c>
      <c r="J47" s="68" t="s">
        <v>81</v>
      </c>
      <c r="K47" s="59">
        <v>13771</v>
      </c>
      <c r="L47" s="59">
        <v>13770</v>
      </c>
      <c r="M47" s="60" t="str">
        <f t="shared" si="1"/>
        <v>0</v>
      </c>
      <c r="N47" s="61"/>
      <c r="P47" s="172">
        <v>22</v>
      </c>
      <c r="Q47" s="68" t="s">
        <v>81</v>
      </c>
      <c r="R47" s="59">
        <v>13770</v>
      </c>
      <c r="S47" s="59">
        <v>13781</v>
      </c>
      <c r="T47" s="60">
        <f t="shared" si="3"/>
        <v>11</v>
      </c>
      <c r="U47" s="61"/>
    </row>
    <row r="48" spans="1:21" ht="15" x14ac:dyDescent="0.2">
      <c r="A48" s="152"/>
      <c r="B48" s="173"/>
      <c r="C48" s="68" t="s">
        <v>80</v>
      </c>
      <c r="D48" s="59">
        <v>21596</v>
      </c>
      <c r="E48" s="59">
        <v>21750</v>
      </c>
      <c r="F48" s="60">
        <f t="shared" si="4"/>
        <v>154</v>
      </c>
      <c r="G48" s="61"/>
      <c r="I48" s="173"/>
      <c r="J48" s="68" t="s">
        <v>80</v>
      </c>
      <c r="K48" s="59">
        <v>21750</v>
      </c>
      <c r="L48" s="59">
        <v>21863</v>
      </c>
      <c r="M48" s="60">
        <f t="shared" si="1"/>
        <v>113</v>
      </c>
      <c r="N48" s="61"/>
      <c r="P48" s="173"/>
      <c r="Q48" s="68" t="s">
        <v>80</v>
      </c>
      <c r="R48" s="59">
        <v>21863</v>
      </c>
      <c r="S48" s="59">
        <v>22001</v>
      </c>
      <c r="T48" s="60">
        <f t="shared" si="3"/>
        <v>138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4"/>
        <v>0</v>
      </c>
      <c r="G49" s="61"/>
      <c r="I49" s="172">
        <v>23</v>
      </c>
      <c r="J49" s="58" t="s">
        <v>81</v>
      </c>
      <c r="K49" s="59"/>
      <c r="L49" s="59"/>
      <c r="M49" s="60">
        <f t="shared" si="1"/>
        <v>0</v>
      </c>
      <c r="N49" s="61"/>
      <c r="P49" s="172">
        <v>23</v>
      </c>
      <c r="Q49" s="58" t="s">
        <v>81</v>
      </c>
      <c r="R49" s="59"/>
      <c r="S49" s="59"/>
      <c r="T49" s="60">
        <f t="shared" si="3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4"/>
        <v>0</v>
      </c>
      <c r="G50" s="61"/>
      <c r="I50" s="173"/>
      <c r="J50" s="58" t="s">
        <v>80</v>
      </c>
      <c r="K50" s="59"/>
      <c r="L50" s="59"/>
      <c r="M50" s="60">
        <f t="shared" si="1"/>
        <v>0</v>
      </c>
      <c r="N50" s="61"/>
      <c r="P50" s="173"/>
      <c r="Q50" s="58" t="s">
        <v>80</v>
      </c>
      <c r="R50" s="59"/>
      <c r="S50" s="59"/>
      <c r="T50" s="60">
        <f t="shared" si="3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4"/>
        <v>0</v>
      </c>
      <c r="G51" s="67"/>
      <c r="I51" s="69"/>
      <c r="J51" s="65"/>
      <c r="K51" s="66"/>
      <c r="L51" s="66"/>
      <c r="M51" s="65">
        <f t="shared" si="1"/>
        <v>0</v>
      </c>
      <c r="N51" s="67"/>
      <c r="P51" s="69"/>
      <c r="Q51" s="65"/>
      <c r="R51" s="66"/>
      <c r="S51" s="66"/>
      <c r="T51" s="65">
        <f t="shared" si="3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257417</v>
      </c>
      <c r="E52" s="59">
        <v>259040</v>
      </c>
      <c r="F52" s="60">
        <f t="shared" si="4"/>
        <v>1623</v>
      </c>
      <c r="G52" s="70"/>
      <c r="I52" s="175">
        <v>24</v>
      </c>
      <c r="J52" s="58" t="s">
        <v>82</v>
      </c>
      <c r="K52" s="59">
        <v>259040</v>
      </c>
      <c r="L52" s="59">
        <v>260090</v>
      </c>
      <c r="M52" s="60">
        <f t="shared" si="1"/>
        <v>1050</v>
      </c>
      <c r="N52" s="70"/>
      <c r="P52" s="175">
        <v>24</v>
      </c>
      <c r="Q52" s="58" t="s">
        <v>82</v>
      </c>
      <c r="R52" s="59">
        <v>260090</v>
      </c>
      <c r="S52" s="59">
        <v>261233</v>
      </c>
      <c r="T52" s="60">
        <f t="shared" si="3"/>
        <v>1143</v>
      </c>
      <c r="U52" s="70"/>
    </row>
    <row r="53" spans="1:21" ht="15" x14ac:dyDescent="0.2">
      <c r="A53" s="152"/>
      <c r="B53" s="176"/>
      <c r="C53" s="58" t="s">
        <v>83</v>
      </c>
      <c r="D53" s="59">
        <v>542198</v>
      </c>
      <c r="E53" s="59">
        <v>542733</v>
      </c>
      <c r="F53" s="60">
        <f t="shared" si="4"/>
        <v>535</v>
      </c>
      <c r="G53" s="63"/>
      <c r="I53" s="176"/>
      <c r="J53" s="58" t="s">
        <v>83</v>
      </c>
      <c r="K53" s="59">
        <v>542733</v>
      </c>
      <c r="L53" s="59">
        <v>543220</v>
      </c>
      <c r="M53" s="60">
        <f t="shared" si="1"/>
        <v>487</v>
      </c>
      <c r="N53" s="63"/>
      <c r="P53" s="176"/>
      <c r="Q53" s="58" t="s">
        <v>83</v>
      </c>
      <c r="R53" s="59">
        <v>543220</v>
      </c>
      <c r="S53" s="59">
        <v>543684</v>
      </c>
      <c r="T53" s="60">
        <f t="shared" si="3"/>
        <v>464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4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1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3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4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1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3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4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1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3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748380</v>
      </c>
      <c r="E57" s="59">
        <v>751807</v>
      </c>
      <c r="F57" s="60">
        <f t="shared" si="4"/>
        <v>3427</v>
      </c>
      <c r="G57" s="61"/>
      <c r="I57" s="172">
        <v>26</v>
      </c>
      <c r="J57" s="58" t="s">
        <v>82</v>
      </c>
      <c r="K57" s="59">
        <v>751807</v>
      </c>
      <c r="L57" s="59">
        <v>755388</v>
      </c>
      <c r="M57" s="60">
        <f t="shared" si="1"/>
        <v>3581</v>
      </c>
      <c r="N57" s="61"/>
      <c r="P57" s="172">
        <v>26</v>
      </c>
      <c r="Q57" s="58" t="s">
        <v>82</v>
      </c>
      <c r="R57" s="59">
        <v>755388</v>
      </c>
      <c r="S57" s="59">
        <v>758964</v>
      </c>
      <c r="T57" s="60">
        <f t="shared" si="3"/>
        <v>3576</v>
      </c>
      <c r="U57" s="61"/>
    </row>
    <row r="58" spans="1:21" ht="15" x14ac:dyDescent="0.2">
      <c r="A58" s="152"/>
      <c r="B58" s="174"/>
      <c r="C58" s="58" t="s">
        <v>83</v>
      </c>
      <c r="D58" s="59">
        <v>826607</v>
      </c>
      <c r="E58" s="59">
        <v>830921</v>
      </c>
      <c r="F58" s="60">
        <f t="shared" si="4"/>
        <v>4314</v>
      </c>
      <c r="G58" s="63"/>
      <c r="H58" s="154"/>
      <c r="I58" s="174"/>
      <c r="J58" s="58" t="s">
        <v>83</v>
      </c>
      <c r="K58" s="59">
        <v>830921</v>
      </c>
      <c r="L58" s="59">
        <v>834986</v>
      </c>
      <c r="M58" s="60">
        <f t="shared" si="1"/>
        <v>4065</v>
      </c>
      <c r="N58" s="63"/>
      <c r="P58" s="174"/>
      <c r="Q58" s="58" t="s">
        <v>83</v>
      </c>
      <c r="R58" s="59">
        <v>834986</v>
      </c>
      <c r="S58" s="59">
        <v>838562</v>
      </c>
      <c r="T58" s="60">
        <f t="shared" si="3"/>
        <v>3576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254074</v>
      </c>
      <c r="E59" s="59">
        <v>255356</v>
      </c>
      <c r="F59" s="60">
        <f t="shared" si="4"/>
        <v>1282</v>
      </c>
      <c r="G59" s="61"/>
      <c r="H59" s="154"/>
      <c r="I59" s="172">
        <v>27</v>
      </c>
      <c r="J59" s="58" t="s">
        <v>82</v>
      </c>
      <c r="K59" s="59">
        <v>255356</v>
      </c>
      <c r="L59" s="59">
        <v>256506</v>
      </c>
      <c r="M59" s="60">
        <f t="shared" si="1"/>
        <v>1150</v>
      </c>
      <c r="N59" s="61"/>
      <c r="P59" s="172">
        <v>27</v>
      </c>
      <c r="Q59" s="58" t="s">
        <v>82</v>
      </c>
      <c r="R59" s="59">
        <v>256506</v>
      </c>
      <c r="S59" s="59">
        <v>257549</v>
      </c>
      <c r="T59" s="60">
        <f t="shared" si="3"/>
        <v>1043</v>
      </c>
      <c r="U59" s="61"/>
    </row>
    <row r="60" spans="1:21" ht="15" x14ac:dyDescent="0.2">
      <c r="A60" s="152"/>
      <c r="B60" s="174"/>
      <c r="C60" s="58" t="s">
        <v>83</v>
      </c>
      <c r="D60" s="59">
        <v>108101</v>
      </c>
      <c r="E60" s="59">
        <v>111872</v>
      </c>
      <c r="F60" s="60">
        <f t="shared" si="4"/>
        <v>3771</v>
      </c>
      <c r="G60" s="61"/>
      <c r="H60" s="154"/>
      <c r="I60" s="174"/>
      <c r="J60" s="58" t="s">
        <v>83</v>
      </c>
      <c r="K60" s="59">
        <v>111872</v>
      </c>
      <c r="L60" s="59">
        <v>115157</v>
      </c>
      <c r="M60" s="60">
        <f t="shared" si="1"/>
        <v>3285</v>
      </c>
      <c r="N60" s="61"/>
      <c r="P60" s="174"/>
      <c r="Q60" s="58" t="s">
        <v>83</v>
      </c>
      <c r="R60" s="59">
        <v>115157</v>
      </c>
      <c r="S60" s="59">
        <v>117419</v>
      </c>
      <c r="T60" s="60">
        <f t="shared" si="3"/>
        <v>2262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4"/>
        <v>0</v>
      </c>
      <c r="G61" s="67"/>
      <c r="H61" s="154"/>
      <c r="I61" s="64"/>
      <c r="J61" s="65"/>
      <c r="K61" s="65"/>
      <c r="L61" s="65"/>
      <c r="M61" s="65">
        <f t="shared" si="1"/>
        <v>0</v>
      </c>
      <c r="N61" s="67"/>
      <c r="P61" s="64"/>
      <c r="Q61" s="65"/>
      <c r="R61" s="65"/>
      <c r="S61" s="65"/>
      <c r="T61" s="65">
        <f t="shared" si="3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4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1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3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4"/>
        <v>0</v>
      </c>
      <c r="G63" s="170"/>
      <c r="H63" s="154"/>
      <c r="I63" s="174"/>
      <c r="J63" s="168"/>
      <c r="K63" s="59"/>
      <c r="L63" s="59"/>
      <c r="M63" s="60">
        <f t="shared" si="1"/>
        <v>0</v>
      </c>
      <c r="N63" s="170"/>
      <c r="P63" s="174"/>
      <c r="Q63" s="168"/>
      <c r="R63" s="59"/>
      <c r="S63" s="59"/>
      <c r="T63" s="60">
        <f t="shared" si="3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38228</v>
      </c>
      <c r="G64" s="73"/>
      <c r="H64" s="154"/>
      <c r="I64" s="171" t="s">
        <v>86</v>
      </c>
      <c r="J64" s="171"/>
      <c r="K64" s="171"/>
      <c r="L64" s="171"/>
      <c r="M64" s="72">
        <f>SUM(M2:M63)</f>
        <v>33510</v>
      </c>
      <c r="N64" s="73"/>
      <c r="P64" s="171" t="s">
        <v>86</v>
      </c>
      <c r="Q64" s="171"/>
      <c r="R64" s="171"/>
      <c r="S64" s="171"/>
      <c r="T64" s="72">
        <f>SUM(T2:T63)</f>
        <v>32104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44835</v>
      </c>
      <c r="B69" s="179"/>
      <c r="C69" s="179"/>
      <c r="D69" s="180"/>
      <c r="E69" s="157"/>
      <c r="F69" s="178">
        <v>44866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101576</v>
      </c>
      <c r="C71" s="76">
        <v>62400</v>
      </c>
      <c r="D71" s="77">
        <v>78973</v>
      </c>
      <c r="E71" s="156"/>
      <c r="F71" s="74">
        <v>6</v>
      </c>
      <c r="G71" s="75">
        <v>102072</v>
      </c>
      <c r="H71" s="76">
        <v>63068</v>
      </c>
      <c r="I71" s="77">
        <v>79009</v>
      </c>
      <c r="J71" s="156"/>
      <c r="K71" s="158">
        <v>6</v>
      </c>
      <c r="L71" s="159">
        <f>G71-B71</f>
        <v>496</v>
      </c>
      <c r="M71" s="159">
        <f>H71-C71</f>
        <v>668</v>
      </c>
      <c r="N71" s="159">
        <f>I71-D71</f>
        <v>36</v>
      </c>
    </row>
    <row r="72" spans="1:14" ht="15.75" thickBot="1" x14ac:dyDescent="0.25">
      <c r="A72" s="74">
        <v>7</v>
      </c>
      <c r="B72" s="75">
        <v>103155</v>
      </c>
      <c r="C72" s="76">
        <v>107359</v>
      </c>
      <c r="D72" s="77">
        <v>68529</v>
      </c>
      <c r="E72" s="156"/>
      <c r="F72" s="74">
        <v>7</v>
      </c>
      <c r="G72" s="75">
        <v>103499</v>
      </c>
      <c r="H72" s="76">
        <v>107819</v>
      </c>
      <c r="I72" s="77">
        <v>68744</v>
      </c>
      <c r="J72" s="156"/>
      <c r="K72" s="158">
        <v>7</v>
      </c>
      <c r="L72" s="159">
        <f t="shared" ref="L72:N92" si="5">G72-B72</f>
        <v>344</v>
      </c>
      <c r="M72" s="159">
        <f t="shared" si="5"/>
        <v>460</v>
      </c>
      <c r="N72" s="159">
        <f t="shared" si="5"/>
        <v>215</v>
      </c>
    </row>
    <row r="73" spans="1:14" ht="15.75" thickBot="1" x14ac:dyDescent="0.25">
      <c r="A73" s="74">
        <v>8</v>
      </c>
      <c r="B73" s="75">
        <v>125637</v>
      </c>
      <c r="C73" s="76">
        <v>276154</v>
      </c>
      <c r="D73" s="77">
        <v>115361</v>
      </c>
      <c r="E73" s="156"/>
      <c r="F73" s="74">
        <v>8</v>
      </c>
      <c r="G73" s="75">
        <v>126428</v>
      </c>
      <c r="H73" s="76">
        <v>277849</v>
      </c>
      <c r="I73" s="77">
        <v>115609</v>
      </c>
      <c r="J73" s="156"/>
      <c r="K73" s="158">
        <v>8</v>
      </c>
      <c r="L73" s="159">
        <f t="shared" si="5"/>
        <v>791</v>
      </c>
      <c r="M73" s="159">
        <f t="shared" si="5"/>
        <v>1695</v>
      </c>
      <c r="N73" s="159">
        <f t="shared" si="5"/>
        <v>248</v>
      </c>
    </row>
    <row r="74" spans="1:14" ht="15.75" thickBot="1" x14ac:dyDescent="0.25">
      <c r="A74" s="74">
        <v>9</v>
      </c>
      <c r="B74" s="75">
        <v>70086</v>
      </c>
      <c r="C74" s="76">
        <v>158155</v>
      </c>
      <c r="D74" s="77">
        <v>172177</v>
      </c>
      <c r="E74" s="156"/>
      <c r="F74" s="74">
        <v>9</v>
      </c>
      <c r="G74" s="75">
        <v>70152</v>
      </c>
      <c r="H74" s="76">
        <v>159625</v>
      </c>
      <c r="I74" s="77">
        <v>173021</v>
      </c>
      <c r="J74" s="156"/>
      <c r="K74" s="158">
        <v>9</v>
      </c>
      <c r="L74" s="159">
        <f t="shared" si="5"/>
        <v>66</v>
      </c>
      <c r="M74" s="159">
        <f t="shared" si="5"/>
        <v>1470</v>
      </c>
      <c r="N74" s="159">
        <f t="shared" si="5"/>
        <v>844</v>
      </c>
    </row>
    <row r="75" spans="1:14" ht="15.75" thickBot="1" x14ac:dyDescent="0.25">
      <c r="A75" s="74">
        <v>10</v>
      </c>
      <c r="B75" s="75">
        <v>79123</v>
      </c>
      <c r="C75" s="76">
        <v>131775</v>
      </c>
      <c r="D75" s="77">
        <v>164391</v>
      </c>
      <c r="E75" s="156"/>
      <c r="F75" s="74">
        <v>10</v>
      </c>
      <c r="G75" s="75">
        <v>79768</v>
      </c>
      <c r="H75" s="76">
        <v>132247</v>
      </c>
      <c r="I75" s="77">
        <v>165219</v>
      </c>
      <c r="J75" s="156"/>
      <c r="K75" s="158">
        <v>10</v>
      </c>
      <c r="L75" s="159">
        <f t="shared" si="5"/>
        <v>645</v>
      </c>
      <c r="M75" s="159">
        <f t="shared" si="5"/>
        <v>472</v>
      </c>
      <c r="N75" s="159">
        <f t="shared" si="5"/>
        <v>828</v>
      </c>
    </row>
    <row r="76" spans="1:14" ht="15.75" thickBot="1" x14ac:dyDescent="0.25">
      <c r="A76" s="74">
        <v>11</v>
      </c>
      <c r="B76" s="75">
        <v>166216</v>
      </c>
      <c r="C76" s="76">
        <v>192209</v>
      </c>
      <c r="D76" s="77">
        <v>216757</v>
      </c>
      <c r="E76" s="156"/>
      <c r="F76" s="74">
        <v>11</v>
      </c>
      <c r="G76" s="75">
        <v>166576</v>
      </c>
      <c r="H76" s="76">
        <v>192762</v>
      </c>
      <c r="I76" s="77">
        <v>216957</v>
      </c>
      <c r="J76" s="156"/>
      <c r="K76" s="158">
        <v>11</v>
      </c>
      <c r="L76" s="159">
        <f>G76-B76</f>
        <v>360</v>
      </c>
      <c r="M76" s="159">
        <f t="shared" si="5"/>
        <v>553</v>
      </c>
      <c r="N76" s="159">
        <f t="shared" si="5"/>
        <v>200</v>
      </c>
    </row>
    <row r="77" spans="1:14" ht="15.75" thickBot="1" x14ac:dyDescent="0.25">
      <c r="A77" s="74">
        <v>12</v>
      </c>
      <c r="B77" s="75">
        <v>159869</v>
      </c>
      <c r="C77" s="76">
        <v>104548</v>
      </c>
      <c r="D77" s="77">
        <v>104465</v>
      </c>
      <c r="E77" s="156"/>
      <c r="F77" s="74">
        <v>12</v>
      </c>
      <c r="G77" s="75">
        <v>160787</v>
      </c>
      <c r="H77" s="76">
        <v>105525</v>
      </c>
      <c r="I77" s="77">
        <v>104940</v>
      </c>
      <c r="J77" s="156"/>
      <c r="K77" s="158">
        <v>12</v>
      </c>
      <c r="L77" s="159">
        <f t="shared" si="5"/>
        <v>918</v>
      </c>
      <c r="M77" s="159">
        <f>H77-C77</f>
        <v>977</v>
      </c>
      <c r="N77" s="159">
        <f t="shared" si="5"/>
        <v>475</v>
      </c>
    </row>
    <row r="78" spans="1:14" ht="15.75" thickBot="1" x14ac:dyDescent="0.25">
      <c r="A78" s="74">
        <v>14</v>
      </c>
      <c r="B78" s="75">
        <v>125329</v>
      </c>
      <c r="C78" s="76">
        <v>50025</v>
      </c>
      <c r="D78" s="77">
        <v>52540</v>
      </c>
      <c r="E78" s="156"/>
      <c r="F78" s="74">
        <v>14</v>
      </c>
      <c r="G78" s="75">
        <v>125905</v>
      </c>
      <c r="H78" s="76">
        <v>50079</v>
      </c>
      <c r="I78" s="77">
        <v>52676</v>
      </c>
      <c r="J78" s="156"/>
      <c r="K78" s="158">
        <v>14</v>
      </c>
      <c r="L78" s="159">
        <f t="shared" si="5"/>
        <v>576</v>
      </c>
      <c r="M78" s="159">
        <f t="shared" si="5"/>
        <v>54</v>
      </c>
      <c r="N78" s="159">
        <f t="shared" si="5"/>
        <v>136</v>
      </c>
    </row>
    <row r="79" spans="1:14" ht="15.75" thickBot="1" x14ac:dyDescent="0.25">
      <c r="A79" s="74">
        <v>15</v>
      </c>
      <c r="B79" s="75">
        <v>180110</v>
      </c>
      <c r="C79" s="76">
        <v>163036</v>
      </c>
      <c r="D79" s="77">
        <v>167926</v>
      </c>
      <c r="E79" s="156"/>
      <c r="F79" s="74">
        <v>15</v>
      </c>
      <c r="G79" s="75">
        <v>180526</v>
      </c>
      <c r="H79" s="76">
        <v>164402</v>
      </c>
      <c r="I79" s="77">
        <v>168422</v>
      </c>
      <c r="J79" s="156"/>
      <c r="K79" s="158">
        <v>15</v>
      </c>
      <c r="L79" s="159">
        <f t="shared" si="5"/>
        <v>416</v>
      </c>
      <c r="M79" s="159">
        <f t="shared" si="5"/>
        <v>1366</v>
      </c>
      <c r="N79" s="159">
        <f t="shared" si="5"/>
        <v>496</v>
      </c>
    </row>
    <row r="80" spans="1:14" ht="15.75" thickBot="1" x14ac:dyDescent="0.25">
      <c r="A80" s="74">
        <v>16</v>
      </c>
      <c r="B80" s="75">
        <v>134132</v>
      </c>
      <c r="C80" s="76">
        <v>161124</v>
      </c>
      <c r="D80" s="77">
        <v>222228</v>
      </c>
      <c r="E80" s="156"/>
      <c r="F80" s="74">
        <v>16</v>
      </c>
      <c r="G80" s="75">
        <v>134630</v>
      </c>
      <c r="H80" s="76">
        <v>161674</v>
      </c>
      <c r="I80" s="77">
        <v>222766</v>
      </c>
      <c r="J80" s="156"/>
      <c r="K80" s="158">
        <v>16</v>
      </c>
      <c r="L80" s="159">
        <f t="shared" si="5"/>
        <v>498</v>
      </c>
      <c r="M80" s="159">
        <f t="shared" si="5"/>
        <v>550</v>
      </c>
      <c r="N80" s="159">
        <f t="shared" si="5"/>
        <v>538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204852</v>
      </c>
      <c r="E81" s="156"/>
      <c r="F81" s="74">
        <v>17</v>
      </c>
      <c r="G81" s="75">
        <v>38476</v>
      </c>
      <c r="H81" s="76">
        <v>89739</v>
      </c>
      <c r="I81" s="77">
        <v>204990</v>
      </c>
      <c r="J81" s="156"/>
      <c r="K81" s="158">
        <v>17</v>
      </c>
      <c r="L81" s="159">
        <f t="shared" si="5"/>
        <v>0</v>
      </c>
      <c r="M81" s="159">
        <f t="shared" si="5"/>
        <v>0</v>
      </c>
      <c r="N81" s="159">
        <f t="shared" si="5"/>
        <v>138</v>
      </c>
    </row>
    <row r="82" spans="1:14" ht="15.75" thickBot="1" x14ac:dyDescent="0.25">
      <c r="A82" s="74">
        <v>18</v>
      </c>
      <c r="B82" s="75">
        <v>143401</v>
      </c>
      <c r="C82" s="76">
        <v>76936</v>
      </c>
      <c r="D82" s="77">
        <v>168869</v>
      </c>
      <c r="E82" s="156"/>
      <c r="F82" s="74">
        <v>18</v>
      </c>
      <c r="G82" s="75">
        <v>144723</v>
      </c>
      <c r="H82" s="76">
        <v>76999</v>
      </c>
      <c r="I82" s="77">
        <v>169301</v>
      </c>
      <c r="J82" s="156"/>
      <c r="K82" s="158">
        <v>18</v>
      </c>
      <c r="L82" s="159">
        <f t="shared" si="5"/>
        <v>1322</v>
      </c>
      <c r="M82" s="159">
        <f t="shared" si="5"/>
        <v>63</v>
      </c>
      <c r="N82" s="159">
        <f t="shared" si="5"/>
        <v>432</v>
      </c>
    </row>
    <row r="83" spans="1:14" ht="15.75" thickBot="1" x14ac:dyDescent="0.25">
      <c r="A83" s="74">
        <v>19</v>
      </c>
      <c r="B83" s="75">
        <v>79145</v>
      </c>
      <c r="C83" s="76">
        <v>179317</v>
      </c>
      <c r="D83" s="77">
        <v>133412</v>
      </c>
      <c r="E83" s="156"/>
      <c r="F83" s="74">
        <v>19</v>
      </c>
      <c r="G83" s="75">
        <v>79293</v>
      </c>
      <c r="H83" s="76">
        <v>179686</v>
      </c>
      <c r="I83" s="77">
        <v>134449</v>
      </c>
      <c r="J83" s="156"/>
      <c r="K83" s="158">
        <v>19</v>
      </c>
      <c r="L83" s="159">
        <f t="shared" si="5"/>
        <v>148</v>
      </c>
      <c r="M83" s="159">
        <f t="shared" si="5"/>
        <v>369</v>
      </c>
      <c r="N83" s="159">
        <f t="shared" si="5"/>
        <v>1037</v>
      </c>
    </row>
    <row r="84" spans="1:14" ht="15.75" thickBot="1" x14ac:dyDescent="0.25">
      <c r="A84" s="74">
        <v>20</v>
      </c>
      <c r="B84" s="75">
        <v>149871</v>
      </c>
      <c r="C84" s="76">
        <v>184659</v>
      </c>
      <c r="D84" s="77">
        <v>92782</v>
      </c>
      <c r="E84" s="156"/>
      <c r="F84" s="74">
        <v>20</v>
      </c>
      <c r="G84" s="75">
        <v>150307</v>
      </c>
      <c r="H84" s="76">
        <v>184963</v>
      </c>
      <c r="I84" s="77">
        <v>92969</v>
      </c>
      <c r="J84" s="156"/>
      <c r="K84" s="158">
        <v>20</v>
      </c>
      <c r="L84" s="159">
        <f>G84-B84</f>
        <v>436</v>
      </c>
      <c r="M84" s="159">
        <f t="shared" si="5"/>
        <v>304</v>
      </c>
      <c r="N84" s="159">
        <f t="shared" si="5"/>
        <v>187</v>
      </c>
    </row>
    <row r="85" spans="1:14" ht="15.75" thickBot="1" x14ac:dyDescent="0.25">
      <c r="A85" s="74">
        <v>21</v>
      </c>
      <c r="B85" s="75">
        <v>195225</v>
      </c>
      <c r="C85" s="76">
        <v>95139</v>
      </c>
      <c r="D85" s="77">
        <v>121020</v>
      </c>
      <c r="E85" s="156"/>
      <c r="F85" s="74">
        <v>21</v>
      </c>
      <c r="G85" s="75">
        <v>195407</v>
      </c>
      <c r="H85" s="76">
        <v>95564</v>
      </c>
      <c r="I85" s="77">
        <v>121522</v>
      </c>
      <c r="J85" s="156"/>
      <c r="K85" s="158">
        <v>21</v>
      </c>
      <c r="L85" s="159">
        <f t="shared" si="5"/>
        <v>182</v>
      </c>
      <c r="M85" s="159">
        <f t="shared" si="5"/>
        <v>425</v>
      </c>
      <c r="N85" s="159">
        <f t="shared" si="5"/>
        <v>502</v>
      </c>
    </row>
    <row r="86" spans="1:14" ht="15.75" thickBot="1" x14ac:dyDescent="0.25">
      <c r="A86" s="74">
        <v>22</v>
      </c>
      <c r="B86" s="75">
        <v>148938</v>
      </c>
      <c r="C86" s="76">
        <v>108729</v>
      </c>
      <c r="D86" s="77">
        <v>123364</v>
      </c>
      <c r="E86" s="156"/>
      <c r="F86" s="74">
        <v>22</v>
      </c>
      <c r="G86" s="75">
        <v>150133</v>
      </c>
      <c r="H86" s="76">
        <v>110337</v>
      </c>
      <c r="I86" s="77">
        <v>123490</v>
      </c>
      <c r="J86" s="156"/>
      <c r="K86" s="158">
        <v>22</v>
      </c>
      <c r="L86" s="159">
        <f t="shared" si="5"/>
        <v>1195</v>
      </c>
      <c r="M86" s="159">
        <f t="shared" si="5"/>
        <v>1608</v>
      </c>
      <c r="N86" s="159">
        <f>I86-D86</f>
        <v>126</v>
      </c>
    </row>
    <row r="87" spans="1:14" ht="15.75" thickBot="1" x14ac:dyDescent="0.25">
      <c r="A87" s="74">
        <v>23</v>
      </c>
      <c r="B87" s="75">
        <v>132774</v>
      </c>
      <c r="C87" s="76">
        <v>160887</v>
      </c>
      <c r="D87" s="77">
        <v>305928</v>
      </c>
      <c r="E87" s="156"/>
      <c r="F87" s="74">
        <v>23</v>
      </c>
      <c r="G87" s="75">
        <v>133300</v>
      </c>
      <c r="H87" s="76">
        <v>161017</v>
      </c>
      <c r="I87" s="77">
        <v>306596</v>
      </c>
      <c r="J87" s="156"/>
      <c r="K87" s="158">
        <v>23</v>
      </c>
      <c r="L87" s="159">
        <f t="shared" si="5"/>
        <v>526</v>
      </c>
      <c r="M87" s="159">
        <f t="shared" si="5"/>
        <v>130</v>
      </c>
      <c r="N87" s="159">
        <f t="shared" si="5"/>
        <v>668</v>
      </c>
    </row>
    <row r="88" spans="1:14" ht="15.75" thickBot="1" x14ac:dyDescent="0.25">
      <c r="A88" s="74">
        <v>24</v>
      </c>
      <c r="B88" s="75">
        <v>82063</v>
      </c>
      <c r="C88" s="76">
        <v>157931</v>
      </c>
      <c r="D88" s="77">
        <v>102917</v>
      </c>
      <c r="E88" s="156"/>
      <c r="F88" s="74">
        <v>24</v>
      </c>
      <c r="G88" s="75">
        <v>82204</v>
      </c>
      <c r="H88" s="76">
        <v>158345</v>
      </c>
      <c r="I88" s="77">
        <v>102931</v>
      </c>
      <c r="J88" s="156"/>
      <c r="K88" s="158">
        <v>24</v>
      </c>
      <c r="L88" s="159">
        <f t="shared" si="5"/>
        <v>141</v>
      </c>
      <c r="M88" s="159">
        <f t="shared" si="5"/>
        <v>414</v>
      </c>
      <c r="N88" s="159">
        <f>I88-D88</f>
        <v>14</v>
      </c>
    </row>
    <row r="89" spans="1:14" ht="15.75" thickBot="1" x14ac:dyDescent="0.25">
      <c r="A89" s="74">
        <v>25</v>
      </c>
      <c r="B89" s="75">
        <v>131045</v>
      </c>
      <c r="C89" s="76">
        <v>182923</v>
      </c>
      <c r="D89" s="77">
        <v>175524</v>
      </c>
      <c r="E89" s="156"/>
      <c r="F89" s="74">
        <v>25</v>
      </c>
      <c r="G89" s="75">
        <v>132154</v>
      </c>
      <c r="H89" s="76">
        <v>183097</v>
      </c>
      <c r="I89" s="77">
        <v>176395</v>
      </c>
      <c r="J89" s="156"/>
      <c r="K89" s="158">
        <v>25</v>
      </c>
      <c r="L89" s="159">
        <f>G89-B89</f>
        <v>1109</v>
      </c>
      <c r="M89" s="159">
        <f t="shared" si="5"/>
        <v>174</v>
      </c>
      <c r="N89" s="159">
        <f>I89-D89</f>
        <v>871</v>
      </c>
    </row>
    <row r="90" spans="1:14" ht="15.75" thickBot="1" x14ac:dyDescent="0.25">
      <c r="A90" s="74">
        <v>26</v>
      </c>
      <c r="B90" s="75">
        <v>130207</v>
      </c>
      <c r="C90" s="76">
        <v>61894</v>
      </c>
      <c r="D90" s="77">
        <v>65562</v>
      </c>
      <c r="E90" s="156"/>
      <c r="F90" s="74">
        <v>26</v>
      </c>
      <c r="G90" s="75">
        <v>131649</v>
      </c>
      <c r="H90" s="76">
        <v>62638</v>
      </c>
      <c r="I90" s="77">
        <v>66551</v>
      </c>
      <c r="J90" s="156"/>
      <c r="K90" s="158">
        <v>26</v>
      </c>
      <c r="L90" s="159">
        <f t="shared" si="5"/>
        <v>1442</v>
      </c>
      <c r="M90" s="159">
        <f t="shared" si="5"/>
        <v>744</v>
      </c>
      <c r="N90" s="159">
        <f t="shared" si="5"/>
        <v>989</v>
      </c>
    </row>
    <row r="91" spans="1:14" ht="15.75" thickBot="1" x14ac:dyDescent="0.25">
      <c r="A91" s="74">
        <v>27</v>
      </c>
      <c r="B91" s="75">
        <v>105230</v>
      </c>
      <c r="C91" s="76">
        <v>116707</v>
      </c>
      <c r="D91" s="77">
        <v>129644</v>
      </c>
      <c r="E91" s="156"/>
      <c r="F91" s="74">
        <v>27</v>
      </c>
      <c r="G91" s="75">
        <v>105446</v>
      </c>
      <c r="H91" s="76">
        <v>117055</v>
      </c>
      <c r="I91" s="77">
        <v>130248</v>
      </c>
      <c r="J91" s="156"/>
      <c r="K91" s="158">
        <v>27</v>
      </c>
      <c r="L91" s="159">
        <f t="shared" si="5"/>
        <v>216</v>
      </c>
      <c r="M91" s="159">
        <f t="shared" si="5"/>
        <v>348</v>
      </c>
      <c r="N91" s="159">
        <f>I91-D91</f>
        <v>604</v>
      </c>
    </row>
    <row r="92" spans="1:14" ht="15.75" thickBot="1" x14ac:dyDescent="0.25">
      <c r="A92" s="74">
        <v>28</v>
      </c>
      <c r="B92" s="75">
        <v>204923</v>
      </c>
      <c r="C92" s="76">
        <v>103886</v>
      </c>
      <c r="D92" s="77">
        <v>117031</v>
      </c>
      <c r="E92" s="156"/>
      <c r="F92" s="74">
        <v>28</v>
      </c>
      <c r="G92" s="75">
        <v>205076</v>
      </c>
      <c r="H92" s="76">
        <v>103957</v>
      </c>
      <c r="I92" s="77">
        <v>117547</v>
      </c>
      <c r="J92" s="156"/>
      <c r="K92" s="158">
        <v>28</v>
      </c>
      <c r="L92" s="159">
        <f t="shared" si="5"/>
        <v>153</v>
      </c>
      <c r="M92" s="159">
        <f t="shared" si="5"/>
        <v>71</v>
      </c>
      <c r="N92" s="159">
        <f t="shared" si="5"/>
        <v>516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>
        <v>0</v>
      </c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-16244823</v>
      </c>
      <c r="D2" s="83">
        <f>C2*1.27</f>
        <v>-20630925.210000001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34813672</v>
      </c>
      <c r="J3" s="120">
        <f>ELECT.!E32</f>
        <v>0</v>
      </c>
      <c r="K3" s="149">
        <f>J3-I3</f>
        <v>-34813672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9505179</v>
      </c>
      <c r="J4" s="120">
        <f>ELECT.!G32</f>
        <v>0</v>
      </c>
      <c r="K4" s="149">
        <f>J4-I4</f>
        <v>-9505179</v>
      </c>
    </row>
    <row r="5" spans="1:13" ht="13.5" thickBot="1" x14ac:dyDescent="0.25">
      <c r="A5" s="81"/>
      <c r="B5" s="87" t="s">
        <v>27</v>
      </c>
      <c r="C5" s="91">
        <f>(K10+K12)*0.842284+K26</f>
        <v>-25032206.024072003</v>
      </c>
      <c r="D5" s="91">
        <f t="shared" ref="D5:D11" si="0">C5*1.27</f>
        <v>-31790901.650571443</v>
      </c>
      <c r="E5" s="92"/>
      <c r="F5" s="81"/>
      <c r="G5" s="81"/>
      <c r="H5" s="87" t="s">
        <v>23</v>
      </c>
      <c r="I5" s="93"/>
      <c r="J5" s="93"/>
      <c r="K5" s="113">
        <f>K3+K4</f>
        <v>-44318851</v>
      </c>
    </row>
    <row r="6" spans="1:13" ht="13.5" thickBot="1" x14ac:dyDescent="0.25">
      <c r="A6" s="81"/>
      <c r="B6" s="87" t="s">
        <v>97</v>
      </c>
      <c r="C6" s="91">
        <f>(K10+K12+K26)*0.1488</f>
        <v>-4331442.7103999993</v>
      </c>
      <c r="D6" s="91">
        <f t="shared" si="0"/>
        <v>-5500932.2422079993</v>
      </c>
      <c r="E6" s="92"/>
      <c r="F6" s="81"/>
      <c r="G6" s="81"/>
      <c r="H6" s="87" t="s">
        <v>98</v>
      </c>
      <c r="I6" s="124">
        <f>ELECT.!J2</f>
        <v>955257</v>
      </c>
      <c r="J6" s="120">
        <f>ELECT.!J32</f>
        <v>0</v>
      </c>
      <c r="K6" s="149">
        <f>J6-I6</f>
        <v>-955257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978455</v>
      </c>
      <c r="D7" s="91">
        <f t="shared" si="0"/>
        <v>1242637.8500000001</v>
      </c>
      <c r="E7" s="92"/>
      <c r="F7" s="81"/>
      <c r="G7" s="81"/>
      <c r="H7" s="87" t="s">
        <v>100</v>
      </c>
      <c r="I7" s="124">
        <f>ELECT.!L2</f>
        <v>1268813</v>
      </c>
      <c r="J7" s="120">
        <f>ELECT.!L32</f>
        <v>0</v>
      </c>
      <c r="K7" s="149">
        <f>J7-I7</f>
        <v>-1268813</v>
      </c>
    </row>
    <row r="8" spans="1:13" ht="13.5" thickBot="1" x14ac:dyDescent="0.25">
      <c r="A8" s="81"/>
      <c r="B8" s="87" t="s">
        <v>101</v>
      </c>
      <c r="C8" s="91">
        <f>K21+K22+K23+K24</f>
        <v>31936</v>
      </c>
      <c r="D8" s="91">
        <f t="shared" si="0"/>
        <v>40558.720000000001</v>
      </c>
      <c r="E8" s="92"/>
      <c r="F8" s="81"/>
      <c r="G8" s="81"/>
      <c r="H8" s="87" t="s">
        <v>102</v>
      </c>
      <c r="I8" s="124">
        <f>ELECT.!N2</f>
        <v>7900073</v>
      </c>
      <c r="J8" s="120">
        <f>ELECT.!N32</f>
        <v>0</v>
      </c>
      <c r="K8" s="78">
        <f>(J8-I8)*2</f>
        <v>-15800146</v>
      </c>
    </row>
    <row r="9" spans="1:13" ht="13.5" thickBot="1" x14ac:dyDescent="0.25">
      <c r="A9" s="81"/>
      <c r="B9" s="87" t="s">
        <v>135</v>
      </c>
      <c r="C9" s="91">
        <f>K25+K16+K17</f>
        <v>7680</v>
      </c>
      <c r="D9" s="91">
        <f t="shared" si="0"/>
        <v>9753.6</v>
      </c>
      <c r="E9" s="92"/>
      <c r="F9" s="81"/>
      <c r="G9" s="81"/>
      <c r="H9" s="87" t="s">
        <v>103</v>
      </c>
      <c r="I9" s="124">
        <f>ELECT.!P2</f>
        <v>8942991</v>
      </c>
      <c r="J9" s="120">
        <f>ELECT.!P32</f>
        <v>0</v>
      </c>
      <c r="K9" s="78">
        <f>J9-I9</f>
        <v>-8942991</v>
      </c>
    </row>
    <row r="10" spans="1:13" ht="13.5" thickBot="1" x14ac:dyDescent="0.25">
      <c r="A10" s="81"/>
      <c r="B10" s="87" t="s">
        <v>104</v>
      </c>
      <c r="C10" s="91">
        <f>K18</f>
        <v>13600</v>
      </c>
      <c r="D10" s="91">
        <f t="shared" si="0"/>
        <v>17272</v>
      </c>
      <c r="E10" s="92"/>
      <c r="F10" s="81"/>
      <c r="G10" s="81"/>
      <c r="H10" s="87" t="s">
        <v>105</v>
      </c>
      <c r="I10" s="124">
        <f>ELECT.!R2</f>
        <v>23225466</v>
      </c>
      <c r="J10" s="120">
        <f>ELECT.!R32</f>
        <v>0</v>
      </c>
      <c r="K10" s="78">
        <f>J10-I10</f>
        <v>-23225466</v>
      </c>
    </row>
    <row r="11" spans="1:13" ht="13.5" thickBot="1" x14ac:dyDescent="0.25">
      <c r="A11" s="81"/>
      <c r="B11" s="87" t="s">
        <v>106</v>
      </c>
      <c r="C11" s="91">
        <f>K19+K20</f>
        <v>3459</v>
      </c>
      <c r="D11" s="91">
        <f t="shared" si="0"/>
        <v>4392.93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1312246</v>
      </c>
      <c r="J12" s="120">
        <f>ELECT.!V32</f>
        <v>0</v>
      </c>
      <c r="K12" s="78">
        <f>(J12-I12)*2</f>
        <v>-2624492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-52817165</v>
      </c>
    </row>
    <row r="14" spans="1:13" ht="13.5" thickBot="1" x14ac:dyDescent="0.25">
      <c r="A14" s="81"/>
      <c r="B14" s="87" t="s">
        <v>42</v>
      </c>
      <c r="C14" s="91">
        <f>K29</f>
        <v>-4678280</v>
      </c>
      <c r="D14" s="99">
        <f t="shared" ref="D14:D22" si="1">C14*10.03</f>
        <v>-46923148.399999999</v>
      </c>
      <c r="E14" s="100"/>
      <c r="F14" s="81"/>
      <c r="G14" s="81"/>
      <c r="H14" s="87" t="s">
        <v>112</v>
      </c>
      <c r="I14" s="96"/>
      <c r="J14" s="97"/>
      <c r="K14" s="79">
        <f>K5-K13</f>
        <v>8498314</v>
      </c>
    </row>
    <row r="15" spans="1:13" ht="13.5" thickBot="1" x14ac:dyDescent="0.25">
      <c r="A15" s="81"/>
      <c r="B15" s="87" t="s">
        <v>113</v>
      </c>
      <c r="C15" s="101">
        <f>K30</f>
        <v>-22271.543999999998</v>
      </c>
      <c r="D15" s="99">
        <f t="shared" si="1"/>
        <v>-223383.58631999997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-614428.99050080008</v>
      </c>
      <c r="D16" s="99">
        <f t="shared" si="1"/>
        <v>-6162722.7747230241</v>
      </c>
      <c r="E16" s="100"/>
      <c r="F16" s="81"/>
      <c r="G16" s="81"/>
      <c r="H16" s="102" t="s">
        <v>134</v>
      </c>
      <c r="I16" s="103">
        <f>'Mall, Citadel, Rotana'!T2</f>
        <v>4106</v>
      </c>
      <c r="J16" s="103">
        <f>'Mall, Citadel, Rotana'!T32</f>
        <v>4126</v>
      </c>
      <c r="K16" s="80">
        <f>(J16-I16)*160</f>
        <v>3200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345133</v>
      </c>
      <c r="J17" s="103">
        <f>'Mall, Citadel, Rotana'!J32</f>
        <v>349512</v>
      </c>
      <c r="K17" s="80">
        <f>(J17-I17)</f>
        <v>4379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26732</v>
      </c>
      <c r="J18" s="103">
        <f>'Mall, Citadel, Rotana'!L32</f>
        <v>26817</v>
      </c>
      <c r="K18" s="80">
        <f>(J18-I18)*160</f>
        <v>13600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180956</v>
      </c>
      <c r="J19" s="103">
        <f>'Mall, Citadel, Rotana'!P32</f>
        <v>184415</v>
      </c>
      <c r="K19" s="80">
        <f>J19-I19</f>
        <v>3459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Rotana'!R32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47925</v>
      </c>
      <c r="J21" s="103">
        <f>'Mall, Citadel, Rotana'!B32</f>
        <v>48049</v>
      </c>
      <c r="K21" s="80">
        <f>(J21-I21)*120</f>
        <v>14880</v>
      </c>
    </row>
    <row r="22" spans="1:11" ht="13.5" thickBot="1" x14ac:dyDescent="0.25">
      <c r="A22" s="81"/>
      <c r="B22" s="87" t="s">
        <v>117</v>
      </c>
      <c r="C22" s="99">
        <f>C14-(C15+C16+C17+C18+C19+C20+C21)</f>
        <v>-4047399.4654991999</v>
      </c>
      <c r="D22" s="99">
        <f t="shared" si="1"/>
        <v>-40595416.638956971</v>
      </c>
      <c r="E22" s="100"/>
      <c r="F22" s="81"/>
      <c r="G22" s="81"/>
      <c r="H22" s="102" t="s">
        <v>15</v>
      </c>
      <c r="I22" s="103">
        <f>'Mall, Citadel, Rotana'!D2</f>
        <v>41188</v>
      </c>
      <c r="J22" s="103">
        <f>'Mall, Citadel, Rotana'!D32</f>
        <v>41279</v>
      </c>
      <c r="K22" s="80">
        <f>(J22-I22)*160</f>
        <v>14560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22339</v>
      </c>
      <c r="J23" s="103">
        <f>'Mall, Citadel, Rotana'!F32</f>
        <v>22435</v>
      </c>
      <c r="K23" s="80">
        <f>(J23-I23)*20</f>
        <v>1920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260573</v>
      </c>
      <c r="J24" s="103">
        <f>'Mall, Citadel, Rotana'!H32</f>
        <v>261149</v>
      </c>
      <c r="K24" s="80">
        <f>J24-I24</f>
        <v>576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226623</v>
      </c>
      <c r="J25" s="103">
        <f>'Mall, Citadel, Rotana'!N32</f>
        <v>226724</v>
      </c>
      <c r="K25" s="80">
        <f>J25-I25</f>
        <v>101</v>
      </c>
    </row>
    <row r="26" spans="1:11" ht="13.5" thickBot="1" x14ac:dyDescent="0.25">
      <c r="A26" s="81"/>
      <c r="B26" s="87" t="s">
        <v>42</v>
      </c>
      <c r="C26" s="105">
        <f>K35</f>
        <v>-18602968</v>
      </c>
      <c r="D26" s="91">
        <f>C26*3.65</f>
        <v>-67900833.200000003</v>
      </c>
      <c r="E26" s="92"/>
      <c r="F26" s="81"/>
      <c r="G26" s="81"/>
      <c r="H26" s="102" t="s">
        <v>121</v>
      </c>
      <c r="I26" s="112">
        <f>ELECT.!C2</f>
        <v>20370</v>
      </c>
      <c r="J26" s="112">
        <f>ELECT.!C32</f>
        <v>0</v>
      </c>
      <c r="K26" s="80">
        <f>(J26-I26)*160</f>
        <v>-3259200</v>
      </c>
    </row>
    <row r="27" spans="1:11" ht="13.5" thickBot="1" x14ac:dyDescent="0.25">
      <c r="A27" s="81"/>
      <c r="B27" s="82" t="s">
        <v>122</v>
      </c>
      <c r="C27" s="105">
        <f>C26</f>
        <v>-18602968</v>
      </c>
      <c r="D27" s="91">
        <f>C27*3.65</f>
        <v>-67900833.200000003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467828</v>
      </c>
      <c r="J29" s="103">
        <f>Water!B32</f>
        <v>0</v>
      </c>
      <c r="K29" s="80">
        <f>(J29-I29)*10</f>
        <v>-4678280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824872</v>
      </c>
      <c r="J30" s="103">
        <f>Water!H32</f>
        <v>0</v>
      </c>
      <c r="K30" s="80">
        <f>(J30-I30)*0.027</f>
        <v>-22271.543999999998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16303</v>
      </c>
      <c r="J31" s="103">
        <f>Water!D32</f>
        <v>0</v>
      </c>
      <c r="K31" s="80">
        <f>(J31-I31)*0.027</f>
        <v>-440.18099999999998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12930800</v>
      </c>
      <c r="J32" s="103">
        <f>Water!F32</f>
        <v>0</v>
      </c>
      <c r="K32" s="80">
        <f>(J32-I32)*0.027</f>
        <v>-349131.6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18602968</v>
      </c>
      <c r="J35" s="122">
        <f>Gas!B32</f>
        <v>0</v>
      </c>
      <c r="K35" s="111">
        <f>J35-I35</f>
        <v>-18602968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2022-12-28T23:02:08Z</dcterms:modified>
</cp:coreProperties>
</file>