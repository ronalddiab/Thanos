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235" yWindow="210" windowWidth="13830" windowHeight="11325" tabRatio="584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18" sheetId="74" r:id="rId15"/>
    <sheet name="Utility Cost " sheetId="77" r:id="rId16"/>
    <sheet name="MDB" sheetId="78" r:id="rId17"/>
    <sheet name="Sheet6" sheetId="84" r:id="rId18"/>
    <sheet name="Sheet2" sheetId="83" state="hidden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A7" i="1"/>
  <c r="AA8"/>
  <c r="H11" i="79" l="1"/>
  <c r="K11" i="5" s="1"/>
  <c r="H10" i="79"/>
  <c r="K10" i="5" s="1"/>
  <c r="K7"/>
  <c r="K8"/>
  <c r="K9"/>
  <c r="H12" i="79" l="1"/>
  <c r="K12" i="5" l="1"/>
  <c r="H13" i="79"/>
  <c r="K13" i="5" l="1"/>
  <c r="H14" i="79"/>
  <c r="H15" l="1"/>
  <c r="K14" i="5"/>
  <c r="H16" i="79" l="1"/>
  <c r="K15" i="5"/>
  <c r="H17" i="79" l="1"/>
  <c r="K16" i="5"/>
  <c r="H18" i="79" l="1"/>
  <c r="K17" i="5"/>
  <c r="K18" l="1"/>
  <c r="H19" i="79"/>
  <c r="K19" i="5" l="1"/>
  <c r="H20" i="79"/>
  <c r="K20" i="5" l="1"/>
  <c r="H21" i="79"/>
  <c r="H22" l="1"/>
  <c r="K21" i="5"/>
  <c r="H23" i="79" l="1"/>
  <c r="K22" i="5"/>
  <c r="H24" i="79" l="1"/>
  <c r="K23" i="5"/>
  <c r="H25" i="79" l="1"/>
  <c r="K24" i="5"/>
  <c r="H26" i="79" l="1"/>
  <c r="K25" i="5"/>
  <c r="K26" l="1"/>
  <c r="H27" i="79"/>
  <c r="K27" i="5" l="1"/>
  <c r="H28" i="79"/>
  <c r="K28" i="5" l="1"/>
  <c r="H29" i="79"/>
  <c r="K29" i="5" l="1"/>
  <c r="H30" i="79"/>
  <c r="K30" i="5" l="1"/>
  <c r="H31" i="79"/>
  <c r="H32" l="1"/>
  <c r="K31" i="5"/>
  <c r="H33" i="79" l="1"/>
  <c r="K32" i="5"/>
  <c r="H34" i="79" l="1"/>
  <c r="K33" i="5"/>
  <c r="K34" l="1"/>
  <c r="H35" i="79"/>
  <c r="K35" i="5" l="1"/>
  <c r="H36" i="79"/>
  <c r="K36" i="5" s="1"/>
  <c r="N4" i="2" l="1"/>
  <c r="C5" i="79"/>
  <c r="D5"/>
  <c r="E5"/>
  <c r="F5"/>
  <c r="G5"/>
  <c r="H5"/>
  <c r="I5"/>
  <c r="B5"/>
  <c r="C5" i="73"/>
  <c r="D5"/>
  <c r="E5"/>
  <c r="F5"/>
  <c r="G5"/>
  <c r="H5"/>
  <c r="I5"/>
  <c r="J5"/>
  <c r="K5"/>
  <c r="L5"/>
  <c r="M5"/>
  <c r="N5"/>
  <c r="O5"/>
  <c r="B5"/>
  <c r="C3" i="76" l="1"/>
  <c r="D3"/>
  <c r="E3"/>
  <c r="F3"/>
  <c r="G3"/>
  <c r="H3"/>
  <c r="I3"/>
  <c r="J3"/>
  <c r="K3"/>
  <c r="L3"/>
  <c r="M3"/>
  <c r="N3"/>
  <c r="O3"/>
  <c r="P3"/>
  <c r="Q3"/>
  <c r="R3"/>
  <c r="S3"/>
  <c r="T3"/>
  <c r="B3"/>
  <c r="S2" i="3"/>
  <c r="T2"/>
  <c r="U2"/>
  <c r="V2"/>
  <c r="W2"/>
  <c r="X2"/>
  <c r="Y2"/>
  <c r="Z2"/>
  <c r="AA2"/>
  <c r="AB2"/>
  <c r="AC2"/>
  <c r="AD2"/>
  <c r="AE2"/>
  <c r="AF2"/>
  <c r="AG2"/>
  <c r="AH2"/>
  <c r="AI2"/>
  <c r="AJ2"/>
  <c r="AK2"/>
  <c r="R2"/>
  <c r="BB5" i="7"/>
  <c r="AS5"/>
  <c r="AT5"/>
  <c r="AU5"/>
  <c r="AV5"/>
  <c r="AW5"/>
  <c r="AX5"/>
  <c r="AY5"/>
  <c r="AZ5"/>
  <c r="BA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E2" i="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D2"/>
  <c r="A2"/>
  <c r="A3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D18" i="77" l="1"/>
  <c r="D17"/>
  <c r="C19" l="1"/>
  <c r="C18"/>
  <c r="C17"/>
  <c r="C16"/>
  <c r="C15"/>
  <c r="C14"/>
  <c r="I6" l="1"/>
  <c r="P40" i="74" l="1"/>
  <c r="O40"/>
  <c r="N40"/>
  <c r="M40"/>
  <c r="L40"/>
  <c r="K40"/>
  <c r="J40"/>
  <c r="I40"/>
  <c r="H40"/>
  <c r="G40"/>
  <c r="F40"/>
  <c r="E40"/>
  <c r="D40"/>
  <c r="C40"/>
  <c r="B40"/>
  <c r="P39"/>
  <c r="O39"/>
  <c r="N39"/>
  <c r="M39"/>
  <c r="L39"/>
  <c r="K39"/>
  <c r="J39"/>
  <c r="I39"/>
  <c r="H39"/>
  <c r="G39"/>
  <c r="F39"/>
  <c r="E39"/>
  <c r="D39"/>
  <c r="C39"/>
  <c r="B39"/>
  <c r="P38"/>
  <c r="O38"/>
  <c r="N38"/>
  <c r="M38"/>
  <c r="L38"/>
  <c r="K38"/>
  <c r="J38"/>
  <c r="I38"/>
  <c r="H38"/>
  <c r="G38"/>
  <c r="F38"/>
  <c r="E38"/>
  <c r="D38"/>
  <c r="C38"/>
  <c r="B38"/>
  <c r="P37"/>
  <c r="O37"/>
  <c r="N37"/>
  <c r="M37"/>
  <c r="L37"/>
  <c r="K37"/>
  <c r="J37"/>
  <c r="I37"/>
  <c r="H37"/>
  <c r="G37"/>
  <c r="F37"/>
  <c r="E37"/>
  <c r="D37"/>
  <c r="C37"/>
  <c r="B37"/>
  <c r="P36"/>
  <c r="O36"/>
  <c r="N36"/>
  <c r="M36"/>
  <c r="L36"/>
  <c r="K36"/>
  <c r="J36"/>
  <c r="I36"/>
  <c r="H36"/>
  <c r="G36"/>
  <c r="F36"/>
  <c r="E36"/>
  <c r="D36"/>
  <c r="C36"/>
  <c r="B36"/>
  <c r="P35"/>
  <c r="O35"/>
  <c r="N35"/>
  <c r="M35"/>
  <c r="L35"/>
  <c r="K35"/>
  <c r="J35"/>
  <c r="I35"/>
  <c r="H35"/>
  <c r="G35"/>
  <c r="F35"/>
  <c r="E35"/>
  <c r="D35"/>
  <c r="C35"/>
  <c r="B35"/>
  <c r="P34"/>
  <c r="O34"/>
  <c r="N34"/>
  <c r="M34"/>
  <c r="L34"/>
  <c r="K34"/>
  <c r="J34"/>
  <c r="I34"/>
  <c r="H34"/>
  <c r="G34"/>
  <c r="F34"/>
  <c r="E34"/>
  <c r="D34"/>
  <c r="C34"/>
  <c r="B34"/>
  <c r="P33"/>
  <c r="O33"/>
  <c r="N33"/>
  <c r="M33"/>
  <c r="L33"/>
  <c r="K33"/>
  <c r="J33"/>
  <c r="I33"/>
  <c r="H33"/>
  <c r="G33"/>
  <c r="F33"/>
  <c r="E33"/>
  <c r="D33"/>
  <c r="C33"/>
  <c r="B33"/>
  <c r="P32"/>
  <c r="O32"/>
  <c r="N32"/>
  <c r="M32"/>
  <c r="L32"/>
  <c r="K32"/>
  <c r="J32"/>
  <c r="I32"/>
  <c r="H32"/>
  <c r="G32"/>
  <c r="F32"/>
  <c r="E32"/>
  <c r="D32"/>
  <c r="C32"/>
  <c r="B32"/>
  <c r="P31"/>
  <c r="O31"/>
  <c r="N31"/>
  <c r="M31"/>
  <c r="L31"/>
  <c r="K31"/>
  <c r="J31"/>
  <c r="I31"/>
  <c r="H31"/>
  <c r="G31"/>
  <c r="F31"/>
  <c r="E31"/>
  <c r="D31"/>
  <c r="C31"/>
  <c r="B31"/>
  <c r="P30"/>
  <c r="O30"/>
  <c r="N30"/>
  <c r="M30"/>
  <c r="L30"/>
  <c r="K30"/>
  <c r="J30"/>
  <c r="I30"/>
  <c r="H30"/>
  <c r="G30"/>
  <c r="F30"/>
  <c r="E30"/>
  <c r="D30"/>
  <c r="C30"/>
  <c r="B30"/>
  <c r="P29"/>
  <c r="O29"/>
  <c r="N29"/>
  <c r="M29"/>
  <c r="L29"/>
  <c r="K29"/>
  <c r="J29"/>
  <c r="I29"/>
  <c r="H29"/>
  <c r="G29"/>
  <c r="F29"/>
  <c r="E29"/>
  <c r="D29"/>
  <c r="C29"/>
  <c r="B29"/>
  <c r="P28"/>
  <c r="O28"/>
  <c r="N28"/>
  <c r="M28"/>
  <c r="L28"/>
  <c r="K28"/>
  <c r="J28"/>
  <c r="I28"/>
  <c r="H28"/>
  <c r="G28"/>
  <c r="F28"/>
  <c r="E28"/>
  <c r="D28"/>
  <c r="C28"/>
  <c r="B28"/>
  <c r="P27"/>
  <c r="O27"/>
  <c r="N27"/>
  <c r="M27"/>
  <c r="L27"/>
  <c r="K27"/>
  <c r="J27"/>
  <c r="I27"/>
  <c r="H27"/>
  <c r="G27"/>
  <c r="F27"/>
  <c r="E27"/>
  <c r="D27"/>
  <c r="C27"/>
  <c r="B27"/>
  <c r="P26"/>
  <c r="O26"/>
  <c r="N26"/>
  <c r="M26"/>
  <c r="L26"/>
  <c r="K26"/>
  <c r="J26"/>
  <c r="I26"/>
  <c r="H26"/>
  <c r="G26"/>
  <c r="F26"/>
  <c r="E26"/>
  <c r="D26"/>
  <c r="C26"/>
  <c r="B26"/>
  <c r="P25"/>
  <c r="O25"/>
  <c r="N25"/>
  <c r="M25"/>
  <c r="L25"/>
  <c r="K25"/>
  <c r="J25"/>
  <c r="I25"/>
  <c r="H25"/>
  <c r="G25"/>
  <c r="F25"/>
  <c r="E25"/>
  <c r="D25"/>
  <c r="C25"/>
  <c r="B25"/>
  <c r="P24"/>
  <c r="O24"/>
  <c r="N24"/>
  <c r="M24"/>
  <c r="L24"/>
  <c r="K24"/>
  <c r="J24"/>
  <c r="I24"/>
  <c r="H24"/>
  <c r="G24"/>
  <c r="F24"/>
  <c r="E24"/>
  <c r="D24"/>
  <c r="C24"/>
  <c r="B24"/>
  <c r="P23"/>
  <c r="O23"/>
  <c r="N23"/>
  <c r="M23"/>
  <c r="L23"/>
  <c r="K23"/>
  <c r="J23"/>
  <c r="I23"/>
  <c r="H23"/>
  <c r="G23"/>
  <c r="F23"/>
  <c r="E23"/>
  <c r="D23"/>
  <c r="C23"/>
  <c r="B23"/>
  <c r="P22"/>
  <c r="O22"/>
  <c r="N22"/>
  <c r="M22"/>
  <c r="L22"/>
  <c r="K22"/>
  <c r="J22"/>
  <c r="I22"/>
  <c r="H22"/>
  <c r="G22"/>
  <c r="F22"/>
  <c r="E22"/>
  <c r="D22"/>
  <c r="C22"/>
  <c r="B22"/>
  <c r="P21"/>
  <c r="O21"/>
  <c r="N21"/>
  <c r="M21"/>
  <c r="L21"/>
  <c r="K21"/>
  <c r="J21"/>
  <c r="I21"/>
  <c r="H21"/>
  <c r="G21"/>
  <c r="F21"/>
  <c r="E21"/>
  <c r="D21"/>
  <c r="C21"/>
  <c r="B21"/>
  <c r="P20"/>
  <c r="O20"/>
  <c r="N20"/>
  <c r="M20"/>
  <c r="L20"/>
  <c r="K20"/>
  <c r="J20"/>
  <c r="I20"/>
  <c r="H20"/>
  <c r="G20"/>
  <c r="F20"/>
  <c r="E20"/>
  <c r="D20"/>
  <c r="C20"/>
  <c r="B20"/>
  <c r="P19"/>
  <c r="O19"/>
  <c r="N19"/>
  <c r="M19"/>
  <c r="L19"/>
  <c r="K19"/>
  <c r="J19"/>
  <c r="I19"/>
  <c r="H19"/>
  <c r="G19"/>
  <c r="F19"/>
  <c r="E19"/>
  <c r="D19"/>
  <c r="C19"/>
  <c r="B19"/>
  <c r="P18"/>
  <c r="O18"/>
  <c r="N18"/>
  <c r="M18"/>
  <c r="L18"/>
  <c r="K18"/>
  <c r="J18"/>
  <c r="I18"/>
  <c r="H18"/>
  <c r="G18"/>
  <c r="F18"/>
  <c r="E18"/>
  <c r="D18"/>
  <c r="C18"/>
  <c r="B18"/>
  <c r="P17"/>
  <c r="O17"/>
  <c r="N17"/>
  <c r="M17"/>
  <c r="L17"/>
  <c r="K17"/>
  <c r="J17"/>
  <c r="I17"/>
  <c r="H17"/>
  <c r="G17"/>
  <c r="F17"/>
  <c r="E17"/>
  <c r="D17"/>
  <c r="C17"/>
  <c r="B17"/>
  <c r="P16"/>
  <c r="O16"/>
  <c r="N16"/>
  <c r="M16"/>
  <c r="L16"/>
  <c r="K16"/>
  <c r="J16"/>
  <c r="I16"/>
  <c r="H16"/>
  <c r="G16"/>
  <c r="F16"/>
  <c r="E16"/>
  <c r="D16"/>
  <c r="C16"/>
  <c r="B16"/>
  <c r="P15"/>
  <c r="O15"/>
  <c r="N15"/>
  <c r="M15"/>
  <c r="L15"/>
  <c r="K15"/>
  <c r="J15"/>
  <c r="I15"/>
  <c r="H15"/>
  <c r="G15"/>
  <c r="F15"/>
  <c r="E15"/>
  <c r="D15"/>
  <c r="C15"/>
  <c r="B15"/>
  <c r="P14"/>
  <c r="O14"/>
  <c r="N14"/>
  <c r="M14"/>
  <c r="L14"/>
  <c r="K14"/>
  <c r="J14"/>
  <c r="I14"/>
  <c r="H14"/>
  <c r="G14"/>
  <c r="F14"/>
  <c r="E14"/>
  <c r="D14"/>
  <c r="C14"/>
  <c r="B14"/>
  <c r="P13"/>
  <c r="O13"/>
  <c r="N13"/>
  <c r="M13"/>
  <c r="L13"/>
  <c r="K13"/>
  <c r="J13"/>
  <c r="I13"/>
  <c r="H13"/>
  <c r="G13"/>
  <c r="F13"/>
  <c r="E13"/>
  <c r="D13"/>
  <c r="C13"/>
  <c r="B13"/>
  <c r="P12"/>
  <c r="O12"/>
  <c r="N12"/>
  <c r="M12"/>
  <c r="L12"/>
  <c r="K12"/>
  <c r="J12"/>
  <c r="I12"/>
  <c r="H12"/>
  <c r="G12"/>
  <c r="F12"/>
  <c r="E12"/>
  <c r="D12"/>
  <c r="C12"/>
  <c r="B12"/>
  <c r="P11"/>
  <c r="O11"/>
  <c r="N11"/>
  <c r="M11"/>
  <c r="L11"/>
  <c r="K11"/>
  <c r="J11"/>
  <c r="I11"/>
  <c r="H11"/>
  <c r="G11"/>
  <c r="F11"/>
  <c r="E11"/>
  <c r="D11"/>
  <c r="C11"/>
  <c r="B11"/>
  <c r="P10"/>
  <c r="O10"/>
  <c r="N10"/>
  <c r="M10"/>
  <c r="L10"/>
  <c r="K10"/>
  <c r="J10"/>
  <c r="I10"/>
  <c r="H10"/>
  <c r="G10"/>
  <c r="F10"/>
  <c r="E10"/>
  <c r="D10"/>
  <c r="C10"/>
  <c r="B10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M6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N5"/>
  <c r="M5"/>
  <c r="AB17" i="76"/>
  <c r="AB8"/>
  <c r="AB18"/>
  <c r="AC18"/>
  <c r="AC17"/>
  <c r="AC15"/>
  <c r="AC14"/>
  <c r="AB14"/>
  <c r="AB13"/>
  <c r="AC13"/>
  <c r="AD11"/>
  <c r="AD10"/>
  <c r="AD9"/>
  <c r="AC11"/>
  <c r="AC10"/>
  <c r="AC9"/>
  <c r="AB11"/>
  <c r="AB10"/>
  <c r="AB9"/>
  <c r="AA12"/>
  <c r="AA11"/>
  <c r="AA10"/>
  <c r="AA9"/>
  <c r="Z9"/>
  <c r="Y16"/>
  <c r="Y15"/>
  <c r="Y14"/>
  <c r="Y13"/>
  <c r="X13"/>
  <c r="X14"/>
  <c r="X15"/>
  <c r="X16"/>
  <c r="W16"/>
  <c r="W15"/>
  <c r="W14"/>
  <c r="W13"/>
  <c r="V16"/>
  <c r="V15"/>
  <c r="V14"/>
  <c r="V13"/>
  <c r="AB12"/>
  <c r="AC12"/>
  <c r="Z11"/>
  <c r="Z10"/>
  <c r="Y11"/>
  <c r="Y10"/>
  <c r="Y9"/>
  <c r="X11"/>
  <c r="X10"/>
  <c r="X9"/>
  <c r="W11"/>
  <c r="W10"/>
  <c r="W9"/>
  <c r="V11"/>
  <c r="V10"/>
  <c r="V9"/>
  <c r="Q2" i="3"/>
  <c r="P2"/>
  <c r="O2"/>
  <c r="N2"/>
  <c r="M2"/>
  <c r="L2"/>
  <c r="K2"/>
  <c r="J2"/>
  <c r="I2"/>
  <c r="H2"/>
  <c r="G2"/>
  <c r="F2"/>
  <c r="E2"/>
  <c r="D2"/>
  <c r="C2"/>
  <c r="B2"/>
  <c r="S40" i="74" l="1"/>
  <c r="R40"/>
  <c r="S39"/>
  <c r="R39"/>
  <c r="S38"/>
  <c r="R38"/>
  <c r="S37"/>
  <c r="R37"/>
  <c r="S36"/>
  <c r="R36"/>
  <c r="S35"/>
  <c r="R35"/>
  <c r="S34"/>
  <c r="R34"/>
  <c r="S33"/>
  <c r="R33"/>
  <c r="S32"/>
  <c r="R32"/>
  <c r="S31"/>
  <c r="R31"/>
  <c r="S30"/>
  <c r="R30"/>
  <c r="S29"/>
  <c r="R29"/>
  <c r="S28"/>
  <c r="R28"/>
  <c r="S27"/>
  <c r="R27"/>
  <c r="S26"/>
  <c r="R26"/>
  <c r="S25"/>
  <c r="R25"/>
  <c r="S24"/>
  <c r="R24"/>
  <c r="S23"/>
  <c r="R23"/>
  <c r="S22"/>
  <c r="R22"/>
  <c r="S21"/>
  <c r="R21"/>
  <c r="S20"/>
  <c r="R20"/>
  <c r="S19"/>
  <c r="R19"/>
  <c r="S18"/>
  <c r="R18"/>
  <c r="S17"/>
  <c r="R17"/>
  <c r="S16"/>
  <c r="R16"/>
  <c r="S15"/>
  <c r="R15"/>
  <c r="S14"/>
  <c r="R14"/>
  <c r="S13"/>
  <c r="R13"/>
  <c r="S12"/>
  <c r="R12"/>
  <c r="S11"/>
  <c r="R11"/>
  <c r="S10"/>
  <c r="R10"/>
  <c r="J8" i="76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W27" s="1"/>
  <c r="F8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T7" i="3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R7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X10" i="5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10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6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10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10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V6"/>
  <c r="V7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8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G6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R9" i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9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9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5"/>
  <c r="AE6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5"/>
  <c r="AC6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5"/>
  <c r="Z6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9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9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6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6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9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9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9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7" i="2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7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7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7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7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7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P33" i="3"/>
  <c r="K35" i="1" l="1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AS29" l="1"/>
  <c r="E26" i="2"/>
  <c r="U24" i="3"/>
  <c r="U25"/>
  <c r="P24"/>
  <c r="D21" i="1" l="1"/>
  <c r="E21" s="1"/>
  <c r="Y19" i="2"/>
  <c r="Y18"/>
  <c r="W19"/>
  <c r="W18"/>
  <c r="Q19"/>
  <c r="I12" i="77" l="1"/>
  <c r="BH5" i="7"/>
  <c r="BG5"/>
  <c r="BF5"/>
  <c r="BE5"/>
  <c r="BD5"/>
  <c r="BC5"/>
  <c r="AP5"/>
  <c r="Q3" i="2"/>
  <c r="H12" i="77" l="1"/>
  <c r="AC19" i="76" l="1"/>
  <c r="AB19"/>
  <c r="M6" i="5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K13" i="73"/>
  <c r="O6" i="5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A35" i="1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Y4" i="2"/>
  <c r="Y7" s="1"/>
  <c r="Y9" s="1"/>
  <c r="Y11" s="1"/>
  <c r="Y15" s="1"/>
  <c r="Y16" s="1"/>
  <c r="Y17" s="1"/>
  <c r="Y21" s="1"/>
  <c r="Y22" s="1"/>
  <c r="Y23" s="1"/>
  <c r="Y24" s="1"/>
  <c r="Y25" s="1"/>
  <c r="Y26" s="1"/>
  <c r="Y28" s="1"/>
  <c r="Y29" s="1"/>
  <c r="Y30" s="1"/>
  <c r="Y32" s="1"/>
  <c r="Y33" s="1"/>
  <c r="W4"/>
  <c r="W7" s="1"/>
  <c r="W9" s="1"/>
  <c r="W11" s="1"/>
  <c r="W15" s="1"/>
  <c r="W16" s="1"/>
  <c r="W17" s="1"/>
  <c r="W21" s="1"/>
  <c r="W22" s="1"/>
  <c r="W23" s="1"/>
  <c r="W24" s="1"/>
  <c r="W25" s="1"/>
  <c r="W26" s="1"/>
  <c r="W28" s="1"/>
  <c r="W30" s="1"/>
  <c r="W32" s="1"/>
  <c r="W33" s="1"/>
  <c r="D31" i="1" l="1"/>
  <c r="E31" s="1"/>
  <c r="E23" i="3"/>
  <c r="U16"/>
  <c r="E24" l="1"/>
  <c r="U17"/>
  <c r="E25" l="1"/>
  <c r="U18"/>
  <c r="U19" l="1"/>
  <c r="E26"/>
  <c r="E33" i="2" l="1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J5" i="79"/>
  <c r="W43" i="74" l="1"/>
  <c r="S43"/>
  <c r="O43"/>
  <c r="R43"/>
  <c r="N43"/>
  <c r="J43"/>
  <c r="F43"/>
  <c r="A10" i="3"/>
  <c r="A11"/>
  <c r="A12"/>
  <c r="A13"/>
  <c r="A3" i="76" l="1"/>
  <c r="A5" i="7"/>
  <c r="P30" i="3" l="1"/>
  <c r="P31" s="1"/>
  <c r="P32" s="1"/>
  <c r="P29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W17" i="76" l="1"/>
  <c r="AT37" i="5" l="1"/>
  <c r="A2" i="3"/>
  <c r="A5" i="73"/>
  <c r="N7" i="1" l="1"/>
  <c r="B32" i="82"/>
  <c r="B32" i="81"/>
  <c r="AC16" i="76"/>
  <c r="AB15"/>
  <c r="AB16"/>
  <c r="AA17"/>
  <c r="V27"/>
  <c r="V28"/>
  <c r="V26"/>
  <c r="AS37" i="7" l="1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20" i="5" l="1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A36" i="79"/>
  <c r="L36" s="1"/>
  <c r="AK38" i="5"/>
  <c r="AU6"/>
  <c r="AZ6" s="1"/>
  <c r="BC6" s="1"/>
  <c r="A36"/>
  <c r="AR36" s="1"/>
  <c r="AN36"/>
  <c r="AP36"/>
  <c r="AV36" i="1"/>
  <c r="AV39" s="1"/>
  <c r="AM36" i="5"/>
  <c r="AZ36" i="7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BA36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V5" l="1"/>
  <c r="J10" i="1"/>
  <c r="D12" i="5"/>
  <c r="E12"/>
  <c r="B26" i="2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S5"/>
  <c r="B29" i="2"/>
  <c r="L28" i="82" s="1"/>
  <c r="X50" i="74"/>
  <c r="R81"/>
  <c r="S81"/>
  <c r="L6" i="1"/>
  <c r="U6" s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L25" i="82"/>
  <c r="O25" i="8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B33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L26"/>
  <c r="L22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"/>
  <c r="L29" i="82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P7"/>
  <c r="Y4" i="3"/>
  <c r="X5"/>
  <c r="AE3"/>
  <c r="AF3" s="1"/>
  <c r="AG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5" i="3" l="1"/>
  <c r="AB5" s="1"/>
  <c r="J11" i="65"/>
  <c r="BF6" i="5"/>
  <c r="BG6" s="1"/>
  <c r="G6" i="65" s="1"/>
  <c r="AF7" i="7"/>
  <c r="AG7" s="1"/>
  <c r="AF14" i="5"/>
  <c r="AI14" s="1"/>
  <c r="AJ5" i="1"/>
  <c r="AK5" s="1"/>
  <c r="P6" i="3"/>
  <c r="Q5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I7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6" i="5"/>
  <c r="AD35"/>
  <c r="AB23" i="74"/>
  <c r="D12" i="65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F6" i="3" l="1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J7" l="1"/>
  <c r="AK7" s="1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L7" l="1"/>
  <c r="AM7" s="1"/>
  <c r="AO7" s="1"/>
  <c r="AN7" s="1"/>
  <c r="F8" i="3"/>
  <c r="AB8" s="1"/>
  <c r="P9"/>
  <c r="Q8"/>
  <c r="J7" i="81"/>
  <c r="AX11" i="1"/>
  <c r="AO9" i="7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O13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14" l="1"/>
  <c r="AN12"/>
  <c r="AN13"/>
  <c r="AN10"/>
  <c r="AN9"/>
  <c r="Q9" i="3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N11" l="1"/>
  <c r="AN8"/>
  <c r="F11" i="3"/>
  <c r="AB11" s="1"/>
  <c r="Q10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AN15" l="1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N16" l="1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N17" l="1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X7"/>
  <c r="Y13"/>
  <c r="Y10"/>
  <c r="H26" i="5"/>
  <c r="I23" i="3"/>
  <c r="C23"/>
  <c r="F23" s="1"/>
  <c r="Y25" i="5"/>
  <c r="J21" i="82" s="1"/>
  <c r="AO25" i="1"/>
  <c r="AA25"/>
  <c r="Y25"/>
  <c r="AB25" s="1"/>
  <c r="L26"/>
  <c r="AO18" i="7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Q7" i="7"/>
  <c r="X12"/>
  <c r="Y6"/>
  <c r="X13" l="1"/>
  <c r="AR13"/>
  <c r="AS14" s="1"/>
  <c r="AX14" s="1"/>
  <c r="X10"/>
  <c r="AR10"/>
  <c r="BC10" s="1"/>
  <c r="AN18"/>
  <c r="AR8"/>
  <c r="BC8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AS15" i="7"/>
  <c r="AX15" s="1"/>
  <c r="AQ15"/>
  <c r="BC15"/>
  <c r="X6"/>
  <c r="AR6"/>
  <c r="AQ6" s="1"/>
  <c r="AQ9"/>
  <c r="AQ8"/>
  <c r="BC9"/>
  <c r="AS12"/>
  <c r="AX12" s="1"/>
  <c r="AQ12"/>
  <c r="AQ11"/>
  <c r="BC12"/>
  <c r="AS8" l="1"/>
  <c r="AX8" s="1"/>
  <c r="AY8" s="1"/>
  <c r="AS9"/>
  <c r="AX9" s="1"/>
  <c r="Q7" i="76" s="1"/>
  <c r="AN19" i="7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Y16"/>
  <c r="C25" i="3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Y15" i="7"/>
  <c r="Q13" i="76"/>
  <c r="BC6" i="7"/>
  <c r="AS6"/>
  <c r="AS7"/>
  <c r="AX7" s="1"/>
  <c r="AY12"/>
  <c r="Q10" i="76"/>
  <c r="Q6" l="1"/>
  <c r="AY9" i="7"/>
  <c r="AN20"/>
  <c r="X16"/>
  <c r="AR16"/>
  <c r="AS16" s="1"/>
  <c r="AX16" s="1"/>
  <c r="AL26" i="5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AX6" i="7"/>
  <c r="Q4" i="76" s="1"/>
  <c r="AY7" i="7"/>
  <c r="Q5" i="76"/>
  <c r="AN21" i="7" l="1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Y6" i="7"/>
  <c r="X18" l="1"/>
  <c r="AR18"/>
  <c r="AQ18" s="1"/>
  <c r="AN22"/>
  <c r="Q19" i="3"/>
  <c r="P20"/>
  <c r="AX21" i="1"/>
  <c r="J17" i="81"/>
  <c r="H18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AN23" i="7" l="1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I17" i="63"/>
  <c r="BF21" i="5"/>
  <c r="BG21" s="1"/>
  <c r="G21" i="65" s="1"/>
  <c r="AO24" i="7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5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BE22" i="5" l="1"/>
  <c r="BF22" s="1"/>
  <c r="BG22" s="1"/>
  <c r="G22" i="65" s="1"/>
  <c r="BB22" i="5"/>
  <c r="AN24" i="7"/>
  <c r="X20"/>
  <c r="AR20"/>
  <c r="AS20" s="1"/>
  <c r="AX20" s="1"/>
  <c r="Q21" i="3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I18" i="63" l="1"/>
  <c r="AN25" i="7"/>
  <c r="AS21"/>
  <c r="AX21" s="1"/>
  <c r="Q22" i="3"/>
  <c r="P23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AN26" i="7" l="1"/>
  <c r="AR22"/>
  <c r="AQ22" s="1"/>
  <c r="Q23" i="3"/>
  <c r="T33" i="1"/>
  <c r="AA29" i="3"/>
  <c r="V29"/>
  <c r="AX25" i="1"/>
  <c r="J21" i="81"/>
  <c r="H22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BC22" i="7" l="1"/>
  <c r="AS22"/>
  <c r="AX22" s="1"/>
  <c r="AN27"/>
  <c r="AR23"/>
  <c r="BC23" s="1"/>
  <c r="Q24" i="3"/>
  <c r="P25"/>
  <c r="T34" i="1"/>
  <c r="T35"/>
  <c r="AB29" i="3"/>
  <c r="H37" i="5"/>
  <c r="B7" i="77" s="1"/>
  <c r="J22" i="81"/>
  <c r="AX26" i="1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AT34" i="1"/>
  <c r="AU34" s="1"/>
  <c r="I33" i="3"/>
  <c r="C33"/>
  <c r="Y36" i="5"/>
  <c r="Y35"/>
  <c r="J31" i="82" s="1"/>
  <c r="X23" i="7"/>
  <c r="AA26" i="76"/>
  <c r="K34"/>
  <c r="N34" s="1"/>
  <c r="N35" s="1"/>
  <c r="N36" s="1"/>
  <c r="I33"/>
  <c r="M33" s="1"/>
  <c r="L32"/>
  <c r="D32"/>
  <c r="E32" s="1"/>
  <c r="G33"/>
  <c r="C32"/>
  <c r="U31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E36" s="1"/>
  <c r="C35"/>
  <c r="E35" s="1"/>
  <c r="D34"/>
  <c r="I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AG33" l="1"/>
  <c r="X24" i="7"/>
  <c r="AR24"/>
  <c r="AN28"/>
  <c r="AB26" i="76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BC24" i="7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A28"/>
  <c r="G34"/>
  <c r="D33"/>
  <c r="E33" s="1"/>
  <c r="L33"/>
  <c r="C34"/>
  <c r="C33"/>
  <c r="U33" i="3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D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AA33" i="3" l="1"/>
  <c r="V33"/>
  <c r="AB27" i="76"/>
  <c r="A36"/>
  <c r="F4" i="77" s="1"/>
  <c r="AB31" i="3"/>
  <c r="Q26"/>
  <c r="P27"/>
  <c r="I37" i="5"/>
  <c r="G39" s="1"/>
  <c r="J24" i="81"/>
  <c r="AX28" i="1"/>
  <c r="E38" i="5"/>
  <c r="H25" i="81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AQ24"/>
  <c r="AS24"/>
  <c r="AO30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O33" s="1"/>
  <c r="H32" i="82"/>
  <c r="AI30" i="2"/>
  <c r="J32" i="65"/>
  <c r="R31" i="2"/>
  <c r="E30" i="81"/>
  <c r="C30" i="63"/>
  <c r="D30" s="1"/>
  <c r="S32" i="76"/>
  <c r="X26" i="7" l="1"/>
  <c r="AR26"/>
  <c r="BC26" s="1"/>
  <c r="AN30"/>
  <c r="Q27" i="3"/>
  <c r="P28"/>
  <c r="Q28" s="1"/>
  <c r="I38" i="5"/>
  <c r="J25" i="81"/>
  <c r="AX29" i="1"/>
  <c r="H26" i="81"/>
  <c r="I36" i="76"/>
  <c r="AU34" i="5"/>
  <c r="AZ33"/>
  <c r="BC33" s="1"/>
  <c r="AB32" i="3"/>
  <c r="D38" i="73"/>
  <c r="B16" i="77" s="1"/>
  <c r="AC30" i="76"/>
  <c r="K35"/>
  <c r="E8" i="77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E28" i="76"/>
  <c r="AF28" s="1"/>
  <c r="AB30"/>
  <c r="AH31" i="3"/>
  <c r="AK32"/>
  <c r="AC32"/>
  <c r="N33"/>
  <c r="AB33" s="1"/>
  <c r="Z33"/>
  <c r="K35"/>
  <c r="U34" s="1"/>
  <c r="W31" i="76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AR27" s="1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E16" i="77" l="1"/>
  <c r="X31" i="76"/>
  <c r="W39"/>
  <c r="AX30" i="1"/>
  <c r="J26" i="81"/>
  <c r="H27"/>
  <c r="AU35" i="5"/>
  <c r="AZ34"/>
  <c r="BC34" s="1"/>
  <c r="AC31" i="76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5" i="76"/>
  <c r="W41" l="1"/>
  <c r="W43" s="1"/>
  <c r="F18" i="77"/>
  <c r="E18"/>
  <c r="B19"/>
  <c r="Y31" i="76"/>
  <c r="O5"/>
  <c r="P5" s="1"/>
  <c r="R5" s="1"/>
  <c r="T5" s="1"/>
  <c r="F3" i="81" s="1"/>
  <c r="J27"/>
  <c r="AX31" i="1"/>
  <c r="H28" i="81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AH33" i="3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R29" s="1"/>
  <c r="AQ27"/>
  <c r="BC28"/>
  <c r="AS27"/>
  <c r="AX27" s="1"/>
  <c r="BC27"/>
  <c r="P33"/>
  <c r="O33"/>
  <c r="M34"/>
  <c r="N34"/>
  <c r="Q32"/>
  <c r="R32"/>
  <c r="K35"/>
  <c r="L35"/>
  <c r="S31"/>
  <c r="T31"/>
  <c r="D10" i="77" l="1"/>
  <c r="E10" s="1"/>
  <c r="E12" s="1"/>
  <c r="P34" i="76"/>
  <c r="P35" s="1"/>
  <c r="AX32" i="1"/>
  <c r="J28" i="81"/>
  <c r="H29"/>
  <c r="BC36" i="5"/>
  <c r="Q31"/>
  <c r="M27" i="81" s="1"/>
  <c r="AB37" i="76"/>
  <c r="AB39" s="1"/>
  <c r="Z40" s="1"/>
  <c r="AB35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AR30" s="1"/>
  <c r="AO34"/>
  <c r="AN34" s="1"/>
  <c r="R4" i="76"/>
  <c r="T4" s="1"/>
  <c r="F2" i="81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X30" l="1"/>
  <c r="AQ30"/>
  <c r="G10" i="77"/>
  <c r="G12" s="1"/>
  <c r="H14" s="1"/>
  <c r="AB36" i="76"/>
  <c r="F10" i="77"/>
  <c r="F12" s="1"/>
  <c r="J29" i="81"/>
  <c r="AX33" i="1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Y31" i="7"/>
  <c r="AR31" s="1"/>
  <c r="AO36"/>
  <c r="AN36" s="1"/>
  <c r="O36"/>
  <c r="P36"/>
  <c r="P35"/>
  <c r="O35"/>
  <c r="Q34"/>
  <c r="R34"/>
  <c r="T33"/>
  <c r="S33"/>
  <c r="AS29"/>
  <c r="AX29" s="1"/>
  <c r="AQ29"/>
  <c r="BC29"/>
  <c r="V32"/>
  <c r="W32" s="1"/>
  <c r="U32"/>
  <c r="AS30" l="1"/>
  <c r="AX30" s="1"/>
  <c r="Q28" i="76" s="1"/>
  <c r="R28" s="1"/>
  <c r="T28" s="1"/>
  <c r="F26" i="81" s="1"/>
  <c r="I14" i="77"/>
  <c r="AS31" i="7"/>
  <c r="AX31" s="1"/>
  <c r="AY31" s="1"/>
  <c r="J30" i="81"/>
  <c r="AX34" i="1"/>
  <c r="H32" i="81"/>
  <c r="H31"/>
  <c r="Q27" i="76"/>
  <c r="R27" s="1"/>
  <c r="T27" s="1"/>
  <c r="F25" i="81" s="1"/>
  <c r="Q33" i="5"/>
  <c r="M29" i="81" s="1"/>
  <c r="AI32" i="1"/>
  <c r="AW33" i="7" s="1"/>
  <c r="B32" i="65"/>
  <c r="E32" s="1"/>
  <c r="X33" i="3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BC30" i="7"/>
  <c r="Y32"/>
  <c r="AR32" s="1"/>
  <c r="BC31"/>
  <c r="X31"/>
  <c r="Q36"/>
  <c r="R36"/>
  <c r="T34"/>
  <c r="S34"/>
  <c r="AQ31"/>
  <c r="U33"/>
  <c r="V33"/>
  <c r="W33" s="1"/>
  <c r="R35"/>
  <c r="Q35"/>
  <c r="X32" l="1"/>
  <c r="BC32"/>
  <c r="Y33" i="3"/>
  <c r="J31" i="81"/>
  <c r="AX35" i="1"/>
  <c r="AY29" i="7"/>
  <c r="AJ32" i="1"/>
  <c r="AK32" s="1"/>
  <c r="G29" i="81"/>
  <c r="N34" i="1"/>
  <c r="V34" s="1"/>
  <c r="N35"/>
  <c r="V35" s="1"/>
  <c r="AI35" s="1"/>
  <c r="AW36" i="7" s="1"/>
  <c r="AS36" i="5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Y30" i="7"/>
  <c r="Q29" i="76"/>
  <c r="R29" s="1"/>
  <c r="T29" s="1"/>
  <c r="F27" i="81" s="1"/>
  <c r="Y33" i="7"/>
  <c r="AR33" s="1"/>
  <c r="V34"/>
  <c r="W34" s="1"/>
  <c r="U34"/>
  <c r="S36"/>
  <c r="T36"/>
  <c r="T35"/>
  <c r="S35"/>
  <c r="AY36" i="5" l="1"/>
  <c r="J32" i="81"/>
  <c r="Q35" i="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AS32" i="7"/>
  <c r="AQ32"/>
  <c r="X33"/>
  <c r="Y34"/>
  <c r="AR34" s="1"/>
  <c r="AS33"/>
  <c r="AX33" s="1"/>
  <c r="AQ33"/>
  <c r="U36"/>
  <c r="V36"/>
  <c r="W36" s="1"/>
  <c r="U35"/>
  <c r="V35"/>
  <c r="W35" s="1"/>
  <c r="BC33"/>
  <c r="BB36" i="5" l="1"/>
  <c r="M32" i="81"/>
  <c r="AX32" i="7"/>
  <c r="AY32" s="1"/>
  <c r="M31" i="81"/>
  <c r="Y35" i="7"/>
  <c r="AI37" i="1"/>
  <c r="AJ34"/>
  <c r="AK34" s="1"/>
  <c r="G31" i="81"/>
  <c r="AJ33" i="1"/>
  <c r="AK33" s="1"/>
  <c r="G30" i="81"/>
  <c r="Y36" i="7"/>
  <c r="X34"/>
  <c r="AQ34"/>
  <c r="AS34"/>
  <c r="AX34" s="1"/>
  <c r="AY33"/>
  <c r="Q31" i="76"/>
  <c r="R31" s="1"/>
  <c r="T31" s="1"/>
  <c r="F29" i="81" s="1"/>
  <c r="BC34" i="7"/>
  <c r="X36" l="1"/>
  <c r="AR36"/>
  <c r="AR35"/>
  <c r="BC35" s="1"/>
  <c r="BE36" i="5"/>
  <c r="Q30" i="76"/>
  <c r="R30" s="1"/>
  <c r="T30" s="1"/>
  <c r="F28" i="81" s="1"/>
  <c r="X35" i="7"/>
  <c r="Q32" i="76"/>
  <c r="R32" s="1"/>
  <c r="T32" s="1"/>
  <c r="F30" i="81" s="1"/>
  <c r="AY34" i="7"/>
  <c r="AQ35"/>
  <c r="AS35"/>
  <c r="AX35" s="1"/>
  <c r="AS36" l="1"/>
  <c r="AS40" s="1"/>
  <c r="BF36" i="5"/>
  <c r="AQ36" i="7"/>
  <c r="AY35"/>
  <c r="Q33" i="76"/>
  <c r="R33" s="1"/>
  <c r="T33" s="1"/>
  <c r="F31" i="81" s="1"/>
  <c r="AX36" i="7" l="1"/>
  <c r="AY36" s="1"/>
  <c r="AY37" s="1"/>
  <c r="BG36" i="5"/>
  <c r="Q34" i="76" l="1"/>
  <c r="Q35" s="1"/>
  <c r="AX37" i="7"/>
  <c r="Z41" i="76" s="1"/>
  <c r="Z42" s="1"/>
  <c r="Z44" s="1"/>
  <c r="R34" l="1"/>
  <c r="R35" s="1"/>
  <c r="T34"/>
  <c r="F32" i="81" l="1"/>
  <c r="I35" i="79" l="1"/>
  <c r="I22"/>
  <c r="I28"/>
  <c r="I19"/>
  <c r="I25"/>
  <c r="I10"/>
  <c r="I12"/>
  <c r="I30"/>
  <c r="I11"/>
  <c r="I29"/>
  <c r="I26"/>
  <c r="L11" i="5"/>
  <c r="H8" i="63" s="1"/>
  <c r="I24" i="79"/>
  <c r="I36"/>
  <c r="I21"/>
  <c r="I20"/>
  <c r="I32"/>
  <c r="I34"/>
  <c r="I23"/>
  <c r="I27"/>
  <c r="I33"/>
  <c r="L16" i="5"/>
  <c r="AK16" s="1"/>
  <c r="I15" i="79"/>
  <c r="I31"/>
  <c r="I18"/>
  <c r="I17"/>
  <c r="L13" i="5"/>
  <c r="AK13" s="1"/>
  <c r="L15"/>
  <c r="L12"/>
  <c r="AK12" s="1"/>
  <c r="I14" i="79"/>
  <c r="L19" i="5"/>
  <c r="L31" l="1"/>
  <c r="H28" i="63" s="1"/>
  <c r="L10" i="5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AK32" s="1"/>
  <c r="L28"/>
  <c r="H25" i="63" s="1"/>
  <c r="L27" i="5"/>
  <c r="AK27" s="1"/>
  <c r="L36"/>
  <c r="AK36" s="1"/>
  <c r="AK21"/>
  <c r="AK22"/>
  <c r="H11" i="63"/>
  <c r="F14" i="65"/>
  <c r="F19"/>
  <c r="H16" i="63"/>
  <c r="AK19" i="5"/>
  <c r="F15" i="65"/>
  <c r="AK15" i="5"/>
  <c r="H12" i="63"/>
  <c r="L26" i="5"/>
  <c r="L9"/>
  <c r="L20"/>
  <c r="F12" i="65"/>
  <c r="I13" i="79"/>
  <c r="L18" i="5"/>
  <c r="F16" i="65"/>
  <c r="H10" i="63"/>
  <c r="H13"/>
  <c r="AK11" i="5"/>
  <c r="F13" i="65"/>
  <c r="F11"/>
  <c r="L33" i="5"/>
  <c r="I16" i="79"/>
  <c r="F31" i="65" l="1"/>
  <c r="AK10" i="5"/>
  <c r="H14" i="63"/>
  <c r="AK17" i="5"/>
  <c r="AK31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33" i="5"/>
  <c r="AK26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I7" i="79"/>
  <c r="I6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ahmad.ghazalah</author>
    <author>hussein.saleh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<sst xmlns="http://schemas.openxmlformats.org/spreadsheetml/2006/main" count="658" uniqueCount="421">
  <si>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</si>
  <si>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</si>
  <si>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</si>
  <si>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</si>
  <si>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</si>
  <si>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</si>
  <si>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</si>
  <si>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</si>
  <si>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</si>
  <si>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</si>
  <si>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</si>
  <si>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</si>
  <si>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</si>
  <si>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</si>
  <si>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</si>
  <si>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</si>
  <si>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</si>
  <si>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</si>
  <si>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</si>
  <si>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</si>
  <si>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</si>
  <si>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</si>
  <si>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</si>
  <si>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</si>
  <si>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</si>
  <si>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</si>
  <si>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</si>
  <si>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</si>
  <si>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</si>
  <si>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</si>
  <si>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</si>
  <si>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</si>
  <si>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</si>
  <si>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</si>
  <si>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</si>
  <si>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</si>
  <si>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</si>
  <si>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</si>
  <si>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</si>
  <si>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</si>
  <si>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</si>
  <si>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</si>
  <si>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</si>
  <si>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</si>
  <si>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</si>
  <si>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</si>
  <si>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</si>
  <si>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</si>
  <si>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</si>
  <si>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</si>
  <si>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</si>
  <si>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</si>
  <si>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</si>
  <si>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</si>
  <si>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</si>
  <si>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</si>
  <si>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</si>
  <si>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</si>
  <si>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</si>
  <si>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</si>
  <si>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</si>
  <si>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</si>
  <si>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</si>
  <si>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</si>
  <si>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</si>
  <si>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</si>
  <si>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</si>
  <si>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</si>
  <si>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</si>
  <si>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</si>
  <si>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</si>
  <si>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</si>
  <si>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</si>
  <si>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</si>
  <si>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</si>
  <si>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</si>
  <si>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</si>
  <si>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</si>
  <si>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</si>
  <si>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</si>
  <si>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</si>
  <si>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</si>
  <si>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</si>
  <si>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</si>
  <si>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</si>
  <si>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</si>
  <si>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</si>
  <si>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</si>
  <si>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</si>
  <si>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</si>
  <si>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</si>
  <si>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</si>
  <si>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</si>
  <si>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</si>
  <si>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</si>
  <si>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</si>
  <si>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</si>
  <si>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</si>
  <si>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</si>
  <si>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</si>
  <si>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</si>
  <si>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</si>
  <si>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</si>
  <si>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</si>
  <si>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</si>
  <si>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</si>
  <si>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</si>
  <si>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</si>
  <si>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</si>
  <si>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</si>
  <si>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</si>
  <si>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</si>
  <si>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</si>
  <si>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</si>
  <si>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</si>
  <si>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</si>
  <si>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</si>
  <si>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</si>
  <si>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</si>
  <si>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</si>
  <si>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</si>
  <si>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</si>
  <si>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</si>
  <si>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</si>
  <si>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</si>
  <si>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</si>
  <si>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</si>
  <si>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</si>
  <si>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</si>
  <si>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</si>
  <si>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</si>
  <si>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</si>
  <si>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</si>
  <si>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</si>
  <si>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</si>
  <si>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</si>
  <si>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</si>
  <si>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</si>
  <si>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</si>
  <si>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</si>
  <si>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</si>
  <si>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</si>
  <si>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</si>
  <si>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</si>
  <si>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</si>
  <si>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</si>
  <si>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</si>
  <si>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</si>
  <si>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</si>
  <si>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</si>
  <si>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</si>
  <si>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</si>
  <si>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</si>
  <si>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</si>
  <si>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</si>
  <si>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</si>
  <si>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</si>
  <si>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</si>
  <si>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</si>
  <si>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</si>
  <si>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</si>
  <si>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</si>
  <si>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</si>
  <si>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</si>
  <si>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</si>
  <si>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</si>
  <si>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</si>
  <si>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</si>
  <si>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</si>
  <si>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</si>
  <si>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</si>
  <si>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</si>
  <si>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</si>
  <si>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</si>
  <si>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</si>
  <si>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</si>
  <si>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</si>
  <si>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</si>
  <si>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</si>
  <si>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</si>
  <si>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</si>
  <si>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</si>
  <si>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</si>
  <si>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</si>
  <si>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</si>
  <si>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</si>
  <si>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</si>
  <si>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</si>
  <si>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</si>
  <si>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</si>
  <si>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</si>
  <si>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</si>
  <si>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</si>
  <si>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</si>
  <si>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</si>
  <si>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</si>
  <si>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</si>
  <si>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</si>
  <si>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</si>
  <si>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</si>
  <si>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</si>
  <si>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</si>
  <si>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</si>
  <si>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</si>
  <si>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</si>
  <si>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</si>
  <si>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</si>
  <si>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</si>
  <si>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</si>
  <si>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</si>
  <si>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</si>
  <si>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</si>
  <si>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</si>
  <si>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</si>
  <si>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</si>
  <si>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</si>
  <si>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</si>
  <si>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</si>
  <si>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</si>
  <si>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</si>
  <si>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</si>
  <si>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</si>
  <si>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</si>
  <si>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</si>
  <si>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</si>
  <si>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</si>
  <si>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</si>
  <si>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</si>
  <si>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</si>
  <si>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</si>
  <si>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</si>
  <si>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</si>
  <si>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</si>
  <si>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</si>
  <si>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</si>
  <si>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</si>
  <si>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</si>
  <si>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</si>
  <si>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</si>
  <si>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</si>
  <si>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</si>
  <si>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</si>
  <si>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</si>
  <si>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</si>
  <si>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</si>
  <si>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</si>
  <si>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</si>
  <si>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</si>
  <si>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</si>
  <si>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</si>
  <si>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</si>
  <si>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</si>
  <si>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</si>
  <si>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</si>
  <si>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</si>
  <si>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</si>
  <si>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</si>
  <si>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</si>
  <si>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</si>
  <si>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</si>
  <si>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</si>
  <si>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</si>
  <si>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</si>
  <si>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</si>
  <si>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</si>
  <si>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</si>
  <si>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</si>
  <si>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</si>
  <si>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</si>
  <si>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</si>
  <si>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</si>
  <si>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</si>
  <si>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</si>
  <si>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</si>
  <si>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</si>
  <si>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</si>
  <si>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</si>
  <si>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</si>
  <si>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</si>
  <si>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</si>
  <si>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</si>
  <si>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</si>
  <si>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</si>
  <si>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</si>
  <si>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</si>
  <si>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</si>
  <si>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</si>
  <si>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</si>
  <si>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</si>
  <si>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</si>
  <si>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</si>
  <si>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</si>
  <si>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</si>
  <si>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</si>
  <si>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</si>
  <si>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</si>
  <si>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</si>
  <si>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</si>
  <si>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</si>
  <si>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</si>
  <si>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</si>
  <si>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</si>
  <si>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</si>
  <si>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</si>
  <si>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</si>
  <si>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</si>
  <si>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</si>
  <si>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</si>
  <si>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</si>
  <si>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</si>
  <si>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</si>
  <si>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</si>
  <si>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</si>
  <si>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</si>
  <si>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</si>
  <si>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</si>
  <si>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</si>
  <si>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</si>
  <si>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</si>
  <si>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</si>
  <si>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</si>
  <si>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</si>
  <si>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</si>
  <si>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</si>
  <si>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</si>
  <si>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</si>
  <si>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</si>
  <si>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</si>
  <si>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</si>
  <si>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</si>
  <si>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</si>
  <si>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</si>
  <si>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</si>
  <si>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</si>
  <si>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</si>
  <si>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</si>
  <si>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</si>
  <si>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</si>
  <si>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</si>
  <si>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</si>
  <si>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</si>
  <si>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</si>
  <si>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</si>
  <si>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</si>
  <si>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</si>
  <si>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</si>
  <si>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</si>
  <si>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</si>
  <si>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</si>
  <si>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</si>
  <si>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</si>
  <si>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</si>
  <si>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</si>
  <si>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</si>
  <si>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</si>
  <si>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</si>
  <si>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</si>
  <si>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</si>
  <si>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</si>
  <si>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</si>
  <si>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</si>
  <si>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</si>
  <si>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</si>
  <si>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</si>
  <si>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</si>
  <si>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</si>
  <si>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</si>
  <si>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</si>
  <si>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</si>
  <si>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</si>
  <si>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</si>
  <si>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</si>
  <si>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</si>
  <si>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</si>
  <si>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</si>
  <si>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</si>
  <si>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</si>
  <si>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</si>
  <si>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</si>
  <si>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</si>
  <si>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</si>
  <si>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</si>
  <si>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</si>
  <si>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</si>
  <si>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</si>
  <si>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</si>
  <si>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</si>
  <si>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</si>
  <si>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</si>
  <si>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</si>
  <si>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</si>
  <si>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</si>
  <si>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</si>
  <si>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</si>
  <si>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</si>
  <si>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</si>
  <si>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</si>
  <si>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</si>
  <si>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</si>
  <si>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</si>
  <si>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</si>
  <si>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</si>
  <si>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</si>
  <si>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</si>
  <si>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</si>
  <si>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</si>
  <si>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</si>
  <si>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</si>
  <si>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</si>
  <si>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</si>
  <si>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</si>
  <si>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</si>
  <si>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</si>
  <si>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</si>
  <si>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</si>
  <si>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…..</t>
  </si>
  <si>
    <t>……</t>
  </si>
  <si>
    <t>…….</t>
  </si>
  <si>
    <t>……….</t>
  </si>
  <si>
    <t>……..</t>
  </si>
  <si>
    <t>ORP = 601 mv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</si>
</sst>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9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9" fontId="0" fillId="14" borderId="1" xfId="4" applyFont="1" applyFill="1" applyBorder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0" fontId="0" fillId="0" borderId="0" xfId="4" applyNumberFormat="1" applyFon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80" fontId="0" fillId="0" borderId="15" xfId="0" applyNumberFormat="1" applyBorder="1" applyAlignment="1">
      <alignment horizontal="center"/>
    </xf>
    <xf numFmtId="1" fontId="0" fillId="31" borderId="7" xfId="0" applyNumberFormat="1" applyFill="1" applyBorder="1" applyAlignment="1">
      <alignment horizontal="left"/>
    </xf>
    <xf numFmtId="0" fontId="23" fillId="31" borderId="1" xfId="0" applyFont="1" applyFill="1" applyBorder="1" applyAlignment="1">
      <alignment horizontal="right"/>
    </xf>
    <xf numFmtId="0" fontId="23" fillId="14" borderId="43" xfId="0" applyFont="1" applyFill="1" applyBorder="1" applyAlignment="1">
      <alignment horizontal="right"/>
    </xf>
    <xf numFmtId="0" fontId="23" fillId="14" borderId="15" xfId="0" applyFont="1" applyFill="1" applyBorder="1" applyAlignment="1">
      <alignment horizontal="right"/>
    </xf>
    <xf numFmtId="0" fontId="23" fillId="5" borderId="1" xfId="0" applyFont="1" applyFill="1" applyBorder="1" applyAlignment="1">
      <alignment horizontal="right"/>
    </xf>
    <xf numFmtId="0" fontId="23" fillId="32" borderId="1" xfId="0" applyFon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0" fontId="0" fillId="8" borderId="1" xfId="0" applyNumberFormat="1" applyFill="1" applyBorder="1"/>
    <xf numFmtId="0" fontId="0" fillId="0" borderId="1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10173.200000000186</c:v>
                </c:pt>
                <c:pt idx="1">
                  <c:v>8802.3999999999069</c:v>
                </c:pt>
                <c:pt idx="2">
                  <c:v>8701.6000000000931</c:v>
                </c:pt>
                <c:pt idx="3">
                  <c:v>11338.399999999907</c:v>
                </c:pt>
                <c:pt idx="4">
                  <c:v>10592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0964992"/>
        <c:axId val="100966784"/>
      </c:lineChart>
      <c:catAx>
        <c:axId val="10096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66784"/>
        <c:crosses val="autoZero"/>
        <c:auto val="1"/>
        <c:lblAlgn val="ctr"/>
        <c:lblOffset val="100"/>
      </c:catAx>
      <c:valAx>
        <c:axId val="100966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6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112"/>
          <c:w val="0.11899800868449698"/>
          <c:h val="4.49826989619422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4393</c:v>
                </c:pt>
                <c:pt idx="1">
                  <c:v>3573</c:v>
                </c:pt>
                <c:pt idx="2">
                  <c:v>4030</c:v>
                </c:pt>
                <c:pt idx="3">
                  <c:v>5303</c:v>
                </c:pt>
                <c:pt idx="4">
                  <c:v>4374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815232"/>
        <c:axId val="100816768"/>
      </c:lineChart>
      <c:catAx>
        <c:axId val="10081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16768"/>
        <c:crosses val="autoZero"/>
        <c:auto val="1"/>
        <c:lblAlgn val="ctr"/>
        <c:lblOffset val="100"/>
      </c:catAx>
      <c:valAx>
        <c:axId val="10081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1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258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4.3499999999999997E-2</c:v>
                </c:pt>
                <c:pt idx="1">
                  <c:v>3.9E-2</c:v>
                </c:pt>
                <c:pt idx="2">
                  <c:v>2.6100000000000002E-2</c:v>
                </c:pt>
                <c:pt idx="3">
                  <c:v>8.6999999999999994E-3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836864"/>
        <c:axId val="100838400"/>
      </c:lineChart>
      <c:catAx>
        <c:axId val="10083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38400"/>
        <c:crosses val="autoZero"/>
        <c:auto val="1"/>
        <c:lblAlgn val="ctr"/>
        <c:lblOffset val="100"/>
      </c:catAx>
      <c:valAx>
        <c:axId val="1008384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3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2085"/>
          <c:y val="0.62975887529633112"/>
          <c:w val="7.9124755870162669E-2"/>
          <c:h val="4.49826989619422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10.004999999999999</c:v>
                </c:pt>
                <c:pt idx="1">
                  <c:v>8.9700000000000006</c:v>
                </c:pt>
                <c:pt idx="2">
                  <c:v>6.0030000000000001</c:v>
                </c:pt>
                <c:pt idx="3">
                  <c:v>2.0009999999999999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390976"/>
        <c:axId val="101405056"/>
      </c:lineChart>
      <c:catAx>
        <c:axId val="10139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05056"/>
        <c:crosses val="autoZero"/>
        <c:auto val="1"/>
        <c:lblAlgn val="ctr"/>
        <c:lblOffset val="100"/>
      </c:catAx>
      <c:valAx>
        <c:axId val="1014050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9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651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208.75</c:v>
                </c:pt>
                <c:pt idx="1">
                  <c:v>202.33333333333334</c:v>
                </c:pt>
                <c:pt idx="2">
                  <c:v>174.375</c:v>
                </c:pt>
                <c:pt idx="3">
                  <c:v>257.5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441536"/>
        <c:axId val="101443072"/>
      </c:lineChart>
      <c:catAx>
        <c:axId val="10144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3072"/>
        <c:crosses val="autoZero"/>
        <c:auto val="1"/>
        <c:lblAlgn val="ctr"/>
        <c:lblOffset val="100"/>
      </c:catAx>
      <c:valAx>
        <c:axId val="101443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583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668352"/>
        <c:axId val="101669888"/>
      </c:lineChart>
      <c:catAx>
        <c:axId val="101668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69888"/>
        <c:crosses val="autoZero"/>
        <c:auto val="1"/>
        <c:lblAlgn val="ctr"/>
        <c:lblOffset val="100"/>
      </c:catAx>
      <c:valAx>
        <c:axId val="101669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6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685888"/>
        <c:axId val="101708160"/>
      </c:lineChart>
      <c:catAx>
        <c:axId val="10168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08160"/>
        <c:crosses val="autoZero"/>
        <c:auto val="1"/>
        <c:lblAlgn val="ctr"/>
        <c:lblOffset val="100"/>
      </c:catAx>
      <c:valAx>
        <c:axId val="101708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8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854592"/>
        <c:axId val="101860480"/>
      </c:lineChart>
      <c:catAx>
        <c:axId val="10185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60480"/>
        <c:crosses val="autoZero"/>
        <c:auto val="1"/>
        <c:lblAlgn val="ctr"/>
        <c:lblOffset val="100"/>
      </c:catAx>
      <c:valAx>
        <c:axId val="101860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5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19</c:v>
                </c:pt>
                <c:pt idx="1">
                  <c:v>17.5</c:v>
                </c:pt>
                <c:pt idx="2">
                  <c:v>20.5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901056"/>
        <c:axId val="101902592"/>
      </c:lineChart>
      <c:catAx>
        <c:axId val="10190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02592"/>
        <c:crosses val="autoZero"/>
        <c:auto val="1"/>
        <c:lblAlgn val="ctr"/>
        <c:lblOffset val="100"/>
      </c:catAx>
      <c:valAx>
        <c:axId val="101902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0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7934"/>
          <c:w val="0.1272403315177136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4789</c:v>
                </c:pt>
                <c:pt idx="3">
                  <c:v>4790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922688"/>
        <c:axId val="101924224"/>
      </c:lineChart>
      <c:catAx>
        <c:axId val="10192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24224"/>
        <c:crosses val="autoZero"/>
        <c:auto val="1"/>
        <c:lblAlgn val="ctr"/>
        <c:lblOffset val="100"/>
      </c:catAx>
      <c:valAx>
        <c:axId val="101924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2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33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281</c:v>
                </c:pt>
                <c:pt idx="1">
                  <c:v>349</c:v>
                </c:pt>
                <c:pt idx="2">
                  <c:v>249</c:v>
                </c:pt>
                <c:pt idx="3">
                  <c:v>288.5</c:v>
                </c:pt>
                <c:pt idx="4">
                  <c:v>657.89999999999418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359168"/>
        <c:axId val="100360960"/>
      </c:lineChart>
      <c:catAx>
        <c:axId val="10035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60960"/>
        <c:crosses val="autoZero"/>
        <c:auto val="1"/>
        <c:lblAlgn val="ctr"/>
        <c:lblOffset val="100"/>
      </c:catAx>
      <c:valAx>
        <c:axId val="100360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5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7934"/>
          <c:w val="0.1354168853893389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60</c:v>
                </c:pt>
                <c:pt idx="1">
                  <c:v>0</c:v>
                </c:pt>
                <c:pt idx="2">
                  <c:v>150</c:v>
                </c:pt>
                <c:pt idx="3">
                  <c:v>240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385152"/>
        <c:axId val="100386688"/>
      </c:lineChart>
      <c:catAx>
        <c:axId val="10038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86688"/>
        <c:crosses val="autoZero"/>
        <c:auto val="1"/>
        <c:lblAlgn val="ctr"/>
        <c:lblOffset val="100"/>
      </c:catAx>
      <c:valAx>
        <c:axId val="100386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8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793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10173.200000000186</c:v>
                </c:pt>
                <c:pt idx="1">
                  <c:v>8802.3999999999069</c:v>
                </c:pt>
                <c:pt idx="2">
                  <c:v>8701.6000000000931</c:v>
                </c:pt>
                <c:pt idx="3">
                  <c:v>11338.399999999907</c:v>
                </c:pt>
                <c:pt idx="4">
                  <c:v>10592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738944"/>
        <c:axId val="100740480"/>
      </c:lineChart>
      <c:catAx>
        <c:axId val="10073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40480"/>
        <c:crosses val="autoZero"/>
        <c:auto val="1"/>
        <c:lblAlgn val="ctr"/>
        <c:lblOffset val="100"/>
      </c:catAx>
      <c:valAx>
        <c:axId val="100740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3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112"/>
          <c:w val="0.12291688538932598"/>
          <c:h val="4.49826989619422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4393</c:v>
                </c:pt>
                <c:pt idx="1">
                  <c:v>3573</c:v>
                </c:pt>
                <c:pt idx="2">
                  <c:v>4030</c:v>
                </c:pt>
                <c:pt idx="3">
                  <c:v>5303</c:v>
                </c:pt>
                <c:pt idx="4">
                  <c:v>4374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756480"/>
        <c:axId val="100778752"/>
      </c:lineChart>
      <c:catAx>
        <c:axId val="10075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78752"/>
        <c:crosses val="autoZero"/>
        <c:auto val="1"/>
        <c:lblAlgn val="ctr"/>
        <c:lblOffset val="100"/>
      </c:catAx>
      <c:valAx>
        <c:axId val="100778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5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7934"/>
          <c:w val="0.1354168853893389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109568"/>
        <c:axId val="102111104"/>
      </c:lineChart>
      <c:catAx>
        <c:axId val="10210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11104"/>
        <c:crosses val="autoZero"/>
        <c:auto val="1"/>
        <c:lblAlgn val="ctr"/>
        <c:lblOffset val="100"/>
      </c:catAx>
      <c:valAx>
        <c:axId val="1021111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0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7665"/>
          <c:y val="0.54325368498487869"/>
          <c:w val="0.11458355205599259"/>
          <c:h val="4.4982698961941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-1039.3709677419392</c:v>
                </c:pt>
                <c:pt idx="1">
                  <c:v>-613.35483870966709</c:v>
                </c:pt>
                <c:pt idx="2">
                  <c:v>-920.03225806454429</c:v>
                </c:pt>
                <c:pt idx="3">
                  <c:v>-1463.3870967741823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143488"/>
        <c:axId val="102145024"/>
      </c:lineChart>
      <c:catAx>
        <c:axId val="10214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45024"/>
        <c:crosses val="autoZero"/>
        <c:auto val="1"/>
        <c:lblAlgn val="ctr"/>
        <c:lblOffset val="100"/>
      </c:catAx>
      <c:valAx>
        <c:axId val="102145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4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770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161408"/>
        <c:axId val="102392576"/>
      </c:lineChart>
      <c:catAx>
        <c:axId val="10216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92576"/>
        <c:crosses val="autoZero"/>
        <c:auto val="1"/>
        <c:lblAlgn val="ctr"/>
        <c:lblOffset val="100"/>
      </c:catAx>
      <c:valAx>
        <c:axId val="10239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6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3046"/>
          <c:y val="0.62975887529633112"/>
          <c:w val="0.13541688538933933"/>
          <c:h val="4.49826989619422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4.3499999999999997E-2</c:v>
                </c:pt>
                <c:pt idx="1">
                  <c:v>3.9E-2</c:v>
                </c:pt>
                <c:pt idx="2">
                  <c:v>2.6100000000000002E-2</c:v>
                </c:pt>
                <c:pt idx="3">
                  <c:v>8.6999999999999994E-3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424960"/>
        <c:axId val="102426496"/>
      </c:lineChart>
      <c:catAx>
        <c:axId val="10242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26496"/>
        <c:crosses val="autoZero"/>
        <c:auto val="1"/>
        <c:lblAlgn val="ctr"/>
        <c:lblOffset val="100"/>
      </c:catAx>
      <c:valAx>
        <c:axId val="1024264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2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112"/>
          <c:w val="9.730870597697025E-2"/>
          <c:h val="4.49826989619422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01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10.004999999999999</c:v>
                </c:pt>
                <c:pt idx="1">
                  <c:v>8.9700000000000006</c:v>
                </c:pt>
                <c:pt idx="2">
                  <c:v>6.0030000000000001</c:v>
                </c:pt>
                <c:pt idx="3">
                  <c:v>2.0009999999999999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319616"/>
        <c:axId val="102321152"/>
      </c:lineChart>
      <c:catAx>
        <c:axId val="10231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21152"/>
        <c:crosses val="autoZero"/>
        <c:auto val="1"/>
        <c:lblAlgn val="ctr"/>
        <c:lblOffset val="100"/>
      </c:catAx>
      <c:valAx>
        <c:axId val="102321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1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22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357632"/>
        <c:axId val="102433152"/>
      </c:lineChart>
      <c:catAx>
        <c:axId val="10235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33152"/>
        <c:crosses val="autoZero"/>
        <c:auto val="1"/>
        <c:lblAlgn val="ctr"/>
        <c:lblOffset val="100"/>
      </c:catAx>
      <c:valAx>
        <c:axId val="102433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5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825"/>
          <c:y val="0.62975887529633112"/>
          <c:w val="0.13250539334757044"/>
          <c:h val="4.49826989619422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473728"/>
        <c:axId val="102475264"/>
      </c:lineChart>
      <c:catAx>
        <c:axId val="10247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75264"/>
        <c:crosses val="autoZero"/>
        <c:auto val="1"/>
        <c:lblAlgn val="ctr"/>
        <c:lblOffset val="100"/>
      </c:catAx>
      <c:valAx>
        <c:axId val="102475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7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793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19</c:v>
                </c:pt>
                <c:pt idx="1">
                  <c:v>17.5</c:v>
                </c:pt>
                <c:pt idx="2">
                  <c:v>20.5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495360"/>
        <c:axId val="102496896"/>
      </c:lineChart>
      <c:catAx>
        <c:axId val="10249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96896"/>
        <c:crosses val="autoZero"/>
        <c:auto val="1"/>
        <c:lblAlgn val="ctr"/>
        <c:lblOffset val="100"/>
      </c:catAx>
      <c:valAx>
        <c:axId val="102496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9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6517"/>
          <c:w val="0.1234311819809210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2525952"/>
        <c:axId val="102535936"/>
      </c:lineChart>
      <c:catAx>
        <c:axId val="1025259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35936"/>
        <c:crosses val="autoZero"/>
        <c:auto val="1"/>
        <c:lblAlgn val="ctr"/>
        <c:lblOffset val="100"/>
      </c:catAx>
      <c:valAx>
        <c:axId val="1025359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2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499"/>
          <c:y val="0.4548625692622002"/>
          <c:w val="0.1569039853282051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208.75</c:v>
                </c:pt>
                <c:pt idx="1">
                  <c:v>202.33333333333334</c:v>
                </c:pt>
                <c:pt idx="2">
                  <c:v>174.375</c:v>
                </c:pt>
                <c:pt idx="3">
                  <c:v>257.5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563840"/>
        <c:axId val="102565376"/>
      </c:lineChart>
      <c:catAx>
        <c:axId val="10256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65376"/>
        <c:crosses val="autoZero"/>
        <c:auto val="1"/>
        <c:lblAlgn val="ctr"/>
        <c:lblOffset val="100"/>
      </c:catAx>
      <c:valAx>
        <c:axId val="1025653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6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112"/>
          <c:w val="0.14853578449138588"/>
          <c:h val="4.49826989619424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19</c:v>
                </c:pt>
                <c:pt idx="1">
                  <c:v>17.5</c:v>
                </c:pt>
                <c:pt idx="2">
                  <c:v>20.5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745600"/>
        <c:axId val="102747136"/>
      </c:lineChart>
      <c:catAx>
        <c:axId val="10274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47136"/>
        <c:crosses val="autoZero"/>
        <c:auto val="1"/>
        <c:lblAlgn val="ctr"/>
        <c:lblOffset val="100"/>
      </c:catAx>
      <c:valAx>
        <c:axId val="102747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4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7125"/>
          <c:y val="0.62975887529633112"/>
          <c:w val="0.12164948453608219"/>
          <c:h val="4.49826989619424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962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755712"/>
        <c:axId val="103085184"/>
      </c:lineChart>
      <c:catAx>
        <c:axId val="10275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85184"/>
        <c:crosses val="autoZero"/>
        <c:auto val="1"/>
        <c:lblAlgn val="ctr"/>
        <c:lblOffset val="100"/>
      </c:catAx>
      <c:valAx>
        <c:axId val="1030851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5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4393</c:v>
                </c:pt>
                <c:pt idx="1">
                  <c:v>3573</c:v>
                </c:pt>
                <c:pt idx="2">
                  <c:v>4030</c:v>
                </c:pt>
                <c:pt idx="3">
                  <c:v>5303</c:v>
                </c:pt>
                <c:pt idx="4">
                  <c:v>4374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3494400"/>
        <c:axId val="103495936"/>
      </c:lineChart>
      <c:catAx>
        <c:axId val="10349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95936"/>
        <c:crosses val="autoZero"/>
        <c:auto val="1"/>
        <c:lblAlgn val="ctr"/>
        <c:lblOffset val="100"/>
      </c:catAx>
      <c:valAx>
        <c:axId val="103495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9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813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3701504"/>
        <c:axId val="103707392"/>
      </c:lineChart>
      <c:catAx>
        <c:axId val="1037015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07392"/>
        <c:crosses val="autoZero"/>
        <c:auto val="1"/>
        <c:lblAlgn val="ctr"/>
        <c:lblOffset val="100"/>
      </c:catAx>
      <c:valAx>
        <c:axId val="1037073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0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0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pril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TILITY%20MARCH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Local/Packages/microsoft.windowscommunicationsapps_8wekyb3d8bbwe/LocalState/Files/S0/3/Attachments/FEB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MA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~1.ABO/AppData/Local/Temp/notesC66E0F/OC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~1.ABO/AppData/Local/Temp/notesC66E0F/NOV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April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Local/Packages/microsoft.windowscommunicationsapps_8wekyb3d8bbwe/LocalState/Files/S0/3/Attachments/FEB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MA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1.2999999999999999E-2</v>
          </cell>
          <cell r="D32">
            <v>31633090</v>
          </cell>
          <cell r="E32">
            <v>2376</v>
          </cell>
          <cell r="F32">
            <v>3646395.6</v>
          </cell>
          <cell r="G32">
            <v>1679.2000000001863</v>
          </cell>
          <cell r="H32">
            <v>17427416</v>
          </cell>
          <cell r="I32">
            <v>1518</v>
          </cell>
          <cell r="J32">
            <v>28390420</v>
          </cell>
          <cell r="K32">
            <v>1094</v>
          </cell>
          <cell r="L32">
            <v>22942186</v>
          </cell>
          <cell r="M32">
            <v>3506</v>
          </cell>
          <cell r="N32">
            <v>10173.200000000186</v>
          </cell>
          <cell r="O32">
            <v>3402.4080267559152</v>
          </cell>
          <cell r="P32">
            <v>15479.6</v>
          </cell>
          <cell r="Q32">
            <v>1770.0000000004366</v>
          </cell>
          <cell r="R32">
            <v>8403.1999999997497</v>
          </cell>
          <cell r="S32">
            <v>8454</v>
          </cell>
          <cell r="T32">
            <v>2</v>
          </cell>
          <cell r="U32">
            <v>40221</v>
          </cell>
          <cell r="V32">
            <v>361</v>
          </cell>
          <cell r="W32">
            <v>31845</v>
          </cell>
          <cell r="X32">
            <v>0</v>
          </cell>
          <cell r="Y32">
            <v>624440</v>
          </cell>
          <cell r="Z32">
            <v>0</v>
          </cell>
          <cell r="AA32">
            <v>35042</v>
          </cell>
          <cell r="AB32">
            <v>0</v>
          </cell>
          <cell r="AC32">
            <v>773343</v>
          </cell>
          <cell r="AD32">
            <v>0</v>
          </cell>
          <cell r="AE32">
            <v>2</v>
          </cell>
          <cell r="AF32">
            <v>361</v>
          </cell>
          <cell r="AG32">
            <v>180.5</v>
          </cell>
          <cell r="AI32">
            <v>-49806639.799999997</v>
          </cell>
        </row>
      </sheetData>
      <sheetData sheetId="3">
        <row r="34">
          <cell r="B34">
            <v>245.5</v>
          </cell>
          <cell r="C34">
            <v>251</v>
          </cell>
          <cell r="D34">
            <v>3</v>
          </cell>
          <cell r="E34">
            <v>25.14</v>
          </cell>
          <cell r="F34">
            <v>1537</v>
          </cell>
          <cell r="G34">
            <v>1</v>
          </cell>
          <cell r="H34">
            <v>349198</v>
          </cell>
          <cell r="I34">
            <v>108</v>
          </cell>
          <cell r="J34">
            <v>108</v>
          </cell>
          <cell r="K34">
            <v>1919</v>
          </cell>
          <cell r="L34">
            <v>2</v>
          </cell>
          <cell r="M34">
            <v>140563</v>
          </cell>
          <cell r="N34">
            <v>173</v>
          </cell>
          <cell r="O34">
            <v>165.53968253968253</v>
          </cell>
          <cell r="P34">
            <v>1763</v>
          </cell>
          <cell r="Q34">
            <v>149940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281</v>
          </cell>
          <cell r="X34">
            <v>2417</v>
          </cell>
          <cell r="Y34">
            <v>0</v>
          </cell>
          <cell r="Z34">
            <v>135845.1</v>
          </cell>
          <cell r="AA34">
            <v>0</v>
          </cell>
          <cell r="AB34">
            <v>0</v>
          </cell>
          <cell r="AC34">
            <v>1824</v>
          </cell>
          <cell r="AD34">
            <v>0</v>
          </cell>
          <cell r="AE34">
            <v>358865.2</v>
          </cell>
          <cell r="AF34">
            <v>0</v>
          </cell>
          <cell r="AG34">
            <v>0</v>
          </cell>
          <cell r="AH34">
            <v>0</v>
          </cell>
          <cell r="AI34">
            <v>281</v>
          </cell>
          <cell r="AJ34">
            <v>281</v>
          </cell>
          <cell r="AK34">
            <v>0</v>
          </cell>
          <cell r="AL34">
            <v>3</v>
          </cell>
          <cell r="AM34">
            <v>0</v>
          </cell>
          <cell r="AN34">
            <v>81</v>
          </cell>
          <cell r="AO34">
            <v>2430</v>
          </cell>
          <cell r="AP34">
            <v>80</v>
          </cell>
          <cell r="AQ34">
            <v>2400</v>
          </cell>
          <cell r="AR34">
            <v>61</v>
          </cell>
          <cell r="AS34">
            <v>1830</v>
          </cell>
          <cell r="AT34">
            <v>6660</v>
          </cell>
          <cell r="AU34">
            <v>440</v>
          </cell>
          <cell r="AV34">
            <v>1700</v>
          </cell>
          <cell r="AW34">
            <v>0.7</v>
          </cell>
          <cell r="AX34">
            <v>0.7</v>
          </cell>
        </row>
      </sheetData>
      <sheetData sheetId="4">
        <row r="35">
          <cell r="B35">
            <v>108473</v>
          </cell>
          <cell r="C35">
            <v>0</v>
          </cell>
          <cell r="D35">
            <v>0</v>
          </cell>
          <cell r="E35">
            <v>250</v>
          </cell>
          <cell r="G35">
            <v>596433</v>
          </cell>
          <cell r="H35">
            <v>0</v>
          </cell>
          <cell r="I35">
            <v>0</v>
          </cell>
          <cell r="J35">
            <v>0</v>
          </cell>
          <cell r="K35">
            <v>6084</v>
          </cell>
          <cell r="L35">
            <v>1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4785</v>
          </cell>
          <cell r="U35">
            <v>1</v>
          </cell>
          <cell r="V35">
            <v>404</v>
          </cell>
          <cell r="W35">
            <v>0</v>
          </cell>
          <cell r="X35">
            <v>142861</v>
          </cell>
          <cell r="Y35">
            <v>0</v>
          </cell>
          <cell r="Z35">
            <v>94174</v>
          </cell>
          <cell r="AA35">
            <v>0</v>
          </cell>
          <cell r="AB35">
            <v>266</v>
          </cell>
          <cell r="AC35">
            <v>671</v>
          </cell>
          <cell r="AD35">
            <v>0</v>
          </cell>
          <cell r="AE35">
            <v>149.46</v>
          </cell>
          <cell r="AF35">
            <v>0</v>
          </cell>
          <cell r="AG35">
            <v>1517.45</v>
          </cell>
          <cell r="AH35">
            <v>9.9999999999909051E-3</v>
          </cell>
          <cell r="AI35">
            <v>9.9999999999909051E-3</v>
          </cell>
          <cell r="AJ35">
            <v>0</v>
          </cell>
          <cell r="AK35">
            <v>-1</v>
          </cell>
          <cell r="AL35">
            <v>0</v>
          </cell>
          <cell r="AM35">
            <v>21</v>
          </cell>
          <cell r="AN35">
            <v>0</v>
          </cell>
          <cell r="AP35">
            <v>78</v>
          </cell>
          <cell r="AR35">
            <v>43951</v>
          </cell>
          <cell r="AS35">
            <v>0.9</v>
          </cell>
          <cell r="AT35">
            <v>189</v>
          </cell>
          <cell r="AU35">
            <v>1.1000000000000001</v>
          </cell>
          <cell r="AV35">
            <v>75</v>
          </cell>
          <cell r="AW35">
            <v>2.9</v>
          </cell>
          <cell r="AX35">
            <v>117</v>
          </cell>
          <cell r="AY35">
            <v>170.1</v>
          </cell>
          <cell r="AZ35">
            <v>82.5</v>
          </cell>
          <cell r="BA35">
            <v>339.3</v>
          </cell>
          <cell r="BB35">
            <v>0</v>
          </cell>
          <cell r="BC35">
            <v>-13.200000000000003</v>
          </cell>
          <cell r="BD35">
            <v>-2.8999999999999773</v>
          </cell>
          <cell r="BE35">
            <v>-16.09999999999998</v>
          </cell>
          <cell r="BF35">
            <v>16.09999999999998</v>
          </cell>
          <cell r="BG35">
            <v>-16.09999999999998</v>
          </cell>
        </row>
      </sheetData>
      <sheetData sheetId="5" refreshError="1"/>
      <sheetData sheetId="6">
        <row r="35">
          <cell r="B35">
            <v>23</v>
          </cell>
          <cell r="C35">
            <v>19</v>
          </cell>
          <cell r="D35">
            <v>21</v>
          </cell>
          <cell r="E35">
            <v>0.75</v>
          </cell>
          <cell r="F35">
            <v>1.2999999999999999E-2</v>
          </cell>
          <cell r="G35">
            <v>2.9899999999999998</v>
          </cell>
          <cell r="H35">
            <v>0</v>
          </cell>
          <cell r="J35">
            <v>78</v>
          </cell>
          <cell r="K35">
            <v>78</v>
          </cell>
        </row>
      </sheetData>
      <sheetData sheetId="7">
        <row r="35">
          <cell r="B35">
            <v>245.5</v>
          </cell>
          <cell r="C35">
            <v>5282.2096774193551</v>
          </cell>
          <cell r="D35">
            <v>245.5</v>
          </cell>
          <cell r="E35">
            <v>5282.2096774193551</v>
          </cell>
          <cell r="F35">
            <v>245.5</v>
          </cell>
          <cell r="G35">
            <v>5282.2096774193551</v>
          </cell>
          <cell r="H35">
            <v>245.5</v>
          </cell>
          <cell r="I35">
            <v>5282.2096774193551</v>
          </cell>
          <cell r="J35">
            <v>245.5</v>
          </cell>
          <cell r="K35">
            <v>5282.2096774193551</v>
          </cell>
          <cell r="L35">
            <v>245.5</v>
          </cell>
          <cell r="M35">
            <v>5282.2096774193551</v>
          </cell>
          <cell r="N35">
            <v>245.5</v>
          </cell>
          <cell r="O35">
            <v>5282.2096774193551</v>
          </cell>
          <cell r="P35">
            <v>245.5</v>
          </cell>
          <cell r="Q35">
            <v>5282.2096774193551</v>
          </cell>
          <cell r="R35">
            <v>245.5</v>
          </cell>
          <cell r="S35">
            <v>5282.2096774193551</v>
          </cell>
          <cell r="T35">
            <v>245.5</v>
          </cell>
          <cell r="U35">
            <v>5282.2096774193551</v>
          </cell>
          <cell r="V35">
            <v>245.5</v>
          </cell>
          <cell r="W35">
            <v>5282.2096774193551</v>
          </cell>
          <cell r="X35">
            <v>0.79193548387096779</v>
          </cell>
          <cell r="Y35">
            <v>58104.306451612909</v>
          </cell>
          <cell r="Z35">
            <v>251</v>
          </cell>
          <cell r="AA35">
            <v>2510</v>
          </cell>
          <cell r="AB35">
            <v>251</v>
          </cell>
          <cell r="AC35">
            <v>2510</v>
          </cell>
          <cell r="AD35">
            <v>251</v>
          </cell>
          <cell r="AE35">
            <v>2510</v>
          </cell>
          <cell r="AF35">
            <v>251</v>
          </cell>
          <cell r="AG35">
            <v>2510</v>
          </cell>
          <cell r="AH35">
            <v>251</v>
          </cell>
          <cell r="AI35">
            <v>2510</v>
          </cell>
          <cell r="AJ35">
            <v>251</v>
          </cell>
          <cell r="AK35">
            <v>2510</v>
          </cell>
          <cell r="AL35">
            <v>251</v>
          </cell>
          <cell r="AM35">
            <v>2510</v>
          </cell>
          <cell r="AN35">
            <v>0.89642857142857146</v>
          </cell>
          <cell r="AO35">
            <v>17570</v>
          </cell>
          <cell r="AQ35">
            <v>0.81396478919665383</v>
          </cell>
          <cell r="AR35">
            <v>75674.306451612909</v>
          </cell>
          <cell r="AS35">
            <v>-801.69354838709114</v>
          </cell>
          <cell r="AV35">
            <v>0.28399999999999997</v>
          </cell>
          <cell r="AW35">
            <v>-281</v>
          </cell>
          <cell r="AX35">
            <v>-520.69354838709114</v>
          </cell>
          <cell r="AY35">
            <v>-801.69354838709114</v>
          </cell>
          <cell r="AZ35">
            <v>1.2999999999999999E-2</v>
          </cell>
          <cell r="BA35">
            <v>21</v>
          </cell>
          <cell r="BB35">
            <v>0.75</v>
          </cell>
        </row>
      </sheetData>
      <sheetData sheetId="8" refreshError="1"/>
      <sheetData sheetId="9" refreshError="1"/>
      <sheetData sheetId="10" refreshError="1"/>
      <sheetData sheetId="11">
        <row r="32">
          <cell r="R32">
            <v>11115</v>
          </cell>
          <cell r="S32">
            <v>2.8700000000008004</v>
          </cell>
          <cell r="T32">
            <v>234142</v>
          </cell>
          <cell r="U32">
            <v>682</v>
          </cell>
          <cell r="V32">
            <v>237.63066202083965</v>
          </cell>
          <cell r="X32">
            <v>11709</v>
          </cell>
          <cell r="Y32" t="str">
            <v>ok</v>
          </cell>
          <cell r="Z32">
            <v>2.8700000000008004</v>
          </cell>
          <cell r="AA32">
            <v>682</v>
          </cell>
          <cell r="AB32">
            <v>237.63066202083965</v>
          </cell>
          <cell r="AC32">
            <v>237.63066202083965</v>
          </cell>
          <cell r="AD32">
            <v>1770.0000000004366</v>
          </cell>
          <cell r="AE32">
            <v>616.72473867593828</v>
          </cell>
          <cell r="AF32">
            <v>0.3854529616724614</v>
          </cell>
          <cell r="AG32">
            <v>123.34494773518765</v>
          </cell>
          <cell r="AH32">
            <v>114.28571428565201</v>
          </cell>
          <cell r="AI32">
            <v>455.56962025327698</v>
          </cell>
          <cell r="AJ32">
            <v>0.25738396624472576</v>
          </cell>
          <cell r="AK32">
            <v>158.73505932165503</v>
          </cell>
        </row>
      </sheetData>
      <sheetData sheetId="12">
        <row r="33">
          <cell r="B33">
            <v>49827570</v>
          </cell>
          <cell r="C33">
            <v>4393</v>
          </cell>
          <cell r="D33">
            <v>4392</v>
          </cell>
          <cell r="E33">
            <v>49827569</v>
          </cell>
          <cell r="F33">
            <v>8005615</v>
          </cell>
          <cell r="G33">
            <v>498</v>
          </cell>
          <cell r="H33">
            <v>24540104</v>
          </cell>
          <cell r="I33">
            <v>2185</v>
          </cell>
          <cell r="J33">
            <v>17281850</v>
          </cell>
          <cell r="K33">
            <v>1709</v>
          </cell>
          <cell r="L33">
            <v>105.71144278606965</v>
          </cell>
          <cell r="M33">
            <v>162.33499170812604</v>
          </cell>
          <cell r="N33">
            <v>90.693200663349913</v>
          </cell>
          <cell r="O33">
            <v>159.96313985627418</v>
          </cell>
          <cell r="P33">
            <v>518.70277501381975</v>
          </cell>
          <cell r="Q33">
            <v>158.98518355644987</v>
          </cell>
          <cell r="R33">
            <v>677.68795857026964</v>
          </cell>
          <cell r="S33">
            <v>10173.200000000186</v>
          </cell>
          <cell r="T33">
            <v>6.6615023647451851E-2</v>
          </cell>
        </row>
      </sheetData>
      <sheetData sheetId="13">
        <row r="35">
          <cell r="B35">
            <v>1.56</v>
          </cell>
          <cell r="C35">
            <v>8</v>
          </cell>
          <cell r="D35">
            <v>20</v>
          </cell>
          <cell r="E35">
            <v>1</v>
          </cell>
          <cell r="F35">
            <v>7.5</v>
          </cell>
          <cell r="G35">
            <v>20</v>
          </cell>
          <cell r="H35">
            <v>6084</v>
          </cell>
          <cell r="I35">
            <v>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LEC"/>
      <sheetName val="B5"/>
      <sheetName val="WATER"/>
      <sheetName val="GEN"/>
      <sheetName val="Sheet1"/>
      <sheetName val="Report"/>
      <sheetName val="Sheet5"/>
      <sheetName val="EDl log"/>
      <sheetName val="Swimming Pool quality check "/>
      <sheetName val="Sheet2"/>
    </sheetNames>
    <sheetDataSet>
      <sheetData sheetId="0">
        <row r="18">
          <cell r="B18">
            <v>31533722</v>
          </cell>
          <cell r="K18">
            <v>31845</v>
          </cell>
          <cell r="L18">
            <v>624440</v>
          </cell>
        </row>
        <row r="19">
          <cell r="K19">
            <v>31845</v>
          </cell>
          <cell r="L19">
            <v>624440</v>
          </cell>
        </row>
      </sheetData>
      <sheetData sheetId="1">
        <row r="20">
          <cell r="B20">
            <v>258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</row>
      </sheetData>
      <sheetData sheetId="3">
        <row r="33">
          <cell r="B33">
            <v>233.3</v>
          </cell>
        </row>
      </sheetData>
      <sheetData sheetId="4">
        <row r="34">
          <cell r="B34">
            <v>108473</v>
          </cell>
        </row>
      </sheetData>
      <sheetData sheetId="5"/>
      <sheetData sheetId="6">
        <row r="34">
          <cell r="B34">
            <v>18</v>
          </cell>
        </row>
      </sheetData>
      <sheetData sheetId="7">
        <row r="34">
          <cell r="B34">
            <v>233.3</v>
          </cell>
          <cell r="BC34">
            <v>0</v>
          </cell>
          <cell r="BD34">
            <v>19222</v>
          </cell>
          <cell r="BE34" t="e">
            <v>#REF!</v>
          </cell>
          <cell r="BG34" t="e">
            <v>#REF!</v>
          </cell>
        </row>
      </sheetData>
      <sheetData sheetId="8">
        <row r="31">
          <cell r="B31">
            <v>8543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</row>
      </sheetData>
      <sheetData sheetId="13">
        <row r="10">
          <cell r="B10">
            <v>16</v>
          </cell>
        </row>
      </sheetData>
      <sheetData sheetId="14"/>
      <sheetData sheetId="15"/>
      <sheetData sheetId="16">
        <row r="34">
          <cell r="B34">
            <v>1.5</v>
          </cell>
        </row>
      </sheetData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  <cell r="C32">
            <v>0</v>
          </cell>
          <cell r="D32">
            <v>146479.79999999999</v>
          </cell>
          <cell r="E32">
            <v>0</v>
          </cell>
          <cell r="F32">
            <v>0</v>
          </cell>
          <cell r="H32">
            <v>8677</v>
          </cell>
          <cell r="I32" t="str">
            <v>ok</v>
          </cell>
          <cell r="J32">
            <v>10689.42</v>
          </cell>
          <cell r="K32">
            <v>0</v>
          </cell>
          <cell r="L32">
            <v>237074.9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</row>
      </sheetData>
      <sheetData sheetId="12">
        <row r="25">
          <cell r="AB25" t="str">
            <v>Total cost LL</v>
          </cell>
        </row>
        <row r="26">
          <cell r="V26">
            <v>17242851</v>
          </cell>
          <cell r="W26">
            <v>17280141</v>
          </cell>
          <cell r="X26" t="str">
            <v>Night</v>
          </cell>
          <cell r="Y26">
            <v>80</v>
          </cell>
          <cell r="Z26">
            <v>1</v>
          </cell>
          <cell r="AA26">
            <v>37290</v>
          </cell>
          <cell r="AB26">
            <v>2983200</v>
          </cell>
          <cell r="AC26">
            <v>1033333</v>
          </cell>
          <cell r="AD26">
            <v>0.3287113352079899</v>
          </cell>
        </row>
        <row r="27">
          <cell r="V27">
            <v>24476792</v>
          </cell>
          <cell r="W27">
            <v>24537919</v>
          </cell>
          <cell r="X27" t="str">
            <v>day</v>
          </cell>
          <cell r="Y27">
            <v>112</v>
          </cell>
          <cell r="Z27">
            <v>1</v>
          </cell>
          <cell r="AA27">
            <v>61127</v>
          </cell>
          <cell r="AB27">
            <v>6846224</v>
          </cell>
          <cell r="AC27">
            <v>6200000</v>
          </cell>
          <cell r="AD27">
            <v>0.53883448075244844</v>
          </cell>
        </row>
        <row r="28">
          <cell r="V28">
            <v>7990092</v>
          </cell>
          <cell r="W28">
            <v>8005117</v>
          </cell>
          <cell r="X28" t="str">
            <v>Peak</v>
          </cell>
          <cell r="Y28">
            <v>320</v>
          </cell>
          <cell r="Z28">
            <v>1</v>
          </cell>
          <cell r="AA28">
            <v>15025</v>
          </cell>
          <cell r="AB28">
            <v>4808000</v>
          </cell>
          <cell r="AC28">
            <v>1000</v>
          </cell>
          <cell r="AD28">
            <v>0.1324453690399584</v>
          </cell>
        </row>
        <row r="29">
          <cell r="AA29">
            <v>113442</v>
          </cell>
        </row>
        <row r="30">
          <cell r="V30" t="str">
            <v>Occ %</v>
          </cell>
          <cell r="W30">
            <v>1.6079310344827583E-2</v>
          </cell>
          <cell r="Y30" t="str">
            <v>Per G</v>
          </cell>
          <cell r="AB30">
            <v>14637424</v>
          </cell>
          <cell r="AC30">
            <v>6993188.5666666664</v>
          </cell>
        </row>
        <row r="31">
          <cell r="V31" t="str">
            <v>Gen RH</v>
          </cell>
          <cell r="W31">
            <v>82.639999999999418</v>
          </cell>
          <cell r="X31">
            <v>2.8496551724137729</v>
          </cell>
          <cell r="Y31">
            <v>1.4248275862068864</v>
          </cell>
          <cell r="AB31">
            <v>21630612.566666666</v>
          </cell>
          <cell r="AC31">
            <v>6993188.5666666664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AB34">
            <v>2379367.3823333331</v>
          </cell>
        </row>
        <row r="35">
          <cell r="AB35">
            <v>24009979.949000001</v>
          </cell>
        </row>
      </sheetData>
      <sheetData sheetId="13">
        <row r="35">
          <cell r="H35">
            <v>6083</v>
          </cell>
          <cell r="M35">
            <v>6083</v>
          </cell>
          <cell r="N35">
            <v>0</v>
          </cell>
          <cell r="O35">
            <v>6083</v>
          </cell>
        </row>
      </sheetData>
      <sheetData sheetId="14">
        <row r="10">
          <cell r="B10">
            <v>16</v>
          </cell>
          <cell r="C10">
            <v>11</v>
          </cell>
          <cell r="D10">
            <v>-4.8000000000000007</v>
          </cell>
          <cell r="E10">
            <v>1</v>
          </cell>
          <cell r="F10">
            <v>17</v>
          </cell>
          <cell r="G10">
            <v>12</v>
          </cell>
          <cell r="H10">
            <v>-3.8000000000000007</v>
          </cell>
          <cell r="I10">
            <v>1</v>
          </cell>
          <cell r="J10">
            <v>17</v>
          </cell>
          <cell r="K10">
            <v>10</v>
          </cell>
          <cell r="L10">
            <v>-4.8000000000000007</v>
          </cell>
          <cell r="M10">
            <v>1</v>
          </cell>
          <cell r="N10">
            <v>19</v>
          </cell>
          <cell r="O10">
            <v>14</v>
          </cell>
          <cell r="P10">
            <v>-1.8000000000000007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E11">
            <v>2</v>
          </cell>
          <cell r="F11">
            <v>17</v>
          </cell>
          <cell r="G11">
            <v>11</v>
          </cell>
          <cell r="H11">
            <v>-4.3000000000000007</v>
          </cell>
          <cell r="I11">
            <v>2</v>
          </cell>
          <cell r="J11">
            <v>18</v>
          </cell>
          <cell r="K11">
            <v>11</v>
          </cell>
          <cell r="L11">
            <v>-3.8000000000000007</v>
          </cell>
          <cell r="M11">
            <v>2</v>
          </cell>
          <cell r="N11">
            <v>19</v>
          </cell>
          <cell r="O11">
            <v>15</v>
          </cell>
          <cell r="P11">
            <v>-1.3000000000000007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E12">
            <v>3</v>
          </cell>
          <cell r="F12">
            <v>16</v>
          </cell>
          <cell r="G12">
            <v>10</v>
          </cell>
          <cell r="H12">
            <v>-5.3000000000000007</v>
          </cell>
          <cell r="I12">
            <v>3</v>
          </cell>
          <cell r="J12">
            <v>19</v>
          </cell>
          <cell r="K12">
            <v>12</v>
          </cell>
          <cell r="L12">
            <v>-2.8000000000000007</v>
          </cell>
          <cell r="M12">
            <v>3</v>
          </cell>
          <cell r="N12">
            <v>20</v>
          </cell>
          <cell r="O12">
            <v>14</v>
          </cell>
          <cell r="P12">
            <v>-1.3000000000000007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E13">
            <v>4</v>
          </cell>
          <cell r="F13">
            <v>17</v>
          </cell>
          <cell r="G13">
            <v>13</v>
          </cell>
          <cell r="H13">
            <v>-3.3000000000000007</v>
          </cell>
          <cell r="I13">
            <v>4</v>
          </cell>
          <cell r="J13">
            <v>19</v>
          </cell>
          <cell r="K13">
            <v>12</v>
          </cell>
          <cell r="L13">
            <v>-2.8000000000000007</v>
          </cell>
          <cell r="M13">
            <v>4</v>
          </cell>
          <cell r="N13">
            <v>23</v>
          </cell>
          <cell r="O13">
            <v>14</v>
          </cell>
          <cell r="P13">
            <v>0.19999999999999929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14</v>
          </cell>
          <cell r="L14">
            <v>-1.8000000000000007</v>
          </cell>
          <cell r="M14">
            <v>5</v>
          </cell>
          <cell r="N14">
            <v>34</v>
          </cell>
          <cell r="O14">
            <v>17</v>
          </cell>
          <cell r="P14">
            <v>7.1999999999999993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E15">
            <v>6</v>
          </cell>
          <cell r="F15">
            <v>22</v>
          </cell>
          <cell r="G15">
            <v>16</v>
          </cell>
          <cell r="H15">
            <v>0.69999999999999929</v>
          </cell>
          <cell r="I15">
            <v>6</v>
          </cell>
          <cell r="J15">
            <v>18</v>
          </cell>
          <cell r="K15">
            <v>12</v>
          </cell>
          <cell r="L15">
            <v>-3.3000000000000007</v>
          </cell>
          <cell r="M15">
            <v>6</v>
          </cell>
          <cell r="N15">
            <v>19</v>
          </cell>
          <cell r="O15">
            <v>17</v>
          </cell>
          <cell r="P15">
            <v>-0.30000000000000071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E16">
            <v>7</v>
          </cell>
          <cell r="F16">
            <v>16</v>
          </cell>
          <cell r="G16">
            <v>10</v>
          </cell>
          <cell r="H16">
            <v>-5.3000000000000007</v>
          </cell>
          <cell r="I16">
            <v>7</v>
          </cell>
          <cell r="J16">
            <v>18</v>
          </cell>
          <cell r="K16">
            <v>12</v>
          </cell>
          <cell r="L16">
            <v>-3.3000000000000007</v>
          </cell>
          <cell r="M16">
            <v>7</v>
          </cell>
          <cell r="N16">
            <v>20</v>
          </cell>
          <cell r="O16">
            <v>16</v>
          </cell>
          <cell r="P16">
            <v>-0.30000000000000071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E17">
            <v>8</v>
          </cell>
          <cell r="F17">
            <v>14</v>
          </cell>
          <cell r="G17">
            <v>9</v>
          </cell>
          <cell r="H17">
            <v>-6.8000000000000007</v>
          </cell>
          <cell r="I17">
            <v>8</v>
          </cell>
          <cell r="J17">
            <v>19</v>
          </cell>
          <cell r="K17">
            <v>13</v>
          </cell>
          <cell r="L17">
            <v>-2.3000000000000007</v>
          </cell>
          <cell r="M17">
            <v>8</v>
          </cell>
          <cell r="N17">
            <v>19</v>
          </cell>
          <cell r="O17">
            <v>15</v>
          </cell>
          <cell r="P17">
            <v>-1.3000000000000007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E18">
            <v>9</v>
          </cell>
          <cell r="F18">
            <v>9</v>
          </cell>
          <cell r="G18">
            <v>8</v>
          </cell>
          <cell r="H18">
            <v>-9.8000000000000007</v>
          </cell>
          <cell r="I18">
            <v>9</v>
          </cell>
          <cell r="J18">
            <v>20</v>
          </cell>
          <cell r="K18">
            <v>14</v>
          </cell>
          <cell r="L18">
            <v>-1.3000000000000007</v>
          </cell>
          <cell r="M18">
            <v>9</v>
          </cell>
          <cell r="N18">
            <v>18</v>
          </cell>
          <cell r="O18">
            <v>15</v>
          </cell>
          <cell r="P18">
            <v>-1.8000000000000007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E19">
            <v>10</v>
          </cell>
          <cell r="F19">
            <v>10</v>
          </cell>
          <cell r="G19">
            <v>7</v>
          </cell>
          <cell r="H19">
            <v>-9.8000000000000007</v>
          </cell>
          <cell r="I19">
            <v>10</v>
          </cell>
          <cell r="J19">
            <v>19</v>
          </cell>
          <cell r="K19">
            <v>16</v>
          </cell>
          <cell r="L19">
            <v>-0.80000000000000071</v>
          </cell>
          <cell r="M19">
            <v>10</v>
          </cell>
          <cell r="N19">
            <v>16</v>
          </cell>
          <cell r="O19">
            <v>13</v>
          </cell>
          <cell r="P19">
            <v>-3.8000000000000007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E20">
            <v>11</v>
          </cell>
          <cell r="F20">
            <v>14</v>
          </cell>
          <cell r="G20">
            <v>8</v>
          </cell>
          <cell r="H20">
            <v>-7.3000000000000007</v>
          </cell>
          <cell r="I20">
            <v>11</v>
          </cell>
          <cell r="J20">
            <v>18</v>
          </cell>
          <cell r="K20">
            <v>14</v>
          </cell>
          <cell r="L20">
            <v>-2.3000000000000007</v>
          </cell>
          <cell r="M20">
            <v>11</v>
          </cell>
          <cell r="N20">
            <v>17</v>
          </cell>
          <cell r="O20">
            <v>14</v>
          </cell>
          <cell r="P20">
            <v>-2.8000000000000007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E21">
            <v>12</v>
          </cell>
          <cell r="F21">
            <v>16</v>
          </cell>
          <cell r="G21">
            <v>13</v>
          </cell>
          <cell r="H21">
            <v>-3.8000000000000007</v>
          </cell>
          <cell r="I21">
            <v>12</v>
          </cell>
          <cell r="J21">
            <v>27</v>
          </cell>
          <cell r="K21">
            <v>16</v>
          </cell>
          <cell r="L21">
            <v>3.1999999999999993</v>
          </cell>
          <cell r="M21">
            <v>12</v>
          </cell>
          <cell r="N21">
            <v>20</v>
          </cell>
          <cell r="O21">
            <v>14</v>
          </cell>
          <cell r="P21">
            <v>-1.3000000000000007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E22">
            <v>13</v>
          </cell>
          <cell r="F22">
            <v>17</v>
          </cell>
          <cell r="G22">
            <v>14</v>
          </cell>
          <cell r="H22">
            <v>-2.8000000000000007</v>
          </cell>
          <cell r="I22">
            <v>13</v>
          </cell>
          <cell r="J22">
            <v>26</v>
          </cell>
          <cell r="K22">
            <v>15</v>
          </cell>
          <cell r="L22">
            <v>2.1999999999999993</v>
          </cell>
          <cell r="M22">
            <v>13</v>
          </cell>
          <cell r="N22">
            <v>21</v>
          </cell>
          <cell r="O22">
            <v>15</v>
          </cell>
          <cell r="P22">
            <v>-0.30000000000000071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E23">
            <v>14</v>
          </cell>
          <cell r="F23">
            <v>17</v>
          </cell>
          <cell r="G23">
            <v>11</v>
          </cell>
          <cell r="H23">
            <v>-4.3000000000000007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  <cell r="M23">
            <v>14</v>
          </cell>
          <cell r="N23">
            <v>22</v>
          </cell>
          <cell r="O23">
            <v>16</v>
          </cell>
          <cell r="P23">
            <v>0.69999999999999929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E24">
            <v>15</v>
          </cell>
          <cell r="F24">
            <v>17</v>
          </cell>
          <cell r="G24">
            <v>12</v>
          </cell>
          <cell r="H24">
            <v>-3.8000000000000007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  <cell r="M24">
            <v>15</v>
          </cell>
          <cell r="N24">
            <v>20</v>
          </cell>
          <cell r="O24">
            <v>16</v>
          </cell>
          <cell r="P24">
            <v>-0.30000000000000071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E25">
            <v>16</v>
          </cell>
          <cell r="F25">
            <v>17</v>
          </cell>
          <cell r="G25">
            <v>11</v>
          </cell>
          <cell r="H25">
            <v>-4.3000000000000007</v>
          </cell>
          <cell r="I25">
            <v>16</v>
          </cell>
          <cell r="J25">
            <v>18</v>
          </cell>
          <cell r="K25">
            <v>11</v>
          </cell>
          <cell r="L25">
            <v>-3.8000000000000007</v>
          </cell>
          <cell r="M25">
            <v>16</v>
          </cell>
          <cell r="N25">
            <v>20</v>
          </cell>
          <cell r="O25">
            <v>15</v>
          </cell>
          <cell r="P25">
            <v>-0.80000000000000071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E26">
            <v>17</v>
          </cell>
          <cell r="F26">
            <v>16</v>
          </cell>
          <cell r="G26">
            <v>12</v>
          </cell>
          <cell r="H26">
            <v>-4.3000000000000007</v>
          </cell>
          <cell r="I26">
            <v>17</v>
          </cell>
          <cell r="J26">
            <v>19</v>
          </cell>
          <cell r="K26">
            <v>12</v>
          </cell>
          <cell r="L26">
            <v>-2.8000000000000007</v>
          </cell>
          <cell r="M26">
            <v>17</v>
          </cell>
          <cell r="N26">
            <v>22</v>
          </cell>
          <cell r="O26">
            <v>17</v>
          </cell>
          <cell r="P26">
            <v>1.1999999999999993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E27">
            <v>18</v>
          </cell>
          <cell r="F27">
            <v>17</v>
          </cell>
          <cell r="G27">
            <v>11</v>
          </cell>
          <cell r="H27">
            <v>-4.3000000000000007</v>
          </cell>
          <cell r="I27">
            <v>18</v>
          </cell>
          <cell r="J27">
            <v>15</v>
          </cell>
          <cell r="K27">
            <v>13</v>
          </cell>
          <cell r="L27">
            <v>-4.3000000000000007</v>
          </cell>
          <cell r="M27">
            <v>18</v>
          </cell>
          <cell r="N27">
            <v>24</v>
          </cell>
          <cell r="O27">
            <v>17</v>
          </cell>
          <cell r="P27">
            <v>2.1999999999999993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E28">
            <v>19</v>
          </cell>
          <cell r="F28">
            <v>17</v>
          </cell>
          <cell r="G28">
            <v>14</v>
          </cell>
          <cell r="H28">
            <v>-2.8000000000000007</v>
          </cell>
          <cell r="I28">
            <v>19</v>
          </cell>
          <cell r="J28">
            <v>17</v>
          </cell>
          <cell r="K28">
            <v>14</v>
          </cell>
          <cell r="L28">
            <v>-2.8000000000000007</v>
          </cell>
          <cell r="M28">
            <v>19</v>
          </cell>
          <cell r="N28">
            <v>24</v>
          </cell>
          <cell r="O28">
            <v>17</v>
          </cell>
          <cell r="P28">
            <v>2.1999999999999993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E29">
            <v>20</v>
          </cell>
          <cell r="F29">
            <v>17</v>
          </cell>
          <cell r="G29">
            <v>14</v>
          </cell>
          <cell r="H29">
            <v>-2.8000000000000007</v>
          </cell>
          <cell r="I29">
            <v>20</v>
          </cell>
          <cell r="J29">
            <v>16</v>
          </cell>
          <cell r="K29">
            <v>13</v>
          </cell>
          <cell r="L29">
            <v>-3.8000000000000007</v>
          </cell>
          <cell r="M29">
            <v>20</v>
          </cell>
          <cell r="N29">
            <v>23</v>
          </cell>
          <cell r="O29">
            <v>18</v>
          </cell>
          <cell r="P29">
            <v>2.1999999999999993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E30">
            <v>21</v>
          </cell>
          <cell r="F30">
            <v>16</v>
          </cell>
          <cell r="G30">
            <v>12</v>
          </cell>
          <cell r="H30">
            <v>-4.3000000000000007</v>
          </cell>
          <cell r="I30">
            <v>21</v>
          </cell>
          <cell r="J30">
            <v>17</v>
          </cell>
          <cell r="K30">
            <v>14</v>
          </cell>
          <cell r="L30">
            <v>-2.8000000000000007</v>
          </cell>
          <cell r="M30">
            <v>21</v>
          </cell>
          <cell r="N30">
            <v>24</v>
          </cell>
          <cell r="O30">
            <v>18</v>
          </cell>
          <cell r="P30">
            <v>2.6999999999999993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E31">
            <v>22</v>
          </cell>
          <cell r="F31">
            <v>17</v>
          </cell>
          <cell r="G31">
            <v>12</v>
          </cell>
          <cell r="H31">
            <v>-3.8000000000000007</v>
          </cell>
          <cell r="I31">
            <v>22</v>
          </cell>
          <cell r="J31">
            <v>19</v>
          </cell>
          <cell r="K31">
            <v>14</v>
          </cell>
          <cell r="L31">
            <v>-1.8000000000000007</v>
          </cell>
          <cell r="M31">
            <v>22</v>
          </cell>
          <cell r="N31">
            <v>25</v>
          </cell>
          <cell r="O31">
            <v>18</v>
          </cell>
          <cell r="P31">
            <v>3.1999999999999993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E32">
            <v>23</v>
          </cell>
          <cell r="F32">
            <v>16</v>
          </cell>
          <cell r="G32">
            <v>14</v>
          </cell>
          <cell r="H32">
            <v>-3.3000000000000007</v>
          </cell>
          <cell r="I32">
            <v>23</v>
          </cell>
          <cell r="J32">
            <v>21</v>
          </cell>
          <cell r="K32">
            <v>14</v>
          </cell>
          <cell r="L32">
            <v>-0.80000000000000071</v>
          </cell>
          <cell r="M32">
            <v>23</v>
          </cell>
          <cell r="N32">
            <v>23</v>
          </cell>
          <cell r="O32">
            <v>15</v>
          </cell>
          <cell r="P32">
            <v>0.69999999999999929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E33">
            <v>24</v>
          </cell>
          <cell r="F33">
            <v>17</v>
          </cell>
          <cell r="G33">
            <v>13</v>
          </cell>
          <cell r="H33">
            <v>-3.3000000000000007</v>
          </cell>
          <cell r="I33">
            <v>24</v>
          </cell>
          <cell r="J33">
            <v>22</v>
          </cell>
          <cell r="K33">
            <v>15</v>
          </cell>
          <cell r="L33">
            <v>0.19999999999999929</v>
          </cell>
          <cell r="M33">
            <v>24</v>
          </cell>
          <cell r="N33">
            <v>23</v>
          </cell>
          <cell r="O33">
            <v>16</v>
          </cell>
          <cell r="P33">
            <v>1.1999999999999993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E34">
            <v>25</v>
          </cell>
          <cell r="F34">
            <v>17</v>
          </cell>
          <cell r="G34">
            <v>13</v>
          </cell>
          <cell r="H34">
            <v>-3.3000000000000007</v>
          </cell>
          <cell r="I34">
            <v>25</v>
          </cell>
          <cell r="J34">
            <v>21</v>
          </cell>
          <cell r="K34">
            <v>15</v>
          </cell>
          <cell r="L34">
            <v>-0.30000000000000071</v>
          </cell>
          <cell r="M34">
            <v>25</v>
          </cell>
          <cell r="N34">
            <v>22</v>
          </cell>
          <cell r="O34">
            <v>14</v>
          </cell>
          <cell r="P34">
            <v>-0.30000000000000071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E35">
            <v>26</v>
          </cell>
          <cell r="F35">
            <v>18</v>
          </cell>
          <cell r="G35">
            <v>14</v>
          </cell>
          <cell r="H35">
            <v>-2.3000000000000007</v>
          </cell>
          <cell r="I35">
            <v>26</v>
          </cell>
          <cell r="J35">
            <v>21</v>
          </cell>
          <cell r="K35">
            <v>15</v>
          </cell>
          <cell r="L35">
            <v>-0.30000000000000071</v>
          </cell>
          <cell r="M35">
            <v>26</v>
          </cell>
          <cell r="N35">
            <v>21</v>
          </cell>
          <cell r="O35">
            <v>17</v>
          </cell>
          <cell r="P35">
            <v>0.69999999999999929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E36">
            <v>27</v>
          </cell>
          <cell r="F36">
            <v>19</v>
          </cell>
          <cell r="G36">
            <v>13</v>
          </cell>
          <cell r="H36">
            <v>-2.3000000000000007</v>
          </cell>
          <cell r="I36">
            <v>27</v>
          </cell>
          <cell r="J36">
            <v>18</v>
          </cell>
          <cell r="K36">
            <v>13</v>
          </cell>
          <cell r="L36">
            <v>-2.8000000000000007</v>
          </cell>
          <cell r="M36">
            <v>27</v>
          </cell>
          <cell r="N36">
            <v>20</v>
          </cell>
          <cell r="O36">
            <v>16</v>
          </cell>
          <cell r="P36">
            <v>-0.30000000000000071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E37">
            <v>28</v>
          </cell>
          <cell r="F37">
            <v>19</v>
          </cell>
          <cell r="G37">
            <v>14</v>
          </cell>
          <cell r="H37">
            <v>-1.8000000000000007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  <cell r="M37">
            <v>28</v>
          </cell>
          <cell r="N37">
            <v>21</v>
          </cell>
          <cell r="O37">
            <v>16</v>
          </cell>
          <cell r="P37">
            <v>0.19999999999999929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E38">
            <v>29</v>
          </cell>
          <cell r="F38">
            <v>18</v>
          </cell>
          <cell r="G38">
            <v>13</v>
          </cell>
          <cell r="H38">
            <v>-2.8000000000000007</v>
          </cell>
          <cell r="I38">
            <v>29</v>
          </cell>
          <cell r="J38">
            <v>20</v>
          </cell>
          <cell r="K38">
            <v>16</v>
          </cell>
          <cell r="L38">
            <v>-0.30000000000000071</v>
          </cell>
          <cell r="M38">
            <v>29</v>
          </cell>
          <cell r="N38">
            <v>21</v>
          </cell>
          <cell r="O38">
            <v>17</v>
          </cell>
          <cell r="P38">
            <v>0.69999999999999929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F39">
            <v>0</v>
          </cell>
          <cell r="G39">
            <v>0</v>
          </cell>
          <cell r="H39">
            <v>-18.3</v>
          </cell>
          <cell r="I39">
            <v>30</v>
          </cell>
          <cell r="J39">
            <v>20</v>
          </cell>
          <cell r="K39">
            <v>17</v>
          </cell>
          <cell r="L39">
            <v>0.19999999999999929</v>
          </cell>
          <cell r="M39">
            <v>30</v>
          </cell>
          <cell r="N39">
            <v>0</v>
          </cell>
          <cell r="O39">
            <v>0</v>
          </cell>
          <cell r="P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F40">
            <v>0</v>
          </cell>
          <cell r="G40">
            <v>0</v>
          </cell>
          <cell r="H40">
            <v>-18.3</v>
          </cell>
          <cell r="I40">
            <v>31</v>
          </cell>
          <cell r="J40">
            <v>30</v>
          </cell>
          <cell r="K40">
            <v>18</v>
          </cell>
          <cell r="L40">
            <v>5.6999999999999993</v>
          </cell>
          <cell r="P40">
            <v>-18.3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</row>
        <row r="32">
          <cell r="AB32">
            <v>0</v>
          </cell>
        </row>
        <row r="33">
          <cell r="AB33">
            <v>0</v>
          </cell>
          <cell r="AC33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>
        <row r="5">
          <cell r="B5">
            <v>78484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349844</v>
          </cell>
        </row>
      </sheetData>
      <sheetData sheetId="13"/>
      <sheetData sheetId="14"/>
      <sheetData sheetId="15">
        <row r="8">
          <cell r="C8">
            <v>60975</v>
          </cell>
        </row>
        <row r="14">
          <cell r="D14">
            <v>191.29999999999993</v>
          </cell>
        </row>
        <row r="15">
          <cell r="D15">
            <v>-8.1000000000000014</v>
          </cell>
        </row>
        <row r="16">
          <cell r="D16">
            <v>24.20967741935484</v>
          </cell>
        </row>
        <row r="17">
          <cell r="D17">
            <v>0.46607096774193552</v>
          </cell>
        </row>
        <row r="18">
          <cell r="D18">
            <v>182</v>
          </cell>
        </row>
      </sheetData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  <cell r="G82">
            <v>0.32200000000000001</v>
          </cell>
        </row>
      </sheetData>
      <sheetData sheetId="7"/>
      <sheetData sheetId="8"/>
      <sheetData sheetId="9">
        <row r="60">
          <cell r="D60">
            <v>142.66666666666666</v>
          </cell>
          <cell r="F60">
            <v>185.66666666666666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4" bestFit="1" customWidth="1"/>
    <col min="13" max="13" width="12.140625" style="304" customWidth="1"/>
    <col min="14" max="14" width="12.140625" style="529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1" t="s">
        <v>363</v>
      </c>
      <c r="M1" s="526" t="s">
        <v>404</v>
      </c>
      <c r="N1" s="527" t="s">
        <v>405</v>
      </c>
      <c r="O1" s="281" t="s">
        <v>347</v>
      </c>
    </row>
    <row r="2" spans="1:15">
      <c r="A2" t="s">
        <v>348</v>
      </c>
      <c r="B2">
        <v>1</v>
      </c>
      <c r="C2">
        <v>5</v>
      </c>
      <c r="D2">
        <v>2020</v>
      </c>
      <c r="E2" s="207">
        <f>ELEC!N3</f>
        <v>8802.3999999999069</v>
      </c>
      <c r="F2" s="346">
        <f>SUM('EDl log'!T4)</f>
        <v>4.2144972660493163E-2</v>
      </c>
      <c r="G2" s="207">
        <f>-tanks!AW6</f>
        <v>349</v>
      </c>
      <c r="H2" s="346">
        <f>SUM(tanks!AV6)</f>
        <v>0</v>
      </c>
      <c r="I2" s="10">
        <f>('B5'!AU5)*0.51</f>
        <v>30.6</v>
      </c>
      <c r="J2" s="325">
        <f>'B5'!AX5/0.51</f>
        <v>1.3725490196078429</v>
      </c>
      <c r="K2" s="207">
        <f>WATER!I6</f>
        <v>0</v>
      </c>
      <c r="L2" s="347">
        <f>SUM(WATER!J6)</f>
        <v>0</v>
      </c>
      <c r="M2" s="347">
        <f>WATER!Q6</f>
        <v>0</v>
      </c>
      <c r="N2" s="528">
        <v>0.6</v>
      </c>
      <c r="O2" s="10">
        <f>ELEC!B3</f>
        <v>10.004999999999999</v>
      </c>
    </row>
    <row r="3" spans="1:15">
      <c r="A3" t="s">
        <v>348</v>
      </c>
      <c r="B3">
        <f>B2+1</f>
        <v>2</v>
      </c>
      <c r="C3">
        <v>5</v>
      </c>
      <c r="D3">
        <v>2020</v>
      </c>
      <c r="E3" s="207">
        <f>ELEC!N4</f>
        <v>8701.6000000000931</v>
      </c>
      <c r="F3" s="346">
        <f>SUM('EDl log'!T5)</f>
        <v>4.212455602417383E-2</v>
      </c>
      <c r="G3" s="207">
        <f>-tanks!AW7</f>
        <v>249</v>
      </c>
      <c r="H3" s="346">
        <f>SUM(tanks!AV7)</f>
        <v>0</v>
      </c>
      <c r="I3" s="10">
        <f>('B5'!AU6)*0.51</f>
        <v>0</v>
      </c>
      <c r="J3" s="325">
        <f>'B5'!AX6/0.51</f>
        <v>1.3725490196078429</v>
      </c>
      <c r="K3" s="207">
        <f>WATER!I7</f>
        <v>0</v>
      </c>
      <c r="L3" s="347">
        <f>SUM(WATER!J7)</f>
        <v>0</v>
      </c>
      <c r="M3" s="347">
        <f>WATER!Q7</f>
        <v>0</v>
      </c>
      <c r="N3" s="528">
        <v>0.6</v>
      </c>
      <c r="O3" s="10">
        <f>ELEC!B4</f>
        <v>8.9700000000000006</v>
      </c>
    </row>
    <row r="4" spans="1:15">
      <c r="A4" t="s">
        <v>348</v>
      </c>
      <c r="B4">
        <f t="shared" ref="B4:B32" si="0">B3+1</f>
        <v>3</v>
      </c>
      <c r="C4">
        <v>5</v>
      </c>
      <c r="D4">
        <v>2020</v>
      </c>
      <c r="E4" s="207">
        <f>ELEC!N5</f>
        <v>11338.399999999907</v>
      </c>
      <c r="F4" s="346">
        <f>SUM('EDl log'!T6)</f>
        <v>4.0860614249549301E-2</v>
      </c>
      <c r="G4" s="207">
        <f>-tanks!AW8</f>
        <v>288.5</v>
      </c>
      <c r="H4" s="346">
        <f>SUM(tanks!AV8)</f>
        <v>0</v>
      </c>
      <c r="I4" s="10">
        <f>('B5'!AU7)*0.51</f>
        <v>76.5</v>
      </c>
      <c r="J4" s="325">
        <f>'B5'!AX7/0.51</f>
        <v>1.3725490196078429</v>
      </c>
      <c r="K4" s="207">
        <f>WATER!I8</f>
        <v>340</v>
      </c>
      <c r="L4" s="347">
        <f>SUM(WATER!J8)</f>
        <v>0.7115749525616698</v>
      </c>
      <c r="M4" s="347">
        <f>WATER!Q8</f>
        <v>0</v>
      </c>
      <c r="N4" s="528">
        <v>0.6</v>
      </c>
      <c r="O4" s="10">
        <f>ELEC!B5</f>
        <v>6.0030000000000001</v>
      </c>
    </row>
    <row r="5" spans="1:15">
      <c r="A5" t="s">
        <v>348</v>
      </c>
      <c r="B5">
        <f t="shared" si="0"/>
        <v>4</v>
      </c>
      <c r="C5">
        <v>5</v>
      </c>
      <c r="D5">
        <v>2020</v>
      </c>
      <c r="E5" s="207">
        <f>ELEC!N6</f>
        <v>10592</v>
      </c>
      <c r="F5" s="346">
        <f>SUM('EDl log'!T7)</f>
        <v>3.8565461202621214E-2</v>
      </c>
      <c r="G5" s="207">
        <f>-tanks!AW9</f>
        <v>657.89999999999418</v>
      </c>
      <c r="H5" s="346">
        <f>SUM(tanks!AV9)</f>
        <v>0</v>
      </c>
      <c r="I5" s="10">
        <f>('B5'!AU8)*0.51</f>
        <v>122.4</v>
      </c>
      <c r="J5" s="325">
        <f>'B5'!AX8/0.51</f>
        <v>1.3725490196078429</v>
      </c>
      <c r="K5" s="207">
        <f>WATER!I9</f>
        <v>0</v>
      </c>
      <c r="L5" s="347">
        <f>SUM(WATER!J9)</f>
        <v>0</v>
      </c>
      <c r="M5" s="347">
        <f>WATER!Q9</f>
        <v>0</v>
      </c>
      <c r="N5" s="528">
        <v>0.6</v>
      </c>
      <c r="O5" s="10">
        <f>ELEC!B6</f>
        <v>2.0009999999999999</v>
      </c>
    </row>
    <row r="6" spans="1:15">
      <c r="A6" t="s">
        <v>348</v>
      </c>
      <c r="B6">
        <f t="shared" si="0"/>
        <v>5</v>
      </c>
      <c r="C6">
        <v>5</v>
      </c>
      <c r="D6">
        <v>2020</v>
      </c>
      <c r="E6" s="207">
        <f>ELEC!N7</f>
        <v>0</v>
      </c>
      <c r="F6" s="346">
        <f>SUM('EDl log'!T8)</f>
        <v>0</v>
      </c>
      <c r="G6" s="207">
        <f>-tanks!AW10</f>
        <v>0</v>
      </c>
      <c r="H6" s="346">
        <f>SUM(tanks!AV10)</f>
        <v>0</v>
      </c>
      <c r="I6" s="10">
        <f>('B5'!AU9)*0.51</f>
        <v>0</v>
      </c>
      <c r="J6" s="325">
        <f>'B5'!AX9/0.51</f>
        <v>1.3725490196078429</v>
      </c>
      <c r="K6" s="207">
        <f>WATER!I10</f>
        <v>0</v>
      </c>
      <c r="L6" s="347">
        <f>SUM(WATER!J10)</f>
        <v>0</v>
      </c>
      <c r="M6" s="347">
        <f>WATER!Q10</f>
        <v>0</v>
      </c>
      <c r="N6" s="528">
        <v>0.6</v>
      </c>
      <c r="O6" s="10">
        <f>ELEC!B7</f>
        <v>0</v>
      </c>
    </row>
    <row r="7" spans="1:15">
      <c r="A7" t="s">
        <v>348</v>
      </c>
      <c r="B7">
        <f t="shared" si="0"/>
        <v>6</v>
      </c>
      <c r="C7">
        <v>5</v>
      </c>
      <c r="D7">
        <v>2020</v>
      </c>
      <c r="E7" s="207">
        <f>ELEC!N8</f>
        <v>0</v>
      </c>
      <c r="F7" s="346">
        <f>SUM('EDl log'!T9)</f>
        <v>0</v>
      </c>
      <c r="G7" s="207">
        <f>-tanks!AW11</f>
        <v>0</v>
      </c>
      <c r="H7" s="346">
        <f>SUM(tanks!AV11)</f>
        <v>0</v>
      </c>
      <c r="I7" s="10">
        <f>('B5'!AU10)*0.51</f>
        <v>0</v>
      </c>
      <c r="J7" s="325">
        <f>'B5'!AX10/0.51</f>
        <v>1.3725490196078429</v>
      </c>
      <c r="K7" s="207">
        <f>WATER!I11</f>
        <v>0</v>
      </c>
      <c r="L7" s="347">
        <f>SUM(WATER!J11)</f>
        <v>0</v>
      </c>
      <c r="M7" s="347">
        <f>WATER!Q11</f>
        <v>0</v>
      </c>
      <c r="N7" s="528">
        <v>0.6</v>
      </c>
      <c r="O7" s="10">
        <f>ELEC!B8</f>
        <v>0</v>
      </c>
    </row>
    <row r="8" spans="1:15">
      <c r="A8" t="s">
        <v>348</v>
      </c>
      <c r="B8">
        <f t="shared" si="0"/>
        <v>7</v>
      </c>
      <c r="C8">
        <v>5</v>
      </c>
      <c r="D8">
        <v>2020</v>
      </c>
      <c r="E8" s="207">
        <f>ELEC!N9</f>
        <v>0</v>
      </c>
      <c r="F8" s="346">
        <f>SUM('EDl log'!T10)</f>
        <v>0</v>
      </c>
      <c r="G8" s="207">
        <f>-tanks!AW12</f>
        <v>0</v>
      </c>
      <c r="H8" s="346">
        <f>SUM(tanks!AV12)</f>
        <v>0</v>
      </c>
      <c r="I8" s="10">
        <f>('B5'!AU11)*0.51</f>
        <v>0</v>
      </c>
      <c r="J8" s="325">
        <f>'B5'!AX11/0.51</f>
        <v>1.3725490196078429</v>
      </c>
      <c r="K8" s="207">
        <f>WATER!I12</f>
        <v>0</v>
      </c>
      <c r="L8" s="347">
        <f>SUM(WATER!J12)</f>
        <v>0</v>
      </c>
      <c r="M8" s="347">
        <f>WATER!Q12</f>
        <v>0</v>
      </c>
      <c r="N8" s="528">
        <v>0.6</v>
      </c>
      <c r="O8" s="10">
        <f>ELEC!B9</f>
        <v>0</v>
      </c>
    </row>
    <row r="9" spans="1:15">
      <c r="A9" t="s">
        <v>348</v>
      </c>
      <c r="B9">
        <f t="shared" si="0"/>
        <v>8</v>
      </c>
      <c r="C9">
        <v>5</v>
      </c>
      <c r="D9">
        <v>2020</v>
      </c>
      <c r="E9" s="207">
        <f>ELEC!N10</f>
        <v>0</v>
      </c>
      <c r="F9" s="346">
        <f>SUM('EDl log'!T11)</f>
        <v>0</v>
      </c>
      <c r="G9" s="207">
        <f>-tanks!AW13</f>
        <v>0</v>
      </c>
      <c r="H9" s="346">
        <f>SUM(tanks!AV13)</f>
        <v>0</v>
      </c>
      <c r="I9" s="10">
        <f>('B5'!AU12)*0.51</f>
        <v>0</v>
      </c>
      <c r="J9" s="325">
        <f>'B5'!AX12/0.51</f>
        <v>1.3725490196078429</v>
      </c>
      <c r="K9" s="207">
        <f>WATER!I13</f>
        <v>0</v>
      </c>
      <c r="L9" s="347">
        <f>SUM(WATER!J13)</f>
        <v>0</v>
      </c>
      <c r="M9" s="347">
        <f>WATER!Q13</f>
        <v>0</v>
      </c>
      <c r="N9" s="528">
        <v>0.6</v>
      </c>
      <c r="O9" s="10">
        <f>ELEC!B10</f>
        <v>0</v>
      </c>
    </row>
    <row r="10" spans="1:15">
      <c r="A10" t="s">
        <v>348</v>
      </c>
      <c r="B10">
        <f t="shared" si="0"/>
        <v>9</v>
      </c>
      <c r="C10">
        <v>5</v>
      </c>
      <c r="D10">
        <v>2020</v>
      </c>
      <c r="E10" s="207">
        <f>ELEC!N11</f>
        <v>0</v>
      </c>
      <c r="F10" s="346">
        <f>SUM('EDl log'!T12)</f>
        <v>0</v>
      </c>
      <c r="G10" s="207">
        <f>-tanks!AW14</f>
        <v>0</v>
      </c>
      <c r="H10" s="346">
        <f>SUM(tanks!AV14)</f>
        <v>0</v>
      </c>
      <c r="I10" s="10">
        <f>('B5'!AU13)*0.51</f>
        <v>0</v>
      </c>
      <c r="J10" s="325">
        <f>'B5'!AX13/0.51</f>
        <v>1.3725490196078429</v>
      </c>
      <c r="K10" s="207">
        <f>WATER!I14</f>
        <v>0</v>
      </c>
      <c r="L10" s="347">
        <f>SUM(WATER!J14)</f>
        <v>0</v>
      </c>
      <c r="M10" s="347">
        <f>WATER!Q14</f>
        <v>0</v>
      </c>
      <c r="N10" s="528">
        <v>0.6</v>
      </c>
      <c r="O10" s="10">
        <f>ELEC!B11</f>
        <v>0</v>
      </c>
    </row>
    <row r="11" spans="1:15">
      <c r="A11" t="s">
        <v>348</v>
      </c>
      <c r="B11">
        <f t="shared" si="0"/>
        <v>10</v>
      </c>
      <c r="C11">
        <v>5</v>
      </c>
      <c r="D11">
        <v>2020</v>
      </c>
      <c r="E11" s="207">
        <f>ELEC!N12</f>
        <v>0</v>
      </c>
      <c r="F11" s="346">
        <f>SUM('EDl log'!T13)</f>
        <v>0</v>
      </c>
      <c r="G11" s="207">
        <f>-tanks!AW15</f>
        <v>0</v>
      </c>
      <c r="H11" s="346">
        <f>SUM(tanks!AV15)</f>
        <v>0</v>
      </c>
      <c r="I11" s="10">
        <f>('B5'!AU14)*0.51</f>
        <v>0</v>
      </c>
      <c r="J11" s="325">
        <f>'B5'!AX14/0.51</f>
        <v>1.3725490196078429</v>
      </c>
      <c r="K11" s="207">
        <f>WATER!I15</f>
        <v>0</v>
      </c>
      <c r="L11" s="347">
        <f>SUM(WATER!J15)</f>
        <v>0</v>
      </c>
      <c r="M11" s="347">
        <f>WATER!Q15</f>
        <v>0</v>
      </c>
      <c r="N11" s="528">
        <v>0.6</v>
      </c>
      <c r="O11" s="10">
        <f>ELEC!B12</f>
        <v>0</v>
      </c>
    </row>
    <row r="12" spans="1:15">
      <c r="A12" t="s">
        <v>348</v>
      </c>
      <c r="B12">
        <f t="shared" si="0"/>
        <v>11</v>
      </c>
      <c r="C12">
        <v>5</v>
      </c>
      <c r="D12">
        <v>2020</v>
      </c>
      <c r="E12" s="207">
        <f>ELEC!N13</f>
        <v>0</v>
      </c>
      <c r="F12" s="346">
        <f>SUM('EDl log'!T14)</f>
        <v>0</v>
      </c>
      <c r="G12" s="207">
        <f>-tanks!AW16</f>
        <v>0</v>
      </c>
      <c r="H12" s="346">
        <f>SUM(tanks!AV16)</f>
        <v>0</v>
      </c>
      <c r="I12" s="10">
        <f>('B5'!AU15)*0.51</f>
        <v>0</v>
      </c>
      <c r="J12" s="325">
        <f>'B5'!AX15/0.51</f>
        <v>1.3725490196078429</v>
      </c>
      <c r="K12" s="207">
        <f>WATER!I16</f>
        <v>0</v>
      </c>
      <c r="L12" s="347">
        <f>SUM(WATER!J16)</f>
        <v>0</v>
      </c>
      <c r="M12" s="347">
        <f>WATER!Q16</f>
        <v>0</v>
      </c>
      <c r="N12" s="528">
        <v>0.6</v>
      </c>
      <c r="O12" s="10">
        <f>ELEC!B13</f>
        <v>0</v>
      </c>
    </row>
    <row r="13" spans="1:15">
      <c r="A13" t="s">
        <v>348</v>
      </c>
      <c r="B13">
        <f t="shared" si="0"/>
        <v>12</v>
      </c>
      <c r="C13">
        <v>5</v>
      </c>
      <c r="D13">
        <v>2020</v>
      </c>
      <c r="E13" s="207">
        <f>ELEC!N14</f>
        <v>0</v>
      </c>
      <c r="F13" s="346">
        <f>SUM('EDl log'!T15)</f>
        <v>0</v>
      </c>
      <c r="G13" s="207">
        <f>-tanks!AW17</f>
        <v>0</v>
      </c>
      <c r="H13" s="346">
        <f>SUM(tanks!AV17)</f>
        <v>0</v>
      </c>
      <c r="I13" s="10">
        <f>('B5'!AU16)*0.51</f>
        <v>0</v>
      </c>
      <c r="J13" s="325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28">
        <v>0.6</v>
      </c>
      <c r="O13" s="10">
        <f>ELEC!B14</f>
        <v>0</v>
      </c>
    </row>
    <row r="14" spans="1:15">
      <c r="A14" t="s">
        <v>348</v>
      </c>
      <c r="B14">
        <f t="shared" si="0"/>
        <v>13</v>
      </c>
      <c r="C14">
        <v>5</v>
      </c>
      <c r="D14">
        <v>2020</v>
      </c>
      <c r="E14" s="207">
        <f>ELEC!N15</f>
        <v>0</v>
      </c>
      <c r="F14" s="346">
        <f>SUM('EDl log'!T16)</f>
        <v>0</v>
      </c>
      <c r="G14" s="207">
        <f>-tanks!AW18</f>
        <v>0</v>
      </c>
      <c r="H14" s="346">
        <f>SUM(tanks!AV18)</f>
        <v>0</v>
      </c>
      <c r="I14" s="10">
        <f>('B5'!AU17)*0.51</f>
        <v>0</v>
      </c>
      <c r="J14" s="325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28">
        <v>0.6</v>
      </c>
      <c r="O14" s="10">
        <f>ELEC!B15</f>
        <v>0</v>
      </c>
    </row>
    <row r="15" spans="1:15">
      <c r="A15" t="s">
        <v>348</v>
      </c>
      <c r="B15">
        <f t="shared" si="0"/>
        <v>14</v>
      </c>
      <c r="C15">
        <v>5</v>
      </c>
      <c r="D15">
        <v>2020</v>
      </c>
      <c r="E15" s="207">
        <f>ELEC!N16</f>
        <v>0</v>
      </c>
      <c r="F15" s="346">
        <f>SUM('EDl log'!T17)</f>
        <v>0</v>
      </c>
      <c r="G15" s="207">
        <f>-tanks!AW19</f>
        <v>0</v>
      </c>
      <c r="H15" s="346">
        <f>SUM(tanks!AV19)</f>
        <v>0</v>
      </c>
      <c r="I15" s="10">
        <f>('B5'!AU18)*0.51</f>
        <v>0</v>
      </c>
      <c r="J15" s="325">
        <f>'B5'!AX18/0.51</f>
        <v>1.3725490196078429</v>
      </c>
      <c r="K15" s="207">
        <f>WATER!I19</f>
        <v>0</v>
      </c>
      <c r="L15" s="347">
        <f>SUM(WATER!J19)</f>
        <v>0</v>
      </c>
      <c r="M15" s="347">
        <f>WATER!Q19</f>
        <v>0</v>
      </c>
      <c r="N15" s="528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5</v>
      </c>
      <c r="D16">
        <v>2020</v>
      </c>
      <c r="E16" s="207">
        <f>ELEC!N17</f>
        <v>0</v>
      </c>
      <c r="F16" s="346">
        <f>SUM('EDl log'!T18)</f>
        <v>0</v>
      </c>
      <c r="G16" s="207">
        <f>-tanks!AW20</f>
        <v>0</v>
      </c>
      <c r="H16" s="346">
        <f>SUM(tanks!AV20)</f>
        <v>0</v>
      </c>
      <c r="I16" s="10">
        <f>('B5'!AU19)*0.51</f>
        <v>0</v>
      </c>
      <c r="J16" s="325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28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5</v>
      </c>
      <c r="D17">
        <v>2020</v>
      </c>
      <c r="E17" s="207">
        <f>ELEC!N18</f>
        <v>0</v>
      </c>
      <c r="F17" s="346">
        <f>SUM('EDl log'!T19)</f>
        <v>0</v>
      </c>
      <c r="G17" s="207">
        <f>-tanks!AW21</f>
        <v>0</v>
      </c>
      <c r="H17" s="346">
        <f>SUM(tanks!AV21)</f>
        <v>0</v>
      </c>
      <c r="I17" s="10">
        <f>('B5'!AU20)*0.51</f>
        <v>0</v>
      </c>
      <c r="J17" s="325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28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5</v>
      </c>
      <c r="D18">
        <v>2020</v>
      </c>
      <c r="E18" s="207">
        <f>ELEC!N19</f>
        <v>0</v>
      </c>
      <c r="F18" s="346">
        <f>SUM('EDl log'!T20)</f>
        <v>0</v>
      </c>
      <c r="G18" s="207">
        <f>-tanks!AW22</f>
        <v>0</v>
      </c>
      <c r="H18" s="346">
        <f>SUM(tanks!AV22)</f>
        <v>0</v>
      </c>
      <c r="I18" s="10">
        <f>('B5'!AU21)*0.51</f>
        <v>0</v>
      </c>
      <c r="J18" s="325">
        <f>'B5'!AX21/0.51</f>
        <v>1.3725490196078429</v>
      </c>
      <c r="K18" s="207">
        <f>WATER!I22</f>
        <v>0</v>
      </c>
      <c r="L18" s="347">
        <f>SUM(WATER!J22)</f>
        <v>0</v>
      </c>
      <c r="M18" s="347">
        <f>WATER!Q22</f>
        <v>0</v>
      </c>
      <c r="N18" s="528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5</v>
      </c>
      <c r="D19">
        <v>2020</v>
      </c>
      <c r="E19" s="207">
        <f>ELEC!N20</f>
        <v>0</v>
      </c>
      <c r="F19" s="346">
        <f>SUM('EDl log'!T21)</f>
        <v>0</v>
      </c>
      <c r="G19" s="207">
        <f>-tanks!AW23</f>
        <v>0</v>
      </c>
      <c r="H19" s="346">
        <f>SUM(tanks!AV23)</f>
        <v>0</v>
      </c>
      <c r="I19" s="10">
        <f>('B5'!AU22)*0.51</f>
        <v>0</v>
      </c>
      <c r="J19" s="325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28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5</v>
      </c>
      <c r="D20">
        <v>2020</v>
      </c>
      <c r="E20" s="207">
        <f>ELEC!N21</f>
        <v>0</v>
      </c>
      <c r="F20" s="346">
        <f>SUM('EDl log'!T22)</f>
        <v>0</v>
      </c>
      <c r="G20" s="207">
        <f>-tanks!AW24</f>
        <v>0</v>
      </c>
      <c r="H20" s="346">
        <f>SUM(tanks!AV24)</f>
        <v>0</v>
      </c>
      <c r="I20" s="10">
        <f>('B5'!AU23)*0.51</f>
        <v>0</v>
      </c>
      <c r="J20" s="325">
        <f>'B5'!AX23/0.51</f>
        <v>1.3725490196078429</v>
      </c>
      <c r="K20" s="207">
        <f>WATER!I24</f>
        <v>0</v>
      </c>
      <c r="L20" s="347">
        <f>SUM(WATER!J24)</f>
        <v>0</v>
      </c>
      <c r="M20" s="347">
        <f>WATER!Q24</f>
        <v>0</v>
      </c>
      <c r="N20" s="528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5</v>
      </c>
      <c r="D21">
        <v>2020</v>
      </c>
      <c r="E21" s="207">
        <f>ELEC!N22</f>
        <v>0</v>
      </c>
      <c r="F21" s="346">
        <f>SUM('EDl log'!T23)</f>
        <v>0</v>
      </c>
      <c r="G21" s="207">
        <f>-tanks!AW25</f>
        <v>0</v>
      </c>
      <c r="H21" s="346">
        <f>SUM(tanks!AV25)</f>
        <v>0</v>
      </c>
      <c r="I21" s="10">
        <f>('B5'!AU24)*0.51</f>
        <v>0</v>
      </c>
      <c r="J21" s="325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28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5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</v>
      </c>
      <c r="I22" s="10">
        <f>('B5'!AU25)*0.51</f>
        <v>0</v>
      </c>
      <c r="J22" s="325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28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5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</v>
      </c>
      <c r="I23" s="10">
        <f>('B5'!AU26)*0.51</f>
        <v>0</v>
      </c>
      <c r="J23" s="325">
        <f>'B5'!AX26/0.51</f>
        <v>1.3725490196078429</v>
      </c>
      <c r="K23" s="207">
        <f>WATER!I27</f>
        <v>0</v>
      </c>
      <c r="L23" s="347">
        <f>SUM(WATER!J27)</f>
        <v>0</v>
      </c>
      <c r="M23" s="347">
        <f>WATER!Q27</f>
        <v>0</v>
      </c>
      <c r="N23" s="528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5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</v>
      </c>
      <c r="I24" s="10">
        <f>('B5'!AU27)*0.51</f>
        <v>0</v>
      </c>
      <c r="J24" s="325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28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5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</v>
      </c>
      <c r="I25" s="10">
        <f>('B5'!AU28)*0.51</f>
        <v>0</v>
      </c>
      <c r="J25" s="325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28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5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</v>
      </c>
      <c r="I26" s="10">
        <f>('B5'!AU29)*0.51</f>
        <v>0</v>
      </c>
      <c r="J26" s="325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28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5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</v>
      </c>
      <c r="I27" s="10">
        <f>('B5'!AU30)*0.51</f>
        <v>0</v>
      </c>
      <c r="J27" s="325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28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5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</v>
      </c>
      <c r="I28" s="10">
        <f>('B5'!AU31)*0.51</f>
        <v>0</v>
      </c>
      <c r="J28" s="325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28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5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</v>
      </c>
      <c r="I29" s="10">
        <f>('B5'!AU32)*0.51</f>
        <v>0</v>
      </c>
      <c r="J29" s="325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28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5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</v>
      </c>
      <c r="I30" s="10">
        <f>('B5'!AU33)*0.51</f>
        <v>0</v>
      </c>
      <c r="J30" s="325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28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5</v>
      </c>
      <c r="D31">
        <v>2020</v>
      </c>
      <c r="E31" s="207">
        <f>ELEC!N32</f>
        <v>0</v>
      </c>
      <c r="F31" s="346">
        <f>SUM('EDl log'!T33)</f>
        <v>0</v>
      </c>
      <c r="G31" s="207">
        <f>-tanks!AW35</f>
        <v>0</v>
      </c>
      <c r="H31" s="346">
        <f>SUM(tanks!AV35)</f>
        <v>0</v>
      </c>
      <c r="I31" s="10">
        <f>('B5'!AU34)*0.51</f>
        <v>0</v>
      </c>
      <c r="J31" s="325">
        <f>'B5'!AX34/0.51</f>
        <v>1.3725490196078429</v>
      </c>
      <c r="K31" s="207">
        <f>WATER!I35</f>
        <v>0</v>
      </c>
      <c r="L31" s="347">
        <f>SUM(WATER!J35)</f>
        <v>0</v>
      </c>
      <c r="M31" s="347">
        <f>WATER!Q35</f>
        <v>0</v>
      </c>
      <c r="N31" s="528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5</v>
      </c>
      <c r="D32">
        <v>2020</v>
      </c>
      <c r="E32" s="207">
        <f>ELEC!N33</f>
        <v>0</v>
      </c>
      <c r="F32" s="346">
        <f>SUM('EDl log'!T34)</f>
        <v>0</v>
      </c>
      <c r="G32" s="207">
        <f>-tanks!AW36</f>
        <v>0</v>
      </c>
      <c r="H32" s="346">
        <f>SUM(tanks!AV36)</f>
        <v>0</v>
      </c>
      <c r="I32" s="10">
        <f>('B5'!AU35)*0.51</f>
        <v>0</v>
      </c>
      <c r="J32" s="325">
        <f>'B5'!AX35/0.51</f>
        <v>1.3725490196078429</v>
      </c>
      <c r="K32" s="207">
        <f>WATER!I36</f>
        <v>0</v>
      </c>
      <c r="L32" s="347">
        <f>SUM(WATER!J36)</f>
        <v>0</v>
      </c>
      <c r="M32" s="347">
        <f>WATER!Q36</f>
        <v>0</v>
      </c>
      <c r="N32" s="52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5</v>
      </c>
      <c r="D2">
        <v>2020</v>
      </c>
      <c r="E2" s="207">
        <f>ELEC!M3</f>
        <v>2580</v>
      </c>
      <c r="F2" s="207">
        <f>ELEC!K3</f>
        <v>996</v>
      </c>
      <c r="G2" s="207">
        <f>ELEC!I3</f>
        <v>1146</v>
      </c>
      <c r="H2" s="207">
        <f>ELEC!E3</f>
        <v>2824</v>
      </c>
      <c r="I2" s="207">
        <f>ELEC!G3</f>
        <v>1256.3999999999069</v>
      </c>
      <c r="J2" s="207">
        <f>WATER!Y6</f>
        <v>2</v>
      </c>
      <c r="K2" s="207">
        <f>WATER!AJ6</f>
        <v>1</v>
      </c>
      <c r="L2" s="10">
        <f>ELEC!B3</f>
        <v>10.004999999999999</v>
      </c>
      <c r="M2" s="10"/>
    </row>
    <row r="3" spans="1:13">
      <c r="A3" t="s">
        <v>348</v>
      </c>
      <c r="B3">
        <f>B2+1</f>
        <v>2</v>
      </c>
      <c r="C3">
        <v>5</v>
      </c>
      <c r="D3">
        <v>2020</v>
      </c>
      <c r="E3" s="207">
        <f>ELEC!M4</f>
        <v>2628</v>
      </c>
      <c r="F3" s="207">
        <f>ELEC!K4</f>
        <v>930</v>
      </c>
      <c r="G3" s="207">
        <f>ELEC!I4</f>
        <v>1188</v>
      </c>
      <c r="H3" s="207">
        <f>ELEC!E4</f>
        <v>2628</v>
      </c>
      <c r="I3" s="207">
        <f>ELEC!G4</f>
        <v>1327.6000000000931</v>
      </c>
      <c r="J3" s="207">
        <f>WATER!Y7</f>
        <v>66</v>
      </c>
      <c r="K3" s="207">
        <f>WATER!AJ7</f>
        <v>45</v>
      </c>
      <c r="L3" s="10">
        <f>ELEC!B4</f>
        <v>8.9700000000000006</v>
      </c>
      <c r="M3" s="10"/>
    </row>
    <row r="4" spans="1:13">
      <c r="A4" t="s">
        <v>348</v>
      </c>
      <c r="B4">
        <f t="shared" ref="B4:B32" si="0">B3+1</f>
        <v>3</v>
      </c>
      <c r="C4">
        <v>5</v>
      </c>
      <c r="D4">
        <v>2020</v>
      </c>
      <c r="E4" s="207">
        <f>ELEC!M5</f>
        <v>2892</v>
      </c>
      <c r="F4" s="207">
        <f>ELEC!K5</f>
        <v>940</v>
      </c>
      <c r="G4" s="207">
        <f>ELEC!I5</f>
        <v>1376</v>
      </c>
      <c r="H4" s="207">
        <f>ELEC!E5</f>
        <v>4672</v>
      </c>
      <c r="I4" s="207">
        <f>ELEC!G5</f>
        <v>1458.3999999999069</v>
      </c>
      <c r="J4" s="207">
        <f>WATER!Y8</f>
        <v>82</v>
      </c>
      <c r="K4" s="207">
        <f>WATER!AJ8</f>
        <v>13</v>
      </c>
      <c r="L4" s="10">
        <f>ELEC!B5</f>
        <v>6.0030000000000001</v>
      </c>
      <c r="M4" s="10"/>
    </row>
    <row r="5" spans="1:13">
      <c r="A5" t="s">
        <v>348</v>
      </c>
      <c r="B5">
        <f t="shared" si="0"/>
        <v>4</v>
      </c>
      <c r="C5">
        <v>5</v>
      </c>
      <c r="D5">
        <v>2020</v>
      </c>
      <c r="E5" s="207">
        <f>ELEC!M6</f>
        <v>2872</v>
      </c>
      <c r="F5" s="207">
        <f>ELEC!K6</f>
        <v>1572</v>
      </c>
      <c r="G5" s="207">
        <f>ELEC!I6</f>
        <v>1320</v>
      </c>
      <c r="H5" s="207">
        <f>ELEC!E6</f>
        <v>3434</v>
      </c>
      <c r="I5" s="207">
        <f>ELEC!G6</f>
        <v>1394</v>
      </c>
      <c r="J5" s="207">
        <f>WATER!Y9</f>
        <v>2</v>
      </c>
      <c r="K5" s="207">
        <f>WATER!AJ9</f>
        <v>21</v>
      </c>
      <c r="L5" s="10">
        <f>ELEC!B6</f>
        <v>2.0009999999999999</v>
      </c>
      <c r="M5" s="10"/>
    </row>
    <row r="6" spans="1:13">
      <c r="A6" t="s">
        <v>348</v>
      </c>
      <c r="B6">
        <f t="shared" si="0"/>
        <v>5</v>
      </c>
      <c r="C6">
        <v>5</v>
      </c>
      <c r="D6">
        <v>2020</v>
      </c>
      <c r="E6" s="207">
        <f>ELEC!M7</f>
        <v>0</v>
      </c>
      <c r="F6" s="207">
        <f>ELEC!K7</f>
        <v>0</v>
      </c>
      <c r="G6" s="207">
        <f>ELEC!I7</f>
        <v>0</v>
      </c>
      <c r="H6" s="207">
        <f>ELEC!E7</f>
        <v>0</v>
      </c>
      <c r="I6" s="207">
        <f>ELEC!G7</f>
        <v>0</v>
      </c>
      <c r="J6" s="207">
        <f>WATER!Y10</f>
        <v>0</v>
      </c>
      <c r="K6" s="207">
        <f>WATER!AJ10</f>
        <v>0</v>
      </c>
      <c r="L6" s="10">
        <f>ELEC!B7</f>
        <v>0</v>
      </c>
      <c r="M6" s="10"/>
    </row>
    <row r="7" spans="1:13">
      <c r="A7" t="s">
        <v>348</v>
      </c>
      <c r="B7">
        <f t="shared" si="0"/>
        <v>6</v>
      </c>
      <c r="C7">
        <v>5</v>
      </c>
      <c r="D7">
        <v>2020</v>
      </c>
      <c r="E7" s="207">
        <f>ELEC!M8</f>
        <v>0</v>
      </c>
      <c r="F7" s="207">
        <f>ELEC!K8</f>
        <v>0</v>
      </c>
      <c r="G7" s="207">
        <f>ELEC!I8</f>
        <v>0</v>
      </c>
      <c r="H7" s="207">
        <f>ELEC!E8</f>
        <v>0</v>
      </c>
      <c r="I7" s="207">
        <f>ELEC!G8</f>
        <v>0</v>
      </c>
      <c r="J7" s="207">
        <f>WATER!Y11</f>
        <v>0</v>
      </c>
      <c r="K7" s="207">
        <f>WATER!AJ11</f>
        <v>0</v>
      </c>
      <c r="L7" s="10">
        <f>ELEC!B8</f>
        <v>0</v>
      </c>
      <c r="M7" s="10"/>
    </row>
    <row r="8" spans="1:13">
      <c r="A8" t="s">
        <v>348</v>
      </c>
      <c r="B8">
        <f t="shared" si="0"/>
        <v>7</v>
      </c>
      <c r="C8">
        <v>5</v>
      </c>
      <c r="D8">
        <v>2020</v>
      </c>
      <c r="E8" s="207">
        <f>ELEC!M9</f>
        <v>0</v>
      </c>
      <c r="F8" s="207">
        <f>ELEC!K9</f>
        <v>0</v>
      </c>
      <c r="G8" s="207">
        <f>ELEC!I9</f>
        <v>0</v>
      </c>
      <c r="H8" s="207">
        <f>ELEC!E9</f>
        <v>0</v>
      </c>
      <c r="I8" s="207">
        <f>ELEC!G9</f>
        <v>0</v>
      </c>
      <c r="J8" s="207">
        <f>WATER!Y12</f>
        <v>0</v>
      </c>
      <c r="K8" s="207">
        <f>WATER!AJ12</f>
        <v>0</v>
      </c>
      <c r="L8" s="10">
        <f>ELEC!B9</f>
        <v>0</v>
      </c>
      <c r="M8" s="10"/>
    </row>
    <row r="9" spans="1:13">
      <c r="A9" t="s">
        <v>348</v>
      </c>
      <c r="B9">
        <f t="shared" si="0"/>
        <v>8</v>
      </c>
      <c r="C9">
        <v>5</v>
      </c>
      <c r="D9">
        <v>2020</v>
      </c>
      <c r="E9" s="207">
        <f>ELEC!M10</f>
        <v>0</v>
      </c>
      <c r="F9" s="207">
        <f>ELEC!K10</f>
        <v>0</v>
      </c>
      <c r="G9" s="207">
        <f>ELEC!I10</f>
        <v>0</v>
      </c>
      <c r="H9" s="207">
        <f>ELEC!E10</f>
        <v>0</v>
      </c>
      <c r="I9" s="207">
        <f>ELEC!G10</f>
        <v>0</v>
      </c>
      <c r="J9" s="207">
        <f>WATER!Y13</f>
        <v>0</v>
      </c>
      <c r="K9" s="207">
        <f>WATER!AJ13</f>
        <v>0</v>
      </c>
      <c r="L9" s="10">
        <f>ELEC!B10</f>
        <v>0</v>
      </c>
      <c r="M9" s="10"/>
    </row>
    <row r="10" spans="1:13">
      <c r="A10" t="s">
        <v>348</v>
      </c>
      <c r="B10">
        <f t="shared" si="0"/>
        <v>9</v>
      </c>
      <c r="C10">
        <v>5</v>
      </c>
      <c r="D10">
        <v>2020</v>
      </c>
      <c r="E10" s="207">
        <f>ELEC!M11</f>
        <v>0</v>
      </c>
      <c r="F10" s="207">
        <f>ELEC!K11</f>
        <v>0</v>
      </c>
      <c r="G10" s="207">
        <f>ELEC!I11</f>
        <v>0</v>
      </c>
      <c r="H10" s="207">
        <f>ELEC!E11</f>
        <v>0</v>
      </c>
      <c r="I10" s="207">
        <f>ELEC!G11</f>
        <v>0</v>
      </c>
      <c r="J10" s="207">
        <f>WATER!Y14</f>
        <v>0</v>
      </c>
      <c r="K10" s="207">
        <f>WATER!AJ14</f>
        <v>0</v>
      </c>
      <c r="L10" s="10">
        <f>ELEC!B11</f>
        <v>0</v>
      </c>
      <c r="M10" s="10"/>
    </row>
    <row r="11" spans="1:13">
      <c r="A11" t="s">
        <v>348</v>
      </c>
      <c r="B11">
        <f t="shared" si="0"/>
        <v>10</v>
      </c>
      <c r="C11">
        <v>5</v>
      </c>
      <c r="D11">
        <v>2020</v>
      </c>
      <c r="E11" s="207">
        <f>ELEC!M12</f>
        <v>0</v>
      </c>
      <c r="F11" s="207">
        <f>ELEC!K12</f>
        <v>0</v>
      </c>
      <c r="G11" s="207">
        <f>ELEC!I12</f>
        <v>0</v>
      </c>
      <c r="H11" s="207">
        <f>ELEC!E12</f>
        <v>0</v>
      </c>
      <c r="I11" s="207">
        <f>ELEC!G12</f>
        <v>0</v>
      </c>
      <c r="J11" s="207">
        <f>WATER!Y15</f>
        <v>0</v>
      </c>
      <c r="K11" s="207">
        <f>WATER!AJ15</f>
        <v>0</v>
      </c>
      <c r="L11" s="10">
        <f>ELEC!B12</f>
        <v>0</v>
      </c>
      <c r="M11" s="10"/>
    </row>
    <row r="12" spans="1:13">
      <c r="A12" t="s">
        <v>348</v>
      </c>
      <c r="B12">
        <f t="shared" si="0"/>
        <v>11</v>
      </c>
      <c r="C12">
        <v>5</v>
      </c>
      <c r="D12">
        <v>2020</v>
      </c>
      <c r="E12" s="207">
        <f>ELEC!M13</f>
        <v>0</v>
      </c>
      <c r="F12" s="207">
        <f>ELEC!K13</f>
        <v>0</v>
      </c>
      <c r="G12" s="207">
        <f>ELEC!I13</f>
        <v>0</v>
      </c>
      <c r="H12" s="207">
        <f>ELEC!E13</f>
        <v>0</v>
      </c>
      <c r="I12" s="207">
        <f>ELEC!G13</f>
        <v>0</v>
      </c>
      <c r="J12" s="207">
        <f>WATER!Y16</f>
        <v>0</v>
      </c>
      <c r="K12" s="207">
        <f>WATER!AJ16</f>
        <v>0</v>
      </c>
      <c r="L12" s="10">
        <f>ELEC!B13</f>
        <v>0</v>
      </c>
      <c r="M12" s="10"/>
    </row>
    <row r="13" spans="1:13">
      <c r="A13" t="s">
        <v>348</v>
      </c>
      <c r="B13">
        <f t="shared" si="0"/>
        <v>12</v>
      </c>
      <c r="C13">
        <v>5</v>
      </c>
      <c r="D13">
        <v>2020</v>
      </c>
      <c r="E13" s="207">
        <f>ELEC!M14</f>
        <v>0</v>
      </c>
      <c r="F13" s="207">
        <f>ELEC!K14</f>
        <v>0</v>
      </c>
      <c r="G13" s="207">
        <f>ELEC!I14</f>
        <v>0</v>
      </c>
      <c r="H13" s="207">
        <f>ELEC!E14</f>
        <v>0</v>
      </c>
      <c r="I13" s="207">
        <f>ELEC!G14</f>
        <v>0</v>
      </c>
      <c r="J13" s="207">
        <f>WATER!Y17</f>
        <v>0</v>
      </c>
      <c r="K13" s="207">
        <f>WATER!AJ17</f>
        <v>0</v>
      </c>
      <c r="L13" s="10">
        <f>ELEC!B14</f>
        <v>0</v>
      </c>
      <c r="M13" s="10"/>
    </row>
    <row r="14" spans="1:13">
      <c r="A14" t="s">
        <v>348</v>
      </c>
      <c r="B14">
        <f t="shared" si="0"/>
        <v>13</v>
      </c>
      <c r="C14">
        <v>5</v>
      </c>
      <c r="D14">
        <v>2020</v>
      </c>
      <c r="E14" s="207">
        <f>ELEC!M15</f>
        <v>0</v>
      </c>
      <c r="F14" s="207">
        <f>ELEC!K15</f>
        <v>0</v>
      </c>
      <c r="G14" s="207">
        <f>ELEC!I15</f>
        <v>0</v>
      </c>
      <c r="H14" s="207">
        <f>ELEC!E15</f>
        <v>0</v>
      </c>
      <c r="I14" s="207">
        <f>ELEC!G15</f>
        <v>0</v>
      </c>
      <c r="J14" s="207">
        <f>WATER!Y18</f>
        <v>0</v>
      </c>
      <c r="K14" s="207">
        <f>WATER!AJ18</f>
        <v>0</v>
      </c>
      <c r="L14" s="10">
        <f>ELEC!B15</f>
        <v>0</v>
      </c>
      <c r="M14" s="10"/>
    </row>
    <row r="15" spans="1:13">
      <c r="A15" t="s">
        <v>348</v>
      </c>
      <c r="B15">
        <f t="shared" si="0"/>
        <v>14</v>
      </c>
      <c r="C15">
        <v>5</v>
      </c>
      <c r="D15">
        <v>2020</v>
      </c>
      <c r="E15" s="207">
        <f>ELEC!M16</f>
        <v>0</v>
      </c>
      <c r="F15" s="207">
        <f>ELEC!K16</f>
        <v>0</v>
      </c>
      <c r="G15" s="207">
        <f>ELEC!I16</f>
        <v>0</v>
      </c>
      <c r="H15" s="207">
        <f>ELEC!E16</f>
        <v>0</v>
      </c>
      <c r="I15" s="207">
        <f>ELEC!G16</f>
        <v>0</v>
      </c>
      <c r="J15" s="207">
        <f>WATER!Y19</f>
        <v>0</v>
      </c>
      <c r="K15" s="207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5</v>
      </c>
      <c r="D16">
        <v>2020</v>
      </c>
      <c r="E16" s="207">
        <f>ELEC!M17</f>
        <v>0</v>
      </c>
      <c r="F16" s="207">
        <f>ELEC!K17</f>
        <v>0</v>
      </c>
      <c r="G16" s="207">
        <f>ELEC!I17</f>
        <v>0</v>
      </c>
      <c r="H16" s="207">
        <f>ELEC!E17</f>
        <v>0</v>
      </c>
      <c r="I16" s="207">
        <f>ELEC!G17</f>
        <v>0</v>
      </c>
      <c r="J16" s="207">
        <f>WATER!Y20</f>
        <v>0</v>
      </c>
      <c r="K16" s="207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5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5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5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5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5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5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5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5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5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5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5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5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5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5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5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5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Y1" zoomScale="85" zoomScaleNormal="85" zoomScaleSheetLayoutView="100" workbookViewId="0">
      <pane ySplit="1" topLeftCell="A2" activePane="bottomLeft" state="frozen"/>
      <selection activeCell="C1" sqref="C1"/>
      <selection pane="bottomLeft" activeCell="AC5" sqref="AC5:AC6"/>
    </sheetView>
  </sheetViews>
  <sheetFormatPr defaultRowHeight="15"/>
  <cols>
    <col min="1" max="1" width="7.7109375" style="490" bestFit="1" customWidth="1"/>
    <col min="2" max="2" width="10.28515625" style="499" bestFit="1" customWidth="1"/>
    <col min="3" max="3" width="11.5703125" style="490" customWidth="1"/>
    <col min="4" max="4" width="18" style="500" bestFit="1" customWidth="1"/>
    <col min="5" max="5" width="14.42578125" style="500" bestFit="1" customWidth="1"/>
    <col min="6" max="6" width="15.28515625" style="500" bestFit="1" customWidth="1"/>
    <col min="7" max="7" width="12" style="500" bestFit="1" customWidth="1"/>
    <col min="8" max="8" width="18" style="500" bestFit="1" customWidth="1"/>
    <col min="9" max="9" width="13" style="500" bestFit="1" customWidth="1"/>
    <col min="10" max="10" width="18" style="500" bestFit="1" customWidth="1"/>
    <col min="11" max="11" width="11.7109375" style="500" customWidth="1"/>
    <col min="12" max="12" width="18" style="500" bestFit="1" customWidth="1"/>
    <col min="13" max="13" width="12" style="500" bestFit="1" customWidth="1"/>
    <col min="14" max="14" width="15.42578125" style="490" bestFit="1" customWidth="1"/>
    <col min="15" max="15" width="13.140625" style="501" bestFit="1" customWidth="1"/>
    <col min="16" max="16" width="14.28515625" style="490" bestFit="1" customWidth="1"/>
    <col min="17" max="17" width="13.7109375" style="490" bestFit="1" customWidth="1"/>
    <col min="18" max="18" width="12.42578125" style="490" bestFit="1" customWidth="1"/>
    <col min="19" max="21" width="11.5703125" style="490" bestFit="1" customWidth="1"/>
    <col min="22" max="22" width="13.140625" style="490" bestFit="1" customWidth="1"/>
    <col min="23" max="25" width="11.5703125" style="490" bestFit="1" customWidth="1"/>
    <col min="26" max="26" width="13.140625" style="490" bestFit="1" customWidth="1"/>
    <col min="27" max="29" width="11.5703125" style="490" bestFit="1" customWidth="1"/>
    <col min="30" max="30" width="13.140625" style="490" bestFit="1" customWidth="1"/>
    <col min="31" max="32" width="11.5703125" style="490" bestFit="1" customWidth="1"/>
    <col min="33" max="33" width="14.42578125" style="490" bestFit="1" customWidth="1"/>
    <col min="34" max="34" width="9.140625" style="490"/>
    <col min="35" max="35" width="9.7109375" style="490" bestFit="1" customWidth="1"/>
    <col min="36" max="16384" width="9.140625" style="490"/>
  </cols>
  <sheetData>
    <row r="1" spans="1:115" s="474" customFormat="1" ht="18.75" customHeight="1">
      <c r="A1" s="474" t="s">
        <v>19</v>
      </c>
      <c r="B1" s="475" t="s">
        <v>155</v>
      </c>
      <c r="C1" s="476"/>
      <c r="D1" s="477" t="s">
        <v>20</v>
      </c>
      <c r="E1" s="477" t="s">
        <v>21</v>
      </c>
      <c r="F1" s="477" t="s">
        <v>22</v>
      </c>
      <c r="G1" s="477" t="s">
        <v>23</v>
      </c>
      <c r="H1" s="477" t="s">
        <v>24</v>
      </c>
      <c r="I1" s="477" t="s">
        <v>25</v>
      </c>
      <c r="J1" s="477" t="s">
        <v>26</v>
      </c>
      <c r="K1" s="477" t="s">
        <v>27</v>
      </c>
      <c r="L1" s="477" t="s">
        <v>28</v>
      </c>
      <c r="M1" s="477" t="s">
        <v>29</v>
      </c>
      <c r="N1" s="478" t="s">
        <v>30</v>
      </c>
      <c r="O1" s="479" t="s">
        <v>156</v>
      </c>
      <c r="P1" s="480" t="s">
        <v>329</v>
      </c>
      <c r="Q1" s="478" t="s">
        <v>31</v>
      </c>
      <c r="R1" s="478" t="s">
        <v>32</v>
      </c>
      <c r="S1" s="478" t="s">
        <v>364</v>
      </c>
      <c r="T1" s="478" t="s">
        <v>33</v>
      </c>
      <c r="U1" s="478" t="s">
        <v>34</v>
      </c>
      <c r="V1" s="478" t="s">
        <v>35</v>
      </c>
      <c r="W1" s="478" t="s">
        <v>36</v>
      </c>
      <c r="X1" s="478" t="s">
        <v>33</v>
      </c>
      <c r="Y1" s="478" t="s">
        <v>37</v>
      </c>
      <c r="Z1" s="478" t="s">
        <v>38</v>
      </c>
      <c r="AA1" s="478" t="s">
        <v>39</v>
      </c>
      <c r="AB1" s="478" t="s">
        <v>33</v>
      </c>
      <c r="AC1" s="478" t="s">
        <v>77</v>
      </c>
      <c r="AD1" s="478" t="s">
        <v>40</v>
      </c>
      <c r="AE1" s="478" t="s">
        <v>41</v>
      </c>
      <c r="AF1" s="478" t="s">
        <v>42</v>
      </c>
      <c r="AG1" s="474" t="s">
        <v>132</v>
      </c>
    </row>
    <row r="2" spans="1:115" s="473" customFormat="1">
      <c r="A2" s="573">
        <f>[1]ELEC!A32</f>
        <v>1.2999999999999999E-2</v>
      </c>
      <c r="B2" s="568">
        <v>2.9899999999999999E-2</v>
      </c>
      <c r="C2" s="482">
        <v>43951</v>
      </c>
      <c r="D2" s="574">
        <f>[1]ELEC!D32</f>
        <v>31633090</v>
      </c>
      <c r="E2" s="574">
        <f>[1]ELEC!E32</f>
        <v>2376</v>
      </c>
      <c r="F2" s="574">
        <f>[1]ELEC!F32</f>
        <v>3646395.6</v>
      </c>
      <c r="G2" s="574">
        <f>[1]ELEC!G32</f>
        <v>1679.2000000001863</v>
      </c>
      <c r="H2" s="574">
        <f>[1]ELEC!H32</f>
        <v>17427416</v>
      </c>
      <c r="I2" s="574">
        <f>[1]ELEC!I32</f>
        <v>1518</v>
      </c>
      <c r="J2" s="574">
        <f>[1]ELEC!J32</f>
        <v>28390420</v>
      </c>
      <c r="K2" s="574">
        <f>[1]ELEC!K32</f>
        <v>1094</v>
      </c>
      <c r="L2" s="574">
        <f>[1]ELEC!L32</f>
        <v>22942186</v>
      </c>
      <c r="M2" s="574">
        <f>[1]ELEC!M32</f>
        <v>3506</v>
      </c>
      <c r="N2" s="574">
        <f>[1]ELEC!N32</f>
        <v>10173.200000000186</v>
      </c>
      <c r="O2" s="574">
        <f>[1]ELEC!O32</f>
        <v>3402.4080267559152</v>
      </c>
      <c r="P2" s="574">
        <f>[1]ELEC!P32</f>
        <v>15479.6</v>
      </c>
      <c r="Q2" s="574">
        <f>[1]ELEC!Q32</f>
        <v>1770.0000000004366</v>
      </c>
      <c r="R2" s="574">
        <f>[1]ELEC!R32</f>
        <v>8403.1999999997497</v>
      </c>
      <c r="S2" s="574">
        <f>[1]ELEC!S32</f>
        <v>8454</v>
      </c>
      <c r="T2" s="574">
        <f>[1]ELEC!T32</f>
        <v>2</v>
      </c>
      <c r="U2" s="574">
        <f>[1]ELEC!U32</f>
        <v>40221</v>
      </c>
      <c r="V2" s="574">
        <f>[1]ELEC!V32</f>
        <v>361</v>
      </c>
      <c r="W2" s="574">
        <f>[1]ELEC!W32</f>
        <v>31845</v>
      </c>
      <c r="X2" s="574">
        <f>[1]ELEC!X32</f>
        <v>0</v>
      </c>
      <c r="Y2" s="574">
        <f>[1]ELEC!Y32</f>
        <v>624440</v>
      </c>
      <c r="Z2" s="574">
        <f>[1]ELEC!Z32</f>
        <v>0</v>
      </c>
      <c r="AA2" s="574">
        <f>[1]ELEC!AA32</f>
        <v>35042</v>
      </c>
      <c r="AB2" s="574">
        <f>[1]ELEC!AB32</f>
        <v>0</v>
      </c>
      <c r="AC2" s="574">
        <f>[1]ELEC!AC32</f>
        <v>773343</v>
      </c>
      <c r="AD2" s="574">
        <f>[1]ELEC!AD32</f>
        <v>0</v>
      </c>
      <c r="AE2" s="574">
        <f>[1]ELEC!AE32</f>
        <v>2</v>
      </c>
      <c r="AF2" s="574">
        <f>[1]ELEC!AF32</f>
        <v>361</v>
      </c>
      <c r="AG2" s="574">
        <f>[1]ELEC!AG32</f>
        <v>180.5</v>
      </c>
      <c r="AH2" s="574">
        <f>[1]ELEC!AH32</f>
        <v>0</v>
      </c>
      <c r="AI2" s="574">
        <f>[1]ELEC!AI32</f>
        <v>-49806639.799999997</v>
      </c>
      <c r="AJ2" s="506"/>
      <c r="AK2" s="506"/>
      <c r="AL2" s="506"/>
      <c r="AM2" s="506"/>
      <c r="AN2" s="506"/>
      <c r="AO2" s="506"/>
      <c r="AP2" s="506"/>
      <c r="AQ2" s="506"/>
      <c r="AR2" s="506"/>
      <c r="AS2" s="506"/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506"/>
      <c r="CL2" s="506"/>
      <c r="CM2" s="506"/>
      <c r="CN2" s="506"/>
      <c r="CO2" s="506"/>
      <c r="CP2" s="506"/>
      <c r="CQ2" s="506"/>
      <c r="CR2" s="506"/>
      <c r="CS2" s="506"/>
      <c r="CT2" s="506"/>
      <c r="CU2" s="506"/>
      <c r="CV2" s="506"/>
      <c r="CW2" s="506"/>
      <c r="CX2" s="506"/>
      <c r="CY2" s="506"/>
      <c r="CZ2" s="506"/>
      <c r="DA2" s="506"/>
      <c r="DB2" s="506"/>
      <c r="DC2" s="506"/>
      <c r="DD2" s="506"/>
      <c r="DE2" s="506"/>
      <c r="DF2" s="506"/>
      <c r="DG2" s="506"/>
      <c r="DH2" s="506"/>
      <c r="DI2" s="506"/>
      <c r="DJ2" s="506"/>
      <c r="DK2" s="506"/>
    </row>
    <row r="3" spans="1:115">
      <c r="A3" s="481">
        <f>'General information '!F6</f>
        <v>4.3499999999999997E-2</v>
      </c>
      <c r="B3" s="475">
        <f>SUM(230*A3)</f>
        <v>10.004999999999999</v>
      </c>
      <c r="C3" s="482">
        <v>43952</v>
      </c>
      <c r="D3" s="469">
        <v>31635914</v>
      </c>
      <c r="E3" s="470">
        <f>D3-D2</f>
        <v>2824</v>
      </c>
      <c r="F3" s="469">
        <v>3647652</v>
      </c>
      <c r="G3" s="471">
        <f t="shared" ref="G3:G31" si="0">F3-F2</f>
        <v>1256.3999999999069</v>
      </c>
      <c r="H3" s="469">
        <v>17428562</v>
      </c>
      <c r="I3" s="471">
        <f>H3-H2</f>
        <v>1146</v>
      </c>
      <c r="J3" s="469">
        <v>28391416</v>
      </c>
      <c r="K3" s="471">
        <f>J3-J2</f>
        <v>996</v>
      </c>
      <c r="L3" s="469">
        <v>22944766</v>
      </c>
      <c r="M3" s="471">
        <f>L3-L2</f>
        <v>2580</v>
      </c>
      <c r="N3" s="472">
        <f>M3+K3+I3+G3+E3</f>
        <v>8802.3999999999069</v>
      </c>
      <c r="O3" s="483">
        <f t="shared" ref="O3:O9" si="1">IF(B3&gt;0,N3/B3,0)</f>
        <v>879.80009995001581</v>
      </c>
      <c r="P3" s="469">
        <v>15481</v>
      </c>
      <c r="Q3" s="492">
        <f t="shared" ref="Q3:Q12" si="2">(P3-P2)*1000</f>
        <v>1399.9999999996362</v>
      </c>
      <c r="R3" s="485">
        <f>+N3-Q3</f>
        <v>7402.4000000002707</v>
      </c>
      <c r="S3" s="469">
        <f>S2</f>
        <v>8454</v>
      </c>
      <c r="T3" s="486">
        <f t="shared" ref="T3:T32" si="3">S3-S2</f>
        <v>0</v>
      </c>
      <c r="U3" s="469">
        <f>U2</f>
        <v>40221</v>
      </c>
      <c r="V3" s="484">
        <f>U3-U2</f>
        <v>0</v>
      </c>
      <c r="W3" s="469">
        <v>31845</v>
      </c>
      <c r="X3" s="484">
        <f t="shared" ref="X3:X8" si="4">W3-W2</f>
        <v>0</v>
      </c>
      <c r="Y3" s="469">
        <v>624440</v>
      </c>
      <c r="Z3" s="484">
        <f>Y3-Y2</f>
        <v>0</v>
      </c>
      <c r="AA3" s="469">
        <v>35046</v>
      </c>
      <c r="AB3" s="484">
        <f>AA3-AA2</f>
        <v>4</v>
      </c>
      <c r="AC3" s="469">
        <v>774178</v>
      </c>
      <c r="AD3" s="487">
        <f>AC3-AC2</f>
        <v>835</v>
      </c>
      <c r="AE3" s="488">
        <f>AB3+X3+T3</f>
        <v>4</v>
      </c>
      <c r="AF3" s="469">
        <f>V3+Z3+AD3</f>
        <v>835</v>
      </c>
      <c r="AG3" s="489">
        <f t="shared" ref="AG3:AG9" si="5">IF(AE3&gt;0,AF3/AE3,0)</f>
        <v>208.75</v>
      </c>
    </row>
    <row r="4" spans="1:115">
      <c r="A4" s="481">
        <f>'General information '!F7</f>
        <v>3.9E-2</v>
      </c>
      <c r="B4" s="475">
        <f t="shared" ref="B4:B31" si="6">SUM(230*A4)</f>
        <v>8.9700000000000006</v>
      </c>
      <c r="C4" s="482">
        <v>43953</v>
      </c>
      <c r="D4" s="469">
        <v>31638542</v>
      </c>
      <c r="E4" s="327">
        <f>D4-D3</f>
        <v>2628</v>
      </c>
      <c r="F4" s="469">
        <v>3648979.6</v>
      </c>
      <c r="G4" s="328">
        <f t="shared" si="0"/>
        <v>1327.6000000000931</v>
      </c>
      <c r="H4" s="469">
        <v>17429750</v>
      </c>
      <c r="I4" s="328">
        <f>H4-H3</f>
        <v>1188</v>
      </c>
      <c r="J4" s="469">
        <v>28392346</v>
      </c>
      <c r="K4" s="328">
        <f>J4-J3</f>
        <v>930</v>
      </c>
      <c r="L4" s="469">
        <v>22947394</v>
      </c>
      <c r="M4" s="328">
        <f>L4-L3</f>
        <v>2628</v>
      </c>
      <c r="N4" s="326">
        <f>M4+K4+I4+G4+E4</f>
        <v>8701.6000000000931</v>
      </c>
      <c r="O4" s="491">
        <f t="shared" si="1"/>
        <v>970.07803790413516</v>
      </c>
      <c r="P4" s="469">
        <v>15482.534</v>
      </c>
      <c r="Q4" s="492">
        <f t="shared" si="2"/>
        <v>1533.9999999996508</v>
      </c>
      <c r="R4" s="473">
        <f>N4-Q4</f>
        <v>7167.6000000004424</v>
      </c>
      <c r="S4" s="469">
        <f t="shared" ref="S4:U33" si="7">S3</f>
        <v>8454</v>
      </c>
      <c r="T4" s="493">
        <f t="shared" si="3"/>
        <v>0</v>
      </c>
      <c r="U4" s="469">
        <f t="shared" si="7"/>
        <v>40221</v>
      </c>
      <c r="V4" s="473">
        <f>U4-U3</f>
        <v>0</v>
      </c>
      <c r="W4" s="469">
        <f t="shared" ref="W4:Y33" si="8">W3</f>
        <v>31845</v>
      </c>
      <c r="X4" s="473">
        <f t="shared" si="4"/>
        <v>0</v>
      </c>
      <c r="Y4" s="469">
        <f t="shared" si="8"/>
        <v>624440</v>
      </c>
      <c r="Z4" s="473">
        <f>Y4-Y3</f>
        <v>0</v>
      </c>
      <c r="AA4" s="469">
        <v>35049</v>
      </c>
      <c r="AB4" s="494">
        <f>AA4-AA3</f>
        <v>3</v>
      </c>
      <c r="AC4" s="469">
        <v>774785</v>
      </c>
      <c r="AD4" s="495">
        <f>AC4-AC3</f>
        <v>607</v>
      </c>
      <c r="AE4" s="496">
        <f t="shared" ref="AE4:AE32" si="9">AB4+X4+T4</f>
        <v>3</v>
      </c>
      <c r="AF4" s="497">
        <f t="shared" ref="AF4:AF31" si="10">V4+Z4+AD4</f>
        <v>607</v>
      </c>
      <c r="AG4" s="489">
        <f t="shared" si="5"/>
        <v>202.33333333333334</v>
      </c>
    </row>
    <row r="5" spans="1:115">
      <c r="A5" s="481">
        <f>'General information '!F8</f>
        <v>2.6100000000000002E-2</v>
      </c>
      <c r="B5" s="475">
        <f>SUM(230*A5)</f>
        <v>6.0030000000000001</v>
      </c>
      <c r="C5" s="482">
        <v>43954</v>
      </c>
      <c r="D5" s="469">
        <v>31643214</v>
      </c>
      <c r="E5" s="327">
        <f t="shared" ref="E5:E33" si="11">D5-D4</f>
        <v>4672</v>
      </c>
      <c r="F5" s="579">
        <v>3650438</v>
      </c>
      <c r="G5" s="328">
        <f t="shared" si="0"/>
        <v>1458.3999999999069</v>
      </c>
      <c r="H5" s="469">
        <v>17431126</v>
      </c>
      <c r="I5" s="328">
        <f t="shared" ref="I5:I31" si="12">H5-H4</f>
        <v>1376</v>
      </c>
      <c r="J5" s="579">
        <v>28393286</v>
      </c>
      <c r="K5" s="328">
        <f t="shared" ref="K5:K31" si="13">J5-J4</f>
        <v>940</v>
      </c>
      <c r="L5" s="469">
        <v>22950286</v>
      </c>
      <c r="M5" s="328">
        <f t="shared" ref="M5:M31" si="14">L5-L4</f>
        <v>2892</v>
      </c>
      <c r="N5" s="326">
        <f t="shared" ref="N5:N31" si="15">M5+K5+I5+G5+E5</f>
        <v>11338.399999999907</v>
      </c>
      <c r="O5" s="491">
        <f t="shared" si="1"/>
        <v>1888.7889388638857</v>
      </c>
      <c r="P5" s="579">
        <v>15484</v>
      </c>
      <c r="Q5" s="492">
        <f>(P5-P4)*1000</f>
        <v>1466.0000000003492</v>
      </c>
      <c r="R5" s="473">
        <f>N5-Q5</f>
        <v>9872.3999999995576</v>
      </c>
      <c r="S5" s="469">
        <f t="shared" si="7"/>
        <v>8454</v>
      </c>
      <c r="T5" s="493">
        <f t="shared" si="3"/>
        <v>0</v>
      </c>
      <c r="U5" s="469">
        <f t="shared" si="7"/>
        <v>40221</v>
      </c>
      <c r="V5" s="473">
        <f t="shared" ref="V5:V32" si="16">U5-U4</f>
        <v>0</v>
      </c>
      <c r="W5" s="469">
        <v>31845</v>
      </c>
      <c r="X5" s="473">
        <f t="shared" si="4"/>
        <v>0</v>
      </c>
      <c r="Y5" s="469">
        <v>624440</v>
      </c>
      <c r="Z5" s="473">
        <f>Y5-Y4</f>
        <v>0</v>
      </c>
      <c r="AA5" s="469">
        <v>35057</v>
      </c>
      <c r="AB5" s="473">
        <f t="shared" ref="AB5:AB32" si="17">AA5-AA4</f>
        <v>8</v>
      </c>
      <c r="AC5" s="579">
        <v>776180</v>
      </c>
      <c r="AD5" s="473">
        <f t="shared" ref="AD5:AD16" si="18">AC5-AC4</f>
        <v>1395</v>
      </c>
      <c r="AE5" s="496">
        <f t="shared" si="9"/>
        <v>8</v>
      </c>
      <c r="AF5" s="497">
        <f t="shared" si="10"/>
        <v>1395</v>
      </c>
      <c r="AG5" s="489">
        <f t="shared" si="5"/>
        <v>174.375</v>
      </c>
      <c r="AI5" s="490">
        <f>R5-'EDl log'!B3</f>
        <v>-49817697.600000001</v>
      </c>
    </row>
    <row r="6" spans="1:115">
      <c r="A6" s="481">
        <f>'General information '!F9</f>
        <v>8.6999999999999994E-3</v>
      </c>
      <c r="B6" s="475">
        <f t="shared" si="6"/>
        <v>2.0009999999999999</v>
      </c>
      <c r="C6" s="482">
        <v>43955</v>
      </c>
      <c r="D6" s="469">
        <v>31646648</v>
      </c>
      <c r="E6" s="327">
        <f t="shared" si="11"/>
        <v>3434</v>
      </c>
      <c r="F6" s="579">
        <v>3651832</v>
      </c>
      <c r="G6" s="328">
        <f t="shared" si="0"/>
        <v>1394</v>
      </c>
      <c r="H6" s="469">
        <v>17432446</v>
      </c>
      <c r="I6" s="328">
        <f t="shared" si="12"/>
        <v>1320</v>
      </c>
      <c r="J6" s="579">
        <v>28394858</v>
      </c>
      <c r="K6" s="328">
        <f t="shared" si="13"/>
        <v>1572</v>
      </c>
      <c r="L6" s="469">
        <v>22953158</v>
      </c>
      <c r="M6" s="328">
        <f t="shared" si="14"/>
        <v>2872</v>
      </c>
      <c r="N6" s="326">
        <f t="shared" si="15"/>
        <v>10592</v>
      </c>
      <c r="O6" s="491">
        <f t="shared" si="1"/>
        <v>5293.3533233383314</v>
      </c>
      <c r="P6" s="579">
        <v>15485</v>
      </c>
      <c r="Q6" s="473">
        <f t="shared" si="2"/>
        <v>1000</v>
      </c>
      <c r="R6" s="473">
        <f t="shared" ref="R6:R31" si="19">N6-Q6</f>
        <v>9592</v>
      </c>
      <c r="S6" s="469">
        <f t="shared" si="7"/>
        <v>8454</v>
      </c>
      <c r="T6" s="493">
        <f t="shared" si="3"/>
        <v>0</v>
      </c>
      <c r="U6" s="469">
        <f t="shared" si="7"/>
        <v>40221</v>
      </c>
      <c r="V6" s="473">
        <f t="shared" si="16"/>
        <v>0</v>
      </c>
      <c r="W6" s="469">
        <v>31845</v>
      </c>
      <c r="X6" s="473">
        <f t="shared" si="4"/>
        <v>0</v>
      </c>
      <c r="Y6" s="469">
        <v>624440</v>
      </c>
      <c r="Z6" s="473">
        <f t="shared" ref="Z6:Z30" si="20">Y6-Y5</f>
        <v>0</v>
      </c>
      <c r="AA6" s="469">
        <v>35061</v>
      </c>
      <c r="AB6" s="473">
        <f t="shared" si="17"/>
        <v>4</v>
      </c>
      <c r="AC6" s="579">
        <v>777210</v>
      </c>
      <c r="AD6" s="473">
        <f t="shared" si="18"/>
        <v>1030</v>
      </c>
      <c r="AE6" s="496">
        <f t="shared" si="9"/>
        <v>4</v>
      </c>
      <c r="AF6" s="497">
        <f t="shared" si="10"/>
        <v>1030</v>
      </c>
      <c r="AG6" s="489">
        <f t="shared" si="5"/>
        <v>257.5</v>
      </c>
      <c r="AI6" s="490">
        <f>R6-'EDl log'!B4</f>
        <v>-49821551</v>
      </c>
    </row>
    <row r="7" spans="1:115">
      <c r="A7" s="481">
        <f>'General information '!F10</f>
        <v>0</v>
      </c>
      <c r="B7" s="475">
        <f t="shared" si="6"/>
        <v>0</v>
      </c>
      <c r="C7" s="482">
        <v>43956</v>
      </c>
      <c r="D7" s="469">
        <f t="shared" ref="D7:L33" si="21">D6</f>
        <v>31646648</v>
      </c>
      <c r="E7" s="327">
        <f t="shared" si="11"/>
        <v>0</v>
      </c>
      <c r="F7" s="469">
        <f t="shared" si="21"/>
        <v>3651832</v>
      </c>
      <c r="G7" s="328">
        <f t="shared" si="0"/>
        <v>0</v>
      </c>
      <c r="H7" s="469">
        <f t="shared" si="21"/>
        <v>17432446</v>
      </c>
      <c r="I7" s="328">
        <f t="shared" si="12"/>
        <v>0</v>
      </c>
      <c r="J7" s="469">
        <f t="shared" si="21"/>
        <v>28394858</v>
      </c>
      <c r="K7" s="328">
        <f t="shared" si="13"/>
        <v>0</v>
      </c>
      <c r="L7" s="469">
        <f t="shared" si="21"/>
        <v>22953158</v>
      </c>
      <c r="M7" s="328">
        <f t="shared" si="14"/>
        <v>0</v>
      </c>
      <c r="N7" s="326">
        <f t="shared" si="15"/>
        <v>0</v>
      </c>
      <c r="O7" s="491">
        <f t="shared" si="1"/>
        <v>0</v>
      </c>
      <c r="P7" s="469">
        <f t="shared" ref="P7:P33" si="22">P6</f>
        <v>15485</v>
      </c>
      <c r="Q7" s="473">
        <f t="shared" si="2"/>
        <v>0</v>
      </c>
      <c r="R7" s="473">
        <f t="shared" si="19"/>
        <v>0</v>
      </c>
      <c r="S7" s="469">
        <f t="shared" si="7"/>
        <v>8454</v>
      </c>
      <c r="T7" s="493">
        <f t="shared" si="3"/>
        <v>0</v>
      </c>
      <c r="U7" s="469">
        <f t="shared" si="7"/>
        <v>40221</v>
      </c>
      <c r="V7" s="473">
        <f t="shared" si="16"/>
        <v>0</v>
      </c>
      <c r="W7" s="469">
        <f t="shared" si="8"/>
        <v>31845</v>
      </c>
      <c r="X7" s="473">
        <f t="shared" si="4"/>
        <v>0</v>
      </c>
      <c r="Y7" s="469">
        <f t="shared" si="8"/>
        <v>624440</v>
      </c>
      <c r="Z7" s="473">
        <f t="shared" si="20"/>
        <v>0</v>
      </c>
      <c r="AA7" s="469">
        <f t="shared" ref="AA7:AC33" si="23">AA6</f>
        <v>35061</v>
      </c>
      <c r="AB7" s="473">
        <v>6</v>
      </c>
      <c r="AC7" s="469">
        <f t="shared" si="23"/>
        <v>777210</v>
      </c>
      <c r="AD7" s="473">
        <f t="shared" si="18"/>
        <v>0</v>
      </c>
      <c r="AE7" s="496">
        <f t="shared" si="9"/>
        <v>6</v>
      </c>
      <c r="AF7" s="497">
        <f t="shared" si="10"/>
        <v>0</v>
      </c>
      <c r="AG7" s="489">
        <f t="shared" si="5"/>
        <v>0</v>
      </c>
      <c r="AI7" s="490">
        <f>R7-'EDl log'!B5</f>
        <v>-49835173</v>
      </c>
    </row>
    <row r="8" spans="1:115">
      <c r="A8" s="481">
        <f>'General information '!F11</f>
        <v>0</v>
      </c>
      <c r="B8" s="475">
        <f t="shared" si="6"/>
        <v>0</v>
      </c>
      <c r="C8" s="482">
        <v>43957</v>
      </c>
      <c r="D8" s="469">
        <f t="shared" si="21"/>
        <v>31646648</v>
      </c>
      <c r="E8" s="327">
        <f t="shared" si="11"/>
        <v>0</v>
      </c>
      <c r="F8" s="469">
        <f t="shared" si="21"/>
        <v>3651832</v>
      </c>
      <c r="G8" s="328">
        <f t="shared" si="0"/>
        <v>0</v>
      </c>
      <c r="H8" s="469">
        <f t="shared" si="21"/>
        <v>17432446</v>
      </c>
      <c r="I8" s="328">
        <f t="shared" si="12"/>
        <v>0</v>
      </c>
      <c r="J8" s="469">
        <f t="shared" si="21"/>
        <v>28394858</v>
      </c>
      <c r="K8" s="328">
        <f t="shared" si="13"/>
        <v>0</v>
      </c>
      <c r="L8" s="469">
        <f t="shared" si="21"/>
        <v>22953158</v>
      </c>
      <c r="M8" s="328">
        <f t="shared" si="14"/>
        <v>0</v>
      </c>
      <c r="N8" s="326">
        <f t="shared" si="15"/>
        <v>0</v>
      </c>
      <c r="O8" s="491">
        <f t="shared" si="1"/>
        <v>0</v>
      </c>
      <c r="P8" s="469">
        <f t="shared" si="22"/>
        <v>15485</v>
      </c>
      <c r="Q8" s="473">
        <f t="shared" si="2"/>
        <v>0</v>
      </c>
      <c r="R8" s="473">
        <f t="shared" si="19"/>
        <v>0</v>
      </c>
      <c r="S8" s="469">
        <f t="shared" si="7"/>
        <v>8454</v>
      </c>
      <c r="T8" s="493">
        <f t="shared" si="3"/>
        <v>0</v>
      </c>
      <c r="U8" s="469">
        <f t="shared" si="7"/>
        <v>40221</v>
      </c>
      <c r="V8" s="473">
        <f t="shared" si="16"/>
        <v>0</v>
      </c>
      <c r="W8" s="469">
        <v>31845</v>
      </c>
      <c r="X8" s="473">
        <f t="shared" si="4"/>
        <v>0</v>
      </c>
      <c r="Y8" s="469">
        <v>624440</v>
      </c>
      <c r="Z8" s="473">
        <f t="shared" si="20"/>
        <v>0</v>
      </c>
      <c r="AA8" s="469">
        <f t="shared" si="23"/>
        <v>35061</v>
      </c>
      <c r="AB8" s="473">
        <f t="shared" si="17"/>
        <v>0</v>
      </c>
      <c r="AC8" s="469">
        <f t="shared" si="23"/>
        <v>777210</v>
      </c>
      <c r="AD8" s="473">
        <f t="shared" si="18"/>
        <v>0</v>
      </c>
      <c r="AE8" s="496">
        <f t="shared" si="9"/>
        <v>0</v>
      </c>
      <c r="AF8" s="497">
        <f t="shared" si="10"/>
        <v>0</v>
      </c>
      <c r="AG8" s="489">
        <f t="shared" si="5"/>
        <v>0</v>
      </c>
      <c r="AI8" s="490">
        <f>R8-'EDl log'!B6</f>
        <v>-49840476</v>
      </c>
    </row>
    <row r="9" spans="1:115">
      <c r="A9" s="481">
        <f>'General information '!F12</f>
        <v>0</v>
      </c>
      <c r="B9" s="475">
        <f t="shared" si="6"/>
        <v>0</v>
      </c>
      <c r="C9" s="482">
        <v>43958</v>
      </c>
      <c r="D9" s="469">
        <f t="shared" si="21"/>
        <v>31646648</v>
      </c>
      <c r="E9" s="327">
        <f t="shared" si="11"/>
        <v>0</v>
      </c>
      <c r="F9" s="469">
        <f t="shared" si="21"/>
        <v>3651832</v>
      </c>
      <c r="G9" s="328">
        <f t="shared" si="0"/>
        <v>0</v>
      </c>
      <c r="H9" s="469">
        <f t="shared" si="21"/>
        <v>17432446</v>
      </c>
      <c r="I9" s="328">
        <f t="shared" si="12"/>
        <v>0</v>
      </c>
      <c r="J9" s="469">
        <f t="shared" si="21"/>
        <v>28394858</v>
      </c>
      <c r="K9" s="328">
        <f t="shared" si="13"/>
        <v>0</v>
      </c>
      <c r="L9" s="469">
        <f t="shared" si="21"/>
        <v>22953158</v>
      </c>
      <c r="M9" s="328">
        <f t="shared" si="14"/>
        <v>0</v>
      </c>
      <c r="N9" s="326">
        <f t="shared" si="15"/>
        <v>0</v>
      </c>
      <c r="O9" s="491">
        <f t="shared" si="1"/>
        <v>0</v>
      </c>
      <c r="P9" s="469">
        <f t="shared" si="22"/>
        <v>15485</v>
      </c>
      <c r="Q9" s="473">
        <f t="shared" si="2"/>
        <v>0</v>
      </c>
      <c r="R9" s="473">
        <f t="shared" si="19"/>
        <v>0</v>
      </c>
      <c r="S9" s="469">
        <f t="shared" si="7"/>
        <v>8454</v>
      </c>
      <c r="T9" s="493">
        <f t="shared" si="3"/>
        <v>0</v>
      </c>
      <c r="U9" s="469">
        <f t="shared" si="7"/>
        <v>40221</v>
      </c>
      <c r="V9" s="473">
        <f t="shared" si="16"/>
        <v>0</v>
      </c>
      <c r="W9" s="469">
        <f t="shared" si="8"/>
        <v>31845</v>
      </c>
      <c r="X9" s="473">
        <f t="shared" ref="X9:X32" si="24">W9-W8</f>
        <v>0</v>
      </c>
      <c r="Y9" s="469">
        <f t="shared" si="8"/>
        <v>624440</v>
      </c>
      <c r="Z9" s="473">
        <f t="shared" si="20"/>
        <v>0</v>
      </c>
      <c r="AA9" s="469">
        <f t="shared" si="23"/>
        <v>35061</v>
      </c>
      <c r="AB9" s="473">
        <f t="shared" si="17"/>
        <v>0</v>
      </c>
      <c r="AC9" s="469">
        <f t="shared" si="23"/>
        <v>777210</v>
      </c>
      <c r="AD9" s="473">
        <f t="shared" si="18"/>
        <v>0</v>
      </c>
      <c r="AE9" s="496">
        <f t="shared" si="9"/>
        <v>0</v>
      </c>
      <c r="AF9" s="497">
        <f t="shared" si="10"/>
        <v>0</v>
      </c>
      <c r="AG9" s="489">
        <f t="shared" si="5"/>
        <v>0</v>
      </c>
      <c r="AI9" s="490">
        <f>R9-'EDl log'!B7</f>
        <v>-49844850</v>
      </c>
    </row>
    <row r="10" spans="1:115">
      <c r="A10" s="481">
        <f>'General information '!F13</f>
        <v>0</v>
      </c>
      <c r="B10" s="475">
        <f t="shared" si="6"/>
        <v>0</v>
      </c>
      <c r="C10" s="482">
        <v>43959</v>
      </c>
      <c r="D10" s="469">
        <f t="shared" si="21"/>
        <v>31646648</v>
      </c>
      <c r="E10" s="327">
        <f t="shared" si="11"/>
        <v>0</v>
      </c>
      <c r="F10" s="469">
        <f t="shared" si="21"/>
        <v>3651832</v>
      </c>
      <c r="G10" s="328">
        <f t="shared" si="0"/>
        <v>0</v>
      </c>
      <c r="H10" s="469">
        <f t="shared" si="21"/>
        <v>17432446</v>
      </c>
      <c r="I10" s="328">
        <f t="shared" si="12"/>
        <v>0</v>
      </c>
      <c r="J10" s="469">
        <f t="shared" si="21"/>
        <v>28394858</v>
      </c>
      <c r="K10" s="328">
        <f t="shared" si="13"/>
        <v>0</v>
      </c>
      <c r="L10" s="469">
        <f t="shared" si="21"/>
        <v>22953158</v>
      </c>
      <c r="M10" s="328">
        <f t="shared" si="14"/>
        <v>0</v>
      </c>
      <c r="N10" s="326">
        <f t="shared" si="15"/>
        <v>0</v>
      </c>
      <c r="O10" s="491">
        <f t="shared" ref="O10:O32" si="25">IF(B10&gt;0,N10/B10,0)</f>
        <v>0</v>
      </c>
      <c r="P10" s="469">
        <f t="shared" si="22"/>
        <v>15485</v>
      </c>
      <c r="Q10" s="473">
        <f t="shared" si="2"/>
        <v>0</v>
      </c>
      <c r="R10" s="473">
        <f t="shared" si="19"/>
        <v>0</v>
      </c>
      <c r="S10" s="469">
        <f t="shared" si="7"/>
        <v>8454</v>
      </c>
      <c r="T10" s="493">
        <f t="shared" si="3"/>
        <v>0</v>
      </c>
      <c r="U10" s="469">
        <f t="shared" si="7"/>
        <v>40221</v>
      </c>
      <c r="V10" s="473">
        <f t="shared" si="16"/>
        <v>0</v>
      </c>
      <c r="W10" s="469">
        <v>31845</v>
      </c>
      <c r="X10" s="473">
        <f t="shared" si="24"/>
        <v>0</v>
      </c>
      <c r="Y10" s="469">
        <v>624440</v>
      </c>
      <c r="Z10" s="473">
        <f t="shared" si="20"/>
        <v>0</v>
      </c>
      <c r="AA10" s="469">
        <f t="shared" si="23"/>
        <v>35061</v>
      </c>
      <c r="AB10" s="473">
        <f t="shared" si="17"/>
        <v>0</v>
      </c>
      <c r="AC10" s="469">
        <f t="shared" si="23"/>
        <v>777210</v>
      </c>
      <c r="AD10" s="473">
        <f t="shared" si="18"/>
        <v>0</v>
      </c>
      <c r="AE10" s="496">
        <f t="shared" si="9"/>
        <v>0</v>
      </c>
      <c r="AF10" s="497">
        <f t="shared" si="10"/>
        <v>0</v>
      </c>
      <c r="AG10" s="489">
        <f t="shared" ref="AG10:AG33" si="26">IF(AE10&gt;0,AF10/AE10,0)</f>
        <v>0</v>
      </c>
      <c r="AI10" s="490">
        <f>R10-'EDl log'!B8</f>
        <v>-49844850</v>
      </c>
    </row>
    <row r="11" spans="1:115">
      <c r="A11" s="481">
        <f>'General information '!F14</f>
        <v>0</v>
      </c>
      <c r="B11" s="475">
        <f>SUM(230*A11)</f>
        <v>0</v>
      </c>
      <c r="C11" s="482">
        <v>43960</v>
      </c>
      <c r="D11" s="469">
        <f t="shared" si="21"/>
        <v>31646648</v>
      </c>
      <c r="E11" s="327">
        <f t="shared" si="11"/>
        <v>0</v>
      </c>
      <c r="F11" s="469">
        <f t="shared" si="21"/>
        <v>3651832</v>
      </c>
      <c r="G11" s="328">
        <f t="shared" si="0"/>
        <v>0</v>
      </c>
      <c r="H11" s="469">
        <f t="shared" si="21"/>
        <v>17432446</v>
      </c>
      <c r="I11" s="328">
        <f t="shared" si="12"/>
        <v>0</v>
      </c>
      <c r="J11" s="469">
        <f t="shared" si="21"/>
        <v>28394858</v>
      </c>
      <c r="K11" s="328">
        <f t="shared" si="13"/>
        <v>0</v>
      </c>
      <c r="L11" s="469">
        <f t="shared" si="21"/>
        <v>22953158</v>
      </c>
      <c r="M11" s="328">
        <f t="shared" si="14"/>
        <v>0</v>
      </c>
      <c r="N11" s="326">
        <f>M11+K11+I11+G11+E11</f>
        <v>0</v>
      </c>
      <c r="O11" s="491">
        <f t="shared" si="25"/>
        <v>0</v>
      </c>
      <c r="P11" s="469">
        <f t="shared" si="22"/>
        <v>15485</v>
      </c>
      <c r="Q11" s="473">
        <f t="shared" si="2"/>
        <v>0</v>
      </c>
      <c r="R11" s="473">
        <f t="shared" si="19"/>
        <v>0</v>
      </c>
      <c r="S11" s="469">
        <f t="shared" si="7"/>
        <v>8454</v>
      </c>
      <c r="T11" s="493">
        <f t="shared" si="3"/>
        <v>0</v>
      </c>
      <c r="U11" s="469">
        <f t="shared" si="7"/>
        <v>40221</v>
      </c>
      <c r="V11" s="473">
        <f t="shared" si="16"/>
        <v>0</v>
      </c>
      <c r="W11" s="469">
        <f t="shared" si="8"/>
        <v>31845</v>
      </c>
      <c r="X11" s="473">
        <f t="shared" si="24"/>
        <v>0</v>
      </c>
      <c r="Y11" s="469">
        <f t="shared" si="8"/>
        <v>624440</v>
      </c>
      <c r="Z11" s="473">
        <f t="shared" si="20"/>
        <v>0</v>
      </c>
      <c r="AA11" s="469">
        <f t="shared" si="23"/>
        <v>35061</v>
      </c>
      <c r="AB11" s="473">
        <f t="shared" si="17"/>
        <v>0</v>
      </c>
      <c r="AC11" s="469">
        <f t="shared" si="23"/>
        <v>777210</v>
      </c>
      <c r="AD11" s="473">
        <f t="shared" si="18"/>
        <v>0</v>
      </c>
      <c r="AE11" s="496">
        <f t="shared" si="9"/>
        <v>0</v>
      </c>
      <c r="AF11" s="497">
        <f t="shared" si="10"/>
        <v>0</v>
      </c>
      <c r="AG11" s="489">
        <f t="shared" si="26"/>
        <v>0</v>
      </c>
      <c r="AI11" s="490">
        <f>R11-'EDl log'!B9</f>
        <v>-49844850</v>
      </c>
    </row>
    <row r="12" spans="1:115">
      <c r="A12" s="481">
        <f>'General information '!F15</f>
        <v>0</v>
      </c>
      <c r="B12" s="475">
        <f t="shared" si="6"/>
        <v>0</v>
      </c>
      <c r="C12" s="482">
        <v>43961</v>
      </c>
      <c r="D12" s="469">
        <f t="shared" si="21"/>
        <v>31646648</v>
      </c>
      <c r="E12" s="327">
        <f t="shared" si="11"/>
        <v>0</v>
      </c>
      <c r="F12" s="469">
        <f t="shared" si="21"/>
        <v>3651832</v>
      </c>
      <c r="G12" s="328">
        <f t="shared" si="0"/>
        <v>0</v>
      </c>
      <c r="H12" s="469">
        <f t="shared" si="21"/>
        <v>17432446</v>
      </c>
      <c r="I12" s="328">
        <f t="shared" si="12"/>
        <v>0</v>
      </c>
      <c r="J12" s="469">
        <f t="shared" si="21"/>
        <v>28394858</v>
      </c>
      <c r="K12" s="328">
        <f t="shared" si="13"/>
        <v>0</v>
      </c>
      <c r="L12" s="469">
        <f t="shared" si="21"/>
        <v>22953158</v>
      </c>
      <c r="M12" s="328">
        <f t="shared" si="14"/>
        <v>0</v>
      </c>
      <c r="N12" s="326">
        <f>M12+K12+I12+G12+E12</f>
        <v>0</v>
      </c>
      <c r="O12" s="491">
        <f t="shared" si="25"/>
        <v>0</v>
      </c>
      <c r="P12" s="469">
        <f t="shared" si="22"/>
        <v>15485</v>
      </c>
      <c r="Q12" s="473">
        <f t="shared" si="2"/>
        <v>0</v>
      </c>
      <c r="R12" s="473">
        <f t="shared" si="19"/>
        <v>0</v>
      </c>
      <c r="S12" s="469">
        <f t="shared" si="7"/>
        <v>8454</v>
      </c>
      <c r="T12" s="493">
        <f t="shared" si="3"/>
        <v>0</v>
      </c>
      <c r="U12" s="469">
        <f t="shared" si="7"/>
        <v>40221</v>
      </c>
      <c r="V12" s="473">
        <f t="shared" si="16"/>
        <v>0</v>
      </c>
      <c r="W12" s="469">
        <v>31845</v>
      </c>
      <c r="X12" s="473">
        <f t="shared" si="24"/>
        <v>0</v>
      </c>
      <c r="Y12" s="469">
        <v>624440</v>
      </c>
      <c r="Z12" s="473">
        <f t="shared" si="20"/>
        <v>0</v>
      </c>
      <c r="AA12" s="469">
        <f t="shared" si="23"/>
        <v>35061</v>
      </c>
      <c r="AB12" s="473">
        <f t="shared" si="17"/>
        <v>0</v>
      </c>
      <c r="AC12" s="469">
        <f t="shared" si="23"/>
        <v>777210</v>
      </c>
      <c r="AD12" s="473">
        <f t="shared" si="18"/>
        <v>0</v>
      </c>
      <c r="AE12" s="496">
        <f t="shared" si="9"/>
        <v>0</v>
      </c>
      <c r="AF12" s="497">
        <f t="shared" si="10"/>
        <v>0</v>
      </c>
      <c r="AG12" s="489">
        <f t="shared" si="26"/>
        <v>0</v>
      </c>
      <c r="AI12" s="490">
        <f>R12-'EDl log'!B10</f>
        <v>-49844850</v>
      </c>
    </row>
    <row r="13" spans="1:115">
      <c r="A13" s="481">
        <f>'General information '!F16</f>
        <v>0</v>
      </c>
      <c r="B13" s="475">
        <f t="shared" si="6"/>
        <v>0</v>
      </c>
      <c r="C13" s="482">
        <v>43962</v>
      </c>
      <c r="D13" s="469">
        <f t="shared" si="21"/>
        <v>31646648</v>
      </c>
      <c r="E13" s="327">
        <f t="shared" si="11"/>
        <v>0</v>
      </c>
      <c r="F13" s="469">
        <f t="shared" si="21"/>
        <v>3651832</v>
      </c>
      <c r="G13" s="328">
        <f t="shared" si="0"/>
        <v>0</v>
      </c>
      <c r="H13" s="469">
        <f t="shared" si="21"/>
        <v>17432446</v>
      </c>
      <c r="I13" s="328">
        <f t="shared" si="12"/>
        <v>0</v>
      </c>
      <c r="J13" s="469">
        <f t="shared" si="21"/>
        <v>28394858</v>
      </c>
      <c r="K13" s="328">
        <f t="shared" si="13"/>
        <v>0</v>
      </c>
      <c r="L13" s="469">
        <f t="shared" si="21"/>
        <v>22953158</v>
      </c>
      <c r="M13" s="328">
        <f t="shared" si="14"/>
        <v>0</v>
      </c>
      <c r="N13" s="326">
        <f t="shared" si="15"/>
        <v>0</v>
      </c>
      <c r="O13" s="491">
        <f t="shared" si="25"/>
        <v>0</v>
      </c>
      <c r="P13" s="469">
        <f t="shared" si="22"/>
        <v>15485</v>
      </c>
      <c r="Q13" s="473">
        <f t="shared" ref="Q13:Q31" si="27">(P13-P12)*1000</f>
        <v>0</v>
      </c>
      <c r="R13" s="473">
        <f t="shared" si="19"/>
        <v>0</v>
      </c>
      <c r="S13" s="469">
        <f t="shared" si="7"/>
        <v>8454</v>
      </c>
      <c r="T13" s="493">
        <f t="shared" si="3"/>
        <v>0</v>
      </c>
      <c r="U13" s="469">
        <f t="shared" si="7"/>
        <v>40221</v>
      </c>
      <c r="V13" s="473">
        <f t="shared" si="16"/>
        <v>0</v>
      </c>
      <c r="W13" s="469">
        <v>31845</v>
      </c>
      <c r="X13" s="473">
        <f t="shared" si="24"/>
        <v>0</v>
      </c>
      <c r="Y13" s="469">
        <v>624440</v>
      </c>
      <c r="Z13" s="473">
        <f t="shared" si="20"/>
        <v>0</v>
      </c>
      <c r="AA13" s="469">
        <f t="shared" si="23"/>
        <v>35061</v>
      </c>
      <c r="AB13" s="473">
        <f t="shared" si="17"/>
        <v>0</v>
      </c>
      <c r="AC13" s="469">
        <f t="shared" si="23"/>
        <v>777210</v>
      </c>
      <c r="AD13" s="473">
        <f t="shared" si="18"/>
        <v>0</v>
      </c>
      <c r="AE13" s="496">
        <f t="shared" si="9"/>
        <v>0</v>
      </c>
      <c r="AF13" s="497">
        <f t="shared" si="10"/>
        <v>0</v>
      </c>
      <c r="AG13" s="489">
        <f t="shared" si="26"/>
        <v>0</v>
      </c>
      <c r="AI13" s="490">
        <f>R13-'EDl log'!B11</f>
        <v>-49844850</v>
      </c>
    </row>
    <row r="14" spans="1:115">
      <c r="A14" s="481">
        <f>'General information '!F17</f>
        <v>0</v>
      </c>
      <c r="B14" s="475">
        <f t="shared" si="6"/>
        <v>0</v>
      </c>
      <c r="C14" s="482">
        <v>43963</v>
      </c>
      <c r="D14" s="469">
        <f t="shared" si="21"/>
        <v>31646648</v>
      </c>
      <c r="E14" s="327">
        <f t="shared" si="11"/>
        <v>0</v>
      </c>
      <c r="F14" s="469">
        <f t="shared" si="21"/>
        <v>3651832</v>
      </c>
      <c r="G14" s="328">
        <f t="shared" si="0"/>
        <v>0</v>
      </c>
      <c r="H14" s="469">
        <f t="shared" si="21"/>
        <v>17432446</v>
      </c>
      <c r="I14" s="328">
        <f t="shared" si="12"/>
        <v>0</v>
      </c>
      <c r="J14" s="469">
        <f t="shared" si="21"/>
        <v>28394858</v>
      </c>
      <c r="K14" s="328">
        <f t="shared" si="13"/>
        <v>0</v>
      </c>
      <c r="L14" s="469">
        <f t="shared" si="21"/>
        <v>22953158</v>
      </c>
      <c r="M14" s="328">
        <f t="shared" si="14"/>
        <v>0</v>
      </c>
      <c r="N14" s="326">
        <f t="shared" si="15"/>
        <v>0</v>
      </c>
      <c r="O14" s="491">
        <f t="shared" si="25"/>
        <v>0</v>
      </c>
      <c r="P14" s="469">
        <f t="shared" si="22"/>
        <v>15485</v>
      </c>
      <c r="Q14" s="473">
        <f t="shared" si="27"/>
        <v>0</v>
      </c>
      <c r="R14" s="473">
        <f t="shared" si="19"/>
        <v>0</v>
      </c>
      <c r="S14" s="469">
        <f t="shared" si="7"/>
        <v>8454</v>
      </c>
      <c r="T14" s="493">
        <f t="shared" si="3"/>
        <v>0</v>
      </c>
      <c r="U14" s="469">
        <f t="shared" si="7"/>
        <v>40221</v>
      </c>
      <c r="V14" s="473">
        <f t="shared" si="16"/>
        <v>0</v>
      </c>
      <c r="W14" s="469">
        <v>31845</v>
      </c>
      <c r="X14" s="473">
        <f t="shared" si="24"/>
        <v>0</v>
      </c>
      <c r="Y14" s="469">
        <v>624440</v>
      </c>
      <c r="Z14" s="473">
        <f t="shared" si="20"/>
        <v>0</v>
      </c>
      <c r="AA14" s="469">
        <f t="shared" si="23"/>
        <v>35061</v>
      </c>
      <c r="AB14" s="473">
        <f t="shared" si="17"/>
        <v>0</v>
      </c>
      <c r="AC14" s="469">
        <f t="shared" si="23"/>
        <v>777210</v>
      </c>
      <c r="AD14" s="473">
        <f t="shared" si="18"/>
        <v>0</v>
      </c>
      <c r="AE14" s="496">
        <f t="shared" si="9"/>
        <v>0</v>
      </c>
      <c r="AF14" s="497">
        <f t="shared" si="10"/>
        <v>0</v>
      </c>
      <c r="AG14" s="489">
        <f t="shared" si="26"/>
        <v>0</v>
      </c>
      <c r="AI14" s="490">
        <f>R14-'EDl log'!B12</f>
        <v>-49844850</v>
      </c>
    </row>
    <row r="15" spans="1:115">
      <c r="A15" s="481">
        <f>'General information '!F18</f>
        <v>0</v>
      </c>
      <c r="B15" s="475">
        <f t="shared" si="6"/>
        <v>0</v>
      </c>
      <c r="C15" s="482">
        <v>43964</v>
      </c>
      <c r="D15" s="469">
        <f t="shared" si="21"/>
        <v>31646648</v>
      </c>
      <c r="E15" s="327">
        <f t="shared" si="11"/>
        <v>0</v>
      </c>
      <c r="F15" s="469">
        <f t="shared" si="21"/>
        <v>3651832</v>
      </c>
      <c r="G15" s="328">
        <f t="shared" si="0"/>
        <v>0</v>
      </c>
      <c r="H15" s="469">
        <f t="shared" si="21"/>
        <v>17432446</v>
      </c>
      <c r="I15" s="328">
        <f t="shared" si="12"/>
        <v>0</v>
      </c>
      <c r="J15" s="469">
        <f t="shared" si="21"/>
        <v>28394858</v>
      </c>
      <c r="K15" s="328">
        <f t="shared" si="13"/>
        <v>0</v>
      </c>
      <c r="L15" s="469">
        <f t="shared" si="21"/>
        <v>22953158</v>
      </c>
      <c r="M15" s="328">
        <f t="shared" si="14"/>
        <v>0</v>
      </c>
      <c r="N15" s="326">
        <f t="shared" si="15"/>
        <v>0</v>
      </c>
      <c r="O15" s="491">
        <f t="shared" si="25"/>
        <v>0</v>
      </c>
      <c r="P15" s="469">
        <f t="shared" si="22"/>
        <v>15485</v>
      </c>
      <c r="Q15" s="473">
        <f>(P15-P14)*1000</f>
        <v>0</v>
      </c>
      <c r="R15" s="473">
        <f t="shared" si="19"/>
        <v>0</v>
      </c>
      <c r="S15" s="469">
        <f t="shared" si="7"/>
        <v>8454</v>
      </c>
      <c r="T15" s="493">
        <f t="shared" si="3"/>
        <v>0</v>
      </c>
      <c r="U15" s="469">
        <f t="shared" si="7"/>
        <v>40221</v>
      </c>
      <c r="V15" s="473">
        <f t="shared" si="16"/>
        <v>0</v>
      </c>
      <c r="W15" s="469">
        <f t="shared" si="8"/>
        <v>31845</v>
      </c>
      <c r="X15" s="473">
        <f t="shared" si="24"/>
        <v>0</v>
      </c>
      <c r="Y15" s="469">
        <f t="shared" si="8"/>
        <v>624440</v>
      </c>
      <c r="Z15" s="473">
        <f t="shared" si="20"/>
        <v>0</v>
      </c>
      <c r="AA15" s="469">
        <f t="shared" si="23"/>
        <v>35061</v>
      </c>
      <c r="AB15" s="473">
        <f t="shared" si="17"/>
        <v>0</v>
      </c>
      <c r="AC15" s="469">
        <f t="shared" si="23"/>
        <v>777210</v>
      </c>
      <c r="AD15" s="473">
        <f t="shared" si="18"/>
        <v>0</v>
      </c>
      <c r="AE15" s="496">
        <f t="shared" si="9"/>
        <v>0</v>
      </c>
      <c r="AF15" s="497">
        <f t="shared" si="10"/>
        <v>0</v>
      </c>
      <c r="AG15" s="489">
        <f t="shared" si="26"/>
        <v>0</v>
      </c>
      <c r="AI15" s="490">
        <f>R15-'EDl log'!B13</f>
        <v>-49844850</v>
      </c>
    </row>
    <row r="16" spans="1:115">
      <c r="A16" s="481">
        <f>'General information '!F19</f>
        <v>0</v>
      </c>
      <c r="B16" s="475">
        <f t="shared" si="6"/>
        <v>0</v>
      </c>
      <c r="C16" s="482">
        <v>43965</v>
      </c>
      <c r="D16" s="469">
        <f t="shared" si="21"/>
        <v>31646648</v>
      </c>
      <c r="E16" s="327">
        <f t="shared" si="11"/>
        <v>0</v>
      </c>
      <c r="F16" s="469">
        <f t="shared" si="21"/>
        <v>3651832</v>
      </c>
      <c r="G16" s="328">
        <f t="shared" si="0"/>
        <v>0</v>
      </c>
      <c r="H16" s="469">
        <f t="shared" si="21"/>
        <v>17432446</v>
      </c>
      <c r="I16" s="328">
        <f t="shared" si="12"/>
        <v>0</v>
      </c>
      <c r="J16" s="469">
        <f t="shared" si="21"/>
        <v>28394858</v>
      </c>
      <c r="K16" s="328">
        <f t="shared" si="13"/>
        <v>0</v>
      </c>
      <c r="L16" s="469">
        <f t="shared" si="21"/>
        <v>22953158</v>
      </c>
      <c r="M16" s="328">
        <f t="shared" si="14"/>
        <v>0</v>
      </c>
      <c r="N16" s="326">
        <f t="shared" si="15"/>
        <v>0</v>
      </c>
      <c r="O16" s="491">
        <f t="shared" si="25"/>
        <v>0</v>
      </c>
      <c r="P16" s="469">
        <f t="shared" si="22"/>
        <v>15485</v>
      </c>
      <c r="Q16" s="473">
        <f>(P16-P15)*1000</f>
        <v>0</v>
      </c>
      <c r="R16" s="473">
        <f t="shared" si="19"/>
        <v>0</v>
      </c>
      <c r="S16" s="469">
        <f t="shared" si="7"/>
        <v>8454</v>
      </c>
      <c r="T16" s="493">
        <f t="shared" si="3"/>
        <v>0</v>
      </c>
      <c r="U16" s="469">
        <f t="shared" si="7"/>
        <v>40221</v>
      </c>
      <c r="V16" s="473">
        <f t="shared" si="16"/>
        <v>0</v>
      </c>
      <c r="W16" s="469">
        <f t="shared" si="8"/>
        <v>31845</v>
      </c>
      <c r="X16" s="473">
        <f>W16-W15</f>
        <v>0</v>
      </c>
      <c r="Y16" s="469">
        <f t="shared" si="8"/>
        <v>624440</v>
      </c>
      <c r="Z16" s="473">
        <f>Y16-Y15</f>
        <v>0</v>
      </c>
      <c r="AA16" s="469">
        <f t="shared" si="23"/>
        <v>35061</v>
      </c>
      <c r="AB16" s="473">
        <f>AA16-AA15</f>
        <v>0</v>
      </c>
      <c r="AC16" s="469">
        <f t="shared" si="23"/>
        <v>777210</v>
      </c>
      <c r="AD16" s="473">
        <f t="shared" si="18"/>
        <v>0</v>
      </c>
      <c r="AE16" s="496">
        <f t="shared" si="9"/>
        <v>0</v>
      </c>
      <c r="AF16" s="497">
        <f t="shared" si="10"/>
        <v>0</v>
      </c>
      <c r="AG16" s="489">
        <f t="shared" si="26"/>
        <v>0</v>
      </c>
      <c r="AI16" s="490">
        <f>R16-'EDl log'!B14</f>
        <v>-49844850</v>
      </c>
    </row>
    <row r="17" spans="1:35">
      <c r="A17" s="481">
        <f>'General information '!F20</f>
        <v>0</v>
      </c>
      <c r="B17" s="475">
        <f t="shared" si="6"/>
        <v>0</v>
      </c>
      <c r="C17" s="482">
        <v>43966</v>
      </c>
      <c r="D17" s="469">
        <f t="shared" si="21"/>
        <v>31646648</v>
      </c>
      <c r="E17" s="327">
        <f t="shared" si="11"/>
        <v>0</v>
      </c>
      <c r="F17" s="469">
        <f t="shared" si="21"/>
        <v>3651832</v>
      </c>
      <c r="G17" s="328">
        <f t="shared" si="0"/>
        <v>0</v>
      </c>
      <c r="H17" s="469">
        <f t="shared" si="21"/>
        <v>17432446</v>
      </c>
      <c r="I17" s="328">
        <f t="shared" si="12"/>
        <v>0</v>
      </c>
      <c r="J17" s="469">
        <f t="shared" si="21"/>
        <v>28394858</v>
      </c>
      <c r="K17" s="328">
        <f t="shared" si="13"/>
        <v>0</v>
      </c>
      <c r="L17" s="469">
        <f t="shared" si="21"/>
        <v>22953158</v>
      </c>
      <c r="M17" s="328">
        <f t="shared" si="14"/>
        <v>0</v>
      </c>
      <c r="N17" s="326">
        <f t="shared" si="15"/>
        <v>0</v>
      </c>
      <c r="O17" s="491">
        <f t="shared" si="25"/>
        <v>0</v>
      </c>
      <c r="P17" s="469">
        <f t="shared" si="22"/>
        <v>15485</v>
      </c>
      <c r="Q17" s="473">
        <f t="shared" si="27"/>
        <v>0</v>
      </c>
      <c r="R17" s="473">
        <f t="shared" si="19"/>
        <v>0</v>
      </c>
      <c r="S17" s="469">
        <f t="shared" si="7"/>
        <v>8454</v>
      </c>
      <c r="T17" s="493">
        <f t="shared" si="3"/>
        <v>0</v>
      </c>
      <c r="U17" s="469">
        <f t="shared" si="7"/>
        <v>40221</v>
      </c>
      <c r="V17" s="473">
        <f t="shared" si="16"/>
        <v>0</v>
      </c>
      <c r="W17" s="469">
        <f t="shared" si="8"/>
        <v>31845</v>
      </c>
      <c r="X17" s="473">
        <f t="shared" si="24"/>
        <v>0</v>
      </c>
      <c r="Y17" s="469">
        <f t="shared" si="8"/>
        <v>624440</v>
      </c>
      <c r="Z17" s="473">
        <f t="shared" si="20"/>
        <v>0</v>
      </c>
      <c r="AA17" s="469">
        <f t="shared" si="23"/>
        <v>35061</v>
      </c>
      <c r="AB17" s="473">
        <f t="shared" si="17"/>
        <v>0</v>
      </c>
      <c r="AC17" s="469">
        <f t="shared" si="23"/>
        <v>777210</v>
      </c>
      <c r="AD17" s="473">
        <f t="shared" ref="AD17:AD32" si="28">AC17-AC16</f>
        <v>0</v>
      </c>
      <c r="AE17" s="496">
        <f t="shared" si="9"/>
        <v>0</v>
      </c>
      <c r="AF17" s="497">
        <f t="shared" si="10"/>
        <v>0</v>
      </c>
      <c r="AG17" s="489">
        <f t="shared" si="26"/>
        <v>0</v>
      </c>
      <c r="AI17" s="490">
        <f>R17-'EDl log'!B15</f>
        <v>-49844850</v>
      </c>
    </row>
    <row r="18" spans="1:35">
      <c r="A18" s="481">
        <f>'General information '!F21</f>
        <v>0</v>
      </c>
      <c r="B18" s="475">
        <f t="shared" si="6"/>
        <v>0</v>
      </c>
      <c r="C18" s="482">
        <v>43967</v>
      </c>
      <c r="D18" s="469">
        <f t="shared" si="21"/>
        <v>31646648</v>
      </c>
      <c r="E18" s="327">
        <f t="shared" si="11"/>
        <v>0</v>
      </c>
      <c r="F18" s="469">
        <f t="shared" si="21"/>
        <v>3651832</v>
      </c>
      <c r="G18" s="328">
        <f t="shared" si="0"/>
        <v>0</v>
      </c>
      <c r="H18" s="469">
        <f t="shared" si="21"/>
        <v>17432446</v>
      </c>
      <c r="I18" s="328">
        <f t="shared" si="12"/>
        <v>0</v>
      </c>
      <c r="J18" s="469">
        <f t="shared" si="21"/>
        <v>28394858</v>
      </c>
      <c r="K18" s="328">
        <f t="shared" si="13"/>
        <v>0</v>
      </c>
      <c r="L18" s="469">
        <f t="shared" si="21"/>
        <v>22953158</v>
      </c>
      <c r="M18" s="328">
        <f t="shared" si="14"/>
        <v>0</v>
      </c>
      <c r="N18" s="326">
        <f t="shared" si="15"/>
        <v>0</v>
      </c>
      <c r="O18" s="491">
        <f t="shared" si="25"/>
        <v>0</v>
      </c>
      <c r="P18" s="469">
        <f t="shared" si="22"/>
        <v>15485</v>
      </c>
      <c r="Q18" s="473">
        <f t="shared" si="27"/>
        <v>0</v>
      </c>
      <c r="R18" s="473">
        <f t="shared" si="19"/>
        <v>0</v>
      </c>
      <c r="S18" s="469">
        <f t="shared" si="7"/>
        <v>8454</v>
      </c>
      <c r="T18" s="493">
        <f t="shared" si="3"/>
        <v>0</v>
      </c>
      <c r="U18" s="469">
        <f t="shared" si="7"/>
        <v>40221</v>
      </c>
      <c r="V18" s="473">
        <f t="shared" si="16"/>
        <v>0</v>
      </c>
      <c r="W18" s="469">
        <f>[2]ELEC!K18</f>
        <v>31845</v>
      </c>
      <c r="X18" s="473">
        <f t="shared" si="24"/>
        <v>0</v>
      </c>
      <c r="Y18" s="469">
        <f>[2]ELEC!L18</f>
        <v>624440</v>
      </c>
      <c r="Z18" s="473">
        <f t="shared" si="20"/>
        <v>0</v>
      </c>
      <c r="AA18" s="469">
        <f t="shared" si="23"/>
        <v>35061</v>
      </c>
      <c r="AB18" s="473">
        <f t="shared" si="17"/>
        <v>0</v>
      </c>
      <c r="AC18" s="469">
        <f t="shared" si="23"/>
        <v>777210</v>
      </c>
      <c r="AD18" s="473">
        <f t="shared" si="28"/>
        <v>0</v>
      </c>
      <c r="AE18" s="496">
        <f t="shared" si="9"/>
        <v>0</v>
      </c>
      <c r="AF18" s="497">
        <f t="shared" si="10"/>
        <v>0</v>
      </c>
      <c r="AG18" s="489">
        <f t="shared" si="26"/>
        <v>0</v>
      </c>
      <c r="AI18" s="490">
        <f>R18-'EDl log'!B16</f>
        <v>-49844850</v>
      </c>
    </row>
    <row r="19" spans="1:35">
      <c r="A19" s="481">
        <f>'General information '!F22</f>
        <v>0</v>
      </c>
      <c r="B19" s="475">
        <f t="shared" si="6"/>
        <v>0</v>
      </c>
      <c r="C19" s="482">
        <v>43968</v>
      </c>
      <c r="D19" s="469">
        <f t="shared" si="21"/>
        <v>31646648</v>
      </c>
      <c r="E19" s="327">
        <f t="shared" si="11"/>
        <v>0</v>
      </c>
      <c r="F19" s="469">
        <f t="shared" si="21"/>
        <v>3651832</v>
      </c>
      <c r="G19" s="328">
        <f t="shared" si="0"/>
        <v>0</v>
      </c>
      <c r="H19" s="469">
        <f t="shared" si="21"/>
        <v>17432446</v>
      </c>
      <c r="I19" s="328">
        <f t="shared" si="12"/>
        <v>0</v>
      </c>
      <c r="J19" s="469">
        <f t="shared" si="21"/>
        <v>28394858</v>
      </c>
      <c r="K19" s="328">
        <f t="shared" si="13"/>
        <v>0</v>
      </c>
      <c r="L19" s="469">
        <f t="shared" si="21"/>
        <v>22953158</v>
      </c>
      <c r="M19" s="328">
        <f t="shared" si="14"/>
        <v>0</v>
      </c>
      <c r="N19" s="326">
        <f t="shared" si="15"/>
        <v>0</v>
      </c>
      <c r="O19" s="491">
        <f t="shared" si="25"/>
        <v>0</v>
      </c>
      <c r="P19" s="469">
        <f t="shared" si="22"/>
        <v>15485</v>
      </c>
      <c r="Q19" s="473">
        <f>(P19-P18)*1000</f>
        <v>0</v>
      </c>
      <c r="R19" s="473">
        <f t="shared" si="19"/>
        <v>0</v>
      </c>
      <c r="S19" s="469">
        <f t="shared" si="7"/>
        <v>8454</v>
      </c>
      <c r="T19" s="493">
        <f t="shared" si="3"/>
        <v>0</v>
      </c>
      <c r="U19" s="469">
        <f t="shared" si="7"/>
        <v>40221</v>
      </c>
      <c r="V19" s="473">
        <f t="shared" si="16"/>
        <v>0</v>
      </c>
      <c r="W19" s="469">
        <f>[2]ELEC!K19</f>
        <v>31845</v>
      </c>
      <c r="X19" s="473">
        <f t="shared" si="24"/>
        <v>0</v>
      </c>
      <c r="Y19" s="469">
        <f>[2]ELEC!L19</f>
        <v>624440</v>
      </c>
      <c r="Z19" s="473">
        <f t="shared" si="20"/>
        <v>0</v>
      </c>
      <c r="AA19" s="469">
        <f t="shared" si="23"/>
        <v>35061</v>
      </c>
      <c r="AB19" s="473">
        <f t="shared" si="17"/>
        <v>0</v>
      </c>
      <c r="AC19" s="469">
        <f t="shared" si="23"/>
        <v>777210</v>
      </c>
      <c r="AD19" s="473">
        <f t="shared" si="28"/>
        <v>0</v>
      </c>
      <c r="AE19" s="496">
        <f t="shared" si="9"/>
        <v>0</v>
      </c>
      <c r="AF19" s="497">
        <f t="shared" si="10"/>
        <v>0</v>
      </c>
      <c r="AG19" s="489">
        <f t="shared" si="26"/>
        <v>0</v>
      </c>
      <c r="AI19" s="490">
        <f>R19-'EDl log'!B17</f>
        <v>-49844850</v>
      </c>
    </row>
    <row r="20" spans="1:35">
      <c r="A20" s="481">
        <f>'General information '!F23</f>
        <v>0</v>
      </c>
      <c r="B20" s="475">
        <f t="shared" si="6"/>
        <v>0</v>
      </c>
      <c r="C20" s="482">
        <v>43969</v>
      </c>
      <c r="D20" s="469">
        <f t="shared" si="21"/>
        <v>31646648</v>
      </c>
      <c r="E20" s="327">
        <f t="shared" si="11"/>
        <v>0</v>
      </c>
      <c r="F20" s="469">
        <f t="shared" si="21"/>
        <v>3651832</v>
      </c>
      <c r="G20" s="328">
        <f t="shared" si="0"/>
        <v>0</v>
      </c>
      <c r="H20" s="469">
        <f t="shared" si="21"/>
        <v>17432446</v>
      </c>
      <c r="I20" s="328">
        <f t="shared" si="12"/>
        <v>0</v>
      </c>
      <c r="J20" s="469">
        <f t="shared" si="21"/>
        <v>28394858</v>
      </c>
      <c r="K20" s="328">
        <f t="shared" si="13"/>
        <v>0</v>
      </c>
      <c r="L20" s="469">
        <f t="shared" si="21"/>
        <v>22953158</v>
      </c>
      <c r="M20" s="328">
        <f t="shared" si="14"/>
        <v>0</v>
      </c>
      <c r="N20" s="326">
        <f t="shared" si="15"/>
        <v>0</v>
      </c>
      <c r="O20" s="491">
        <f t="shared" si="25"/>
        <v>0</v>
      </c>
      <c r="P20" s="469">
        <f t="shared" si="22"/>
        <v>15485</v>
      </c>
      <c r="Q20" s="473">
        <f t="shared" si="27"/>
        <v>0</v>
      </c>
      <c r="R20" s="473">
        <f t="shared" si="19"/>
        <v>0</v>
      </c>
      <c r="S20" s="469">
        <f t="shared" si="7"/>
        <v>8454</v>
      </c>
      <c r="T20" s="493">
        <f t="shared" si="3"/>
        <v>0</v>
      </c>
      <c r="U20" s="469">
        <f t="shared" si="7"/>
        <v>40221</v>
      </c>
      <c r="V20" s="473">
        <f t="shared" si="16"/>
        <v>0</v>
      </c>
      <c r="W20" s="469">
        <v>31845</v>
      </c>
      <c r="X20" s="473">
        <f t="shared" si="24"/>
        <v>0</v>
      </c>
      <c r="Y20" s="469">
        <v>624440</v>
      </c>
      <c r="Z20" s="473">
        <f t="shared" si="20"/>
        <v>0</v>
      </c>
      <c r="AA20" s="469">
        <f t="shared" si="23"/>
        <v>35061</v>
      </c>
      <c r="AB20" s="473">
        <f t="shared" si="17"/>
        <v>0</v>
      </c>
      <c r="AC20" s="469">
        <f t="shared" si="23"/>
        <v>777210</v>
      </c>
      <c r="AD20" s="473">
        <f t="shared" si="28"/>
        <v>0</v>
      </c>
      <c r="AE20" s="496">
        <f t="shared" si="9"/>
        <v>0</v>
      </c>
      <c r="AF20" s="497">
        <f t="shared" si="10"/>
        <v>0</v>
      </c>
      <c r="AG20" s="489">
        <f t="shared" si="26"/>
        <v>0</v>
      </c>
      <c r="AI20" s="490">
        <f>R20-'EDl log'!B18</f>
        <v>-49844850</v>
      </c>
    </row>
    <row r="21" spans="1:35">
      <c r="A21" s="481">
        <f>'General information '!F24</f>
        <v>0</v>
      </c>
      <c r="B21" s="475">
        <f t="shared" si="6"/>
        <v>0</v>
      </c>
      <c r="C21" s="482">
        <v>43970</v>
      </c>
      <c r="D21" s="469">
        <f t="shared" si="21"/>
        <v>31646648</v>
      </c>
      <c r="E21" s="327">
        <f t="shared" si="11"/>
        <v>0</v>
      </c>
      <c r="F21" s="469">
        <f t="shared" si="21"/>
        <v>3651832</v>
      </c>
      <c r="G21" s="328">
        <f t="shared" si="0"/>
        <v>0</v>
      </c>
      <c r="H21" s="469">
        <f t="shared" si="21"/>
        <v>17432446</v>
      </c>
      <c r="I21" s="328">
        <f t="shared" si="12"/>
        <v>0</v>
      </c>
      <c r="J21" s="469">
        <f t="shared" si="21"/>
        <v>28394858</v>
      </c>
      <c r="K21" s="328">
        <f t="shared" si="13"/>
        <v>0</v>
      </c>
      <c r="L21" s="469">
        <f t="shared" si="21"/>
        <v>22953158</v>
      </c>
      <c r="M21" s="328">
        <f t="shared" si="14"/>
        <v>0</v>
      </c>
      <c r="N21" s="326">
        <f t="shared" si="15"/>
        <v>0</v>
      </c>
      <c r="O21" s="491">
        <f t="shared" si="25"/>
        <v>0</v>
      </c>
      <c r="P21" s="469">
        <f t="shared" si="22"/>
        <v>15485</v>
      </c>
      <c r="Q21" s="473">
        <f>(P21-P20)*1000</f>
        <v>0</v>
      </c>
      <c r="R21" s="473">
        <f t="shared" si="19"/>
        <v>0</v>
      </c>
      <c r="S21" s="469">
        <f t="shared" si="7"/>
        <v>8454</v>
      </c>
      <c r="T21" s="493">
        <f t="shared" si="3"/>
        <v>0</v>
      </c>
      <c r="U21" s="469">
        <f t="shared" si="7"/>
        <v>40221</v>
      </c>
      <c r="V21" s="473">
        <f t="shared" si="16"/>
        <v>0</v>
      </c>
      <c r="W21" s="469">
        <f t="shared" si="8"/>
        <v>31845</v>
      </c>
      <c r="X21" s="473">
        <f t="shared" si="24"/>
        <v>0</v>
      </c>
      <c r="Y21" s="469">
        <f t="shared" si="8"/>
        <v>624440</v>
      </c>
      <c r="Z21" s="473">
        <f t="shared" si="20"/>
        <v>0</v>
      </c>
      <c r="AA21" s="469">
        <f t="shared" si="23"/>
        <v>35061</v>
      </c>
      <c r="AB21" s="473">
        <f t="shared" si="17"/>
        <v>0</v>
      </c>
      <c r="AC21" s="469">
        <f t="shared" si="23"/>
        <v>777210</v>
      </c>
      <c r="AD21" s="473">
        <f t="shared" si="28"/>
        <v>0</v>
      </c>
      <c r="AE21" s="496">
        <f t="shared" si="9"/>
        <v>0</v>
      </c>
      <c r="AF21" s="497">
        <f t="shared" si="10"/>
        <v>0</v>
      </c>
      <c r="AG21" s="489">
        <f t="shared" si="26"/>
        <v>0</v>
      </c>
      <c r="AI21" s="490">
        <f>R21-'EDl log'!B19</f>
        <v>-49844850</v>
      </c>
    </row>
    <row r="22" spans="1:35">
      <c r="A22" s="481">
        <f>'General information '!F25</f>
        <v>0</v>
      </c>
      <c r="B22" s="475">
        <f t="shared" si="6"/>
        <v>0</v>
      </c>
      <c r="C22" s="482">
        <v>43971</v>
      </c>
      <c r="D22" s="469">
        <f t="shared" si="21"/>
        <v>31646648</v>
      </c>
      <c r="E22" s="327">
        <f t="shared" si="11"/>
        <v>0</v>
      </c>
      <c r="F22" s="469">
        <f t="shared" si="21"/>
        <v>3651832</v>
      </c>
      <c r="G22" s="328">
        <f t="shared" si="0"/>
        <v>0</v>
      </c>
      <c r="H22" s="469">
        <f t="shared" si="21"/>
        <v>17432446</v>
      </c>
      <c r="I22" s="328">
        <f t="shared" si="12"/>
        <v>0</v>
      </c>
      <c r="J22" s="469">
        <f t="shared" si="21"/>
        <v>28394858</v>
      </c>
      <c r="K22" s="328">
        <f t="shared" si="13"/>
        <v>0</v>
      </c>
      <c r="L22" s="469">
        <f t="shared" si="21"/>
        <v>22953158</v>
      </c>
      <c r="M22" s="328">
        <f t="shared" si="14"/>
        <v>0</v>
      </c>
      <c r="N22" s="326">
        <f t="shared" si="15"/>
        <v>0</v>
      </c>
      <c r="O22" s="491">
        <f t="shared" si="25"/>
        <v>0</v>
      </c>
      <c r="P22" s="469">
        <f t="shared" si="22"/>
        <v>15485</v>
      </c>
      <c r="Q22" s="473">
        <f t="shared" si="27"/>
        <v>0</v>
      </c>
      <c r="R22" s="473">
        <f t="shared" si="19"/>
        <v>0</v>
      </c>
      <c r="S22" s="469">
        <f t="shared" si="7"/>
        <v>8454</v>
      </c>
      <c r="T22" s="493">
        <f t="shared" si="3"/>
        <v>0</v>
      </c>
      <c r="U22" s="469">
        <f t="shared" si="7"/>
        <v>40221</v>
      </c>
      <c r="V22" s="473">
        <f t="shared" si="16"/>
        <v>0</v>
      </c>
      <c r="W22" s="469">
        <f t="shared" si="8"/>
        <v>31845</v>
      </c>
      <c r="X22" s="473">
        <f t="shared" si="24"/>
        <v>0</v>
      </c>
      <c r="Y22" s="469">
        <f t="shared" si="8"/>
        <v>624440</v>
      </c>
      <c r="Z22" s="473">
        <f t="shared" si="20"/>
        <v>0</v>
      </c>
      <c r="AA22" s="469">
        <f t="shared" si="23"/>
        <v>35061</v>
      </c>
      <c r="AB22" s="473">
        <f t="shared" si="17"/>
        <v>0</v>
      </c>
      <c r="AC22" s="469">
        <f t="shared" si="23"/>
        <v>777210</v>
      </c>
      <c r="AD22" s="473">
        <f t="shared" si="28"/>
        <v>0</v>
      </c>
      <c r="AE22" s="496">
        <f t="shared" si="9"/>
        <v>0</v>
      </c>
      <c r="AF22" s="497">
        <f t="shared" si="10"/>
        <v>0</v>
      </c>
      <c r="AG22" s="489">
        <f t="shared" si="26"/>
        <v>0</v>
      </c>
      <c r="AI22" s="490">
        <f>R22-'EDl log'!B20</f>
        <v>-49844850</v>
      </c>
    </row>
    <row r="23" spans="1:35">
      <c r="A23" s="481">
        <f>'General information '!F26</f>
        <v>0</v>
      </c>
      <c r="B23" s="475">
        <f t="shared" si="6"/>
        <v>0</v>
      </c>
      <c r="C23" s="482">
        <v>43972</v>
      </c>
      <c r="D23" s="469">
        <f t="shared" si="21"/>
        <v>31646648</v>
      </c>
      <c r="E23" s="327">
        <f t="shared" si="11"/>
        <v>0</v>
      </c>
      <c r="F23" s="469">
        <f t="shared" si="21"/>
        <v>3651832</v>
      </c>
      <c r="G23" s="328">
        <f t="shared" si="0"/>
        <v>0</v>
      </c>
      <c r="H23" s="469">
        <f t="shared" si="21"/>
        <v>17432446</v>
      </c>
      <c r="I23" s="462">
        <f t="shared" si="12"/>
        <v>0</v>
      </c>
      <c r="J23" s="469">
        <f t="shared" si="21"/>
        <v>28394858</v>
      </c>
      <c r="K23" s="328">
        <f t="shared" si="13"/>
        <v>0</v>
      </c>
      <c r="L23" s="469">
        <f t="shared" si="21"/>
        <v>22953158</v>
      </c>
      <c r="M23" s="328">
        <f t="shared" si="14"/>
        <v>0</v>
      </c>
      <c r="N23" s="326">
        <f t="shared" si="15"/>
        <v>0</v>
      </c>
      <c r="O23" s="491">
        <f t="shared" si="25"/>
        <v>0</v>
      </c>
      <c r="P23" s="469">
        <f t="shared" si="22"/>
        <v>15485</v>
      </c>
      <c r="Q23" s="473">
        <f t="shared" si="27"/>
        <v>0</v>
      </c>
      <c r="R23" s="473">
        <f t="shared" si="19"/>
        <v>0</v>
      </c>
      <c r="S23" s="469">
        <f t="shared" si="7"/>
        <v>8454</v>
      </c>
      <c r="T23" s="493">
        <f t="shared" si="3"/>
        <v>0</v>
      </c>
      <c r="U23" s="469">
        <f t="shared" si="7"/>
        <v>40221</v>
      </c>
      <c r="V23" s="473">
        <f t="shared" si="16"/>
        <v>0</v>
      </c>
      <c r="W23" s="469">
        <f t="shared" si="8"/>
        <v>31845</v>
      </c>
      <c r="X23" s="473">
        <f t="shared" si="24"/>
        <v>0</v>
      </c>
      <c r="Y23" s="469">
        <f t="shared" si="8"/>
        <v>624440</v>
      </c>
      <c r="Z23" s="473">
        <f t="shared" si="20"/>
        <v>0</v>
      </c>
      <c r="AA23" s="469">
        <f t="shared" si="23"/>
        <v>35061</v>
      </c>
      <c r="AB23" s="473">
        <f t="shared" si="17"/>
        <v>0</v>
      </c>
      <c r="AC23" s="469">
        <f t="shared" si="23"/>
        <v>777210</v>
      </c>
      <c r="AD23" s="473">
        <f t="shared" si="28"/>
        <v>0</v>
      </c>
      <c r="AE23" s="496">
        <f t="shared" si="9"/>
        <v>0</v>
      </c>
      <c r="AF23" s="497">
        <f t="shared" si="10"/>
        <v>0</v>
      </c>
      <c r="AG23" s="489">
        <f t="shared" si="26"/>
        <v>0</v>
      </c>
      <c r="AI23" s="490">
        <f>R23-'EDl log'!B21</f>
        <v>-49844850</v>
      </c>
    </row>
    <row r="24" spans="1:35">
      <c r="A24" s="481">
        <f>'General information '!F27</f>
        <v>0</v>
      </c>
      <c r="B24" s="475">
        <f t="shared" si="6"/>
        <v>0</v>
      </c>
      <c r="C24" s="482">
        <v>43973</v>
      </c>
      <c r="D24" s="469">
        <f t="shared" si="21"/>
        <v>31646648</v>
      </c>
      <c r="E24" s="327">
        <f t="shared" si="11"/>
        <v>0</v>
      </c>
      <c r="F24" s="469">
        <f t="shared" si="21"/>
        <v>3651832</v>
      </c>
      <c r="G24" s="328">
        <f t="shared" si="0"/>
        <v>0</v>
      </c>
      <c r="H24" s="469">
        <f t="shared" si="21"/>
        <v>17432446</v>
      </c>
      <c r="I24" s="328">
        <f t="shared" si="12"/>
        <v>0</v>
      </c>
      <c r="J24" s="469">
        <f t="shared" si="21"/>
        <v>28394858</v>
      </c>
      <c r="K24" s="328">
        <f t="shared" si="13"/>
        <v>0</v>
      </c>
      <c r="L24" s="469">
        <f t="shared" si="21"/>
        <v>22953158</v>
      </c>
      <c r="M24" s="328">
        <f t="shared" si="14"/>
        <v>0</v>
      </c>
      <c r="N24" s="326">
        <f t="shared" si="15"/>
        <v>0</v>
      </c>
      <c r="O24" s="491">
        <f t="shared" si="25"/>
        <v>0</v>
      </c>
      <c r="P24" s="469">
        <f t="shared" si="22"/>
        <v>15485</v>
      </c>
      <c r="Q24" s="473">
        <f t="shared" si="27"/>
        <v>0</v>
      </c>
      <c r="R24" s="473">
        <f t="shared" si="19"/>
        <v>0</v>
      </c>
      <c r="S24" s="469">
        <f t="shared" si="7"/>
        <v>8454</v>
      </c>
      <c r="T24" s="493">
        <f t="shared" si="3"/>
        <v>0</v>
      </c>
      <c r="U24" s="469">
        <f t="shared" si="7"/>
        <v>40221</v>
      </c>
      <c r="V24" s="473">
        <f t="shared" si="16"/>
        <v>0</v>
      </c>
      <c r="W24" s="469">
        <f t="shared" si="8"/>
        <v>31845</v>
      </c>
      <c r="X24" s="473">
        <f t="shared" si="24"/>
        <v>0</v>
      </c>
      <c r="Y24" s="469">
        <f t="shared" si="8"/>
        <v>624440</v>
      </c>
      <c r="Z24" s="473">
        <f t="shared" si="20"/>
        <v>0</v>
      </c>
      <c r="AA24" s="469">
        <f t="shared" si="23"/>
        <v>35061</v>
      </c>
      <c r="AB24" s="473">
        <f t="shared" si="17"/>
        <v>0</v>
      </c>
      <c r="AC24" s="469">
        <f t="shared" si="23"/>
        <v>777210</v>
      </c>
      <c r="AD24" s="473">
        <f t="shared" si="28"/>
        <v>0</v>
      </c>
      <c r="AE24" s="496">
        <f t="shared" si="9"/>
        <v>0</v>
      </c>
      <c r="AF24" s="497">
        <f t="shared" si="10"/>
        <v>0</v>
      </c>
      <c r="AG24" s="489">
        <f t="shared" si="26"/>
        <v>0</v>
      </c>
      <c r="AI24" s="490">
        <f>R24-'EDl log'!B22</f>
        <v>-49844850</v>
      </c>
    </row>
    <row r="25" spans="1:35">
      <c r="A25" s="481">
        <f>'General information '!F28</f>
        <v>0</v>
      </c>
      <c r="B25" s="475">
        <f t="shared" si="6"/>
        <v>0</v>
      </c>
      <c r="C25" s="482">
        <v>43974</v>
      </c>
      <c r="D25" s="469">
        <f t="shared" si="21"/>
        <v>31646648</v>
      </c>
      <c r="E25" s="327">
        <f t="shared" si="11"/>
        <v>0</v>
      </c>
      <c r="F25" s="469">
        <f t="shared" si="21"/>
        <v>3651832</v>
      </c>
      <c r="G25" s="328">
        <f t="shared" si="0"/>
        <v>0</v>
      </c>
      <c r="H25" s="469">
        <f t="shared" si="21"/>
        <v>17432446</v>
      </c>
      <c r="I25" s="328">
        <f t="shared" si="12"/>
        <v>0</v>
      </c>
      <c r="J25" s="469">
        <f t="shared" si="21"/>
        <v>28394858</v>
      </c>
      <c r="K25" s="328">
        <f t="shared" si="13"/>
        <v>0</v>
      </c>
      <c r="L25" s="469">
        <f t="shared" si="21"/>
        <v>22953158</v>
      </c>
      <c r="M25" s="328">
        <f t="shared" si="14"/>
        <v>0</v>
      </c>
      <c r="N25" s="326">
        <f t="shared" si="15"/>
        <v>0</v>
      </c>
      <c r="O25" s="491">
        <f t="shared" si="25"/>
        <v>0</v>
      </c>
      <c r="P25" s="469">
        <f t="shared" si="22"/>
        <v>15485</v>
      </c>
      <c r="Q25" s="473">
        <f t="shared" si="27"/>
        <v>0</v>
      </c>
      <c r="R25" s="473">
        <f t="shared" si="19"/>
        <v>0</v>
      </c>
      <c r="S25" s="469">
        <f t="shared" si="7"/>
        <v>8454</v>
      </c>
      <c r="T25" s="493">
        <f t="shared" si="3"/>
        <v>0</v>
      </c>
      <c r="U25" s="469">
        <f t="shared" si="7"/>
        <v>40221</v>
      </c>
      <c r="V25" s="473">
        <f t="shared" si="16"/>
        <v>0</v>
      </c>
      <c r="W25" s="469">
        <f t="shared" si="8"/>
        <v>31845</v>
      </c>
      <c r="X25" s="473">
        <f t="shared" si="24"/>
        <v>0</v>
      </c>
      <c r="Y25" s="469">
        <f t="shared" si="8"/>
        <v>624440</v>
      </c>
      <c r="Z25" s="473">
        <f t="shared" si="20"/>
        <v>0</v>
      </c>
      <c r="AA25" s="469">
        <f t="shared" si="23"/>
        <v>35061</v>
      </c>
      <c r="AB25" s="473">
        <f t="shared" si="17"/>
        <v>0</v>
      </c>
      <c r="AC25" s="469">
        <f t="shared" si="23"/>
        <v>777210</v>
      </c>
      <c r="AD25" s="473">
        <f t="shared" si="28"/>
        <v>0</v>
      </c>
      <c r="AE25" s="496">
        <f t="shared" si="9"/>
        <v>0</v>
      </c>
      <c r="AF25" s="497">
        <f t="shared" si="10"/>
        <v>0</v>
      </c>
      <c r="AG25" s="489">
        <f t="shared" si="26"/>
        <v>0</v>
      </c>
      <c r="AI25" s="490">
        <f>R25-'EDl log'!B23</f>
        <v>-49844850</v>
      </c>
    </row>
    <row r="26" spans="1:35">
      <c r="A26" s="481">
        <f>'General information '!F29</f>
        <v>0</v>
      </c>
      <c r="B26" s="475">
        <f t="shared" si="6"/>
        <v>0</v>
      </c>
      <c r="C26" s="482">
        <v>43975</v>
      </c>
      <c r="D26" s="469">
        <f t="shared" si="21"/>
        <v>31646648</v>
      </c>
      <c r="E26" s="327">
        <f t="shared" si="11"/>
        <v>0</v>
      </c>
      <c r="F26" s="469">
        <f t="shared" si="21"/>
        <v>3651832</v>
      </c>
      <c r="G26" s="328">
        <f t="shared" si="0"/>
        <v>0</v>
      </c>
      <c r="H26" s="469">
        <f t="shared" si="21"/>
        <v>17432446</v>
      </c>
      <c r="I26" s="328">
        <f t="shared" si="12"/>
        <v>0</v>
      </c>
      <c r="J26" s="469">
        <f t="shared" si="21"/>
        <v>28394858</v>
      </c>
      <c r="K26" s="328">
        <f t="shared" si="13"/>
        <v>0</v>
      </c>
      <c r="L26" s="469">
        <f t="shared" si="21"/>
        <v>22953158</v>
      </c>
      <c r="M26" s="328">
        <f t="shared" si="14"/>
        <v>0</v>
      </c>
      <c r="N26" s="326">
        <f t="shared" si="15"/>
        <v>0</v>
      </c>
      <c r="O26" s="491">
        <f t="shared" si="25"/>
        <v>0</v>
      </c>
      <c r="P26" s="469">
        <f t="shared" si="22"/>
        <v>15485</v>
      </c>
      <c r="Q26" s="473">
        <f t="shared" si="27"/>
        <v>0</v>
      </c>
      <c r="R26" s="498">
        <f>N26-Q26</f>
        <v>0</v>
      </c>
      <c r="S26" s="469">
        <f t="shared" si="7"/>
        <v>8454</v>
      </c>
      <c r="T26" s="493">
        <f t="shared" si="3"/>
        <v>0</v>
      </c>
      <c r="U26" s="469">
        <f t="shared" si="7"/>
        <v>40221</v>
      </c>
      <c r="V26" s="473">
        <f t="shared" si="16"/>
        <v>0</v>
      </c>
      <c r="W26" s="469">
        <f t="shared" si="8"/>
        <v>31845</v>
      </c>
      <c r="X26" s="473">
        <f t="shared" si="24"/>
        <v>0</v>
      </c>
      <c r="Y26" s="469">
        <f t="shared" si="8"/>
        <v>624440</v>
      </c>
      <c r="Z26" s="473">
        <f t="shared" si="20"/>
        <v>0</v>
      </c>
      <c r="AA26" s="469">
        <f t="shared" si="23"/>
        <v>35061</v>
      </c>
      <c r="AB26" s="473">
        <f t="shared" si="17"/>
        <v>0</v>
      </c>
      <c r="AC26" s="469">
        <f t="shared" si="23"/>
        <v>777210</v>
      </c>
      <c r="AD26" s="473">
        <f t="shared" si="28"/>
        <v>0</v>
      </c>
      <c r="AE26" s="496">
        <f t="shared" si="9"/>
        <v>0</v>
      </c>
      <c r="AF26" s="497">
        <f t="shared" si="10"/>
        <v>0</v>
      </c>
      <c r="AG26" s="489">
        <f t="shared" si="26"/>
        <v>0</v>
      </c>
      <c r="AI26" s="490">
        <f>R26-'EDl log'!B24</f>
        <v>-49844850</v>
      </c>
    </row>
    <row r="27" spans="1:35">
      <c r="A27" s="481">
        <f>'General information '!F30</f>
        <v>0</v>
      </c>
      <c r="B27" s="475">
        <f t="shared" si="6"/>
        <v>0</v>
      </c>
      <c r="C27" s="482">
        <v>43976</v>
      </c>
      <c r="D27" s="469">
        <f t="shared" si="21"/>
        <v>31646648</v>
      </c>
      <c r="E27" s="327">
        <f t="shared" si="11"/>
        <v>0</v>
      </c>
      <c r="F27" s="469">
        <f t="shared" si="21"/>
        <v>3651832</v>
      </c>
      <c r="G27" s="328">
        <f>F27-F26</f>
        <v>0</v>
      </c>
      <c r="H27" s="469">
        <f t="shared" si="21"/>
        <v>17432446</v>
      </c>
      <c r="I27" s="328">
        <f t="shared" si="12"/>
        <v>0</v>
      </c>
      <c r="J27" s="469">
        <f t="shared" si="21"/>
        <v>28394858</v>
      </c>
      <c r="K27" s="328">
        <f t="shared" si="13"/>
        <v>0</v>
      </c>
      <c r="L27" s="469">
        <f t="shared" si="21"/>
        <v>22953158</v>
      </c>
      <c r="M27" s="328">
        <f t="shared" si="14"/>
        <v>0</v>
      </c>
      <c r="N27" s="326">
        <f t="shared" si="15"/>
        <v>0</v>
      </c>
      <c r="O27" s="491">
        <f t="shared" si="25"/>
        <v>0</v>
      </c>
      <c r="P27" s="469">
        <f t="shared" si="22"/>
        <v>15485</v>
      </c>
      <c r="Q27" s="473">
        <f t="shared" si="27"/>
        <v>0</v>
      </c>
      <c r="R27" s="473">
        <f t="shared" si="19"/>
        <v>0</v>
      </c>
      <c r="S27" s="469">
        <f t="shared" si="7"/>
        <v>8454</v>
      </c>
      <c r="T27" s="493">
        <f t="shared" si="3"/>
        <v>0</v>
      </c>
      <c r="U27" s="469">
        <f t="shared" si="7"/>
        <v>40221</v>
      </c>
      <c r="V27" s="473">
        <f t="shared" si="16"/>
        <v>0</v>
      </c>
      <c r="W27" s="469">
        <v>31845</v>
      </c>
      <c r="X27" s="473">
        <f t="shared" si="24"/>
        <v>0</v>
      </c>
      <c r="Y27" s="469">
        <v>624440</v>
      </c>
      <c r="Z27" s="473">
        <f t="shared" si="20"/>
        <v>0</v>
      </c>
      <c r="AA27" s="469">
        <f t="shared" si="23"/>
        <v>35061</v>
      </c>
      <c r="AB27" s="473">
        <f t="shared" si="17"/>
        <v>0</v>
      </c>
      <c r="AC27" s="469">
        <f t="shared" si="23"/>
        <v>777210</v>
      </c>
      <c r="AD27" s="473">
        <f t="shared" si="28"/>
        <v>0</v>
      </c>
      <c r="AE27" s="496">
        <f t="shared" si="9"/>
        <v>0</v>
      </c>
      <c r="AF27" s="497">
        <f t="shared" si="10"/>
        <v>0</v>
      </c>
      <c r="AG27" s="489">
        <f t="shared" si="26"/>
        <v>0</v>
      </c>
      <c r="AI27" s="490">
        <f>R27-'EDl log'!B25</f>
        <v>-49844850</v>
      </c>
    </row>
    <row r="28" spans="1:35">
      <c r="A28" s="481">
        <f>'General information '!F31</f>
        <v>0</v>
      </c>
      <c r="B28" s="475">
        <f t="shared" si="6"/>
        <v>0</v>
      </c>
      <c r="C28" s="482">
        <v>43977</v>
      </c>
      <c r="D28" s="469">
        <f t="shared" si="21"/>
        <v>31646648</v>
      </c>
      <c r="E28" s="327">
        <f t="shared" si="11"/>
        <v>0</v>
      </c>
      <c r="F28" s="469">
        <f t="shared" si="21"/>
        <v>3651832</v>
      </c>
      <c r="G28" s="328">
        <f t="shared" si="0"/>
        <v>0</v>
      </c>
      <c r="H28" s="469">
        <f t="shared" si="21"/>
        <v>17432446</v>
      </c>
      <c r="I28" s="328">
        <f t="shared" si="12"/>
        <v>0</v>
      </c>
      <c r="J28" s="469">
        <f t="shared" si="21"/>
        <v>28394858</v>
      </c>
      <c r="K28" s="328">
        <f t="shared" si="13"/>
        <v>0</v>
      </c>
      <c r="L28" s="469">
        <f t="shared" si="21"/>
        <v>22953158</v>
      </c>
      <c r="M28" s="328">
        <f t="shared" si="14"/>
        <v>0</v>
      </c>
      <c r="N28" s="326">
        <f t="shared" si="15"/>
        <v>0</v>
      </c>
      <c r="O28" s="491">
        <f t="shared" si="25"/>
        <v>0</v>
      </c>
      <c r="P28" s="469">
        <f t="shared" si="22"/>
        <v>15485</v>
      </c>
      <c r="Q28" s="473">
        <f t="shared" si="27"/>
        <v>0</v>
      </c>
      <c r="R28" s="473">
        <f>N28-Q28</f>
        <v>0</v>
      </c>
      <c r="S28" s="469">
        <f t="shared" si="7"/>
        <v>8454</v>
      </c>
      <c r="T28" s="493">
        <f t="shared" si="3"/>
        <v>0</v>
      </c>
      <c r="U28" s="469">
        <f t="shared" si="7"/>
        <v>40221</v>
      </c>
      <c r="V28" s="473">
        <f t="shared" si="16"/>
        <v>0</v>
      </c>
      <c r="W28" s="469">
        <f t="shared" si="8"/>
        <v>31845</v>
      </c>
      <c r="X28" s="473">
        <f t="shared" si="24"/>
        <v>0</v>
      </c>
      <c r="Y28" s="469">
        <f t="shared" si="8"/>
        <v>624440</v>
      </c>
      <c r="Z28" s="473">
        <f t="shared" si="20"/>
        <v>0</v>
      </c>
      <c r="AA28" s="469">
        <f t="shared" si="23"/>
        <v>35061</v>
      </c>
      <c r="AB28" s="473">
        <f t="shared" si="17"/>
        <v>0</v>
      </c>
      <c r="AC28" s="469">
        <f t="shared" si="23"/>
        <v>777210</v>
      </c>
      <c r="AD28" s="473">
        <f t="shared" si="28"/>
        <v>0</v>
      </c>
      <c r="AE28" s="496">
        <f t="shared" si="9"/>
        <v>0</v>
      </c>
      <c r="AF28" s="497">
        <f t="shared" si="10"/>
        <v>0</v>
      </c>
      <c r="AG28" s="489">
        <f t="shared" si="26"/>
        <v>0</v>
      </c>
      <c r="AI28" s="490">
        <f>R28-'EDl log'!B26</f>
        <v>-49844850</v>
      </c>
    </row>
    <row r="29" spans="1:35">
      <c r="A29" s="481">
        <f>'General information '!F32</f>
        <v>0</v>
      </c>
      <c r="B29" s="475">
        <f>SUM(230*A29)</f>
        <v>0</v>
      </c>
      <c r="C29" s="482">
        <v>43978</v>
      </c>
      <c r="D29" s="469">
        <f t="shared" si="21"/>
        <v>31646648</v>
      </c>
      <c r="E29" s="327">
        <f t="shared" si="11"/>
        <v>0</v>
      </c>
      <c r="F29" s="469">
        <f t="shared" si="21"/>
        <v>3651832</v>
      </c>
      <c r="G29" s="328">
        <f t="shared" si="0"/>
        <v>0</v>
      </c>
      <c r="H29" s="469">
        <f t="shared" si="21"/>
        <v>17432446</v>
      </c>
      <c r="I29" s="328">
        <f t="shared" si="12"/>
        <v>0</v>
      </c>
      <c r="J29" s="469">
        <f t="shared" si="21"/>
        <v>28394858</v>
      </c>
      <c r="K29" s="328">
        <f t="shared" si="13"/>
        <v>0</v>
      </c>
      <c r="L29" s="469">
        <f t="shared" si="21"/>
        <v>22953158</v>
      </c>
      <c r="M29" s="328">
        <f t="shared" si="14"/>
        <v>0</v>
      </c>
      <c r="N29" s="326">
        <f t="shared" si="15"/>
        <v>0</v>
      </c>
      <c r="O29" s="491">
        <f t="shared" si="25"/>
        <v>0</v>
      </c>
      <c r="P29" s="469">
        <f t="shared" si="22"/>
        <v>15485</v>
      </c>
      <c r="Q29" s="473">
        <f t="shared" si="27"/>
        <v>0</v>
      </c>
      <c r="R29" s="473">
        <f t="shared" si="19"/>
        <v>0</v>
      </c>
      <c r="S29" s="469">
        <f t="shared" si="7"/>
        <v>8454</v>
      </c>
      <c r="T29" s="493">
        <f t="shared" si="3"/>
        <v>0</v>
      </c>
      <c r="U29" s="469">
        <f t="shared" si="7"/>
        <v>40221</v>
      </c>
      <c r="V29" s="473">
        <f t="shared" si="16"/>
        <v>0</v>
      </c>
      <c r="W29" s="469">
        <v>31845</v>
      </c>
      <c r="X29" s="473">
        <f t="shared" si="24"/>
        <v>0</v>
      </c>
      <c r="Y29" s="469">
        <f t="shared" si="8"/>
        <v>624440</v>
      </c>
      <c r="Z29" s="473">
        <f t="shared" si="20"/>
        <v>0</v>
      </c>
      <c r="AA29" s="469">
        <f t="shared" si="23"/>
        <v>35061</v>
      </c>
      <c r="AB29" s="473">
        <f t="shared" si="17"/>
        <v>0</v>
      </c>
      <c r="AC29" s="469">
        <f t="shared" si="23"/>
        <v>777210</v>
      </c>
      <c r="AD29" s="473">
        <f t="shared" si="28"/>
        <v>0</v>
      </c>
      <c r="AE29" s="496">
        <f t="shared" si="9"/>
        <v>0</v>
      </c>
      <c r="AF29" s="497">
        <f t="shared" si="10"/>
        <v>0</v>
      </c>
      <c r="AG29" s="489">
        <f t="shared" si="26"/>
        <v>0</v>
      </c>
      <c r="AI29" s="490">
        <f>R29-'EDl log'!B27</f>
        <v>-49844850</v>
      </c>
    </row>
    <row r="30" spans="1:35">
      <c r="A30" s="481">
        <f>'General information '!F33</f>
        <v>0</v>
      </c>
      <c r="B30" s="475">
        <f t="shared" si="6"/>
        <v>0</v>
      </c>
      <c r="C30" s="482">
        <v>43979</v>
      </c>
      <c r="D30" s="469">
        <f t="shared" si="21"/>
        <v>31646648</v>
      </c>
      <c r="E30" s="327">
        <f t="shared" si="11"/>
        <v>0</v>
      </c>
      <c r="F30" s="469">
        <f t="shared" si="21"/>
        <v>3651832</v>
      </c>
      <c r="G30" s="328">
        <f t="shared" si="0"/>
        <v>0</v>
      </c>
      <c r="H30" s="469">
        <f t="shared" si="21"/>
        <v>17432446</v>
      </c>
      <c r="I30" s="328">
        <f t="shared" si="12"/>
        <v>0</v>
      </c>
      <c r="J30" s="469">
        <f t="shared" si="21"/>
        <v>28394858</v>
      </c>
      <c r="K30" s="328">
        <f t="shared" si="13"/>
        <v>0</v>
      </c>
      <c r="L30" s="469">
        <f t="shared" si="21"/>
        <v>22953158</v>
      </c>
      <c r="M30" s="328">
        <f t="shared" si="14"/>
        <v>0</v>
      </c>
      <c r="N30" s="326">
        <f t="shared" si="15"/>
        <v>0</v>
      </c>
      <c r="O30" s="491">
        <f t="shared" si="25"/>
        <v>0</v>
      </c>
      <c r="P30" s="469">
        <f t="shared" si="22"/>
        <v>15485</v>
      </c>
      <c r="Q30" s="473">
        <f t="shared" si="27"/>
        <v>0</v>
      </c>
      <c r="R30" s="473">
        <f t="shared" si="19"/>
        <v>0</v>
      </c>
      <c r="S30" s="469">
        <f t="shared" si="7"/>
        <v>8454</v>
      </c>
      <c r="T30" s="493">
        <f t="shared" si="3"/>
        <v>0</v>
      </c>
      <c r="U30" s="469">
        <f t="shared" si="7"/>
        <v>40221</v>
      </c>
      <c r="V30" s="473">
        <f t="shared" si="16"/>
        <v>0</v>
      </c>
      <c r="W30" s="469">
        <f t="shared" si="8"/>
        <v>31845</v>
      </c>
      <c r="X30" s="494">
        <f t="shared" si="24"/>
        <v>0</v>
      </c>
      <c r="Y30" s="469">
        <f t="shared" si="8"/>
        <v>624440</v>
      </c>
      <c r="Z30" s="473">
        <f t="shared" si="20"/>
        <v>0</v>
      </c>
      <c r="AA30" s="469">
        <f t="shared" si="23"/>
        <v>35061</v>
      </c>
      <c r="AB30" s="473">
        <f t="shared" si="17"/>
        <v>0</v>
      </c>
      <c r="AC30" s="469">
        <f t="shared" si="23"/>
        <v>777210</v>
      </c>
      <c r="AD30" s="473">
        <f t="shared" si="28"/>
        <v>0</v>
      </c>
      <c r="AE30" s="496">
        <f t="shared" si="9"/>
        <v>0</v>
      </c>
      <c r="AF30" s="497">
        <f t="shared" si="10"/>
        <v>0</v>
      </c>
      <c r="AG30" s="489">
        <f t="shared" si="26"/>
        <v>0</v>
      </c>
      <c r="AI30" s="490">
        <f>R30-'EDl log'!B28</f>
        <v>-49844850</v>
      </c>
    </row>
    <row r="31" spans="1:35">
      <c r="A31" s="481">
        <f>'General information '!F34</f>
        <v>0</v>
      </c>
      <c r="B31" s="475">
        <f t="shared" si="6"/>
        <v>0</v>
      </c>
      <c r="C31" s="482">
        <v>43980</v>
      </c>
      <c r="D31" s="469">
        <f t="shared" si="21"/>
        <v>31646648</v>
      </c>
      <c r="E31" s="327">
        <f t="shared" si="11"/>
        <v>0</v>
      </c>
      <c r="F31" s="469">
        <f t="shared" si="21"/>
        <v>3651832</v>
      </c>
      <c r="G31" s="328">
        <f t="shared" si="0"/>
        <v>0</v>
      </c>
      <c r="H31" s="469">
        <f t="shared" si="21"/>
        <v>17432446</v>
      </c>
      <c r="I31" s="328">
        <f t="shared" si="12"/>
        <v>0</v>
      </c>
      <c r="J31" s="469">
        <f t="shared" si="21"/>
        <v>28394858</v>
      </c>
      <c r="K31" s="328">
        <f t="shared" si="13"/>
        <v>0</v>
      </c>
      <c r="L31" s="469">
        <f t="shared" si="21"/>
        <v>22953158</v>
      </c>
      <c r="M31" s="328">
        <f t="shared" si="14"/>
        <v>0</v>
      </c>
      <c r="N31" s="326">
        <f t="shared" si="15"/>
        <v>0</v>
      </c>
      <c r="O31" s="491">
        <f t="shared" si="25"/>
        <v>0</v>
      </c>
      <c r="P31" s="469">
        <f t="shared" si="22"/>
        <v>15485</v>
      </c>
      <c r="Q31" s="473">
        <f t="shared" si="27"/>
        <v>0</v>
      </c>
      <c r="R31" s="473">
        <f t="shared" si="19"/>
        <v>0</v>
      </c>
      <c r="S31" s="469">
        <f t="shared" si="7"/>
        <v>8454</v>
      </c>
      <c r="T31" s="493">
        <f t="shared" si="3"/>
        <v>0</v>
      </c>
      <c r="U31" s="469">
        <f t="shared" si="7"/>
        <v>40221</v>
      </c>
      <c r="V31" s="473">
        <f t="shared" si="16"/>
        <v>0</v>
      </c>
      <c r="W31" s="469">
        <v>31845</v>
      </c>
      <c r="X31" s="473">
        <f t="shared" si="24"/>
        <v>0</v>
      </c>
      <c r="Y31" s="469">
        <v>624440</v>
      </c>
      <c r="Z31" s="495">
        <f>Y31-Y30</f>
        <v>0</v>
      </c>
      <c r="AA31" s="469">
        <f t="shared" si="23"/>
        <v>35061</v>
      </c>
      <c r="AB31" s="473">
        <f t="shared" si="17"/>
        <v>0</v>
      </c>
      <c r="AC31" s="469">
        <f t="shared" si="23"/>
        <v>777210</v>
      </c>
      <c r="AD31" s="473">
        <f t="shared" si="28"/>
        <v>0</v>
      </c>
      <c r="AE31" s="496">
        <f t="shared" si="9"/>
        <v>0</v>
      </c>
      <c r="AF31" s="497">
        <f t="shared" si="10"/>
        <v>0</v>
      </c>
      <c r="AG31" s="489">
        <f t="shared" si="26"/>
        <v>0</v>
      </c>
      <c r="AI31" s="490">
        <f>R31-'EDl log'!B29</f>
        <v>-49844850</v>
      </c>
    </row>
    <row r="32" spans="1:35">
      <c r="A32" s="481">
        <f>'General information '!F35</f>
        <v>0</v>
      </c>
      <c r="B32" s="475">
        <f>SUM(230*A32)</f>
        <v>0</v>
      </c>
      <c r="C32" s="482">
        <v>43981</v>
      </c>
      <c r="D32" s="469">
        <f t="shared" si="21"/>
        <v>31646648</v>
      </c>
      <c r="E32" s="327">
        <f t="shared" si="11"/>
        <v>0</v>
      </c>
      <c r="F32" s="469">
        <f t="shared" si="21"/>
        <v>3651832</v>
      </c>
      <c r="G32" s="328">
        <f>F32-F31</f>
        <v>0</v>
      </c>
      <c r="H32" s="469">
        <f t="shared" si="21"/>
        <v>17432446</v>
      </c>
      <c r="I32" s="328">
        <f>H32-H31</f>
        <v>0</v>
      </c>
      <c r="J32" s="469">
        <f t="shared" si="21"/>
        <v>28394858</v>
      </c>
      <c r="K32" s="328">
        <f>J32-J31</f>
        <v>0</v>
      </c>
      <c r="L32" s="469">
        <f t="shared" si="21"/>
        <v>22953158</v>
      </c>
      <c r="M32" s="328">
        <f>L32-L31</f>
        <v>0</v>
      </c>
      <c r="N32" s="326">
        <f>M32+K32+I32+G32+E32</f>
        <v>0</v>
      </c>
      <c r="O32" s="491">
        <f t="shared" si="25"/>
        <v>0</v>
      </c>
      <c r="P32" s="469">
        <f t="shared" si="22"/>
        <v>15485</v>
      </c>
      <c r="Q32" s="473">
        <f>(P32-P31)*1000</f>
        <v>0</v>
      </c>
      <c r="R32" s="473">
        <f>N32-Q32</f>
        <v>0</v>
      </c>
      <c r="S32" s="469">
        <f t="shared" si="7"/>
        <v>8454</v>
      </c>
      <c r="T32" s="493">
        <f t="shared" si="3"/>
        <v>0</v>
      </c>
      <c r="U32" s="469">
        <f t="shared" si="7"/>
        <v>40221</v>
      </c>
      <c r="V32" s="473">
        <f t="shared" si="16"/>
        <v>0</v>
      </c>
      <c r="W32" s="469">
        <f t="shared" si="8"/>
        <v>31845</v>
      </c>
      <c r="X32" s="473">
        <f t="shared" si="24"/>
        <v>0</v>
      </c>
      <c r="Y32" s="469">
        <f t="shared" si="8"/>
        <v>624440</v>
      </c>
      <c r="Z32" s="495">
        <f>Y32-Y31</f>
        <v>0</v>
      </c>
      <c r="AA32" s="469">
        <f t="shared" si="23"/>
        <v>35061</v>
      </c>
      <c r="AB32" s="473">
        <f t="shared" si="17"/>
        <v>0</v>
      </c>
      <c r="AC32" s="469">
        <f t="shared" si="23"/>
        <v>777210</v>
      </c>
      <c r="AD32" s="473">
        <f t="shared" si="28"/>
        <v>0</v>
      </c>
      <c r="AE32" s="496">
        <f t="shared" si="9"/>
        <v>0</v>
      </c>
      <c r="AF32" s="497">
        <f>V32+Z32+AD32</f>
        <v>0</v>
      </c>
      <c r="AG32" s="489">
        <f t="shared" si="26"/>
        <v>0</v>
      </c>
      <c r="AI32" s="490">
        <f>R32-'EDl log'!B30</f>
        <v>-49844850</v>
      </c>
    </row>
    <row r="33" spans="1:35">
      <c r="A33" s="481">
        <f>'General information '!F36</f>
        <v>0</v>
      </c>
      <c r="B33" s="475">
        <f>SUM(230*A33)</f>
        <v>0</v>
      </c>
      <c r="C33" s="482">
        <v>43982</v>
      </c>
      <c r="D33" s="469">
        <f t="shared" si="21"/>
        <v>31646648</v>
      </c>
      <c r="E33" s="327">
        <f t="shared" si="11"/>
        <v>0</v>
      </c>
      <c r="F33" s="469">
        <f t="shared" si="21"/>
        <v>3651832</v>
      </c>
      <c r="G33" s="328">
        <f>F33-F32</f>
        <v>0</v>
      </c>
      <c r="H33" s="469">
        <f t="shared" si="21"/>
        <v>17432446</v>
      </c>
      <c r="I33" s="328">
        <f>H33-H32</f>
        <v>0</v>
      </c>
      <c r="J33" s="469">
        <f t="shared" si="21"/>
        <v>28394858</v>
      </c>
      <c r="K33" s="328">
        <f>J33-J32</f>
        <v>0</v>
      </c>
      <c r="L33" s="469">
        <f t="shared" si="21"/>
        <v>22953158</v>
      </c>
      <c r="M33" s="328">
        <f>L33-L32</f>
        <v>0</v>
      </c>
      <c r="N33" s="326">
        <f>M33+K33+I33+G33+E33</f>
        <v>0</v>
      </c>
      <c r="O33" s="491">
        <f>IF(B33&gt;0,N33/B33,0)</f>
        <v>0</v>
      </c>
      <c r="P33" s="469">
        <f t="shared" si="22"/>
        <v>15485</v>
      </c>
      <c r="Q33" s="473">
        <f>(P33-P32)*1000</f>
        <v>0</v>
      </c>
      <c r="R33" s="473">
        <f>N33-Q33</f>
        <v>0</v>
      </c>
      <c r="S33" s="469">
        <f t="shared" si="7"/>
        <v>8454</v>
      </c>
      <c r="T33" s="493">
        <f>S33-S32</f>
        <v>0</v>
      </c>
      <c r="U33" s="469">
        <f t="shared" si="7"/>
        <v>40221</v>
      </c>
      <c r="V33" s="473">
        <f>U33-U32</f>
        <v>0</v>
      </c>
      <c r="W33" s="469">
        <f t="shared" si="8"/>
        <v>31845</v>
      </c>
      <c r="X33" s="473">
        <f>W33-W32</f>
        <v>0</v>
      </c>
      <c r="Y33" s="469">
        <f t="shared" si="8"/>
        <v>624440</v>
      </c>
      <c r="Z33" s="495">
        <f>Y33-Y32</f>
        <v>0</v>
      </c>
      <c r="AA33" s="469">
        <f t="shared" si="23"/>
        <v>35061</v>
      </c>
      <c r="AB33" s="473">
        <f>AA33-AA32</f>
        <v>0</v>
      </c>
      <c r="AC33" s="469">
        <f t="shared" si="23"/>
        <v>777210</v>
      </c>
      <c r="AD33" s="473">
        <f>AC33-AC32</f>
        <v>0</v>
      </c>
      <c r="AE33" s="496">
        <f>AB33+X33+T33</f>
        <v>0</v>
      </c>
      <c r="AF33" s="497">
        <f>V33+Z33+AD33</f>
        <v>0</v>
      </c>
      <c r="AG33" s="489">
        <f t="shared" si="26"/>
        <v>0</v>
      </c>
      <c r="AI33" s="490">
        <f>R33-'EDl log'!B31</f>
        <v>-49844850</v>
      </c>
    </row>
    <row r="34" spans="1:35">
      <c r="P34" s="50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abSelected="1" topLeftCell="P1" zoomScale="90" zoomScaleNormal="90" workbookViewId="0">
      <pane ySplit="1" topLeftCell="A2" activePane="bottomLeft" state="frozen"/>
      <selection activeCell="K1" sqref="K1"/>
      <selection pane="bottomLeft" activeCell="AI16" sqref="AI16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98" t="s">
        <v>2</v>
      </c>
      <c r="G1" s="599"/>
      <c r="H1" s="599"/>
      <c r="I1" s="600"/>
      <c r="J1" s="293">
        <f>J36</f>
        <v>48.666666666666664</v>
      </c>
      <c r="K1" s="601" t="s">
        <v>4</v>
      </c>
      <c r="L1" s="602"/>
      <c r="M1" s="602"/>
      <c r="N1" s="602"/>
      <c r="O1" s="603"/>
      <c r="P1" s="592" t="s">
        <v>6</v>
      </c>
      <c r="Q1" s="593"/>
      <c r="R1" s="593"/>
      <c r="S1" s="593"/>
      <c r="T1" s="594"/>
      <c r="U1" s="418"/>
      <c r="V1" s="27" t="s">
        <v>104</v>
      </c>
      <c r="W1" s="419"/>
      <c r="X1" s="592" t="s">
        <v>8</v>
      </c>
      <c r="Y1" s="593"/>
      <c r="Z1" s="593"/>
      <c r="AA1" s="593"/>
      <c r="AB1" s="593"/>
      <c r="AC1" s="595" t="s">
        <v>10</v>
      </c>
      <c r="AD1" s="596"/>
      <c r="AE1" s="596"/>
      <c r="AF1" s="597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90"/>
      <c r="R2" s="591"/>
      <c r="S2" s="52" t="s">
        <v>7</v>
      </c>
      <c r="T2" s="53"/>
      <c r="U2" s="422" t="s">
        <v>384</v>
      </c>
      <c r="V2" s="54" t="s">
        <v>103</v>
      </c>
      <c r="W2" s="420"/>
      <c r="X2" s="55" t="s">
        <v>8</v>
      </c>
      <c r="Y2" s="46" t="s">
        <v>9</v>
      </c>
      <c r="Z2" s="410" t="s">
        <v>380</v>
      </c>
      <c r="AA2" s="411" t="s">
        <v>381</v>
      </c>
      <c r="AB2" s="292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4"/>
      <c r="AK2" s="414"/>
      <c r="AL2" s="414"/>
      <c r="AM2" s="414"/>
      <c r="AN2" s="413"/>
      <c r="AO2" s="413"/>
      <c r="AP2" s="413"/>
      <c r="AQ2" s="413"/>
      <c r="AR2" s="413"/>
      <c r="AS2" s="413"/>
      <c r="AT2" s="413"/>
      <c r="AU2" s="413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>
        <f>ELEC!C2</f>
        <v>43951</v>
      </c>
      <c r="B4" s="416">
        <f>[1]B5!B34</f>
        <v>245.5</v>
      </c>
      <c r="C4" s="416">
        <f>[1]B5!C34</f>
        <v>251</v>
      </c>
      <c r="D4" s="416">
        <f>[1]B5!D34</f>
        <v>3</v>
      </c>
      <c r="E4" s="416">
        <f>[1]B5!E34</f>
        <v>25.14</v>
      </c>
      <c r="F4" s="416">
        <f>[1]B5!F34</f>
        <v>1537</v>
      </c>
      <c r="G4" s="416">
        <f>[1]B5!G34</f>
        <v>1</v>
      </c>
      <c r="H4" s="416">
        <f>[1]B5!H34</f>
        <v>349198</v>
      </c>
      <c r="I4" s="416">
        <f>[1]B5!I34</f>
        <v>108</v>
      </c>
      <c r="J4" s="416">
        <f>[1]B5!J34</f>
        <v>108</v>
      </c>
      <c r="K4" s="416">
        <f>[1]B5!K34</f>
        <v>1919</v>
      </c>
      <c r="L4" s="416">
        <f>[1]B5!L34</f>
        <v>2</v>
      </c>
      <c r="M4" s="416">
        <f>[1]B5!M34</f>
        <v>140563</v>
      </c>
      <c r="N4" s="416">
        <f>[1]B5!N34</f>
        <v>173</v>
      </c>
      <c r="O4" s="416">
        <f>[1]B5!O34</f>
        <v>165.53968253968253</v>
      </c>
      <c r="P4" s="416">
        <f>[1]B5!P34</f>
        <v>1763</v>
      </c>
      <c r="Q4" s="416">
        <f>[1]B5!Q34</f>
        <v>149940</v>
      </c>
      <c r="R4" s="416">
        <f>[1]B5!R34</f>
        <v>0</v>
      </c>
      <c r="S4" s="416">
        <f>[1]B5!S34</f>
        <v>0</v>
      </c>
      <c r="T4" s="416">
        <f>[1]B5!T34</f>
        <v>0</v>
      </c>
      <c r="U4" s="416">
        <f>[1]B5!U34</f>
        <v>3</v>
      </c>
      <c r="V4" s="416">
        <f>[1]B5!V34</f>
        <v>281</v>
      </c>
      <c r="W4" s="416">
        <f>[1]B5!W34</f>
        <v>0</v>
      </c>
      <c r="X4" s="416">
        <f>[1]B5!X34</f>
        <v>2417</v>
      </c>
      <c r="Y4" s="416">
        <f>[1]B5!Y34</f>
        <v>0</v>
      </c>
      <c r="Z4" s="416">
        <f>[1]B5!Z34</f>
        <v>135845.1</v>
      </c>
      <c r="AA4" s="416">
        <f>[1]B5!AA34</f>
        <v>0</v>
      </c>
      <c r="AB4" s="416">
        <f>[1]B5!AB34</f>
        <v>0</v>
      </c>
      <c r="AC4" s="416">
        <f>[1]B5!AC34</f>
        <v>1824</v>
      </c>
      <c r="AD4" s="416">
        <f>[1]B5!AD34</f>
        <v>0</v>
      </c>
      <c r="AE4" s="416">
        <f>[1]B5!AE34</f>
        <v>358865.2</v>
      </c>
      <c r="AF4" s="416">
        <f>[1]B5!AF34</f>
        <v>0</v>
      </c>
      <c r="AG4" s="416">
        <f>[1]B5!AG34</f>
        <v>0</v>
      </c>
      <c r="AH4" s="416">
        <f>[1]B5!AH34</f>
        <v>0</v>
      </c>
      <c r="AI4" s="416">
        <f>[1]B5!AI34</f>
        <v>281</v>
      </c>
      <c r="AJ4" s="416">
        <f>[1]B5!AJ34</f>
        <v>281</v>
      </c>
      <c r="AK4" s="416">
        <f>[1]B5!AK34</f>
        <v>0</v>
      </c>
      <c r="AL4" s="416">
        <f>[1]B5!AL34</f>
        <v>3</v>
      </c>
      <c r="AM4" s="416">
        <f>[1]B5!AM34</f>
        <v>0</v>
      </c>
      <c r="AN4" s="416">
        <f>[1]B5!AN34</f>
        <v>81</v>
      </c>
      <c r="AO4" s="416">
        <f>[1]B5!AO34</f>
        <v>2430</v>
      </c>
      <c r="AP4" s="416">
        <f>[1]B5!AP34</f>
        <v>80</v>
      </c>
      <c r="AQ4" s="416">
        <f>[1]B5!AQ34</f>
        <v>2400</v>
      </c>
      <c r="AR4" s="416">
        <f>[1]B5!AR34</f>
        <v>61</v>
      </c>
      <c r="AS4" s="416">
        <f>[1]B5!AS34</f>
        <v>1830</v>
      </c>
      <c r="AT4" s="416">
        <f>[1]B5!AT34</f>
        <v>6660</v>
      </c>
      <c r="AU4" s="416">
        <f>[1]B5!AU34</f>
        <v>440</v>
      </c>
      <c r="AV4" s="416">
        <f>[1]B5!AV34</f>
        <v>1700</v>
      </c>
      <c r="AW4" s="416">
        <f>[1]B5!AW34</f>
        <v>0.7</v>
      </c>
      <c r="AX4" s="416">
        <f>[1]B5!AX34</f>
        <v>0.7</v>
      </c>
    </row>
    <row r="5" spans="1:50">
      <c r="A5" s="63">
        <f>ELEC!C3</f>
        <v>43952</v>
      </c>
      <c r="B5" s="64">
        <v>242</v>
      </c>
      <c r="C5" s="64">
        <v>248</v>
      </c>
      <c r="D5" s="45">
        <f t="shared" ref="D5:D34" si="0">C4-C5</f>
        <v>3</v>
      </c>
      <c r="E5" s="45">
        <f>D5*8.38</f>
        <v>25.14</v>
      </c>
      <c r="F5" s="64">
        <v>1537</v>
      </c>
      <c r="G5" s="52">
        <f t="shared" ref="G5:G34" si="1">F5-F4</f>
        <v>0</v>
      </c>
      <c r="H5" s="64">
        <v>349198</v>
      </c>
      <c r="I5" s="417">
        <f t="shared" ref="I5:I34" si="2">SUM(H5-H4)</f>
        <v>0</v>
      </c>
      <c r="J5" s="66">
        <v>1</v>
      </c>
      <c r="K5" s="64">
        <v>1921</v>
      </c>
      <c r="L5" s="52">
        <f t="shared" ref="L5:L34" si="3">K5-K4</f>
        <v>2</v>
      </c>
      <c r="M5" s="64">
        <v>140667</v>
      </c>
      <c r="N5" s="417">
        <f t="shared" ref="N5:N30" si="4">M5-M4</f>
        <v>104</v>
      </c>
      <c r="O5" s="359">
        <f t="shared" ref="O5:O34" si="5">SUM(L5*$J$1)</f>
        <v>97.333333333333329</v>
      </c>
      <c r="P5" s="64">
        <v>1767</v>
      </c>
      <c r="Q5" s="64">
        <v>150185</v>
      </c>
      <c r="R5" s="416">
        <f t="shared" ref="R5:R10" si="6">Q5-Q4</f>
        <v>245</v>
      </c>
      <c r="S5" s="52">
        <f>SUM(P5-P4)</f>
        <v>4</v>
      </c>
      <c r="T5" s="68">
        <f>SUM(S5*$T$2)</f>
        <v>0</v>
      </c>
      <c r="U5" s="423">
        <f>SUM(G5+L5+S5)</f>
        <v>6</v>
      </c>
      <c r="V5" s="62">
        <f>R5+N5+I5:I5</f>
        <v>349</v>
      </c>
      <c r="W5" s="421">
        <f>SUM(V5/U5)</f>
        <v>58.166666666666664</v>
      </c>
      <c r="X5" s="64">
        <f>X4</f>
        <v>2417</v>
      </c>
      <c r="Y5" s="52">
        <f>X5-X4</f>
        <v>0</v>
      </c>
      <c r="Z5" s="64">
        <f>Z4</f>
        <v>135845.1</v>
      </c>
      <c r="AA5" s="65">
        <f t="shared" ref="AA5:AA34" si="7">Z5-Z4</f>
        <v>0</v>
      </c>
      <c r="AB5" s="295">
        <f>SUM(Y5*$AB$2)</f>
        <v>0</v>
      </c>
      <c r="AC5" s="64">
        <f>AC4</f>
        <v>1824</v>
      </c>
      <c r="AD5" s="45">
        <f t="shared" ref="AD5:AD34" si="8">AC5-AC4</f>
        <v>0</v>
      </c>
      <c r="AE5" s="64">
        <f>AE4</f>
        <v>358865.2</v>
      </c>
      <c r="AF5" s="322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349</v>
      </c>
      <c r="AJ5" s="334">
        <f>-tanks!AW6</f>
        <v>349</v>
      </c>
      <c r="AK5" s="334">
        <f>SUM(AJ5-AI5)</f>
        <v>0</v>
      </c>
      <c r="AL5" s="334">
        <f t="shared" ref="AL5:AL18" si="9">S5+L5+G5</f>
        <v>6</v>
      </c>
      <c r="AM5" s="334">
        <f>Y5+AD5</f>
        <v>0</v>
      </c>
      <c r="AN5" s="64">
        <v>80</v>
      </c>
      <c r="AO5" s="336">
        <f>(AN5/100)*3000</f>
        <v>2400</v>
      </c>
      <c r="AP5" s="64">
        <v>80</v>
      </c>
      <c r="AQ5" s="336">
        <f>(AP5/100)*3000</f>
        <v>2400</v>
      </c>
      <c r="AR5" s="64">
        <v>60</v>
      </c>
      <c r="AS5" s="336">
        <f>(AR5/100)*3000</f>
        <v>1800</v>
      </c>
      <c r="AT5" s="336">
        <f>SUM(AO5+AQ5+AS5)</f>
        <v>6600</v>
      </c>
      <c r="AU5" s="336">
        <f>AT4-AT5+AV5</f>
        <v>60</v>
      </c>
      <c r="AV5" s="276"/>
      <c r="AW5" s="276"/>
      <c r="AX5" s="329">
        <f>IF(AV5&gt;0,AW5,AX4)</f>
        <v>0.7</v>
      </c>
    </row>
    <row r="6" spans="1:50">
      <c r="A6" s="63">
        <f>ELEC!C4</f>
        <v>43953</v>
      </c>
      <c r="B6" s="64">
        <v>240</v>
      </c>
      <c r="C6" s="64">
        <v>246</v>
      </c>
      <c r="D6" s="45">
        <f t="shared" si="0"/>
        <v>2</v>
      </c>
      <c r="E6" s="45">
        <f t="shared" ref="E6:E31" si="10">D6*8.38</f>
        <v>16.760000000000002</v>
      </c>
      <c r="F6" s="64">
        <v>1539</v>
      </c>
      <c r="G6" s="52">
        <f t="shared" si="1"/>
        <v>2</v>
      </c>
      <c r="H6" s="64">
        <v>349357</v>
      </c>
      <c r="I6" s="417">
        <f t="shared" si="2"/>
        <v>159</v>
      </c>
      <c r="J6" s="66">
        <f t="shared" ref="J6:J34" si="11">IF(G6&gt;0,I6/G6,0)</f>
        <v>79.5</v>
      </c>
      <c r="K6" s="64">
        <f t="shared" ref="K6:M35" si="12">K5</f>
        <v>1921</v>
      </c>
      <c r="L6" s="52">
        <f t="shared" si="3"/>
        <v>0</v>
      </c>
      <c r="M6" s="64">
        <f t="shared" si="12"/>
        <v>140667</v>
      </c>
      <c r="N6" s="417">
        <f t="shared" si="4"/>
        <v>0</v>
      </c>
      <c r="O6" s="67">
        <f t="shared" si="5"/>
        <v>0</v>
      </c>
      <c r="P6" s="64">
        <v>1768</v>
      </c>
      <c r="Q6" s="64">
        <v>150275</v>
      </c>
      <c r="R6" s="416">
        <f t="shared" si="6"/>
        <v>90</v>
      </c>
      <c r="S6" s="52">
        <f t="shared" ref="S6:S23" si="13">SUM(P6-P5)</f>
        <v>1</v>
      </c>
      <c r="T6" s="68">
        <f>SUM(S6*$T$2)</f>
        <v>0</v>
      </c>
      <c r="U6" s="423">
        <f t="shared" ref="U6:U35" si="14">SUM(G6+L6+S6)</f>
        <v>3</v>
      </c>
      <c r="V6" s="62">
        <f t="shared" ref="V6:V34" si="15">R6+N6+I6:I6</f>
        <v>249</v>
      </c>
      <c r="W6" s="421">
        <f t="shared" ref="W6:W16" si="16">SUM(V6/U6)</f>
        <v>83</v>
      </c>
      <c r="X6" s="64">
        <f t="shared" ref="X6:Z35" si="17">X5</f>
        <v>2417</v>
      </c>
      <c r="Y6" s="52">
        <f t="shared" ref="Y6:Y34" si="18">X6-X5</f>
        <v>0</v>
      </c>
      <c r="Z6" s="64">
        <f t="shared" si="17"/>
        <v>135845.1</v>
      </c>
      <c r="AA6" s="65">
        <f t="shared" si="7"/>
        <v>0</v>
      </c>
      <c r="AB6" s="295">
        <f>SUM(Y6*$AB$2)</f>
        <v>0</v>
      </c>
      <c r="AC6" s="64">
        <f t="shared" ref="AC6:AE35" si="19">AC5</f>
        <v>1824</v>
      </c>
      <c r="AD6" s="45">
        <f t="shared" si="8"/>
        <v>0</v>
      </c>
      <c r="AE6" s="64">
        <f t="shared" si="19"/>
        <v>358865.2</v>
      </c>
      <c r="AF6" s="322">
        <f t="shared" ref="AF6:AF34" si="20">AE6-AE5</f>
        <v>0</v>
      </c>
      <c r="AG6" s="213">
        <f>IF(AD6&gt;0,AF6/AD6,0)</f>
        <v>0</v>
      </c>
      <c r="AH6" s="62">
        <f>AF6+AA6</f>
        <v>0</v>
      </c>
      <c r="AI6" s="334">
        <f t="shared" ref="AI6:AI34" si="21">SUM(AH6+V6)</f>
        <v>249</v>
      </c>
      <c r="AJ6" s="334">
        <f>-tanks!AW7</f>
        <v>249</v>
      </c>
      <c r="AK6" s="334">
        <f t="shared" ref="AK6:AK34" si="22">SUM(AJ6-AI6)</f>
        <v>0</v>
      </c>
      <c r="AL6" s="334">
        <f t="shared" si="9"/>
        <v>3</v>
      </c>
      <c r="AM6" s="334">
        <f t="shared" ref="AM6:AM33" si="23">Y6+AD6</f>
        <v>0</v>
      </c>
      <c r="AN6" s="64">
        <v>79</v>
      </c>
      <c r="AO6" s="336">
        <f t="shared" ref="AO6:AO26" si="24">(AN6/100)*3000</f>
        <v>2370</v>
      </c>
      <c r="AP6" s="64">
        <v>79</v>
      </c>
      <c r="AQ6" s="336">
        <f t="shared" ref="AQ6:AQ24" si="25">(AP6/100)*3000</f>
        <v>2370</v>
      </c>
      <c r="AR6" s="64">
        <v>62</v>
      </c>
      <c r="AS6" s="336">
        <f>(AR6/100)*3000</f>
        <v>1860</v>
      </c>
      <c r="AT6" s="336">
        <f>SUM(AO6+AQ6+AS6)</f>
        <v>6600</v>
      </c>
      <c r="AU6" s="336">
        <f>AT5-AT6+AV6</f>
        <v>0</v>
      </c>
      <c r="AV6" s="276"/>
      <c r="AW6" s="276"/>
      <c r="AX6" s="329">
        <f t="shared" ref="AX6:AX34" si="26">IF(AV6&gt;0,AW6,AX5)</f>
        <v>0.7</v>
      </c>
    </row>
    <row r="7" spans="1:50">
      <c r="A7" s="63">
        <f>ELEC!C5</f>
        <v>43954</v>
      </c>
      <c r="B7" s="64">
        <v>237</v>
      </c>
      <c r="C7" s="64">
        <v>243</v>
      </c>
      <c r="D7" s="45">
        <f t="shared" si="0"/>
        <v>3</v>
      </c>
      <c r="E7" s="45">
        <f t="shared" si="10"/>
        <v>25.14</v>
      </c>
      <c r="F7" s="580">
        <v>1541</v>
      </c>
      <c r="G7" s="52">
        <f t="shared" si="1"/>
        <v>2</v>
      </c>
      <c r="H7" s="580">
        <v>349488</v>
      </c>
      <c r="I7" s="417">
        <f t="shared" si="2"/>
        <v>131</v>
      </c>
      <c r="J7" s="66">
        <f t="shared" si="11"/>
        <v>65.5</v>
      </c>
      <c r="K7" s="581">
        <v>1923</v>
      </c>
      <c r="L7" s="52">
        <f t="shared" si="3"/>
        <v>2</v>
      </c>
      <c r="M7" s="582">
        <v>140824</v>
      </c>
      <c r="N7" s="417">
        <f>M7-M6</f>
        <v>157</v>
      </c>
      <c r="O7" s="67">
        <v>1</v>
      </c>
      <c r="P7" s="583">
        <v>1768</v>
      </c>
      <c r="Q7" s="583">
        <v>150275</v>
      </c>
      <c r="R7" s="416">
        <f t="shared" si="6"/>
        <v>0</v>
      </c>
      <c r="S7" s="52">
        <f t="shared" si="13"/>
        <v>0</v>
      </c>
      <c r="T7" s="68">
        <f t="shared" ref="T7:T34" si="27">SUM(S7*$T$2)</f>
        <v>0</v>
      </c>
      <c r="U7" s="423">
        <f t="shared" si="14"/>
        <v>4</v>
      </c>
      <c r="V7" s="62">
        <f t="shared" si="15"/>
        <v>288</v>
      </c>
      <c r="W7" s="421">
        <f t="shared" si="16"/>
        <v>72</v>
      </c>
      <c r="X7" s="64">
        <f t="shared" si="17"/>
        <v>2417</v>
      </c>
      <c r="Y7" s="52">
        <f t="shared" si="18"/>
        <v>0</v>
      </c>
      <c r="Z7" s="584">
        <v>135845.1</v>
      </c>
      <c r="AA7" s="65">
        <f t="shared" si="7"/>
        <v>0</v>
      </c>
      <c r="AB7" s="295">
        <f t="shared" ref="AB7:AB17" si="28">SUM(Y7*$AB$2)</f>
        <v>0</v>
      </c>
      <c r="AC7" s="64">
        <v>1824</v>
      </c>
      <c r="AD7" s="45">
        <f t="shared" si="8"/>
        <v>0</v>
      </c>
      <c r="AE7" s="583">
        <v>358865.7</v>
      </c>
      <c r="AF7" s="322">
        <f t="shared" si="20"/>
        <v>0.5</v>
      </c>
      <c r="AG7" s="213">
        <f t="shared" ref="AG7:AG34" si="29">IF(AD7&gt;0,AF7/AD7,0)</f>
        <v>0</v>
      </c>
      <c r="AH7" s="62">
        <f t="shared" ref="AH7:AH34" si="30">AF7+AA7</f>
        <v>0.5</v>
      </c>
      <c r="AI7" s="334">
        <f t="shared" si="21"/>
        <v>288.5</v>
      </c>
      <c r="AJ7" s="334">
        <f>-tanks!AW8</f>
        <v>288.5</v>
      </c>
      <c r="AK7" s="334">
        <f t="shared" si="22"/>
        <v>0</v>
      </c>
      <c r="AL7" s="334">
        <f t="shared" si="9"/>
        <v>4</v>
      </c>
      <c r="AM7" s="334">
        <f t="shared" si="23"/>
        <v>0</v>
      </c>
      <c r="AN7" s="64">
        <v>77</v>
      </c>
      <c r="AO7" s="336">
        <f t="shared" si="24"/>
        <v>2310</v>
      </c>
      <c r="AP7" s="64">
        <v>78</v>
      </c>
      <c r="AQ7" s="336">
        <f t="shared" si="25"/>
        <v>2340</v>
      </c>
      <c r="AR7" s="582">
        <v>60</v>
      </c>
      <c r="AS7" s="336">
        <f t="shared" ref="AS7:AS34" si="31">(AR7/100)*3000</f>
        <v>1800</v>
      </c>
      <c r="AT7" s="336">
        <f t="shared" ref="AT7:AT23" si="32">SUM(AO7+AQ7+AS7)</f>
        <v>6450</v>
      </c>
      <c r="AU7" s="336">
        <f t="shared" ref="AU7:AU34" si="33">AT6-AT7+AV7</f>
        <v>150</v>
      </c>
      <c r="AV7" s="276"/>
      <c r="AW7" s="276"/>
      <c r="AX7" s="329">
        <f t="shared" si="26"/>
        <v>0.7</v>
      </c>
    </row>
    <row r="8" spans="1:50">
      <c r="A8" s="63">
        <f>ELEC!C6</f>
        <v>43955</v>
      </c>
      <c r="B8" s="64">
        <v>232</v>
      </c>
      <c r="C8" s="64">
        <v>239</v>
      </c>
      <c r="D8" s="45">
        <f t="shared" si="0"/>
        <v>4</v>
      </c>
      <c r="E8" s="45">
        <f t="shared" si="10"/>
        <v>33.520000000000003</v>
      </c>
      <c r="F8" s="580">
        <v>1541</v>
      </c>
      <c r="G8" s="52">
        <f t="shared" si="1"/>
        <v>0</v>
      </c>
      <c r="H8" s="580">
        <v>349488</v>
      </c>
      <c r="I8" s="417">
        <f t="shared" si="2"/>
        <v>0</v>
      </c>
      <c r="J8" s="66">
        <f t="shared" si="11"/>
        <v>0</v>
      </c>
      <c r="K8" s="581">
        <v>1925</v>
      </c>
      <c r="L8" s="52">
        <f t="shared" si="3"/>
        <v>2</v>
      </c>
      <c r="M8" s="582">
        <v>140981</v>
      </c>
      <c r="N8" s="417">
        <f t="shared" si="4"/>
        <v>157</v>
      </c>
      <c r="O8" s="67">
        <v>1479</v>
      </c>
      <c r="P8" s="583">
        <v>1770</v>
      </c>
      <c r="Q8" s="583">
        <v>150466</v>
      </c>
      <c r="R8" s="416">
        <f t="shared" si="6"/>
        <v>191</v>
      </c>
      <c r="S8" s="52">
        <f t="shared" si="13"/>
        <v>2</v>
      </c>
      <c r="T8" s="68">
        <f t="shared" si="27"/>
        <v>0</v>
      </c>
      <c r="U8" s="423">
        <f t="shared" si="14"/>
        <v>4</v>
      </c>
      <c r="V8" s="62">
        <f t="shared" si="15"/>
        <v>348</v>
      </c>
      <c r="W8" s="421">
        <f t="shared" si="16"/>
        <v>87</v>
      </c>
      <c r="X8" s="64">
        <f t="shared" si="17"/>
        <v>2417</v>
      </c>
      <c r="Y8" s="52">
        <f t="shared" si="18"/>
        <v>0</v>
      </c>
      <c r="Z8" s="584">
        <v>135871</v>
      </c>
      <c r="AA8" s="65">
        <f t="shared" si="7"/>
        <v>25.899999999994179</v>
      </c>
      <c r="AB8" s="295">
        <f t="shared" si="28"/>
        <v>0</v>
      </c>
      <c r="AC8" s="64">
        <v>1829</v>
      </c>
      <c r="AD8" s="45">
        <f t="shared" si="8"/>
        <v>5</v>
      </c>
      <c r="AE8" s="583">
        <v>359149.7</v>
      </c>
      <c r="AF8" s="322">
        <f t="shared" si="20"/>
        <v>284</v>
      </c>
      <c r="AG8" s="213">
        <f t="shared" si="29"/>
        <v>56.8</v>
      </c>
      <c r="AH8" s="62">
        <f t="shared" si="30"/>
        <v>309.89999999999418</v>
      </c>
      <c r="AI8" s="334">
        <f t="shared" si="21"/>
        <v>657.89999999999418</v>
      </c>
      <c r="AJ8" s="334">
        <f>-tanks!AW9</f>
        <v>657.89999999999418</v>
      </c>
      <c r="AK8" s="334">
        <f t="shared" si="22"/>
        <v>0</v>
      </c>
      <c r="AL8" s="334">
        <f t="shared" si="9"/>
        <v>4</v>
      </c>
      <c r="AM8" s="334">
        <f t="shared" si="23"/>
        <v>5</v>
      </c>
      <c r="AN8" s="64">
        <v>72</v>
      </c>
      <c r="AO8" s="336">
        <f t="shared" si="24"/>
        <v>2160</v>
      </c>
      <c r="AP8" s="64">
        <v>75</v>
      </c>
      <c r="AQ8" s="336">
        <f t="shared" si="25"/>
        <v>2250</v>
      </c>
      <c r="AR8" s="582">
        <v>60</v>
      </c>
      <c r="AS8" s="336">
        <f t="shared" si="31"/>
        <v>1800</v>
      </c>
      <c r="AT8" s="336">
        <f t="shared" si="32"/>
        <v>6210</v>
      </c>
      <c r="AU8" s="336">
        <f t="shared" si="33"/>
        <v>240</v>
      </c>
      <c r="AV8" s="276"/>
      <c r="AW8" s="276"/>
      <c r="AX8" s="329">
        <f t="shared" si="26"/>
        <v>0.7</v>
      </c>
    </row>
    <row r="9" spans="1:50">
      <c r="A9" s="63">
        <f>ELEC!C7</f>
        <v>43956</v>
      </c>
      <c r="B9" s="64">
        <f t="shared" ref="B9:C35" si="34">B8</f>
        <v>232</v>
      </c>
      <c r="C9" s="64">
        <f t="shared" si="34"/>
        <v>239</v>
      </c>
      <c r="D9" s="45">
        <f t="shared" si="0"/>
        <v>0</v>
      </c>
      <c r="E9" s="45">
        <f t="shared" si="10"/>
        <v>0</v>
      </c>
      <c r="F9" s="64">
        <f t="shared" ref="F9:H35" si="35">F8</f>
        <v>1541</v>
      </c>
      <c r="G9" s="52">
        <f t="shared" si="1"/>
        <v>0</v>
      </c>
      <c r="H9" s="64">
        <f t="shared" si="35"/>
        <v>349488</v>
      </c>
      <c r="I9" s="417">
        <f t="shared" si="2"/>
        <v>0</v>
      </c>
      <c r="J9" s="66">
        <f t="shared" si="11"/>
        <v>0</v>
      </c>
      <c r="K9" s="64">
        <f t="shared" si="12"/>
        <v>1925</v>
      </c>
      <c r="L9" s="52">
        <f t="shared" si="3"/>
        <v>0</v>
      </c>
      <c r="M9" s="64">
        <f t="shared" si="12"/>
        <v>140981</v>
      </c>
      <c r="N9" s="417">
        <f t="shared" si="4"/>
        <v>0</v>
      </c>
      <c r="O9" s="67">
        <f t="shared" si="5"/>
        <v>0</v>
      </c>
      <c r="P9" s="64">
        <f t="shared" ref="P9:Q35" si="36">P8</f>
        <v>1770</v>
      </c>
      <c r="Q9" s="64">
        <f t="shared" si="36"/>
        <v>150466</v>
      </c>
      <c r="R9" s="416">
        <f t="shared" si="6"/>
        <v>0</v>
      </c>
      <c r="S9" s="52">
        <f t="shared" si="13"/>
        <v>0</v>
      </c>
      <c r="T9" s="68">
        <f t="shared" si="27"/>
        <v>0</v>
      </c>
      <c r="U9" s="423">
        <f t="shared" si="14"/>
        <v>0</v>
      </c>
      <c r="V9" s="62">
        <f t="shared" si="15"/>
        <v>0</v>
      </c>
      <c r="W9" s="421" t="e">
        <f t="shared" si="16"/>
        <v>#DIV/0!</v>
      </c>
      <c r="X9" s="64">
        <f t="shared" si="17"/>
        <v>2417</v>
      </c>
      <c r="Y9" s="52">
        <f t="shared" si="18"/>
        <v>0</v>
      </c>
      <c r="Z9" s="64">
        <f t="shared" si="17"/>
        <v>135871</v>
      </c>
      <c r="AA9" s="65">
        <f t="shared" si="7"/>
        <v>0</v>
      </c>
      <c r="AB9" s="295">
        <f t="shared" si="28"/>
        <v>0</v>
      </c>
      <c r="AC9" s="64">
        <f t="shared" si="19"/>
        <v>1829</v>
      </c>
      <c r="AD9" s="45">
        <f t="shared" si="8"/>
        <v>0</v>
      </c>
      <c r="AE9" s="64">
        <f t="shared" si="19"/>
        <v>359149.7</v>
      </c>
      <c r="AF9" s="322">
        <f t="shared" si="20"/>
        <v>0</v>
      </c>
      <c r="AG9" s="213">
        <f t="shared" si="29"/>
        <v>0</v>
      </c>
      <c r="AH9" s="62">
        <f t="shared" si="30"/>
        <v>0</v>
      </c>
      <c r="AI9" s="334">
        <f t="shared" si="21"/>
        <v>0</v>
      </c>
      <c r="AJ9" s="334">
        <f>-tanks!AW10</f>
        <v>0</v>
      </c>
      <c r="AK9" s="334">
        <f t="shared" si="22"/>
        <v>0</v>
      </c>
      <c r="AL9" s="334">
        <f t="shared" si="9"/>
        <v>0</v>
      </c>
      <c r="AM9" s="334">
        <f t="shared" si="23"/>
        <v>0</v>
      </c>
      <c r="AN9" s="64">
        <f t="shared" ref="AN9:AR35" si="37">AN8</f>
        <v>72</v>
      </c>
      <c r="AO9" s="336">
        <f t="shared" si="24"/>
        <v>2160</v>
      </c>
      <c r="AP9" s="64">
        <f t="shared" si="37"/>
        <v>75</v>
      </c>
      <c r="AQ9" s="336">
        <f t="shared" si="25"/>
        <v>2250</v>
      </c>
      <c r="AR9" s="64">
        <f t="shared" si="37"/>
        <v>60</v>
      </c>
      <c r="AS9" s="336">
        <f>(AR9/100)*3000</f>
        <v>1800</v>
      </c>
      <c r="AT9" s="336">
        <f t="shared" si="32"/>
        <v>6210</v>
      </c>
      <c r="AU9" s="336">
        <f t="shared" si="33"/>
        <v>0</v>
      </c>
      <c r="AV9" s="276"/>
      <c r="AW9" s="276"/>
      <c r="AX9" s="329">
        <f t="shared" si="26"/>
        <v>0.7</v>
      </c>
    </row>
    <row r="10" spans="1:50">
      <c r="A10" s="63">
        <f>ELEC!C8</f>
        <v>43957</v>
      </c>
      <c r="B10" s="64">
        <f t="shared" si="34"/>
        <v>232</v>
      </c>
      <c r="C10" s="64">
        <f t="shared" si="34"/>
        <v>239</v>
      </c>
      <c r="D10" s="45">
        <f t="shared" si="0"/>
        <v>0</v>
      </c>
      <c r="E10" s="45">
        <f t="shared" si="10"/>
        <v>0</v>
      </c>
      <c r="F10" s="64">
        <f t="shared" si="35"/>
        <v>1541</v>
      </c>
      <c r="G10" s="52">
        <f t="shared" si="1"/>
        <v>0</v>
      </c>
      <c r="H10" s="64">
        <f t="shared" si="35"/>
        <v>349488</v>
      </c>
      <c r="I10" s="417">
        <f t="shared" si="2"/>
        <v>0</v>
      </c>
      <c r="J10" s="66">
        <f t="shared" si="11"/>
        <v>0</v>
      </c>
      <c r="K10" s="64">
        <f t="shared" si="12"/>
        <v>1925</v>
      </c>
      <c r="L10" s="52">
        <f t="shared" si="3"/>
        <v>0</v>
      </c>
      <c r="M10" s="64">
        <f t="shared" si="12"/>
        <v>140981</v>
      </c>
      <c r="N10" s="417">
        <f t="shared" si="4"/>
        <v>0</v>
      </c>
      <c r="O10" s="67">
        <f t="shared" si="5"/>
        <v>0</v>
      </c>
      <c r="P10" s="64">
        <f t="shared" si="36"/>
        <v>1770</v>
      </c>
      <c r="Q10" s="64">
        <f t="shared" si="36"/>
        <v>150466</v>
      </c>
      <c r="R10" s="416">
        <f t="shared" si="6"/>
        <v>0</v>
      </c>
      <c r="S10" s="52">
        <f t="shared" si="13"/>
        <v>0</v>
      </c>
      <c r="T10" s="68">
        <f t="shared" si="27"/>
        <v>0</v>
      </c>
      <c r="U10" s="423">
        <f t="shared" si="14"/>
        <v>0</v>
      </c>
      <c r="V10" s="62">
        <f t="shared" si="15"/>
        <v>0</v>
      </c>
      <c r="W10" s="421" t="e">
        <f t="shared" si="16"/>
        <v>#DIV/0!</v>
      </c>
      <c r="X10" s="64">
        <f t="shared" si="17"/>
        <v>2417</v>
      </c>
      <c r="Y10" s="52">
        <f t="shared" si="18"/>
        <v>0</v>
      </c>
      <c r="Z10" s="64">
        <f t="shared" si="17"/>
        <v>135871</v>
      </c>
      <c r="AA10" s="65">
        <f t="shared" si="7"/>
        <v>0</v>
      </c>
      <c r="AB10" s="295">
        <f t="shared" si="28"/>
        <v>0</v>
      </c>
      <c r="AC10" s="64">
        <f t="shared" si="19"/>
        <v>1829</v>
      </c>
      <c r="AD10" s="45">
        <f t="shared" si="8"/>
        <v>0</v>
      </c>
      <c r="AE10" s="64">
        <f t="shared" si="19"/>
        <v>359149.7</v>
      </c>
      <c r="AF10" s="322">
        <f t="shared" si="20"/>
        <v>0</v>
      </c>
      <c r="AG10" s="213">
        <f t="shared" si="29"/>
        <v>0</v>
      </c>
      <c r="AH10" s="62">
        <f t="shared" si="30"/>
        <v>0</v>
      </c>
      <c r="AI10" s="334">
        <f>SUM(AH10+V10)</f>
        <v>0</v>
      </c>
      <c r="AJ10" s="334">
        <f>-tanks!AW11</f>
        <v>0</v>
      </c>
      <c r="AK10" s="334">
        <f t="shared" si="22"/>
        <v>0</v>
      </c>
      <c r="AL10" s="334">
        <f t="shared" si="9"/>
        <v>0</v>
      </c>
      <c r="AM10" s="334">
        <f t="shared" si="23"/>
        <v>0</v>
      </c>
      <c r="AN10" s="64">
        <f t="shared" si="37"/>
        <v>72</v>
      </c>
      <c r="AO10" s="336">
        <f t="shared" si="24"/>
        <v>2160</v>
      </c>
      <c r="AP10" s="64">
        <f t="shared" si="37"/>
        <v>75</v>
      </c>
      <c r="AQ10" s="336">
        <f t="shared" si="25"/>
        <v>2250</v>
      </c>
      <c r="AR10" s="64">
        <f t="shared" si="37"/>
        <v>60</v>
      </c>
      <c r="AS10" s="336">
        <f t="shared" si="31"/>
        <v>1800</v>
      </c>
      <c r="AT10" s="336">
        <f t="shared" si="32"/>
        <v>6210</v>
      </c>
      <c r="AU10" s="336">
        <f t="shared" si="33"/>
        <v>0</v>
      </c>
      <c r="AV10" s="276"/>
      <c r="AW10" s="276"/>
      <c r="AX10" s="329">
        <f t="shared" si="26"/>
        <v>0.7</v>
      </c>
    </row>
    <row r="11" spans="1:50">
      <c r="A11" s="63">
        <f>ELEC!C9</f>
        <v>43958</v>
      </c>
      <c r="B11" s="64">
        <f t="shared" si="34"/>
        <v>232</v>
      </c>
      <c r="C11" s="64">
        <f t="shared" si="34"/>
        <v>239</v>
      </c>
      <c r="D11" s="45">
        <f t="shared" si="0"/>
        <v>0</v>
      </c>
      <c r="E11" s="45">
        <f t="shared" si="10"/>
        <v>0</v>
      </c>
      <c r="F11" s="64">
        <f t="shared" si="35"/>
        <v>1541</v>
      </c>
      <c r="G11" s="52">
        <f t="shared" si="1"/>
        <v>0</v>
      </c>
      <c r="H11" s="64">
        <f t="shared" si="35"/>
        <v>349488</v>
      </c>
      <c r="I11" s="417">
        <f t="shared" si="2"/>
        <v>0</v>
      </c>
      <c r="J11" s="66">
        <f t="shared" si="11"/>
        <v>0</v>
      </c>
      <c r="K11" s="64">
        <f t="shared" si="12"/>
        <v>1925</v>
      </c>
      <c r="L11" s="52">
        <f t="shared" si="3"/>
        <v>0</v>
      </c>
      <c r="M11" s="64">
        <f t="shared" si="12"/>
        <v>140981</v>
      </c>
      <c r="N11" s="417">
        <f t="shared" si="4"/>
        <v>0</v>
      </c>
      <c r="O11" s="67">
        <f t="shared" si="5"/>
        <v>0</v>
      </c>
      <c r="P11" s="64">
        <f t="shared" si="36"/>
        <v>1770</v>
      </c>
      <c r="Q11" s="64">
        <f t="shared" si="36"/>
        <v>150466</v>
      </c>
      <c r="R11" s="416">
        <f t="shared" ref="R11:R34" si="38">Q11-Q10</f>
        <v>0</v>
      </c>
      <c r="S11" s="52">
        <f t="shared" si="13"/>
        <v>0</v>
      </c>
      <c r="T11" s="68">
        <f t="shared" si="27"/>
        <v>0</v>
      </c>
      <c r="U11" s="423">
        <f t="shared" si="14"/>
        <v>0</v>
      </c>
      <c r="V11" s="62">
        <f t="shared" si="15"/>
        <v>0</v>
      </c>
      <c r="W11" s="421" t="e">
        <f t="shared" si="16"/>
        <v>#DIV/0!</v>
      </c>
      <c r="X11" s="64">
        <f t="shared" si="17"/>
        <v>2417</v>
      </c>
      <c r="Y11" s="52">
        <f t="shared" si="18"/>
        <v>0</v>
      </c>
      <c r="Z11" s="64">
        <f t="shared" si="17"/>
        <v>135871</v>
      </c>
      <c r="AA11" s="65">
        <f t="shared" si="7"/>
        <v>0</v>
      </c>
      <c r="AB11" s="295">
        <f t="shared" si="28"/>
        <v>0</v>
      </c>
      <c r="AC11" s="64">
        <f t="shared" si="19"/>
        <v>1829</v>
      </c>
      <c r="AD11" s="45">
        <f t="shared" si="8"/>
        <v>0</v>
      </c>
      <c r="AE11" s="64">
        <f t="shared" si="19"/>
        <v>359149.7</v>
      </c>
      <c r="AF11" s="322">
        <f t="shared" si="20"/>
        <v>0</v>
      </c>
      <c r="AG11" s="213">
        <f t="shared" si="29"/>
        <v>0</v>
      </c>
      <c r="AH11" s="62">
        <f>AF11+AA11</f>
        <v>0</v>
      </c>
      <c r="AI11" s="334">
        <f>SUM(AH11+V11)</f>
        <v>0</v>
      </c>
      <c r="AJ11" s="334">
        <f>-tanks!AW12</f>
        <v>0</v>
      </c>
      <c r="AK11" s="334">
        <f t="shared" si="22"/>
        <v>0</v>
      </c>
      <c r="AL11" s="334">
        <f t="shared" si="9"/>
        <v>0</v>
      </c>
      <c r="AM11" s="334">
        <f t="shared" si="23"/>
        <v>0</v>
      </c>
      <c r="AN11" s="64">
        <f t="shared" si="37"/>
        <v>72</v>
      </c>
      <c r="AO11" s="336">
        <f t="shared" si="24"/>
        <v>2160</v>
      </c>
      <c r="AP11" s="64">
        <f t="shared" si="37"/>
        <v>75</v>
      </c>
      <c r="AQ11" s="336">
        <f t="shared" si="25"/>
        <v>2250</v>
      </c>
      <c r="AR11" s="64">
        <f t="shared" si="37"/>
        <v>60</v>
      </c>
      <c r="AS11" s="336">
        <f t="shared" si="31"/>
        <v>1800</v>
      </c>
      <c r="AT11" s="336">
        <f t="shared" si="32"/>
        <v>6210</v>
      </c>
      <c r="AU11" s="336">
        <f t="shared" si="33"/>
        <v>0</v>
      </c>
      <c r="AV11" s="276"/>
      <c r="AW11" s="276"/>
      <c r="AX11" s="329">
        <f t="shared" si="26"/>
        <v>0.7</v>
      </c>
    </row>
    <row r="12" spans="1:50">
      <c r="A12" s="63">
        <f>ELEC!C10</f>
        <v>43959</v>
      </c>
      <c r="B12" s="64">
        <f t="shared" si="34"/>
        <v>232</v>
      </c>
      <c r="C12" s="64">
        <f t="shared" si="34"/>
        <v>239</v>
      </c>
      <c r="D12" s="45">
        <f t="shared" si="0"/>
        <v>0</v>
      </c>
      <c r="E12" s="45">
        <f t="shared" si="10"/>
        <v>0</v>
      </c>
      <c r="F12" s="64">
        <f t="shared" si="35"/>
        <v>1541</v>
      </c>
      <c r="G12" s="52">
        <f t="shared" si="1"/>
        <v>0</v>
      </c>
      <c r="H12" s="64">
        <f t="shared" si="35"/>
        <v>349488</v>
      </c>
      <c r="I12" s="417">
        <f t="shared" si="2"/>
        <v>0</v>
      </c>
      <c r="J12" s="66">
        <f t="shared" si="11"/>
        <v>0</v>
      </c>
      <c r="K12" s="64">
        <f t="shared" si="12"/>
        <v>1925</v>
      </c>
      <c r="L12" s="52">
        <f t="shared" si="3"/>
        <v>0</v>
      </c>
      <c r="M12" s="64">
        <f t="shared" si="12"/>
        <v>140981</v>
      </c>
      <c r="N12" s="417">
        <f t="shared" si="4"/>
        <v>0</v>
      </c>
      <c r="O12" s="67">
        <f t="shared" si="5"/>
        <v>0</v>
      </c>
      <c r="P12" s="64">
        <f t="shared" si="36"/>
        <v>1770</v>
      </c>
      <c r="Q12" s="64">
        <f t="shared" si="36"/>
        <v>150466</v>
      </c>
      <c r="R12" s="416">
        <f t="shared" si="38"/>
        <v>0</v>
      </c>
      <c r="S12" s="52">
        <f t="shared" si="13"/>
        <v>0</v>
      </c>
      <c r="T12" s="68">
        <f t="shared" si="27"/>
        <v>0</v>
      </c>
      <c r="U12" s="423">
        <f t="shared" si="14"/>
        <v>0</v>
      </c>
      <c r="V12" s="62">
        <f t="shared" si="15"/>
        <v>0</v>
      </c>
      <c r="W12" s="421" t="e">
        <f t="shared" si="16"/>
        <v>#DIV/0!</v>
      </c>
      <c r="X12" s="64">
        <f t="shared" si="17"/>
        <v>2417</v>
      </c>
      <c r="Y12" s="52">
        <f t="shared" si="18"/>
        <v>0</v>
      </c>
      <c r="Z12" s="64">
        <f t="shared" si="17"/>
        <v>135871</v>
      </c>
      <c r="AA12" s="65">
        <f t="shared" si="7"/>
        <v>0</v>
      </c>
      <c r="AB12" s="295">
        <f t="shared" si="28"/>
        <v>0</v>
      </c>
      <c r="AC12" s="64">
        <f t="shared" si="19"/>
        <v>1829</v>
      </c>
      <c r="AD12" s="45">
        <f t="shared" si="8"/>
        <v>0</v>
      </c>
      <c r="AE12" s="64">
        <f t="shared" si="19"/>
        <v>359149.7</v>
      </c>
      <c r="AF12" s="322">
        <f t="shared" si="20"/>
        <v>0</v>
      </c>
      <c r="AG12" s="213">
        <f t="shared" si="29"/>
        <v>0</v>
      </c>
      <c r="AH12" s="62">
        <f t="shared" si="30"/>
        <v>0</v>
      </c>
      <c r="AI12" s="334">
        <f t="shared" si="21"/>
        <v>0</v>
      </c>
      <c r="AJ12" s="334">
        <f>-tanks!AW13</f>
        <v>0</v>
      </c>
      <c r="AK12" s="334">
        <f t="shared" si="22"/>
        <v>0</v>
      </c>
      <c r="AL12" s="334">
        <f t="shared" si="9"/>
        <v>0</v>
      </c>
      <c r="AM12" s="334">
        <f t="shared" si="23"/>
        <v>0</v>
      </c>
      <c r="AN12" s="64">
        <f t="shared" si="37"/>
        <v>72</v>
      </c>
      <c r="AO12" s="336">
        <f t="shared" si="24"/>
        <v>2160</v>
      </c>
      <c r="AP12" s="64">
        <f t="shared" si="37"/>
        <v>75</v>
      </c>
      <c r="AQ12" s="336">
        <f t="shared" si="25"/>
        <v>2250</v>
      </c>
      <c r="AR12" s="64">
        <f t="shared" si="37"/>
        <v>60</v>
      </c>
      <c r="AS12" s="336">
        <f t="shared" si="31"/>
        <v>1800</v>
      </c>
      <c r="AT12" s="336">
        <f t="shared" si="32"/>
        <v>6210</v>
      </c>
      <c r="AU12" s="336">
        <f t="shared" si="33"/>
        <v>0</v>
      </c>
      <c r="AV12" s="276"/>
      <c r="AW12" s="276"/>
      <c r="AX12" s="329">
        <f t="shared" si="26"/>
        <v>0.7</v>
      </c>
    </row>
    <row r="13" spans="1:50">
      <c r="A13" s="63">
        <f>ELEC!C11</f>
        <v>43960</v>
      </c>
      <c r="B13" s="64">
        <f t="shared" si="34"/>
        <v>232</v>
      </c>
      <c r="C13" s="64">
        <f t="shared" si="34"/>
        <v>239</v>
      </c>
      <c r="D13" s="45">
        <f t="shared" si="0"/>
        <v>0</v>
      </c>
      <c r="E13" s="45">
        <f t="shared" si="10"/>
        <v>0</v>
      </c>
      <c r="F13" s="64">
        <f t="shared" si="35"/>
        <v>1541</v>
      </c>
      <c r="G13" s="52">
        <f t="shared" si="1"/>
        <v>0</v>
      </c>
      <c r="H13" s="64">
        <f t="shared" si="35"/>
        <v>349488</v>
      </c>
      <c r="I13" s="417">
        <f t="shared" si="2"/>
        <v>0</v>
      </c>
      <c r="J13" s="66">
        <f t="shared" si="11"/>
        <v>0</v>
      </c>
      <c r="K13" s="64">
        <f t="shared" si="12"/>
        <v>1925</v>
      </c>
      <c r="L13" s="52">
        <f t="shared" si="3"/>
        <v>0</v>
      </c>
      <c r="M13" s="64">
        <f t="shared" si="12"/>
        <v>140981</v>
      </c>
      <c r="N13" s="417">
        <f t="shared" si="4"/>
        <v>0</v>
      </c>
      <c r="O13" s="67">
        <f t="shared" si="5"/>
        <v>0</v>
      </c>
      <c r="P13" s="64">
        <f t="shared" si="36"/>
        <v>1770</v>
      </c>
      <c r="Q13" s="64">
        <f t="shared" si="36"/>
        <v>150466</v>
      </c>
      <c r="R13" s="416">
        <f t="shared" si="38"/>
        <v>0</v>
      </c>
      <c r="S13" s="52">
        <f t="shared" si="13"/>
        <v>0</v>
      </c>
      <c r="T13" s="68">
        <f t="shared" si="27"/>
        <v>0</v>
      </c>
      <c r="U13" s="423">
        <f t="shared" si="14"/>
        <v>0</v>
      </c>
      <c r="V13" s="62">
        <f>R13+N13+I13:I13</f>
        <v>0</v>
      </c>
      <c r="W13" s="421" t="e">
        <f t="shared" si="16"/>
        <v>#DIV/0!</v>
      </c>
      <c r="X13" s="64">
        <f t="shared" si="17"/>
        <v>2417</v>
      </c>
      <c r="Y13" s="52">
        <f t="shared" si="18"/>
        <v>0</v>
      </c>
      <c r="Z13" s="64">
        <f t="shared" si="17"/>
        <v>135871</v>
      </c>
      <c r="AA13" s="295">
        <f t="shared" si="7"/>
        <v>0</v>
      </c>
      <c r="AB13" s="295">
        <f t="shared" si="28"/>
        <v>0</v>
      </c>
      <c r="AC13" s="64">
        <f t="shared" si="19"/>
        <v>1829</v>
      </c>
      <c r="AD13" s="45">
        <f t="shared" si="8"/>
        <v>0</v>
      </c>
      <c r="AE13" s="64">
        <f t="shared" si="19"/>
        <v>359149.7</v>
      </c>
      <c r="AF13" s="322">
        <f t="shared" si="20"/>
        <v>0</v>
      </c>
      <c r="AG13" s="213">
        <f t="shared" si="29"/>
        <v>0</v>
      </c>
      <c r="AH13" s="62">
        <f t="shared" si="30"/>
        <v>0</v>
      </c>
      <c r="AI13" s="334">
        <f t="shared" si="21"/>
        <v>0</v>
      </c>
      <c r="AJ13" s="334">
        <f>-tanks!AW14</f>
        <v>0</v>
      </c>
      <c r="AK13" s="334">
        <f t="shared" si="22"/>
        <v>0</v>
      </c>
      <c r="AL13" s="334">
        <f t="shared" si="9"/>
        <v>0</v>
      </c>
      <c r="AM13" s="334">
        <f t="shared" si="23"/>
        <v>0</v>
      </c>
      <c r="AN13" s="64">
        <f t="shared" si="37"/>
        <v>72</v>
      </c>
      <c r="AO13" s="336">
        <f t="shared" si="24"/>
        <v>2160</v>
      </c>
      <c r="AP13" s="64">
        <f t="shared" si="37"/>
        <v>75</v>
      </c>
      <c r="AQ13" s="336">
        <f t="shared" si="25"/>
        <v>2250</v>
      </c>
      <c r="AR13" s="64">
        <f t="shared" si="37"/>
        <v>60</v>
      </c>
      <c r="AS13" s="336">
        <f t="shared" si="31"/>
        <v>1800</v>
      </c>
      <c r="AT13" s="336">
        <f t="shared" si="32"/>
        <v>6210</v>
      </c>
      <c r="AU13" s="336">
        <f t="shared" si="33"/>
        <v>0</v>
      </c>
      <c r="AV13" s="276"/>
      <c r="AW13" s="276"/>
      <c r="AX13" s="329">
        <f t="shared" si="26"/>
        <v>0.7</v>
      </c>
    </row>
    <row r="14" spans="1:50">
      <c r="A14" s="63">
        <f>ELEC!C12</f>
        <v>43961</v>
      </c>
      <c r="B14" s="64">
        <f t="shared" si="34"/>
        <v>232</v>
      </c>
      <c r="C14" s="64">
        <f t="shared" si="34"/>
        <v>239</v>
      </c>
      <c r="D14" s="45">
        <f t="shared" si="0"/>
        <v>0</v>
      </c>
      <c r="E14" s="45">
        <f t="shared" si="10"/>
        <v>0</v>
      </c>
      <c r="F14" s="64">
        <f t="shared" si="35"/>
        <v>1541</v>
      </c>
      <c r="G14" s="52">
        <f t="shared" si="1"/>
        <v>0</v>
      </c>
      <c r="H14" s="64">
        <f t="shared" si="35"/>
        <v>349488</v>
      </c>
      <c r="I14" s="417">
        <f t="shared" si="2"/>
        <v>0</v>
      </c>
      <c r="J14" s="66">
        <f t="shared" si="11"/>
        <v>0</v>
      </c>
      <c r="K14" s="64">
        <f t="shared" si="12"/>
        <v>1925</v>
      </c>
      <c r="L14" s="52">
        <f t="shared" si="3"/>
        <v>0</v>
      </c>
      <c r="M14" s="64">
        <f t="shared" si="12"/>
        <v>140981</v>
      </c>
      <c r="N14" s="417">
        <f t="shared" si="4"/>
        <v>0</v>
      </c>
      <c r="O14" s="67">
        <f t="shared" si="5"/>
        <v>0</v>
      </c>
      <c r="P14" s="64">
        <f t="shared" si="36"/>
        <v>1770</v>
      </c>
      <c r="Q14" s="64">
        <f t="shared" si="36"/>
        <v>150466</v>
      </c>
      <c r="R14" s="416">
        <f t="shared" si="38"/>
        <v>0</v>
      </c>
      <c r="S14" s="52">
        <f t="shared" si="13"/>
        <v>0</v>
      </c>
      <c r="T14" s="68">
        <f t="shared" si="27"/>
        <v>0</v>
      </c>
      <c r="U14" s="423">
        <f t="shared" si="14"/>
        <v>0</v>
      </c>
      <c r="V14" s="62">
        <f t="shared" si="15"/>
        <v>0</v>
      </c>
      <c r="W14" s="421" t="e">
        <f t="shared" si="16"/>
        <v>#DIV/0!</v>
      </c>
      <c r="X14" s="64">
        <f t="shared" si="17"/>
        <v>2417</v>
      </c>
      <c r="Y14" s="52">
        <f t="shared" si="18"/>
        <v>0</v>
      </c>
      <c r="Z14" s="64">
        <f t="shared" si="17"/>
        <v>135871</v>
      </c>
      <c r="AA14" s="65">
        <f t="shared" si="7"/>
        <v>0</v>
      </c>
      <c r="AB14" s="295">
        <f t="shared" si="28"/>
        <v>0</v>
      </c>
      <c r="AC14" s="64">
        <f t="shared" si="19"/>
        <v>1829</v>
      </c>
      <c r="AD14" s="45">
        <f t="shared" si="8"/>
        <v>0</v>
      </c>
      <c r="AE14" s="64">
        <f t="shared" si="19"/>
        <v>359149.7</v>
      </c>
      <c r="AF14" s="322">
        <f t="shared" si="20"/>
        <v>0</v>
      </c>
      <c r="AG14" s="213">
        <f t="shared" si="29"/>
        <v>0</v>
      </c>
      <c r="AH14" s="62">
        <f t="shared" si="30"/>
        <v>0</v>
      </c>
      <c r="AI14" s="334">
        <f t="shared" si="21"/>
        <v>0</v>
      </c>
      <c r="AJ14" s="334">
        <f>-tanks!AW15</f>
        <v>0</v>
      </c>
      <c r="AK14" s="334">
        <f t="shared" si="22"/>
        <v>0</v>
      </c>
      <c r="AL14" s="334">
        <f t="shared" si="9"/>
        <v>0</v>
      </c>
      <c r="AM14" s="334">
        <f t="shared" si="23"/>
        <v>0</v>
      </c>
      <c r="AN14" s="64">
        <f t="shared" si="37"/>
        <v>72</v>
      </c>
      <c r="AO14" s="336">
        <f t="shared" si="24"/>
        <v>2160</v>
      </c>
      <c r="AP14" s="64">
        <f t="shared" si="37"/>
        <v>75</v>
      </c>
      <c r="AQ14" s="336">
        <f t="shared" si="25"/>
        <v>2250</v>
      </c>
      <c r="AR14" s="64">
        <f t="shared" si="37"/>
        <v>60</v>
      </c>
      <c r="AS14" s="336">
        <f t="shared" si="31"/>
        <v>1800</v>
      </c>
      <c r="AT14" s="336">
        <f t="shared" si="32"/>
        <v>6210</v>
      </c>
      <c r="AU14" s="336">
        <f t="shared" si="33"/>
        <v>0</v>
      </c>
      <c r="AV14" s="276"/>
      <c r="AW14" s="276"/>
      <c r="AX14" s="329">
        <f t="shared" si="26"/>
        <v>0.7</v>
      </c>
    </row>
    <row r="15" spans="1:50" ht="15" customHeight="1">
      <c r="A15" s="63">
        <f>ELEC!C13</f>
        <v>43962</v>
      </c>
      <c r="B15" s="64">
        <f t="shared" si="34"/>
        <v>232</v>
      </c>
      <c r="C15" s="64">
        <f t="shared" si="34"/>
        <v>239</v>
      </c>
      <c r="D15" s="45">
        <f t="shared" si="0"/>
        <v>0</v>
      </c>
      <c r="E15" s="45">
        <f t="shared" si="10"/>
        <v>0</v>
      </c>
      <c r="F15" s="64">
        <f t="shared" si="35"/>
        <v>1541</v>
      </c>
      <c r="G15" s="52">
        <f t="shared" si="1"/>
        <v>0</v>
      </c>
      <c r="H15" s="64">
        <f t="shared" si="35"/>
        <v>349488</v>
      </c>
      <c r="I15" s="417">
        <f t="shared" si="2"/>
        <v>0</v>
      </c>
      <c r="J15" s="66">
        <f t="shared" si="11"/>
        <v>0</v>
      </c>
      <c r="K15" s="64">
        <f t="shared" si="12"/>
        <v>1925</v>
      </c>
      <c r="L15" s="52">
        <f t="shared" si="3"/>
        <v>0</v>
      </c>
      <c r="M15" s="64">
        <f t="shared" si="12"/>
        <v>140981</v>
      </c>
      <c r="N15" s="417">
        <f t="shared" si="4"/>
        <v>0</v>
      </c>
      <c r="O15" s="67">
        <f t="shared" si="5"/>
        <v>0</v>
      </c>
      <c r="P15" s="64">
        <f t="shared" si="36"/>
        <v>1770</v>
      </c>
      <c r="Q15" s="64">
        <f t="shared" si="36"/>
        <v>150466</v>
      </c>
      <c r="R15" s="416">
        <f t="shared" si="38"/>
        <v>0</v>
      </c>
      <c r="S15" s="52">
        <f t="shared" si="13"/>
        <v>0</v>
      </c>
      <c r="T15" s="68">
        <f t="shared" si="27"/>
        <v>0</v>
      </c>
      <c r="U15" s="423">
        <f t="shared" si="14"/>
        <v>0</v>
      </c>
      <c r="V15" s="62">
        <f t="shared" si="15"/>
        <v>0</v>
      </c>
      <c r="W15" s="421" t="e">
        <f t="shared" si="16"/>
        <v>#DIV/0!</v>
      </c>
      <c r="X15" s="64">
        <f t="shared" si="17"/>
        <v>2417</v>
      </c>
      <c r="Y15" s="52">
        <f t="shared" si="18"/>
        <v>0</v>
      </c>
      <c r="Z15" s="64">
        <f t="shared" si="17"/>
        <v>135871</v>
      </c>
      <c r="AA15" s="65">
        <f t="shared" si="7"/>
        <v>0</v>
      </c>
      <c r="AB15" s="295">
        <f t="shared" si="28"/>
        <v>0</v>
      </c>
      <c r="AC15" s="64">
        <f t="shared" si="19"/>
        <v>1829</v>
      </c>
      <c r="AD15" s="45">
        <f t="shared" si="8"/>
        <v>0</v>
      </c>
      <c r="AE15" s="64">
        <f t="shared" si="19"/>
        <v>359149.7</v>
      </c>
      <c r="AF15" s="322">
        <f t="shared" si="20"/>
        <v>0</v>
      </c>
      <c r="AG15" s="213">
        <f t="shared" si="29"/>
        <v>0</v>
      </c>
      <c r="AH15" s="62">
        <f t="shared" si="30"/>
        <v>0</v>
      </c>
      <c r="AI15" s="334">
        <f t="shared" si="21"/>
        <v>0</v>
      </c>
      <c r="AJ15" s="334">
        <f>-tanks!AW16</f>
        <v>0</v>
      </c>
      <c r="AK15" s="334">
        <f t="shared" si="22"/>
        <v>0</v>
      </c>
      <c r="AL15" s="334">
        <f t="shared" si="9"/>
        <v>0</v>
      </c>
      <c r="AM15" s="334">
        <f t="shared" si="23"/>
        <v>0</v>
      </c>
      <c r="AN15" s="64">
        <f t="shared" si="37"/>
        <v>72</v>
      </c>
      <c r="AO15" s="336">
        <f t="shared" si="24"/>
        <v>2160</v>
      </c>
      <c r="AP15" s="64">
        <f t="shared" si="37"/>
        <v>75</v>
      </c>
      <c r="AQ15" s="336">
        <f t="shared" si="25"/>
        <v>2250</v>
      </c>
      <c r="AR15" s="64">
        <f t="shared" si="37"/>
        <v>60</v>
      </c>
      <c r="AS15" s="336">
        <f t="shared" si="31"/>
        <v>1800</v>
      </c>
      <c r="AT15" s="336">
        <f t="shared" si="32"/>
        <v>6210</v>
      </c>
      <c r="AU15" s="336">
        <f t="shared" si="33"/>
        <v>0</v>
      </c>
      <c r="AV15" s="276"/>
      <c r="AW15" s="276"/>
      <c r="AX15" s="329">
        <f t="shared" si="26"/>
        <v>0.7</v>
      </c>
    </row>
    <row r="16" spans="1:50">
      <c r="A16" s="63">
        <f>ELEC!C14</f>
        <v>43963</v>
      </c>
      <c r="B16" s="64">
        <f t="shared" si="34"/>
        <v>232</v>
      </c>
      <c r="C16" s="64">
        <f t="shared" si="34"/>
        <v>239</v>
      </c>
      <c r="D16" s="45">
        <f t="shared" si="0"/>
        <v>0</v>
      </c>
      <c r="E16" s="45">
        <f t="shared" si="10"/>
        <v>0</v>
      </c>
      <c r="F16" s="64">
        <f t="shared" si="35"/>
        <v>1541</v>
      </c>
      <c r="G16" s="52">
        <f t="shared" si="1"/>
        <v>0</v>
      </c>
      <c r="H16" s="64">
        <f t="shared" si="35"/>
        <v>349488</v>
      </c>
      <c r="I16" s="417">
        <f t="shared" si="2"/>
        <v>0</v>
      </c>
      <c r="J16" s="66">
        <f t="shared" si="11"/>
        <v>0</v>
      </c>
      <c r="K16" s="64">
        <f t="shared" si="12"/>
        <v>1925</v>
      </c>
      <c r="L16" s="52">
        <f t="shared" si="3"/>
        <v>0</v>
      </c>
      <c r="M16" s="64">
        <f t="shared" si="12"/>
        <v>140981</v>
      </c>
      <c r="N16" s="417">
        <f t="shared" si="4"/>
        <v>0</v>
      </c>
      <c r="O16" s="67">
        <f t="shared" si="5"/>
        <v>0</v>
      </c>
      <c r="P16" s="64">
        <f t="shared" si="36"/>
        <v>1770</v>
      </c>
      <c r="Q16" s="64">
        <f t="shared" si="36"/>
        <v>150466</v>
      </c>
      <c r="R16" s="416">
        <f t="shared" si="38"/>
        <v>0</v>
      </c>
      <c r="S16" s="52">
        <f t="shared" si="13"/>
        <v>0</v>
      </c>
      <c r="T16" s="68">
        <f t="shared" si="27"/>
        <v>0</v>
      </c>
      <c r="U16" s="423">
        <f t="shared" si="14"/>
        <v>0</v>
      </c>
      <c r="V16" s="62">
        <f t="shared" si="15"/>
        <v>0</v>
      </c>
      <c r="W16" s="421" t="e">
        <f t="shared" si="16"/>
        <v>#DIV/0!</v>
      </c>
      <c r="X16" s="64">
        <f t="shared" si="17"/>
        <v>2417</v>
      </c>
      <c r="Y16" s="52">
        <f t="shared" si="18"/>
        <v>0</v>
      </c>
      <c r="Z16" s="64">
        <f t="shared" si="17"/>
        <v>135871</v>
      </c>
      <c r="AA16" s="65">
        <f t="shared" si="7"/>
        <v>0</v>
      </c>
      <c r="AB16" s="295">
        <f t="shared" si="28"/>
        <v>0</v>
      </c>
      <c r="AC16" s="64">
        <f t="shared" si="19"/>
        <v>1829</v>
      </c>
      <c r="AD16" s="45">
        <f t="shared" si="8"/>
        <v>0</v>
      </c>
      <c r="AE16" s="64">
        <f t="shared" si="19"/>
        <v>359149.7</v>
      </c>
      <c r="AF16" s="322">
        <f t="shared" si="20"/>
        <v>0</v>
      </c>
      <c r="AG16" s="213">
        <f t="shared" si="29"/>
        <v>0</v>
      </c>
      <c r="AH16" s="62">
        <f t="shared" si="30"/>
        <v>0</v>
      </c>
      <c r="AI16" s="334">
        <f t="shared" si="21"/>
        <v>0</v>
      </c>
      <c r="AJ16" s="334">
        <f>-tanks!AW17</f>
        <v>0</v>
      </c>
      <c r="AK16" s="334">
        <f t="shared" si="22"/>
        <v>0</v>
      </c>
      <c r="AL16" s="334">
        <f t="shared" si="9"/>
        <v>0</v>
      </c>
      <c r="AM16" s="334">
        <f t="shared" si="23"/>
        <v>0</v>
      </c>
      <c r="AN16" s="64">
        <f t="shared" si="37"/>
        <v>72</v>
      </c>
      <c r="AO16" s="336">
        <f t="shared" si="24"/>
        <v>2160</v>
      </c>
      <c r="AP16" s="64">
        <f t="shared" si="37"/>
        <v>75</v>
      </c>
      <c r="AQ16" s="336">
        <f t="shared" si="25"/>
        <v>2250</v>
      </c>
      <c r="AR16" s="64">
        <f t="shared" si="37"/>
        <v>60</v>
      </c>
      <c r="AS16" s="336">
        <f t="shared" si="31"/>
        <v>1800</v>
      </c>
      <c r="AT16" s="336">
        <f t="shared" si="32"/>
        <v>6210</v>
      </c>
      <c r="AU16" s="336">
        <f t="shared" si="33"/>
        <v>0</v>
      </c>
      <c r="AV16" s="276"/>
      <c r="AW16" s="276"/>
      <c r="AX16" s="329">
        <f t="shared" si="26"/>
        <v>0.7</v>
      </c>
    </row>
    <row r="17" spans="1:50">
      <c r="A17" s="63">
        <f>ELEC!C15</f>
        <v>43964</v>
      </c>
      <c r="B17" s="64">
        <f t="shared" si="34"/>
        <v>232</v>
      </c>
      <c r="C17" s="64">
        <f t="shared" si="34"/>
        <v>239</v>
      </c>
      <c r="D17" s="45">
        <f t="shared" si="0"/>
        <v>0</v>
      </c>
      <c r="E17" s="45">
        <f t="shared" si="10"/>
        <v>0</v>
      </c>
      <c r="F17" s="64">
        <f t="shared" si="35"/>
        <v>1541</v>
      </c>
      <c r="G17" s="52">
        <f t="shared" si="1"/>
        <v>0</v>
      </c>
      <c r="H17" s="64">
        <f t="shared" si="35"/>
        <v>349488</v>
      </c>
      <c r="I17" s="417">
        <f t="shared" si="2"/>
        <v>0</v>
      </c>
      <c r="J17" s="66">
        <f t="shared" si="11"/>
        <v>0</v>
      </c>
      <c r="K17" s="64">
        <f t="shared" si="12"/>
        <v>1925</v>
      </c>
      <c r="L17" s="52">
        <f t="shared" si="3"/>
        <v>0</v>
      </c>
      <c r="M17" s="64">
        <f t="shared" si="12"/>
        <v>140981</v>
      </c>
      <c r="N17" s="417">
        <f t="shared" si="4"/>
        <v>0</v>
      </c>
      <c r="O17" s="67">
        <f t="shared" si="5"/>
        <v>0</v>
      </c>
      <c r="P17" s="64">
        <f t="shared" si="36"/>
        <v>1770</v>
      </c>
      <c r="Q17" s="64">
        <f t="shared" si="36"/>
        <v>150466</v>
      </c>
      <c r="R17" s="416">
        <f t="shared" si="38"/>
        <v>0</v>
      </c>
      <c r="S17" s="52">
        <f t="shared" si="13"/>
        <v>0</v>
      </c>
      <c r="T17" s="68">
        <f t="shared" si="27"/>
        <v>0</v>
      </c>
      <c r="U17" s="423">
        <f t="shared" si="14"/>
        <v>0</v>
      </c>
      <c r="V17" s="62">
        <f t="shared" si="15"/>
        <v>0</v>
      </c>
      <c r="W17" s="421"/>
      <c r="X17" s="64">
        <f t="shared" si="17"/>
        <v>2417</v>
      </c>
      <c r="Y17" s="52">
        <f t="shared" si="18"/>
        <v>0</v>
      </c>
      <c r="Z17" s="64">
        <f t="shared" si="17"/>
        <v>135871</v>
      </c>
      <c r="AA17" s="65">
        <f t="shared" si="7"/>
        <v>0</v>
      </c>
      <c r="AB17" s="295">
        <f t="shared" si="28"/>
        <v>0</v>
      </c>
      <c r="AC17" s="64">
        <f t="shared" si="19"/>
        <v>1829</v>
      </c>
      <c r="AD17" s="45">
        <f t="shared" si="8"/>
        <v>0</v>
      </c>
      <c r="AE17" s="64">
        <f t="shared" si="19"/>
        <v>359149.7</v>
      </c>
      <c r="AF17" s="322">
        <f t="shared" si="20"/>
        <v>0</v>
      </c>
      <c r="AG17" s="213">
        <f t="shared" si="29"/>
        <v>0</v>
      </c>
      <c r="AH17" s="62">
        <f t="shared" si="30"/>
        <v>0</v>
      </c>
      <c r="AI17" s="334">
        <f t="shared" si="21"/>
        <v>0</v>
      </c>
      <c r="AJ17" s="334">
        <f>-tanks!AW18</f>
        <v>0</v>
      </c>
      <c r="AK17" s="334">
        <f t="shared" si="22"/>
        <v>0</v>
      </c>
      <c r="AL17" s="334">
        <f t="shared" si="9"/>
        <v>0</v>
      </c>
      <c r="AM17" s="334">
        <f t="shared" si="23"/>
        <v>0</v>
      </c>
      <c r="AN17" s="64">
        <f t="shared" si="37"/>
        <v>72</v>
      </c>
      <c r="AO17" s="336">
        <f t="shared" si="24"/>
        <v>2160</v>
      </c>
      <c r="AP17" s="64">
        <f t="shared" si="37"/>
        <v>75</v>
      </c>
      <c r="AQ17" s="336">
        <f t="shared" si="25"/>
        <v>2250</v>
      </c>
      <c r="AR17" s="64">
        <f t="shared" si="37"/>
        <v>60</v>
      </c>
      <c r="AS17" s="336">
        <f t="shared" si="31"/>
        <v>1800</v>
      </c>
      <c r="AT17" s="336">
        <f t="shared" si="32"/>
        <v>6210</v>
      </c>
      <c r="AU17" s="336">
        <f t="shared" si="33"/>
        <v>0</v>
      </c>
      <c r="AV17" s="276"/>
      <c r="AW17" s="276"/>
      <c r="AX17" s="329">
        <f t="shared" si="26"/>
        <v>0.7</v>
      </c>
    </row>
    <row r="18" spans="1:50">
      <c r="A18" s="63">
        <f>ELEC!C16</f>
        <v>43965</v>
      </c>
      <c r="B18" s="64">
        <f t="shared" si="34"/>
        <v>232</v>
      </c>
      <c r="C18" s="64">
        <f t="shared" si="34"/>
        <v>239</v>
      </c>
      <c r="D18" s="45">
        <f t="shared" si="0"/>
        <v>0</v>
      </c>
      <c r="E18" s="45">
        <f t="shared" si="10"/>
        <v>0</v>
      </c>
      <c r="F18" s="64">
        <f t="shared" si="35"/>
        <v>1541</v>
      </c>
      <c r="G18" s="52">
        <f t="shared" si="1"/>
        <v>0</v>
      </c>
      <c r="H18" s="64">
        <f t="shared" si="35"/>
        <v>349488</v>
      </c>
      <c r="I18" s="417">
        <f t="shared" si="2"/>
        <v>0</v>
      </c>
      <c r="J18" s="66">
        <f t="shared" si="11"/>
        <v>0</v>
      </c>
      <c r="K18" s="64">
        <f t="shared" si="12"/>
        <v>1925</v>
      </c>
      <c r="L18" s="52">
        <f t="shared" si="3"/>
        <v>0</v>
      </c>
      <c r="M18" s="64">
        <f t="shared" si="12"/>
        <v>140981</v>
      </c>
      <c r="N18" s="417">
        <f t="shared" si="4"/>
        <v>0</v>
      </c>
      <c r="O18" s="67">
        <f t="shared" si="5"/>
        <v>0</v>
      </c>
      <c r="P18" s="64">
        <f t="shared" si="36"/>
        <v>1770</v>
      </c>
      <c r="Q18" s="64">
        <f t="shared" si="36"/>
        <v>150466</v>
      </c>
      <c r="R18" s="416">
        <f t="shared" si="38"/>
        <v>0</v>
      </c>
      <c r="S18" s="52">
        <f t="shared" si="13"/>
        <v>0</v>
      </c>
      <c r="T18" s="68">
        <f t="shared" si="27"/>
        <v>0</v>
      </c>
      <c r="U18" s="423">
        <f t="shared" si="14"/>
        <v>0</v>
      </c>
      <c r="V18" s="62">
        <f t="shared" si="15"/>
        <v>0</v>
      </c>
      <c r="W18" s="421"/>
      <c r="X18" s="64">
        <f t="shared" si="17"/>
        <v>2417</v>
      </c>
      <c r="Y18" s="52">
        <f t="shared" si="18"/>
        <v>0</v>
      </c>
      <c r="Z18" s="64">
        <f t="shared" si="17"/>
        <v>135871</v>
      </c>
      <c r="AA18" s="65">
        <f t="shared" si="7"/>
        <v>0</v>
      </c>
      <c r="AB18" s="295">
        <f t="shared" ref="AB18:AB23" si="39">SUM(Y18*$AB$2)</f>
        <v>0</v>
      </c>
      <c r="AC18" s="64">
        <f t="shared" si="19"/>
        <v>1829</v>
      </c>
      <c r="AD18" s="45">
        <f t="shared" si="8"/>
        <v>0</v>
      </c>
      <c r="AE18" s="64">
        <f t="shared" si="19"/>
        <v>359149.7</v>
      </c>
      <c r="AF18" s="322">
        <f t="shared" si="20"/>
        <v>0</v>
      </c>
      <c r="AG18" s="213">
        <f t="shared" si="29"/>
        <v>0</v>
      </c>
      <c r="AH18" s="62">
        <f t="shared" si="30"/>
        <v>0</v>
      </c>
      <c r="AI18" s="334">
        <f t="shared" si="21"/>
        <v>0</v>
      </c>
      <c r="AJ18" s="334">
        <f>-tanks!AW19</f>
        <v>0</v>
      </c>
      <c r="AK18" s="334">
        <f t="shared" si="22"/>
        <v>0</v>
      </c>
      <c r="AL18" s="334">
        <f t="shared" si="9"/>
        <v>0</v>
      </c>
      <c r="AM18" s="334">
        <f t="shared" si="23"/>
        <v>0</v>
      </c>
      <c r="AN18" s="64">
        <f t="shared" si="37"/>
        <v>72</v>
      </c>
      <c r="AO18" s="336">
        <f t="shared" si="24"/>
        <v>2160</v>
      </c>
      <c r="AP18" s="64">
        <f t="shared" si="37"/>
        <v>75</v>
      </c>
      <c r="AQ18" s="336">
        <f t="shared" si="25"/>
        <v>2250</v>
      </c>
      <c r="AR18" s="64">
        <f t="shared" si="37"/>
        <v>60</v>
      </c>
      <c r="AS18" s="336">
        <f t="shared" si="31"/>
        <v>1800</v>
      </c>
      <c r="AT18" s="336">
        <f t="shared" si="32"/>
        <v>6210</v>
      </c>
      <c r="AU18" s="336">
        <f t="shared" si="33"/>
        <v>0</v>
      </c>
      <c r="AV18" s="276"/>
      <c r="AW18" s="276"/>
      <c r="AX18" s="329">
        <f t="shared" si="26"/>
        <v>0.7</v>
      </c>
    </row>
    <row r="19" spans="1:50">
      <c r="A19" s="63">
        <f>ELEC!C17</f>
        <v>43966</v>
      </c>
      <c r="B19" s="64">
        <f t="shared" si="34"/>
        <v>232</v>
      </c>
      <c r="C19" s="64">
        <f t="shared" si="34"/>
        <v>239</v>
      </c>
      <c r="D19" s="45">
        <f t="shared" si="0"/>
        <v>0</v>
      </c>
      <c r="E19" s="45">
        <f t="shared" si="10"/>
        <v>0</v>
      </c>
      <c r="F19" s="64">
        <f t="shared" si="35"/>
        <v>1541</v>
      </c>
      <c r="G19" s="52">
        <f t="shared" si="1"/>
        <v>0</v>
      </c>
      <c r="H19" s="64">
        <f t="shared" si="35"/>
        <v>349488</v>
      </c>
      <c r="I19" s="417">
        <f t="shared" si="2"/>
        <v>0</v>
      </c>
      <c r="J19" s="66">
        <f t="shared" si="11"/>
        <v>0</v>
      </c>
      <c r="K19" s="64">
        <f t="shared" si="12"/>
        <v>1925</v>
      </c>
      <c r="L19" s="52">
        <f t="shared" si="3"/>
        <v>0</v>
      </c>
      <c r="M19" s="64">
        <f t="shared" si="12"/>
        <v>140981</v>
      </c>
      <c r="N19" s="417">
        <f t="shared" si="4"/>
        <v>0</v>
      </c>
      <c r="O19" s="67">
        <f t="shared" si="5"/>
        <v>0</v>
      </c>
      <c r="P19" s="64">
        <f t="shared" si="36"/>
        <v>1770</v>
      </c>
      <c r="Q19" s="64">
        <f t="shared" si="36"/>
        <v>150466</v>
      </c>
      <c r="R19" s="416">
        <f t="shared" si="38"/>
        <v>0</v>
      </c>
      <c r="S19" s="52">
        <f t="shared" si="13"/>
        <v>0</v>
      </c>
      <c r="T19" s="68">
        <f t="shared" si="27"/>
        <v>0</v>
      </c>
      <c r="U19" s="423">
        <f t="shared" si="14"/>
        <v>0</v>
      </c>
      <c r="V19" s="62">
        <f t="shared" si="15"/>
        <v>0</v>
      </c>
      <c r="W19" s="421"/>
      <c r="X19" s="64">
        <f t="shared" si="17"/>
        <v>2417</v>
      </c>
      <c r="Y19" s="52">
        <f t="shared" si="18"/>
        <v>0</v>
      </c>
      <c r="Z19" s="64">
        <f t="shared" si="17"/>
        <v>135871</v>
      </c>
      <c r="AA19" s="65">
        <f t="shared" si="7"/>
        <v>0</v>
      </c>
      <c r="AB19" s="295">
        <f t="shared" si="39"/>
        <v>0</v>
      </c>
      <c r="AC19" s="64">
        <f t="shared" si="19"/>
        <v>1829</v>
      </c>
      <c r="AD19" s="45">
        <f t="shared" si="8"/>
        <v>0</v>
      </c>
      <c r="AE19" s="64">
        <f t="shared" si="19"/>
        <v>359149.7</v>
      </c>
      <c r="AF19" s="322">
        <f t="shared" si="20"/>
        <v>0</v>
      </c>
      <c r="AG19" s="213">
        <f t="shared" si="29"/>
        <v>0</v>
      </c>
      <c r="AH19" s="62">
        <f t="shared" si="30"/>
        <v>0</v>
      </c>
      <c r="AI19" s="334">
        <f t="shared" si="21"/>
        <v>0</v>
      </c>
      <c r="AJ19" s="334">
        <f>-tanks!AW20</f>
        <v>0</v>
      </c>
      <c r="AK19" s="334">
        <f t="shared" si="22"/>
        <v>0</v>
      </c>
      <c r="AL19" s="334">
        <f>S19+L20+G19</f>
        <v>0</v>
      </c>
      <c r="AM19" s="334">
        <f t="shared" si="23"/>
        <v>0</v>
      </c>
      <c r="AN19" s="64">
        <f t="shared" si="37"/>
        <v>72</v>
      </c>
      <c r="AO19" s="336">
        <f t="shared" si="24"/>
        <v>2160</v>
      </c>
      <c r="AP19" s="64">
        <f t="shared" si="37"/>
        <v>75</v>
      </c>
      <c r="AQ19" s="336">
        <f t="shared" si="25"/>
        <v>2250</v>
      </c>
      <c r="AR19" s="64">
        <f t="shared" si="37"/>
        <v>60</v>
      </c>
      <c r="AS19" s="336">
        <f t="shared" si="31"/>
        <v>1800</v>
      </c>
      <c r="AT19" s="336">
        <f t="shared" si="32"/>
        <v>6210</v>
      </c>
      <c r="AU19" s="336">
        <f t="shared" si="33"/>
        <v>0</v>
      </c>
      <c r="AV19" s="276"/>
      <c r="AW19" s="276"/>
      <c r="AX19" s="329">
        <f t="shared" si="26"/>
        <v>0.7</v>
      </c>
    </row>
    <row r="20" spans="1:50">
      <c r="A20" s="63">
        <f>ELEC!C18</f>
        <v>43967</v>
      </c>
      <c r="B20" s="64">
        <f t="shared" si="34"/>
        <v>232</v>
      </c>
      <c r="C20" s="64">
        <f t="shared" si="34"/>
        <v>239</v>
      </c>
      <c r="D20" s="45">
        <f>C19-C20</f>
        <v>0</v>
      </c>
      <c r="E20" s="45">
        <f t="shared" si="10"/>
        <v>0</v>
      </c>
      <c r="F20" s="64">
        <f t="shared" si="35"/>
        <v>1541</v>
      </c>
      <c r="G20" s="52">
        <f t="shared" si="1"/>
        <v>0</v>
      </c>
      <c r="H20" s="64">
        <f t="shared" si="35"/>
        <v>349488</v>
      </c>
      <c r="I20" s="417">
        <f t="shared" si="2"/>
        <v>0</v>
      </c>
      <c r="J20" s="66">
        <f t="shared" si="11"/>
        <v>0</v>
      </c>
      <c r="K20" s="64">
        <f t="shared" si="12"/>
        <v>1925</v>
      </c>
      <c r="L20" s="52">
        <f t="shared" si="3"/>
        <v>0</v>
      </c>
      <c r="M20" s="64">
        <f t="shared" si="12"/>
        <v>140981</v>
      </c>
      <c r="N20" s="417">
        <f t="shared" si="4"/>
        <v>0</v>
      </c>
      <c r="O20" s="67">
        <f t="shared" si="5"/>
        <v>0</v>
      </c>
      <c r="P20" s="64">
        <f t="shared" si="36"/>
        <v>1770</v>
      </c>
      <c r="Q20" s="64">
        <f t="shared" si="36"/>
        <v>150466</v>
      </c>
      <c r="R20" s="416">
        <f t="shared" si="38"/>
        <v>0</v>
      </c>
      <c r="S20" s="52">
        <f t="shared" si="13"/>
        <v>0</v>
      </c>
      <c r="T20" s="68">
        <f t="shared" si="27"/>
        <v>0</v>
      </c>
      <c r="U20" s="423">
        <f t="shared" si="14"/>
        <v>0</v>
      </c>
      <c r="V20" s="62">
        <f t="shared" si="15"/>
        <v>0</v>
      </c>
      <c r="W20" s="421"/>
      <c r="X20" s="64">
        <f t="shared" si="17"/>
        <v>2417</v>
      </c>
      <c r="Y20" s="52">
        <f t="shared" si="18"/>
        <v>0</v>
      </c>
      <c r="Z20" s="64">
        <f t="shared" si="17"/>
        <v>135871</v>
      </c>
      <c r="AA20" s="65">
        <f t="shared" si="7"/>
        <v>0</v>
      </c>
      <c r="AB20" s="295">
        <f t="shared" si="39"/>
        <v>0</v>
      </c>
      <c r="AC20" s="64">
        <f t="shared" si="19"/>
        <v>1829</v>
      </c>
      <c r="AD20" s="45">
        <f t="shared" si="8"/>
        <v>0</v>
      </c>
      <c r="AE20" s="64">
        <f t="shared" si="19"/>
        <v>359149.7</v>
      </c>
      <c r="AF20" s="322">
        <f t="shared" si="20"/>
        <v>0</v>
      </c>
      <c r="AG20" s="213">
        <f t="shared" si="29"/>
        <v>0</v>
      </c>
      <c r="AH20" s="62">
        <f t="shared" si="30"/>
        <v>0</v>
      </c>
      <c r="AI20" s="334">
        <f t="shared" si="21"/>
        <v>0</v>
      </c>
      <c r="AJ20" s="334">
        <f>-tanks!AW21</f>
        <v>0</v>
      </c>
      <c r="AK20" s="334">
        <f t="shared" si="22"/>
        <v>0</v>
      </c>
      <c r="AL20" s="334">
        <f>S20+L21+G20</f>
        <v>0</v>
      </c>
      <c r="AM20" s="334">
        <f t="shared" si="23"/>
        <v>0</v>
      </c>
      <c r="AN20" s="64">
        <f t="shared" si="37"/>
        <v>72</v>
      </c>
      <c r="AO20" s="336">
        <f t="shared" si="24"/>
        <v>2160</v>
      </c>
      <c r="AP20" s="64">
        <f t="shared" si="37"/>
        <v>75</v>
      </c>
      <c r="AQ20" s="336">
        <f t="shared" si="25"/>
        <v>2250</v>
      </c>
      <c r="AR20" s="64">
        <f t="shared" si="37"/>
        <v>60</v>
      </c>
      <c r="AS20" s="336">
        <f t="shared" si="31"/>
        <v>1800</v>
      </c>
      <c r="AT20" s="336">
        <f t="shared" si="32"/>
        <v>6210</v>
      </c>
      <c r="AU20" s="336">
        <f t="shared" si="33"/>
        <v>0</v>
      </c>
      <c r="AV20" s="276"/>
      <c r="AW20" s="276"/>
      <c r="AX20" s="329">
        <f t="shared" si="26"/>
        <v>0.7</v>
      </c>
    </row>
    <row r="21" spans="1:50">
      <c r="A21" s="63">
        <f>ELEC!C19</f>
        <v>43968</v>
      </c>
      <c r="B21" s="64">
        <f t="shared" si="34"/>
        <v>232</v>
      </c>
      <c r="C21" s="64">
        <f t="shared" si="34"/>
        <v>239</v>
      </c>
      <c r="D21" s="45">
        <f t="shared" ref="D21:D31" si="40">C20-C21</f>
        <v>0</v>
      </c>
      <c r="E21" s="45">
        <f t="shared" si="10"/>
        <v>0</v>
      </c>
      <c r="F21" s="64">
        <f t="shared" si="35"/>
        <v>1541</v>
      </c>
      <c r="G21" s="52">
        <f t="shared" si="1"/>
        <v>0</v>
      </c>
      <c r="H21" s="64">
        <f t="shared" si="35"/>
        <v>349488</v>
      </c>
      <c r="I21" s="417">
        <f t="shared" si="2"/>
        <v>0</v>
      </c>
      <c r="J21" s="66">
        <f t="shared" si="11"/>
        <v>0</v>
      </c>
      <c r="K21" s="64">
        <f t="shared" si="12"/>
        <v>1925</v>
      </c>
      <c r="L21" s="52">
        <f t="shared" si="3"/>
        <v>0</v>
      </c>
      <c r="M21" s="64">
        <f t="shared" si="12"/>
        <v>140981</v>
      </c>
      <c r="N21" s="417">
        <f t="shared" si="4"/>
        <v>0</v>
      </c>
      <c r="O21" s="67">
        <f t="shared" si="5"/>
        <v>0</v>
      </c>
      <c r="P21" s="64">
        <f t="shared" si="36"/>
        <v>1770</v>
      </c>
      <c r="Q21" s="64">
        <f t="shared" si="36"/>
        <v>150466</v>
      </c>
      <c r="R21" s="416">
        <f t="shared" si="38"/>
        <v>0</v>
      </c>
      <c r="S21" s="52">
        <f t="shared" si="13"/>
        <v>0</v>
      </c>
      <c r="T21" s="68">
        <f t="shared" si="27"/>
        <v>0</v>
      </c>
      <c r="U21" s="423">
        <f t="shared" si="14"/>
        <v>0</v>
      </c>
      <c r="V21" s="62">
        <f t="shared" si="15"/>
        <v>0</v>
      </c>
      <c r="W21" s="421"/>
      <c r="X21" s="64">
        <f t="shared" si="17"/>
        <v>2417</v>
      </c>
      <c r="Y21" s="52">
        <f t="shared" si="18"/>
        <v>0</v>
      </c>
      <c r="Z21" s="64">
        <f t="shared" si="17"/>
        <v>135871</v>
      </c>
      <c r="AA21" s="65">
        <f t="shared" si="7"/>
        <v>0</v>
      </c>
      <c r="AB21" s="295">
        <f t="shared" si="39"/>
        <v>0</v>
      </c>
      <c r="AC21" s="64">
        <f t="shared" si="19"/>
        <v>1829</v>
      </c>
      <c r="AD21" s="45">
        <f t="shared" si="8"/>
        <v>0</v>
      </c>
      <c r="AE21" s="64">
        <f t="shared" si="19"/>
        <v>359149.7</v>
      </c>
      <c r="AF21" s="322">
        <f t="shared" si="20"/>
        <v>0</v>
      </c>
      <c r="AG21" s="213">
        <f t="shared" si="29"/>
        <v>0</v>
      </c>
      <c r="AH21" s="62">
        <f t="shared" si="30"/>
        <v>0</v>
      </c>
      <c r="AI21" s="334">
        <f t="shared" si="21"/>
        <v>0</v>
      </c>
      <c r="AJ21" s="334">
        <f>-tanks!AW22</f>
        <v>0</v>
      </c>
      <c r="AK21" s="334">
        <f t="shared" si="22"/>
        <v>0</v>
      </c>
      <c r="AL21" s="334">
        <f t="shared" ref="AL21:AL34" si="41">S21+L21+G21</f>
        <v>0</v>
      </c>
      <c r="AM21" s="334">
        <f t="shared" si="23"/>
        <v>0</v>
      </c>
      <c r="AN21" s="64">
        <f t="shared" si="37"/>
        <v>72</v>
      </c>
      <c r="AO21" s="336">
        <f t="shared" si="24"/>
        <v>2160</v>
      </c>
      <c r="AP21" s="64">
        <f t="shared" si="37"/>
        <v>75</v>
      </c>
      <c r="AQ21" s="336">
        <f t="shared" si="25"/>
        <v>2250</v>
      </c>
      <c r="AR21" s="64">
        <f t="shared" si="37"/>
        <v>60</v>
      </c>
      <c r="AS21" s="336">
        <f t="shared" si="31"/>
        <v>1800</v>
      </c>
      <c r="AT21" s="336">
        <f t="shared" si="32"/>
        <v>6210</v>
      </c>
      <c r="AU21" s="336">
        <f t="shared" si="33"/>
        <v>0</v>
      </c>
      <c r="AV21" s="276"/>
      <c r="AW21" s="276"/>
      <c r="AX21" s="329">
        <f t="shared" si="26"/>
        <v>0.7</v>
      </c>
    </row>
    <row r="22" spans="1:50" ht="16.5" customHeight="1">
      <c r="A22" s="63">
        <f>ELEC!C20</f>
        <v>43969</v>
      </c>
      <c r="B22" s="64">
        <f t="shared" si="34"/>
        <v>232</v>
      </c>
      <c r="C22" s="64">
        <f t="shared" si="34"/>
        <v>239</v>
      </c>
      <c r="D22" s="45">
        <f t="shared" si="40"/>
        <v>0</v>
      </c>
      <c r="E22" s="45">
        <f t="shared" si="10"/>
        <v>0</v>
      </c>
      <c r="F22" s="64">
        <f t="shared" si="35"/>
        <v>1541</v>
      </c>
      <c r="G22" s="52">
        <f t="shared" si="1"/>
        <v>0</v>
      </c>
      <c r="H22" s="64">
        <f t="shared" si="35"/>
        <v>349488</v>
      </c>
      <c r="I22" s="417">
        <f t="shared" si="2"/>
        <v>0</v>
      </c>
      <c r="J22" s="66">
        <f t="shared" si="11"/>
        <v>0</v>
      </c>
      <c r="K22" s="64">
        <f t="shared" si="12"/>
        <v>1925</v>
      </c>
      <c r="L22" s="52">
        <f t="shared" si="3"/>
        <v>0</v>
      </c>
      <c r="M22" s="64">
        <f t="shared" si="12"/>
        <v>140981</v>
      </c>
      <c r="N22" s="417">
        <f t="shared" si="4"/>
        <v>0</v>
      </c>
      <c r="O22" s="67">
        <f t="shared" si="5"/>
        <v>0</v>
      </c>
      <c r="P22" s="64">
        <f t="shared" si="36"/>
        <v>1770</v>
      </c>
      <c r="Q22" s="64">
        <f t="shared" si="36"/>
        <v>150466</v>
      </c>
      <c r="R22" s="416">
        <f t="shared" si="38"/>
        <v>0</v>
      </c>
      <c r="S22" s="52">
        <f t="shared" si="13"/>
        <v>0</v>
      </c>
      <c r="T22" s="68">
        <f t="shared" si="27"/>
        <v>0</v>
      </c>
      <c r="U22" s="423">
        <f t="shared" si="14"/>
        <v>0</v>
      </c>
      <c r="V22" s="62">
        <f t="shared" si="15"/>
        <v>0</v>
      </c>
      <c r="W22" s="421"/>
      <c r="X22" s="64">
        <f t="shared" si="17"/>
        <v>2417</v>
      </c>
      <c r="Y22" s="52">
        <f t="shared" si="18"/>
        <v>0</v>
      </c>
      <c r="Z22" s="64">
        <f t="shared" si="17"/>
        <v>135871</v>
      </c>
      <c r="AA22" s="65">
        <f t="shared" si="7"/>
        <v>0</v>
      </c>
      <c r="AB22" s="295">
        <f t="shared" si="39"/>
        <v>0</v>
      </c>
      <c r="AC22" s="64">
        <f t="shared" si="19"/>
        <v>1829</v>
      </c>
      <c r="AD22" s="45">
        <f t="shared" si="8"/>
        <v>0</v>
      </c>
      <c r="AE22" s="64">
        <f t="shared" si="19"/>
        <v>359149.7</v>
      </c>
      <c r="AF22" s="322">
        <f t="shared" si="20"/>
        <v>0</v>
      </c>
      <c r="AG22" s="213">
        <f t="shared" si="29"/>
        <v>0</v>
      </c>
      <c r="AH22" s="62">
        <f t="shared" si="30"/>
        <v>0</v>
      </c>
      <c r="AI22" s="334">
        <f t="shared" si="21"/>
        <v>0</v>
      </c>
      <c r="AJ22" s="334">
        <f>-tanks!AW23</f>
        <v>0</v>
      </c>
      <c r="AK22" s="334">
        <f t="shared" si="22"/>
        <v>0</v>
      </c>
      <c r="AL22" s="334">
        <f t="shared" si="41"/>
        <v>0</v>
      </c>
      <c r="AM22" s="334">
        <f t="shared" si="23"/>
        <v>0</v>
      </c>
      <c r="AN22" s="64">
        <f t="shared" si="37"/>
        <v>72</v>
      </c>
      <c r="AO22" s="336">
        <f t="shared" si="24"/>
        <v>2160</v>
      </c>
      <c r="AP22" s="64">
        <f t="shared" si="37"/>
        <v>75</v>
      </c>
      <c r="AQ22" s="336">
        <f t="shared" si="25"/>
        <v>2250</v>
      </c>
      <c r="AR22" s="64">
        <f t="shared" si="37"/>
        <v>60</v>
      </c>
      <c r="AS22" s="336">
        <f t="shared" si="31"/>
        <v>1800</v>
      </c>
      <c r="AT22" s="336">
        <f t="shared" si="32"/>
        <v>6210</v>
      </c>
      <c r="AU22" s="336">
        <f t="shared" si="33"/>
        <v>0</v>
      </c>
      <c r="AV22" s="276"/>
      <c r="AW22" s="276"/>
      <c r="AX22" s="329">
        <f t="shared" si="26"/>
        <v>0.7</v>
      </c>
    </row>
    <row r="23" spans="1:50">
      <c r="A23" s="63">
        <f>ELEC!C21</f>
        <v>43970</v>
      </c>
      <c r="B23" s="64">
        <f t="shared" si="34"/>
        <v>232</v>
      </c>
      <c r="C23" s="64">
        <f t="shared" si="34"/>
        <v>239</v>
      </c>
      <c r="D23" s="45">
        <f t="shared" si="40"/>
        <v>0</v>
      </c>
      <c r="E23" s="45">
        <f t="shared" si="10"/>
        <v>0</v>
      </c>
      <c r="F23" s="64">
        <f t="shared" si="35"/>
        <v>1541</v>
      </c>
      <c r="G23" s="52">
        <f t="shared" si="1"/>
        <v>0</v>
      </c>
      <c r="H23" s="64">
        <f t="shared" si="35"/>
        <v>349488</v>
      </c>
      <c r="I23" s="417">
        <f t="shared" si="2"/>
        <v>0</v>
      </c>
      <c r="J23" s="66">
        <f t="shared" si="11"/>
        <v>0</v>
      </c>
      <c r="K23" s="64">
        <f t="shared" si="12"/>
        <v>1925</v>
      </c>
      <c r="L23" s="52">
        <f t="shared" si="3"/>
        <v>0</v>
      </c>
      <c r="M23" s="64">
        <f t="shared" si="12"/>
        <v>140981</v>
      </c>
      <c r="N23" s="417">
        <f t="shared" si="4"/>
        <v>0</v>
      </c>
      <c r="O23" s="67">
        <f t="shared" si="5"/>
        <v>0</v>
      </c>
      <c r="P23" s="64">
        <f t="shared" si="36"/>
        <v>1770</v>
      </c>
      <c r="Q23" s="64">
        <f t="shared" si="36"/>
        <v>150466</v>
      </c>
      <c r="R23" s="416">
        <f t="shared" si="38"/>
        <v>0</v>
      </c>
      <c r="S23" s="52">
        <f t="shared" si="13"/>
        <v>0</v>
      </c>
      <c r="T23" s="68">
        <f t="shared" si="27"/>
        <v>0</v>
      </c>
      <c r="U23" s="423">
        <f t="shared" si="14"/>
        <v>0</v>
      </c>
      <c r="V23" s="62">
        <f t="shared" si="15"/>
        <v>0</v>
      </c>
      <c r="W23" s="421"/>
      <c r="X23" s="64">
        <f t="shared" si="17"/>
        <v>2417</v>
      </c>
      <c r="Y23" s="52">
        <f t="shared" si="18"/>
        <v>0</v>
      </c>
      <c r="Z23" s="64">
        <f t="shared" si="17"/>
        <v>135871</v>
      </c>
      <c r="AA23" s="65">
        <f t="shared" si="7"/>
        <v>0</v>
      </c>
      <c r="AB23" s="295">
        <f t="shared" si="39"/>
        <v>0</v>
      </c>
      <c r="AC23" s="64">
        <f t="shared" si="19"/>
        <v>1829</v>
      </c>
      <c r="AD23" s="45">
        <f t="shared" si="8"/>
        <v>0</v>
      </c>
      <c r="AE23" s="64">
        <f t="shared" si="19"/>
        <v>359149.7</v>
      </c>
      <c r="AF23" s="322">
        <f t="shared" si="20"/>
        <v>0</v>
      </c>
      <c r="AG23" s="213">
        <f t="shared" si="29"/>
        <v>0</v>
      </c>
      <c r="AH23" s="62">
        <f t="shared" si="30"/>
        <v>0</v>
      </c>
      <c r="AI23" s="334">
        <f t="shared" si="21"/>
        <v>0</v>
      </c>
      <c r="AJ23" s="334">
        <f>-tanks!AW24</f>
        <v>0</v>
      </c>
      <c r="AK23" s="334">
        <f t="shared" si="22"/>
        <v>0</v>
      </c>
      <c r="AL23" s="334">
        <f t="shared" si="41"/>
        <v>0</v>
      </c>
      <c r="AM23" s="334">
        <f t="shared" si="23"/>
        <v>0</v>
      </c>
      <c r="AN23" s="64">
        <f t="shared" si="37"/>
        <v>72</v>
      </c>
      <c r="AO23" s="336">
        <f t="shared" si="24"/>
        <v>2160</v>
      </c>
      <c r="AP23" s="64">
        <f t="shared" si="37"/>
        <v>75</v>
      </c>
      <c r="AQ23" s="336">
        <f t="shared" si="25"/>
        <v>2250</v>
      </c>
      <c r="AR23" s="64">
        <f t="shared" si="37"/>
        <v>60</v>
      </c>
      <c r="AS23" s="336">
        <f t="shared" si="31"/>
        <v>1800</v>
      </c>
      <c r="AT23" s="336">
        <f t="shared" si="32"/>
        <v>6210</v>
      </c>
      <c r="AU23" s="336">
        <f t="shared" si="33"/>
        <v>0</v>
      </c>
      <c r="AV23" s="276"/>
      <c r="AW23" s="276"/>
      <c r="AX23" s="329">
        <f t="shared" si="26"/>
        <v>0.7</v>
      </c>
    </row>
    <row r="24" spans="1:50">
      <c r="A24" s="63">
        <f>ELEC!C22</f>
        <v>43971</v>
      </c>
      <c r="B24" s="64">
        <f t="shared" si="34"/>
        <v>232</v>
      </c>
      <c r="C24" s="64">
        <f t="shared" si="34"/>
        <v>239</v>
      </c>
      <c r="D24" s="45">
        <f t="shared" si="40"/>
        <v>0</v>
      </c>
      <c r="E24" s="45">
        <f t="shared" si="10"/>
        <v>0</v>
      </c>
      <c r="F24" s="64">
        <f t="shared" si="35"/>
        <v>1541</v>
      </c>
      <c r="G24" s="52">
        <f t="shared" si="1"/>
        <v>0</v>
      </c>
      <c r="H24" s="64">
        <f t="shared" si="35"/>
        <v>349488</v>
      </c>
      <c r="I24" s="417">
        <f t="shared" si="2"/>
        <v>0</v>
      </c>
      <c r="J24" s="66">
        <f t="shared" si="11"/>
        <v>0</v>
      </c>
      <c r="K24" s="64">
        <f t="shared" si="12"/>
        <v>1925</v>
      </c>
      <c r="L24" s="52">
        <f t="shared" si="3"/>
        <v>0</v>
      </c>
      <c r="M24" s="64">
        <f t="shared" si="12"/>
        <v>140981</v>
      </c>
      <c r="N24" s="417">
        <f t="shared" si="4"/>
        <v>0</v>
      </c>
      <c r="O24" s="67">
        <f t="shared" si="5"/>
        <v>0</v>
      </c>
      <c r="P24" s="64">
        <f t="shared" si="36"/>
        <v>1770</v>
      </c>
      <c r="Q24" s="64">
        <f t="shared" si="36"/>
        <v>150466</v>
      </c>
      <c r="R24" s="416">
        <f t="shared" si="38"/>
        <v>0</v>
      </c>
      <c r="S24" s="52">
        <f t="shared" ref="S24:S33" si="42">SUM(P24-P23)</f>
        <v>0</v>
      </c>
      <c r="T24" s="68">
        <f t="shared" si="27"/>
        <v>0</v>
      </c>
      <c r="U24" s="423">
        <f t="shared" si="14"/>
        <v>0</v>
      </c>
      <c r="V24" s="62">
        <f t="shared" si="15"/>
        <v>0</v>
      </c>
      <c r="W24" s="421"/>
      <c r="X24" s="64">
        <f t="shared" si="17"/>
        <v>2417</v>
      </c>
      <c r="Y24" s="52">
        <f t="shared" si="18"/>
        <v>0</v>
      </c>
      <c r="Z24" s="64">
        <f t="shared" si="17"/>
        <v>135871</v>
      </c>
      <c r="AA24" s="65">
        <f t="shared" si="7"/>
        <v>0</v>
      </c>
      <c r="AB24" s="295">
        <f t="shared" ref="AB24:AB34" si="43">SUM(Y24*$AB$2)</f>
        <v>0</v>
      </c>
      <c r="AC24" s="64">
        <f t="shared" si="19"/>
        <v>1829</v>
      </c>
      <c r="AD24" s="45">
        <f t="shared" si="8"/>
        <v>0</v>
      </c>
      <c r="AE24" s="64">
        <f t="shared" si="19"/>
        <v>359149.7</v>
      </c>
      <c r="AF24" s="322">
        <f t="shared" si="20"/>
        <v>0</v>
      </c>
      <c r="AG24" s="213">
        <f t="shared" si="29"/>
        <v>0</v>
      </c>
      <c r="AH24" s="62">
        <f t="shared" si="30"/>
        <v>0</v>
      </c>
      <c r="AI24" s="334">
        <f t="shared" si="21"/>
        <v>0</v>
      </c>
      <c r="AJ24" s="334">
        <f>-tanks!AW25</f>
        <v>0</v>
      </c>
      <c r="AK24" s="334">
        <f t="shared" si="22"/>
        <v>0</v>
      </c>
      <c r="AL24" s="334">
        <f t="shared" si="41"/>
        <v>0</v>
      </c>
      <c r="AM24" s="334">
        <f t="shared" si="23"/>
        <v>0</v>
      </c>
      <c r="AN24" s="64">
        <f t="shared" si="37"/>
        <v>72</v>
      </c>
      <c r="AO24" s="336">
        <f t="shared" si="24"/>
        <v>2160</v>
      </c>
      <c r="AP24" s="64">
        <f t="shared" si="37"/>
        <v>75</v>
      </c>
      <c r="AQ24" s="336">
        <f t="shared" si="25"/>
        <v>2250</v>
      </c>
      <c r="AR24" s="64">
        <f t="shared" si="37"/>
        <v>60</v>
      </c>
      <c r="AS24" s="336">
        <f t="shared" si="31"/>
        <v>1800</v>
      </c>
      <c r="AT24" s="336">
        <f t="shared" ref="AT24:AT34" si="44">SUM(AO24+AQ24+AS24)</f>
        <v>6210</v>
      </c>
      <c r="AU24" s="336">
        <f t="shared" si="33"/>
        <v>0</v>
      </c>
      <c r="AV24" s="276"/>
      <c r="AW24" s="276"/>
      <c r="AX24" s="329">
        <f t="shared" si="26"/>
        <v>0.7</v>
      </c>
    </row>
    <row r="25" spans="1:50" ht="13.5" customHeight="1">
      <c r="A25" s="63">
        <f>ELEC!C23</f>
        <v>43972</v>
      </c>
      <c r="B25" s="64">
        <f t="shared" si="34"/>
        <v>232</v>
      </c>
      <c r="C25" s="64">
        <f t="shared" si="34"/>
        <v>239</v>
      </c>
      <c r="D25" s="45">
        <f t="shared" si="40"/>
        <v>0</v>
      </c>
      <c r="E25" s="45">
        <f t="shared" si="10"/>
        <v>0</v>
      </c>
      <c r="F25" s="64">
        <f t="shared" si="35"/>
        <v>1541</v>
      </c>
      <c r="G25" s="52">
        <f t="shared" si="1"/>
        <v>0</v>
      </c>
      <c r="H25" s="64">
        <f t="shared" si="35"/>
        <v>349488</v>
      </c>
      <c r="I25" s="417">
        <f t="shared" si="2"/>
        <v>0</v>
      </c>
      <c r="J25" s="66">
        <f t="shared" si="11"/>
        <v>0</v>
      </c>
      <c r="K25" s="64">
        <f t="shared" si="12"/>
        <v>1925</v>
      </c>
      <c r="L25" s="52">
        <f t="shared" si="3"/>
        <v>0</v>
      </c>
      <c r="M25" s="64">
        <f t="shared" si="12"/>
        <v>140981</v>
      </c>
      <c r="N25" s="417">
        <f t="shared" si="4"/>
        <v>0</v>
      </c>
      <c r="O25" s="67">
        <f t="shared" si="5"/>
        <v>0</v>
      </c>
      <c r="P25" s="64">
        <f t="shared" si="36"/>
        <v>1770</v>
      </c>
      <c r="Q25" s="64">
        <f t="shared" si="36"/>
        <v>150466</v>
      </c>
      <c r="R25" s="416">
        <f t="shared" si="38"/>
        <v>0</v>
      </c>
      <c r="S25" s="52">
        <f t="shared" si="42"/>
        <v>0</v>
      </c>
      <c r="T25" s="68">
        <f t="shared" si="27"/>
        <v>0</v>
      </c>
      <c r="U25" s="423">
        <f t="shared" si="14"/>
        <v>0</v>
      </c>
      <c r="V25" s="62">
        <f t="shared" si="15"/>
        <v>0</v>
      </c>
      <c r="W25" s="421"/>
      <c r="X25" s="64">
        <f t="shared" si="17"/>
        <v>2417</v>
      </c>
      <c r="Y25" s="52">
        <f t="shared" si="18"/>
        <v>0</v>
      </c>
      <c r="Z25" s="64">
        <f t="shared" si="17"/>
        <v>135871</v>
      </c>
      <c r="AA25" s="65">
        <f t="shared" si="7"/>
        <v>0</v>
      </c>
      <c r="AB25" s="295">
        <f t="shared" si="43"/>
        <v>0</v>
      </c>
      <c r="AC25" s="64">
        <f t="shared" si="19"/>
        <v>1829</v>
      </c>
      <c r="AD25" s="45">
        <f t="shared" si="8"/>
        <v>0</v>
      </c>
      <c r="AE25" s="64">
        <f t="shared" si="19"/>
        <v>359149.7</v>
      </c>
      <c r="AF25" s="322">
        <f t="shared" si="20"/>
        <v>0</v>
      </c>
      <c r="AG25" s="213">
        <f t="shared" si="29"/>
        <v>0</v>
      </c>
      <c r="AH25" s="62">
        <f t="shared" si="30"/>
        <v>0</v>
      </c>
      <c r="AI25" s="334">
        <f t="shared" si="21"/>
        <v>0</v>
      </c>
      <c r="AJ25" s="334">
        <f>-tanks!AW26</f>
        <v>0</v>
      </c>
      <c r="AK25" s="334">
        <f t="shared" si="22"/>
        <v>0</v>
      </c>
      <c r="AL25" s="334">
        <f t="shared" si="41"/>
        <v>0</v>
      </c>
      <c r="AM25" s="334">
        <f t="shared" si="23"/>
        <v>0</v>
      </c>
      <c r="AN25" s="64">
        <f t="shared" si="37"/>
        <v>72</v>
      </c>
      <c r="AO25" s="336">
        <f t="shared" si="24"/>
        <v>2160</v>
      </c>
      <c r="AP25" s="64">
        <f t="shared" si="37"/>
        <v>75</v>
      </c>
      <c r="AQ25" s="336">
        <f t="shared" ref="AQ25:AQ34" si="45">(AP25/100)*3000</f>
        <v>2250</v>
      </c>
      <c r="AR25" s="64">
        <f t="shared" si="37"/>
        <v>60</v>
      </c>
      <c r="AS25" s="336">
        <f t="shared" si="31"/>
        <v>1800</v>
      </c>
      <c r="AT25" s="336">
        <f t="shared" si="44"/>
        <v>6210</v>
      </c>
      <c r="AU25" s="336">
        <f t="shared" si="33"/>
        <v>0</v>
      </c>
      <c r="AV25" s="276"/>
      <c r="AW25" s="276"/>
      <c r="AX25" s="329">
        <f t="shared" si="26"/>
        <v>0.7</v>
      </c>
    </row>
    <row r="26" spans="1:50" ht="14.25" customHeight="1">
      <c r="A26" s="63">
        <f>ELEC!C24</f>
        <v>43973</v>
      </c>
      <c r="B26" s="64">
        <f t="shared" si="34"/>
        <v>232</v>
      </c>
      <c r="C26" s="64">
        <f t="shared" si="34"/>
        <v>239</v>
      </c>
      <c r="D26" s="45">
        <f t="shared" si="40"/>
        <v>0</v>
      </c>
      <c r="E26" s="45">
        <f t="shared" si="10"/>
        <v>0</v>
      </c>
      <c r="F26" s="64">
        <f t="shared" si="35"/>
        <v>1541</v>
      </c>
      <c r="G26" s="52">
        <f t="shared" si="1"/>
        <v>0</v>
      </c>
      <c r="H26" s="64">
        <f t="shared" si="35"/>
        <v>349488</v>
      </c>
      <c r="I26" s="417">
        <f t="shared" si="2"/>
        <v>0</v>
      </c>
      <c r="J26" s="66">
        <f t="shared" si="11"/>
        <v>0</v>
      </c>
      <c r="K26" s="64">
        <f t="shared" si="12"/>
        <v>1925</v>
      </c>
      <c r="L26" s="52">
        <f t="shared" si="3"/>
        <v>0</v>
      </c>
      <c r="M26" s="64">
        <f t="shared" si="12"/>
        <v>140981</v>
      </c>
      <c r="N26" s="417">
        <f t="shared" si="4"/>
        <v>0</v>
      </c>
      <c r="O26" s="67">
        <f t="shared" si="5"/>
        <v>0</v>
      </c>
      <c r="P26" s="64">
        <f t="shared" si="36"/>
        <v>1770</v>
      </c>
      <c r="Q26" s="64">
        <f t="shared" si="36"/>
        <v>150466</v>
      </c>
      <c r="R26" s="416">
        <f t="shared" si="38"/>
        <v>0</v>
      </c>
      <c r="S26" s="52">
        <f t="shared" si="42"/>
        <v>0</v>
      </c>
      <c r="T26" s="68">
        <f t="shared" si="27"/>
        <v>0</v>
      </c>
      <c r="U26" s="423">
        <f t="shared" si="14"/>
        <v>0</v>
      </c>
      <c r="V26" s="62">
        <f t="shared" si="15"/>
        <v>0</v>
      </c>
      <c r="W26" s="421"/>
      <c r="X26" s="64">
        <f t="shared" si="17"/>
        <v>2417</v>
      </c>
      <c r="Y26" s="52">
        <f t="shared" si="18"/>
        <v>0</v>
      </c>
      <c r="Z26" s="64">
        <f t="shared" si="17"/>
        <v>135871</v>
      </c>
      <c r="AA26" s="65">
        <f t="shared" si="7"/>
        <v>0</v>
      </c>
      <c r="AB26" s="295">
        <f t="shared" si="43"/>
        <v>0</v>
      </c>
      <c r="AC26" s="64">
        <f t="shared" si="19"/>
        <v>1829</v>
      </c>
      <c r="AD26" s="45">
        <f t="shared" si="8"/>
        <v>0</v>
      </c>
      <c r="AE26" s="64">
        <f t="shared" si="19"/>
        <v>359149.7</v>
      </c>
      <c r="AF26" s="322">
        <f t="shared" si="20"/>
        <v>0</v>
      </c>
      <c r="AG26" s="213">
        <f t="shared" si="29"/>
        <v>0</v>
      </c>
      <c r="AH26" s="62">
        <f t="shared" si="30"/>
        <v>0</v>
      </c>
      <c r="AI26" s="334">
        <f t="shared" si="21"/>
        <v>0</v>
      </c>
      <c r="AJ26" s="334">
        <f>-tanks!AW27</f>
        <v>0</v>
      </c>
      <c r="AK26" s="334">
        <f t="shared" si="22"/>
        <v>0</v>
      </c>
      <c r="AL26" s="334">
        <f t="shared" si="41"/>
        <v>0</v>
      </c>
      <c r="AM26" s="334">
        <f t="shared" si="23"/>
        <v>0</v>
      </c>
      <c r="AN26" s="64">
        <f t="shared" si="37"/>
        <v>72</v>
      </c>
      <c r="AO26" s="336">
        <f t="shared" si="24"/>
        <v>2160</v>
      </c>
      <c r="AP26" s="64">
        <f t="shared" si="37"/>
        <v>75</v>
      </c>
      <c r="AQ26" s="336">
        <f t="shared" si="45"/>
        <v>2250</v>
      </c>
      <c r="AR26" s="64">
        <f t="shared" si="37"/>
        <v>60</v>
      </c>
      <c r="AS26" s="336">
        <f t="shared" si="31"/>
        <v>1800</v>
      </c>
      <c r="AT26" s="336">
        <f t="shared" si="44"/>
        <v>6210</v>
      </c>
      <c r="AU26" s="336">
        <f t="shared" si="33"/>
        <v>0</v>
      </c>
      <c r="AV26" s="276"/>
      <c r="AW26" s="276"/>
      <c r="AX26" s="329">
        <f t="shared" si="26"/>
        <v>0.7</v>
      </c>
    </row>
    <row r="27" spans="1:50">
      <c r="A27" s="63">
        <f>ELEC!C25</f>
        <v>43974</v>
      </c>
      <c r="B27" s="64">
        <f t="shared" si="34"/>
        <v>232</v>
      </c>
      <c r="C27" s="64">
        <f t="shared" si="34"/>
        <v>239</v>
      </c>
      <c r="D27" s="45">
        <f t="shared" si="40"/>
        <v>0</v>
      </c>
      <c r="E27" s="45">
        <f t="shared" si="10"/>
        <v>0</v>
      </c>
      <c r="F27" s="64">
        <f t="shared" si="35"/>
        <v>1541</v>
      </c>
      <c r="G27" s="52">
        <f t="shared" si="1"/>
        <v>0</v>
      </c>
      <c r="H27" s="64">
        <f t="shared" si="35"/>
        <v>349488</v>
      </c>
      <c r="I27" s="417">
        <f t="shared" si="2"/>
        <v>0</v>
      </c>
      <c r="J27" s="66">
        <f t="shared" si="11"/>
        <v>0</v>
      </c>
      <c r="K27" s="64">
        <f t="shared" si="12"/>
        <v>1925</v>
      </c>
      <c r="L27" s="52">
        <f t="shared" si="3"/>
        <v>0</v>
      </c>
      <c r="M27" s="64">
        <f t="shared" si="12"/>
        <v>140981</v>
      </c>
      <c r="N27" s="417">
        <f t="shared" si="4"/>
        <v>0</v>
      </c>
      <c r="O27" s="67">
        <f t="shared" si="5"/>
        <v>0</v>
      </c>
      <c r="P27" s="64">
        <f t="shared" si="36"/>
        <v>1770</v>
      </c>
      <c r="Q27" s="64">
        <f t="shared" si="36"/>
        <v>150466</v>
      </c>
      <c r="R27" s="416">
        <f t="shared" si="38"/>
        <v>0</v>
      </c>
      <c r="S27" s="52">
        <f t="shared" si="42"/>
        <v>0</v>
      </c>
      <c r="T27" s="68">
        <f t="shared" si="27"/>
        <v>0</v>
      </c>
      <c r="U27" s="423">
        <f t="shared" si="14"/>
        <v>0</v>
      </c>
      <c r="V27" s="62">
        <f t="shared" si="15"/>
        <v>0</v>
      </c>
      <c r="W27" s="421"/>
      <c r="X27" s="64">
        <f t="shared" si="17"/>
        <v>2417</v>
      </c>
      <c r="Y27" s="52">
        <f t="shared" si="18"/>
        <v>0</v>
      </c>
      <c r="Z27" s="64">
        <f t="shared" si="17"/>
        <v>135871</v>
      </c>
      <c r="AA27" s="65">
        <f t="shared" si="7"/>
        <v>0</v>
      </c>
      <c r="AB27" s="295">
        <f t="shared" si="43"/>
        <v>0</v>
      </c>
      <c r="AC27" s="64">
        <f t="shared" si="19"/>
        <v>1829</v>
      </c>
      <c r="AD27" s="45">
        <f t="shared" si="8"/>
        <v>0</v>
      </c>
      <c r="AE27" s="64">
        <f t="shared" si="19"/>
        <v>359149.7</v>
      </c>
      <c r="AF27" s="322">
        <f t="shared" si="20"/>
        <v>0</v>
      </c>
      <c r="AG27" s="213">
        <f t="shared" si="29"/>
        <v>0</v>
      </c>
      <c r="AH27" s="62">
        <f t="shared" si="30"/>
        <v>0</v>
      </c>
      <c r="AI27" s="334">
        <f t="shared" si="21"/>
        <v>0</v>
      </c>
      <c r="AJ27" s="334">
        <f>-tanks!AW28</f>
        <v>0</v>
      </c>
      <c r="AK27" s="334">
        <f t="shared" si="22"/>
        <v>0</v>
      </c>
      <c r="AL27" s="334">
        <f t="shared" si="41"/>
        <v>0</v>
      </c>
      <c r="AM27" s="334">
        <f t="shared" si="23"/>
        <v>0</v>
      </c>
      <c r="AN27" s="64">
        <f t="shared" si="37"/>
        <v>72</v>
      </c>
      <c r="AO27" s="336">
        <f>(AN27/100)*3000</f>
        <v>2160</v>
      </c>
      <c r="AP27" s="64">
        <f t="shared" si="37"/>
        <v>75</v>
      </c>
      <c r="AQ27" s="336">
        <f t="shared" si="45"/>
        <v>2250</v>
      </c>
      <c r="AR27" s="64">
        <f t="shared" si="37"/>
        <v>60</v>
      </c>
      <c r="AS27" s="336">
        <f t="shared" si="31"/>
        <v>1800</v>
      </c>
      <c r="AT27" s="336">
        <f t="shared" si="44"/>
        <v>6210</v>
      </c>
      <c r="AU27" s="336">
        <f t="shared" si="33"/>
        <v>0</v>
      </c>
      <c r="AV27" s="276"/>
      <c r="AW27" s="532"/>
      <c r="AX27" s="329">
        <f t="shared" si="26"/>
        <v>0.7</v>
      </c>
    </row>
    <row r="28" spans="1:50">
      <c r="A28" s="63">
        <f>ELEC!C26</f>
        <v>43975</v>
      </c>
      <c r="B28" s="64">
        <f t="shared" si="34"/>
        <v>232</v>
      </c>
      <c r="C28" s="64">
        <f t="shared" si="34"/>
        <v>239</v>
      </c>
      <c r="D28" s="45">
        <f t="shared" si="40"/>
        <v>0</v>
      </c>
      <c r="E28" s="45">
        <f t="shared" si="10"/>
        <v>0</v>
      </c>
      <c r="F28" s="64">
        <f t="shared" si="35"/>
        <v>1541</v>
      </c>
      <c r="G28" s="52">
        <f t="shared" si="1"/>
        <v>0</v>
      </c>
      <c r="H28" s="64">
        <f t="shared" si="35"/>
        <v>349488</v>
      </c>
      <c r="I28" s="417">
        <f t="shared" si="2"/>
        <v>0</v>
      </c>
      <c r="J28" s="66">
        <f t="shared" si="11"/>
        <v>0</v>
      </c>
      <c r="K28" s="64">
        <f t="shared" si="12"/>
        <v>1925</v>
      </c>
      <c r="L28" s="52">
        <f t="shared" si="3"/>
        <v>0</v>
      </c>
      <c r="M28" s="64">
        <f t="shared" si="12"/>
        <v>140981</v>
      </c>
      <c r="N28" s="417">
        <f t="shared" si="4"/>
        <v>0</v>
      </c>
      <c r="O28" s="67">
        <f t="shared" si="5"/>
        <v>0</v>
      </c>
      <c r="P28" s="64">
        <f t="shared" si="36"/>
        <v>1770</v>
      </c>
      <c r="Q28" s="64">
        <f t="shared" si="36"/>
        <v>150466</v>
      </c>
      <c r="R28" s="416">
        <f t="shared" si="38"/>
        <v>0</v>
      </c>
      <c r="S28" s="52">
        <f t="shared" si="42"/>
        <v>0</v>
      </c>
      <c r="T28" s="68">
        <f t="shared" si="27"/>
        <v>0</v>
      </c>
      <c r="U28" s="423">
        <f t="shared" si="14"/>
        <v>0</v>
      </c>
      <c r="V28" s="62">
        <f t="shared" si="15"/>
        <v>0</v>
      </c>
      <c r="W28" s="421"/>
      <c r="X28" s="64">
        <f t="shared" si="17"/>
        <v>2417</v>
      </c>
      <c r="Y28" s="52">
        <f t="shared" si="18"/>
        <v>0</v>
      </c>
      <c r="Z28" s="64">
        <f t="shared" si="17"/>
        <v>135871</v>
      </c>
      <c r="AA28" s="65">
        <f t="shared" si="7"/>
        <v>0</v>
      </c>
      <c r="AB28" s="295">
        <f t="shared" si="43"/>
        <v>0</v>
      </c>
      <c r="AC28" s="64">
        <f t="shared" si="19"/>
        <v>1829</v>
      </c>
      <c r="AD28" s="45">
        <f t="shared" si="8"/>
        <v>0</v>
      </c>
      <c r="AE28" s="64">
        <f t="shared" si="19"/>
        <v>359149.7</v>
      </c>
      <c r="AF28" s="322">
        <f t="shared" si="20"/>
        <v>0</v>
      </c>
      <c r="AG28" s="213">
        <f t="shared" si="29"/>
        <v>0</v>
      </c>
      <c r="AH28" s="62">
        <f t="shared" si="30"/>
        <v>0</v>
      </c>
      <c r="AI28" s="334">
        <f t="shared" si="21"/>
        <v>0</v>
      </c>
      <c r="AJ28" s="334">
        <f>-tanks!AW29</f>
        <v>0</v>
      </c>
      <c r="AK28" s="334">
        <f t="shared" si="22"/>
        <v>0</v>
      </c>
      <c r="AL28" s="334">
        <f t="shared" si="41"/>
        <v>0</v>
      </c>
      <c r="AM28" s="334">
        <f t="shared" si="23"/>
        <v>0</v>
      </c>
      <c r="AN28" s="64">
        <f t="shared" si="37"/>
        <v>72</v>
      </c>
      <c r="AO28" s="336">
        <f t="shared" ref="AO28:AO34" si="46">(AN28/100)*3000</f>
        <v>2160</v>
      </c>
      <c r="AP28" s="64">
        <f t="shared" si="37"/>
        <v>75</v>
      </c>
      <c r="AQ28" s="336">
        <f t="shared" si="45"/>
        <v>2250</v>
      </c>
      <c r="AR28" s="64">
        <f t="shared" si="37"/>
        <v>60</v>
      </c>
      <c r="AS28" s="336">
        <f t="shared" si="31"/>
        <v>1800</v>
      </c>
      <c r="AT28" s="336">
        <f t="shared" si="44"/>
        <v>6210</v>
      </c>
      <c r="AU28" s="336">
        <f t="shared" si="33"/>
        <v>0</v>
      </c>
      <c r="AV28" s="276"/>
      <c r="AW28" s="276"/>
      <c r="AX28" s="329">
        <f t="shared" si="26"/>
        <v>0.7</v>
      </c>
    </row>
    <row r="29" spans="1:50">
      <c r="A29" s="63">
        <f>ELEC!C27</f>
        <v>43976</v>
      </c>
      <c r="B29" s="64">
        <f t="shared" si="34"/>
        <v>232</v>
      </c>
      <c r="C29" s="64">
        <f t="shared" si="34"/>
        <v>239</v>
      </c>
      <c r="D29" s="45">
        <f t="shared" si="40"/>
        <v>0</v>
      </c>
      <c r="E29" s="45">
        <f t="shared" si="10"/>
        <v>0</v>
      </c>
      <c r="F29" s="64">
        <f t="shared" si="35"/>
        <v>1541</v>
      </c>
      <c r="G29" s="52">
        <f t="shared" si="1"/>
        <v>0</v>
      </c>
      <c r="H29" s="64">
        <f t="shared" si="35"/>
        <v>349488</v>
      </c>
      <c r="I29" s="417">
        <f t="shared" si="2"/>
        <v>0</v>
      </c>
      <c r="J29" s="66">
        <f t="shared" si="11"/>
        <v>0</v>
      </c>
      <c r="K29" s="64">
        <f t="shared" si="12"/>
        <v>1925</v>
      </c>
      <c r="L29" s="52">
        <f t="shared" si="3"/>
        <v>0</v>
      </c>
      <c r="M29" s="64">
        <f t="shared" si="12"/>
        <v>140981</v>
      </c>
      <c r="N29" s="417">
        <f t="shared" si="4"/>
        <v>0</v>
      </c>
      <c r="O29" s="67">
        <f t="shared" si="5"/>
        <v>0</v>
      </c>
      <c r="P29" s="64">
        <f t="shared" si="36"/>
        <v>1770</v>
      </c>
      <c r="Q29" s="64">
        <f t="shared" si="36"/>
        <v>150466</v>
      </c>
      <c r="R29" s="416">
        <f t="shared" si="38"/>
        <v>0</v>
      </c>
      <c r="S29" s="52">
        <f t="shared" si="42"/>
        <v>0</v>
      </c>
      <c r="T29" s="68">
        <f t="shared" si="27"/>
        <v>0</v>
      </c>
      <c r="U29" s="423">
        <f t="shared" si="14"/>
        <v>0</v>
      </c>
      <c r="V29" s="62">
        <f t="shared" si="15"/>
        <v>0</v>
      </c>
      <c r="W29" s="421"/>
      <c r="X29" s="64">
        <f t="shared" si="17"/>
        <v>2417</v>
      </c>
      <c r="Y29" s="52">
        <f t="shared" si="18"/>
        <v>0</v>
      </c>
      <c r="Z29" s="64">
        <f t="shared" si="17"/>
        <v>135871</v>
      </c>
      <c r="AA29" s="65">
        <f t="shared" si="7"/>
        <v>0</v>
      </c>
      <c r="AB29" s="295">
        <f t="shared" si="43"/>
        <v>0</v>
      </c>
      <c r="AC29" s="64">
        <f t="shared" si="19"/>
        <v>1829</v>
      </c>
      <c r="AD29" s="45">
        <f t="shared" si="8"/>
        <v>0</v>
      </c>
      <c r="AE29" s="64">
        <f t="shared" si="19"/>
        <v>359149.7</v>
      </c>
      <c r="AF29" s="322">
        <f t="shared" si="20"/>
        <v>0</v>
      </c>
      <c r="AG29" s="213">
        <f t="shared" si="29"/>
        <v>0</v>
      </c>
      <c r="AH29" s="62">
        <f t="shared" si="30"/>
        <v>0</v>
      </c>
      <c r="AI29" s="334">
        <f t="shared" si="21"/>
        <v>0</v>
      </c>
      <c r="AJ29" s="334">
        <f>-tanks!AW30</f>
        <v>0</v>
      </c>
      <c r="AK29" s="334">
        <f t="shared" si="22"/>
        <v>0</v>
      </c>
      <c r="AL29" s="334">
        <f t="shared" si="41"/>
        <v>0</v>
      </c>
      <c r="AM29" s="334">
        <f t="shared" si="23"/>
        <v>0</v>
      </c>
      <c r="AN29" s="64">
        <f t="shared" si="37"/>
        <v>72</v>
      </c>
      <c r="AO29" s="336">
        <f t="shared" si="46"/>
        <v>2160</v>
      </c>
      <c r="AP29" s="64">
        <f t="shared" si="37"/>
        <v>75</v>
      </c>
      <c r="AQ29" s="336">
        <f t="shared" si="45"/>
        <v>2250</v>
      </c>
      <c r="AR29" s="64">
        <f t="shared" si="37"/>
        <v>60</v>
      </c>
      <c r="AS29" s="336">
        <f t="shared" si="31"/>
        <v>1800</v>
      </c>
      <c r="AT29" s="336">
        <f>SUM(AO29+AQ29+AS29)</f>
        <v>6210</v>
      </c>
      <c r="AU29" s="336">
        <f>AT28-AT29+AV29</f>
        <v>0</v>
      </c>
      <c r="AV29" s="276"/>
      <c r="AW29" s="276"/>
      <c r="AX29" s="329">
        <f t="shared" si="26"/>
        <v>0.7</v>
      </c>
    </row>
    <row r="30" spans="1:50">
      <c r="A30" s="63">
        <f>ELEC!C28</f>
        <v>43977</v>
      </c>
      <c r="B30" s="64">
        <f t="shared" si="34"/>
        <v>232</v>
      </c>
      <c r="C30" s="64">
        <f t="shared" si="34"/>
        <v>239</v>
      </c>
      <c r="D30" s="45">
        <f t="shared" si="40"/>
        <v>0</v>
      </c>
      <c r="E30" s="45">
        <f t="shared" si="10"/>
        <v>0</v>
      </c>
      <c r="F30" s="64">
        <f t="shared" si="35"/>
        <v>1541</v>
      </c>
      <c r="G30" s="52">
        <f t="shared" si="1"/>
        <v>0</v>
      </c>
      <c r="H30" s="64">
        <f t="shared" si="35"/>
        <v>349488</v>
      </c>
      <c r="I30" s="417">
        <f t="shared" si="2"/>
        <v>0</v>
      </c>
      <c r="J30" s="66">
        <f t="shared" si="11"/>
        <v>0</v>
      </c>
      <c r="K30" s="64">
        <f t="shared" si="12"/>
        <v>1925</v>
      </c>
      <c r="L30" s="52">
        <f t="shared" si="3"/>
        <v>0</v>
      </c>
      <c r="M30" s="64">
        <f t="shared" si="12"/>
        <v>140981</v>
      </c>
      <c r="N30" s="417">
        <f t="shared" si="4"/>
        <v>0</v>
      </c>
      <c r="O30" s="67">
        <f t="shared" si="5"/>
        <v>0</v>
      </c>
      <c r="P30" s="64">
        <f t="shared" si="36"/>
        <v>1770</v>
      </c>
      <c r="Q30" s="64">
        <f t="shared" si="36"/>
        <v>150466</v>
      </c>
      <c r="R30" s="416">
        <f t="shared" si="38"/>
        <v>0</v>
      </c>
      <c r="S30" s="52">
        <f t="shared" si="42"/>
        <v>0</v>
      </c>
      <c r="T30" s="68">
        <f t="shared" si="27"/>
        <v>0</v>
      </c>
      <c r="U30" s="423">
        <f t="shared" si="14"/>
        <v>0</v>
      </c>
      <c r="V30" s="62">
        <f t="shared" si="15"/>
        <v>0</v>
      </c>
      <c r="W30" s="421"/>
      <c r="X30" s="64">
        <f t="shared" si="17"/>
        <v>2417</v>
      </c>
      <c r="Y30" s="52">
        <f t="shared" si="18"/>
        <v>0</v>
      </c>
      <c r="Z30" s="64">
        <f t="shared" si="17"/>
        <v>135871</v>
      </c>
      <c r="AA30" s="65">
        <f t="shared" si="7"/>
        <v>0</v>
      </c>
      <c r="AB30" s="295">
        <f t="shared" si="43"/>
        <v>0</v>
      </c>
      <c r="AC30" s="64">
        <f t="shared" si="19"/>
        <v>1829</v>
      </c>
      <c r="AD30" s="45">
        <f t="shared" si="8"/>
        <v>0</v>
      </c>
      <c r="AE30" s="64">
        <f t="shared" si="19"/>
        <v>359149.7</v>
      </c>
      <c r="AF30" s="322">
        <f t="shared" si="20"/>
        <v>0</v>
      </c>
      <c r="AG30" s="213">
        <f t="shared" si="29"/>
        <v>0</v>
      </c>
      <c r="AH30" s="62">
        <f t="shared" si="30"/>
        <v>0</v>
      </c>
      <c r="AI30" s="334">
        <f t="shared" si="21"/>
        <v>0</v>
      </c>
      <c r="AJ30" s="334">
        <f>-tanks!AW31</f>
        <v>0</v>
      </c>
      <c r="AK30" s="334">
        <f t="shared" si="22"/>
        <v>0</v>
      </c>
      <c r="AL30" s="334">
        <f t="shared" si="41"/>
        <v>0</v>
      </c>
      <c r="AM30" s="334">
        <f t="shared" si="23"/>
        <v>0</v>
      </c>
      <c r="AN30" s="64">
        <f t="shared" si="37"/>
        <v>72</v>
      </c>
      <c r="AO30" s="336">
        <f t="shared" si="46"/>
        <v>2160</v>
      </c>
      <c r="AP30" s="64">
        <f t="shared" si="37"/>
        <v>75</v>
      </c>
      <c r="AQ30" s="336">
        <f t="shared" si="45"/>
        <v>2250</v>
      </c>
      <c r="AR30" s="64">
        <f t="shared" si="37"/>
        <v>60</v>
      </c>
      <c r="AS30" s="336">
        <f t="shared" si="31"/>
        <v>1800</v>
      </c>
      <c r="AT30" s="336">
        <f t="shared" si="44"/>
        <v>6210</v>
      </c>
      <c r="AU30" s="336">
        <f t="shared" si="33"/>
        <v>0</v>
      </c>
      <c r="AV30" s="276"/>
      <c r="AW30" s="276"/>
      <c r="AX30" s="329">
        <f t="shared" si="26"/>
        <v>0.7</v>
      </c>
    </row>
    <row r="31" spans="1:50">
      <c r="A31" s="63">
        <f>ELEC!C29</f>
        <v>43978</v>
      </c>
      <c r="B31" s="64">
        <f t="shared" si="34"/>
        <v>232</v>
      </c>
      <c r="C31" s="64">
        <f t="shared" si="34"/>
        <v>239</v>
      </c>
      <c r="D31" s="45">
        <f t="shared" si="40"/>
        <v>0</v>
      </c>
      <c r="E31" s="45">
        <f t="shared" si="10"/>
        <v>0</v>
      </c>
      <c r="F31" s="64">
        <f t="shared" si="35"/>
        <v>1541</v>
      </c>
      <c r="G31" s="52">
        <f t="shared" si="1"/>
        <v>0</v>
      </c>
      <c r="H31" s="64">
        <f t="shared" si="35"/>
        <v>349488</v>
      </c>
      <c r="I31" s="417">
        <f t="shared" si="2"/>
        <v>0</v>
      </c>
      <c r="J31" s="66">
        <f t="shared" si="11"/>
        <v>0</v>
      </c>
      <c r="K31" s="64">
        <f t="shared" si="12"/>
        <v>1925</v>
      </c>
      <c r="L31" s="52">
        <f t="shared" si="3"/>
        <v>0</v>
      </c>
      <c r="M31" s="64">
        <f t="shared" si="12"/>
        <v>140981</v>
      </c>
      <c r="N31" s="417">
        <f>M31-M30</f>
        <v>0</v>
      </c>
      <c r="O31" s="67">
        <f t="shared" si="5"/>
        <v>0</v>
      </c>
      <c r="P31" s="64">
        <f t="shared" si="36"/>
        <v>1770</v>
      </c>
      <c r="Q31" s="64">
        <f t="shared" si="36"/>
        <v>150466</v>
      </c>
      <c r="R31" s="416">
        <f t="shared" si="38"/>
        <v>0</v>
      </c>
      <c r="S31" s="52">
        <f t="shared" si="42"/>
        <v>0</v>
      </c>
      <c r="T31" s="68">
        <f t="shared" si="27"/>
        <v>0</v>
      </c>
      <c r="U31" s="423">
        <f t="shared" si="14"/>
        <v>0</v>
      </c>
      <c r="V31" s="62">
        <f t="shared" si="15"/>
        <v>0</v>
      </c>
      <c r="W31" s="421"/>
      <c r="X31" s="64">
        <f t="shared" si="17"/>
        <v>2417</v>
      </c>
      <c r="Y31" s="52">
        <f t="shared" si="18"/>
        <v>0</v>
      </c>
      <c r="Z31" s="64">
        <f t="shared" si="17"/>
        <v>135871</v>
      </c>
      <c r="AA31" s="65">
        <f t="shared" si="7"/>
        <v>0</v>
      </c>
      <c r="AB31" s="295">
        <f t="shared" si="43"/>
        <v>0</v>
      </c>
      <c r="AC31" s="64">
        <f t="shared" si="19"/>
        <v>1829</v>
      </c>
      <c r="AD31" s="276">
        <f t="shared" si="8"/>
        <v>0</v>
      </c>
      <c r="AE31" s="64">
        <f t="shared" si="19"/>
        <v>359149.7</v>
      </c>
      <c r="AF31" s="322">
        <f t="shared" si="20"/>
        <v>0</v>
      </c>
      <c r="AG31" s="213">
        <f t="shared" si="29"/>
        <v>0</v>
      </c>
      <c r="AH31" s="62">
        <f t="shared" si="30"/>
        <v>0</v>
      </c>
      <c r="AI31" s="334">
        <f t="shared" si="21"/>
        <v>0</v>
      </c>
      <c r="AJ31" s="334">
        <f>-tanks!AW32</f>
        <v>0</v>
      </c>
      <c r="AK31" s="334">
        <f t="shared" si="22"/>
        <v>0</v>
      </c>
      <c r="AL31" s="334">
        <f t="shared" si="41"/>
        <v>0</v>
      </c>
      <c r="AM31" s="334">
        <f t="shared" si="23"/>
        <v>0</v>
      </c>
      <c r="AN31" s="64">
        <f t="shared" si="37"/>
        <v>72</v>
      </c>
      <c r="AO31" s="336">
        <f t="shared" si="46"/>
        <v>2160</v>
      </c>
      <c r="AP31" s="64">
        <f t="shared" si="37"/>
        <v>75</v>
      </c>
      <c r="AQ31" s="336">
        <f t="shared" si="45"/>
        <v>2250</v>
      </c>
      <c r="AR31" s="64">
        <f t="shared" si="37"/>
        <v>60</v>
      </c>
      <c r="AS31" s="336">
        <f t="shared" si="31"/>
        <v>1800</v>
      </c>
      <c r="AT31" s="336">
        <f t="shared" si="44"/>
        <v>6210</v>
      </c>
      <c r="AU31" s="336">
        <f t="shared" si="33"/>
        <v>0</v>
      </c>
      <c r="AV31" s="276"/>
      <c r="AW31" s="276"/>
      <c r="AX31" s="329">
        <f t="shared" si="26"/>
        <v>0.7</v>
      </c>
    </row>
    <row r="32" spans="1:50">
      <c r="A32" s="63">
        <f>ELEC!C30</f>
        <v>43979</v>
      </c>
      <c r="B32" s="64">
        <f t="shared" si="34"/>
        <v>232</v>
      </c>
      <c r="C32" s="64">
        <f t="shared" si="34"/>
        <v>239</v>
      </c>
      <c r="D32" s="45">
        <f t="shared" si="0"/>
        <v>0</v>
      </c>
      <c r="E32" s="45">
        <f t="shared" ref="E32:E34" si="47">D32*8.38</f>
        <v>0</v>
      </c>
      <c r="F32" s="64">
        <f t="shared" si="35"/>
        <v>1541</v>
      </c>
      <c r="G32" s="52">
        <f t="shared" si="1"/>
        <v>0</v>
      </c>
      <c r="H32" s="64">
        <f t="shared" si="35"/>
        <v>349488</v>
      </c>
      <c r="I32" s="417">
        <f t="shared" si="2"/>
        <v>0</v>
      </c>
      <c r="J32" s="66">
        <f t="shared" si="11"/>
        <v>0</v>
      </c>
      <c r="K32" s="64">
        <f t="shared" si="12"/>
        <v>1925</v>
      </c>
      <c r="L32" s="52">
        <f t="shared" si="3"/>
        <v>0</v>
      </c>
      <c r="M32" s="64">
        <f t="shared" si="12"/>
        <v>140981</v>
      </c>
      <c r="N32" s="417">
        <f>M32-M31</f>
        <v>0</v>
      </c>
      <c r="O32" s="67">
        <f t="shared" si="5"/>
        <v>0</v>
      </c>
      <c r="P32" s="64">
        <f t="shared" si="36"/>
        <v>1770</v>
      </c>
      <c r="Q32" s="64">
        <f t="shared" si="36"/>
        <v>150466</v>
      </c>
      <c r="R32" s="416">
        <f t="shared" si="38"/>
        <v>0</v>
      </c>
      <c r="S32" s="52">
        <f t="shared" si="42"/>
        <v>0</v>
      </c>
      <c r="T32" s="68">
        <f t="shared" si="27"/>
        <v>0</v>
      </c>
      <c r="U32" s="423">
        <f t="shared" si="14"/>
        <v>0</v>
      </c>
      <c r="V32" s="62">
        <f t="shared" si="15"/>
        <v>0</v>
      </c>
      <c r="W32" s="421"/>
      <c r="X32" s="64">
        <f t="shared" si="17"/>
        <v>2417</v>
      </c>
      <c r="Y32" s="52">
        <f t="shared" si="18"/>
        <v>0</v>
      </c>
      <c r="Z32" s="64">
        <f t="shared" si="17"/>
        <v>135871</v>
      </c>
      <c r="AA32" s="65">
        <f t="shared" si="7"/>
        <v>0</v>
      </c>
      <c r="AB32" s="295">
        <f t="shared" si="43"/>
        <v>0</v>
      </c>
      <c r="AC32" s="64">
        <f t="shared" si="19"/>
        <v>1829</v>
      </c>
      <c r="AD32" s="276">
        <f t="shared" si="8"/>
        <v>0</v>
      </c>
      <c r="AE32" s="64">
        <f t="shared" si="19"/>
        <v>359149.7</v>
      </c>
      <c r="AF32" s="322">
        <f t="shared" si="20"/>
        <v>0</v>
      </c>
      <c r="AG32" s="213">
        <f t="shared" si="29"/>
        <v>0</v>
      </c>
      <c r="AH32" s="62">
        <f t="shared" si="30"/>
        <v>0</v>
      </c>
      <c r="AI32" s="334">
        <f t="shared" si="21"/>
        <v>0</v>
      </c>
      <c r="AJ32" s="334">
        <f>-tanks!AW33</f>
        <v>0</v>
      </c>
      <c r="AK32" s="334">
        <f t="shared" si="22"/>
        <v>0</v>
      </c>
      <c r="AL32" s="334">
        <f t="shared" si="41"/>
        <v>0</v>
      </c>
      <c r="AM32" s="334">
        <f t="shared" si="23"/>
        <v>0</v>
      </c>
      <c r="AN32" s="64">
        <f t="shared" si="37"/>
        <v>72</v>
      </c>
      <c r="AO32" s="336">
        <f t="shared" si="46"/>
        <v>2160</v>
      </c>
      <c r="AP32" s="64">
        <f t="shared" si="37"/>
        <v>75</v>
      </c>
      <c r="AQ32" s="336">
        <f t="shared" si="45"/>
        <v>2250</v>
      </c>
      <c r="AR32" s="64">
        <f t="shared" si="37"/>
        <v>60</v>
      </c>
      <c r="AS32" s="336">
        <f t="shared" si="31"/>
        <v>1800</v>
      </c>
      <c r="AT32" s="336">
        <f t="shared" si="44"/>
        <v>6210</v>
      </c>
      <c r="AU32" s="336">
        <f t="shared" si="33"/>
        <v>0</v>
      </c>
      <c r="AV32" s="276"/>
      <c r="AW32" s="276"/>
      <c r="AX32" s="329">
        <f t="shared" si="26"/>
        <v>0.7</v>
      </c>
    </row>
    <row r="33" spans="1:50">
      <c r="A33" s="63">
        <f>ELEC!C31</f>
        <v>43980</v>
      </c>
      <c r="B33" s="64">
        <f t="shared" si="34"/>
        <v>232</v>
      </c>
      <c r="C33" s="64">
        <f t="shared" si="34"/>
        <v>239</v>
      </c>
      <c r="D33" s="45">
        <f t="shared" si="0"/>
        <v>0</v>
      </c>
      <c r="E33" s="45">
        <f t="shared" si="47"/>
        <v>0</v>
      </c>
      <c r="F33" s="64">
        <f t="shared" si="35"/>
        <v>1541</v>
      </c>
      <c r="G33" s="52">
        <f t="shared" si="1"/>
        <v>0</v>
      </c>
      <c r="H33" s="64">
        <f t="shared" si="35"/>
        <v>349488</v>
      </c>
      <c r="I33" s="417">
        <f t="shared" si="2"/>
        <v>0</v>
      </c>
      <c r="J33" s="66">
        <f t="shared" si="11"/>
        <v>0</v>
      </c>
      <c r="K33" s="64">
        <f t="shared" si="12"/>
        <v>1925</v>
      </c>
      <c r="L33" s="52">
        <f t="shared" si="3"/>
        <v>0</v>
      </c>
      <c r="M33" s="64">
        <f t="shared" si="12"/>
        <v>140981</v>
      </c>
      <c r="N33" s="417">
        <f>M33-M32</f>
        <v>0</v>
      </c>
      <c r="O33" s="67">
        <f t="shared" si="5"/>
        <v>0</v>
      </c>
      <c r="P33" s="64">
        <f t="shared" si="36"/>
        <v>1770</v>
      </c>
      <c r="Q33" s="64">
        <f t="shared" si="36"/>
        <v>150466</v>
      </c>
      <c r="R33" s="416">
        <f t="shared" si="38"/>
        <v>0</v>
      </c>
      <c r="S33" s="52">
        <f t="shared" si="42"/>
        <v>0</v>
      </c>
      <c r="T33" s="68">
        <f t="shared" si="27"/>
        <v>0</v>
      </c>
      <c r="U33" s="423">
        <f t="shared" si="14"/>
        <v>0</v>
      </c>
      <c r="V33" s="62">
        <f t="shared" si="15"/>
        <v>0</v>
      </c>
      <c r="W33" s="421"/>
      <c r="X33" s="64">
        <f t="shared" si="17"/>
        <v>2417</v>
      </c>
      <c r="Y33" s="52">
        <f t="shared" si="18"/>
        <v>0</v>
      </c>
      <c r="Z33" s="64">
        <f t="shared" si="17"/>
        <v>135871</v>
      </c>
      <c r="AA33" s="65">
        <f t="shared" si="7"/>
        <v>0</v>
      </c>
      <c r="AB33" s="295">
        <f t="shared" si="43"/>
        <v>0</v>
      </c>
      <c r="AC33" s="64">
        <f t="shared" si="19"/>
        <v>1829</v>
      </c>
      <c r="AD33" s="45">
        <f t="shared" si="8"/>
        <v>0</v>
      </c>
      <c r="AE33" s="64">
        <f t="shared" si="19"/>
        <v>359149.7</v>
      </c>
      <c r="AF33" s="322">
        <f t="shared" si="20"/>
        <v>0</v>
      </c>
      <c r="AG33" s="213">
        <f t="shared" si="29"/>
        <v>0</v>
      </c>
      <c r="AH33" s="62">
        <f t="shared" si="30"/>
        <v>0</v>
      </c>
      <c r="AI33" s="334">
        <f t="shared" si="21"/>
        <v>0</v>
      </c>
      <c r="AJ33" s="334">
        <f>-tanks!AW34</f>
        <v>0</v>
      </c>
      <c r="AK33" s="334">
        <f t="shared" si="22"/>
        <v>0</v>
      </c>
      <c r="AL33" s="334">
        <f t="shared" si="41"/>
        <v>0</v>
      </c>
      <c r="AM33" s="334">
        <f t="shared" si="23"/>
        <v>0</v>
      </c>
      <c r="AN33" s="64">
        <f t="shared" si="37"/>
        <v>72</v>
      </c>
      <c r="AO33" s="336">
        <f t="shared" si="46"/>
        <v>2160</v>
      </c>
      <c r="AP33" s="64">
        <f t="shared" si="37"/>
        <v>75</v>
      </c>
      <c r="AQ33" s="336">
        <f t="shared" si="45"/>
        <v>2250</v>
      </c>
      <c r="AR33" s="64">
        <f t="shared" si="37"/>
        <v>60</v>
      </c>
      <c r="AS33" s="336">
        <f t="shared" si="31"/>
        <v>1800</v>
      </c>
      <c r="AT33" s="336">
        <f t="shared" si="44"/>
        <v>6210</v>
      </c>
      <c r="AU33" s="336">
        <f t="shared" si="33"/>
        <v>0</v>
      </c>
      <c r="AV33" s="276"/>
      <c r="AW33" s="276"/>
      <c r="AX33" s="329">
        <f t="shared" si="26"/>
        <v>0.7</v>
      </c>
    </row>
    <row r="34" spans="1:50">
      <c r="A34" s="63">
        <f>ELEC!C32</f>
        <v>43981</v>
      </c>
      <c r="B34" s="64">
        <f t="shared" si="34"/>
        <v>232</v>
      </c>
      <c r="C34" s="64">
        <f t="shared" si="34"/>
        <v>239</v>
      </c>
      <c r="D34" s="45">
        <f t="shared" si="0"/>
        <v>0</v>
      </c>
      <c r="E34" s="45">
        <f t="shared" si="47"/>
        <v>0</v>
      </c>
      <c r="F34" s="64">
        <f t="shared" si="35"/>
        <v>1541</v>
      </c>
      <c r="G34" s="52">
        <f t="shared" si="1"/>
        <v>0</v>
      </c>
      <c r="H34" s="64">
        <f t="shared" si="35"/>
        <v>349488</v>
      </c>
      <c r="I34" s="417">
        <f t="shared" si="2"/>
        <v>0</v>
      </c>
      <c r="J34" s="66">
        <f t="shared" si="11"/>
        <v>0</v>
      </c>
      <c r="K34" s="64">
        <f t="shared" si="12"/>
        <v>1925</v>
      </c>
      <c r="L34" s="52">
        <f t="shared" si="3"/>
        <v>0</v>
      </c>
      <c r="M34" s="64">
        <f t="shared" si="12"/>
        <v>140981</v>
      </c>
      <c r="N34" s="417">
        <f>M34-M33</f>
        <v>0</v>
      </c>
      <c r="O34" s="67">
        <f t="shared" si="5"/>
        <v>0</v>
      </c>
      <c r="P34" s="64">
        <f t="shared" si="36"/>
        <v>1770</v>
      </c>
      <c r="Q34" s="64">
        <f t="shared" si="36"/>
        <v>150466</v>
      </c>
      <c r="R34" s="416">
        <f t="shared" si="38"/>
        <v>0</v>
      </c>
      <c r="S34" s="52">
        <f>SUM(P34-P33)</f>
        <v>0</v>
      </c>
      <c r="T34" s="68">
        <f t="shared" si="27"/>
        <v>0</v>
      </c>
      <c r="U34" s="423">
        <f t="shared" si="14"/>
        <v>0</v>
      </c>
      <c r="V34" s="62">
        <f t="shared" si="15"/>
        <v>0</v>
      </c>
      <c r="W34" s="421"/>
      <c r="X34" s="64">
        <f t="shared" si="17"/>
        <v>2417</v>
      </c>
      <c r="Y34" s="52">
        <f t="shared" si="18"/>
        <v>0</v>
      </c>
      <c r="Z34" s="64">
        <f t="shared" si="17"/>
        <v>135871</v>
      </c>
      <c r="AA34" s="65">
        <f t="shared" si="7"/>
        <v>0</v>
      </c>
      <c r="AB34" s="295">
        <f t="shared" si="43"/>
        <v>0</v>
      </c>
      <c r="AC34" s="64">
        <f t="shared" si="19"/>
        <v>1829</v>
      </c>
      <c r="AD34" s="45">
        <f t="shared" si="8"/>
        <v>0</v>
      </c>
      <c r="AE34" s="64">
        <f t="shared" si="19"/>
        <v>359149.7</v>
      </c>
      <c r="AF34" s="322">
        <f t="shared" si="20"/>
        <v>0</v>
      </c>
      <c r="AG34" s="213">
        <f t="shared" si="29"/>
        <v>0</v>
      </c>
      <c r="AH34" s="62">
        <f t="shared" si="30"/>
        <v>0</v>
      </c>
      <c r="AI34" s="334">
        <f t="shared" si="21"/>
        <v>0</v>
      </c>
      <c r="AJ34" s="334">
        <f>-tanks!AW35</f>
        <v>0</v>
      </c>
      <c r="AK34" s="334">
        <f t="shared" si="22"/>
        <v>0</v>
      </c>
      <c r="AL34" s="334">
        <f t="shared" si="41"/>
        <v>0</v>
      </c>
      <c r="AM34" s="334">
        <f>Y34+AD34</f>
        <v>0</v>
      </c>
      <c r="AN34" s="64">
        <f t="shared" si="37"/>
        <v>72</v>
      </c>
      <c r="AO34" s="336">
        <f t="shared" si="46"/>
        <v>2160</v>
      </c>
      <c r="AP34" s="64">
        <f t="shared" si="37"/>
        <v>75</v>
      </c>
      <c r="AQ34" s="336">
        <f t="shared" si="45"/>
        <v>2250</v>
      </c>
      <c r="AR34" s="64">
        <f t="shared" si="37"/>
        <v>60</v>
      </c>
      <c r="AS34" s="336">
        <f t="shared" si="31"/>
        <v>1800</v>
      </c>
      <c r="AT34" s="336">
        <f t="shared" si="44"/>
        <v>6210</v>
      </c>
      <c r="AU34" s="336">
        <f t="shared" si="33"/>
        <v>0</v>
      </c>
      <c r="AV34" s="276"/>
      <c r="AW34" s="276"/>
      <c r="AX34" s="329">
        <f t="shared" si="26"/>
        <v>0.7</v>
      </c>
    </row>
    <row r="35" spans="1:50">
      <c r="A35" s="63">
        <f>ELEC!C33</f>
        <v>43982</v>
      </c>
      <c r="B35" s="64">
        <f t="shared" si="34"/>
        <v>232</v>
      </c>
      <c r="C35" s="64">
        <f t="shared" si="34"/>
        <v>239</v>
      </c>
      <c r="D35" s="45">
        <f>C34-C35</f>
        <v>0</v>
      </c>
      <c r="E35" s="45">
        <f>D35*8.38</f>
        <v>0</v>
      </c>
      <c r="F35" s="64">
        <f t="shared" si="35"/>
        <v>1541</v>
      </c>
      <c r="G35" s="52">
        <f>F35-F34</f>
        <v>0</v>
      </c>
      <c r="H35" s="64">
        <f t="shared" si="35"/>
        <v>349488</v>
      </c>
      <c r="I35" s="417">
        <f>SUM(H35-H34)</f>
        <v>0</v>
      </c>
      <c r="J35" s="66">
        <f>IF(G35&gt;0,I35/G35,0)</f>
        <v>0</v>
      </c>
      <c r="K35" s="64">
        <f t="shared" si="12"/>
        <v>1925</v>
      </c>
      <c r="L35" s="52">
        <f>K35-K34</f>
        <v>0</v>
      </c>
      <c r="M35" s="64">
        <f t="shared" si="12"/>
        <v>140981</v>
      </c>
      <c r="N35" s="417">
        <f>M35-M34</f>
        <v>0</v>
      </c>
      <c r="O35" s="67">
        <f>SUM(L35*$J$1)</f>
        <v>0</v>
      </c>
      <c r="P35" s="64">
        <f t="shared" si="36"/>
        <v>1770</v>
      </c>
      <c r="Q35" s="64">
        <f t="shared" si="36"/>
        <v>150466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4"/>
        <v>0</v>
      </c>
      <c r="V35" s="62">
        <f>R35+N35+I35:I35</f>
        <v>0</v>
      </c>
      <c r="W35" s="421"/>
      <c r="X35" s="64">
        <f t="shared" si="17"/>
        <v>2417</v>
      </c>
      <c r="Y35" s="52">
        <f>X35-X34</f>
        <v>0</v>
      </c>
      <c r="Z35" s="64">
        <f t="shared" si="17"/>
        <v>135871</v>
      </c>
      <c r="AA35" s="65">
        <f>Z35-Z34</f>
        <v>0</v>
      </c>
      <c r="AB35" s="295">
        <f>SUM(Y35*$AB$2)</f>
        <v>0</v>
      </c>
      <c r="AC35" s="64">
        <f t="shared" si="19"/>
        <v>1829</v>
      </c>
      <c r="AD35" s="45">
        <f>AC35-AC34</f>
        <v>0</v>
      </c>
      <c r="AE35" s="64">
        <f t="shared" si="19"/>
        <v>359149.7</v>
      </c>
      <c r="AF35" s="322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37"/>
        <v>72</v>
      </c>
      <c r="AO35" s="336">
        <f>(AN35/100)*3000</f>
        <v>2160</v>
      </c>
      <c r="AP35" s="64">
        <f t="shared" si="37"/>
        <v>75</v>
      </c>
      <c r="AQ35" s="336">
        <f>(AP35/100)*3000</f>
        <v>2250</v>
      </c>
      <c r="AR35" s="64">
        <f t="shared" si="37"/>
        <v>60</v>
      </c>
      <c r="AS35" s="336">
        <f>(AR35/100)*3000</f>
        <v>1800</v>
      </c>
      <c r="AT35" s="336">
        <f>SUM(AO35+AQ35+AS35)</f>
        <v>6210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4">
        <f>SUM(J5:J34)/(COUNT(J5:J34)-COUNTIF(J5:J34,0))</f>
        <v>48.666666666666664</v>
      </c>
      <c r="AE36" s="72" t="s">
        <v>386</v>
      </c>
      <c r="AG36" s="364"/>
      <c r="AH36" s="62"/>
      <c r="AP36" s="329"/>
      <c r="AQ36" s="329"/>
      <c r="AR36" s="329" t="s">
        <v>225</v>
      </c>
      <c r="AS36" s="329">
        <f>COUNT(AW5:AW35)</f>
        <v>0</v>
      </c>
      <c r="AT36" s="329"/>
      <c r="AU36" s="329">
        <f>SUM(AU5:AU35)</f>
        <v>450</v>
      </c>
      <c r="AV36" s="72">
        <f>SUM(AV5:AV35)</f>
        <v>0</v>
      </c>
      <c r="AW36" s="329" t="e">
        <f>SUM(AW5:AW35)/AS36</f>
        <v>#DIV/0!</v>
      </c>
    </row>
    <row r="37" spans="1:50">
      <c r="AH37" s="62">
        <f>AF37+AA37</f>
        <v>0</v>
      </c>
      <c r="AI37" s="337">
        <f>SUM(AI5:AI35)</f>
        <v>1544.3999999999942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229.5</v>
      </c>
      <c r="AV38" s="329">
        <f>AV36/0.51</f>
        <v>0</v>
      </c>
      <c r="AW38" s="329" t="e">
        <f>SUM(AW5:AW35)/AS36</f>
        <v>#DIV/0!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0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H1" zoomScaleNormal="100" workbookViewId="0">
      <pane ySplit="3" topLeftCell="A4" activePane="bottomLeft" state="frozen"/>
      <selection pane="bottomLeft" activeCell="AY9" sqref="AY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22" customWidth="1"/>
    <col min="14" max="14" width="10.7109375" style="524" customWidth="1"/>
    <col min="15" max="15" width="11.140625" style="522" customWidth="1"/>
    <col min="16" max="16" width="11.140625" style="524" customWidth="1"/>
    <col min="17" max="17" width="17.28515625" style="522" customWidth="1"/>
    <col min="18" max="18" width="10.85546875" style="522" customWidth="1"/>
    <col min="19" max="19" width="10.7109375" style="522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9" customFormat="1" ht="15.75" thickBot="1">
      <c r="B1" s="380"/>
      <c r="C1" s="380"/>
      <c r="D1" s="438">
        <f>SUM(G21:G35)</f>
        <v>8951595</v>
      </c>
      <c r="E1" s="381"/>
      <c r="F1" s="381"/>
      <c r="G1" s="380"/>
      <c r="H1" s="380"/>
      <c r="I1" s="380"/>
      <c r="J1" s="381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0"/>
      <c r="AR1" s="383" t="s">
        <v>92</v>
      </c>
      <c r="AS1" s="384"/>
      <c r="AT1" s="384" t="s">
        <v>60</v>
      </c>
      <c r="AU1" s="384"/>
      <c r="AV1" s="385" t="s">
        <v>61</v>
      </c>
    </row>
    <row r="2" spans="1:65" s="379" customFormat="1" ht="15.75" customHeight="1" thickBot="1">
      <c r="B2" s="380"/>
      <c r="C2" s="380"/>
      <c r="D2" s="380"/>
      <c r="E2" s="381"/>
      <c r="F2" s="381"/>
      <c r="G2" s="380"/>
      <c r="H2" s="380"/>
      <c r="I2" s="380"/>
      <c r="J2" s="381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0"/>
      <c r="AR2" s="607" t="s">
        <v>95</v>
      </c>
      <c r="AS2" s="608"/>
      <c r="AT2" s="608"/>
      <c r="AU2" s="608"/>
      <c r="AV2" s="609"/>
      <c r="AW2" s="607" t="s">
        <v>96</v>
      </c>
      <c r="AX2" s="608"/>
      <c r="AY2" s="609"/>
      <c r="AZ2" s="607" t="s">
        <v>98</v>
      </c>
      <c r="BA2" s="608"/>
      <c r="BB2" s="609"/>
      <c r="BC2" s="386"/>
      <c r="BE2" s="387"/>
    </row>
    <row r="3" spans="1:65" s="379" customFormat="1" ht="48" customHeight="1" thickBot="1">
      <c r="A3" s="388" t="s">
        <v>51</v>
      </c>
      <c r="B3" s="389" t="s">
        <v>52</v>
      </c>
      <c r="C3" s="389" t="s">
        <v>53</v>
      </c>
      <c r="D3" s="389" t="s">
        <v>54</v>
      </c>
      <c r="E3" s="390"/>
      <c r="F3" s="391" t="s">
        <v>80</v>
      </c>
      <c r="G3" s="389" t="s">
        <v>55</v>
      </c>
      <c r="H3" s="389" t="s">
        <v>56</v>
      </c>
      <c r="I3" s="389" t="s">
        <v>100</v>
      </c>
      <c r="J3" s="390"/>
      <c r="K3" s="389" t="s">
        <v>395</v>
      </c>
      <c r="L3" s="392" t="s">
        <v>330</v>
      </c>
      <c r="M3" s="544" t="s">
        <v>402</v>
      </c>
      <c r="N3" s="545"/>
      <c r="O3" s="546" t="s">
        <v>403</v>
      </c>
      <c r="P3" s="546"/>
      <c r="Q3" s="546" t="s">
        <v>399</v>
      </c>
      <c r="R3" s="546" t="s">
        <v>401</v>
      </c>
      <c r="S3" s="546" t="s">
        <v>400</v>
      </c>
      <c r="T3" s="389" t="s">
        <v>383</v>
      </c>
      <c r="U3" s="389" t="s">
        <v>385</v>
      </c>
      <c r="V3" s="393" t="s">
        <v>334</v>
      </c>
      <c r="W3" s="394" t="s">
        <v>335</v>
      </c>
      <c r="X3" s="393" t="s">
        <v>338</v>
      </c>
      <c r="Y3" s="394" t="s">
        <v>339</v>
      </c>
      <c r="Z3" s="395" t="s">
        <v>340</v>
      </c>
      <c r="AA3" s="396" t="s">
        <v>398</v>
      </c>
      <c r="AB3" s="465" t="s">
        <v>397</v>
      </c>
      <c r="AC3" s="463" t="s">
        <v>396</v>
      </c>
      <c r="AD3" s="463"/>
      <c r="AE3" s="397" t="s">
        <v>407</v>
      </c>
      <c r="AF3" s="397" t="s">
        <v>408</v>
      </c>
      <c r="AG3" s="397" t="s">
        <v>409</v>
      </c>
      <c r="AH3" s="397" t="s">
        <v>410</v>
      </c>
      <c r="AI3" s="396" t="s">
        <v>411</v>
      </c>
      <c r="AJ3" s="396" t="s">
        <v>341</v>
      </c>
      <c r="AK3" s="397" t="s">
        <v>343</v>
      </c>
      <c r="AL3" s="397" t="s">
        <v>342</v>
      </c>
      <c r="AM3" s="398" t="s">
        <v>125</v>
      </c>
      <c r="AN3" s="604" t="s">
        <v>126</v>
      </c>
      <c r="AO3" s="605"/>
      <c r="AP3" s="606"/>
      <c r="AR3" s="399" t="s">
        <v>51</v>
      </c>
      <c r="AS3" s="400"/>
      <c r="AT3" s="399" t="s">
        <v>94</v>
      </c>
      <c r="AU3" s="400"/>
      <c r="AV3" s="401" t="s">
        <v>57</v>
      </c>
      <c r="AW3" s="402"/>
      <c r="AX3" s="400" t="s">
        <v>59</v>
      </c>
      <c r="AY3" s="403" t="s">
        <v>93</v>
      </c>
      <c r="AZ3" s="401" t="s">
        <v>57</v>
      </c>
      <c r="BA3" s="404" t="s">
        <v>59</v>
      </c>
      <c r="BB3" s="405" t="s">
        <v>57</v>
      </c>
      <c r="BC3" s="405" t="s">
        <v>58</v>
      </c>
      <c r="BD3" s="406" t="s">
        <v>59</v>
      </c>
      <c r="BE3" s="407" t="s">
        <v>99</v>
      </c>
      <c r="BF3" s="406" t="s">
        <v>97</v>
      </c>
      <c r="BG3" s="408"/>
      <c r="BI3" s="409"/>
      <c r="BJ3" s="409"/>
      <c r="BK3" s="409"/>
      <c r="BL3" s="409"/>
      <c r="BM3" s="409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47"/>
      <c r="N4" s="547"/>
      <c r="O4" s="547"/>
      <c r="P4" s="547"/>
      <c r="Q4" s="547"/>
      <c r="R4" s="547"/>
      <c r="S4" s="547"/>
      <c r="T4" s="84"/>
      <c r="U4" s="84"/>
      <c r="V4" s="339"/>
      <c r="W4" s="340"/>
      <c r="X4" s="339"/>
      <c r="Y4" s="340"/>
      <c r="Z4" s="341"/>
      <c r="AA4" s="464"/>
      <c r="AB4" s="466"/>
      <c r="AC4" s="464"/>
      <c r="AD4" s="464"/>
      <c r="AE4" s="464"/>
      <c r="AF4" s="464"/>
      <c r="AG4" s="464"/>
      <c r="AH4" s="464"/>
      <c r="AI4" s="464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43951</v>
      </c>
      <c r="B5" s="432">
        <f>[1]WATER!B35</f>
        <v>108473</v>
      </c>
      <c r="C5" s="432">
        <f>[1]WATER!C35</f>
        <v>0</v>
      </c>
      <c r="D5" s="432">
        <f>[1]WATER!D35</f>
        <v>0</v>
      </c>
      <c r="E5" s="432">
        <f>[1]WATER!E35</f>
        <v>250</v>
      </c>
      <c r="F5" s="432">
        <f>[1]WATER!F35</f>
        <v>0</v>
      </c>
      <c r="G5" s="432">
        <f>[1]WATER!G35</f>
        <v>596433</v>
      </c>
      <c r="H5" s="432">
        <f>[1]WATER!H35</f>
        <v>0</v>
      </c>
      <c r="I5" s="432">
        <f>[1]WATER!I35</f>
        <v>0</v>
      </c>
      <c r="J5" s="432">
        <f>[1]WATER!J35</f>
        <v>0</v>
      </c>
      <c r="K5" s="432">
        <f>[1]WATER!K35</f>
        <v>6084</v>
      </c>
      <c r="L5" s="432">
        <f>[1]WATER!L35</f>
        <v>1</v>
      </c>
      <c r="M5" s="432">
        <f>[1]WATER!M35</f>
        <v>457.44</v>
      </c>
      <c r="N5" s="432">
        <f>[1]WATER!N35</f>
        <v>0</v>
      </c>
      <c r="O5" s="432">
        <f>[1]WATER!O35</f>
        <v>529.52</v>
      </c>
      <c r="P5" s="432">
        <f>[1]WATER!P35</f>
        <v>0</v>
      </c>
      <c r="Q5" s="432">
        <f>[1]WATER!Q35</f>
        <v>0</v>
      </c>
      <c r="R5" s="432">
        <f>[1]WATER!R35</f>
        <v>0</v>
      </c>
      <c r="S5" s="432">
        <f>[1]WATER!S35</f>
        <v>0</v>
      </c>
      <c r="T5" s="432">
        <f>[1]WATER!T35</f>
        <v>4785</v>
      </c>
      <c r="U5" s="432">
        <f>[1]WATER!U35</f>
        <v>1</v>
      </c>
      <c r="V5" s="432">
        <f>[1]WATER!V35</f>
        <v>404</v>
      </c>
      <c r="W5" s="432">
        <f>[1]WATER!W35</f>
        <v>0</v>
      </c>
      <c r="X5" s="432">
        <f>[1]WATER!X35</f>
        <v>142861</v>
      </c>
      <c r="Y5" s="432">
        <f>[1]WATER!Y35</f>
        <v>0</v>
      </c>
      <c r="Z5" s="432">
        <f>[1]WATER!Z35</f>
        <v>94174</v>
      </c>
      <c r="AA5" s="432">
        <f>[1]WATER!AA35</f>
        <v>0</v>
      </c>
      <c r="AB5" s="432">
        <f>[1]WATER!AB35</f>
        <v>266</v>
      </c>
      <c r="AC5" s="432">
        <f>[1]WATER!AC35</f>
        <v>671</v>
      </c>
      <c r="AD5" s="432">
        <f>[1]WATER!AD35</f>
        <v>0</v>
      </c>
      <c r="AE5" s="432">
        <f>[1]WATER!AE35</f>
        <v>149.46</v>
      </c>
      <c r="AF5" s="432">
        <f>[1]WATER!AF35</f>
        <v>0</v>
      </c>
      <c r="AG5" s="432">
        <f>[1]WATER!AG35</f>
        <v>1517.45</v>
      </c>
      <c r="AH5" s="432">
        <f>[1]WATER!AH35</f>
        <v>9.9999999999909051E-3</v>
      </c>
      <c r="AI5" s="432">
        <f>[1]WATER!AI35</f>
        <v>9.9999999999909051E-3</v>
      </c>
      <c r="AJ5" s="432">
        <f>[1]WATER!AJ35</f>
        <v>0</v>
      </c>
      <c r="AK5" s="432">
        <f>[1]WATER!AK35</f>
        <v>-1</v>
      </c>
      <c r="AL5" s="432">
        <f>[1]WATER!AL35</f>
        <v>0</v>
      </c>
      <c r="AM5" s="432">
        <f>[1]WATER!AM35</f>
        <v>21</v>
      </c>
      <c r="AN5" s="432">
        <f>[1]WATER!AN35</f>
        <v>0</v>
      </c>
      <c r="AO5" s="432">
        <f>[1]WATER!AO35</f>
        <v>0</v>
      </c>
      <c r="AP5" s="432">
        <f>[1]WATER!AP35</f>
        <v>78</v>
      </c>
      <c r="AQ5" s="432">
        <f>[1]WATER!AQ35</f>
        <v>0</v>
      </c>
      <c r="AR5" s="432">
        <f>[1]WATER!AR35</f>
        <v>43951</v>
      </c>
      <c r="AS5" s="432">
        <f>[1]WATER!AS35</f>
        <v>0.9</v>
      </c>
      <c r="AT5" s="432">
        <f>[1]WATER!AT35</f>
        <v>189</v>
      </c>
      <c r="AU5" s="432">
        <f>[1]WATER!AU35</f>
        <v>1.1000000000000001</v>
      </c>
      <c r="AV5" s="432">
        <f>[1]WATER!AV35</f>
        <v>75</v>
      </c>
      <c r="AW5" s="432">
        <f>[1]WATER!AW35</f>
        <v>2.9</v>
      </c>
      <c r="AX5" s="432">
        <f>[1]WATER!AX35</f>
        <v>117</v>
      </c>
      <c r="AY5" s="432">
        <f>[1]WATER!AY35</f>
        <v>170.1</v>
      </c>
      <c r="AZ5" s="432">
        <f>[1]WATER!AZ35</f>
        <v>82.5</v>
      </c>
      <c r="BA5" s="432">
        <f>[1]WATER!BA35</f>
        <v>339.3</v>
      </c>
      <c r="BB5" s="432">
        <f>[1]WATER!BB35</f>
        <v>0</v>
      </c>
      <c r="BC5" s="432">
        <f>[1]WATER!BC35</f>
        <v>-13.200000000000003</v>
      </c>
      <c r="BD5" s="432">
        <f>[1]WATER!BD35</f>
        <v>-2.8999999999999773</v>
      </c>
      <c r="BE5" s="432">
        <f>[1]WATER!BE35</f>
        <v>-16.09999999999998</v>
      </c>
      <c r="BF5" s="432">
        <f>[1]WATER!BF35</f>
        <v>16.09999999999998</v>
      </c>
      <c r="BG5" s="432">
        <f>[1]WATER!BG35</f>
        <v>-16.09999999999998</v>
      </c>
    </row>
    <row r="6" spans="1:65" ht="15.75" thickBot="1">
      <c r="A6" s="6">
        <f>ELEC!C3</f>
        <v>43952</v>
      </c>
      <c r="B6" s="5">
        <f>B5</f>
        <v>108473</v>
      </c>
      <c r="C6" s="5">
        <f>B6-B5</f>
        <v>0</v>
      </c>
      <c r="D6" s="441">
        <f>C6/27</f>
        <v>0</v>
      </c>
      <c r="E6" s="349">
        <f>SUM((C6*$E$4)+(7500/'EDl log'!$A$38))</f>
        <v>241.93548387096774</v>
      </c>
      <c r="F6" s="440"/>
      <c r="G6" s="5">
        <f>G5</f>
        <v>596433</v>
      </c>
      <c r="H6" s="5">
        <f>G6-G5</f>
        <v>0</v>
      </c>
      <c r="I6" s="5">
        <f t="shared" ref="I6:I35" si="0">C6+H6</f>
        <v>0</v>
      </c>
      <c r="J6" s="350">
        <f t="shared" ref="J6:J35" si="1">IF(I6&gt;0,E6/I6,0)</f>
        <v>0</v>
      </c>
      <c r="K6" s="5">
        <f>'Swimming Pool quality check '!H6</f>
        <v>6084</v>
      </c>
      <c r="L6" s="84">
        <v>0</v>
      </c>
      <c r="M6" s="432">
        <f>M5</f>
        <v>457.44</v>
      </c>
      <c r="N6" s="547">
        <f t="shared" ref="N6:N13" si="2">SUM(M6-M5)</f>
        <v>0</v>
      </c>
      <c r="O6" s="432">
        <f>O5</f>
        <v>529.52</v>
      </c>
      <c r="P6" s="547">
        <f t="shared" ref="P6:P13" si="3">SUM(O6-O5)</f>
        <v>0</v>
      </c>
      <c r="Q6" s="548">
        <f>P6+N6</f>
        <v>0</v>
      </c>
      <c r="R6" s="547"/>
      <c r="S6" s="547"/>
      <c r="T6" s="5">
        <v>4786</v>
      </c>
      <c r="U6" s="5">
        <f t="shared" ref="U6:U35" si="4">SUM(T6-T5)</f>
        <v>1</v>
      </c>
      <c r="V6" s="5">
        <f>V5</f>
        <v>404</v>
      </c>
      <c r="W6" s="340">
        <f>+V6-V5</f>
        <v>0</v>
      </c>
      <c r="X6" s="5">
        <v>142863</v>
      </c>
      <c r="Y6" s="340">
        <f>SUM(X6-X5)</f>
        <v>2</v>
      </c>
      <c r="Z6" s="5">
        <v>94175</v>
      </c>
      <c r="AA6" s="84">
        <f>Z6-Z5</f>
        <v>1</v>
      </c>
      <c r="AB6" s="5">
        <f>AB5</f>
        <v>266</v>
      </c>
      <c r="AC6" s="5">
        <f>AC5</f>
        <v>671</v>
      </c>
      <c r="AD6" s="84">
        <v>0</v>
      </c>
      <c r="AE6" s="5">
        <f>AE5</f>
        <v>149.46</v>
      </c>
      <c r="AF6" s="84">
        <f>AE6-AE5</f>
        <v>0</v>
      </c>
      <c r="AG6" s="5">
        <v>1518</v>
      </c>
      <c r="AH6" s="84">
        <f>AG6-AG5</f>
        <v>0.54999999999995453</v>
      </c>
      <c r="AI6" s="84">
        <f>AF6+AH6</f>
        <v>0.54999999999995453</v>
      </c>
      <c r="AJ6" s="342">
        <f>+Z6-Z5</f>
        <v>1</v>
      </c>
      <c r="AK6" s="343">
        <f t="shared" ref="AK6:AK38" si="5">SUM(Y6-L6)</f>
        <v>2</v>
      </c>
      <c r="AL6" s="343">
        <f>SUM(AJ6-W6)</f>
        <v>1</v>
      </c>
      <c r="AM6" s="343">
        <f>'General information '!D6</f>
        <v>19</v>
      </c>
      <c r="AN6" s="85">
        <f>'General information '!H6</f>
        <v>0</v>
      </c>
      <c r="AO6" s="85"/>
      <c r="AP6" s="85">
        <f>'General information '!J6</f>
        <v>105</v>
      </c>
      <c r="AQ6" s="82"/>
      <c r="AR6" s="286">
        <f>A6</f>
        <v>43952</v>
      </c>
      <c r="AS6" s="446">
        <f t="shared" ref="AS6:AT21" si="6">AS5</f>
        <v>0.9</v>
      </c>
      <c r="AT6" s="205">
        <f>AT5</f>
        <v>189</v>
      </c>
      <c r="AU6" s="447">
        <f>AU5</f>
        <v>1.1000000000000001</v>
      </c>
      <c r="AV6" s="205">
        <v>72</v>
      </c>
      <c r="AW6" s="5">
        <v>2.9</v>
      </c>
      <c r="AX6" s="205">
        <v>114</v>
      </c>
      <c r="AY6" s="450">
        <f t="shared" ref="AY6:AY35" si="7">AS6*AT6</f>
        <v>170.1</v>
      </c>
      <c r="AZ6" s="450">
        <f>AU6*AV6</f>
        <v>79.2</v>
      </c>
      <c r="BA6" s="450">
        <f>AW6*AX6</f>
        <v>330.59999999999997</v>
      </c>
      <c r="BB6" s="21">
        <f>AY6-AY5</f>
        <v>0</v>
      </c>
      <c r="BC6" s="21">
        <f>AZ6-AZ5</f>
        <v>-3.2999999999999972</v>
      </c>
      <c r="BD6" s="21">
        <f>BA6-BA5</f>
        <v>-8.7000000000000455</v>
      </c>
      <c r="BE6" s="24">
        <f>SUM(BB6:BD6)</f>
        <v>-12.000000000000043</v>
      </c>
      <c r="BF6" s="97">
        <f t="shared" ref="BF6:BF35" si="8">SUM(I6-BE6)</f>
        <v>12.000000000000043</v>
      </c>
      <c r="BG6" s="83">
        <f t="shared" ref="BG6:BG35" si="9">SUM(I6-BF6)</f>
        <v>-12.000000000000043</v>
      </c>
      <c r="BI6" s="17"/>
      <c r="BJ6" s="17"/>
      <c r="BK6" s="17"/>
      <c r="BL6" s="17"/>
      <c r="BM6" s="17"/>
    </row>
    <row r="7" spans="1:65" ht="15.75" thickBot="1">
      <c r="A7" s="6">
        <f>ELEC!C4</f>
        <v>43953</v>
      </c>
      <c r="B7" s="5">
        <f t="shared" ref="B7:B36" si="10">B6</f>
        <v>108473</v>
      </c>
      <c r="C7" s="5">
        <f t="shared" ref="C7:C35" si="11">B7-B6</f>
        <v>0</v>
      </c>
      <c r="D7" s="441">
        <f t="shared" ref="D7:D36" si="12">C7/27</f>
        <v>0</v>
      </c>
      <c r="E7" s="349">
        <f>SUM((C7*$E$4)+(7500/'EDl log'!$A$38))</f>
        <v>241.93548387096774</v>
      </c>
      <c r="F7" s="440"/>
      <c r="G7" s="5">
        <v>596433</v>
      </c>
      <c r="H7" s="5">
        <f t="shared" ref="H7:H35" si="13">G7-G6</f>
        <v>0</v>
      </c>
      <c r="I7" s="5">
        <f t="shared" si="0"/>
        <v>0</v>
      </c>
      <c r="J7" s="350">
        <f t="shared" si="1"/>
        <v>0</v>
      </c>
      <c r="K7" s="5">
        <f>'Swimming Pool quality check '!H7</f>
        <v>6090</v>
      </c>
      <c r="L7" s="84">
        <f>K7-K6</f>
        <v>6</v>
      </c>
      <c r="M7" s="432">
        <f t="shared" ref="M7:M36" si="14">M6</f>
        <v>457.44</v>
      </c>
      <c r="N7" s="547">
        <f t="shared" si="2"/>
        <v>0</v>
      </c>
      <c r="O7" s="432">
        <f t="shared" ref="O7:O36" si="15">O6</f>
        <v>529.52</v>
      </c>
      <c r="P7" s="547">
        <f t="shared" si="3"/>
        <v>0</v>
      </c>
      <c r="Q7" s="548">
        <f>P7+N7</f>
        <v>0</v>
      </c>
      <c r="R7" s="547"/>
      <c r="S7" s="547"/>
      <c r="T7" s="5">
        <v>4788</v>
      </c>
      <c r="U7" s="5">
        <f t="shared" si="4"/>
        <v>2</v>
      </c>
      <c r="V7" s="5">
        <f t="shared" ref="T7:AG36" si="16">V6</f>
        <v>404</v>
      </c>
      <c r="W7" s="340">
        <f t="shared" ref="W7:W36" si="17">+V7-V6</f>
        <v>0</v>
      </c>
      <c r="X7" s="5">
        <v>142929</v>
      </c>
      <c r="Y7" s="340">
        <f t="shared" ref="Y7:Y35" si="18">SUM(X7-X6)</f>
        <v>66</v>
      </c>
      <c r="Z7" s="5">
        <v>94220</v>
      </c>
      <c r="AA7" s="84">
        <f t="shared" ref="AA7:AA35" si="19">Z7-Z6</f>
        <v>45</v>
      </c>
      <c r="AB7" s="5">
        <f t="shared" si="16"/>
        <v>266</v>
      </c>
      <c r="AC7" s="5">
        <f t="shared" si="16"/>
        <v>671</v>
      </c>
      <c r="AD7" s="84">
        <f>AC7-AC6</f>
        <v>0</v>
      </c>
      <c r="AE7" s="5">
        <f t="shared" si="16"/>
        <v>149.46</v>
      </c>
      <c r="AF7" s="84">
        <f t="shared" ref="AF7:AF35" si="20">AE7-AE6</f>
        <v>0</v>
      </c>
      <c r="AG7" s="5">
        <f t="shared" si="16"/>
        <v>1518</v>
      </c>
      <c r="AH7" s="84">
        <f t="shared" ref="AH7:AH36" si="21">AG7-AG6</f>
        <v>0</v>
      </c>
      <c r="AI7" s="84">
        <f t="shared" ref="AI7:AI36" si="22">AF7+AH7</f>
        <v>0</v>
      </c>
      <c r="AJ7" s="342">
        <f t="shared" ref="AJ7:AJ35" si="23">+Z7-Z6</f>
        <v>45</v>
      </c>
      <c r="AK7" s="343">
        <f t="shared" si="5"/>
        <v>60</v>
      </c>
      <c r="AL7" s="343">
        <f t="shared" ref="AL7:AL35" si="24">SUM(AJ7-W7)</f>
        <v>45</v>
      </c>
      <c r="AM7" s="343">
        <f>'General information '!D7</f>
        <v>17.5</v>
      </c>
      <c r="AN7" s="85">
        <f>'General information '!H7</f>
        <v>0</v>
      </c>
      <c r="AO7" s="85"/>
      <c r="AP7" s="85">
        <f>'General information '!J7</f>
        <v>105</v>
      </c>
      <c r="AQ7" s="82"/>
      <c r="AR7" s="286">
        <f t="shared" ref="AR7:AR35" si="25">A7</f>
        <v>43953</v>
      </c>
      <c r="AS7" s="446">
        <f t="shared" si="6"/>
        <v>0.9</v>
      </c>
      <c r="AT7" s="205">
        <v>84</v>
      </c>
      <c r="AU7" s="447">
        <f>AU6</f>
        <v>1.1000000000000001</v>
      </c>
      <c r="AV7" s="205">
        <v>98</v>
      </c>
      <c r="AW7" s="5">
        <v>2.9</v>
      </c>
      <c r="AX7" s="205">
        <v>124</v>
      </c>
      <c r="AY7" s="450">
        <f t="shared" si="7"/>
        <v>75.600000000000009</v>
      </c>
      <c r="AZ7" s="450">
        <f t="shared" ref="AZ7:AZ35" si="26">AU7*AV7</f>
        <v>107.80000000000001</v>
      </c>
      <c r="BA7" s="450">
        <f t="shared" ref="BA7:BA36" si="27">AW7*AX7</f>
        <v>359.59999999999997</v>
      </c>
      <c r="BB7" s="21">
        <f t="shared" ref="BB7:BD35" si="28">AY7-AY6</f>
        <v>-94.499999999999986</v>
      </c>
      <c r="BC7" s="21">
        <f t="shared" ref="BC7:BD21" si="29">AZ7-AZ6</f>
        <v>28.600000000000009</v>
      </c>
      <c r="BD7" s="21">
        <f t="shared" si="29"/>
        <v>29</v>
      </c>
      <c r="BE7" s="24">
        <f t="shared" ref="BE7:BE35" si="30">SUM(BB7:BD7)</f>
        <v>-36.899999999999977</v>
      </c>
      <c r="BF7" s="97">
        <f t="shared" si="8"/>
        <v>36.899999999999977</v>
      </c>
      <c r="BG7" s="83">
        <f t="shared" si="9"/>
        <v>-36.899999999999977</v>
      </c>
      <c r="BI7" s="87"/>
      <c r="BJ7" s="17"/>
      <c r="BK7" s="17"/>
      <c r="BL7" s="17"/>
      <c r="BM7" s="17"/>
    </row>
    <row r="8" spans="1:65" ht="15.75" thickBot="1">
      <c r="A8" s="6">
        <f>ELEC!C5</f>
        <v>43954</v>
      </c>
      <c r="B8" s="5">
        <f t="shared" si="10"/>
        <v>108473</v>
      </c>
      <c r="C8" s="5">
        <f>B8-B7</f>
        <v>0</v>
      </c>
      <c r="D8" s="441">
        <f t="shared" si="12"/>
        <v>0</v>
      </c>
      <c r="E8" s="349">
        <f>SUM((C8*$E$4)+(7500/'EDl log'!$A$38))</f>
        <v>241.93548387096774</v>
      </c>
      <c r="F8" s="440"/>
      <c r="G8" s="5">
        <v>596773</v>
      </c>
      <c r="H8" s="5">
        <f t="shared" si="13"/>
        <v>340</v>
      </c>
      <c r="I8" s="5">
        <f t="shared" si="0"/>
        <v>340</v>
      </c>
      <c r="J8" s="350">
        <f t="shared" si="1"/>
        <v>0.7115749525616698</v>
      </c>
      <c r="K8" s="5">
        <f>'Swimming Pool quality check '!H8</f>
        <v>6092</v>
      </c>
      <c r="L8" s="84">
        <f>K8-K7</f>
        <v>2</v>
      </c>
      <c r="M8" s="432">
        <f t="shared" si="14"/>
        <v>457.44</v>
      </c>
      <c r="N8" s="547">
        <f t="shared" si="2"/>
        <v>0</v>
      </c>
      <c r="O8" s="432">
        <f t="shared" si="15"/>
        <v>529.52</v>
      </c>
      <c r="P8" s="547">
        <f t="shared" si="3"/>
        <v>0</v>
      </c>
      <c r="Q8" s="548">
        <f>P8+N8</f>
        <v>0</v>
      </c>
      <c r="R8" s="547"/>
      <c r="S8" s="547"/>
      <c r="T8" s="5">
        <f t="shared" si="16"/>
        <v>4788</v>
      </c>
      <c r="U8" s="585">
        <v>4789</v>
      </c>
      <c r="V8" s="5">
        <v>404</v>
      </c>
      <c r="W8" s="340">
        <f t="shared" si="17"/>
        <v>0</v>
      </c>
      <c r="X8" s="585">
        <v>143011</v>
      </c>
      <c r="Y8" s="340">
        <f t="shared" si="18"/>
        <v>82</v>
      </c>
      <c r="Z8" s="5">
        <v>94233</v>
      </c>
      <c r="AA8" s="84">
        <f t="shared" si="19"/>
        <v>13</v>
      </c>
      <c r="AB8" s="5">
        <f t="shared" si="16"/>
        <v>266</v>
      </c>
      <c r="AC8" s="5">
        <f t="shared" si="16"/>
        <v>671</v>
      </c>
      <c r="AD8" s="84">
        <f t="shared" ref="AD8:AD35" si="31">AC8-AC7</f>
        <v>0</v>
      </c>
      <c r="AE8" s="5">
        <f t="shared" si="16"/>
        <v>149.46</v>
      </c>
      <c r="AF8" s="84">
        <f t="shared" si="20"/>
        <v>0</v>
      </c>
      <c r="AG8" s="5">
        <f t="shared" si="16"/>
        <v>1518</v>
      </c>
      <c r="AH8" s="84">
        <f t="shared" si="21"/>
        <v>0</v>
      </c>
      <c r="AI8" s="84">
        <f t="shared" si="22"/>
        <v>0</v>
      </c>
      <c r="AJ8" s="342">
        <f t="shared" si="23"/>
        <v>13</v>
      </c>
      <c r="AK8" s="343">
        <f t="shared" si="5"/>
        <v>80</v>
      </c>
      <c r="AL8" s="343">
        <f t="shared" si="24"/>
        <v>13</v>
      </c>
      <c r="AM8" s="343">
        <f>'General information '!D8</f>
        <v>20.5</v>
      </c>
      <c r="AN8" s="85">
        <f>'General information '!H8</f>
        <v>0</v>
      </c>
      <c r="AO8" s="85"/>
      <c r="AP8" s="85">
        <f>'General information '!J8</f>
        <v>96</v>
      </c>
      <c r="AQ8" s="82"/>
      <c r="AR8" s="286">
        <f t="shared" si="25"/>
        <v>43954</v>
      </c>
      <c r="AS8" s="446">
        <f t="shared" si="6"/>
        <v>0.9</v>
      </c>
      <c r="AT8" s="205">
        <v>200</v>
      </c>
      <c r="AU8" s="447">
        <v>1.1000000000000001</v>
      </c>
      <c r="AV8" s="205">
        <v>115</v>
      </c>
      <c r="AW8" s="5">
        <v>2.9</v>
      </c>
      <c r="AX8" s="205">
        <v>130</v>
      </c>
      <c r="AY8" s="450">
        <f t="shared" si="7"/>
        <v>180</v>
      </c>
      <c r="AZ8" s="450">
        <f t="shared" si="26"/>
        <v>126.50000000000001</v>
      </c>
      <c r="BA8" s="450">
        <f t="shared" si="27"/>
        <v>377</v>
      </c>
      <c r="BB8" s="21">
        <f t="shared" si="28"/>
        <v>104.39999999999999</v>
      </c>
      <c r="BC8" s="21">
        <f t="shared" si="29"/>
        <v>18.700000000000003</v>
      </c>
      <c r="BD8" s="21">
        <f t="shared" si="29"/>
        <v>17.400000000000034</v>
      </c>
      <c r="BE8" s="24">
        <f t="shared" si="30"/>
        <v>140.50000000000003</v>
      </c>
      <c r="BF8" s="97">
        <f t="shared" si="8"/>
        <v>199.49999999999997</v>
      </c>
      <c r="BG8" s="83">
        <f t="shared" si="9"/>
        <v>140.50000000000003</v>
      </c>
      <c r="BI8" s="87"/>
      <c r="BJ8" s="17"/>
      <c r="BK8" s="17"/>
    </row>
    <row r="9" spans="1:65" ht="15.75" thickBot="1">
      <c r="A9" s="6">
        <f>ELEC!C6</f>
        <v>43955</v>
      </c>
      <c r="B9" s="5">
        <f t="shared" si="10"/>
        <v>108473</v>
      </c>
      <c r="C9" s="5">
        <f t="shared" si="11"/>
        <v>0</v>
      </c>
      <c r="D9" s="441">
        <f t="shared" si="12"/>
        <v>0</v>
      </c>
      <c r="E9" s="349">
        <f>SUM((C9*$E$4)+(7500/'EDl log'!$A$38))</f>
        <v>241.93548387096774</v>
      </c>
      <c r="F9" s="440"/>
      <c r="G9" s="5">
        <v>596773</v>
      </c>
      <c r="H9" s="5">
        <f t="shared" si="13"/>
        <v>0</v>
      </c>
      <c r="I9" s="5">
        <f t="shared" si="0"/>
        <v>0</v>
      </c>
      <c r="J9" s="350">
        <f t="shared" si="1"/>
        <v>0</v>
      </c>
      <c r="K9" s="5">
        <f>'Swimming Pool quality check '!H9</f>
        <v>6098</v>
      </c>
      <c r="L9" s="84">
        <f t="shared" ref="L9:L35" si="32">K9-K8</f>
        <v>6</v>
      </c>
      <c r="M9" s="432">
        <f t="shared" si="14"/>
        <v>457.44</v>
      </c>
      <c r="N9" s="547">
        <f t="shared" si="2"/>
        <v>0</v>
      </c>
      <c r="O9" s="432">
        <f t="shared" si="15"/>
        <v>529.52</v>
      </c>
      <c r="P9" s="547">
        <f t="shared" si="3"/>
        <v>0</v>
      </c>
      <c r="Q9" s="548">
        <f>P9+N9</f>
        <v>0</v>
      </c>
      <c r="R9" s="547"/>
      <c r="S9" s="547"/>
      <c r="T9" s="5">
        <f t="shared" si="16"/>
        <v>4788</v>
      </c>
      <c r="U9" s="585">
        <v>4790</v>
      </c>
      <c r="V9" s="5">
        <v>405</v>
      </c>
      <c r="W9" s="340">
        <f t="shared" si="17"/>
        <v>1</v>
      </c>
      <c r="X9" s="585">
        <v>143013</v>
      </c>
      <c r="Y9" s="340">
        <f t="shared" si="18"/>
        <v>2</v>
      </c>
      <c r="Z9" s="5">
        <v>94254</v>
      </c>
      <c r="AA9" s="84">
        <f t="shared" si="19"/>
        <v>21</v>
      </c>
      <c r="AB9" s="5">
        <f t="shared" si="16"/>
        <v>266</v>
      </c>
      <c r="AC9" s="5">
        <f t="shared" si="16"/>
        <v>671</v>
      </c>
      <c r="AD9" s="84">
        <f t="shared" si="31"/>
        <v>0</v>
      </c>
      <c r="AE9" s="5">
        <f t="shared" si="16"/>
        <v>149.46</v>
      </c>
      <c r="AF9" s="84">
        <f t="shared" si="20"/>
        <v>0</v>
      </c>
      <c r="AG9" s="5">
        <f t="shared" si="16"/>
        <v>1518</v>
      </c>
      <c r="AH9" s="84">
        <f t="shared" si="21"/>
        <v>0</v>
      </c>
      <c r="AI9" s="84">
        <f t="shared" si="22"/>
        <v>0</v>
      </c>
      <c r="AJ9" s="342">
        <f t="shared" si="23"/>
        <v>21</v>
      </c>
      <c r="AK9" s="343">
        <f t="shared" si="5"/>
        <v>-4</v>
      </c>
      <c r="AL9" s="343">
        <f t="shared" si="24"/>
        <v>20</v>
      </c>
      <c r="AM9" s="343">
        <f>'General information '!D9</f>
        <v>20</v>
      </c>
      <c r="AN9" s="85">
        <f>'General information '!H9</f>
        <v>0</v>
      </c>
      <c r="AO9" s="85"/>
      <c r="AP9" s="85">
        <f>'General information '!J9</f>
        <v>0</v>
      </c>
      <c r="AQ9" s="82"/>
      <c r="AR9" s="286">
        <f t="shared" si="25"/>
        <v>43955</v>
      </c>
      <c r="AS9" s="446">
        <f t="shared" si="6"/>
        <v>0.9</v>
      </c>
      <c r="AT9" s="205">
        <v>200</v>
      </c>
      <c r="AU9" s="447">
        <f t="shared" ref="AU9:AV36" si="33">AU8</f>
        <v>1.1000000000000001</v>
      </c>
      <c r="AV9" s="205">
        <v>90</v>
      </c>
      <c r="AW9" s="5">
        <v>2.9</v>
      </c>
      <c r="AX9" s="205">
        <v>134</v>
      </c>
      <c r="AY9" s="450">
        <f t="shared" si="7"/>
        <v>180</v>
      </c>
      <c r="AZ9" s="450">
        <f t="shared" si="26"/>
        <v>99.000000000000014</v>
      </c>
      <c r="BA9" s="450">
        <f t="shared" si="27"/>
        <v>388.59999999999997</v>
      </c>
      <c r="BB9" s="21">
        <f t="shared" si="28"/>
        <v>0</v>
      </c>
      <c r="BC9" s="21">
        <f t="shared" si="29"/>
        <v>-27.5</v>
      </c>
      <c r="BD9" s="21">
        <f t="shared" si="29"/>
        <v>11.599999999999966</v>
      </c>
      <c r="BE9" s="24">
        <f t="shared" si="30"/>
        <v>-15.900000000000034</v>
      </c>
      <c r="BF9" s="365">
        <f t="shared" si="8"/>
        <v>15.900000000000034</v>
      </c>
      <c r="BG9" s="83">
        <f t="shared" si="9"/>
        <v>-15.900000000000034</v>
      </c>
    </row>
    <row r="10" spans="1:65" ht="15.75" thickBot="1">
      <c r="A10" s="6">
        <f>ELEC!C7</f>
        <v>43956</v>
      </c>
      <c r="B10" s="5">
        <f t="shared" si="10"/>
        <v>108473</v>
      </c>
      <c r="C10" s="5">
        <f t="shared" si="11"/>
        <v>0</v>
      </c>
      <c r="D10" s="441">
        <f t="shared" si="12"/>
        <v>0</v>
      </c>
      <c r="E10" s="349">
        <f>SUM((C10*$E$4)+(7500/'EDl log'!$A$38))</f>
        <v>241.93548387096774</v>
      </c>
      <c r="F10" s="440"/>
      <c r="G10" s="5">
        <f t="shared" ref="G10:G36" si="34">G9</f>
        <v>596773</v>
      </c>
      <c r="H10" s="5">
        <f t="shared" si="13"/>
        <v>0</v>
      </c>
      <c r="I10" s="5">
        <f t="shared" si="0"/>
        <v>0</v>
      </c>
      <c r="J10" s="350">
        <f t="shared" si="1"/>
        <v>0</v>
      </c>
      <c r="K10" s="5">
        <f>'Swimming Pool quality check '!H10</f>
        <v>6098</v>
      </c>
      <c r="L10" s="84">
        <f>K10-K9</f>
        <v>0</v>
      </c>
      <c r="M10" s="432">
        <f t="shared" si="14"/>
        <v>457.44</v>
      </c>
      <c r="N10" s="547">
        <f t="shared" si="2"/>
        <v>0</v>
      </c>
      <c r="O10" s="432">
        <f t="shared" si="15"/>
        <v>529.52</v>
      </c>
      <c r="P10" s="547">
        <f t="shared" si="3"/>
        <v>0</v>
      </c>
      <c r="Q10" s="548">
        <f>P10+N10</f>
        <v>0</v>
      </c>
      <c r="R10" s="547"/>
      <c r="S10" s="547"/>
      <c r="T10" s="5">
        <f t="shared" si="16"/>
        <v>4788</v>
      </c>
      <c r="U10" s="5">
        <f t="shared" si="4"/>
        <v>0</v>
      </c>
      <c r="V10" s="5">
        <f t="shared" si="16"/>
        <v>405</v>
      </c>
      <c r="W10" s="340">
        <f t="shared" si="17"/>
        <v>0</v>
      </c>
      <c r="X10" s="5">
        <f t="shared" si="16"/>
        <v>143013</v>
      </c>
      <c r="Y10" s="340">
        <f t="shared" si="18"/>
        <v>0</v>
      </c>
      <c r="Z10" s="5">
        <f t="shared" si="16"/>
        <v>94254</v>
      </c>
      <c r="AA10" s="84">
        <f t="shared" si="19"/>
        <v>0</v>
      </c>
      <c r="AB10" s="5">
        <f t="shared" si="16"/>
        <v>266</v>
      </c>
      <c r="AC10" s="5">
        <f t="shared" si="16"/>
        <v>671</v>
      </c>
      <c r="AD10" s="84">
        <f t="shared" si="31"/>
        <v>0</v>
      </c>
      <c r="AE10" s="5">
        <f t="shared" si="16"/>
        <v>149.46</v>
      </c>
      <c r="AF10" s="84">
        <f t="shared" si="20"/>
        <v>0</v>
      </c>
      <c r="AG10" s="5">
        <f t="shared" si="16"/>
        <v>1518</v>
      </c>
      <c r="AH10" s="84">
        <f t="shared" si="21"/>
        <v>0</v>
      </c>
      <c r="AI10" s="84">
        <f t="shared" si="22"/>
        <v>0</v>
      </c>
      <c r="AJ10" s="342">
        <f t="shared" si="23"/>
        <v>0</v>
      </c>
      <c r="AK10" s="343">
        <f t="shared" si="5"/>
        <v>0</v>
      </c>
      <c r="AL10" s="343">
        <f t="shared" si="24"/>
        <v>0</v>
      </c>
      <c r="AM10" s="343">
        <f>'General information '!D10</f>
        <v>0</v>
      </c>
      <c r="AN10" s="85">
        <f>'General information '!H10</f>
        <v>0</v>
      </c>
      <c r="AO10" s="85"/>
      <c r="AP10" s="85">
        <f>'General information '!J10</f>
        <v>0</v>
      </c>
      <c r="AQ10" s="82"/>
      <c r="AR10" s="286">
        <f t="shared" si="25"/>
        <v>43956</v>
      </c>
      <c r="AS10" s="446">
        <f t="shared" si="6"/>
        <v>0.9</v>
      </c>
      <c r="AT10" s="205">
        <f t="shared" si="6"/>
        <v>200</v>
      </c>
      <c r="AU10" s="447">
        <f t="shared" si="33"/>
        <v>1.1000000000000001</v>
      </c>
      <c r="AV10" s="205">
        <f t="shared" si="33"/>
        <v>90</v>
      </c>
      <c r="AW10" s="5">
        <v>2.9</v>
      </c>
      <c r="AX10" s="205">
        <f t="shared" ref="AX10" si="35">AX9</f>
        <v>134</v>
      </c>
      <c r="AY10" s="450">
        <f t="shared" si="7"/>
        <v>180</v>
      </c>
      <c r="AZ10" s="450">
        <f t="shared" si="26"/>
        <v>99.000000000000014</v>
      </c>
      <c r="BA10" s="450">
        <f t="shared" si="27"/>
        <v>388.59999999999997</v>
      </c>
      <c r="BB10" s="21">
        <f t="shared" si="28"/>
        <v>0</v>
      </c>
      <c r="BC10" s="21">
        <f t="shared" si="29"/>
        <v>0</v>
      </c>
      <c r="BD10" s="21">
        <f t="shared" si="29"/>
        <v>0</v>
      </c>
      <c r="BE10" s="24">
        <f t="shared" si="30"/>
        <v>0</v>
      </c>
      <c r="BF10" s="97">
        <f t="shared" si="8"/>
        <v>0</v>
      </c>
      <c r="BG10" s="83">
        <f t="shared" si="9"/>
        <v>0</v>
      </c>
    </row>
    <row r="11" spans="1:65" ht="15.75" thickBot="1">
      <c r="A11" s="6">
        <f>ELEC!C8</f>
        <v>43957</v>
      </c>
      <c r="B11" s="5">
        <f t="shared" si="10"/>
        <v>108473</v>
      </c>
      <c r="C11" s="5">
        <f t="shared" si="11"/>
        <v>0</v>
      </c>
      <c r="D11" s="441">
        <f t="shared" si="12"/>
        <v>0</v>
      </c>
      <c r="E11" s="349">
        <f>SUM((C11*$E$4)+(7500/'EDl log'!$A$38))</f>
        <v>241.93548387096774</v>
      </c>
      <c r="F11" s="440"/>
      <c r="G11" s="5">
        <f t="shared" si="34"/>
        <v>596773</v>
      </c>
      <c r="H11" s="5">
        <f t="shared" si="13"/>
        <v>0</v>
      </c>
      <c r="I11" s="5">
        <f t="shared" si="0"/>
        <v>0</v>
      </c>
      <c r="J11" s="350">
        <f t="shared" si="1"/>
        <v>0</v>
      </c>
      <c r="K11" s="5">
        <f>'Swimming Pool quality check '!H11</f>
        <v>6098</v>
      </c>
      <c r="L11" s="84">
        <f t="shared" si="32"/>
        <v>0</v>
      </c>
      <c r="M11" s="432">
        <f t="shared" si="14"/>
        <v>457.44</v>
      </c>
      <c r="N11" s="547">
        <f t="shared" si="2"/>
        <v>0</v>
      </c>
      <c r="O11" s="432">
        <f t="shared" si="15"/>
        <v>529.52</v>
      </c>
      <c r="P11" s="547">
        <f t="shared" si="3"/>
        <v>0</v>
      </c>
      <c r="Q11" s="547">
        <f>SUM(P11+N11)</f>
        <v>0</v>
      </c>
      <c r="R11" s="547"/>
      <c r="S11" s="547"/>
      <c r="T11" s="5">
        <f t="shared" si="16"/>
        <v>4788</v>
      </c>
      <c r="U11" s="5">
        <f t="shared" si="4"/>
        <v>0</v>
      </c>
      <c r="V11" s="5">
        <f t="shared" si="16"/>
        <v>405</v>
      </c>
      <c r="W11" s="340">
        <f t="shared" si="17"/>
        <v>0</v>
      </c>
      <c r="X11" s="5">
        <f t="shared" si="16"/>
        <v>143013</v>
      </c>
      <c r="Y11" s="340">
        <f t="shared" si="18"/>
        <v>0</v>
      </c>
      <c r="Z11" s="5">
        <f t="shared" si="16"/>
        <v>94254</v>
      </c>
      <c r="AA11" s="84">
        <f t="shared" si="19"/>
        <v>0</v>
      </c>
      <c r="AB11" s="5">
        <f t="shared" si="16"/>
        <v>266</v>
      </c>
      <c r="AC11" s="5">
        <f t="shared" si="16"/>
        <v>671</v>
      </c>
      <c r="AD11" s="84">
        <f t="shared" si="31"/>
        <v>0</v>
      </c>
      <c r="AE11" s="5">
        <f t="shared" si="16"/>
        <v>149.46</v>
      </c>
      <c r="AF11" s="84">
        <f t="shared" si="20"/>
        <v>0</v>
      </c>
      <c r="AG11" s="5">
        <f t="shared" si="16"/>
        <v>1518</v>
      </c>
      <c r="AH11" s="84">
        <f t="shared" si="21"/>
        <v>0</v>
      </c>
      <c r="AI11" s="84">
        <f t="shared" si="22"/>
        <v>0</v>
      </c>
      <c r="AJ11" s="342">
        <f t="shared" si="23"/>
        <v>0</v>
      </c>
      <c r="AK11" s="343">
        <f t="shared" si="5"/>
        <v>0</v>
      </c>
      <c r="AL11" s="343">
        <f t="shared" si="24"/>
        <v>0</v>
      </c>
      <c r="AM11" s="343">
        <f>'General information '!D11</f>
        <v>0</v>
      </c>
      <c r="AN11" s="85">
        <f>'General information '!H11</f>
        <v>0</v>
      </c>
      <c r="AO11" s="85"/>
      <c r="AP11" s="85">
        <f>'General information '!J11</f>
        <v>0</v>
      </c>
      <c r="AQ11" s="82"/>
      <c r="AR11" s="286">
        <f t="shared" si="25"/>
        <v>43957</v>
      </c>
      <c r="AS11" s="446">
        <f t="shared" si="6"/>
        <v>0.9</v>
      </c>
      <c r="AT11" s="205">
        <f t="shared" si="6"/>
        <v>200</v>
      </c>
      <c r="AU11" s="447">
        <f t="shared" si="33"/>
        <v>1.1000000000000001</v>
      </c>
      <c r="AV11" s="205">
        <f t="shared" si="33"/>
        <v>90</v>
      </c>
      <c r="AW11" s="5">
        <v>2.9</v>
      </c>
      <c r="AX11" s="205">
        <f t="shared" ref="AX11" si="36">AX10</f>
        <v>134</v>
      </c>
      <c r="AY11" s="450">
        <f t="shared" si="7"/>
        <v>180</v>
      </c>
      <c r="AZ11" s="450">
        <f t="shared" si="26"/>
        <v>99.000000000000014</v>
      </c>
      <c r="BA11" s="450">
        <f t="shared" si="27"/>
        <v>388.59999999999997</v>
      </c>
      <c r="BB11" s="21">
        <f t="shared" si="28"/>
        <v>0</v>
      </c>
      <c r="BC11" s="21">
        <f t="shared" si="29"/>
        <v>0</v>
      </c>
      <c r="BD11" s="21">
        <f t="shared" si="29"/>
        <v>0</v>
      </c>
      <c r="BE11" s="24">
        <f t="shared" si="30"/>
        <v>0</v>
      </c>
      <c r="BF11" s="97">
        <f t="shared" si="8"/>
        <v>0</v>
      </c>
      <c r="BG11" s="83">
        <f t="shared" si="9"/>
        <v>0</v>
      </c>
    </row>
    <row r="12" spans="1:65" ht="15.75" thickBot="1">
      <c r="A12" s="6">
        <f>ELEC!C9</f>
        <v>43958</v>
      </c>
      <c r="B12" s="5">
        <f t="shared" si="10"/>
        <v>108473</v>
      </c>
      <c r="C12" s="5">
        <f>B12-B11</f>
        <v>0</v>
      </c>
      <c r="D12" s="441">
        <f t="shared" si="12"/>
        <v>0</v>
      </c>
      <c r="E12" s="349">
        <f>SUM((C12*$E$4)+(7500/'EDl log'!$A$38))</f>
        <v>241.93548387096774</v>
      </c>
      <c r="F12" s="440"/>
      <c r="G12" s="5">
        <f t="shared" si="34"/>
        <v>596773</v>
      </c>
      <c r="H12" s="5">
        <f t="shared" si="13"/>
        <v>0</v>
      </c>
      <c r="I12" s="5">
        <f t="shared" si="0"/>
        <v>0</v>
      </c>
      <c r="J12" s="350">
        <f t="shared" si="1"/>
        <v>0</v>
      </c>
      <c r="K12" s="5">
        <f>'Swimming Pool quality check '!H12</f>
        <v>6098</v>
      </c>
      <c r="L12" s="84">
        <f t="shared" si="32"/>
        <v>0</v>
      </c>
      <c r="M12" s="432">
        <f t="shared" si="14"/>
        <v>457.44</v>
      </c>
      <c r="N12" s="547">
        <f t="shared" si="2"/>
        <v>0</v>
      </c>
      <c r="O12" s="432">
        <f t="shared" si="15"/>
        <v>529.52</v>
      </c>
      <c r="P12" s="547">
        <f t="shared" si="3"/>
        <v>0</v>
      </c>
      <c r="Q12" s="547">
        <f>SUM(P12+N12)</f>
        <v>0</v>
      </c>
      <c r="R12" s="547"/>
      <c r="S12" s="547"/>
      <c r="T12" s="5">
        <f t="shared" si="16"/>
        <v>4788</v>
      </c>
      <c r="U12" s="5">
        <f t="shared" si="4"/>
        <v>0</v>
      </c>
      <c r="V12" s="5">
        <f t="shared" si="16"/>
        <v>405</v>
      </c>
      <c r="W12" s="340">
        <f t="shared" si="17"/>
        <v>0</v>
      </c>
      <c r="X12" s="5">
        <f t="shared" si="16"/>
        <v>143013</v>
      </c>
      <c r="Y12" s="340">
        <f t="shared" si="18"/>
        <v>0</v>
      </c>
      <c r="Z12" s="5">
        <f t="shared" si="16"/>
        <v>94254</v>
      </c>
      <c r="AA12" s="84">
        <f t="shared" si="19"/>
        <v>0</v>
      </c>
      <c r="AB12" s="5">
        <f t="shared" si="16"/>
        <v>266</v>
      </c>
      <c r="AC12" s="5">
        <f t="shared" si="16"/>
        <v>671</v>
      </c>
      <c r="AD12" s="84">
        <f t="shared" si="31"/>
        <v>0</v>
      </c>
      <c r="AE12" s="5">
        <f t="shared" si="16"/>
        <v>149.46</v>
      </c>
      <c r="AF12" s="84">
        <f t="shared" si="20"/>
        <v>0</v>
      </c>
      <c r="AG12" s="5">
        <f t="shared" si="16"/>
        <v>1518</v>
      </c>
      <c r="AH12" s="84">
        <f t="shared" si="21"/>
        <v>0</v>
      </c>
      <c r="AI12" s="84">
        <f t="shared" si="22"/>
        <v>0</v>
      </c>
      <c r="AJ12" s="342">
        <f t="shared" si="23"/>
        <v>0</v>
      </c>
      <c r="AK12" s="343">
        <f t="shared" si="5"/>
        <v>0</v>
      </c>
      <c r="AL12" s="343">
        <f t="shared" si="24"/>
        <v>0</v>
      </c>
      <c r="AM12" s="343">
        <f>'General information '!D12</f>
        <v>0</v>
      </c>
      <c r="AN12" s="85">
        <f>'General information '!H12</f>
        <v>0</v>
      </c>
      <c r="AO12" s="85"/>
      <c r="AP12" s="85">
        <f>'General information '!J12</f>
        <v>0</v>
      </c>
      <c r="AQ12" s="82"/>
      <c r="AR12" s="286">
        <f t="shared" si="25"/>
        <v>43958</v>
      </c>
      <c r="AS12" s="446">
        <f t="shared" si="6"/>
        <v>0.9</v>
      </c>
      <c r="AT12" s="205">
        <f t="shared" si="6"/>
        <v>200</v>
      </c>
      <c r="AU12" s="447">
        <f t="shared" si="33"/>
        <v>1.1000000000000001</v>
      </c>
      <c r="AV12" s="205">
        <f t="shared" si="33"/>
        <v>90</v>
      </c>
      <c r="AW12" s="5">
        <v>2.9</v>
      </c>
      <c r="AX12" s="205">
        <f t="shared" ref="AX12" si="37">AX11</f>
        <v>134</v>
      </c>
      <c r="AY12" s="450">
        <f t="shared" si="7"/>
        <v>180</v>
      </c>
      <c r="AZ12" s="450">
        <f t="shared" si="26"/>
        <v>99.000000000000014</v>
      </c>
      <c r="BA12" s="450">
        <f t="shared" si="27"/>
        <v>388.59999999999997</v>
      </c>
      <c r="BB12" s="21">
        <f t="shared" si="28"/>
        <v>0</v>
      </c>
      <c r="BC12" s="21">
        <f t="shared" si="29"/>
        <v>0</v>
      </c>
      <c r="BD12" s="21">
        <f t="shared" si="29"/>
        <v>0</v>
      </c>
      <c r="BE12" s="24">
        <f t="shared" si="30"/>
        <v>0</v>
      </c>
      <c r="BF12" s="97">
        <f t="shared" si="8"/>
        <v>0</v>
      </c>
      <c r="BG12" s="83">
        <f t="shared" si="9"/>
        <v>0</v>
      </c>
    </row>
    <row r="13" spans="1:65" ht="15.75" thickBot="1">
      <c r="A13" s="6">
        <f>ELEC!C10</f>
        <v>43959</v>
      </c>
      <c r="B13" s="5">
        <f t="shared" si="10"/>
        <v>108473</v>
      </c>
      <c r="C13" s="5">
        <f t="shared" si="11"/>
        <v>0</v>
      </c>
      <c r="D13" s="441">
        <f t="shared" si="12"/>
        <v>0</v>
      </c>
      <c r="E13" s="349">
        <f>SUM((C13*$E$4)+(7500/'EDl log'!$A$38))</f>
        <v>241.93548387096774</v>
      </c>
      <c r="F13" s="440"/>
      <c r="G13" s="5">
        <f t="shared" si="34"/>
        <v>596773</v>
      </c>
      <c r="H13" s="5">
        <f t="shared" si="13"/>
        <v>0</v>
      </c>
      <c r="I13" s="5">
        <f t="shared" si="0"/>
        <v>0</v>
      </c>
      <c r="J13" s="350">
        <f t="shared" si="1"/>
        <v>0</v>
      </c>
      <c r="K13" s="5">
        <f>'Swimming Pool quality check '!H13</f>
        <v>6098</v>
      </c>
      <c r="L13" s="84">
        <f t="shared" si="32"/>
        <v>0</v>
      </c>
      <c r="M13" s="432">
        <f t="shared" si="14"/>
        <v>457.44</v>
      </c>
      <c r="N13" s="547">
        <f t="shared" si="2"/>
        <v>0</v>
      </c>
      <c r="O13" s="432">
        <f t="shared" si="15"/>
        <v>529.52</v>
      </c>
      <c r="P13" s="547">
        <f t="shared" si="3"/>
        <v>0</v>
      </c>
      <c r="Q13" s="547">
        <f>SUM(P13+N13)</f>
        <v>0</v>
      </c>
      <c r="R13" s="547"/>
      <c r="S13" s="547"/>
      <c r="T13" s="5">
        <f t="shared" si="16"/>
        <v>4788</v>
      </c>
      <c r="U13" s="5">
        <f t="shared" si="4"/>
        <v>0</v>
      </c>
      <c r="V13" s="5">
        <f t="shared" si="16"/>
        <v>405</v>
      </c>
      <c r="W13" s="340">
        <f t="shared" si="17"/>
        <v>0</v>
      </c>
      <c r="X13" s="5">
        <f t="shared" si="16"/>
        <v>143013</v>
      </c>
      <c r="Y13" s="340">
        <f t="shared" si="18"/>
        <v>0</v>
      </c>
      <c r="Z13" s="5">
        <f t="shared" si="16"/>
        <v>94254</v>
      </c>
      <c r="AA13" s="84">
        <f t="shared" si="19"/>
        <v>0</v>
      </c>
      <c r="AB13" s="5">
        <f t="shared" si="16"/>
        <v>266</v>
      </c>
      <c r="AC13" s="5">
        <f t="shared" si="16"/>
        <v>671</v>
      </c>
      <c r="AD13" s="84">
        <f t="shared" si="31"/>
        <v>0</v>
      </c>
      <c r="AE13" s="5">
        <f t="shared" si="16"/>
        <v>149.46</v>
      </c>
      <c r="AF13" s="84">
        <f t="shared" si="20"/>
        <v>0</v>
      </c>
      <c r="AG13" s="5">
        <f t="shared" si="16"/>
        <v>1518</v>
      </c>
      <c r="AH13" s="84">
        <f t="shared" si="21"/>
        <v>0</v>
      </c>
      <c r="AI13" s="84">
        <f t="shared" si="22"/>
        <v>0</v>
      </c>
      <c r="AJ13" s="342">
        <f t="shared" si="23"/>
        <v>0</v>
      </c>
      <c r="AK13" s="343">
        <f t="shared" si="5"/>
        <v>0</v>
      </c>
      <c r="AL13" s="343">
        <f t="shared" si="24"/>
        <v>0</v>
      </c>
      <c r="AM13" s="343">
        <f>'General information '!D13</f>
        <v>0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6">
        <f t="shared" si="25"/>
        <v>43959</v>
      </c>
      <c r="AS13" s="446">
        <f t="shared" si="6"/>
        <v>0.9</v>
      </c>
      <c r="AT13" s="205">
        <f t="shared" si="6"/>
        <v>200</v>
      </c>
      <c r="AU13" s="447">
        <f t="shared" si="33"/>
        <v>1.1000000000000001</v>
      </c>
      <c r="AV13" s="205">
        <f t="shared" si="33"/>
        <v>90</v>
      </c>
      <c r="AW13" s="5">
        <v>2.9</v>
      </c>
      <c r="AX13" s="205">
        <f t="shared" ref="AX13" si="38">AX12</f>
        <v>134</v>
      </c>
      <c r="AY13" s="450">
        <f t="shared" si="7"/>
        <v>180</v>
      </c>
      <c r="AZ13" s="450">
        <f t="shared" si="26"/>
        <v>99.000000000000014</v>
      </c>
      <c r="BA13" s="450">
        <f t="shared" si="27"/>
        <v>388.59999999999997</v>
      </c>
      <c r="BB13" s="21">
        <f t="shared" si="28"/>
        <v>0</v>
      </c>
      <c r="BC13" s="21">
        <f t="shared" si="29"/>
        <v>0</v>
      </c>
      <c r="BD13" s="21">
        <f t="shared" si="29"/>
        <v>0</v>
      </c>
      <c r="BE13" s="24">
        <f t="shared" si="30"/>
        <v>0</v>
      </c>
      <c r="BF13" s="97">
        <f t="shared" si="8"/>
        <v>0</v>
      </c>
      <c r="BG13" s="83">
        <f t="shared" si="9"/>
        <v>0</v>
      </c>
    </row>
    <row r="14" spans="1:65" ht="15.75" thickBot="1">
      <c r="A14" s="6">
        <f>ELEC!C11</f>
        <v>43960</v>
      </c>
      <c r="B14" s="5">
        <f t="shared" si="10"/>
        <v>108473</v>
      </c>
      <c r="C14" s="5">
        <f t="shared" si="11"/>
        <v>0</v>
      </c>
      <c r="D14" s="441">
        <f t="shared" si="12"/>
        <v>0</v>
      </c>
      <c r="E14" s="349">
        <f>SUM((C14*$E$4)+(7500/'EDl log'!$A$38))</f>
        <v>241.93548387096774</v>
      </c>
      <c r="F14" s="440"/>
      <c r="G14" s="5">
        <f t="shared" si="34"/>
        <v>596773</v>
      </c>
      <c r="H14" s="5">
        <f t="shared" si="13"/>
        <v>0</v>
      </c>
      <c r="I14" s="5">
        <f t="shared" si="0"/>
        <v>0</v>
      </c>
      <c r="J14" s="350">
        <f t="shared" si="1"/>
        <v>0</v>
      </c>
      <c r="K14" s="5">
        <f>'Swimming Pool quality check '!H14</f>
        <v>6098</v>
      </c>
      <c r="L14" s="84">
        <f t="shared" si="32"/>
        <v>0</v>
      </c>
      <c r="M14" s="432">
        <f t="shared" si="14"/>
        <v>457.44</v>
      </c>
      <c r="N14" s="547">
        <f t="shared" ref="N14:N36" si="39">SUM(M14-M13)</f>
        <v>0</v>
      </c>
      <c r="O14" s="432">
        <f t="shared" si="15"/>
        <v>529.52</v>
      </c>
      <c r="P14" s="547">
        <f t="shared" ref="P14:P36" si="40">SUM(O14-O13)</f>
        <v>0</v>
      </c>
      <c r="Q14" s="547">
        <f t="shared" ref="Q14:Q36" si="41">SUM(P14+N14)</f>
        <v>0</v>
      </c>
      <c r="R14" s="547"/>
      <c r="S14" s="547"/>
      <c r="T14" s="5">
        <f t="shared" si="16"/>
        <v>4788</v>
      </c>
      <c r="U14" s="5">
        <f t="shared" si="4"/>
        <v>0</v>
      </c>
      <c r="V14" s="5">
        <f t="shared" si="16"/>
        <v>405</v>
      </c>
      <c r="W14" s="340">
        <f t="shared" si="17"/>
        <v>0</v>
      </c>
      <c r="X14" s="5">
        <f t="shared" si="16"/>
        <v>143013</v>
      </c>
      <c r="Y14" s="340">
        <f t="shared" si="18"/>
        <v>0</v>
      </c>
      <c r="Z14" s="5">
        <f t="shared" si="16"/>
        <v>94254</v>
      </c>
      <c r="AA14" s="84">
        <f t="shared" si="19"/>
        <v>0</v>
      </c>
      <c r="AB14" s="5">
        <f t="shared" si="16"/>
        <v>266</v>
      </c>
      <c r="AC14" s="5">
        <f t="shared" si="16"/>
        <v>671</v>
      </c>
      <c r="AD14" s="84">
        <f t="shared" si="31"/>
        <v>0</v>
      </c>
      <c r="AE14" s="5">
        <f t="shared" si="16"/>
        <v>149.46</v>
      </c>
      <c r="AF14" s="84">
        <f t="shared" si="20"/>
        <v>0</v>
      </c>
      <c r="AG14" s="5">
        <f t="shared" si="16"/>
        <v>1518</v>
      </c>
      <c r="AH14" s="84">
        <f t="shared" si="21"/>
        <v>0</v>
      </c>
      <c r="AI14" s="84">
        <f t="shared" si="22"/>
        <v>0</v>
      </c>
      <c r="AJ14" s="342">
        <f t="shared" si="23"/>
        <v>0</v>
      </c>
      <c r="AK14" s="343">
        <f t="shared" si="5"/>
        <v>0</v>
      </c>
      <c r="AL14" s="343">
        <f t="shared" si="24"/>
        <v>0</v>
      </c>
      <c r="AM14" s="343">
        <f>'General information '!D14</f>
        <v>0</v>
      </c>
      <c r="AN14" s="85">
        <f>'General information '!H14</f>
        <v>0</v>
      </c>
      <c r="AO14" s="85"/>
      <c r="AP14" s="85">
        <f>'General information '!J14</f>
        <v>0</v>
      </c>
      <c r="AQ14" s="82"/>
      <c r="AR14" s="286">
        <f t="shared" si="25"/>
        <v>43960</v>
      </c>
      <c r="AS14" s="446">
        <f t="shared" si="6"/>
        <v>0.9</v>
      </c>
      <c r="AT14" s="205">
        <f t="shared" si="6"/>
        <v>200</v>
      </c>
      <c r="AU14" s="447">
        <f t="shared" si="33"/>
        <v>1.1000000000000001</v>
      </c>
      <c r="AV14" s="205">
        <f t="shared" si="33"/>
        <v>90</v>
      </c>
      <c r="AW14" s="5">
        <v>2.9</v>
      </c>
      <c r="AX14" s="205">
        <f t="shared" ref="AX14" si="42">AX13</f>
        <v>134</v>
      </c>
      <c r="AY14" s="450">
        <f t="shared" si="7"/>
        <v>180</v>
      </c>
      <c r="AZ14" s="450">
        <f t="shared" si="26"/>
        <v>99.000000000000014</v>
      </c>
      <c r="BA14" s="450">
        <f t="shared" si="27"/>
        <v>388.59999999999997</v>
      </c>
      <c r="BB14" s="21">
        <f t="shared" si="28"/>
        <v>0</v>
      </c>
      <c r="BC14" s="21">
        <f t="shared" si="29"/>
        <v>0</v>
      </c>
      <c r="BD14" s="21">
        <f t="shared" si="29"/>
        <v>0</v>
      </c>
      <c r="BE14" s="24">
        <f t="shared" si="30"/>
        <v>0</v>
      </c>
      <c r="BF14" s="97">
        <f t="shared" si="8"/>
        <v>0</v>
      </c>
      <c r="BG14" s="83">
        <f t="shared" si="9"/>
        <v>0</v>
      </c>
    </row>
    <row r="15" spans="1:65" ht="16.5" customHeight="1" thickBot="1">
      <c r="A15" s="6">
        <f>ELEC!C12</f>
        <v>43961</v>
      </c>
      <c r="B15" s="5">
        <f t="shared" si="10"/>
        <v>108473</v>
      </c>
      <c r="C15" s="5">
        <f t="shared" si="11"/>
        <v>0</v>
      </c>
      <c r="D15" s="441">
        <f t="shared" si="12"/>
        <v>0</v>
      </c>
      <c r="E15" s="349">
        <f>SUM((C15*$E$4)+(7500/'EDl log'!$A$38))</f>
        <v>241.93548387096774</v>
      </c>
      <c r="F15" s="440"/>
      <c r="G15" s="5">
        <f t="shared" si="34"/>
        <v>596773</v>
      </c>
      <c r="H15" s="5">
        <f t="shared" si="13"/>
        <v>0</v>
      </c>
      <c r="I15" s="5">
        <f t="shared" si="0"/>
        <v>0</v>
      </c>
      <c r="J15" s="350">
        <f t="shared" si="1"/>
        <v>0</v>
      </c>
      <c r="K15" s="5">
        <f>'Swimming Pool quality check '!H15</f>
        <v>6098</v>
      </c>
      <c r="L15" s="84">
        <f t="shared" si="32"/>
        <v>0</v>
      </c>
      <c r="M15" s="432">
        <f t="shared" si="14"/>
        <v>457.44</v>
      </c>
      <c r="N15" s="547">
        <f t="shared" si="39"/>
        <v>0</v>
      </c>
      <c r="O15" s="432">
        <f t="shared" si="15"/>
        <v>529.52</v>
      </c>
      <c r="P15" s="547">
        <f t="shared" si="40"/>
        <v>0</v>
      </c>
      <c r="Q15" s="547">
        <f t="shared" si="41"/>
        <v>0</v>
      </c>
      <c r="R15" s="547"/>
      <c r="S15" s="547"/>
      <c r="T15" s="5">
        <f t="shared" si="16"/>
        <v>4788</v>
      </c>
      <c r="U15" s="5">
        <f t="shared" si="4"/>
        <v>0</v>
      </c>
      <c r="V15" s="5">
        <f t="shared" si="16"/>
        <v>405</v>
      </c>
      <c r="W15" s="340">
        <f t="shared" si="17"/>
        <v>0</v>
      </c>
      <c r="X15" s="5">
        <f t="shared" si="16"/>
        <v>143013</v>
      </c>
      <c r="Y15" s="340">
        <f t="shared" si="18"/>
        <v>0</v>
      </c>
      <c r="Z15" s="5">
        <f t="shared" si="16"/>
        <v>94254</v>
      </c>
      <c r="AA15" s="84">
        <f t="shared" si="19"/>
        <v>0</v>
      </c>
      <c r="AB15" s="5">
        <f t="shared" si="16"/>
        <v>266</v>
      </c>
      <c r="AC15" s="5">
        <f t="shared" si="16"/>
        <v>671</v>
      </c>
      <c r="AD15" s="84">
        <f t="shared" si="31"/>
        <v>0</v>
      </c>
      <c r="AE15" s="5">
        <f t="shared" si="16"/>
        <v>149.46</v>
      </c>
      <c r="AF15" s="84">
        <f t="shared" si="20"/>
        <v>0</v>
      </c>
      <c r="AG15" s="5">
        <f t="shared" si="16"/>
        <v>1518</v>
      </c>
      <c r="AH15" s="84">
        <f t="shared" si="21"/>
        <v>0</v>
      </c>
      <c r="AI15" s="84">
        <f t="shared" si="22"/>
        <v>0</v>
      </c>
      <c r="AJ15" s="342">
        <f t="shared" si="23"/>
        <v>0</v>
      </c>
      <c r="AK15" s="343">
        <f t="shared" si="5"/>
        <v>0</v>
      </c>
      <c r="AL15" s="343">
        <f t="shared" si="24"/>
        <v>0</v>
      </c>
      <c r="AM15" s="343">
        <f>'General information '!D15</f>
        <v>0</v>
      </c>
      <c r="AN15" s="85">
        <f>'General information '!H15</f>
        <v>0</v>
      </c>
      <c r="AO15" s="85"/>
      <c r="AP15" s="85">
        <f>'General information '!J15</f>
        <v>0</v>
      </c>
      <c r="AQ15" s="82"/>
      <c r="AR15" s="286">
        <f t="shared" si="25"/>
        <v>43961</v>
      </c>
      <c r="AS15" s="446">
        <f t="shared" si="6"/>
        <v>0.9</v>
      </c>
      <c r="AT15" s="205">
        <f t="shared" si="6"/>
        <v>200</v>
      </c>
      <c r="AU15" s="447">
        <f t="shared" si="33"/>
        <v>1.1000000000000001</v>
      </c>
      <c r="AV15" s="205">
        <f t="shared" si="33"/>
        <v>90</v>
      </c>
      <c r="AW15" s="5">
        <v>2.9</v>
      </c>
      <c r="AX15" s="205">
        <f t="shared" ref="AX15" si="43">AX14</f>
        <v>134</v>
      </c>
      <c r="AY15" s="450">
        <f t="shared" si="7"/>
        <v>180</v>
      </c>
      <c r="AZ15" s="450">
        <f t="shared" si="26"/>
        <v>99.000000000000014</v>
      </c>
      <c r="BA15" s="450">
        <f t="shared" si="27"/>
        <v>388.59999999999997</v>
      </c>
      <c r="BB15" s="21">
        <f t="shared" si="28"/>
        <v>0</v>
      </c>
      <c r="BC15" s="21">
        <f t="shared" si="29"/>
        <v>0</v>
      </c>
      <c r="BD15" s="21">
        <f t="shared" si="29"/>
        <v>0</v>
      </c>
      <c r="BE15" s="24">
        <f t="shared" si="30"/>
        <v>0</v>
      </c>
      <c r="BF15" s="97">
        <f t="shared" si="8"/>
        <v>0</v>
      </c>
      <c r="BG15" s="83">
        <f t="shared" si="9"/>
        <v>0</v>
      </c>
    </row>
    <row r="16" spans="1:65" ht="15.75" thickBot="1">
      <c r="A16" s="6">
        <f>ELEC!C13</f>
        <v>43962</v>
      </c>
      <c r="B16" s="5">
        <f t="shared" si="10"/>
        <v>108473</v>
      </c>
      <c r="C16" s="5">
        <f t="shared" si="11"/>
        <v>0</v>
      </c>
      <c r="D16" s="441">
        <f t="shared" si="12"/>
        <v>0</v>
      </c>
      <c r="E16" s="349">
        <f>SUM((C16*$E$4)+(7500/'EDl log'!$A$38))</f>
        <v>241.93548387096774</v>
      </c>
      <c r="F16" s="440"/>
      <c r="G16" s="5">
        <f t="shared" si="34"/>
        <v>596773</v>
      </c>
      <c r="H16" s="5">
        <f t="shared" si="13"/>
        <v>0</v>
      </c>
      <c r="I16" s="5">
        <f t="shared" si="0"/>
        <v>0</v>
      </c>
      <c r="J16" s="350">
        <f t="shared" si="1"/>
        <v>0</v>
      </c>
      <c r="K16" s="5">
        <f>'Swimming Pool quality check '!H16</f>
        <v>6098</v>
      </c>
      <c r="L16" s="282">
        <f t="shared" si="32"/>
        <v>0</v>
      </c>
      <c r="M16" s="432">
        <f t="shared" si="14"/>
        <v>457.44</v>
      </c>
      <c r="N16" s="547">
        <f t="shared" si="39"/>
        <v>0</v>
      </c>
      <c r="O16" s="432">
        <f t="shared" si="15"/>
        <v>529.52</v>
      </c>
      <c r="P16" s="547">
        <f t="shared" si="40"/>
        <v>0</v>
      </c>
      <c r="Q16" s="547">
        <f t="shared" si="41"/>
        <v>0</v>
      </c>
      <c r="R16" s="549"/>
      <c r="S16" s="549"/>
      <c r="T16" s="5">
        <f t="shared" si="16"/>
        <v>4788</v>
      </c>
      <c r="U16" s="5">
        <f t="shared" si="4"/>
        <v>0</v>
      </c>
      <c r="V16" s="5">
        <f t="shared" si="16"/>
        <v>405</v>
      </c>
      <c r="W16" s="340">
        <f t="shared" si="17"/>
        <v>0</v>
      </c>
      <c r="X16" s="5">
        <f t="shared" si="16"/>
        <v>143013</v>
      </c>
      <c r="Y16" s="340">
        <f t="shared" si="18"/>
        <v>0</v>
      </c>
      <c r="Z16" s="5">
        <f t="shared" si="16"/>
        <v>94254</v>
      </c>
      <c r="AA16" s="84">
        <f t="shared" si="19"/>
        <v>0</v>
      </c>
      <c r="AB16" s="5">
        <f t="shared" si="16"/>
        <v>266</v>
      </c>
      <c r="AC16" s="5">
        <f t="shared" si="16"/>
        <v>671</v>
      </c>
      <c r="AD16" s="84">
        <f t="shared" si="31"/>
        <v>0</v>
      </c>
      <c r="AE16" s="5">
        <f t="shared" si="16"/>
        <v>149.46</v>
      </c>
      <c r="AF16" s="84">
        <f t="shared" si="20"/>
        <v>0</v>
      </c>
      <c r="AG16" s="5">
        <f t="shared" si="16"/>
        <v>1518</v>
      </c>
      <c r="AH16" s="84">
        <f t="shared" si="21"/>
        <v>0</v>
      </c>
      <c r="AI16" s="84">
        <f t="shared" si="22"/>
        <v>0</v>
      </c>
      <c r="AJ16" s="342">
        <f t="shared" si="23"/>
        <v>0</v>
      </c>
      <c r="AK16" s="343">
        <f t="shared" si="5"/>
        <v>0</v>
      </c>
      <c r="AL16" s="343">
        <f t="shared" si="24"/>
        <v>0</v>
      </c>
      <c r="AM16" s="343">
        <f>'General information '!D16</f>
        <v>0</v>
      </c>
      <c r="AN16" s="85">
        <f>'General information '!H16</f>
        <v>0</v>
      </c>
      <c r="AO16" s="85"/>
      <c r="AP16" s="85">
        <f>'General information '!J16</f>
        <v>0</v>
      </c>
      <c r="AQ16" s="82"/>
      <c r="AR16" s="286">
        <f t="shared" si="25"/>
        <v>43962</v>
      </c>
      <c r="AS16" s="446">
        <f t="shared" si="6"/>
        <v>0.9</v>
      </c>
      <c r="AT16" s="205">
        <f t="shared" si="6"/>
        <v>200</v>
      </c>
      <c r="AU16" s="447">
        <f t="shared" si="33"/>
        <v>1.1000000000000001</v>
      </c>
      <c r="AV16" s="205">
        <f t="shared" si="33"/>
        <v>90</v>
      </c>
      <c r="AW16" s="5">
        <v>2.9</v>
      </c>
      <c r="AX16" s="205">
        <f t="shared" ref="AX16" si="44">AX15</f>
        <v>134</v>
      </c>
      <c r="AY16" s="450">
        <f t="shared" si="7"/>
        <v>180</v>
      </c>
      <c r="AZ16" s="450">
        <f t="shared" si="26"/>
        <v>99.000000000000014</v>
      </c>
      <c r="BA16" s="450">
        <f t="shared" si="27"/>
        <v>388.59999999999997</v>
      </c>
      <c r="BB16" s="21">
        <f t="shared" si="28"/>
        <v>0</v>
      </c>
      <c r="BC16" s="21">
        <f t="shared" si="29"/>
        <v>0</v>
      </c>
      <c r="BD16" s="21">
        <f t="shared" si="29"/>
        <v>0</v>
      </c>
      <c r="BE16" s="24">
        <f t="shared" si="30"/>
        <v>0</v>
      </c>
      <c r="BF16" s="97">
        <f t="shared" si="8"/>
        <v>0</v>
      </c>
      <c r="BG16" s="83">
        <f t="shared" si="9"/>
        <v>0</v>
      </c>
    </row>
    <row r="17" spans="1:61" ht="15.75" thickBot="1">
      <c r="A17" s="6">
        <f>ELEC!C14</f>
        <v>43963</v>
      </c>
      <c r="B17" s="5">
        <f t="shared" si="10"/>
        <v>108473</v>
      </c>
      <c r="C17" s="5">
        <f t="shared" si="11"/>
        <v>0</v>
      </c>
      <c r="D17" s="441">
        <f t="shared" si="12"/>
        <v>0</v>
      </c>
      <c r="E17" s="349">
        <f>SUM((C17*$E$4)+(7500/'EDl log'!$A$38))</f>
        <v>241.93548387096774</v>
      </c>
      <c r="F17" s="440"/>
      <c r="G17" s="5">
        <f t="shared" si="34"/>
        <v>596773</v>
      </c>
      <c r="H17" s="5">
        <f t="shared" si="13"/>
        <v>0</v>
      </c>
      <c r="I17" s="5">
        <f t="shared" si="0"/>
        <v>0</v>
      </c>
      <c r="J17" s="350">
        <f t="shared" si="1"/>
        <v>0</v>
      </c>
      <c r="K17" s="5">
        <f>'Swimming Pool quality check '!H17</f>
        <v>6098</v>
      </c>
      <c r="L17" s="84">
        <f t="shared" si="32"/>
        <v>0</v>
      </c>
      <c r="M17" s="432">
        <f t="shared" si="14"/>
        <v>457.44</v>
      </c>
      <c r="N17" s="547">
        <f t="shared" si="39"/>
        <v>0</v>
      </c>
      <c r="O17" s="432">
        <f t="shared" si="15"/>
        <v>529.52</v>
      </c>
      <c r="P17" s="547">
        <f t="shared" si="40"/>
        <v>0</v>
      </c>
      <c r="Q17" s="547">
        <f t="shared" si="41"/>
        <v>0</v>
      </c>
      <c r="R17" s="547"/>
      <c r="S17" s="547"/>
      <c r="T17" s="5">
        <f t="shared" si="16"/>
        <v>4788</v>
      </c>
      <c r="U17" s="5">
        <f t="shared" si="4"/>
        <v>0</v>
      </c>
      <c r="V17" s="5">
        <f t="shared" si="16"/>
        <v>405</v>
      </c>
      <c r="W17" s="340">
        <f t="shared" si="17"/>
        <v>0</v>
      </c>
      <c r="X17" s="5">
        <f t="shared" si="16"/>
        <v>143013</v>
      </c>
      <c r="Y17" s="340">
        <f t="shared" si="18"/>
        <v>0</v>
      </c>
      <c r="Z17" s="5">
        <f t="shared" si="16"/>
        <v>94254</v>
      </c>
      <c r="AA17" s="84">
        <f t="shared" si="19"/>
        <v>0</v>
      </c>
      <c r="AB17" s="5">
        <f t="shared" si="16"/>
        <v>266</v>
      </c>
      <c r="AC17" s="5">
        <f t="shared" si="16"/>
        <v>671</v>
      </c>
      <c r="AD17" s="84">
        <f t="shared" si="31"/>
        <v>0</v>
      </c>
      <c r="AE17" s="5">
        <f t="shared" si="16"/>
        <v>149.46</v>
      </c>
      <c r="AF17" s="84">
        <f t="shared" si="20"/>
        <v>0</v>
      </c>
      <c r="AG17" s="5">
        <f t="shared" si="16"/>
        <v>1518</v>
      </c>
      <c r="AH17" s="84">
        <f t="shared" si="21"/>
        <v>0</v>
      </c>
      <c r="AI17" s="84">
        <f t="shared" si="22"/>
        <v>0</v>
      </c>
      <c r="AJ17" s="342">
        <f t="shared" si="23"/>
        <v>0</v>
      </c>
      <c r="AK17" s="343">
        <f t="shared" si="5"/>
        <v>0</v>
      </c>
      <c r="AL17" s="343">
        <f t="shared" si="24"/>
        <v>0</v>
      </c>
      <c r="AM17" s="343">
        <f>'General information '!D17</f>
        <v>0</v>
      </c>
      <c r="AN17" s="85">
        <f>'General information '!H17</f>
        <v>0</v>
      </c>
      <c r="AO17" s="85"/>
      <c r="AP17" s="85">
        <f>'General information '!J17</f>
        <v>0</v>
      </c>
      <c r="AQ17" s="96"/>
      <c r="AR17" s="286">
        <f t="shared" si="25"/>
        <v>43963</v>
      </c>
      <c r="AS17" s="446">
        <f t="shared" si="6"/>
        <v>0.9</v>
      </c>
      <c r="AT17" s="205">
        <f t="shared" si="6"/>
        <v>200</v>
      </c>
      <c r="AU17" s="447">
        <f t="shared" si="33"/>
        <v>1.1000000000000001</v>
      </c>
      <c r="AV17" s="205">
        <f t="shared" si="33"/>
        <v>90</v>
      </c>
      <c r="AW17" s="5">
        <v>2.9</v>
      </c>
      <c r="AX17" s="205">
        <f t="shared" ref="AX17" si="45">AX16</f>
        <v>134</v>
      </c>
      <c r="AY17" s="450">
        <f t="shared" si="7"/>
        <v>180</v>
      </c>
      <c r="AZ17" s="450">
        <f t="shared" si="26"/>
        <v>99.000000000000014</v>
      </c>
      <c r="BA17" s="450">
        <f t="shared" si="27"/>
        <v>388.59999999999997</v>
      </c>
      <c r="BB17" s="21">
        <f t="shared" si="28"/>
        <v>0</v>
      </c>
      <c r="BC17" s="21">
        <f t="shared" si="29"/>
        <v>0</v>
      </c>
      <c r="BD17" s="21">
        <f t="shared" si="29"/>
        <v>0</v>
      </c>
      <c r="BE17" s="24">
        <f t="shared" si="30"/>
        <v>0</v>
      </c>
      <c r="BF17" s="97">
        <f t="shared" si="8"/>
        <v>0</v>
      </c>
      <c r="BG17" s="83">
        <f t="shared" si="9"/>
        <v>0</v>
      </c>
    </row>
    <row r="18" spans="1:61" ht="15.75" thickBot="1">
      <c r="A18" s="6">
        <f>ELEC!C15</f>
        <v>43964</v>
      </c>
      <c r="B18" s="5">
        <f t="shared" si="10"/>
        <v>108473</v>
      </c>
      <c r="C18" s="5">
        <f t="shared" si="11"/>
        <v>0</v>
      </c>
      <c r="D18" s="441">
        <f t="shared" si="12"/>
        <v>0</v>
      </c>
      <c r="E18" s="349">
        <f>SUM((C18*$E$4)+(7500/'EDl log'!$A$38))</f>
        <v>241.93548387096774</v>
      </c>
      <c r="F18" s="440"/>
      <c r="G18" s="5">
        <f t="shared" si="34"/>
        <v>596773</v>
      </c>
      <c r="H18" s="5">
        <f t="shared" si="13"/>
        <v>0</v>
      </c>
      <c r="I18" s="5">
        <f t="shared" si="0"/>
        <v>0</v>
      </c>
      <c r="J18" s="350">
        <f t="shared" si="1"/>
        <v>0</v>
      </c>
      <c r="K18" s="5">
        <f>'Swimming Pool quality check '!H18</f>
        <v>6098</v>
      </c>
      <c r="L18" s="84">
        <f t="shared" si="32"/>
        <v>0</v>
      </c>
      <c r="M18" s="432">
        <f t="shared" si="14"/>
        <v>457.44</v>
      </c>
      <c r="N18" s="547">
        <f t="shared" si="39"/>
        <v>0</v>
      </c>
      <c r="O18" s="432">
        <f t="shared" si="15"/>
        <v>529.52</v>
      </c>
      <c r="P18" s="547">
        <f t="shared" si="40"/>
        <v>0</v>
      </c>
      <c r="Q18" s="547">
        <f t="shared" si="41"/>
        <v>0</v>
      </c>
      <c r="R18" s="547"/>
      <c r="S18" s="547"/>
      <c r="T18" s="5">
        <f t="shared" si="16"/>
        <v>4788</v>
      </c>
      <c r="U18" s="5">
        <f t="shared" si="4"/>
        <v>0</v>
      </c>
      <c r="V18" s="5">
        <f t="shared" si="16"/>
        <v>405</v>
      </c>
      <c r="W18" s="340">
        <f t="shared" si="17"/>
        <v>0</v>
      </c>
      <c r="X18" s="5">
        <f t="shared" si="16"/>
        <v>143013</v>
      </c>
      <c r="Y18" s="340">
        <f t="shared" si="18"/>
        <v>0</v>
      </c>
      <c r="Z18" s="5">
        <f t="shared" si="16"/>
        <v>94254</v>
      </c>
      <c r="AA18" s="84">
        <f t="shared" si="19"/>
        <v>0</v>
      </c>
      <c r="AB18" s="5">
        <f t="shared" si="16"/>
        <v>266</v>
      </c>
      <c r="AC18" s="5">
        <f t="shared" si="16"/>
        <v>671</v>
      </c>
      <c r="AD18" s="84">
        <f t="shared" si="31"/>
        <v>0</v>
      </c>
      <c r="AE18" s="5">
        <f t="shared" si="16"/>
        <v>149.46</v>
      </c>
      <c r="AF18" s="84">
        <f t="shared" si="20"/>
        <v>0</v>
      </c>
      <c r="AG18" s="5">
        <f t="shared" si="16"/>
        <v>1518</v>
      </c>
      <c r="AH18" s="84">
        <f t="shared" si="21"/>
        <v>0</v>
      </c>
      <c r="AI18" s="84">
        <f t="shared" si="22"/>
        <v>0</v>
      </c>
      <c r="AJ18" s="342">
        <f t="shared" si="23"/>
        <v>0</v>
      </c>
      <c r="AK18" s="343">
        <f t="shared" si="5"/>
        <v>0</v>
      </c>
      <c r="AL18" s="343">
        <f t="shared" si="24"/>
        <v>0</v>
      </c>
      <c r="AM18" s="343">
        <f>'General information '!D18</f>
        <v>0</v>
      </c>
      <c r="AN18" s="85">
        <f>'General information '!H18</f>
        <v>0</v>
      </c>
      <c r="AO18" s="85"/>
      <c r="AP18" s="85">
        <f>'General information '!J18</f>
        <v>0</v>
      </c>
      <c r="AQ18" s="96"/>
      <c r="AR18" s="286">
        <f t="shared" si="25"/>
        <v>43964</v>
      </c>
      <c r="AS18" s="446">
        <f t="shared" si="6"/>
        <v>0.9</v>
      </c>
      <c r="AT18" s="205">
        <f t="shared" si="6"/>
        <v>200</v>
      </c>
      <c r="AU18" s="447">
        <f t="shared" si="33"/>
        <v>1.1000000000000001</v>
      </c>
      <c r="AV18" s="205">
        <f t="shared" si="33"/>
        <v>90</v>
      </c>
      <c r="AW18" s="5">
        <v>2.9</v>
      </c>
      <c r="AX18" s="205">
        <f t="shared" ref="AX18" si="46">AX17</f>
        <v>134</v>
      </c>
      <c r="AY18" s="450">
        <f t="shared" si="7"/>
        <v>180</v>
      </c>
      <c r="AZ18" s="450">
        <f t="shared" si="26"/>
        <v>99.000000000000014</v>
      </c>
      <c r="BA18" s="450">
        <f t="shared" si="27"/>
        <v>388.59999999999997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7">
        <f t="shared" si="8"/>
        <v>0</v>
      </c>
      <c r="BG18" s="83">
        <f t="shared" si="9"/>
        <v>0</v>
      </c>
    </row>
    <row r="19" spans="1:61" ht="15.75" thickBot="1">
      <c r="A19" s="6">
        <f>ELEC!C16</f>
        <v>43965</v>
      </c>
      <c r="B19" s="5">
        <f t="shared" si="10"/>
        <v>108473</v>
      </c>
      <c r="C19" s="5">
        <f t="shared" si="11"/>
        <v>0</v>
      </c>
      <c r="D19" s="441">
        <f t="shared" si="12"/>
        <v>0</v>
      </c>
      <c r="E19" s="349">
        <f>SUM((C19*$E$4)+(7500/'EDl log'!$A$38))</f>
        <v>241.93548387096774</v>
      </c>
      <c r="F19" s="440"/>
      <c r="G19" s="5">
        <f t="shared" si="34"/>
        <v>596773</v>
      </c>
      <c r="H19" s="5">
        <f t="shared" si="13"/>
        <v>0</v>
      </c>
      <c r="I19" s="5">
        <f t="shared" si="0"/>
        <v>0</v>
      </c>
      <c r="J19" s="350">
        <f t="shared" si="1"/>
        <v>0</v>
      </c>
      <c r="K19" s="5">
        <f>'Swimming Pool quality check '!H19</f>
        <v>6098</v>
      </c>
      <c r="L19" s="84">
        <f t="shared" si="32"/>
        <v>0</v>
      </c>
      <c r="M19" s="432">
        <f t="shared" si="14"/>
        <v>457.44</v>
      </c>
      <c r="N19" s="547">
        <f t="shared" si="39"/>
        <v>0</v>
      </c>
      <c r="O19" s="432">
        <f t="shared" si="15"/>
        <v>529.52</v>
      </c>
      <c r="P19" s="547">
        <f t="shared" si="40"/>
        <v>0</v>
      </c>
      <c r="Q19" s="547">
        <f t="shared" si="41"/>
        <v>0</v>
      </c>
      <c r="R19" s="547"/>
      <c r="S19" s="547"/>
      <c r="T19" s="5">
        <f t="shared" si="16"/>
        <v>4788</v>
      </c>
      <c r="U19" s="5">
        <f t="shared" si="4"/>
        <v>0</v>
      </c>
      <c r="V19" s="5">
        <f t="shared" si="16"/>
        <v>405</v>
      </c>
      <c r="W19" s="340">
        <f t="shared" si="17"/>
        <v>0</v>
      </c>
      <c r="X19" s="5">
        <f t="shared" si="16"/>
        <v>143013</v>
      </c>
      <c r="Y19" s="340">
        <f t="shared" si="18"/>
        <v>0</v>
      </c>
      <c r="Z19" s="5">
        <f t="shared" si="16"/>
        <v>94254</v>
      </c>
      <c r="AA19" s="84">
        <f t="shared" si="19"/>
        <v>0</v>
      </c>
      <c r="AB19" s="5">
        <f t="shared" si="16"/>
        <v>266</v>
      </c>
      <c r="AC19" s="5">
        <f t="shared" si="16"/>
        <v>671</v>
      </c>
      <c r="AD19" s="84">
        <f t="shared" si="31"/>
        <v>0</v>
      </c>
      <c r="AE19" s="5">
        <f t="shared" si="16"/>
        <v>149.46</v>
      </c>
      <c r="AF19" s="84">
        <f t="shared" si="20"/>
        <v>0</v>
      </c>
      <c r="AG19" s="5">
        <f t="shared" si="16"/>
        <v>1518</v>
      </c>
      <c r="AH19" s="84">
        <f t="shared" si="21"/>
        <v>0</v>
      </c>
      <c r="AI19" s="84">
        <f t="shared" si="22"/>
        <v>0</v>
      </c>
      <c r="AJ19" s="342">
        <f t="shared" si="23"/>
        <v>0</v>
      </c>
      <c r="AK19" s="343">
        <f t="shared" si="5"/>
        <v>0</v>
      </c>
      <c r="AL19" s="343">
        <f t="shared" si="24"/>
        <v>0</v>
      </c>
      <c r="AM19" s="343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86">
        <f t="shared" si="25"/>
        <v>43965</v>
      </c>
      <c r="AS19" s="446">
        <f t="shared" si="6"/>
        <v>0.9</v>
      </c>
      <c r="AT19" s="205">
        <f t="shared" si="6"/>
        <v>200</v>
      </c>
      <c r="AU19" s="447">
        <f t="shared" si="33"/>
        <v>1.1000000000000001</v>
      </c>
      <c r="AV19" s="205">
        <f t="shared" si="33"/>
        <v>90</v>
      </c>
      <c r="AW19" s="5">
        <v>2.9</v>
      </c>
      <c r="AX19" s="205">
        <f t="shared" ref="AX19" si="47">AX18</f>
        <v>134</v>
      </c>
      <c r="AY19" s="450">
        <f t="shared" si="7"/>
        <v>180</v>
      </c>
      <c r="AZ19" s="450">
        <f t="shared" si="26"/>
        <v>99.000000000000014</v>
      </c>
      <c r="BA19" s="450">
        <f t="shared" si="27"/>
        <v>388.59999999999997</v>
      </c>
      <c r="BB19" s="21">
        <f t="shared" si="28"/>
        <v>0</v>
      </c>
      <c r="BC19" s="21">
        <f t="shared" si="29"/>
        <v>0</v>
      </c>
      <c r="BD19" s="21">
        <f t="shared" si="29"/>
        <v>0</v>
      </c>
      <c r="BE19" s="24">
        <f t="shared" si="30"/>
        <v>0</v>
      </c>
      <c r="BF19" s="97">
        <f t="shared" si="8"/>
        <v>0</v>
      </c>
      <c r="BG19" s="83">
        <f t="shared" si="9"/>
        <v>0</v>
      </c>
    </row>
    <row r="20" spans="1:61" ht="15.75" thickBot="1">
      <c r="A20" s="6">
        <f>ELEC!C17</f>
        <v>43966</v>
      </c>
      <c r="B20" s="5">
        <f t="shared" si="10"/>
        <v>108473</v>
      </c>
      <c r="C20" s="5">
        <f t="shared" si="11"/>
        <v>0</v>
      </c>
      <c r="D20" s="441">
        <f t="shared" si="12"/>
        <v>0</v>
      </c>
      <c r="E20" s="349">
        <f>SUM((C20*$E$4)+(7500/'EDl log'!$A$38))</f>
        <v>241.93548387096774</v>
      </c>
      <c r="F20" s="440"/>
      <c r="G20" s="5">
        <f t="shared" si="34"/>
        <v>596773</v>
      </c>
      <c r="H20" s="5">
        <f t="shared" si="13"/>
        <v>0</v>
      </c>
      <c r="I20" s="5">
        <f t="shared" si="0"/>
        <v>0</v>
      </c>
      <c r="J20" s="350">
        <f t="shared" si="1"/>
        <v>0</v>
      </c>
      <c r="K20" s="5">
        <f>'Swimming Pool quality check '!H20</f>
        <v>6098</v>
      </c>
      <c r="L20" s="84">
        <f t="shared" si="32"/>
        <v>0</v>
      </c>
      <c r="M20" s="432">
        <f t="shared" si="14"/>
        <v>457.44</v>
      </c>
      <c r="N20" s="547">
        <f t="shared" si="39"/>
        <v>0</v>
      </c>
      <c r="O20" s="432">
        <f t="shared" si="15"/>
        <v>529.52</v>
      </c>
      <c r="P20" s="547">
        <f t="shared" si="40"/>
        <v>0</v>
      </c>
      <c r="Q20" s="547">
        <f t="shared" si="41"/>
        <v>0</v>
      </c>
      <c r="R20" s="547"/>
      <c r="S20" s="547"/>
      <c r="T20" s="5">
        <f t="shared" si="16"/>
        <v>4788</v>
      </c>
      <c r="U20" s="5">
        <f t="shared" si="4"/>
        <v>0</v>
      </c>
      <c r="V20" s="5">
        <f t="shared" si="16"/>
        <v>405</v>
      </c>
      <c r="W20" s="340">
        <f t="shared" si="17"/>
        <v>0</v>
      </c>
      <c r="X20" s="5">
        <f t="shared" si="16"/>
        <v>143013</v>
      </c>
      <c r="Y20" s="340">
        <f t="shared" si="18"/>
        <v>0</v>
      </c>
      <c r="Z20" s="5">
        <f t="shared" si="16"/>
        <v>94254</v>
      </c>
      <c r="AA20" s="84">
        <f t="shared" si="19"/>
        <v>0</v>
      </c>
      <c r="AB20" s="5">
        <f t="shared" si="16"/>
        <v>266</v>
      </c>
      <c r="AC20" s="5">
        <f t="shared" si="16"/>
        <v>671</v>
      </c>
      <c r="AD20" s="84">
        <f t="shared" si="31"/>
        <v>0</v>
      </c>
      <c r="AE20" s="5">
        <f t="shared" si="16"/>
        <v>149.46</v>
      </c>
      <c r="AF20" s="84">
        <f t="shared" si="20"/>
        <v>0</v>
      </c>
      <c r="AG20" s="5">
        <f t="shared" si="16"/>
        <v>1518</v>
      </c>
      <c r="AH20" s="84">
        <f t="shared" si="21"/>
        <v>0</v>
      </c>
      <c r="AI20" s="84">
        <f t="shared" si="22"/>
        <v>0</v>
      </c>
      <c r="AJ20" s="342">
        <f t="shared" si="23"/>
        <v>0</v>
      </c>
      <c r="AK20" s="343">
        <f t="shared" si="5"/>
        <v>0</v>
      </c>
      <c r="AL20" s="343">
        <f t="shared" si="24"/>
        <v>0</v>
      </c>
      <c r="AM20" s="343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6">
        <f t="shared" si="25"/>
        <v>43966</v>
      </c>
      <c r="AS20" s="446">
        <f t="shared" si="6"/>
        <v>0.9</v>
      </c>
      <c r="AT20" s="205">
        <f t="shared" si="6"/>
        <v>200</v>
      </c>
      <c r="AU20" s="447">
        <f t="shared" si="33"/>
        <v>1.1000000000000001</v>
      </c>
      <c r="AV20" s="205">
        <f t="shared" si="33"/>
        <v>90</v>
      </c>
      <c r="AW20" s="5">
        <v>2.9</v>
      </c>
      <c r="AX20" s="205">
        <f t="shared" ref="AX20" si="48">AX19</f>
        <v>134</v>
      </c>
      <c r="AY20" s="450">
        <f t="shared" si="7"/>
        <v>180</v>
      </c>
      <c r="AZ20" s="450">
        <f t="shared" si="26"/>
        <v>99.000000000000014</v>
      </c>
      <c r="BA20" s="450">
        <f t="shared" si="27"/>
        <v>388.59999999999997</v>
      </c>
      <c r="BB20" s="21">
        <f t="shared" si="28"/>
        <v>0</v>
      </c>
      <c r="BC20" s="21">
        <f t="shared" si="29"/>
        <v>0</v>
      </c>
      <c r="BD20" s="21">
        <f t="shared" si="29"/>
        <v>0</v>
      </c>
      <c r="BE20" s="24">
        <f t="shared" si="30"/>
        <v>0</v>
      </c>
      <c r="BF20" s="97">
        <f t="shared" si="8"/>
        <v>0</v>
      </c>
      <c r="BG20" s="83">
        <f t="shared" si="9"/>
        <v>0</v>
      </c>
    </row>
    <row r="21" spans="1:61" ht="15.75" thickBot="1">
      <c r="A21" s="6">
        <f>ELEC!C18</f>
        <v>43967</v>
      </c>
      <c r="B21" s="5">
        <f t="shared" si="10"/>
        <v>108473</v>
      </c>
      <c r="C21" s="5">
        <f t="shared" si="11"/>
        <v>0</v>
      </c>
      <c r="D21" s="441">
        <f t="shared" si="12"/>
        <v>0</v>
      </c>
      <c r="E21" s="349">
        <f>SUM((C21*$E$4)+(7500/'EDl log'!$A$38))</f>
        <v>241.93548387096774</v>
      </c>
      <c r="F21" s="343"/>
      <c r="G21" s="5">
        <f t="shared" si="34"/>
        <v>596773</v>
      </c>
      <c r="H21" s="5">
        <f t="shared" si="13"/>
        <v>0</v>
      </c>
      <c r="I21" s="5">
        <f t="shared" si="0"/>
        <v>0</v>
      </c>
      <c r="J21" s="350">
        <f t="shared" si="1"/>
        <v>0</v>
      </c>
      <c r="K21" s="5">
        <f>'Swimming Pool quality check '!H21</f>
        <v>6098</v>
      </c>
      <c r="L21" s="84">
        <f t="shared" si="32"/>
        <v>0</v>
      </c>
      <c r="M21" s="432">
        <f t="shared" si="14"/>
        <v>457.44</v>
      </c>
      <c r="N21" s="547">
        <f t="shared" si="39"/>
        <v>0</v>
      </c>
      <c r="O21" s="432">
        <f t="shared" si="15"/>
        <v>529.52</v>
      </c>
      <c r="P21" s="547">
        <f t="shared" si="40"/>
        <v>0</v>
      </c>
      <c r="Q21" s="547">
        <f t="shared" si="41"/>
        <v>0</v>
      </c>
      <c r="R21" s="547"/>
      <c r="S21" s="547"/>
      <c r="T21" s="5">
        <f t="shared" si="16"/>
        <v>4788</v>
      </c>
      <c r="U21" s="5">
        <f t="shared" si="4"/>
        <v>0</v>
      </c>
      <c r="V21" s="5">
        <f t="shared" si="16"/>
        <v>405</v>
      </c>
      <c r="W21" s="340">
        <f t="shared" si="17"/>
        <v>0</v>
      </c>
      <c r="X21" s="5">
        <f t="shared" si="16"/>
        <v>143013</v>
      </c>
      <c r="Y21" s="340">
        <f>SUM(X21-X20)</f>
        <v>0</v>
      </c>
      <c r="Z21" s="5">
        <f t="shared" si="16"/>
        <v>94254</v>
      </c>
      <c r="AA21" s="84">
        <f t="shared" si="19"/>
        <v>0</v>
      </c>
      <c r="AB21" s="5">
        <f t="shared" si="16"/>
        <v>266</v>
      </c>
      <c r="AC21" s="5">
        <f t="shared" si="16"/>
        <v>671</v>
      </c>
      <c r="AD21" s="84">
        <f t="shared" si="31"/>
        <v>0</v>
      </c>
      <c r="AE21" s="5">
        <f t="shared" si="16"/>
        <v>149.46</v>
      </c>
      <c r="AF21" s="84">
        <f t="shared" si="20"/>
        <v>0</v>
      </c>
      <c r="AG21" s="5">
        <f t="shared" si="16"/>
        <v>1518</v>
      </c>
      <c r="AH21" s="84">
        <f t="shared" si="21"/>
        <v>0</v>
      </c>
      <c r="AI21" s="84">
        <f t="shared" si="22"/>
        <v>0</v>
      </c>
      <c r="AJ21" s="342">
        <f t="shared" si="23"/>
        <v>0</v>
      </c>
      <c r="AK21" s="343">
        <f t="shared" si="5"/>
        <v>0</v>
      </c>
      <c r="AL21" s="343">
        <f t="shared" si="24"/>
        <v>0</v>
      </c>
      <c r="AM21" s="343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6">
        <f t="shared" si="25"/>
        <v>43967</v>
      </c>
      <c r="AS21" s="446">
        <f t="shared" si="6"/>
        <v>0.9</v>
      </c>
      <c r="AT21" s="205">
        <f t="shared" si="6"/>
        <v>200</v>
      </c>
      <c r="AU21" s="447">
        <f t="shared" si="33"/>
        <v>1.1000000000000001</v>
      </c>
      <c r="AV21" s="205">
        <f t="shared" si="33"/>
        <v>90</v>
      </c>
      <c r="AW21" s="5">
        <v>2.9</v>
      </c>
      <c r="AX21" s="205">
        <f t="shared" ref="AX21" si="49">AX20</f>
        <v>134</v>
      </c>
      <c r="AY21" s="450">
        <f t="shared" si="7"/>
        <v>180</v>
      </c>
      <c r="AZ21" s="450">
        <f t="shared" si="26"/>
        <v>99.000000000000014</v>
      </c>
      <c r="BA21" s="450">
        <f t="shared" si="27"/>
        <v>388.59999999999997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7">
        <f t="shared" si="8"/>
        <v>0</v>
      </c>
      <c r="BG21" s="83">
        <f t="shared" si="9"/>
        <v>0</v>
      </c>
    </row>
    <row r="22" spans="1:61" ht="15.75" thickBot="1">
      <c r="A22" s="6">
        <f>ELEC!C19</f>
        <v>43968</v>
      </c>
      <c r="B22" s="5">
        <f t="shared" si="10"/>
        <v>108473</v>
      </c>
      <c r="C22" s="5">
        <f t="shared" si="11"/>
        <v>0</v>
      </c>
      <c r="D22" s="441">
        <f t="shared" si="12"/>
        <v>0</v>
      </c>
      <c r="E22" s="349">
        <f>SUM((C22*$E$4)+(7500/'EDl log'!$A$38))</f>
        <v>241.93548387096774</v>
      </c>
      <c r="F22" s="343"/>
      <c r="G22" s="5">
        <f t="shared" si="34"/>
        <v>596773</v>
      </c>
      <c r="H22" s="5">
        <f t="shared" si="13"/>
        <v>0</v>
      </c>
      <c r="I22" s="5">
        <f t="shared" si="0"/>
        <v>0</v>
      </c>
      <c r="J22" s="350">
        <f t="shared" si="1"/>
        <v>0</v>
      </c>
      <c r="K22" s="5">
        <f>'Swimming Pool quality check '!H22</f>
        <v>6098</v>
      </c>
      <c r="L22" s="84">
        <f t="shared" si="32"/>
        <v>0</v>
      </c>
      <c r="M22" s="432">
        <f t="shared" si="14"/>
        <v>457.44</v>
      </c>
      <c r="N22" s="547">
        <f t="shared" si="39"/>
        <v>0</v>
      </c>
      <c r="O22" s="432">
        <f t="shared" si="15"/>
        <v>529.52</v>
      </c>
      <c r="P22" s="547">
        <f t="shared" si="40"/>
        <v>0</v>
      </c>
      <c r="Q22" s="547">
        <f t="shared" si="41"/>
        <v>0</v>
      </c>
      <c r="R22" s="547"/>
      <c r="S22" s="547"/>
      <c r="T22" s="5">
        <f t="shared" si="16"/>
        <v>4788</v>
      </c>
      <c r="U22" s="5">
        <f t="shared" si="4"/>
        <v>0</v>
      </c>
      <c r="V22" s="5">
        <f t="shared" si="16"/>
        <v>405</v>
      </c>
      <c r="W22" s="340">
        <f t="shared" si="17"/>
        <v>0</v>
      </c>
      <c r="X22" s="5">
        <f t="shared" si="16"/>
        <v>143013</v>
      </c>
      <c r="Y22" s="340">
        <f t="shared" si="18"/>
        <v>0</v>
      </c>
      <c r="Z22" s="5">
        <f t="shared" si="16"/>
        <v>94254</v>
      </c>
      <c r="AA22" s="84">
        <f t="shared" si="19"/>
        <v>0</v>
      </c>
      <c r="AB22" s="5">
        <f t="shared" si="16"/>
        <v>266</v>
      </c>
      <c r="AC22" s="5">
        <f t="shared" si="16"/>
        <v>671</v>
      </c>
      <c r="AD22" s="84">
        <f t="shared" si="31"/>
        <v>0</v>
      </c>
      <c r="AE22" s="5">
        <f t="shared" si="16"/>
        <v>149.46</v>
      </c>
      <c r="AF22" s="84">
        <f t="shared" si="20"/>
        <v>0</v>
      </c>
      <c r="AG22" s="5">
        <f t="shared" si="16"/>
        <v>1518</v>
      </c>
      <c r="AH22" s="84">
        <f t="shared" si="21"/>
        <v>0</v>
      </c>
      <c r="AI22" s="84">
        <f t="shared" si="22"/>
        <v>0</v>
      </c>
      <c r="AJ22" s="342">
        <f t="shared" si="23"/>
        <v>0</v>
      </c>
      <c r="AK22" s="343">
        <f t="shared" si="5"/>
        <v>0</v>
      </c>
      <c r="AL22" s="343">
        <f t="shared" si="24"/>
        <v>0</v>
      </c>
      <c r="AM22" s="343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6">
        <f t="shared" si="25"/>
        <v>43968</v>
      </c>
      <c r="AS22" s="446">
        <f t="shared" ref="AS22:AT37" si="50">AS21</f>
        <v>0.9</v>
      </c>
      <c r="AT22" s="205">
        <f t="shared" si="50"/>
        <v>200</v>
      </c>
      <c r="AU22" s="447">
        <f t="shared" si="33"/>
        <v>1.1000000000000001</v>
      </c>
      <c r="AV22" s="205">
        <f t="shared" si="33"/>
        <v>90</v>
      </c>
      <c r="AW22" s="5">
        <v>2.9</v>
      </c>
      <c r="AX22" s="205">
        <f t="shared" ref="AX22" si="51">AX21</f>
        <v>134</v>
      </c>
      <c r="AY22" s="450">
        <f t="shared" si="7"/>
        <v>180</v>
      </c>
      <c r="AZ22" s="450">
        <f t="shared" si="26"/>
        <v>99.000000000000014</v>
      </c>
      <c r="BA22" s="450">
        <f t="shared" si="27"/>
        <v>388.59999999999997</v>
      </c>
      <c r="BB22" s="21">
        <f>AY22-AY21</f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7">
        <f t="shared" si="8"/>
        <v>0</v>
      </c>
      <c r="BG22" s="83">
        <f t="shared" si="9"/>
        <v>0</v>
      </c>
    </row>
    <row r="23" spans="1:61" ht="15.75" thickBot="1">
      <c r="A23" s="6">
        <f>ELEC!C20</f>
        <v>43969</v>
      </c>
      <c r="B23" s="5">
        <f t="shared" si="10"/>
        <v>108473</v>
      </c>
      <c r="C23" s="5">
        <f t="shared" si="11"/>
        <v>0</v>
      </c>
      <c r="D23" s="441">
        <f t="shared" si="12"/>
        <v>0</v>
      </c>
      <c r="E23" s="349">
        <f>SUM((C23*$E$4)+(7500/'EDl log'!$A$38))</f>
        <v>241.93548387096774</v>
      </c>
      <c r="F23" s="343"/>
      <c r="G23" s="5">
        <f t="shared" si="34"/>
        <v>596773</v>
      </c>
      <c r="H23" s="5">
        <f t="shared" si="13"/>
        <v>0</v>
      </c>
      <c r="I23" s="5">
        <f t="shared" si="0"/>
        <v>0</v>
      </c>
      <c r="J23" s="350">
        <f t="shared" si="1"/>
        <v>0</v>
      </c>
      <c r="K23" s="5">
        <f>'Swimming Pool quality check '!H23</f>
        <v>6098</v>
      </c>
      <c r="L23" s="282">
        <f t="shared" si="32"/>
        <v>0</v>
      </c>
      <c r="M23" s="432">
        <f t="shared" si="14"/>
        <v>457.44</v>
      </c>
      <c r="N23" s="547">
        <f t="shared" si="39"/>
        <v>0</v>
      </c>
      <c r="O23" s="432">
        <f t="shared" si="15"/>
        <v>529.52</v>
      </c>
      <c r="P23" s="547">
        <f t="shared" si="40"/>
        <v>0</v>
      </c>
      <c r="Q23" s="547">
        <f t="shared" si="41"/>
        <v>0</v>
      </c>
      <c r="R23" s="549"/>
      <c r="S23" s="549"/>
      <c r="T23" s="5">
        <f t="shared" si="16"/>
        <v>4788</v>
      </c>
      <c r="U23" s="5">
        <f t="shared" si="4"/>
        <v>0</v>
      </c>
      <c r="V23" s="5">
        <f t="shared" si="16"/>
        <v>405</v>
      </c>
      <c r="W23" s="340">
        <f t="shared" si="17"/>
        <v>0</v>
      </c>
      <c r="X23" s="5">
        <f t="shared" si="16"/>
        <v>143013</v>
      </c>
      <c r="Y23" s="340">
        <f t="shared" si="18"/>
        <v>0</v>
      </c>
      <c r="Z23" s="5">
        <f t="shared" si="16"/>
        <v>94254</v>
      </c>
      <c r="AA23" s="84">
        <f t="shared" si="19"/>
        <v>0</v>
      </c>
      <c r="AB23" s="5">
        <f t="shared" si="16"/>
        <v>266</v>
      </c>
      <c r="AC23" s="5">
        <f t="shared" si="16"/>
        <v>671</v>
      </c>
      <c r="AD23" s="84">
        <f t="shared" si="31"/>
        <v>0</v>
      </c>
      <c r="AE23" s="5">
        <f t="shared" si="16"/>
        <v>149.46</v>
      </c>
      <c r="AF23" s="84">
        <f t="shared" si="20"/>
        <v>0</v>
      </c>
      <c r="AG23" s="5">
        <f t="shared" si="16"/>
        <v>1518</v>
      </c>
      <c r="AH23" s="84">
        <f t="shared" si="21"/>
        <v>0</v>
      </c>
      <c r="AI23" s="84">
        <f t="shared" si="22"/>
        <v>0</v>
      </c>
      <c r="AJ23" s="342">
        <f t="shared" si="23"/>
        <v>0</v>
      </c>
      <c r="AK23" s="343">
        <f t="shared" si="5"/>
        <v>0</v>
      </c>
      <c r="AL23" s="343">
        <f t="shared" si="24"/>
        <v>0</v>
      </c>
      <c r="AM23" s="343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6">
        <f t="shared" si="25"/>
        <v>43969</v>
      </c>
      <c r="AS23" s="446">
        <f t="shared" si="50"/>
        <v>0.9</v>
      </c>
      <c r="AT23" s="205">
        <f t="shared" si="50"/>
        <v>200</v>
      </c>
      <c r="AU23" s="447">
        <f t="shared" si="33"/>
        <v>1.1000000000000001</v>
      </c>
      <c r="AV23" s="205">
        <f t="shared" si="33"/>
        <v>90</v>
      </c>
      <c r="AW23" s="5">
        <v>2.9</v>
      </c>
      <c r="AX23" s="205">
        <f t="shared" ref="AX23" si="52">AX22</f>
        <v>134</v>
      </c>
      <c r="AY23" s="450">
        <f t="shared" si="7"/>
        <v>180</v>
      </c>
      <c r="AZ23" s="450">
        <f t="shared" si="26"/>
        <v>99.000000000000014</v>
      </c>
      <c r="BA23" s="450">
        <f t="shared" si="27"/>
        <v>388.59999999999997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7">
        <f t="shared" si="8"/>
        <v>0</v>
      </c>
      <c r="BG23" s="83">
        <f t="shared" si="9"/>
        <v>0</v>
      </c>
    </row>
    <row r="24" spans="1:61" ht="15.75" thickBot="1">
      <c r="A24" s="6">
        <f>ELEC!C21</f>
        <v>43970</v>
      </c>
      <c r="B24" s="5">
        <f t="shared" si="10"/>
        <v>108473</v>
      </c>
      <c r="C24" s="5">
        <f t="shared" si="11"/>
        <v>0</v>
      </c>
      <c r="D24" s="441">
        <f t="shared" si="12"/>
        <v>0</v>
      </c>
      <c r="E24" s="349">
        <f>SUM((C24*$E$4)+(7500/'EDl log'!$A$38))</f>
        <v>241.93548387096774</v>
      </c>
      <c r="F24" s="343"/>
      <c r="G24" s="5">
        <f t="shared" si="34"/>
        <v>596773</v>
      </c>
      <c r="H24" s="5">
        <f t="shared" si="13"/>
        <v>0</v>
      </c>
      <c r="I24" s="5">
        <f t="shared" si="0"/>
        <v>0</v>
      </c>
      <c r="J24" s="350">
        <f t="shared" si="1"/>
        <v>0</v>
      </c>
      <c r="K24" s="5">
        <f>'Swimming Pool quality check '!H24</f>
        <v>6098</v>
      </c>
      <c r="L24" s="282">
        <f t="shared" si="32"/>
        <v>0</v>
      </c>
      <c r="M24" s="432">
        <f t="shared" si="14"/>
        <v>457.44</v>
      </c>
      <c r="N24" s="547">
        <f t="shared" si="39"/>
        <v>0</v>
      </c>
      <c r="O24" s="432">
        <f t="shared" si="15"/>
        <v>529.52</v>
      </c>
      <c r="P24" s="547">
        <f t="shared" si="40"/>
        <v>0</v>
      </c>
      <c r="Q24" s="547">
        <f t="shared" si="41"/>
        <v>0</v>
      </c>
      <c r="R24" s="549"/>
      <c r="S24" s="549"/>
      <c r="T24" s="5">
        <f t="shared" si="16"/>
        <v>4788</v>
      </c>
      <c r="U24" s="5">
        <f t="shared" si="4"/>
        <v>0</v>
      </c>
      <c r="V24" s="5">
        <f t="shared" si="16"/>
        <v>405</v>
      </c>
      <c r="W24" s="340">
        <f t="shared" si="17"/>
        <v>0</v>
      </c>
      <c r="X24" s="5">
        <f t="shared" si="16"/>
        <v>143013</v>
      </c>
      <c r="Y24" s="340">
        <f t="shared" si="18"/>
        <v>0</v>
      </c>
      <c r="Z24" s="5">
        <f t="shared" si="16"/>
        <v>94254</v>
      </c>
      <c r="AA24" s="84">
        <f t="shared" si="19"/>
        <v>0</v>
      </c>
      <c r="AB24" s="5">
        <f t="shared" si="16"/>
        <v>266</v>
      </c>
      <c r="AC24" s="5">
        <f t="shared" si="16"/>
        <v>671</v>
      </c>
      <c r="AD24" s="84">
        <f t="shared" si="31"/>
        <v>0</v>
      </c>
      <c r="AE24" s="5">
        <f t="shared" si="16"/>
        <v>149.46</v>
      </c>
      <c r="AF24" s="84">
        <f t="shared" si="20"/>
        <v>0</v>
      </c>
      <c r="AG24" s="5">
        <f t="shared" si="16"/>
        <v>1518</v>
      </c>
      <c r="AH24" s="84">
        <f t="shared" si="21"/>
        <v>0</v>
      </c>
      <c r="AI24" s="84">
        <f t="shared" si="22"/>
        <v>0</v>
      </c>
      <c r="AJ24" s="342">
        <f t="shared" si="23"/>
        <v>0</v>
      </c>
      <c r="AK24" s="343">
        <f t="shared" si="5"/>
        <v>0</v>
      </c>
      <c r="AL24" s="343">
        <f t="shared" si="24"/>
        <v>0</v>
      </c>
      <c r="AM24" s="343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6">
        <f t="shared" si="25"/>
        <v>43970</v>
      </c>
      <c r="AS24" s="446">
        <f t="shared" si="50"/>
        <v>0.9</v>
      </c>
      <c r="AT24" s="205">
        <f t="shared" si="50"/>
        <v>200</v>
      </c>
      <c r="AU24" s="447">
        <f t="shared" si="33"/>
        <v>1.1000000000000001</v>
      </c>
      <c r="AV24" s="205">
        <f t="shared" si="33"/>
        <v>90</v>
      </c>
      <c r="AW24" s="5">
        <v>2.9</v>
      </c>
      <c r="AX24" s="205">
        <f t="shared" ref="AX24" si="53">AX23</f>
        <v>134</v>
      </c>
      <c r="AY24" s="450">
        <f t="shared" si="7"/>
        <v>180</v>
      </c>
      <c r="AZ24" s="450">
        <f t="shared" si="26"/>
        <v>99.000000000000014</v>
      </c>
      <c r="BA24" s="450">
        <f t="shared" si="27"/>
        <v>388.59999999999997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43971</v>
      </c>
      <c r="B25" s="5">
        <f t="shared" si="10"/>
        <v>108473</v>
      </c>
      <c r="C25" s="5">
        <f t="shared" si="11"/>
        <v>0</v>
      </c>
      <c r="D25" s="441">
        <f t="shared" si="12"/>
        <v>0</v>
      </c>
      <c r="E25" s="349">
        <f>SUM((C25*$E$4)+(7500/'EDl log'!$A$38))</f>
        <v>241.93548387096774</v>
      </c>
      <c r="F25" s="343"/>
      <c r="G25" s="5">
        <f t="shared" si="34"/>
        <v>596773</v>
      </c>
      <c r="H25" s="5">
        <f t="shared" si="13"/>
        <v>0</v>
      </c>
      <c r="I25" s="5">
        <f t="shared" si="0"/>
        <v>0</v>
      </c>
      <c r="J25" s="350">
        <f t="shared" si="1"/>
        <v>0</v>
      </c>
      <c r="K25" s="5">
        <f>'Swimming Pool quality check '!H25</f>
        <v>6098</v>
      </c>
      <c r="L25" s="282">
        <f t="shared" si="32"/>
        <v>0</v>
      </c>
      <c r="M25" s="432">
        <f t="shared" si="14"/>
        <v>457.44</v>
      </c>
      <c r="N25" s="547">
        <f t="shared" si="39"/>
        <v>0</v>
      </c>
      <c r="O25" s="432">
        <f t="shared" si="15"/>
        <v>529.52</v>
      </c>
      <c r="P25" s="547">
        <f t="shared" si="40"/>
        <v>0</v>
      </c>
      <c r="Q25" s="547">
        <f t="shared" si="41"/>
        <v>0</v>
      </c>
      <c r="R25" s="549"/>
      <c r="S25" s="549"/>
      <c r="T25" s="5">
        <f t="shared" si="16"/>
        <v>4788</v>
      </c>
      <c r="U25" s="5">
        <f t="shared" si="4"/>
        <v>0</v>
      </c>
      <c r="V25" s="5">
        <f t="shared" si="16"/>
        <v>405</v>
      </c>
      <c r="W25" s="340">
        <f t="shared" si="17"/>
        <v>0</v>
      </c>
      <c r="X25" s="5">
        <f t="shared" si="16"/>
        <v>143013</v>
      </c>
      <c r="Y25" s="340">
        <f t="shared" si="18"/>
        <v>0</v>
      </c>
      <c r="Z25" s="5">
        <f t="shared" si="16"/>
        <v>94254</v>
      </c>
      <c r="AA25" s="84">
        <f t="shared" si="19"/>
        <v>0</v>
      </c>
      <c r="AB25" s="5">
        <f t="shared" si="16"/>
        <v>266</v>
      </c>
      <c r="AC25" s="5">
        <f t="shared" si="16"/>
        <v>671</v>
      </c>
      <c r="AD25" s="84">
        <f t="shared" si="31"/>
        <v>0</v>
      </c>
      <c r="AE25" s="5">
        <f t="shared" si="16"/>
        <v>149.46</v>
      </c>
      <c r="AF25" s="84">
        <f t="shared" si="20"/>
        <v>0</v>
      </c>
      <c r="AG25" s="5">
        <f t="shared" si="16"/>
        <v>1518</v>
      </c>
      <c r="AH25" s="84">
        <f t="shared" si="21"/>
        <v>0</v>
      </c>
      <c r="AI25" s="84">
        <f t="shared" si="22"/>
        <v>0</v>
      </c>
      <c r="AJ25" s="342">
        <f t="shared" si="23"/>
        <v>0</v>
      </c>
      <c r="AK25" s="343">
        <f t="shared" si="5"/>
        <v>0</v>
      </c>
      <c r="AL25" s="343">
        <f t="shared" si="24"/>
        <v>0</v>
      </c>
      <c r="AM25" s="343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6">
        <f t="shared" si="25"/>
        <v>43971</v>
      </c>
      <c r="AS25" s="446">
        <f t="shared" si="50"/>
        <v>0.9</v>
      </c>
      <c r="AT25" s="205">
        <f t="shared" si="50"/>
        <v>200</v>
      </c>
      <c r="AU25" s="447">
        <f t="shared" si="33"/>
        <v>1.1000000000000001</v>
      </c>
      <c r="AV25" s="205">
        <f t="shared" si="33"/>
        <v>90</v>
      </c>
      <c r="AW25" s="5">
        <v>2.9</v>
      </c>
      <c r="AX25" s="205">
        <f t="shared" ref="AX25" si="54">AX24</f>
        <v>134</v>
      </c>
      <c r="AY25" s="450">
        <f t="shared" si="7"/>
        <v>180</v>
      </c>
      <c r="AZ25" s="450">
        <f t="shared" si="26"/>
        <v>99.000000000000014</v>
      </c>
      <c r="BA25" s="450">
        <f t="shared" si="27"/>
        <v>388.59999999999997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43972</v>
      </c>
      <c r="B26" s="5">
        <f t="shared" si="10"/>
        <v>108473</v>
      </c>
      <c r="C26" s="5">
        <f t="shared" si="11"/>
        <v>0</v>
      </c>
      <c r="D26" s="441">
        <f t="shared" si="12"/>
        <v>0</v>
      </c>
      <c r="E26" s="349">
        <f>SUM((C26*$E$4)+(7500/'EDl log'!$A$38))</f>
        <v>241.93548387096774</v>
      </c>
      <c r="F26" s="343"/>
      <c r="G26" s="5">
        <f t="shared" si="34"/>
        <v>596773</v>
      </c>
      <c r="H26" s="5">
        <f>G26-G25</f>
        <v>0</v>
      </c>
      <c r="I26" s="5">
        <f t="shared" si="0"/>
        <v>0</v>
      </c>
      <c r="J26" s="350">
        <f t="shared" si="1"/>
        <v>0</v>
      </c>
      <c r="K26" s="5">
        <f>'Swimming Pool quality check '!H26</f>
        <v>6098</v>
      </c>
      <c r="L26" s="282">
        <f t="shared" si="32"/>
        <v>0</v>
      </c>
      <c r="M26" s="432">
        <f t="shared" si="14"/>
        <v>457.44</v>
      </c>
      <c r="N26" s="547">
        <f t="shared" si="39"/>
        <v>0</v>
      </c>
      <c r="O26" s="432">
        <f t="shared" si="15"/>
        <v>529.52</v>
      </c>
      <c r="P26" s="547">
        <f t="shared" si="40"/>
        <v>0</v>
      </c>
      <c r="Q26" s="547">
        <f t="shared" si="41"/>
        <v>0</v>
      </c>
      <c r="R26" s="549"/>
      <c r="S26" s="549"/>
      <c r="T26" s="5">
        <f t="shared" si="16"/>
        <v>4788</v>
      </c>
      <c r="U26" s="5">
        <f t="shared" si="4"/>
        <v>0</v>
      </c>
      <c r="V26" s="5">
        <f t="shared" si="16"/>
        <v>405</v>
      </c>
      <c r="W26" s="340">
        <f t="shared" si="17"/>
        <v>0</v>
      </c>
      <c r="X26" s="5">
        <f t="shared" si="16"/>
        <v>143013</v>
      </c>
      <c r="Y26" s="340">
        <f t="shared" si="18"/>
        <v>0</v>
      </c>
      <c r="Z26" s="5">
        <f t="shared" si="16"/>
        <v>94254</v>
      </c>
      <c r="AA26" s="84">
        <f t="shared" si="19"/>
        <v>0</v>
      </c>
      <c r="AB26" s="5">
        <f t="shared" si="16"/>
        <v>266</v>
      </c>
      <c r="AC26" s="5">
        <f t="shared" si="16"/>
        <v>671</v>
      </c>
      <c r="AD26" s="84">
        <f t="shared" si="31"/>
        <v>0</v>
      </c>
      <c r="AE26" s="5">
        <f t="shared" si="16"/>
        <v>149.46</v>
      </c>
      <c r="AF26" s="84">
        <f t="shared" si="20"/>
        <v>0</v>
      </c>
      <c r="AG26" s="5">
        <f t="shared" si="16"/>
        <v>1518</v>
      </c>
      <c r="AH26" s="84">
        <f t="shared" si="21"/>
        <v>0</v>
      </c>
      <c r="AI26" s="84">
        <f t="shared" si="22"/>
        <v>0</v>
      </c>
      <c r="AJ26" s="342">
        <f t="shared" si="23"/>
        <v>0</v>
      </c>
      <c r="AK26" s="343">
        <f t="shared" si="5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6">
        <f t="shared" si="25"/>
        <v>43972</v>
      </c>
      <c r="AS26" s="446">
        <f t="shared" si="50"/>
        <v>0.9</v>
      </c>
      <c r="AT26" s="205">
        <f t="shared" si="50"/>
        <v>200</v>
      </c>
      <c r="AU26" s="447">
        <f t="shared" si="33"/>
        <v>1.1000000000000001</v>
      </c>
      <c r="AV26" s="205">
        <f t="shared" si="33"/>
        <v>90</v>
      </c>
      <c r="AW26" s="5">
        <v>2.9</v>
      </c>
      <c r="AX26" s="205">
        <f t="shared" ref="AX26" si="55">AX25</f>
        <v>134</v>
      </c>
      <c r="AY26" s="450">
        <f t="shared" si="7"/>
        <v>180</v>
      </c>
      <c r="AZ26" s="450">
        <f t="shared" si="26"/>
        <v>99.000000000000014</v>
      </c>
      <c r="BA26" s="450">
        <f t="shared" si="27"/>
        <v>388.59999999999997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360">
        <f t="shared" si="8"/>
        <v>0</v>
      </c>
      <c r="BG26" s="83">
        <f t="shared" si="9"/>
        <v>0</v>
      </c>
    </row>
    <row r="27" spans="1:61" ht="15.75" thickBot="1">
      <c r="A27" s="6">
        <f>ELEC!C24</f>
        <v>43973</v>
      </c>
      <c r="B27" s="5">
        <f t="shared" si="10"/>
        <v>108473</v>
      </c>
      <c r="C27" s="5">
        <f t="shared" si="11"/>
        <v>0</v>
      </c>
      <c r="D27" s="441">
        <f t="shared" si="12"/>
        <v>0</v>
      </c>
      <c r="E27" s="349">
        <f>SUM((C27*$E$4)+(7500/'EDl log'!$A$38))</f>
        <v>241.93548387096774</v>
      </c>
      <c r="F27" s="343"/>
      <c r="G27" s="5">
        <f t="shared" si="34"/>
        <v>596773</v>
      </c>
      <c r="H27" s="5">
        <f t="shared" si="13"/>
        <v>0</v>
      </c>
      <c r="I27" s="5">
        <f t="shared" si="0"/>
        <v>0</v>
      </c>
      <c r="J27" s="350">
        <f t="shared" si="1"/>
        <v>0</v>
      </c>
      <c r="K27" s="5">
        <f>'Swimming Pool quality check '!H27</f>
        <v>6098</v>
      </c>
      <c r="L27" s="282">
        <f t="shared" si="32"/>
        <v>0</v>
      </c>
      <c r="M27" s="432">
        <f t="shared" si="14"/>
        <v>457.44</v>
      </c>
      <c r="N27" s="547">
        <f t="shared" si="39"/>
        <v>0</v>
      </c>
      <c r="O27" s="432">
        <f t="shared" si="15"/>
        <v>529.52</v>
      </c>
      <c r="P27" s="547">
        <f t="shared" si="40"/>
        <v>0</v>
      </c>
      <c r="Q27" s="547">
        <f t="shared" si="41"/>
        <v>0</v>
      </c>
      <c r="R27" s="549"/>
      <c r="S27" s="549"/>
      <c r="T27" s="5">
        <f t="shared" si="16"/>
        <v>4788</v>
      </c>
      <c r="U27" s="5">
        <f t="shared" si="4"/>
        <v>0</v>
      </c>
      <c r="V27" s="5">
        <f t="shared" si="16"/>
        <v>405</v>
      </c>
      <c r="W27" s="340">
        <f t="shared" si="17"/>
        <v>0</v>
      </c>
      <c r="X27" s="5">
        <f t="shared" si="16"/>
        <v>143013</v>
      </c>
      <c r="Y27" s="340">
        <f>SUM(X27-X26)</f>
        <v>0</v>
      </c>
      <c r="Z27" s="5">
        <f t="shared" si="16"/>
        <v>94254</v>
      </c>
      <c r="AA27" s="84">
        <f t="shared" si="19"/>
        <v>0</v>
      </c>
      <c r="AB27" s="5">
        <f t="shared" si="16"/>
        <v>266</v>
      </c>
      <c r="AC27" s="5">
        <f t="shared" si="16"/>
        <v>671</v>
      </c>
      <c r="AD27" s="84">
        <f t="shared" si="31"/>
        <v>0</v>
      </c>
      <c r="AE27" s="5">
        <f t="shared" si="16"/>
        <v>149.46</v>
      </c>
      <c r="AF27" s="84">
        <f t="shared" si="20"/>
        <v>0</v>
      </c>
      <c r="AG27" s="5">
        <f t="shared" si="16"/>
        <v>1518</v>
      </c>
      <c r="AH27" s="84">
        <f t="shared" si="21"/>
        <v>0</v>
      </c>
      <c r="AI27" s="84">
        <f t="shared" si="22"/>
        <v>0</v>
      </c>
      <c r="AJ27" s="342">
        <f t="shared" si="23"/>
        <v>0</v>
      </c>
      <c r="AK27" s="343">
        <f t="shared" si="5"/>
        <v>0</v>
      </c>
      <c r="AL27" s="343">
        <f t="shared" si="24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6">
        <f t="shared" si="25"/>
        <v>43973</v>
      </c>
      <c r="AS27" s="446">
        <f t="shared" si="50"/>
        <v>0.9</v>
      </c>
      <c r="AT27" s="205">
        <f t="shared" si="50"/>
        <v>200</v>
      </c>
      <c r="AU27" s="447">
        <f t="shared" si="33"/>
        <v>1.1000000000000001</v>
      </c>
      <c r="AV27" s="205">
        <f t="shared" si="33"/>
        <v>90</v>
      </c>
      <c r="AW27" s="5">
        <v>2.9</v>
      </c>
      <c r="AX27" s="205">
        <f t="shared" ref="AX27" si="56">AX26</f>
        <v>134</v>
      </c>
      <c r="AY27" s="450">
        <f t="shared" si="7"/>
        <v>180</v>
      </c>
      <c r="AZ27" s="450">
        <f t="shared" si="26"/>
        <v>99.000000000000014</v>
      </c>
      <c r="BA27" s="450">
        <f t="shared" si="27"/>
        <v>388.59999999999997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43974</v>
      </c>
      <c r="B28" s="5">
        <f t="shared" si="10"/>
        <v>108473</v>
      </c>
      <c r="C28" s="5">
        <f t="shared" si="11"/>
        <v>0</v>
      </c>
      <c r="D28" s="441">
        <f t="shared" si="12"/>
        <v>0</v>
      </c>
      <c r="E28" s="349">
        <f>SUM((C28*$E$4)+(7500/'EDl log'!$A$38))</f>
        <v>241.93548387096774</v>
      </c>
      <c r="F28" s="343"/>
      <c r="G28" s="5">
        <f t="shared" si="34"/>
        <v>596773</v>
      </c>
      <c r="H28" s="5">
        <f t="shared" si="13"/>
        <v>0</v>
      </c>
      <c r="I28" s="5">
        <f t="shared" si="0"/>
        <v>0</v>
      </c>
      <c r="J28" s="350">
        <f t="shared" si="1"/>
        <v>0</v>
      </c>
      <c r="K28" s="5">
        <f>'Swimming Pool quality check '!H28</f>
        <v>6098</v>
      </c>
      <c r="L28" s="282">
        <f t="shared" si="32"/>
        <v>0</v>
      </c>
      <c r="M28" s="432">
        <f t="shared" si="14"/>
        <v>457.44</v>
      </c>
      <c r="N28" s="547">
        <f t="shared" si="39"/>
        <v>0</v>
      </c>
      <c r="O28" s="432">
        <f t="shared" si="15"/>
        <v>529.52</v>
      </c>
      <c r="P28" s="547">
        <f t="shared" si="40"/>
        <v>0</v>
      </c>
      <c r="Q28" s="547">
        <f t="shared" si="41"/>
        <v>0</v>
      </c>
      <c r="R28" s="549"/>
      <c r="S28" s="549"/>
      <c r="T28" s="5">
        <f t="shared" si="16"/>
        <v>4788</v>
      </c>
      <c r="U28" s="5">
        <f t="shared" si="4"/>
        <v>0</v>
      </c>
      <c r="V28" s="5">
        <f t="shared" si="16"/>
        <v>405</v>
      </c>
      <c r="W28" s="340">
        <f t="shared" si="17"/>
        <v>0</v>
      </c>
      <c r="X28" s="5">
        <f t="shared" si="16"/>
        <v>143013</v>
      </c>
      <c r="Y28" s="340">
        <f t="shared" si="18"/>
        <v>0</v>
      </c>
      <c r="Z28" s="5">
        <f t="shared" si="16"/>
        <v>94254</v>
      </c>
      <c r="AA28" s="84">
        <f t="shared" si="19"/>
        <v>0</v>
      </c>
      <c r="AB28" s="5">
        <f t="shared" si="16"/>
        <v>266</v>
      </c>
      <c r="AC28" s="5">
        <f t="shared" si="16"/>
        <v>671</v>
      </c>
      <c r="AD28" s="84">
        <f t="shared" si="31"/>
        <v>0</v>
      </c>
      <c r="AE28" s="5">
        <f t="shared" si="16"/>
        <v>149.46</v>
      </c>
      <c r="AF28" s="84">
        <f t="shared" si="20"/>
        <v>0</v>
      </c>
      <c r="AG28" s="5">
        <f t="shared" si="16"/>
        <v>1518</v>
      </c>
      <c r="AH28" s="84">
        <f t="shared" si="21"/>
        <v>0</v>
      </c>
      <c r="AI28" s="84">
        <f t="shared" si="22"/>
        <v>0</v>
      </c>
      <c r="AJ28" s="342">
        <f t="shared" si="23"/>
        <v>0</v>
      </c>
      <c r="AK28" s="343">
        <f t="shared" si="5"/>
        <v>0</v>
      </c>
      <c r="AL28" s="343">
        <f t="shared" si="24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25"/>
        <v>43974</v>
      </c>
      <c r="AS28" s="446">
        <f t="shared" si="50"/>
        <v>0.9</v>
      </c>
      <c r="AT28" s="205">
        <f t="shared" si="50"/>
        <v>200</v>
      </c>
      <c r="AU28" s="447">
        <f t="shared" si="33"/>
        <v>1.1000000000000001</v>
      </c>
      <c r="AV28" s="205">
        <f t="shared" si="33"/>
        <v>90</v>
      </c>
      <c r="AW28" s="5">
        <v>2.9</v>
      </c>
      <c r="AX28" s="205">
        <f t="shared" ref="AX28" si="57">AX27</f>
        <v>134</v>
      </c>
      <c r="AY28" s="450">
        <f t="shared" si="7"/>
        <v>180</v>
      </c>
      <c r="AZ28" s="450">
        <f t="shared" si="26"/>
        <v>99.000000000000014</v>
      </c>
      <c r="BA28" s="450">
        <f t="shared" si="27"/>
        <v>388.59999999999997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43975</v>
      </c>
      <c r="B29" s="5">
        <f t="shared" si="10"/>
        <v>108473</v>
      </c>
      <c r="C29" s="5">
        <f t="shared" si="11"/>
        <v>0</v>
      </c>
      <c r="D29" s="441">
        <f t="shared" si="12"/>
        <v>0</v>
      </c>
      <c r="E29" s="349">
        <f>SUM((C29*$E$4)+(7500/'EDl log'!$A$38))</f>
        <v>241.93548387096774</v>
      </c>
      <c r="F29" s="343"/>
      <c r="G29" s="5">
        <f t="shared" si="34"/>
        <v>596773</v>
      </c>
      <c r="H29" s="5">
        <f t="shared" si="13"/>
        <v>0</v>
      </c>
      <c r="I29" s="5">
        <f t="shared" si="0"/>
        <v>0</v>
      </c>
      <c r="J29" s="350">
        <f t="shared" si="1"/>
        <v>0</v>
      </c>
      <c r="K29" s="5">
        <f>'Swimming Pool quality check '!H29</f>
        <v>6098</v>
      </c>
      <c r="L29" s="282">
        <f t="shared" si="32"/>
        <v>0</v>
      </c>
      <c r="M29" s="432">
        <f t="shared" si="14"/>
        <v>457.44</v>
      </c>
      <c r="N29" s="547">
        <f t="shared" si="39"/>
        <v>0</v>
      </c>
      <c r="O29" s="432">
        <f t="shared" si="15"/>
        <v>529.52</v>
      </c>
      <c r="P29" s="547">
        <f t="shared" si="40"/>
        <v>0</v>
      </c>
      <c r="Q29" s="547">
        <f t="shared" si="41"/>
        <v>0</v>
      </c>
      <c r="R29" s="549"/>
      <c r="S29" s="549"/>
      <c r="T29" s="5">
        <f t="shared" si="16"/>
        <v>4788</v>
      </c>
      <c r="U29" s="5">
        <f t="shared" si="4"/>
        <v>0</v>
      </c>
      <c r="V29" s="5">
        <f t="shared" si="16"/>
        <v>405</v>
      </c>
      <c r="W29" s="340">
        <f t="shared" si="17"/>
        <v>0</v>
      </c>
      <c r="X29" s="5">
        <f t="shared" si="16"/>
        <v>143013</v>
      </c>
      <c r="Y29" s="340">
        <f t="shared" si="18"/>
        <v>0</v>
      </c>
      <c r="Z29" s="5">
        <f t="shared" si="16"/>
        <v>94254</v>
      </c>
      <c r="AA29" s="84">
        <f t="shared" si="19"/>
        <v>0</v>
      </c>
      <c r="AB29" s="5">
        <f t="shared" si="16"/>
        <v>266</v>
      </c>
      <c r="AC29" s="5">
        <f t="shared" si="16"/>
        <v>671</v>
      </c>
      <c r="AD29" s="84">
        <f t="shared" si="31"/>
        <v>0</v>
      </c>
      <c r="AE29" s="5">
        <f t="shared" si="16"/>
        <v>149.46</v>
      </c>
      <c r="AF29" s="84">
        <f t="shared" si="20"/>
        <v>0</v>
      </c>
      <c r="AG29" s="5">
        <f t="shared" si="16"/>
        <v>1518</v>
      </c>
      <c r="AH29" s="84">
        <f t="shared" si="21"/>
        <v>0</v>
      </c>
      <c r="AI29" s="84">
        <f t="shared" si="22"/>
        <v>0</v>
      </c>
      <c r="AJ29" s="342">
        <f t="shared" si="23"/>
        <v>0</v>
      </c>
      <c r="AK29" s="343">
        <f t="shared" si="5"/>
        <v>0</v>
      </c>
      <c r="AL29" s="343">
        <f t="shared" si="24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6">
        <f t="shared" si="25"/>
        <v>43975</v>
      </c>
      <c r="AS29" s="446">
        <f t="shared" si="50"/>
        <v>0.9</v>
      </c>
      <c r="AT29" s="205">
        <f t="shared" si="50"/>
        <v>200</v>
      </c>
      <c r="AU29" s="447">
        <f t="shared" si="33"/>
        <v>1.1000000000000001</v>
      </c>
      <c r="AV29" s="205">
        <f t="shared" si="33"/>
        <v>90</v>
      </c>
      <c r="AW29" s="5">
        <v>2.9</v>
      </c>
      <c r="AX29" s="205">
        <f t="shared" ref="AX29" si="58">AX28</f>
        <v>134</v>
      </c>
      <c r="AY29" s="450">
        <f t="shared" si="7"/>
        <v>180</v>
      </c>
      <c r="AZ29" s="450">
        <f t="shared" si="26"/>
        <v>99.000000000000014</v>
      </c>
      <c r="BA29" s="450">
        <f t="shared" si="27"/>
        <v>388.59999999999997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43976</v>
      </c>
      <c r="B30" s="5">
        <f t="shared" si="10"/>
        <v>108473</v>
      </c>
      <c r="C30" s="5">
        <f t="shared" si="11"/>
        <v>0</v>
      </c>
      <c r="D30" s="441">
        <f t="shared" si="12"/>
        <v>0</v>
      </c>
      <c r="E30" s="349">
        <f>SUM((C30*$E$4)+(7500/'EDl log'!$A$38))</f>
        <v>241.93548387096774</v>
      </c>
      <c r="F30" s="343"/>
      <c r="G30" s="5">
        <f t="shared" si="34"/>
        <v>596773</v>
      </c>
      <c r="H30" s="5">
        <f t="shared" si="13"/>
        <v>0</v>
      </c>
      <c r="I30" s="5">
        <f t="shared" si="0"/>
        <v>0</v>
      </c>
      <c r="J30" s="350">
        <f t="shared" si="1"/>
        <v>0</v>
      </c>
      <c r="K30" s="5">
        <f>'Swimming Pool quality check '!H30</f>
        <v>6098</v>
      </c>
      <c r="L30" s="282">
        <f t="shared" si="32"/>
        <v>0</v>
      </c>
      <c r="M30" s="432">
        <f t="shared" si="14"/>
        <v>457.44</v>
      </c>
      <c r="N30" s="547">
        <f t="shared" si="39"/>
        <v>0</v>
      </c>
      <c r="O30" s="432">
        <f t="shared" si="15"/>
        <v>529.52</v>
      </c>
      <c r="P30" s="547">
        <f t="shared" si="40"/>
        <v>0</v>
      </c>
      <c r="Q30" s="547">
        <f t="shared" si="41"/>
        <v>0</v>
      </c>
      <c r="R30" s="549"/>
      <c r="S30" s="549"/>
      <c r="T30" s="5">
        <f t="shared" si="16"/>
        <v>4788</v>
      </c>
      <c r="U30" s="5">
        <f t="shared" si="4"/>
        <v>0</v>
      </c>
      <c r="V30" s="5">
        <f t="shared" si="16"/>
        <v>405</v>
      </c>
      <c r="W30" s="340">
        <f t="shared" si="17"/>
        <v>0</v>
      </c>
      <c r="X30" s="5">
        <f t="shared" si="16"/>
        <v>143013</v>
      </c>
      <c r="Y30" s="340">
        <f t="shared" si="18"/>
        <v>0</v>
      </c>
      <c r="Z30" s="5">
        <f t="shared" si="16"/>
        <v>94254</v>
      </c>
      <c r="AA30" s="84">
        <f t="shared" si="19"/>
        <v>0</v>
      </c>
      <c r="AB30" s="5">
        <f t="shared" si="16"/>
        <v>266</v>
      </c>
      <c r="AC30" s="5">
        <f t="shared" si="16"/>
        <v>671</v>
      </c>
      <c r="AD30" s="84">
        <f t="shared" si="31"/>
        <v>0</v>
      </c>
      <c r="AE30" s="5">
        <f t="shared" si="16"/>
        <v>149.46</v>
      </c>
      <c r="AF30" s="84">
        <f t="shared" si="20"/>
        <v>0</v>
      </c>
      <c r="AG30" s="5">
        <f t="shared" si="16"/>
        <v>1518</v>
      </c>
      <c r="AH30" s="84">
        <f t="shared" si="21"/>
        <v>0</v>
      </c>
      <c r="AI30" s="84">
        <f t="shared" si="22"/>
        <v>0</v>
      </c>
      <c r="AJ30" s="342">
        <f t="shared" si="23"/>
        <v>0</v>
      </c>
      <c r="AK30" s="343">
        <f t="shared" si="5"/>
        <v>0</v>
      </c>
      <c r="AL30" s="343">
        <f t="shared" si="24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6">
        <f t="shared" si="25"/>
        <v>43976</v>
      </c>
      <c r="AS30" s="446">
        <f t="shared" si="50"/>
        <v>0.9</v>
      </c>
      <c r="AT30" s="205">
        <f t="shared" si="50"/>
        <v>200</v>
      </c>
      <c r="AU30" s="447">
        <f t="shared" si="33"/>
        <v>1.1000000000000001</v>
      </c>
      <c r="AV30" s="205">
        <f t="shared" si="33"/>
        <v>90</v>
      </c>
      <c r="AW30" s="5">
        <v>2.9</v>
      </c>
      <c r="AX30" s="205">
        <f t="shared" ref="AX30" si="59">AX29</f>
        <v>134</v>
      </c>
      <c r="AY30" s="450">
        <f t="shared" si="7"/>
        <v>180</v>
      </c>
      <c r="AZ30" s="450">
        <f t="shared" si="26"/>
        <v>99.000000000000014</v>
      </c>
      <c r="BA30" s="450">
        <f t="shared" si="27"/>
        <v>388.59999999999997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43977</v>
      </c>
      <c r="B31" s="5">
        <f t="shared" si="10"/>
        <v>108473</v>
      </c>
      <c r="C31" s="5">
        <f t="shared" si="11"/>
        <v>0</v>
      </c>
      <c r="D31" s="441">
        <f t="shared" si="12"/>
        <v>0</v>
      </c>
      <c r="E31" s="349">
        <f>SUM((C31*$E$4)+(7500/'EDl log'!$A$38))</f>
        <v>241.93548387096774</v>
      </c>
      <c r="F31" s="343"/>
      <c r="G31" s="5">
        <f t="shared" si="34"/>
        <v>596773</v>
      </c>
      <c r="H31" s="5">
        <f t="shared" si="13"/>
        <v>0</v>
      </c>
      <c r="I31" s="5">
        <f t="shared" si="0"/>
        <v>0</v>
      </c>
      <c r="J31" s="350">
        <f t="shared" si="1"/>
        <v>0</v>
      </c>
      <c r="K31" s="5">
        <f>'Swimming Pool quality check '!H31</f>
        <v>6098</v>
      </c>
      <c r="L31" s="282">
        <f t="shared" si="32"/>
        <v>0</v>
      </c>
      <c r="M31" s="432">
        <f t="shared" si="14"/>
        <v>457.44</v>
      </c>
      <c r="N31" s="547">
        <f t="shared" si="39"/>
        <v>0</v>
      </c>
      <c r="O31" s="432">
        <f t="shared" si="15"/>
        <v>529.52</v>
      </c>
      <c r="P31" s="547">
        <f t="shared" si="40"/>
        <v>0</v>
      </c>
      <c r="Q31" s="547">
        <f t="shared" si="41"/>
        <v>0</v>
      </c>
      <c r="R31" s="549"/>
      <c r="S31" s="549"/>
      <c r="T31" s="5">
        <f t="shared" si="16"/>
        <v>4788</v>
      </c>
      <c r="U31" s="5">
        <f t="shared" si="4"/>
        <v>0</v>
      </c>
      <c r="V31" s="5">
        <f t="shared" si="16"/>
        <v>405</v>
      </c>
      <c r="W31" s="340">
        <f t="shared" si="17"/>
        <v>0</v>
      </c>
      <c r="X31" s="5">
        <f t="shared" si="16"/>
        <v>143013</v>
      </c>
      <c r="Y31" s="340">
        <f t="shared" si="18"/>
        <v>0</v>
      </c>
      <c r="Z31" s="5">
        <f t="shared" si="16"/>
        <v>94254</v>
      </c>
      <c r="AA31" s="84">
        <f t="shared" si="19"/>
        <v>0</v>
      </c>
      <c r="AB31" s="5">
        <f t="shared" si="16"/>
        <v>266</v>
      </c>
      <c r="AC31" s="5">
        <f t="shared" si="16"/>
        <v>671</v>
      </c>
      <c r="AD31" s="84">
        <f t="shared" si="31"/>
        <v>0</v>
      </c>
      <c r="AE31" s="5">
        <f t="shared" si="16"/>
        <v>149.46</v>
      </c>
      <c r="AF31" s="84">
        <f t="shared" si="20"/>
        <v>0</v>
      </c>
      <c r="AG31" s="5">
        <f t="shared" si="16"/>
        <v>1518</v>
      </c>
      <c r="AH31" s="84">
        <f t="shared" si="21"/>
        <v>0</v>
      </c>
      <c r="AI31" s="84">
        <f t="shared" si="22"/>
        <v>0</v>
      </c>
      <c r="AJ31" s="342">
        <f t="shared" si="23"/>
        <v>0</v>
      </c>
      <c r="AK31" s="343">
        <f t="shared" si="5"/>
        <v>0</v>
      </c>
      <c r="AL31" s="343">
        <f t="shared" si="24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6">
        <f t="shared" si="25"/>
        <v>43977</v>
      </c>
      <c r="AS31" s="446">
        <f t="shared" si="50"/>
        <v>0.9</v>
      </c>
      <c r="AT31" s="205">
        <f t="shared" si="50"/>
        <v>200</v>
      </c>
      <c r="AU31" s="447">
        <f t="shared" si="33"/>
        <v>1.1000000000000001</v>
      </c>
      <c r="AV31" s="205">
        <f t="shared" si="33"/>
        <v>90</v>
      </c>
      <c r="AW31" s="5">
        <v>2.9</v>
      </c>
      <c r="AX31" s="205">
        <f t="shared" ref="AX31" si="60">AX30</f>
        <v>134</v>
      </c>
      <c r="AY31" s="450">
        <f t="shared" si="7"/>
        <v>180</v>
      </c>
      <c r="AZ31" s="450">
        <f t="shared" si="26"/>
        <v>99.000000000000014</v>
      </c>
      <c r="BA31" s="450">
        <f t="shared" si="27"/>
        <v>388.59999999999997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43978</v>
      </c>
      <c r="B32" s="5">
        <f t="shared" si="10"/>
        <v>108473</v>
      </c>
      <c r="C32" s="5">
        <f t="shared" si="11"/>
        <v>0</v>
      </c>
      <c r="D32" s="441">
        <f t="shared" si="12"/>
        <v>0</v>
      </c>
      <c r="E32" s="349">
        <f>SUM((C32*$E$4)+(7500/'EDl log'!$A$38))</f>
        <v>241.93548387096774</v>
      </c>
      <c r="F32" s="343"/>
      <c r="G32" s="5">
        <f t="shared" si="34"/>
        <v>596773</v>
      </c>
      <c r="H32" s="5">
        <f t="shared" si="13"/>
        <v>0</v>
      </c>
      <c r="I32" s="5">
        <f t="shared" si="0"/>
        <v>0</v>
      </c>
      <c r="J32" s="350">
        <f t="shared" si="1"/>
        <v>0</v>
      </c>
      <c r="K32" s="5">
        <f>'Swimming Pool quality check '!H32</f>
        <v>6098</v>
      </c>
      <c r="L32" s="282">
        <f t="shared" si="32"/>
        <v>0</v>
      </c>
      <c r="M32" s="432">
        <f t="shared" si="14"/>
        <v>457.44</v>
      </c>
      <c r="N32" s="547">
        <f t="shared" si="39"/>
        <v>0</v>
      </c>
      <c r="O32" s="432">
        <f t="shared" si="15"/>
        <v>529.52</v>
      </c>
      <c r="P32" s="547">
        <f t="shared" si="40"/>
        <v>0</v>
      </c>
      <c r="Q32" s="547">
        <f t="shared" si="41"/>
        <v>0</v>
      </c>
      <c r="R32" s="549"/>
      <c r="S32" s="549"/>
      <c r="T32" s="5">
        <f t="shared" si="16"/>
        <v>4788</v>
      </c>
      <c r="U32" s="5">
        <f t="shared" si="4"/>
        <v>0</v>
      </c>
      <c r="V32" s="5">
        <f t="shared" si="16"/>
        <v>405</v>
      </c>
      <c r="W32" s="340">
        <f t="shared" si="17"/>
        <v>0</v>
      </c>
      <c r="X32" s="5">
        <f t="shared" si="16"/>
        <v>143013</v>
      </c>
      <c r="Y32" s="340">
        <f t="shared" si="18"/>
        <v>0</v>
      </c>
      <c r="Z32" s="5">
        <f t="shared" si="16"/>
        <v>94254</v>
      </c>
      <c r="AA32" s="84">
        <f t="shared" si="19"/>
        <v>0</v>
      </c>
      <c r="AB32" s="5">
        <f t="shared" si="16"/>
        <v>266</v>
      </c>
      <c r="AC32" s="5">
        <f t="shared" si="16"/>
        <v>671</v>
      </c>
      <c r="AD32" s="84">
        <f t="shared" si="31"/>
        <v>0</v>
      </c>
      <c r="AE32" s="5">
        <f t="shared" si="16"/>
        <v>149.46</v>
      </c>
      <c r="AF32" s="84">
        <f t="shared" si="20"/>
        <v>0</v>
      </c>
      <c r="AG32" s="5">
        <f t="shared" si="16"/>
        <v>1518</v>
      </c>
      <c r="AH32" s="84">
        <f t="shared" si="21"/>
        <v>0</v>
      </c>
      <c r="AI32" s="84">
        <f t="shared" si="22"/>
        <v>0</v>
      </c>
      <c r="AJ32" s="342">
        <f t="shared" si="23"/>
        <v>0</v>
      </c>
      <c r="AK32" s="343">
        <f t="shared" si="5"/>
        <v>0</v>
      </c>
      <c r="AL32" s="343">
        <f t="shared" si="24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6">
        <f t="shared" si="25"/>
        <v>43978</v>
      </c>
      <c r="AS32" s="446">
        <f t="shared" si="50"/>
        <v>0.9</v>
      </c>
      <c r="AT32" s="205">
        <f t="shared" si="50"/>
        <v>200</v>
      </c>
      <c r="AU32" s="447">
        <f t="shared" si="33"/>
        <v>1.1000000000000001</v>
      </c>
      <c r="AV32" s="205">
        <f t="shared" si="33"/>
        <v>90</v>
      </c>
      <c r="AW32" s="5">
        <v>2.9</v>
      </c>
      <c r="AX32" s="205">
        <f t="shared" ref="AX32" si="61">AX31</f>
        <v>134</v>
      </c>
      <c r="AY32" s="450">
        <f t="shared" si="7"/>
        <v>180</v>
      </c>
      <c r="AZ32" s="450">
        <f t="shared" si="26"/>
        <v>99.000000000000014</v>
      </c>
      <c r="BA32" s="450">
        <f t="shared" si="27"/>
        <v>388.59999999999997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43979</v>
      </c>
      <c r="B33" s="5">
        <f t="shared" si="10"/>
        <v>108473</v>
      </c>
      <c r="C33" s="5">
        <f t="shared" si="11"/>
        <v>0</v>
      </c>
      <c r="D33" s="441">
        <f t="shared" si="12"/>
        <v>0</v>
      </c>
      <c r="E33" s="349">
        <f>SUM((C33*$E$4)+(7500/'EDl log'!$A$38))</f>
        <v>241.93548387096774</v>
      </c>
      <c r="F33" s="343"/>
      <c r="G33" s="5">
        <f t="shared" si="34"/>
        <v>596773</v>
      </c>
      <c r="H33" s="5">
        <f t="shared" si="13"/>
        <v>0</v>
      </c>
      <c r="I33" s="5">
        <f t="shared" si="0"/>
        <v>0</v>
      </c>
      <c r="J33" s="350">
        <f t="shared" si="1"/>
        <v>0</v>
      </c>
      <c r="K33" s="5">
        <f>'Swimming Pool quality check '!H33</f>
        <v>6098</v>
      </c>
      <c r="L33" s="282">
        <f t="shared" si="32"/>
        <v>0</v>
      </c>
      <c r="M33" s="432">
        <f t="shared" si="14"/>
        <v>457.44</v>
      </c>
      <c r="N33" s="547">
        <f t="shared" si="39"/>
        <v>0</v>
      </c>
      <c r="O33" s="432">
        <f t="shared" si="15"/>
        <v>529.52</v>
      </c>
      <c r="P33" s="547">
        <f t="shared" si="40"/>
        <v>0</v>
      </c>
      <c r="Q33" s="547">
        <f t="shared" si="41"/>
        <v>0</v>
      </c>
      <c r="R33" s="549"/>
      <c r="S33" s="549"/>
      <c r="T33" s="5">
        <f t="shared" si="16"/>
        <v>4788</v>
      </c>
      <c r="U33" s="5">
        <f t="shared" si="4"/>
        <v>0</v>
      </c>
      <c r="V33" s="5">
        <f t="shared" si="16"/>
        <v>405</v>
      </c>
      <c r="W33" s="340">
        <f t="shared" si="17"/>
        <v>0</v>
      </c>
      <c r="X33" s="5">
        <f t="shared" si="16"/>
        <v>143013</v>
      </c>
      <c r="Y33" s="340">
        <f t="shared" si="18"/>
        <v>0</v>
      </c>
      <c r="Z33" s="5">
        <f t="shared" si="16"/>
        <v>94254</v>
      </c>
      <c r="AA33" s="84">
        <f t="shared" si="19"/>
        <v>0</v>
      </c>
      <c r="AB33" s="5">
        <f t="shared" si="16"/>
        <v>266</v>
      </c>
      <c r="AC33" s="5">
        <f t="shared" si="16"/>
        <v>671</v>
      </c>
      <c r="AD33" s="84">
        <f t="shared" si="31"/>
        <v>0</v>
      </c>
      <c r="AE33" s="5">
        <f t="shared" si="16"/>
        <v>149.46</v>
      </c>
      <c r="AF33" s="84">
        <f>AE33-AE32</f>
        <v>0</v>
      </c>
      <c r="AG33" s="5">
        <f t="shared" si="16"/>
        <v>1518</v>
      </c>
      <c r="AH33" s="84">
        <f t="shared" si="21"/>
        <v>0</v>
      </c>
      <c r="AI33" s="84">
        <f t="shared" si="22"/>
        <v>0</v>
      </c>
      <c r="AJ33" s="342">
        <f t="shared" si="23"/>
        <v>0</v>
      </c>
      <c r="AK33" s="343">
        <f t="shared" si="5"/>
        <v>0</v>
      </c>
      <c r="AL33" s="343">
        <f t="shared" si="24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6">
        <f t="shared" si="25"/>
        <v>43979</v>
      </c>
      <c r="AS33" s="446">
        <f t="shared" si="50"/>
        <v>0.9</v>
      </c>
      <c r="AT33" s="205">
        <f t="shared" si="50"/>
        <v>200</v>
      </c>
      <c r="AU33" s="447">
        <f t="shared" si="33"/>
        <v>1.1000000000000001</v>
      </c>
      <c r="AV33" s="205">
        <f t="shared" si="33"/>
        <v>90</v>
      </c>
      <c r="AW33" s="5">
        <v>2.9</v>
      </c>
      <c r="AX33" s="205">
        <f t="shared" ref="AX33" si="62">AX32</f>
        <v>134</v>
      </c>
      <c r="AY33" s="450">
        <f t="shared" si="7"/>
        <v>180</v>
      </c>
      <c r="AZ33" s="450">
        <f t="shared" si="26"/>
        <v>99.000000000000014</v>
      </c>
      <c r="BA33" s="450">
        <f t="shared" si="27"/>
        <v>388.59999999999997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43980</v>
      </c>
      <c r="B34" s="5">
        <f t="shared" si="10"/>
        <v>108473</v>
      </c>
      <c r="C34" s="5">
        <f t="shared" si="11"/>
        <v>0</v>
      </c>
      <c r="D34" s="441">
        <f t="shared" si="12"/>
        <v>0</v>
      </c>
      <c r="E34" s="349">
        <f>SUM((C34*$E$4)+(7500/'EDl log'!$A$38))</f>
        <v>241.93548387096774</v>
      </c>
      <c r="F34" s="343"/>
      <c r="G34" s="5">
        <f t="shared" si="34"/>
        <v>596773</v>
      </c>
      <c r="H34" s="5">
        <f t="shared" si="13"/>
        <v>0</v>
      </c>
      <c r="I34" s="5">
        <f t="shared" si="0"/>
        <v>0</v>
      </c>
      <c r="J34" s="350">
        <f t="shared" si="1"/>
        <v>0</v>
      </c>
      <c r="K34" s="5">
        <f>'Swimming Pool quality check '!H34</f>
        <v>6098</v>
      </c>
      <c r="L34" s="282">
        <f t="shared" si="32"/>
        <v>0</v>
      </c>
      <c r="M34" s="432">
        <f t="shared" si="14"/>
        <v>457.44</v>
      </c>
      <c r="N34" s="547">
        <f t="shared" si="39"/>
        <v>0</v>
      </c>
      <c r="O34" s="432">
        <f t="shared" si="15"/>
        <v>529.52</v>
      </c>
      <c r="P34" s="547">
        <f t="shared" si="40"/>
        <v>0</v>
      </c>
      <c r="Q34" s="547">
        <f t="shared" si="41"/>
        <v>0</v>
      </c>
      <c r="R34" s="549"/>
      <c r="S34" s="549"/>
      <c r="T34" s="5">
        <f t="shared" si="16"/>
        <v>4788</v>
      </c>
      <c r="U34" s="5">
        <f t="shared" si="4"/>
        <v>0</v>
      </c>
      <c r="V34" s="5">
        <f t="shared" si="16"/>
        <v>405</v>
      </c>
      <c r="W34" s="340">
        <f t="shared" si="17"/>
        <v>0</v>
      </c>
      <c r="X34" s="5">
        <f t="shared" si="16"/>
        <v>143013</v>
      </c>
      <c r="Y34" s="340">
        <f t="shared" si="18"/>
        <v>0</v>
      </c>
      <c r="Z34" s="5">
        <f t="shared" si="16"/>
        <v>94254</v>
      </c>
      <c r="AA34" s="84">
        <f t="shared" si="19"/>
        <v>0</v>
      </c>
      <c r="AB34" s="5">
        <f t="shared" si="16"/>
        <v>266</v>
      </c>
      <c r="AC34" s="5">
        <f t="shared" si="16"/>
        <v>671</v>
      </c>
      <c r="AD34" s="84">
        <f t="shared" si="31"/>
        <v>0</v>
      </c>
      <c r="AE34" s="5">
        <f t="shared" si="16"/>
        <v>149.46</v>
      </c>
      <c r="AF34" s="84">
        <f t="shared" si="20"/>
        <v>0</v>
      </c>
      <c r="AG34" s="5">
        <f t="shared" si="16"/>
        <v>1518</v>
      </c>
      <c r="AH34" s="84">
        <f t="shared" si="21"/>
        <v>0</v>
      </c>
      <c r="AI34" s="84">
        <f t="shared" si="22"/>
        <v>0</v>
      </c>
      <c r="AJ34" s="342">
        <f t="shared" si="23"/>
        <v>0</v>
      </c>
      <c r="AK34" s="343">
        <f t="shared" si="5"/>
        <v>0</v>
      </c>
      <c r="AL34" s="343">
        <f t="shared" si="24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6">
        <f t="shared" si="25"/>
        <v>43980</v>
      </c>
      <c r="AS34" s="446">
        <f t="shared" si="50"/>
        <v>0.9</v>
      </c>
      <c r="AT34" s="205">
        <f t="shared" si="50"/>
        <v>200</v>
      </c>
      <c r="AU34" s="448">
        <f t="shared" si="33"/>
        <v>1.1000000000000001</v>
      </c>
      <c r="AV34" s="205">
        <f t="shared" si="33"/>
        <v>90</v>
      </c>
      <c r="AW34" s="5">
        <v>2.9</v>
      </c>
      <c r="AX34" s="205">
        <f t="shared" ref="AX34" si="63">AX33</f>
        <v>134</v>
      </c>
      <c r="AY34" s="450">
        <f t="shared" si="7"/>
        <v>180</v>
      </c>
      <c r="AZ34" s="450">
        <f t="shared" si="26"/>
        <v>99.000000000000014</v>
      </c>
      <c r="BA34" s="450">
        <f t="shared" si="27"/>
        <v>388.59999999999997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43981</v>
      </c>
      <c r="B35" s="5">
        <f t="shared" si="10"/>
        <v>108473</v>
      </c>
      <c r="C35" s="5">
        <f t="shared" si="11"/>
        <v>0</v>
      </c>
      <c r="D35" s="441">
        <f t="shared" si="12"/>
        <v>0</v>
      </c>
      <c r="E35" s="349">
        <f>SUM((C35*$E$4)+(7500/'EDl log'!$A$38))</f>
        <v>241.93548387096774</v>
      </c>
      <c r="F35" s="343"/>
      <c r="G35" s="5">
        <f t="shared" si="34"/>
        <v>596773</v>
      </c>
      <c r="H35" s="5">
        <f t="shared" si="13"/>
        <v>0</v>
      </c>
      <c r="I35" s="5">
        <f t="shared" si="0"/>
        <v>0</v>
      </c>
      <c r="J35" s="350">
        <f t="shared" si="1"/>
        <v>0</v>
      </c>
      <c r="K35" s="5">
        <f>'Swimming Pool quality check '!H35</f>
        <v>6098</v>
      </c>
      <c r="L35" s="84">
        <f t="shared" si="32"/>
        <v>0</v>
      </c>
      <c r="M35" s="432">
        <f t="shared" si="14"/>
        <v>457.44</v>
      </c>
      <c r="N35" s="547">
        <f t="shared" si="39"/>
        <v>0</v>
      </c>
      <c r="O35" s="432">
        <f t="shared" si="15"/>
        <v>529.52</v>
      </c>
      <c r="P35" s="547">
        <f t="shared" si="40"/>
        <v>0</v>
      </c>
      <c r="Q35" s="547">
        <f t="shared" si="41"/>
        <v>0</v>
      </c>
      <c r="R35" s="547"/>
      <c r="S35" s="547"/>
      <c r="T35" s="5">
        <f t="shared" si="16"/>
        <v>4788</v>
      </c>
      <c r="U35" s="5">
        <f t="shared" si="4"/>
        <v>0</v>
      </c>
      <c r="V35" s="5">
        <f t="shared" si="16"/>
        <v>405</v>
      </c>
      <c r="W35" s="340">
        <f t="shared" si="17"/>
        <v>0</v>
      </c>
      <c r="X35" s="5">
        <f t="shared" si="16"/>
        <v>143013</v>
      </c>
      <c r="Y35" s="340">
        <f t="shared" si="18"/>
        <v>0</v>
      </c>
      <c r="Z35" s="5">
        <f t="shared" si="16"/>
        <v>94254</v>
      </c>
      <c r="AA35" s="84">
        <f t="shared" si="19"/>
        <v>0</v>
      </c>
      <c r="AB35" s="5">
        <f t="shared" si="16"/>
        <v>266</v>
      </c>
      <c r="AC35" s="5">
        <f t="shared" si="16"/>
        <v>671</v>
      </c>
      <c r="AD35" s="84">
        <f t="shared" si="31"/>
        <v>0</v>
      </c>
      <c r="AE35" s="5">
        <f t="shared" si="16"/>
        <v>149.46</v>
      </c>
      <c r="AF35" s="84">
        <f t="shared" si="20"/>
        <v>0</v>
      </c>
      <c r="AG35" s="5">
        <f t="shared" si="16"/>
        <v>1518</v>
      </c>
      <c r="AH35" s="84">
        <f t="shared" si="21"/>
        <v>0</v>
      </c>
      <c r="AI35" s="84">
        <f t="shared" si="22"/>
        <v>0</v>
      </c>
      <c r="AJ35" s="342">
        <f t="shared" si="23"/>
        <v>0</v>
      </c>
      <c r="AK35" s="343">
        <f t="shared" si="5"/>
        <v>0</v>
      </c>
      <c r="AL35" s="343">
        <f t="shared" si="24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6">
        <f t="shared" si="25"/>
        <v>43981</v>
      </c>
      <c r="AS35" s="446">
        <f t="shared" si="50"/>
        <v>0.9</v>
      </c>
      <c r="AT35" s="205">
        <f t="shared" si="50"/>
        <v>200</v>
      </c>
      <c r="AU35" s="449">
        <f t="shared" si="33"/>
        <v>1.1000000000000001</v>
      </c>
      <c r="AV35" s="205">
        <f t="shared" si="33"/>
        <v>90</v>
      </c>
      <c r="AW35" s="5">
        <v>2.9</v>
      </c>
      <c r="AX35" s="205">
        <f t="shared" ref="AX35" si="64">AX34</f>
        <v>134</v>
      </c>
      <c r="AY35" s="450">
        <f t="shared" si="7"/>
        <v>180</v>
      </c>
      <c r="AZ35" s="450">
        <f t="shared" si="26"/>
        <v>99.000000000000014</v>
      </c>
      <c r="BA35" s="450">
        <f t="shared" si="27"/>
        <v>388.59999999999997</v>
      </c>
      <c r="BB35" s="21">
        <f t="shared" si="28"/>
        <v>0</v>
      </c>
      <c r="BC35" s="231">
        <f t="shared" si="28"/>
        <v>0</v>
      </c>
      <c r="BD35" s="231">
        <f t="shared" si="28"/>
        <v>0</v>
      </c>
      <c r="BE35" s="24">
        <f t="shared" si="30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>
        <f>ELEC!C33</f>
        <v>43982</v>
      </c>
      <c r="B36" s="5">
        <f t="shared" si="10"/>
        <v>108473</v>
      </c>
      <c r="C36" s="5">
        <f>B36-B35</f>
        <v>0</v>
      </c>
      <c r="D36" s="441">
        <f t="shared" si="12"/>
        <v>0</v>
      </c>
      <c r="E36" s="349">
        <f>SUM((C36*$E$4)+(7500/'EDl log'!$A$38))</f>
        <v>241.93548387096774</v>
      </c>
      <c r="F36" s="343"/>
      <c r="G36" s="5">
        <f t="shared" si="34"/>
        <v>596773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6098</v>
      </c>
      <c r="L36" s="84">
        <f>K36-K35</f>
        <v>0</v>
      </c>
      <c r="M36" s="432">
        <f t="shared" si="14"/>
        <v>457.44</v>
      </c>
      <c r="N36" s="547">
        <f t="shared" si="39"/>
        <v>0</v>
      </c>
      <c r="O36" s="432">
        <f t="shared" si="15"/>
        <v>529.52</v>
      </c>
      <c r="P36" s="547">
        <f t="shared" si="40"/>
        <v>0</v>
      </c>
      <c r="Q36" s="547">
        <f t="shared" si="41"/>
        <v>0</v>
      </c>
      <c r="R36" s="547"/>
      <c r="S36" s="547"/>
      <c r="T36" s="5">
        <f t="shared" si="16"/>
        <v>4788</v>
      </c>
      <c r="U36" s="5">
        <f>SUM(T36-T35)</f>
        <v>0</v>
      </c>
      <c r="V36" s="5">
        <f t="shared" si="16"/>
        <v>405</v>
      </c>
      <c r="W36" s="340">
        <f t="shared" si="17"/>
        <v>0</v>
      </c>
      <c r="X36" s="5">
        <f t="shared" si="16"/>
        <v>143013</v>
      </c>
      <c r="Y36" s="340">
        <f>SUM(X36-X35)</f>
        <v>0</v>
      </c>
      <c r="Z36" s="5">
        <f t="shared" si="16"/>
        <v>94254</v>
      </c>
      <c r="AA36" s="84">
        <f>Z36-Z35</f>
        <v>0</v>
      </c>
      <c r="AB36" s="5">
        <f t="shared" si="16"/>
        <v>266</v>
      </c>
      <c r="AC36" s="5">
        <f t="shared" si="16"/>
        <v>671</v>
      </c>
      <c r="AD36" s="84">
        <f>AC36-AC35</f>
        <v>0</v>
      </c>
      <c r="AE36" s="5">
        <f t="shared" si="16"/>
        <v>149.46</v>
      </c>
      <c r="AF36" s="84">
        <f>AE36-AE35</f>
        <v>0</v>
      </c>
      <c r="AG36" s="5">
        <f t="shared" si="16"/>
        <v>1518</v>
      </c>
      <c r="AH36" s="84">
        <f t="shared" si="21"/>
        <v>0</v>
      </c>
      <c r="AI36" s="84">
        <f t="shared" si="22"/>
        <v>0</v>
      </c>
      <c r="AJ36" s="342">
        <f>+Z36-Z35</f>
        <v>0</v>
      </c>
      <c r="AK36" s="343">
        <f t="shared" si="5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6">
        <f>A36</f>
        <v>43982</v>
      </c>
      <c r="AS36" s="446">
        <f t="shared" si="50"/>
        <v>0.9</v>
      </c>
      <c r="AT36" s="205">
        <f t="shared" si="50"/>
        <v>200</v>
      </c>
      <c r="AU36" s="449">
        <f t="shared" si="33"/>
        <v>1.1000000000000001</v>
      </c>
      <c r="AV36" s="205">
        <f t="shared" si="33"/>
        <v>90</v>
      </c>
      <c r="AW36" s="5">
        <v>2.9</v>
      </c>
      <c r="AX36" s="205">
        <f t="shared" ref="AX36" si="65">AX35</f>
        <v>134</v>
      </c>
      <c r="AY36" s="450">
        <f>AS36*AT36</f>
        <v>180</v>
      </c>
      <c r="AZ36" s="450">
        <f>AU36*AV36</f>
        <v>99.000000000000014</v>
      </c>
      <c r="BA36" s="450">
        <f t="shared" si="27"/>
        <v>388.59999999999997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0</v>
      </c>
      <c r="D37" s="338">
        <f>SUM(D6:D36)</f>
        <v>0</v>
      </c>
      <c r="F37" s="436">
        <f>SUM(F6:F36)</f>
        <v>0</v>
      </c>
      <c r="H37" s="434">
        <f>SUM(H6:H36)</f>
        <v>340</v>
      </c>
      <c r="I37" s="434">
        <f>SUM(I6:I36)</f>
        <v>340</v>
      </c>
      <c r="L37" s="275">
        <f>SUM(L7:L36)</f>
        <v>14</v>
      </c>
      <c r="Q37" s="525">
        <f>SUM(Q5:Q35)</f>
        <v>0</v>
      </c>
      <c r="U37" s="431">
        <f>SUM(U6:U36)</f>
        <v>9582</v>
      </c>
      <c r="X37" s="339"/>
      <c r="Y37" s="338">
        <f>SUM(Y35,Y33,Y31,Y29,Y27,Y25,Y23,Y21,Y19,Y17,Y15,Y13,Y11,Y9,Y7+Y36)</f>
        <v>68</v>
      </c>
      <c r="AJ37" s="338">
        <f>SUM(AJ6:AJ36)</f>
        <v>80</v>
      </c>
      <c r="AK37" s="343">
        <f t="shared" si="5"/>
        <v>54</v>
      </c>
      <c r="AL37" s="338">
        <f>SUM(AL6:AL36)</f>
        <v>79</v>
      </c>
      <c r="AP37" s="17"/>
      <c r="AQ37" s="17"/>
      <c r="AR37" s="17"/>
      <c r="AS37" s="230"/>
      <c r="AT37" s="5">
        <f t="shared" si="50"/>
        <v>200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8">
        <f>SUM(E6:E36)</f>
        <v>7500.0000000000009</v>
      </c>
      <c r="F38" s="439">
        <f>SUM(F6:F36)</f>
        <v>0</v>
      </c>
      <c r="H38" s="158">
        <v>7500</v>
      </c>
      <c r="I38" s="435">
        <f>SUM('General information '!G37/WATER!I37)</f>
        <v>7.9350000000000004E-2</v>
      </c>
      <c r="L38" s="158"/>
      <c r="O38" s="522">
        <f>SUM(Q37+I37)</f>
        <v>340</v>
      </c>
      <c r="Z38" s="338">
        <f>SUM(Y37:AJ37)</f>
        <v>148</v>
      </c>
      <c r="AK38" s="343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0</v>
      </c>
      <c r="G39" s="1">
        <f>SUM(I37)</f>
        <v>340</v>
      </c>
      <c r="H39" s="1">
        <f>SUM(H38+C38)</f>
        <v>7500</v>
      </c>
      <c r="K39" s="1">
        <f>SUM(H39/G39)</f>
        <v>22.058823529411764</v>
      </c>
      <c r="AJ39" s="338">
        <f>SUM(C38-AK38)</f>
        <v>0</v>
      </c>
      <c r="AM39" s="36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K8" sqref="K8"/>
    </sheetView>
  </sheetViews>
  <sheetFormatPr defaultRowHeight="15"/>
  <cols>
    <col min="1" max="1" width="11.85546875" style="51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10" t="s">
        <v>193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2"/>
    </row>
    <row r="2" spans="1:15" ht="15.75" customHeight="1" thickBot="1">
      <c r="A2" s="613"/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5"/>
    </row>
    <row r="3" spans="1:15" ht="9" customHeight="1" thickBot="1">
      <c r="A3" s="507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8"/>
      <c r="B4" s="150" t="s">
        <v>390</v>
      </c>
      <c r="C4" s="151" t="s">
        <v>158</v>
      </c>
      <c r="D4" s="148" t="s">
        <v>160</v>
      </c>
      <c r="E4" s="152" t="s">
        <v>159</v>
      </c>
      <c r="F4" s="533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9">
        <f>ELEC!C2</f>
        <v>43951</v>
      </c>
      <c r="B5" s="376">
        <f>'[1]General information '!B35</f>
        <v>23</v>
      </c>
      <c r="C5" s="376">
        <f>'[1]General information '!C35</f>
        <v>19</v>
      </c>
      <c r="D5" s="376">
        <f>'[1]General information '!D35</f>
        <v>21</v>
      </c>
      <c r="E5" s="565">
        <f>'[1]General information '!E35</f>
        <v>0.75</v>
      </c>
      <c r="F5" s="565">
        <f>'[1]General information '!F35</f>
        <v>1.2999999999999999E-2</v>
      </c>
      <c r="G5" s="376">
        <f>'[1]General information '!G35</f>
        <v>2.9899999999999998</v>
      </c>
      <c r="H5" s="376">
        <f>'[1]General information '!H35</f>
        <v>0</v>
      </c>
      <c r="I5" s="376">
        <f>'[1]General information '!I35</f>
        <v>0</v>
      </c>
      <c r="J5" s="376">
        <f>'[1]General information '!J35</f>
        <v>78</v>
      </c>
      <c r="K5" s="376">
        <f>'[1]General information '!K35</f>
        <v>78</v>
      </c>
      <c r="L5" s="376">
        <f>'[1]General information '!L35</f>
        <v>0</v>
      </c>
      <c r="M5" s="376">
        <f>'[1]General information '!M35</f>
        <v>0</v>
      </c>
      <c r="N5" s="376">
        <f>'[1]General information '!N35</f>
        <v>0</v>
      </c>
      <c r="O5" s="376">
        <f>'[1]General information '!O35</f>
        <v>0</v>
      </c>
    </row>
    <row r="6" spans="1:15">
      <c r="A6" s="509">
        <f>ELEC!C3</f>
        <v>43952</v>
      </c>
      <c r="B6" s="37">
        <v>22</v>
      </c>
      <c r="C6" s="37">
        <v>16</v>
      </c>
      <c r="D6" s="26">
        <f t="shared" ref="D6:D12" si="0">(C6+B6)/2</f>
        <v>19</v>
      </c>
      <c r="E6" s="357">
        <v>0.69</v>
      </c>
      <c r="F6" s="363">
        <v>4.3499999999999997E-2</v>
      </c>
      <c r="G6" s="246">
        <f t="shared" ref="G6:G12" si="1">F6*230</f>
        <v>10.004999999999999</v>
      </c>
      <c r="H6" s="3">
        <v>0</v>
      </c>
      <c r="I6" s="3"/>
      <c r="J6" s="37">
        <v>105</v>
      </c>
      <c r="K6" s="270">
        <f t="shared" ref="K6:K26" si="2">+J6+H6</f>
        <v>105</v>
      </c>
      <c r="L6" s="3"/>
      <c r="M6" s="3"/>
      <c r="N6" s="156"/>
      <c r="O6" s="3"/>
    </row>
    <row r="7" spans="1:15">
      <c r="A7" s="509">
        <f>ELEC!C4</f>
        <v>43953</v>
      </c>
      <c r="B7" s="37">
        <v>21</v>
      </c>
      <c r="C7" s="37">
        <v>14</v>
      </c>
      <c r="D7" s="26">
        <f t="shared" si="0"/>
        <v>17.5</v>
      </c>
      <c r="E7" s="357">
        <v>0.63</v>
      </c>
      <c r="F7" s="363">
        <v>3.9E-2</v>
      </c>
      <c r="G7" s="246">
        <f t="shared" si="1"/>
        <v>8.9700000000000006</v>
      </c>
      <c r="H7" s="3"/>
      <c r="I7" s="3"/>
      <c r="J7" s="37">
        <v>105</v>
      </c>
      <c r="K7" s="270">
        <f t="shared" si="2"/>
        <v>105</v>
      </c>
      <c r="L7" s="3"/>
      <c r="M7" s="3"/>
      <c r="N7" s="156"/>
      <c r="O7" s="3"/>
    </row>
    <row r="8" spans="1:15">
      <c r="A8" s="509">
        <f>ELEC!C5</f>
        <v>43954</v>
      </c>
      <c r="B8" s="37">
        <v>24</v>
      </c>
      <c r="C8" s="37">
        <v>17</v>
      </c>
      <c r="D8" s="26">
        <f t="shared" si="0"/>
        <v>20.5</v>
      </c>
      <c r="E8" s="357">
        <v>0.7</v>
      </c>
      <c r="F8" s="357">
        <v>2.6100000000000002E-2</v>
      </c>
      <c r="G8" s="246">
        <f t="shared" si="1"/>
        <v>6.0030000000000001</v>
      </c>
      <c r="H8" s="3">
        <v>0</v>
      </c>
      <c r="I8" s="3"/>
      <c r="J8" s="37">
        <v>96</v>
      </c>
      <c r="K8" s="270">
        <f t="shared" si="2"/>
        <v>96</v>
      </c>
      <c r="L8" s="3"/>
      <c r="M8" s="171"/>
      <c r="N8" s="156"/>
      <c r="O8" s="3"/>
    </row>
    <row r="9" spans="1:15">
      <c r="A9" s="509">
        <f>ELEC!C6</f>
        <v>43955</v>
      </c>
      <c r="B9" s="37">
        <v>23</v>
      </c>
      <c r="C9" s="37">
        <v>17</v>
      </c>
      <c r="D9" s="26">
        <f>(C9+B9)/2</f>
        <v>20</v>
      </c>
      <c r="E9" s="415">
        <v>0.71</v>
      </c>
      <c r="F9" s="415">
        <v>8.6999999999999994E-3</v>
      </c>
      <c r="G9" s="246">
        <f>F9*230</f>
        <v>2.0009999999999999</v>
      </c>
      <c r="H9" s="3">
        <v>0</v>
      </c>
      <c r="I9" s="3"/>
      <c r="J9" s="37">
        <v>0</v>
      </c>
      <c r="K9" s="270">
        <f>+J9+H9</f>
        <v>0</v>
      </c>
      <c r="L9" s="3"/>
      <c r="M9" s="3"/>
      <c r="N9" s="156"/>
      <c r="O9" s="3"/>
    </row>
    <row r="10" spans="1:15">
      <c r="A10" s="509">
        <f>ELEC!C7</f>
        <v>43956</v>
      </c>
      <c r="B10" s="37"/>
      <c r="C10" s="37"/>
      <c r="D10" s="26">
        <f t="shared" si="0"/>
        <v>0</v>
      </c>
      <c r="E10" s="374"/>
      <c r="F10" s="357"/>
      <c r="G10" s="246">
        <f t="shared" si="1"/>
        <v>0</v>
      </c>
      <c r="H10" s="3"/>
      <c r="I10" s="3"/>
      <c r="J10" s="37"/>
      <c r="K10" s="270">
        <f t="shared" si="2"/>
        <v>0</v>
      </c>
      <c r="L10" s="3"/>
      <c r="M10" s="3"/>
      <c r="N10" s="156"/>
      <c r="O10" s="3"/>
    </row>
    <row r="11" spans="1:15">
      <c r="A11" s="509">
        <f>ELEC!C8</f>
        <v>43957</v>
      </c>
      <c r="B11" s="37"/>
      <c r="C11" s="37"/>
      <c r="D11" s="26">
        <f t="shared" si="0"/>
        <v>0</v>
      </c>
      <c r="E11" s="415"/>
      <c r="F11" s="357"/>
      <c r="G11" s="246">
        <f t="shared" si="1"/>
        <v>0</v>
      </c>
      <c r="H11" s="3"/>
      <c r="I11" s="3"/>
      <c r="J11" s="37"/>
      <c r="K11" s="270">
        <f>+J11+H11</f>
        <v>0</v>
      </c>
      <c r="L11" s="3"/>
      <c r="M11" s="3"/>
      <c r="N11" s="156"/>
      <c r="O11" s="3"/>
    </row>
    <row r="12" spans="1:15">
      <c r="A12" s="509">
        <f>ELEC!C9</f>
        <v>43958</v>
      </c>
      <c r="B12" s="37"/>
      <c r="C12" s="37"/>
      <c r="D12" s="26">
        <f t="shared" si="0"/>
        <v>0</v>
      </c>
      <c r="E12" s="415"/>
      <c r="F12" s="415"/>
      <c r="G12" s="246">
        <f t="shared" si="1"/>
        <v>0</v>
      </c>
      <c r="H12" s="3"/>
      <c r="I12" s="3"/>
      <c r="J12" s="37"/>
      <c r="K12" s="270">
        <f t="shared" si="2"/>
        <v>0</v>
      </c>
      <c r="L12" s="3"/>
      <c r="M12" s="3"/>
      <c r="N12" s="156"/>
      <c r="O12" s="3"/>
    </row>
    <row r="13" spans="1:15">
      <c r="A13" s="509">
        <f>ELEC!C10</f>
        <v>43959</v>
      </c>
      <c r="B13" s="37"/>
      <c r="C13" s="37"/>
      <c r="D13" s="26">
        <f>(C13+B13)/2</f>
        <v>0</v>
      </c>
      <c r="E13" s="374"/>
      <c r="F13" s="374"/>
      <c r="G13" s="246">
        <f>F13*230</f>
        <v>0</v>
      </c>
      <c r="H13" s="3"/>
      <c r="I13" s="3"/>
      <c r="J13" s="37"/>
      <c r="K13" s="270">
        <f t="shared" si="2"/>
        <v>0</v>
      </c>
      <c r="L13" s="3"/>
      <c r="M13" s="3"/>
      <c r="N13" s="156"/>
      <c r="O13" s="3"/>
    </row>
    <row r="14" spans="1:15">
      <c r="A14" s="509">
        <f>ELEC!C11</f>
        <v>43960</v>
      </c>
      <c r="B14" s="37"/>
      <c r="C14" s="37"/>
      <c r="D14" s="26">
        <f t="shared" ref="D14:D35" si="3">(C14+B14)/2</f>
        <v>0</v>
      </c>
      <c r="E14" s="357"/>
      <c r="F14" s="357"/>
      <c r="G14" s="246">
        <f t="shared" ref="G14:G35" si="4">F14*230</f>
        <v>0</v>
      </c>
      <c r="H14" s="3"/>
      <c r="I14" s="3"/>
      <c r="J14" s="37"/>
      <c r="K14" s="270">
        <f t="shared" si="2"/>
        <v>0</v>
      </c>
      <c r="L14" s="3"/>
      <c r="M14" s="3"/>
      <c r="N14" s="156"/>
      <c r="O14" s="3"/>
    </row>
    <row r="15" spans="1:15">
      <c r="A15" s="509">
        <f>ELEC!C12</f>
        <v>43961</v>
      </c>
      <c r="B15" s="37"/>
      <c r="C15" s="37"/>
      <c r="D15" s="26">
        <f t="shared" si="3"/>
        <v>0</v>
      </c>
      <c r="E15" s="357"/>
      <c r="F15" s="357"/>
      <c r="G15" s="246">
        <f>F15*230</f>
        <v>0</v>
      </c>
      <c r="H15" s="3"/>
      <c r="I15" s="3"/>
      <c r="J15" s="37"/>
      <c r="K15" s="270">
        <f>+J15+H15</f>
        <v>0</v>
      </c>
      <c r="L15" s="3"/>
      <c r="M15" s="3"/>
      <c r="N15" s="156"/>
      <c r="O15" s="3"/>
    </row>
    <row r="16" spans="1:15">
      <c r="A16" s="509">
        <f>ELEC!C13</f>
        <v>43962</v>
      </c>
      <c r="B16" s="37"/>
      <c r="C16" s="37"/>
      <c r="D16" s="26">
        <f t="shared" si="3"/>
        <v>0</v>
      </c>
      <c r="E16" s="357"/>
      <c r="F16" s="357"/>
      <c r="G16" s="246">
        <f t="shared" si="4"/>
        <v>0</v>
      </c>
      <c r="H16" s="3"/>
      <c r="I16" s="3"/>
      <c r="J16" s="37"/>
      <c r="K16" s="270">
        <f>+J16+H16</f>
        <v>0</v>
      </c>
      <c r="L16" s="3"/>
      <c r="M16" s="3"/>
      <c r="N16" s="156"/>
      <c r="O16" s="3"/>
    </row>
    <row r="17" spans="1:15">
      <c r="A17" s="509">
        <f>ELEC!C14</f>
        <v>43963</v>
      </c>
      <c r="B17" s="37"/>
      <c r="C17" s="37"/>
      <c r="D17" s="26">
        <f t="shared" si="3"/>
        <v>0</v>
      </c>
      <c r="E17" s="357"/>
      <c r="F17" s="357"/>
      <c r="G17" s="246">
        <f t="shared" si="4"/>
        <v>0</v>
      </c>
      <c r="H17" s="3"/>
      <c r="I17" s="3"/>
      <c r="J17" s="37"/>
      <c r="K17" s="270">
        <f t="shared" si="2"/>
        <v>0</v>
      </c>
      <c r="L17" s="3"/>
      <c r="M17" s="3"/>
      <c r="N17" s="156"/>
      <c r="O17" s="3"/>
    </row>
    <row r="18" spans="1:15">
      <c r="A18" s="509">
        <f>ELEC!C15</f>
        <v>43964</v>
      </c>
      <c r="B18" s="37"/>
      <c r="C18" s="37"/>
      <c r="D18" s="26">
        <f t="shared" si="3"/>
        <v>0</v>
      </c>
      <c r="E18" s="451"/>
      <c r="F18" s="357"/>
      <c r="G18" s="246">
        <f t="shared" si="4"/>
        <v>0</v>
      </c>
      <c r="H18" s="3"/>
      <c r="I18" s="3"/>
      <c r="J18" s="37"/>
      <c r="K18" s="270">
        <f t="shared" si="2"/>
        <v>0</v>
      </c>
      <c r="L18" s="3"/>
      <c r="M18" s="3"/>
      <c r="N18" s="156"/>
      <c r="O18" s="3"/>
    </row>
    <row r="19" spans="1:15">
      <c r="A19" s="509">
        <f>ELEC!C16</f>
        <v>43965</v>
      </c>
      <c r="B19" s="37"/>
      <c r="C19" s="37"/>
      <c r="D19" s="26">
        <f t="shared" si="3"/>
        <v>0</v>
      </c>
      <c r="E19" s="357"/>
      <c r="F19" s="357"/>
      <c r="G19" s="246">
        <f t="shared" si="4"/>
        <v>0</v>
      </c>
      <c r="H19" s="3"/>
      <c r="I19" s="3"/>
      <c r="J19" s="37"/>
      <c r="K19" s="270">
        <f t="shared" si="2"/>
        <v>0</v>
      </c>
      <c r="L19" s="3"/>
      <c r="M19" s="3"/>
      <c r="N19" s="156"/>
      <c r="O19" s="3"/>
    </row>
    <row r="20" spans="1:15">
      <c r="A20" s="509">
        <f>ELEC!C17</f>
        <v>43966</v>
      </c>
      <c r="B20" s="37"/>
      <c r="C20" s="37"/>
      <c r="D20" s="26">
        <f t="shared" si="3"/>
        <v>0</v>
      </c>
      <c r="E20" s="357"/>
      <c r="F20" s="357"/>
      <c r="G20" s="246">
        <f t="shared" si="4"/>
        <v>0</v>
      </c>
      <c r="H20" s="3"/>
      <c r="I20" s="3"/>
      <c r="J20" s="37"/>
      <c r="K20" s="270">
        <f t="shared" si="2"/>
        <v>0</v>
      </c>
      <c r="L20" s="3"/>
      <c r="M20" s="3"/>
      <c r="N20" s="156"/>
      <c r="O20" s="3"/>
    </row>
    <row r="21" spans="1:15">
      <c r="A21" s="509">
        <f>ELEC!C18</f>
        <v>43967</v>
      </c>
      <c r="B21" s="37"/>
      <c r="C21" s="37"/>
      <c r="D21" s="26">
        <f>(C21+B21)/2</f>
        <v>0</v>
      </c>
      <c r="E21" s="357"/>
      <c r="F21" s="357"/>
      <c r="G21" s="246">
        <f t="shared" si="4"/>
        <v>0</v>
      </c>
      <c r="H21" s="3"/>
      <c r="I21" s="3"/>
      <c r="J21" s="37"/>
      <c r="K21" s="270">
        <f t="shared" si="2"/>
        <v>0</v>
      </c>
      <c r="L21" s="3"/>
      <c r="M21" s="3"/>
      <c r="N21" s="156"/>
      <c r="O21" s="3"/>
    </row>
    <row r="22" spans="1:15">
      <c r="A22" s="509">
        <f>ELEC!C19</f>
        <v>43968</v>
      </c>
      <c r="B22" s="37"/>
      <c r="C22" s="37"/>
      <c r="D22" s="26">
        <f t="shared" si="3"/>
        <v>0</v>
      </c>
      <c r="E22" s="357"/>
      <c r="F22" s="415"/>
      <c r="G22" s="246">
        <f t="shared" si="4"/>
        <v>0</v>
      </c>
      <c r="H22" s="3"/>
      <c r="I22" s="3"/>
      <c r="J22" s="37"/>
      <c r="K22" s="270">
        <f t="shared" si="2"/>
        <v>0</v>
      </c>
      <c r="L22" s="3"/>
      <c r="M22" s="3"/>
      <c r="N22" s="156"/>
      <c r="O22" s="3"/>
    </row>
    <row r="23" spans="1:15">
      <c r="A23" s="509">
        <f>ELEC!C20</f>
        <v>43969</v>
      </c>
      <c r="B23" s="37"/>
      <c r="C23" s="37"/>
      <c r="D23" s="26">
        <f>(C23+B23)/2</f>
        <v>0</v>
      </c>
      <c r="E23" s="357"/>
      <c r="F23" s="357"/>
      <c r="G23" s="246">
        <f t="shared" si="4"/>
        <v>0</v>
      </c>
      <c r="H23" s="3"/>
      <c r="I23" s="3"/>
      <c r="J23" s="37"/>
      <c r="K23" s="270">
        <f t="shared" si="2"/>
        <v>0</v>
      </c>
      <c r="L23" s="3"/>
      <c r="M23" s="3"/>
      <c r="N23" s="156"/>
      <c r="O23" s="3"/>
    </row>
    <row r="24" spans="1:15">
      <c r="A24" s="509">
        <f>ELEC!C21</f>
        <v>43970</v>
      </c>
      <c r="B24" s="37"/>
      <c r="C24" s="37"/>
      <c r="D24" s="26">
        <f t="shared" si="3"/>
        <v>0</v>
      </c>
      <c r="E24" s="357"/>
      <c r="F24" s="357"/>
      <c r="G24" s="246">
        <f t="shared" si="4"/>
        <v>0</v>
      </c>
      <c r="H24" s="3"/>
      <c r="I24" s="3"/>
      <c r="J24" s="37"/>
      <c r="K24" s="270">
        <f t="shared" si="2"/>
        <v>0</v>
      </c>
      <c r="L24" s="3"/>
      <c r="M24" s="3"/>
      <c r="N24" s="156"/>
      <c r="O24" s="3"/>
    </row>
    <row r="25" spans="1:15">
      <c r="A25" s="509">
        <f>ELEC!C22</f>
        <v>43971</v>
      </c>
      <c r="B25" s="37"/>
      <c r="C25" s="37"/>
      <c r="D25" s="26">
        <f t="shared" si="3"/>
        <v>0</v>
      </c>
      <c r="E25" s="357"/>
      <c r="F25" s="357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9">
        <f>ELEC!C23</f>
        <v>43972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9">
        <f>ELEC!C24</f>
        <v>43973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9">
        <f>ELEC!C25</f>
        <v>43974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9">
        <f>ELEC!C26</f>
        <v>43975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9">
        <f>ELEC!C27</f>
        <v>43976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9">
        <f>ELEC!C28</f>
        <v>43977</v>
      </c>
      <c r="B31" s="37"/>
      <c r="C31" s="37"/>
      <c r="D31" s="3">
        <f t="shared" si="3"/>
        <v>0</v>
      </c>
      <c r="E31" s="358"/>
      <c r="F31" s="291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9">
        <f>ELEC!C29</f>
        <v>43978</v>
      </c>
      <c r="B32" s="37"/>
      <c r="C32" s="37"/>
      <c r="D32" s="290">
        <f>(C32+B32)/2</f>
        <v>0</v>
      </c>
      <c r="E32" s="358"/>
      <c r="F32" s="362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9">
        <f>ELEC!C30</f>
        <v>43979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9">
        <f>ELEC!C31</f>
        <v>43980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9">
        <f>ELEC!C32</f>
        <v>43981</v>
      </c>
      <c r="B35" s="37"/>
      <c r="C35" s="37"/>
      <c r="D35" s="26">
        <f t="shared" si="3"/>
        <v>0</v>
      </c>
      <c r="E35" s="374"/>
      <c r="F35" s="374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A36" s="509">
        <f>ELEC!C33</f>
        <v>43982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7"/>
      <c r="K36" s="270">
        <f>+J36+H36+I36</f>
        <v>0</v>
      </c>
      <c r="L36" s="3"/>
      <c r="M36" s="3"/>
      <c r="N36" s="156"/>
      <c r="O36" s="3"/>
    </row>
    <row r="37" spans="1:15">
      <c r="D37" s="268"/>
      <c r="F37" s="564">
        <f>AVERAGE(F6:F36)</f>
        <v>2.9324999999999997E-2</v>
      </c>
      <c r="G37" s="207">
        <f>SUM(G6:G35)</f>
        <v>26.979000000000003</v>
      </c>
    </row>
    <row r="38" spans="1:15">
      <c r="D38" s="268">
        <f>SUM(D6:D36)/'EDl log'!A36</f>
        <v>19.25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S1" activePane="topRight" state="frozen"/>
      <selection pane="topRight" activeCell="AT7" sqref="AT7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8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3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8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3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3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18" t="s">
        <v>108</v>
      </c>
      <c r="AS3" s="618" t="s">
        <v>234</v>
      </c>
      <c r="AT3" s="616" t="s">
        <v>302</v>
      </c>
      <c r="AU3" s="617"/>
      <c r="AV3" s="319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19"/>
      <c r="AS4" s="619"/>
      <c r="AT4" s="3" t="s">
        <v>71</v>
      </c>
      <c r="AU4" s="3" t="s">
        <v>222</v>
      </c>
      <c r="AV4" s="320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8">
        <f>ELEC!C2</f>
        <v>43951</v>
      </c>
      <c r="B5" s="569">
        <f>[1]tanks!B35</f>
        <v>245.5</v>
      </c>
      <c r="C5" s="569">
        <f>[1]tanks!C35</f>
        <v>5282.2096774193551</v>
      </c>
      <c r="D5" s="569">
        <f>[1]tanks!D35</f>
        <v>245.5</v>
      </c>
      <c r="E5" s="569">
        <f>[1]tanks!E35</f>
        <v>5282.2096774193551</v>
      </c>
      <c r="F5" s="569">
        <f>[1]tanks!F35</f>
        <v>245.5</v>
      </c>
      <c r="G5" s="569">
        <f>[1]tanks!G35</f>
        <v>5282.2096774193551</v>
      </c>
      <c r="H5" s="569">
        <f>[1]tanks!H35</f>
        <v>245.5</v>
      </c>
      <c r="I5" s="569">
        <f>[1]tanks!I35</f>
        <v>5282.2096774193551</v>
      </c>
      <c r="J5" s="569">
        <f>[1]tanks!J35</f>
        <v>245.5</v>
      </c>
      <c r="K5" s="569">
        <f>[1]tanks!K35</f>
        <v>5282.2096774193551</v>
      </c>
      <c r="L5" s="569">
        <f>[1]tanks!L35</f>
        <v>245.5</v>
      </c>
      <c r="M5" s="569">
        <f>[1]tanks!M35</f>
        <v>5282.2096774193551</v>
      </c>
      <c r="N5" s="569">
        <f>[1]tanks!N35</f>
        <v>245.5</v>
      </c>
      <c r="O5" s="569">
        <f>[1]tanks!O35</f>
        <v>5282.2096774193551</v>
      </c>
      <c r="P5" s="569">
        <f>[1]tanks!P35</f>
        <v>245.5</v>
      </c>
      <c r="Q5" s="569">
        <f>[1]tanks!Q35</f>
        <v>5282.2096774193551</v>
      </c>
      <c r="R5" s="569">
        <f>[1]tanks!R35</f>
        <v>245.5</v>
      </c>
      <c r="S5" s="569">
        <f>[1]tanks!S35</f>
        <v>5282.2096774193551</v>
      </c>
      <c r="T5" s="569">
        <f>[1]tanks!T35</f>
        <v>245.5</v>
      </c>
      <c r="U5" s="569">
        <f>[1]tanks!U35</f>
        <v>5282.2096774193551</v>
      </c>
      <c r="V5" s="569">
        <f>[1]tanks!V35</f>
        <v>245.5</v>
      </c>
      <c r="W5" s="569">
        <f>[1]tanks!W35</f>
        <v>5282.2096774193551</v>
      </c>
      <c r="X5" s="569">
        <f>[1]tanks!X35</f>
        <v>0.79193548387096779</v>
      </c>
      <c r="Y5" s="569">
        <f>[1]tanks!Y35</f>
        <v>58104.306451612909</v>
      </c>
      <c r="Z5" s="569">
        <f>[1]tanks!Z35</f>
        <v>251</v>
      </c>
      <c r="AA5" s="569">
        <f>[1]tanks!AA35</f>
        <v>2510</v>
      </c>
      <c r="AB5" s="569">
        <f>[1]tanks!AB35</f>
        <v>251</v>
      </c>
      <c r="AC5" s="569">
        <f>[1]tanks!AC35</f>
        <v>2510</v>
      </c>
      <c r="AD5" s="569">
        <f>[1]tanks!AD35</f>
        <v>251</v>
      </c>
      <c r="AE5" s="569">
        <f>[1]tanks!AE35</f>
        <v>2510</v>
      </c>
      <c r="AF5" s="569">
        <f>[1]tanks!AF35</f>
        <v>251</v>
      </c>
      <c r="AG5" s="569">
        <f>[1]tanks!AG35</f>
        <v>2510</v>
      </c>
      <c r="AH5" s="569">
        <f>[1]tanks!AH35</f>
        <v>251</v>
      </c>
      <c r="AI5" s="569">
        <f>[1]tanks!AI35</f>
        <v>2510</v>
      </c>
      <c r="AJ5" s="569">
        <f>[1]tanks!AJ35</f>
        <v>251</v>
      </c>
      <c r="AK5" s="569">
        <f>[1]tanks!AK35</f>
        <v>2510</v>
      </c>
      <c r="AL5" s="569">
        <f>[1]tanks!AL35</f>
        <v>251</v>
      </c>
      <c r="AM5" s="569">
        <f>[1]tanks!AM35</f>
        <v>2510</v>
      </c>
      <c r="AN5" s="535">
        <f>[1]tanks!AN35</f>
        <v>0.89642857142857146</v>
      </c>
      <c r="AO5" s="569">
        <f>[1]tanks!AO35</f>
        <v>17570</v>
      </c>
      <c r="AP5" s="207">
        <f>[3]tanks!AP34</f>
        <v>0</v>
      </c>
      <c r="AQ5" s="535">
        <f>[1]tanks!$AQ$35</f>
        <v>0.81396478919665383</v>
      </c>
      <c r="AR5" s="207">
        <f>[1]tanks!AR35</f>
        <v>75674.306451612909</v>
      </c>
      <c r="AS5" s="207">
        <f>[1]tanks!AS35</f>
        <v>-801.69354838709114</v>
      </c>
      <c r="AT5" s="207">
        <f>[1]tanks!AT35</f>
        <v>0</v>
      </c>
      <c r="AU5" s="207">
        <f>[1]tanks!AU35</f>
        <v>0</v>
      </c>
      <c r="AV5" s="207">
        <f>[1]tanks!AV35</f>
        <v>0.28399999999999997</v>
      </c>
      <c r="AW5" s="207">
        <f>[1]tanks!AW35</f>
        <v>-281</v>
      </c>
      <c r="AX5" s="207">
        <f>[1]tanks!AX35</f>
        <v>-520.69354838709114</v>
      </c>
      <c r="AY5" s="207">
        <f>[1]tanks!AY35</f>
        <v>-801.69354838709114</v>
      </c>
      <c r="AZ5" s="570">
        <f>[1]tanks!AZ35</f>
        <v>1.2999999999999999E-2</v>
      </c>
      <c r="BA5" s="207">
        <f>[1]tanks!BA35</f>
        <v>21</v>
      </c>
      <c r="BB5" s="570">
        <f>[1]tanks!$BB$35</f>
        <v>0.75</v>
      </c>
      <c r="BC5" s="207">
        <f>[3]tanks!BC34</f>
        <v>0</v>
      </c>
      <c r="BD5" s="207">
        <f>[3]tanks!BD34</f>
        <v>19222</v>
      </c>
      <c r="BE5" s="207" t="e">
        <f>[3]tanks!BE34</f>
        <v>#REF!</v>
      </c>
      <c r="BF5" s="207">
        <f>[3]tanks!BF34</f>
        <v>0</v>
      </c>
      <c r="BG5" s="207" t="e">
        <f>[3]tanks!BG34</f>
        <v>#REF!</v>
      </c>
      <c r="BH5" s="207">
        <f>[3]tanks!BH34</f>
        <v>0</v>
      </c>
      <c r="BI5" s="207"/>
    </row>
    <row r="6" spans="1:61">
      <c r="A6" s="468">
        <f>ELEC!C3</f>
        <v>43952</v>
      </c>
      <c r="B6">
        <f>'B5'!B5</f>
        <v>242</v>
      </c>
      <c r="C6" s="207">
        <f>B6*$B$4</f>
        <v>5206.9032258064517</v>
      </c>
      <c r="D6">
        <f>SUM(B6)</f>
        <v>242</v>
      </c>
      <c r="E6" s="207">
        <f>D6*$B$4</f>
        <v>5206.9032258064517</v>
      </c>
      <c r="F6">
        <f>SUM(D6)</f>
        <v>242</v>
      </c>
      <c r="G6" s="207">
        <f t="shared" ref="G6:G35" si="1">F6*$B$4</f>
        <v>5206.9032258064517</v>
      </c>
      <c r="H6" s="207">
        <f>SUM(F6)</f>
        <v>242</v>
      </c>
      <c r="I6" s="207">
        <f t="shared" ref="I6:I35" si="2">H6*$B$4</f>
        <v>5206.9032258064517</v>
      </c>
      <c r="J6" s="207">
        <f>SUM(H6)</f>
        <v>242</v>
      </c>
      <c r="K6" s="207">
        <f t="shared" ref="K6:K35" si="3">J6*$B$4</f>
        <v>5206.9032258064517</v>
      </c>
      <c r="L6" s="207">
        <f>SUM(J6)</f>
        <v>242</v>
      </c>
      <c r="M6" s="207">
        <f t="shared" ref="M6:M35" si="4">L6*$B$4</f>
        <v>5206.9032258064517</v>
      </c>
      <c r="N6" s="207">
        <f>SUM(L6)</f>
        <v>242</v>
      </c>
      <c r="O6" s="207">
        <f t="shared" ref="O6:O35" si="5">N6*$B$4</f>
        <v>5206.9032258064517</v>
      </c>
      <c r="P6" s="207">
        <f>SUM(N6)</f>
        <v>242</v>
      </c>
      <c r="Q6" s="207">
        <f t="shared" ref="Q6:Q35" si="6">P6*$B$4</f>
        <v>5206.9032258064517</v>
      </c>
      <c r="R6" s="207">
        <f>SUM(P6)</f>
        <v>242</v>
      </c>
      <c r="S6" s="207">
        <f t="shared" ref="S6:S35" si="7">R6*$B$4</f>
        <v>5206.9032258064517</v>
      </c>
      <c r="T6" s="207">
        <f>SUM(R6)</f>
        <v>242</v>
      </c>
      <c r="U6" s="207">
        <f t="shared" ref="U6:U35" si="8">T6*$B$4</f>
        <v>5206.9032258064517</v>
      </c>
      <c r="V6" s="207">
        <f>SUM(T6)</f>
        <v>242</v>
      </c>
      <c r="W6" s="207">
        <f t="shared" ref="W6:W35" si="9">V6*$B$4</f>
        <v>5206.9032258064517</v>
      </c>
      <c r="X6" s="35">
        <f t="shared" ref="X6:X29" si="10">SUM(Y6/73370)</f>
        <v>0.78064516129032269</v>
      </c>
      <c r="Y6" s="36">
        <f>SUM(C6+E6+G6+I6+K6+M6+O6+Q6+S6+U6+W6)</f>
        <v>57275.935483870977</v>
      </c>
      <c r="Z6" s="207">
        <f>'B5'!C5</f>
        <v>248</v>
      </c>
      <c r="AA6" s="207">
        <f>SUM(Z6*$Z$4)</f>
        <v>2480</v>
      </c>
      <c r="AB6" s="207">
        <f>SUM(Z6)</f>
        <v>248</v>
      </c>
      <c r="AC6" s="207">
        <f>SUM(AB6*$Z$4)</f>
        <v>2480</v>
      </c>
      <c r="AD6" s="207">
        <f>SUM(AB6)</f>
        <v>248</v>
      </c>
      <c r="AE6" s="207">
        <f t="shared" ref="AE6:AE35" si="11">SUM(AD6*$Z$4)</f>
        <v>2480</v>
      </c>
      <c r="AF6" s="207">
        <f>SUM(AD6)</f>
        <v>248</v>
      </c>
      <c r="AG6" s="207">
        <f t="shared" ref="AG6:AG35" si="12">SUM(AF6*$Z$4)</f>
        <v>2480</v>
      </c>
      <c r="AH6" s="207">
        <f>SUM(AF6)</f>
        <v>248</v>
      </c>
      <c r="AI6" s="207">
        <f t="shared" ref="AI6:AI35" si="13">SUM(AH6*$Z$4)</f>
        <v>2480</v>
      </c>
      <c r="AJ6" s="207">
        <f>SUM(AH6)</f>
        <v>248</v>
      </c>
      <c r="AK6" s="207">
        <f t="shared" ref="AK6:AK35" si="14">SUM(AJ6*$Z$4)</f>
        <v>2480</v>
      </c>
      <c r="AL6" s="207">
        <f>SUM(AJ6)</f>
        <v>248</v>
      </c>
      <c r="AM6" s="207">
        <f t="shared" ref="AM6:AM35" si="15">SUM(AL6*$Z$4)</f>
        <v>2480</v>
      </c>
      <c r="AN6" s="35">
        <f t="shared" ref="AN6:AN29" si="16">SUM(AO6/19600)</f>
        <v>0.88571428571428568</v>
      </c>
      <c r="AO6" s="36">
        <f t="shared" ref="AO6:AO29" si="17">SUM(AA6+AC6+AE6+AG6+AI6+AK6+AM6)</f>
        <v>17360</v>
      </c>
      <c r="AQ6" s="227">
        <f>SUM(AR6/92970)</f>
        <v>0.80279590710843252</v>
      </c>
      <c r="AR6" s="38">
        <f>SUM(AO6+Y6)</f>
        <v>74635.93548387097</v>
      </c>
      <c r="AS6" s="201">
        <f>SUM(AR6-AR5-AT6)</f>
        <v>-1039.3709677419392</v>
      </c>
      <c r="AT6" s="375">
        <v>1</v>
      </c>
      <c r="AU6" s="460"/>
      <c r="AV6" s="552">
        <f>IF(AT6&gt;0,AU6,AV5)</f>
        <v>0</v>
      </c>
      <c r="AW6" s="301">
        <f>-SUM('B5'!AI5)</f>
        <v>-349</v>
      </c>
      <c r="AX6" s="301">
        <f>-SUM(AW6-AS6)</f>
        <v>-690.37096774193924</v>
      </c>
      <c r="AY6" s="37">
        <f>SUM(AX6+AW6)</f>
        <v>-1039.3709677419392</v>
      </c>
      <c r="AZ6" s="101">
        <f>ELEC!A3</f>
        <v>4.3499999999999997E-2</v>
      </c>
      <c r="BA6" s="119">
        <f>'General information '!D6</f>
        <v>19</v>
      </c>
      <c r="BB6" s="291">
        <f>SUM('General information '!E6)</f>
        <v>0.69</v>
      </c>
      <c r="BC6" s="3">
        <f>IF(AR3&gt;=AR6,0,1)</f>
        <v>0</v>
      </c>
      <c r="BD6" s="103">
        <v>19222</v>
      </c>
      <c r="BE6" s="14">
        <f>(305/1185)*ELEC!Q4</f>
        <v>394.82700421931941</v>
      </c>
      <c r="BF6" s="14"/>
      <c r="BG6" s="14" t="e">
        <f>#REF!-BE6</f>
        <v>#REF!</v>
      </c>
      <c r="BH6" s="11">
        <v>21</v>
      </c>
    </row>
    <row r="7" spans="1:61">
      <c r="A7" s="468">
        <f>ELEC!C4</f>
        <v>43953</v>
      </c>
      <c r="B7">
        <f>'B5'!B6</f>
        <v>240</v>
      </c>
      <c r="C7" s="207">
        <f t="shared" ref="C7:E35" si="18">B7*$B$4</f>
        <v>5163.8709677419356</v>
      </c>
      <c r="D7">
        <f t="shared" ref="D7:D29" si="19">SUM(B7)</f>
        <v>240</v>
      </c>
      <c r="E7" s="207">
        <f t="shared" si="18"/>
        <v>5163.8709677419356</v>
      </c>
      <c r="F7">
        <f t="shared" ref="F7:F29" si="20">SUM(D7)</f>
        <v>240</v>
      </c>
      <c r="G7" s="207">
        <f t="shared" si="1"/>
        <v>5163.8709677419356</v>
      </c>
      <c r="H7" s="207">
        <f t="shared" ref="H7:H29" si="21">SUM(F7)</f>
        <v>240</v>
      </c>
      <c r="I7" s="207">
        <f t="shared" si="2"/>
        <v>5163.8709677419356</v>
      </c>
      <c r="J7" s="207">
        <f t="shared" ref="J7:J29" si="22">SUM(H7)</f>
        <v>240</v>
      </c>
      <c r="K7" s="207">
        <f t="shared" si="3"/>
        <v>5163.8709677419356</v>
      </c>
      <c r="L7" s="207">
        <f t="shared" ref="L7:L29" si="23">SUM(J7)</f>
        <v>240</v>
      </c>
      <c r="M7" s="207">
        <f t="shared" si="4"/>
        <v>5163.8709677419356</v>
      </c>
      <c r="N7" s="207">
        <f t="shared" ref="N7:N29" si="24">SUM(L7)</f>
        <v>240</v>
      </c>
      <c r="O7" s="207">
        <f t="shared" si="5"/>
        <v>5163.8709677419356</v>
      </c>
      <c r="P7" s="207">
        <f t="shared" ref="P7:P29" si="25">SUM(N7)</f>
        <v>240</v>
      </c>
      <c r="Q7" s="207">
        <f t="shared" si="6"/>
        <v>5163.8709677419356</v>
      </c>
      <c r="R7" s="207">
        <f t="shared" ref="R7:R29" si="26">SUM(P7)</f>
        <v>240</v>
      </c>
      <c r="S7" s="207">
        <f t="shared" si="7"/>
        <v>5163.8709677419356</v>
      </c>
      <c r="T7" s="207">
        <f t="shared" ref="T7:T29" si="27">SUM(R7)</f>
        <v>240</v>
      </c>
      <c r="U7" s="207">
        <f t="shared" si="8"/>
        <v>5163.8709677419356</v>
      </c>
      <c r="V7" s="207">
        <f t="shared" ref="V7:V29" si="28">SUM(T7)</f>
        <v>240</v>
      </c>
      <c r="W7" s="207">
        <f t="shared" si="9"/>
        <v>5163.8709677419356</v>
      </c>
      <c r="X7" s="35">
        <f t="shared" si="10"/>
        <v>0.77419354838709697</v>
      </c>
      <c r="Y7" s="36">
        <f t="shared" ref="Y7:Y29" si="29">SUM(C7+E7+G7+I7+K7+M7+O7+Q7+S7+U7+W7)</f>
        <v>56802.580645161303</v>
      </c>
      <c r="Z7" s="207">
        <f>'B5'!C6</f>
        <v>246</v>
      </c>
      <c r="AA7" s="207">
        <f t="shared" ref="AA7:AC35" si="30">SUM(Z7*$Z$4)</f>
        <v>2460</v>
      </c>
      <c r="AB7" s="207">
        <f t="shared" ref="AB7:AB29" si="31">SUM(Z7)</f>
        <v>246</v>
      </c>
      <c r="AC7" s="207">
        <f t="shared" si="30"/>
        <v>2460</v>
      </c>
      <c r="AD7" s="207">
        <f t="shared" ref="AD7:AD29" si="32">SUM(AB7)</f>
        <v>246</v>
      </c>
      <c r="AE7" s="207">
        <f t="shared" si="11"/>
        <v>2460</v>
      </c>
      <c r="AF7" s="207">
        <f t="shared" ref="AF7:AF29" si="33">SUM(AD7)</f>
        <v>246</v>
      </c>
      <c r="AG7" s="207">
        <f t="shared" si="12"/>
        <v>2460</v>
      </c>
      <c r="AH7" s="207">
        <f t="shared" ref="AH7:AH29" si="34">SUM(AF7)</f>
        <v>246</v>
      </c>
      <c r="AI7" s="207">
        <f t="shared" si="13"/>
        <v>2460</v>
      </c>
      <c r="AJ7" s="207">
        <f t="shared" ref="AJ7:AJ29" si="35">SUM(AH7)</f>
        <v>246</v>
      </c>
      <c r="AK7" s="207">
        <f t="shared" si="14"/>
        <v>2460</v>
      </c>
      <c r="AL7" s="207">
        <f t="shared" ref="AL7:AL29" si="36">SUM(AJ7)</f>
        <v>246</v>
      </c>
      <c r="AM7" s="207">
        <f t="shared" si="15"/>
        <v>2460</v>
      </c>
      <c r="AN7" s="35">
        <f t="shared" si="16"/>
        <v>0.87857142857142856</v>
      </c>
      <c r="AO7" s="36">
        <f t="shared" si="17"/>
        <v>17220</v>
      </c>
      <c r="AQ7" s="227">
        <f t="shared" ref="AQ7:AQ33" si="37">SUM(AR7/92970)</f>
        <v>0.79619856561429814</v>
      </c>
      <c r="AR7" s="38">
        <f>SUM(AO7+Y7)</f>
        <v>74022.580645161303</v>
      </c>
      <c r="AS7" s="201">
        <f t="shared" ref="AS7:AS35" si="38">SUM(AR7-AR6-AT7)</f>
        <v>-613.35483870966709</v>
      </c>
      <c r="AT7" s="278"/>
      <c r="AU7" s="521"/>
      <c r="AV7" s="552">
        <f>IF(AT7&gt;0,AU7,AV6)</f>
        <v>0</v>
      </c>
      <c r="AW7" s="301">
        <f>-SUM('B5'!AI6)</f>
        <v>-249</v>
      </c>
      <c r="AX7" s="301">
        <f t="shared" ref="AX7:AX35" si="39">-SUM(AW7-AS7)</f>
        <v>-364.35483870966709</v>
      </c>
      <c r="AY7" s="37">
        <f t="shared" ref="AY7:AY35" si="40">SUM(AX7+AW7)</f>
        <v>-613.35483870966709</v>
      </c>
      <c r="AZ7" s="101">
        <f>ELEC!A4</f>
        <v>3.9E-2</v>
      </c>
      <c r="BA7" s="119">
        <f>'General information '!D7</f>
        <v>17.5</v>
      </c>
      <c r="BB7" s="415">
        <f>SUM('General information '!E7)</f>
        <v>0.63</v>
      </c>
      <c r="BC7" s="3">
        <v>0</v>
      </c>
      <c r="BD7" s="103">
        <v>19222</v>
      </c>
      <c r="BE7" s="14">
        <f>(305/1185)*ELEC!Q5</f>
        <v>377.32489451485787</v>
      </c>
      <c r="BF7" s="14"/>
      <c r="BG7" s="14" t="e">
        <f>#REF!-BE7</f>
        <v>#REF!</v>
      </c>
      <c r="BH7" s="11">
        <v>19</v>
      </c>
    </row>
    <row r="8" spans="1:61">
      <c r="A8" s="468">
        <f>ELEC!C5</f>
        <v>43954</v>
      </c>
      <c r="B8">
        <f>'B5'!B7</f>
        <v>237</v>
      </c>
      <c r="C8" s="207">
        <f t="shared" si="18"/>
        <v>5099.322580645161</v>
      </c>
      <c r="D8">
        <f t="shared" si="19"/>
        <v>237</v>
      </c>
      <c r="E8" s="207">
        <f t="shared" si="18"/>
        <v>5099.322580645161</v>
      </c>
      <c r="F8">
        <f t="shared" si="20"/>
        <v>237</v>
      </c>
      <c r="G8" s="207">
        <f t="shared" si="1"/>
        <v>5099.322580645161</v>
      </c>
      <c r="H8" s="207">
        <f t="shared" si="21"/>
        <v>237</v>
      </c>
      <c r="I8" s="207">
        <f t="shared" si="2"/>
        <v>5099.322580645161</v>
      </c>
      <c r="J8" s="207">
        <f t="shared" si="22"/>
        <v>237</v>
      </c>
      <c r="K8" s="207">
        <f t="shared" si="3"/>
        <v>5099.322580645161</v>
      </c>
      <c r="L8" s="207">
        <f t="shared" si="23"/>
        <v>237</v>
      </c>
      <c r="M8" s="207">
        <f t="shared" si="4"/>
        <v>5099.322580645161</v>
      </c>
      <c r="N8" s="207">
        <f t="shared" si="24"/>
        <v>237</v>
      </c>
      <c r="O8" s="207">
        <f t="shared" si="5"/>
        <v>5099.322580645161</v>
      </c>
      <c r="P8" s="207">
        <f t="shared" si="25"/>
        <v>237</v>
      </c>
      <c r="Q8" s="207">
        <f t="shared" si="6"/>
        <v>5099.322580645161</v>
      </c>
      <c r="R8" s="207">
        <f t="shared" si="26"/>
        <v>237</v>
      </c>
      <c r="S8" s="207">
        <f t="shared" si="7"/>
        <v>5099.322580645161</v>
      </c>
      <c r="T8" s="207">
        <f t="shared" si="27"/>
        <v>237</v>
      </c>
      <c r="U8" s="207">
        <f t="shared" si="8"/>
        <v>5099.322580645161</v>
      </c>
      <c r="V8" s="207">
        <f t="shared" si="28"/>
        <v>237</v>
      </c>
      <c r="W8" s="207">
        <f t="shared" si="9"/>
        <v>5099.322580645161</v>
      </c>
      <c r="X8" s="35">
        <f t="shared" si="10"/>
        <v>0.76451612903225785</v>
      </c>
      <c r="Y8" s="36">
        <f t="shared" si="29"/>
        <v>56092.548387096758</v>
      </c>
      <c r="Z8" s="207">
        <f>'B5'!C7</f>
        <v>243</v>
      </c>
      <c r="AA8" s="207">
        <f t="shared" si="30"/>
        <v>2430</v>
      </c>
      <c r="AB8" s="207">
        <f t="shared" si="31"/>
        <v>243</v>
      </c>
      <c r="AC8" s="207">
        <f t="shared" si="30"/>
        <v>2430</v>
      </c>
      <c r="AD8" s="207">
        <f t="shared" si="32"/>
        <v>243</v>
      </c>
      <c r="AE8" s="207">
        <f t="shared" si="11"/>
        <v>2430</v>
      </c>
      <c r="AF8" s="207">
        <f t="shared" si="33"/>
        <v>243</v>
      </c>
      <c r="AG8" s="207">
        <f t="shared" si="12"/>
        <v>2430</v>
      </c>
      <c r="AH8" s="207">
        <f t="shared" si="34"/>
        <v>243</v>
      </c>
      <c r="AI8" s="207">
        <f t="shared" si="13"/>
        <v>2430</v>
      </c>
      <c r="AJ8" s="207">
        <f t="shared" si="35"/>
        <v>243</v>
      </c>
      <c r="AK8" s="207">
        <f t="shared" si="14"/>
        <v>2430</v>
      </c>
      <c r="AL8" s="207">
        <f t="shared" si="36"/>
        <v>243</v>
      </c>
      <c r="AM8" s="207">
        <f t="shared" si="15"/>
        <v>2430</v>
      </c>
      <c r="AN8" s="35">
        <f t="shared" si="16"/>
        <v>0.86785714285714288</v>
      </c>
      <c r="AO8" s="36">
        <f t="shared" si="17"/>
        <v>17010</v>
      </c>
      <c r="AQ8" s="227">
        <f t="shared" si="37"/>
        <v>0.78630255337309629</v>
      </c>
      <c r="AR8" s="38">
        <f t="shared" ref="AR8:AR36" si="41">SUM(AO8+Y8)</f>
        <v>73102.548387096758</v>
      </c>
      <c r="AS8" s="201">
        <f t="shared" si="38"/>
        <v>-920.03225806454429</v>
      </c>
      <c r="AT8" s="375"/>
      <c r="AU8" s="460"/>
      <c r="AV8" s="552">
        <f t="shared" ref="AV8:AV34" si="42">IF(AT8&gt;0,AU8,AV7)</f>
        <v>0</v>
      </c>
      <c r="AW8" s="301">
        <f>-SUM('B5'!AI7)</f>
        <v>-288.5</v>
      </c>
      <c r="AX8" s="301">
        <f t="shared" si="39"/>
        <v>-631.53225806454429</v>
      </c>
      <c r="AY8" s="37">
        <f t="shared" si="40"/>
        <v>-920.03225806454429</v>
      </c>
      <c r="AZ8" s="101">
        <f>ELEC!A5</f>
        <v>2.6100000000000002E-2</v>
      </c>
      <c r="BA8" s="119">
        <f>'General information '!D8</f>
        <v>20.5</v>
      </c>
      <c r="BB8" s="415">
        <f>SUM('General information '!E8)</f>
        <v>0.7</v>
      </c>
      <c r="BC8" s="3">
        <f t="shared" ref="BC8:BC33" si="43">IF(AR7&gt;=AR8,0,1)</f>
        <v>0</v>
      </c>
      <c r="BD8" s="103">
        <v>19222</v>
      </c>
      <c r="BE8" s="14">
        <f>(305/1185)*ELEC!Q6</f>
        <v>257.38396624472574</v>
      </c>
      <c r="BF8" s="14"/>
      <c r="BG8" s="14" t="e">
        <f>#REF!-BE8</f>
        <v>#REF!</v>
      </c>
      <c r="BH8" s="11">
        <v>16</v>
      </c>
    </row>
    <row r="9" spans="1:61">
      <c r="A9" s="468">
        <f>ELEC!C6</f>
        <v>43955</v>
      </c>
      <c r="B9">
        <f>'B5'!B8</f>
        <v>232</v>
      </c>
      <c r="C9" s="207">
        <f t="shared" si="18"/>
        <v>4991.7419354838712</v>
      </c>
      <c r="D9">
        <f t="shared" si="19"/>
        <v>232</v>
      </c>
      <c r="E9" s="207">
        <f t="shared" si="18"/>
        <v>4991.7419354838712</v>
      </c>
      <c r="F9">
        <f t="shared" si="20"/>
        <v>232</v>
      </c>
      <c r="G9" s="207">
        <f t="shared" si="1"/>
        <v>4991.7419354838712</v>
      </c>
      <c r="H9" s="207">
        <f t="shared" si="21"/>
        <v>232</v>
      </c>
      <c r="I9" s="207">
        <f t="shared" si="2"/>
        <v>4991.7419354838712</v>
      </c>
      <c r="J9" s="207">
        <f t="shared" si="22"/>
        <v>232</v>
      </c>
      <c r="K9" s="207">
        <f t="shared" si="3"/>
        <v>4991.7419354838712</v>
      </c>
      <c r="L9" s="207">
        <f t="shared" si="23"/>
        <v>232</v>
      </c>
      <c r="M9" s="207">
        <f t="shared" si="4"/>
        <v>4991.7419354838712</v>
      </c>
      <c r="N9" s="207">
        <f t="shared" si="24"/>
        <v>232</v>
      </c>
      <c r="O9" s="207">
        <f t="shared" si="5"/>
        <v>4991.7419354838712</v>
      </c>
      <c r="P9" s="207">
        <f t="shared" si="25"/>
        <v>232</v>
      </c>
      <c r="Q9" s="207">
        <f t="shared" si="6"/>
        <v>4991.7419354838712</v>
      </c>
      <c r="R9" s="207">
        <f t="shared" si="26"/>
        <v>232</v>
      </c>
      <c r="S9" s="207">
        <f t="shared" si="7"/>
        <v>4991.7419354838712</v>
      </c>
      <c r="T9" s="207">
        <f t="shared" si="27"/>
        <v>232</v>
      </c>
      <c r="U9" s="207">
        <f t="shared" si="8"/>
        <v>4991.7419354838712</v>
      </c>
      <c r="V9" s="207">
        <f t="shared" si="28"/>
        <v>232</v>
      </c>
      <c r="W9" s="207">
        <f t="shared" si="9"/>
        <v>4991.7419354838712</v>
      </c>
      <c r="X9" s="35">
        <f t="shared" si="10"/>
        <v>0.74838709677419357</v>
      </c>
      <c r="Y9" s="36">
        <f t="shared" si="29"/>
        <v>54909.161290322583</v>
      </c>
      <c r="Z9" s="207">
        <f>'B5'!C8</f>
        <v>239</v>
      </c>
      <c r="AA9" s="207">
        <f t="shared" si="30"/>
        <v>2390</v>
      </c>
      <c r="AB9" s="207">
        <f t="shared" si="31"/>
        <v>239</v>
      </c>
      <c r="AC9" s="207">
        <f t="shared" si="30"/>
        <v>2390</v>
      </c>
      <c r="AD9" s="207">
        <f t="shared" si="32"/>
        <v>239</v>
      </c>
      <c r="AE9" s="207">
        <f t="shared" si="11"/>
        <v>2390</v>
      </c>
      <c r="AF9" s="207">
        <f t="shared" si="33"/>
        <v>239</v>
      </c>
      <c r="AG9" s="207">
        <f t="shared" si="12"/>
        <v>2390</v>
      </c>
      <c r="AH9" s="207">
        <f t="shared" si="34"/>
        <v>239</v>
      </c>
      <c r="AI9" s="207">
        <f t="shared" si="13"/>
        <v>2390</v>
      </c>
      <c r="AJ9" s="207">
        <f t="shared" si="35"/>
        <v>239</v>
      </c>
      <c r="AK9" s="207">
        <f t="shared" si="14"/>
        <v>2390</v>
      </c>
      <c r="AL9" s="207">
        <f t="shared" si="36"/>
        <v>239</v>
      </c>
      <c r="AM9" s="207">
        <f t="shared" si="15"/>
        <v>2390</v>
      </c>
      <c r="AN9" s="35">
        <f t="shared" si="16"/>
        <v>0.85357142857142854</v>
      </c>
      <c r="AO9" s="36">
        <f>SUM(AA9+AC9+AE9+AG9+AI9+AK9+AM9)</f>
        <v>16730</v>
      </c>
      <c r="AQ9" s="227">
        <f t="shared" si="37"/>
        <v>0.77056213069078816</v>
      </c>
      <c r="AR9" s="38">
        <f t="shared" si="41"/>
        <v>71639.161290322576</v>
      </c>
      <c r="AS9" s="201">
        <f t="shared" si="38"/>
        <v>-1463.3870967741823</v>
      </c>
      <c r="AT9" s="375"/>
      <c r="AU9" s="460"/>
      <c r="AV9" s="552">
        <f t="shared" si="42"/>
        <v>0</v>
      </c>
      <c r="AW9" s="301">
        <f>-SUM('B5'!AI8)</f>
        <v>-657.89999999999418</v>
      </c>
      <c r="AX9" s="301">
        <f>-SUM(AW9-AS9)</f>
        <v>-805.4870967741881</v>
      </c>
      <c r="AY9" s="37">
        <f t="shared" si="40"/>
        <v>-1463.3870967741823</v>
      </c>
      <c r="AZ9" s="101">
        <f>ELEC!A6</f>
        <v>8.6999999999999994E-3</v>
      </c>
      <c r="BA9" s="119">
        <f>'General information '!D9</f>
        <v>20</v>
      </c>
      <c r="BB9" s="415">
        <f>SUM('General information '!E9)</f>
        <v>0.71</v>
      </c>
      <c r="BC9" s="3">
        <f t="shared" si="43"/>
        <v>0</v>
      </c>
      <c r="BD9" s="103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68">
        <f>ELEC!C7</f>
        <v>43956</v>
      </c>
      <c r="B10">
        <f>'B5'!B9</f>
        <v>232</v>
      </c>
      <c r="C10" s="207">
        <f t="shared" si="18"/>
        <v>4991.7419354838712</v>
      </c>
      <c r="D10">
        <f t="shared" si="19"/>
        <v>232</v>
      </c>
      <c r="E10" s="207">
        <f t="shared" si="18"/>
        <v>4991.7419354838712</v>
      </c>
      <c r="F10">
        <f t="shared" si="20"/>
        <v>232</v>
      </c>
      <c r="G10" s="207">
        <f t="shared" si="1"/>
        <v>4991.7419354838712</v>
      </c>
      <c r="H10" s="207">
        <f t="shared" si="21"/>
        <v>232</v>
      </c>
      <c r="I10" s="207">
        <f t="shared" si="2"/>
        <v>4991.7419354838712</v>
      </c>
      <c r="J10" s="207">
        <f t="shared" si="22"/>
        <v>232</v>
      </c>
      <c r="K10" s="207">
        <f t="shared" si="3"/>
        <v>4991.7419354838712</v>
      </c>
      <c r="L10" s="207">
        <f t="shared" si="23"/>
        <v>232</v>
      </c>
      <c r="M10" s="207">
        <f t="shared" si="4"/>
        <v>4991.7419354838712</v>
      </c>
      <c r="N10" s="207">
        <f t="shared" si="24"/>
        <v>232</v>
      </c>
      <c r="O10" s="207">
        <f t="shared" si="5"/>
        <v>4991.7419354838712</v>
      </c>
      <c r="P10" s="207">
        <f t="shared" si="25"/>
        <v>232</v>
      </c>
      <c r="Q10" s="207">
        <f t="shared" si="6"/>
        <v>4991.7419354838712</v>
      </c>
      <c r="R10" s="207">
        <f t="shared" si="26"/>
        <v>232</v>
      </c>
      <c r="S10" s="207">
        <f t="shared" si="7"/>
        <v>4991.7419354838712</v>
      </c>
      <c r="T10" s="207">
        <f t="shared" si="27"/>
        <v>232</v>
      </c>
      <c r="U10" s="207">
        <f t="shared" si="8"/>
        <v>4991.7419354838712</v>
      </c>
      <c r="V10" s="207">
        <f t="shared" si="28"/>
        <v>232</v>
      </c>
      <c r="W10" s="207">
        <f t="shared" si="9"/>
        <v>4991.7419354838712</v>
      </c>
      <c r="X10" s="35">
        <f t="shared" si="10"/>
        <v>0.74838709677419357</v>
      </c>
      <c r="Y10" s="36">
        <f t="shared" si="29"/>
        <v>54909.161290322583</v>
      </c>
      <c r="Z10" s="207">
        <f>'B5'!C9</f>
        <v>239</v>
      </c>
      <c r="AA10" s="207">
        <f t="shared" si="30"/>
        <v>2390</v>
      </c>
      <c r="AB10" s="207">
        <f t="shared" si="31"/>
        <v>239</v>
      </c>
      <c r="AC10" s="207">
        <f t="shared" si="30"/>
        <v>2390</v>
      </c>
      <c r="AD10" s="207">
        <f t="shared" si="32"/>
        <v>239</v>
      </c>
      <c r="AE10" s="207">
        <f t="shared" si="11"/>
        <v>2390</v>
      </c>
      <c r="AF10" s="207">
        <f t="shared" si="33"/>
        <v>239</v>
      </c>
      <c r="AG10" s="207">
        <f t="shared" si="12"/>
        <v>2390</v>
      </c>
      <c r="AH10" s="207">
        <f t="shared" si="34"/>
        <v>239</v>
      </c>
      <c r="AI10" s="207">
        <f t="shared" si="13"/>
        <v>2390</v>
      </c>
      <c r="AJ10" s="207">
        <f t="shared" si="35"/>
        <v>239</v>
      </c>
      <c r="AK10" s="207">
        <f t="shared" si="14"/>
        <v>2390</v>
      </c>
      <c r="AL10" s="207">
        <f t="shared" si="36"/>
        <v>239</v>
      </c>
      <c r="AM10" s="207">
        <f t="shared" si="15"/>
        <v>2390</v>
      </c>
      <c r="AN10" s="35">
        <f t="shared" si="16"/>
        <v>0.85357142857142854</v>
      </c>
      <c r="AO10" s="36">
        <f t="shared" si="17"/>
        <v>16730</v>
      </c>
      <c r="AQ10" s="227">
        <f t="shared" si="37"/>
        <v>0.77056213069078816</v>
      </c>
      <c r="AR10" s="38">
        <f t="shared" si="41"/>
        <v>71639.161290322576</v>
      </c>
      <c r="AS10" s="201">
        <f>SUM(AR10-AR9-AT10)</f>
        <v>0</v>
      </c>
      <c r="AT10" s="375"/>
      <c r="AU10" s="460"/>
      <c r="AV10" s="552">
        <f>IF(AT10&gt;0,AU10,AV9)</f>
        <v>0</v>
      </c>
      <c r="AW10" s="301">
        <f>-SUM('B5'!AI9)</f>
        <v>0</v>
      </c>
      <c r="AX10" s="301">
        <f>-SUM(AW10-AS10)</f>
        <v>0</v>
      </c>
      <c r="AY10" s="37">
        <f t="shared" si="40"/>
        <v>0</v>
      </c>
      <c r="AZ10" s="101">
        <f>ELEC!A7</f>
        <v>0</v>
      </c>
      <c r="BA10" s="119">
        <f>'General information '!D10</f>
        <v>0</v>
      </c>
      <c r="BB10" s="415">
        <f>SUM('General information '!E10)</f>
        <v>0</v>
      </c>
      <c r="BC10" s="3">
        <f t="shared" si="43"/>
        <v>0</v>
      </c>
      <c r="BD10" s="103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68">
        <f>ELEC!C8</f>
        <v>43957</v>
      </c>
      <c r="B11">
        <f>'B5'!B10</f>
        <v>232</v>
      </c>
      <c r="C11" s="207">
        <f t="shared" si="18"/>
        <v>4991.7419354838712</v>
      </c>
      <c r="D11">
        <f>SUM(B11)</f>
        <v>232</v>
      </c>
      <c r="E11" s="207">
        <f t="shared" si="18"/>
        <v>4991.7419354838712</v>
      </c>
      <c r="F11">
        <f>SUM(D11)</f>
        <v>232</v>
      </c>
      <c r="G11" s="207">
        <f t="shared" si="1"/>
        <v>4991.7419354838712</v>
      </c>
      <c r="H11" s="207">
        <f>SUM(F11)</f>
        <v>232</v>
      </c>
      <c r="I11" s="207">
        <f t="shared" si="2"/>
        <v>4991.7419354838712</v>
      </c>
      <c r="J11" s="207">
        <f>SUM(H11)</f>
        <v>232</v>
      </c>
      <c r="K11" s="207">
        <f t="shared" si="3"/>
        <v>4991.7419354838712</v>
      </c>
      <c r="L11" s="207">
        <f>SUM(J11)</f>
        <v>232</v>
      </c>
      <c r="M11" s="207">
        <f t="shared" si="4"/>
        <v>4991.7419354838712</v>
      </c>
      <c r="N11" s="207">
        <f>SUM(L11)</f>
        <v>232</v>
      </c>
      <c r="O11" s="207">
        <f t="shared" si="5"/>
        <v>4991.7419354838712</v>
      </c>
      <c r="P11" s="207">
        <f>SUM(N11)</f>
        <v>232</v>
      </c>
      <c r="Q11" s="207">
        <f t="shared" si="6"/>
        <v>4991.7419354838712</v>
      </c>
      <c r="R11" s="207">
        <f>SUM(P11)</f>
        <v>232</v>
      </c>
      <c r="S11" s="207">
        <f t="shared" si="7"/>
        <v>4991.7419354838712</v>
      </c>
      <c r="T11" s="207">
        <f>SUM(R11)</f>
        <v>232</v>
      </c>
      <c r="U11" s="207">
        <f t="shared" si="8"/>
        <v>4991.7419354838712</v>
      </c>
      <c r="V11" s="207">
        <f>SUM(T11)</f>
        <v>232</v>
      </c>
      <c r="W11" s="207">
        <f t="shared" si="9"/>
        <v>4991.7419354838712</v>
      </c>
      <c r="X11" s="35">
        <f>SUM(Y11/73370)</f>
        <v>0.74838709677419357</v>
      </c>
      <c r="Y11" s="36">
        <f>SUM(C11+E11+G11+I11+K11+M11+O11+Q11+S11+U11+W11)</f>
        <v>54909.161290322583</v>
      </c>
      <c r="Z11" s="207">
        <f>'B5'!C10</f>
        <v>239</v>
      </c>
      <c r="AA11" s="207">
        <f t="shared" si="30"/>
        <v>2390</v>
      </c>
      <c r="AB11" s="207">
        <f>SUM(Z11)</f>
        <v>239</v>
      </c>
      <c r="AC11" s="207">
        <f t="shared" si="30"/>
        <v>2390</v>
      </c>
      <c r="AD11" s="207">
        <f>SUM(AB11)</f>
        <v>239</v>
      </c>
      <c r="AE11" s="207">
        <f t="shared" si="11"/>
        <v>2390</v>
      </c>
      <c r="AF11" s="207">
        <f>SUM(AD11)</f>
        <v>239</v>
      </c>
      <c r="AG11" s="207">
        <f t="shared" si="12"/>
        <v>2390</v>
      </c>
      <c r="AH11" s="207">
        <f>SUM(AF11)</f>
        <v>239</v>
      </c>
      <c r="AI11" s="207">
        <f t="shared" si="13"/>
        <v>2390</v>
      </c>
      <c r="AJ11" s="207">
        <f>SUM(AH11)</f>
        <v>239</v>
      </c>
      <c r="AK11" s="207">
        <f t="shared" si="14"/>
        <v>2390</v>
      </c>
      <c r="AL11" s="207">
        <f>SUM(AJ11)</f>
        <v>239</v>
      </c>
      <c r="AM11" s="207">
        <f t="shared" si="15"/>
        <v>2390</v>
      </c>
      <c r="AN11" s="35">
        <f>SUM(AO11/19600)</f>
        <v>0.85357142857142854</v>
      </c>
      <c r="AO11" s="36">
        <f t="shared" si="17"/>
        <v>16730</v>
      </c>
      <c r="AQ11" s="227">
        <f t="shared" si="37"/>
        <v>0.77056213069078816</v>
      </c>
      <c r="AR11" s="38">
        <f t="shared" si="41"/>
        <v>71639.161290322576</v>
      </c>
      <c r="AS11" s="201">
        <f>SUM(AR11-AR10-AT11)</f>
        <v>0</v>
      </c>
      <c r="AT11" s="375"/>
      <c r="AU11" s="460"/>
      <c r="AV11" s="552">
        <f>IF(AT11&gt;0,AU11,AV10)</f>
        <v>0</v>
      </c>
      <c r="AW11" s="301">
        <f>-SUM('B5'!AI10)</f>
        <v>0</v>
      </c>
      <c r="AX11" s="301">
        <f>-SUM(AW11-AS11)</f>
        <v>0</v>
      </c>
      <c r="AY11" s="37">
        <f t="shared" si="40"/>
        <v>0</v>
      </c>
      <c r="AZ11" s="101">
        <f>ELEC!A8</f>
        <v>0</v>
      </c>
      <c r="BA11" s="119">
        <f>'General information '!D11</f>
        <v>0</v>
      </c>
      <c r="BB11" s="415">
        <f>SUM('General information '!E11)</f>
        <v>0</v>
      </c>
      <c r="BC11" s="3">
        <f t="shared" si="43"/>
        <v>0</v>
      </c>
      <c r="BD11" s="103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68">
        <f>ELEC!C9</f>
        <v>43958</v>
      </c>
      <c r="B12">
        <f>'B5'!B11</f>
        <v>232</v>
      </c>
      <c r="C12" s="207">
        <f t="shared" si="18"/>
        <v>4991.7419354838712</v>
      </c>
      <c r="D12">
        <f t="shared" si="19"/>
        <v>232</v>
      </c>
      <c r="E12" s="207">
        <f t="shared" si="18"/>
        <v>4991.7419354838712</v>
      </c>
      <c r="F12">
        <f t="shared" si="20"/>
        <v>232</v>
      </c>
      <c r="G12" s="207">
        <f t="shared" si="1"/>
        <v>4991.7419354838712</v>
      </c>
      <c r="H12" s="207">
        <f t="shared" si="21"/>
        <v>232</v>
      </c>
      <c r="I12" s="207">
        <f t="shared" si="2"/>
        <v>4991.7419354838712</v>
      </c>
      <c r="J12" s="207">
        <f t="shared" si="22"/>
        <v>232</v>
      </c>
      <c r="K12" s="207">
        <f t="shared" si="3"/>
        <v>4991.7419354838712</v>
      </c>
      <c r="L12" s="207">
        <f t="shared" si="23"/>
        <v>232</v>
      </c>
      <c r="M12" s="207">
        <f t="shared" si="4"/>
        <v>4991.7419354838712</v>
      </c>
      <c r="N12" s="207">
        <f t="shared" si="24"/>
        <v>232</v>
      </c>
      <c r="O12" s="207">
        <f t="shared" si="5"/>
        <v>4991.7419354838712</v>
      </c>
      <c r="P12" s="207">
        <f t="shared" si="25"/>
        <v>232</v>
      </c>
      <c r="Q12" s="207">
        <f t="shared" si="6"/>
        <v>4991.7419354838712</v>
      </c>
      <c r="R12" s="207">
        <f t="shared" si="26"/>
        <v>232</v>
      </c>
      <c r="S12" s="207">
        <f t="shared" si="7"/>
        <v>4991.7419354838712</v>
      </c>
      <c r="T12" s="207">
        <f t="shared" si="27"/>
        <v>232</v>
      </c>
      <c r="U12" s="207">
        <f t="shared" si="8"/>
        <v>4991.7419354838712</v>
      </c>
      <c r="V12" s="207">
        <f t="shared" si="28"/>
        <v>232</v>
      </c>
      <c r="W12" s="207">
        <f t="shared" si="9"/>
        <v>4991.7419354838712</v>
      </c>
      <c r="X12" s="35">
        <f t="shared" si="10"/>
        <v>0.74838709677419357</v>
      </c>
      <c r="Y12" s="36">
        <f t="shared" si="29"/>
        <v>54909.161290322583</v>
      </c>
      <c r="Z12" s="207">
        <f>'B5'!C11</f>
        <v>239</v>
      </c>
      <c r="AA12" s="207">
        <f t="shared" si="30"/>
        <v>2390</v>
      </c>
      <c r="AB12" s="207">
        <f t="shared" si="31"/>
        <v>239</v>
      </c>
      <c r="AC12" s="207">
        <f t="shared" si="30"/>
        <v>2390</v>
      </c>
      <c r="AD12" s="207">
        <f t="shared" si="32"/>
        <v>239</v>
      </c>
      <c r="AE12" s="207">
        <f t="shared" si="11"/>
        <v>2390</v>
      </c>
      <c r="AF12" s="207">
        <f t="shared" si="33"/>
        <v>239</v>
      </c>
      <c r="AG12" s="207">
        <f t="shared" si="12"/>
        <v>2390</v>
      </c>
      <c r="AH12" s="207">
        <f t="shared" si="34"/>
        <v>239</v>
      </c>
      <c r="AI12" s="207">
        <f t="shared" si="13"/>
        <v>2390</v>
      </c>
      <c r="AJ12" s="207">
        <f t="shared" si="35"/>
        <v>239</v>
      </c>
      <c r="AK12" s="207">
        <f t="shared" si="14"/>
        <v>2390</v>
      </c>
      <c r="AL12" s="207">
        <f t="shared" si="36"/>
        <v>239</v>
      </c>
      <c r="AM12" s="207">
        <f t="shared" si="15"/>
        <v>2390</v>
      </c>
      <c r="AN12" s="35">
        <f t="shared" si="16"/>
        <v>0.85357142857142854</v>
      </c>
      <c r="AO12" s="36">
        <f t="shared" si="17"/>
        <v>16730</v>
      </c>
      <c r="AQ12" s="227">
        <f t="shared" si="37"/>
        <v>0.77056213069078816</v>
      </c>
      <c r="AR12" s="38">
        <f t="shared" si="41"/>
        <v>71639.161290322576</v>
      </c>
      <c r="AS12" s="201">
        <f t="shared" si="38"/>
        <v>0</v>
      </c>
      <c r="AT12" s="278"/>
      <c r="AU12" s="504"/>
      <c r="AV12" s="552">
        <f t="shared" si="42"/>
        <v>0</v>
      </c>
      <c r="AW12" s="301">
        <f>-SUM('B5'!AI11)</f>
        <v>0</v>
      </c>
      <c r="AX12" s="301">
        <f t="shared" si="39"/>
        <v>0</v>
      </c>
      <c r="AY12" s="37">
        <f t="shared" si="40"/>
        <v>0</v>
      </c>
      <c r="AZ12" s="101">
        <f>ELEC!A9</f>
        <v>0</v>
      </c>
      <c r="BA12" s="119">
        <f>'General information '!D12</f>
        <v>0</v>
      </c>
      <c r="BB12" s="415">
        <f>SUM('General information '!E12)</f>
        <v>0</v>
      </c>
      <c r="BC12" s="3">
        <f t="shared" si="43"/>
        <v>0</v>
      </c>
      <c r="BD12" s="103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68">
        <f>ELEC!C10</f>
        <v>43959</v>
      </c>
      <c r="B13">
        <f>'B5'!B12</f>
        <v>232</v>
      </c>
      <c r="C13" s="207">
        <f t="shared" si="18"/>
        <v>4991.7419354838712</v>
      </c>
      <c r="D13">
        <f t="shared" si="19"/>
        <v>232</v>
      </c>
      <c r="E13" s="207">
        <f t="shared" si="18"/>
        <v>4991.7419354838712</v>
      </c>
      <c r="F13">
        <f t="shared" si="20"/>
        <v>232</v>
      </c>
      <c r="G13" s="207">
        <f t="shared" si="1"/>
        <v>4991.7419354838712</v>
      </c>
      <c r="H13" s="207">
        <f t="shared" si="21"/>
        <v>232</v>
      </c>
      <c r="I13" s="207">
        <f t="shared" si="2"/>
        <v>4991.7419354838712</v>
      </c>
      <c r="J13" s="207">
        <f t="shared" si="22"/>
        <v>232</v>
      </c>
      <c r="K13" s="207">
        <f t="shared" si="3"/>
        <v>4991.7419354838712</v>
      </c>
      <c r="L13" s="207">
        <f t="shared" si="23"/>
        <v>232</v>
      </c>
      <c r="M13" s="207">
        <f t="shared" si="4"/>
        <v>4991.7419354838712</v>
      </c>
      <c r="N13" s="207">
        <f t="shared" si="24"/>
        <v>232</v>
      </c>
      <c r="O13" s="207">
        <f t="shared" si="5"/>
        <v>4991.7419354838712</v>
      </c>
      <c r="P13" s="207">
        <f t="shared" si="25"/>
        <v>232</v>
      </c>
      <c r="Q13" s="207">
        <f t="shared" si="6"/>
        <v>4991.7419354838712</v>
      </c>
      <c r="R13" s="207">
        <f t="shared" si="26"/>
        <v>232</v>
      </c>
      <c r="S13" s="207">
        <f t="shared" si="7"/>
        <v>4991.7419354838712</v>
      </c>
      <c r="T13" s="207">
        <f t="shared" si="27"/>
        <v>232</v>
      </c>
      <c r="U13" s="207">
        <f t="shared" si="8"/>
        <v>4991.7419354838712</v>
      </c>
      <c r="V13" s="207">
        <f t="shared" si="28"/>
        <v>232</v>
      </c>
      <c r="W13" s="207">
        <f t="shared" si="9"/>
        <v>4991.7419354838712</v>
      </c>
      <c r="X13" s="35">
        <f t="shared" si="10"/>
        <v>0.74838709677419357</v>
      </c>
      <c r="Y13" s="36">
        <f t="shared" si="29"/>
        <v>54909.161290322583</v>
      </c>
      <c r="Z13" s="207">
        <f>'B5'!C12</f>
        <v>239</v>
      </c>
      <c r="AA13" s="207">
        <f t="shared" si="30"/>
        <v>2390</v>
      </c>
      <c r="AB13" s="207">
        <f t="shared" si="31"/>
        <v>239</v>
      </c>
      <c r="AC13" s="207">
        <f t="shared" si="30"/>
        <v>2390</v>
      </c>
      <c r="AD13" s="207">
        <f t="shared" si="32"/>
        <v>239</v>
      </c>
      <c r="AE13" s="207">
        <f t="shared" si="11"/>
        <v>2390</v>
      </c>
      <c r="AF13" s="207">
        <f t="shared" si="33"/>
        <v>239</v>
      </c>
      <c r="AG13" s="207">
        <f t="shared" si="12"/>
        <v>2390</v>
      </c>
      <c r="AH13" s="207">
        <f t="shared" si="34"/>
        <v>239</v>
      </c>
      <c r="AI13" s="207">
        <f t="shared" si="13"/>
        <v>2390</v>
      </c>
      <c r="AJ13" s="207">
        <f t="shared" si="35"/>
        <v>239</v>
      </c>
      <c r="AK13" s="207">
        <f t="shared" si="14"/>
        <v>2390</v>
      </c>
      <c r="AL13" s="207">
        <f t="shared" si="36"/>
        <v>239</v>
      </c>
      <c r="AM13" s="207">
        <f t="shared" si="15"/>
        <v>2390</v>
      </c>
      <c r="AN13" s="35">
        <f t="shared" si="16"/>
        <v>0.85357142857142854</v>
      </c>
      <c r="AO13" s="36">
        <f t="shared" si="17"/>
        <v>16730</v>
      </c>
      <c r="AQ13" s="227">
        <f t="shared" si="37"/>
        <v>0.77056213069078816</v>
      </c>
      <c r="AR13" s="38">
        <f t="shared" si="41"/>
        <v>71639.161290322576</v>
      </c>
      <c r="AS13" s="201">
        <f t="shared" si="38"/>
        <v>0</v>
      </c>
      <c r="AT13" s="278"/>
      <c r="AU13" s="460"/>
      <c r="AV13" s="552">
        <f t="shared" si="42"/>
        <v>0</v>
      </c>
      <c r="AW13" s="301">
        <f>-SUM('B5'!AI12)</f>
        <v>0</v>
      </c>
      <c r="AX13" s="301">
        <f t="shared" si="39"/>
        <v>0</v>
      </c>
      <c r="AY13" s="37">
        <f t="shared" si="40"/>
        <v>0</v>
      </c>
      <c r="AZ13" s="101">
        <f>ELEC!A10</f>
        <v>0</v>
      </c>
      <c r="BA13" s="119">
        <f>'General information '!D13</f>
        <v>0</v>
      </c>
      <c r="BB13" s="415">
        <f>SUM('General information '!E13)</f>
        <v>0</v>
      </c>
      <c r="BC13" s="3">
        <f t="shared" si="43"/>
        <v>0</v>
      </c>
      <c r="BD13" s="103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68">
        <f>ELEC!C11</f>
        <v>43960</v>
      </c>
      <c r="B14">
        <f>'B5'!B13</f>
        <v>232</v>
      </c>
      <c r="C14" s="207">
        <f t="shared" si="18"/>
        <v>4991.7419354838712</v>
      </c>
      <c r="D14">
        <f t="shared" si="19"/>
        <v>232</v>
      </c>
      <c r="E14" s="207">
        <f t="shared" si="18"/>
        <v>4991.7419354838712</v>
      </c>
      <c r="F14">
        <f t="shared" si="20"/>
        <v>232</v>
      </c>
      <c r="G14" s="207">
        <f t="shared" si="1"/>
        <v>4991.7419354838712</v>
      </c>
      <c r="H14" s="207">
        <f t="shared" si="21"/>
        <v>232</v>
      </c>
      <c r="I14" s="207">
        <f t="shared" si="2"/>
        <v>4991.7419354838712</v>
      </c>
      <c r="J14" s="207">
        <f t="shared" si="22"/>
        <v>232</v>
      </c>
      <c r="K14" s="207">
        <f t="shared" si="3"/>
        <v>4991.7419354838712</v>
      </c>
      <c r="L14" s="207">
        <f t="shared" si="23"/>
        <v>232</v>
      </c>
      <c r="M14" s="207">
        <f t="shared" si="4"/>
        <v>4991.7419354838712</v>
      </c>
      <c r="N14" s="207">
        <f t="shared" si="24"/>
        <v>232</v>
      </c>
      <c r="O14" s="207">
        <f t="shared" si="5"/>
        <v>4991.7419354838712</v>
      </c>
      <c r="P14" s="207">
        <f t="shared" si="25"/>
        <v>232</v>
      </c>
      <c r="Q14" s="207">
        <f t="shared" si="6"/>
        <v>4991.7419354838712</v>
      </c>
      <c r="R14" s="207">
        <f t="shared" si="26"/>
        <v>232</v>
      </c>
      <c r="S14" s="207">
        <f t="shared" si="7"/>
        <v>4991.7419354838712</v>
      </c>
      <c r="T14" s="207">
        <f t="shared" si="27"/>
        <v>232</v>
      </c>
      <c r="U14" s="207">
        <f t="shared" si="8"/>
        <v>4991.7419354838712</v>
      </c>
      <c r="V14" s="207">
        <f t="shared" si="28"/>
        <v>232</v>
      </c>
      <c r="W14" s="207">
        <f t="shared" si="9"/>
        <v>4991.7419354838712</v>
      </c>
      <c r="X14" s="35">
        <f t="shared" si="10"/>
        <v>0.74838709677419357</v>
      </c>
      <c r="Y14" s="36">
        <f t="shared" si="29"/>
        <v>54909.161290322583</v>
      </c>
      <c r="Z14" s="207">
        <f>'B5'!C13</f>
        <v>239</v>
      </c>
      <c r="AA14" s="207">
        <f t="shared" si="30"/>
        <v>2390</v>
      </c>
      <c r="AB14" s="207">
        <f t="shared" si="31"/>
        <v>239</v>
      </c>
      <c r="AC14" s="207">
        <f t="shared" si="30"/>
        <v>2390</v>
      </c>
      <c r="AD14" s="207">
        <f t="shared" si="32"/>
        <v>239</v>
      </c>
      <c r="AE14" s="207">
        <f t="shared" si="11"/>
        <v>2390</v>
      </c>
      <c r="AF14" s="207">
        <f t="shared" si="33"/>
        <v>239</v>
      </c>
      <c r="AG14" s="207">
        <f t="shared" si="12"/>
        <v>2390</v>
      </c>
      <c r="AH14" s="207">
        <f t="shared" si="34"/>
        <v>239</v>
      </c>
      <c r="AI14" s="207">
        <f t="shared" si="13"/>
        <v>2390</v>
      </c>
      <c r="AJ14" s="207">
        <f t="shared" si="35"/>
        <v>239</v>
      </c>
      <c r="AK14" s="207">
        <f t="shared" si="14"/>
        <v>2390</v>
      </c>
      <c r="AL14" s="207">
        <f t="shared" si="36"/>
        <v>239</v>
      </c>
      <c r="AM14" s="207">
        <f t="shared" si="15"/>
        <v>2390</v>
      </c>
      <c r="AN14" s="35">
        <f t="shared" si="16"/>
        <v>0.85357142857142854</v>
      </c>
      <c r="AO14" s="36">
        <f t="shared" si="17"/>
        <v>16730</v>
      </c>
      <c r="AQ14" s="227">
        <f t="shared" si="37"/>
        <v>0.77056213069078816</v>
      </c>
      <c r="AR14" s="38">
        <f t="shared" si="41"/>
        <v>71639.161290322576</v>
      </c>
      <c r="AS14" s="201">
        <f t="shared" si="38"/>
        <v>0</v>
      </c>
      <c r="AT14" s="278"/>
      <c r="AU14" s="504"/>
      <c r="AV14" s="552">
        <f t="shared" si="42"/>
        <v>0</v>
      </c>
      <c r="AW14" s="301">
        <f>-SUM('B5'!AI13)</f>
        <v>0</v>
      </c>
      <c r="AX14" s="301">
        <f t="shared" si="39"/>
        <v>0</v>
      </c>
      <c r="AY14" s="37">
        <f t="shared" si="40"/>
        <v>0</v>
      </c>
      <c r="AZ14" s="101">
        <f>ELEC!A11</f>
        <v>0</v>
      </c>
      <c r="BA14" s="119">
        <f>'General information '!D14</f>
        <v>0</v>
      </c>
      <c r="BB14" s="415">
        <f>SUM('General information '!E14)</f>
        <v>0</v>
      </c>
      <c r="BC14" s="3">
        <f t="shared" si="43"/>
        <v>0</v>
      </c>
      <c r="BD14" s="103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68">
        <f>ELEC!C12</f>
        <v>43961</v>
      </c>
      <c r="B15">
        <f>'B5'!B14</f>
        <v>232</v>
      </c>
      <c r="C15" s="207">
        <f t="shared" si="18"/>
        <v>4991.7419354838712</v>
      </c>
      <c r="D15">
        <f t="shared" si="19"/>
        <v>232</v>
      </c>
      <c r="E15" s="207">
        <f t="shared" si="18"/>
        <v>4991.7419354838712</v>
      </c>
      <c r="F15">
        <f t="shared" si="20"/>
        <v>232</v>
      </c>
      <c r="G15" s="207">
        <f t="shared" si="1"/>
        <v>4991.7419354838712</v>
      </c>
      <c r="H15" s="207">
        <f t="shared" si="21"/>
        <v>232</v>
      </c>
      <c r="I15" s="207">
        <f t="shared" si="2"/>
        <v>4991.7419354838712</v>
      </c>
      <c r="J15" s="207">
        <f t="shared" si="22"/>
        <v>232</v>
      </c>
      <c r="K15" s="207">
        <f t="shared" si="3"/>
        <v>4991.7419354838712</v>
      </c>
      <c r="L15" s="207">
        <f t="shared" si="23"/>
        <v>232</v>
      </c>
      <c r="M15" s="207">
        <f t="shared" si="4"/>
        <v>4991.7419354838712</v>
      </c>
      <c r="N15" s="207">
        <f t="shared" si="24"/>
        <v>232</v>
      </c>
      <c r="O15" s="207">
        <f t="shared" si="5"/>
        <v>4991.7419354838712</v>
      </c>
      <c r="P15" s="207">
        <f t="shared" si="25"/>
        <v>232</v>
      </c>
      <c r="Q15" s="207">
        <f t="shared" si="6"/>
        <v>4991.7419354838712</v>
      </c>
      <c r="R15" s="207">
        <f t="shared" si="26"/>
        <v>232</v>
      </c>
      <c r="S15" s="207">
        <f t="shared" si="7"/>
        <v>4991.7419354838712</v>
      </c>
      <c r="T15" s="207">
        <f t="shared" si="27"/>
        <v>232</v>
      </c>
      <c r="U15" s="207">
        <f t="shared" si="8"/>
        <v>4991.7419354838712</v>
      </c>
      <c r="V15" s="207">
        <f t="shared" si="28"/>
        <v>232</v>
      </c>
      <c r="W15" s="207">
        <f t="shared" si="9"/>
        <v>4991.7419354838712</v>
      </c>
      <c r="X15" s="35">
        <f t="shared" si="10"/>
        <v>0.74838709677419357</v>
      </c>
      <c r="Y15" s="36">
        <f t="shared" si="29"/>
        <v>54909.161290322583</v>
      </c>
      <c r="Z15" s="207">
        <f>'B5'!C14</f>
        <v>239</v>
      </c>
      <c r="AA15" s="207">
        <f t="shared" si="30"/>
        <v>2390</v>
      </c>
      <c r="AB15" s="207">
        <f t="shared" si="31"/>
        <v>239</v>
      </c>
      <c r="AC15" s="207">
        <f t="shared" si="30"/>
        <v>2390</v>
      </c>
      <c r="AD15" s="207">
        <f t="shared" si="32"/>
        <v>239</v>
      </c>
      <c r="AE15" s="207">
        <f t="shared" si="11"/>
        <v>2390</v>
      </c>
      <c r="AF15" s="207">
        <f t="shared" si="33"/>
        <v>239</v>
      </c>
      <c r="AG15" s="207">
        <f t="shared" si="12"/>
        <v>2390</v>
      </c>
      <c r="AH15" s="207">
        <f t="shared" si="34"/>
        <v>239</v>
      </c>
      <c r="AI15" s="207">
        <f t="shared" si="13"/>
        <v>2390</v>
      </c>
      <c r="AJ15" s="207">
        <f t="shared" si="35"/>
        <v>239</v>
      </c>
      <c r="AK15" s="207">
        <f t="shared" si="14"/>
        <v>2390</v>
      </c>
      <c r="AL15" s="207">
        <f t="shared" si="36"/>
        <v>239</v>
      </c>
      <c r="AM15" s="207">
        <f t="shared" si="15"/>
        <v>2390</v>
      </c>
      <c r="AN15" s="35">
        <f t="shared" si="16"/>
        <v>0.85357142857142854</v>
      </c>
      <c r="AO15" s="36">
        <f t="shared" si="17"/>
        <v>16730</v>
      </c>
      <c r="AQ15" s="227">
        <f t="shared" si="37"/>
        <v>0.77056213069078816</v>
      </c>
      <c r="AR15" s="38">
        <f t="shared" si="41"/>
        <v>71639.161290322576</v>
      </c>
      <c r="AS15" s="201">
        <f>SUM(AR15-AR14-AT15)</f>
        <v>0</v>
      </c>
      <c r="AT15" s="278"/>
      <c r="AU15" s="460"/>
      <c r="AV15" s="552">
        <f>IF(AT15&gt;0,AU15,AV14)</f>
        <v>0</v>
      </c>
      <c r="AW15" s="301">
        <f>-SUM('B5'!AI14)</f>
        <v>0</v>
      </c>
      <c r="AX15" s="301">
        <f t="shared" si="39"/>
        <v>0</v>
      </c>
      <c r="AY15" s="37">
        <f t="shared" si="40"/>
        <v>0</v>
      </c>
      <c r="AZ15" s="101">
        <f>ELEC!A12</f>
        <v>0</v>
      </c>
      <c r="BA15" s="119">
        <f>'General information '!D15</f>
        <v>0</v>
      </c>
      <c r="BB15" s="415">
        <f>SUM('General information '!E15)</f>
        <v>0</v>
      </c>
      <c r="BC15" s="3">
        <f t="shared" si="43"/>
        <v>0</v>
      </c>
      <c r="BD15" s="103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68">
        <f>ELEC!C13</f>
        <v>43962</v>
      </c>
      <c r="B16">
        <f>'B5'!B15</f>
        <v>232</v>
      </c>
      <c r="C16" s="207">
        <f t="shared" si="18"/>
        <v>4991.7419354838712</v>
      </c>
      <c r="D16">
        <f t="shared" si="19"/>
        <v>232</v>
      </c>
      <c r="E16" s="207">
        <f t="shared" si="18"/>
        <v>4991.7419354838712</v>
      </c>
      <c r="F16">
        <f t="shared" si="20"/>
        <v>232</v>
      </c>
      <c r="G16" s="207">
        <f t="shared" si="1"/>
        <v>4991.7419354838712</v>
      </c>
      <c r="H16" s="207">
        <f t="shared" si="21"/>
        <v>232</v>
      </c>
      <c r="I16" s="207">
        <f t="shared" si="2"/>
        <v>4991.7419354838712</v>
      </c>
      <c r="J16" s="207">
        <f t="shared" si="22"/>
        <v>232</v>
      </c>
      <c r="K16" s="207">
        <f t="shared" si="3"/>
        <v>4991.7419354838712</v>
      </c>
      <c r="L16" s="207">
        <f t="shared" si="23"/>
        <v>232</v>
      </c>
      <c r="M16" s="207">
        <f t="shared" si="4"/>
        <v>4991.7419354838712</v>
      </c>
      <c r="N16" s="207">
        <f t="shared" si="24"/>
        <v>232</v>
      </c>
      <c r="O16" s="207">
        <f t="shared" si="5"/>
        <v>4991.7419354838712</v>
      </c>
      <c r="P16" s="207">
        <f t="shared" si="25"/>
        <v>232</v>
      </c>
      <c r="Q16" s="207">
        <f t="shared" si="6"/>
        <v>4991.7419354838712</v>
      </c>
      <c r="R16" s="207">
        <f t="shared" si="26"/>
        <v>232</v>
      </c>
      <c r="S16" s="207">
        <f t="shared" si="7"/>
        <v>4991.7419354838712</v>
      </c>
      <c r="T16" s="207">
        <f t="shared" si="27"/>
        <v>232</v>
      </c>
      <c r="U16" s="207">
        <f t="shared" si="8"/>
        <v>4991.7419354838712</v>
      </c>
      <c r="V16" s="207">
        <f t="shared" si="28"/>
        <v>232</v>
      </c>
      <c r="W16" s="207">
        <f t="shared" si="9"/>
        <v>4991.7419354838712</v>
      </c>
      <c r="X16" s="35">
        <f t="shared" si="10"/>
        <v>0.74838709677419357</v>
      </c>
      <c r="Y16" s="36">
        <f t="shared" si="29"/>
        <v>54909.161290322583</v>
      </c>
      <c r="Z16" s="207">
        <f>'B5'!C15</f>
        <v>239</v>
      </c>
      <c r="AA16" s="207">
        <f t="shared" si="30"/>
        <v>2390</v>
      </c>
      <c r="AB16" s="207">
        <f t="shared" si="31"/>
        <v>239</v>
      </c>
      <c r="AC16" s="207">
        <f t="shared" si="30"/>
        <v>2390</v>
      </c>
      <c r="AD16" s="207">
        <f t="shared" si="32"/>
        <v>239</v>
      </c>
      <c r="AE16" s="207">
        <f t="shared" si="11"/>
        <v>2390</v>
      </c>
      <c r="AF16" s="207">
        <f t="shared" si="33"/>
        <v>239</v>
      </c>
      <c r="AG16" s="207">
        <f t="shared" si="12"/>
        <v>2390</v>
      </c>
      <c r="AH16" s="207">
        <f t="shared" si="34"/>
        <v>239</v>
      </c>
      <c r="AI16" s="207">
        <f t="shared" si="13"/>
        <v>2390</v>
      </c>
      <c r="AJ16" s="207">
        <f t="shared" si="35"/>
        <v>239</v>
      </c>
      <c r="AK16" s="207">
        <f t="shared" si="14"/>
        <v>2390</v>
      </c>
      <c r="AL16" s="207">
        <f t="shared" si="36"/>
        <v>239</v>
      </c>
      <c r="AM16" s="207">
        <f t="shared" si="15"/>
        <v>2390</v>
      </c>
      <c r="AN16" s="35">
        <f t="shared" si="16"/>
        <v>0.85357142857142854</v>
      </c>
      <c r="AO16" s="36">
        <f t="shared" si="17"/>
        <v>16730</v>
      </c>
      <c r="AQ16" s="227">
        <f t="shared" si="37"/>
        <v>0.77056213069078816</v>
      </c>
      <c r="AR16" s="38">
        <f t="shared" si="41"/>
        <v>71639.161290322576</v>
      </c>
      <c r="AS16" s="201">
        <f>SUM(AR16-AR15-AT16)</f>
        <v>0</v>
      </c>
      <c r="AT16" s="278"/>
      <c r="AU16" s="460"/>
      <c r="AV16" s="552">
        <f>IF(AT16&gt;0,AU16,AV15)</f>
        <v>0</v>
      </c>
      <c r="AW16" s="301">
        <f>-SUM('B5'!AI15)</f>
        <v>0</v>
      </c>
      <c r="AX16" s="301">
        <f>-SUM(AW16-AS16)</f>
        <v>0</v>
      </c>
      <c r="AY16" s="37">
        <f t="shared" si="40"/>
        <v>0</v>
      </c>
      <c r="AZ16" s="101">
        <f>ELEC!A13</f>
        <v>0</v>
      </c>
      <c r="BA16" s="119">
        <f>'General information '!D16</f>
        <v>0</v>
      </c>
      <c r="BB16" s="415">
        <f>SUM('General information '!E16)</f>
        <v>0</v>
      </c>
      <c r="BC16" s="3">
        <f t="shared" si="43"/>
        <v>0</v>
      </c>
      <c r="BD16" s="103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68">
        <f>ELEC!C14</f>
        <v>43963</v>
      </c>
      <c r="B17">
        <f>'B5'!B16</f>
        <v>232</v>
      </c>
      <c r="C17" s="207">
        <f t="shared" si="18"/>
        <v>4991.7419354838712</v>
      </c>
      <c r="D17">
        <f t="shared" si="19"/>
        <v>232</v>
      </c>
      <c r="E17" s="207">
        <f t="shared" si="18"/>
        <v>4991.7419354838712</v>
      </c>
      <c r="F17">
        <f t="shared" si="20"/>
        <v>232</v>
      </c>
      <c r="G17" s="207">
        <f t="shared" si="1"/>
        <v>4991.7419354838712</v>
      </c>
      <c r="H17" s="207">
        <f t="shared" si="21"/>
        <v>232</v>
      </c>
      <c r="I17" s="207">
        <f t="shared" si="2"/>
        <v>4991.7419354838712</v>
      </c>
      <c r="J17" s="207">
        <f t="shared" si="22"/>
        <v>232</v>
      </c>
      <c r="K17" s="207">
        <f t="shared" si="3"/>
        <v>4991.7419354838712</v>
      </c>
      <c r="L17" s="207">
        <f t="shared" si="23"/>
        <v>232</v>
      </c>
      <c r="M17" s="207">
        <f t="shared" si="4"/>
        <v>4991.7419354838712</v>
      </c>
      <c r="N17" s="207">
        <f t="shared" si="24"/>
        <v>232</v>
      </c>
      <c r="O17" s="207">
        <f t="shared" si="5"/>
        <v>4991.7419354838712</v>
      </c>
      <c r="P17" s="207">
        <f t="shared" si="25"/>
        <v>232</v>
      </c>
      <c r="Q17" s="207">
        <f t="shared" si="6"/>
        <v>4991.7419354838712</v>
      </c>
      <c r="R17" s="207">
        <f t="shared" si="26"/>
        <v>232</v>
      </c>
      <c r="S17" s="207">
        <f t="shared" si="7"/>
        <v>4991.7419354838712</v>
      </c>
      <c r="T17" s="207">
        <f t="shared" si="27"/>
        <v>232</v>
      </c>
      <c r="U17" s="207">
        <f t="shared" si="8"/>
        <v>4991.7419354838712</v>
      </c>
      <c r="V17" s="207">
        <f t="shared" si="28"/>
        <v>232</v>
      </c>
      <c r="W17" s="207">
        <f t="shared" si="9"/>
        <v>4991.7419354838712</v>
      </c>
      <c r="X17" s="35">
        <f t="shared" si="10"/>
        <v>0.74838709677419357</v>
      </c>
      <c r="Y17" s="36">
        <f t="shared" si="29"/>
        <v>54909.161290322583</v>
      </c>
      <c r="Z17" s="207">
        <f>'B5'!C16</f>
        <v>239</v>
      </c>
      <c r="AA17" s="207">
        <f t="shared" si="30"/>
        <v>2390</v>
      </c>
      <c r="AB17" s="207">
        <f t="shared" si="31"/>
        <v>239</v>
      </c>
      <c r="AC17" s="207">
        <f t="shared" si="30"/>
        <v>2390</v>
      </c>
      <c r="AD17" s="207">
        <f t="shared" si="32"/>
        <v>239</v>
      </c>
      <c r="AE17" s="207">
        <f t="shared" si="11"/>
        <v>2390</v>
      </c>
      <c r="AF17" s="207">
        <f t="shared" si="33"/>
        <v>239</v>
      </c>
      <c r="AG17" s="207">
        <f t="shared" si="12"/>
        <v>2390</v>
      </c>
      <c r="AH17" s="207">
        <f t="shared" si="34"/>
        <v>239</v>
      </c>
      <c r="AI17" s="207">
        <f t="shared" si="13"/>
        <v>2390</v>
      </c>
      <c r="AJ17" s="207">
        <f t="shared" si="35"/>
        <v>239</v>
      </c>
      <c r="AK17" s="207">
        <f t="shared" si="14"/>
        <v>2390</v>
      </c>
      <c r="AL17" s="207">
        <f t="shared" si="36"/>
        <v>239</v>
      </c>
      <c r="AM17" s="207">
        <f t="shared" si="15"/>
        <v>2390</v>
      </c>
      <c r="AN17" s="35">
        <f t="shared" si="16"/>
        <v>0.85357142857142854</v>
      </c>
      <c r="AO17" s="36">
        <f>SUM(AA17+AC17+AE17+AG17+AI17+AK17+AM17)</f>
        <v>16730</v>
      </c>
      <c r="AQ17" s="227">
        <f t="shared" si="37"/>
        <v>0.77056213069078816</v>
      </c>
      <c r="AR17" s="38">
        <f t="shared" si="41"/>
        <v>71639.161290322576</v>
      </c>
      <c r="AS17" s="201">
        <f t="shared" si="38"/>
        <v>0</v>
      </c>
      <c r="AT17" s="375"/>
      <c r="AU17" s="504"/>
      <c r="AV17" s="552">
        <f t="shared" si="42"/>
        <v>0</v>
      </c>
      <c r="AW17" s="301">
        <f>-SUM('B5'!AI16)</f>
        <v>0</v>
      </c>
      <c r="AX17" s="301">
        <f t="shared" si="39"/>
        <v>0</v>
      </c>
      <c r="AY17" s="37">
        <f t="shared" si="40"/>
        <v>0</v>
      </c>
      <c r="AZ17" s="101">
        <f>ELEC!A14</f>
        <v>0</v>
      </c>
      <c r="BA17" s="119">
        <f>'General information '!D17</f>
        <v>0</v>
      </c>
      <c r="BB17" s="415">
        <f>SUM('General information '!E17)</f>
        <v>0</v>
      </c>
      <c r="BC17" s="3">
        <f t="shared" si="43"/>
        <v>0</v>
      </c>
      <c r="BD17" s="103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68">
        <f>ELEC!C15</f>
        <v>43964</v>
      </c>
      <c r="B18">
        <f>'B5'!B17</f>
        <v>232</v>
      </c>
      <c r="C18" s="207">
        <f t="shared" si="18"/>
        <v>4991.7419354838712</v>
      </c>
      <c r="D18">
        <f t="shared" si="19"/>
        <v>232</v>
      </c>
      <c r="E18" s="207">
        <f t="shared" si="18"/>
        <v>4991.7419354838712</v>
      </c>
      <c r="F18">
        <f t="shared" si="20"/>
        <v>232</v>
      </c>
      <c r="G18" s="207">
        <f t="shared" si="1"/>
        <v>4991.7419354838712</v>
      </c>
      <c r="H18" s="207">
        <f t="shared" si="21"/>
        <v>232</v>
      </c>
      <c r="I18" s="207">
        <f t="shared" si="2"/>
        <v>4991.7419354838712</v>
      </c>
      <c r="J18" s="207">
        <f t="shared" si="22"/>
        <v>232</v>
      </c>
      <c r="K18" s="207">
        <f t="shared" si="3"/>
        <v>4991.7419354838712</v>
      </c>
      <c r="L18" s="207">
        <f t="shared" si="23"/>
        <v>232</v>
      </c>
      <c r="M18" s="207">
        <f t="shared" si="4"/>
        <v>4991.7419354838712</v>
      </c>
      <c r="N18" s="207">
        <f t="shared" si="24"/>
        <v>232</v>
      </c>
      <c r="O18" s="207">
        <f t="shared" si="5"/>
        <v>4991.7419354838712</v>
      </c>
      <c r="P18" s="207">
        <f t="shared" si="25"/>
        <v>232</v>
      </c>
      <c r="Q18" s="207">
        <f t="shared" si="6"/>
        <v>4991.7419354838712</v>
      </c>
      <c r="R18" s="207">
        <f t="shared" si="26"/>
        <v>232</v>
      </c>
      <c r="S18" s="207">
        <f t="shared" si="7"/>
        <v>4991.7419354838712</v>
      </c>
      <c r="T18" s="207">
        <f t="shared" si="27"/>
        <v>232</v>
      </c>
      <c r="U18" s="207">
        <f t="shared" si="8"/>
        <v>4991.7419354838712</v>
      </c>
      <c r="V18" s="207">
        <f t="shared" si="28"/>
        <v>232</v>
      </c>
      <c r="W18" s="207">
        <f t="shared" si="9"/>
        <v>4991.7419354838712</v>
      </c>
      <c r="X18" s="35">
        <f t="shared" si="10"/>
        <v>0.74838709677419357</v>
      </c>
      <c r="Y18" s="36">
        <f t="shared" si="29"/>
        <v>54909.161290322583</v>
      </c>
      <c r="Z18" s="207">
        <f>'B5'!C17</f>
        <v>239</v>
      </c>
      <c r="AA18" s="207">
        <f t="shared" si="30"/>
        <v>2390</v>
      </c>
      <c r="AB18" s="207">
        <f t="shared" si="31"/>
        <v>239</v>
      </c>
      <c r="AC18" s="207">
        <f t="shared" si="30"/>
        <v>2390</v>
      </c>
      <c r="AD18" s="207">
        <f t="shared" si="32"/>
        <v>239</v>
      </c>
      <c r="AE18" s="207">
        <f t="shared" si="11"/>
        <v>2390</v>
      </c>
      <c r="AF18" s="207">
        <f t="shared" si="33"/>
        <v>239</v>
      </c>
      <c r="AG18" s="207">
        <f t="shared" si="12"/>
        <v>2390</v>
      </c>
      <c r="AH18" s="207">
        <f t="shared" si="34"/>
        <v>239</v>
      </c>
      <c r="AI18" s="207">
        <f t="shared" si="13"/>
        <v>2390</v>
      </c>
      <c r="AJ18" s="207">
        <f t="shared" si="35"/>
        <v>239</v>
      </c>
      <c r="AK18" s="207">
        <f t="shared" si="14"/>
        <v>2390</v>
      </c>
      <c r="AL18" s="207">
        <f t="shared" si="36"/>
        <v>239</v>
      </c>
      <c r="AM18" s="207">
        <f t="shared" si="15"/>
        <v>2390</v>
      </c>
      <c r="AN18" s="35">
        <f t="shared" si="16"/>
        <v>0.85357142857142854</v>
      </c>
      <c r="AO18" s="36">
        <f t="shared" si="17"/>
        <v>16730</v>
      </c>
      <c r="AQ18" s="227">
        <f t="shared" si="37"/>
        <v>0.77056213069078816</v>
      </c>
      <c r="AR18" s="38">
        <f t="shared" si="41"/>
        <v>71639.161290322576</v>
      </c>
      <c r="AS18" s="201">
        <f t="shared" si="38"/>
        <v>0</v>
      </c>
      <c r="AT18" s="278"/>
      <c r="AU18" s="460"/>
      <c r="AV18" s="552">
        <f>IF(AT18&gt;0,AU18,AV17)</f>
        <v>0</v>
      </c>
      <c r="AW18" s="301">
        <f>-SUM('B5'!AI17)</f>
        <v>0</v>
      </c>
      <c r="AX18" s="301">
        <f t="shared" si="39"/>
        <v>0</v>
      </c>
      <c r="AY18" s="37">
        <f t="shared" si="40"/>
        <v>0</v>
      </c>
      <c r="AZ18" s="101">
        <f>ELEC!A15</f>
        <v>0</v>
      </c>
      <c r="BA18" s="119">
        <f>'General information '!D18</f>
        <v>0</v>
      </c>
      <c r="BB18" s="415">
        <f>SUM('General information '!E18)</f>
        <v>0</v>
      </c>
      <c r="BC18" s="3">
        <f t="shared" si="43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68">
        <f>ELEC!C16</f>
        <v>43965</v>
      </c>
      <c r="B19">
        <f>'B5'!B18</f>
        <v>232</v>
      </c>
      <c r="C19" s="207">
        <f t="shared" si="18"/>
        <v>4991.7419354838712</v>
      </c>
      <c r="D19">
        <f t="shared" si="19"/>
        <v>232</v>
      </c>
      <c r="E19" s="207">
        <f t="shared" si="18"/>
        <v>4991.7419354838712</v>
      </c>
      <c r="F19">
        <f t="shared" si="20"/>
        <v>232</v>
      </c>
      <c r="G19" s="207">
        <f t="shared" si="1"/>
        <v>4991.7419354838712</v>
      </c>
      <c r="H19" s="207">
        <f t="shared" si="21"/>
        <v>232</v>
      </c>
      <c r="I19" s="207">
        <f t="shared" si="2"/>
        <v>4991.7419354838712</v>
      </c>
      <c r="J19" s="207">
        <f t="shared" si="22"/>
        <v>232</v>
      </c>
      <c r="K19" s="207">
        <f t="shared" si="3"/>
        <v>4991.7419354838712</v>
      </c>
      <c r="L19" s="207">
        <f t="shared" si="23"/>
        <v>232</v>
      </c>
      <c r="M19" s="207">
        <f t="shared" si="4"/>
        <v>4991.7419354838712</v>
      </c>
      <c r="N19" s="207">
        <f t="shared" si="24"/>
        <v>232</v>
      </c>
      <c r="O19" s="207">
        <f t="shared" si="5"/>
        <v>4991.7419354838712</v>
      </c>
      <c r="P19" s="207">
        <f t="shared" si="25"/>
        <v>232</v>
      </c>
      <c r="Q19" s="207">
        <f t="shared" si="6"/>
        <v>4991.7419354838712</v>
      </c>
      <c r="R19" s="207">
        <f t="shared" si="26"/>
        <v>232</v>
      </c>
      <c r="S19" s="207">
        <f t="shared" si="7"/>
        <v>4991.7419354838712</v>
      </c>
      <c r="T19" s="207">
        <f t="shared" si="27"/>
        <v>232</v>
      </c>
      <c r="U19" s="207">
        <f t="shared" si="8"/>
        <v>4991.7419354838712</v>
      </c>
      <c r="V19" s="207">
        <f t="shared" si="28"/>
        <v>232</v>
      </c>
      <c r="W19" s="207">
        <f t="shared" si="9"/>
        <v>4991.7419354838712</v>
      </c>
      <c r="X19" s="35">
        <f t="shared" si="10"/>
        <v>0.74838709677419357</v>
      </c>
      <c r="Y19" s="36">
        <f t="shared" si="29"/>
        <v>54909.161290322583</v>
      </c>
      <c r="Z19" s="207">
        <f>'B5'!C18</f>
        <v>239</v>
      </c>
      <c r="AA19" s="207">
        <f t="shared" si="30"/>
        <v>2390</v>
      </c>
      <c r="AB19" s="207">
        <f t="shared" si="31"/>
        <v>239</v>
      </c>
      <c r="AC19" s="207">
        <f t="shared" si="30"/>
        <v>2390</v>
      </c>
      <c r="AD19" s="207">
        <f t="shared" si="32"/>
        <v>239</v>
      </c>
      <c r="AE19" s="207">
        <f t="shared" si="11"/>
        <v>2390</v>
      </c>
      <c r="AF19" s="207">
        <f t="shared" si="33"/>
        <v>239</v>
      </c>
      <c r="AG19" s="207">
        <f t="shared" si="12"/>
        <v>2390</v>
      </c>
      <c r="AH19" s="207">
        <f t="shared" si="34"/>
        <v>239</v>
      </c>
      <c r="AI19" s="207">
        <f t="shared" si="13"/>
        <v>2390</v>
      </c>
      <c r="AJ19" s="207">
        <f t="shared" si="35"/>
        <v>239</v>
      </c>
      <c r="AK19" s="207">
        <f t="shared" si="14"/>
        <v>2390</v>
      </c>
      <c r="AL19" s="207">
        <f t="shared" si="36"/>
        <v>239</v>
      </c>
      <c r="AM19" s="207">
        <f t="shared" si="15"/>
        <v>2390</v>
      </c>
      <c r="AN19" s="35">
        <f t="shared" si="16"/>
        <v>0.85357142857142854</v>
      </c>
      <c r="AO19" s="36">
        <f t="shared" si="17"/>
        <v>16730</v>
      </c>
      <c r="AQ19" s="227">
        <f t="shared" si="37"/>
        <v>0.77056213069078816</v>
      </c>
      <c r="AR19" s="38">
        <f t="shared" si="41"/>
        <v>71639.161290322576</v>
      </c>
      <c r="AS19" s="201">
        <f t="shared" si="38"/>
        <v>0</v>
      </c>
      <c r="AT19" s="278"/>
      <c r="AU19" s="504"/>
      <c r="AV19" s="552">
        <f t="shared" si="42"/>
        <v>0</v>
      </c>
      <c r="AW19" s="301">
        <f>-SUM('B5'!AI18)</f>
        <v>0</v>
      </c>
      <c r="AX19" s="301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415">
        <f>SUM('General information '!E19)</f>
        <v>0</v>
      </c>
      <c r="BC19" s="3">
        <f t="shared" si="43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68">
        <f>ELEC!C17</f>
        <v>43966</v>
      </c>
      <c r="B20">
        <f>'B5'!B19</f>
        <v>232</v>
      </c>
      <c r="C20" s="207">
        <f t="shared" si="18"/>
        <v>4991.7419354838712</v>
      </c>
      <c r="D20">
        <f t="shared" si="19"/>
        <v>232</v>
      </c>
      <c r="E20" s="207">
        <f t="shared" si="18"/>
        <v>4991.7419354838712</v>
      </c>
      <c r="F20">
        <f t="shared" si="20"/>
        <v>232</v>
      </c>
      <c r="G20" s="207">
        <f t="shared" si="1"/>
        <v>4991.7419354838712</v>
      </c>
      <c r="H20" s="207">
        <f t="shared" si="21"/>
        <v>232</v>
      </c>
      <c r="I20" s="207">
        <f t="shared" si="2"/>
        <v>4991.7419354838712</v>
      </c>
      <c r="J20" s="207">
        <f t="shared" si="22"/>
        <v>232</v>
      </c>
      <c r="K20" s="207">
        <f t="shared" si="3"/>
        <v>4991.7419354838712</v>
      </c>
      <c r="L20" s="207">
        <f t="shared" si="23"/>
        <v>232</v>
      </c>
      <c r="M20" s="207">
        <f t="shared" si="4"/>
        <v>4991.7419354838712</v>
      </c>
      <c r="N20" s="207">
        <f t="shared" si="24"/>
        <v>232</v>
      </c>
      <c r="O20" s="207">
        <f t="shared" si="5"/>
        <v>4991.7419354838712</v>
      </c>
      <c r="P20" s="207">
        <f t="shared" si="25"/>
        <v>232</v>
      </c>
      <c r="Q20" s="207">
        <f t="shared" si="6"/>
        <v>4991.7419354838712</v>
      </c>
      <c r="R20" s="207">
        <f t="shared" si="26"/>
        <v>232</v>
      </c>
      <c r="S20" s="207">
        <f t="shared" si="7"/>
        <v>4991.7419354838712</v>
      </c>
      <c r="T20" s="207">
        <f t="shared" si="27"/>
        <v>232</v>
      </c>
      <c r="U20" s="207">
        <f t="shared" si="8"/>
        <v>4991.7419354838712</v>
      </c>
      <c r="V20" s="207">
        <f t="shared" si="28"/>
        <v>232</v>
      </c>
      <c r="W20" s="207">
        <f t="shared" si="9"/>
        <v>4991.7419354838712</v>
      </c>
      <c r="X20" s="35">
        <f t="shared" si="10"/>
        <v>0.74838709677419357</v>
      </c>
      <c r="Y20" s="36">
        <f t="shared" si="29"/>
        <v>54909.161290322583</v>
      </c>
      <c r="Z20" s="207">
        <f>'B5'!C19</f>
        <v>239</v>
      </c>
      <c r="AA20" s="207">
        <f t="shared" si="30"/>
        <v>2390</v>
      </c>
      <c r="AB20" s="207">
        <f t="shared" si="31"/>
        <v>239</v>
      </c>
      <c r="AC20" s="207">
        <f t="shared" si="30"/>
        <v>2390</v>
      </c>
      <c r="AD20" s="207">
        <f t="shared" si="32"/>
        <v>239</v>
      </c>
      <c r="AE20" s="207">
        <f t="shared" si="11"/>
        <v>2390</v>
      </c>
      <c r="AF20" s="207">
        <f t="shared" si="33"/>
        <v>239</v>
      </c>
      <c r="AG20" s="207">
        <f t="shared" si="12"/>
        <v>2390</v>
      </c>
      <c r="AH20" s="207">
        <f t="shared" si="34"/>
        <v>239</v>
      </c>
      <c r="AI20" s="207">
        <f t="shared" si="13"/>
        <v>2390</v>
      </c>
      <c r="AJ20" s="207">
        <f t="shared" si="35"/>
        <v>239</v>
      </c>
      <c r="AK20" s="207">
        <f t="shared" si="14"/>
        <v>2390</v>
      </c>
      <c r="AL20" s="207">
        <f t="shared" si="36"/>
        <v>239</v>
      </c>
      <c r="AM20" s="207">
        <f t="shared" si="15"/>
        <v>2390</v>
      </c>
      <c r="AN20" s="35">
        <f t="shared" si="16"/>
        <v>0.85357142857142854</v>
      </c>
      <c r="AO20" s="36">
        <f t="shared" si="17"/>
        <v>16730</v>
      </c>
      <c r="AQ20" s="227">
        <f t="shared" si="37"/>
        <v>0.77056213069078816</v>
      </c>
      <c r="AR20" s="38">
        <f t="shared" si="41"/>
        <v>71639.161290322576</v>
      </c>
      <c r="AS20" s="201">
        <f t="shared" si="38"/>
        <v>0</v>
      </c>
      <c r="AT20" s="278"/>
      <c r="AU20" s="460"/>
      <c r="AV20" s="552">
        <f t="shared" si="42"/>
        <v>0</v>
      </c>
      <c r="AW20" s="301">
        <f>-SUM('B5'!AI19)</f>
        <v>0</v>
      </c>
      <c r="AX20" s="301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15">
        <f>SUM('General information '!E20)</f>
        <v>0</v>
      </c>
      <c r="BC20" s="3">
        <f t="shared" si="43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68">
        <f>ELEC!C18</f>
        <v>43967</v>
      </c>
      <c r="B21">
        <f>'B5'!B20</f>
        <v>232</v>
      </c>
      <c r="C21" s="207">
        <f t="shared" si="18"/>
        <v>4991.7419354838712</v>
      </c>
      <c r="D21">
        <f t="shared" si="19"/>
        <v>232</v>
      </c>
      <c r="E21" s="207">
        <f t="shared" si="18"/>
        <v>4991.7419354838712</v>
      </c>
      <c r="F21">
        <f t="shared" si="20"/>
        <v>232</v>
      </c>
      <c r="G21" s="207">
        <f t="shared" si="1"/>
        <v>4991.7419354838712</v>
      </c>
      <c r="H21" s="207">
        <f t="shared" si="21"/>
        <v>232</v>
      </c>
      <c r="I21" s="207">
        <f t="shared" si="2"/>
        <v>4991.7419354838712</v>
      </c>
      <c r="J21" s="207">
        <f t="shared" si="22"/>
        <v>232</v>
      </c>
      <c r="K21" s="207">
        <f t="shared" si="3"/>
        <v>4991.7419354838712</v>
      </c>
      <c r="L21" s="207">
        <f t="shared" si="23"/>
        <v>232</v>
      </c>
      <c r="M21" s="207">
        <f t="shared" si="4"/>
        <v>4991.7419354838712</v>
      </c>
      <c r="N21" s="207">
        <f t="shared" si="24"/>
        <v>232</v>
      </c>
      <c r="O21" s="207">
        <f t="shared" si="5"/>
        <v>4991.7419354838712</v>
      </c>
      <c r="P21" s="207">
        <f t="shared" si="25"/>
        <v>232</v>
      </c>
      <c r="Q21" s="207">
        <f t="shared" si="6"/>
        <v>4991.7419354838712</v>
      </c>
      <c r="R21" s="207">
        <f t="shared" si="26"/>
        <v>232</v>
      </c>
      <c r="S21" s="207">
        <f t="shared" si="7"/>
        <v>4991.7419354838712</v>
      </c>
      <c r="T21" s="207">
        <f t="shared" si="27"/>
        <v>232</v>
      </c>
      <c r="U21" s="207">
        <f t="shared" si="8"/>
        <v>4991.7419354838712</v>
      </c>
      <c r="V21" s="207">
        <f t="shared" si="28"/>
        <v>232</v>
      </c>
      <c r="W21" s="207">
        <f t="shared" si="9"/>
        <v>4991.7419354838712</v>
      </c>
      <c r="X21" s="35">
        <f t="shared" si="10"/>
        <v>0.74838709677419357</v>
      </c>
      <c r="Y21" s="36">
        <f t="shared" si="29"/>
        <v>54909.161290322583</v>
      </c>
      <c r="Z21" s="207">
        <f>'B5'!C20</f>
        <v>239</v>
      </c>
      <c r="AA21" s="207">
        <f t="shared" si="30"/>
        <v>2390</v>
      </c>
      <c r="AB21" s="207">
        <f t="shared" si="31"/>
        <v>239</v>
      </c>
      <c r="AC21" s="207">
        <f t="shared" si="30"/>
        <v>2390</v>
      </c>
      <c r="AD21" s="207">
        <f t="shared" si="32"/>
        <v>239</v>
      </c>
      <c r="AE21" s="207">
        <f t="shared" si="11"/>
        <v>2390</v>
      </c>
      <c r="AF21" s="207">
        <f t="shared" si="33"/>
        <v>239</v>
      </c>
      <c r="AG21" s="207">
        <f t="shared" si="12"/>
        <v>2390</v>
      </c>
      <c r="AH21" s="207">
        <f t="shared" si="34"/>
        <v>239</v>
      </c>
      <c r="AI21" s="207">
        <f t="shared" si="13"/>
        <v>2390</v>
      </c>
      <c r="AJ21" s="207">
        <f t="shared" si="35"/>
        <v>239</v>
      </c>
      <c r="AK21" s="207">
        <f t="shared" si="14"/>
        <v>2390</v>
      </c>
      <c r="AL21" s="207">
        <f t="shared" si="36"/>
        <v>239</v>
      </c>
      <c r="AM21" s="207">
        <f t="shared" si="15"/>
        <v>2390</v>
      </c>
      <c r="AN21" s="35">
        <f t="shared" si="16"/>
        <v>0.85357142857142854</v>
      </c>
      <c r="AO21" s="36">
        <f t="shared" si="17"/>
        <v>16730</v>
      </c>
      <c r="AQ21" s="227">
        <f t="shared" si="37"/>
        <v>0.77056213069078816</v>
      </c>
      <c r="AR21" s="38">
        <f t="shared" si="41"/>
        <v>71639.161290322576</v>
      </c>
      <c r="AS21" s="201">
        <f>SUM(AR21-AR20-AT21)</f>
        <v>0</v>
      </c>
      <c r="AT21" s="278"/>
      <c r="AU21" s="460"/>
      <c r="AV21" s="552">
        <f t="shared" si="42"/>
        <v>0</v>
      </c>
      <c r="AW21" s="301">
        <f>-SUM('B5'!AI20)</f>
        <v>0</v>
      </c>
      <c r="AX21" s="301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15">
        <f>SUM('General information '!E21)</f>
        <v>0</v>
      </c>
      <c r="BC21" s="3">
        <f t="shared" si="43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68">
        <f>ELEC!C19</f>
        <v>43968</v>
      </c>
      <c r="B22">
        <f>'B5'!B21</f>
        <v>232</v>
      </c>
      <c r="C22" s="207">
        <f t="shared" si="18"/>
        <v>4991.7419354838712</v>
      </c>
      <c r="D22">
        <f t="shared" si="19"/>
        <v>232</v>
      </c>
      <c r="E22" s="207">
        <f t="shared" si="18"/>
        <v>4991.7419354838712</v>
      </c>
      <c r="F22">
        <f t="shared" si="20"/>
        <v>232</v>
      </c>
      <c r="G22" s="207">
        <f t="shared" si="1"/>
        <v>4991.7419354838712</v>
      </c>
      <c r="H22" s="207">
        <f t="shared" si="21"/>
        <v>232</v>
      </c>
      <c r="I22" s="207">
        <f t="shared" si="2"/>
        <v>4991.7419354838712</v>
      </c>
      <c r="J22" s="207">
        <f t="shared" si="22"/>
        <v>232</v>
      </c>
      <c r="K22" s="207">
        <f t="shared" si="3"/>
        <v>4991.7419354838712</v>
      </c>
      <c r="L22" s="207">
        <f t="shared" si="23"/>
        <v>232</v>
      </c>
      <c r="M22" s="207">
        <f t="shared" si="4"/>
        <v>4991.7419354838712</v>
      </c>
      <c r="N22" s="207">
        <f t="shared" si="24"/>
        <v>232</v>
      </c>
      <c r="O22" s="207">
        <f t="shared" si="5"/>
        <v>4991.7419354838712</v>
      </c>
      <c r="P22" s="207">
        <f t="shared" si="25"/>
        <v>232</v>
      </c>
      <c r="Q22" s="207">
        <f t="shared" si="6"/>
        <v>4991.7419354838712</v>
      </c>
      <c r="R22" s="207">
        <f t="shared" si="26"/>
        <v>232</v>
      </c>
      <c r="S22" s="207">
        <f t="shared" si="7"/>
        <v>4991.7419354838712</v>
      </c>
      <c r="T22" s="207">
        <f t="shared" si="27"/>
        <v>232</v>
      </c>
      <c r="U22" s="207">
        <f t="shared" si="8"/>
        <v>4991.7419354838712</v>
      </c>
      <c r="V22" s="207">
        <f t="shared" si="28"/>
        <v>232</v>
      </c>
      <c r="W22" s="207">
        <f t="shared" si="9"/>
        <v>4991.7419354838712</v>
      </c>
      <c r="X22" s="35">
        <f t="shared" si="10"/>
        <v>0.74838709677419357</v>
      </c>
      <c r="Y22" s="36">
        <f t="shared" si="29"/>
        <v>54909.161290322583</v>
      </c>
      <c r="Z22" s="207">
        <f>'B5'!C21</f>
        <v>239</v>
      </c>
      <c r="AA22" s="207">
        <f t="shared" si="30"/>
        <v>2390</v>
      </c>
      <c r="AB22" s="207">
        <f t="shared" si="31"/>
        <v>239</v>
      </c>
      <c r="AC22" s="207">
        <f t="shared" si="30"/>
        <v>2390</v>
      </c>
      <c r="AD22" s="207">
        <f t="shared" si="32"/>
        <v>239</v>
      </c>
      <c r="AE22" s="207">
        <f t="shared" si="11"/>
        <v>2390</v>
      </c>
      <c r="AF22" s="207">
        <f t="shared" si="33"/>
        <v>239</v>
      </c>
      <c r="AG22" s="207">
        <f t="shared" si="12"/>
        <v>2390</v>
      </c>
      <c r="AH22" s="207">
        <f t="shared" si="34"/>
        <v>239</v>
      </c>
      <c r="AI22" s="207">
        <f t="shared" si="13"/>
        <v>2390</v>
      </c>
      <c r="AJ22" s="207">
        <f t="shared" si="35"/>
        <v>239</v>
      </c>
      <c r="AK22" s="207">
        <f t="shared" si="14"/>
        <v>2390</v>
      </c>
      <c r="AL22" s="207">
        <f t="shared" si="36"/>
        <v>239</v>
      </c>
      <c r="AM22" s="207">
        <f t="shared" si="15"/>
        <v>2390</v>
      </c>
      <c r="AN22" s="35">
        <f t="shared" si="16"/>
        <v>0.85357142857142854</v>
      </c>
      <c r="AO22" s="36">
        <f t="shared" si="17"/>
        <v>16730</v>
      </c>
      <c r="AQ22" s="227">
        <f t="shared" si="37"/>
        <v>0.77056213069078816</v>
      </c>
      <c r="AR22" s="38">
        <f t="shared" si="41"/>
        <v>71639.161290322576</v>
      </c>
      <c r="AS22" s="201">
        <f t="shared" si="38"/>
        <v>0</v>
      </c>
      <c r="AT22" s="278"/>
      <c r="AU22" s="460"/>
      <c r="AV22" s="552">
        <f t="shared" si="42"/>
        <v>0</v>
      </c>
      <c r="AW22" s="301">
        <f>-SUM('B5'!AI21)</f>
        <v>0</v>
      </c>
      <c r="AX22" s="301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15">
        <f>SUM('General information '!E22)</f>
        <v>0</v>
      </c>
      <c r="BC22" s="3">
        <f t="shared" si="43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68">
        <f>ELEC!C20</f>
        <v>43969</v>
      </c>
      <c r="B23">
        <f>'B5'!B22</f>
        <v>232</v>
      </c>
      <c r="C23" s="207">
        <f t="shared" si="18"/>
        <v>4991.7419354838712</v>
      </c>
      <c r="D23">
        <f t="shared" si="19"/>
        <v>232</v>
      </c>
      <c r="E23" s="207">
        <f t="shared" si="18"/>
        <v>4991.7419354838712</v>
      </c>
      <c r="F23">
        <f t="shared" si="20"/>
        <v>232</v>
      </c>
      <c r="G23" s="207">
        <f t="shared" si="1"/>
        <v>4991.7419354838712</v>
      </c>
      <c r="H23" s="207">
        <f t="shared" si="21"/>
        <v>232</v>
      </c>
      <c r="I23" s="207">
        <f t="shared" si="2"/>
        <v>4991.7419354838712</v>
      </c>
      <c r="J23" s="207">
        <f t="shared" si="22"/>
        <v>232</v>
      </c>
      <c r="K23" s="207">
        <f t="shared" si="3"/>
        <v>4991.7419354838712</v>
      </c>
      <c r="L23" s="207">
        <f t="shared" si="23"/>
        <v>232</v>
      </c>
      <c r="M23" s="207">
        <f t="shared" si="4"/>
        <v>4991.7419354838712</v>
      </c>
      <c r="N23" s="207">
        <f t="shared" si="24"/>
        <v>232</v>
      </c>
      <c r="O23" s="207">
        <f t="shared" si="5"/>
        <v>4991.7419354838712</v>
      </c>
      <c r="P23" s="207">
        <f t="shared" si="25"/>
        <v>232</v>
      </c>
      <c r="Q23" s="207">
        <f t="shared" si="6"/>
        <v>4991.7419354838712</v>
      </c>
      <c r="R23" s="207">
        <f t="shared" si="26"/>
        <v>232</v>
      </c>
      <c r="S23" s="207">
        <f t="shared" si="7"/>
        <v>4991.7419354838712</v>
      </c>
      <c r="T23" s="207">
        <f t="shared" si="27"/>
        <v>232</v>
      </c>
      <c r="U23" s="207">
        <f t="shared" si="8"/>
        <v>4991.7419354838712</v>
      </c>
      <c r="V23" s="207">
        <f t="shared" si="28"/>
        <v>232</v>
      </c>
      <c r="W23" s="207">
        <f t="shared" si="9"/>
        <v>4991.7419354838712</v>
      </c>
      <c r="X23" s="35">
        <f t="shared" si="10"/>
        <v>0.74838709677419357</v>
      </c>
      <c r="Y23" s="36">
        <f t="shared" si="29"/>
        <v>54909.161290322583</v>
      </c>
      <c r="Z23" s="207">
        <f>'B5'!C22</f>
        <v>239</v>
      </c>
      <c r="AA23" s="207">
        <f t="shared" si="30"/>
        <v>2390</v>
      </c>
      <c r="AB23" s="207">
        <f t="shared" si="31"/>
        <v>239</v>
      </c>
      <c r="AC23" s="207">
        <f t="shared" si="30"/>
        <v>2390</v>
      </c>
      <c r="AD23" s="207">
        <f t="shared" si="32"/>
        <v>239</v>
      </c>
      <c r="AE23" s="207">
        <f t="shared" si="11"/>
        <v>2390</v>
      </c>
      <c r="AF23" s="207">
        <f t="shared" si="33"/>
        <v>239</v>
      </c>
      <c r="AG23" s="207">
        <f t="shared" si="12"/>
        <v>2390</v>
      </c>
      <c r="AH23" s="207">
        <f t="shared" si="34"/>
        <v>239</v>
      </c>
      <c r="AI23" s="207">
        <f t="shared" si="13"/>
        <v>2390</v>
      </c>
      <c r="AJ23" s="207">
        <f t="shared" si="35"/>
        <v>239</v>
      </c>
      <c r="AK23" s="207">
        <f t="shared" si="14"/>
        <v>2390</v>
      </c>
      <c r="AL23" s="207">
        <f t="shared" si="36"/>
        <v>239</v>
      </c>
      <c r="AM23" s="207">
        <f t="shared" si="15"/>
        <v>2390</v>
      </c>
      <c r="AN23" s="35">
        <f t="shared" si="16"/>
        <v>0.85357142857142854</v>
      </c>
      <c r="AO23" s="36">
        <f t="shared" si="17"/>
        <v>16730</v>
      </c>
      <c r="AQ23" s="227">
        <f t="shared" si="37"/>
        <v>0.77056213069078816</v>
      </c>
      <c r="AR23" s="38">
        <f t="shared" si="41"/>
        <v>71639.161290322576</v>
      </c>
      <c r="AS23" s="201">
        <f t="shared" si="38"/>
        <v>0</v>
      </c>
      <c r="AT23" s="278"/>
      <c r="AU23" s="460"/>
      <c r="AV23" s="552">
        <f t="shared" si="42"/>
        <v>0</v>
      </c>
      <c r="AW23" s="301">
        <f>-SUM('B5'!AI22)</f>
        <v>0</v>
      </c>
      <c r="AX23" s="301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15">
        <f>SUM('General information '!E23)</f>
        <v>0</v>
      </c>
      <c r="BC23" s="3">
        <f t="shared" si="43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8">
        <f>ELEC!C21</f>
        <v>43970</v>
      </c>
      <c r="B24">
        <f>'B5'!B23</f>
        <v>232</v>
      </c>
      <c r="C24" s="207">
        <f t="shared" si="18"/>
        <v>4991.7419354838712</v>
      </c>
      <c r="D24">
        <f t="shared" si="19"/>
        <v>232</v>
      </c>
      <c r="E24" s="207">
        <f t="shared" si="18"/>
        <v>4991.7419354838712</v>
      </c>
      <c r="F24">
        <f t="shared" si="20"/>
        <v>232</v>
      </c>
      <c r="G24" s="207">
        <f t="shared" si="1"/>
        <v>4991.7419354838712</v>
      </c>
      <c r="H24" s="207">
        <f t="shared" si="21"/>
        <v>232</v>
      </c>
      <c r="I24" s="207">
        <f t="shared" si="2"/>
        <v>4991.7419354838712</v>
      </c>
      <c r="J24" s="207">
        <f t="shared" si="22"/>
        <v>232</v>
      </c>
      <c r="K24" s="207">
        <f t="shared" si="3"/>
        <v>4991.7419354838712</v>
      </c>
      <c r="L24" s="207">
        <f t="shared" si="23"/>
        <v>232</v>
      </c>
      <c r="M24" s="207">
        <f t="shared" si="4"/>
        <v>4991.7419354838712</v>
      </c>
      <c r="N24" s="207">
        <f t="shared" si="24"/>
        <v>232</v>
      </c>
      <c r="O24" s="207">
        <f t="shared" si="5"/>
        <v>4991.7419354838712</v>
      </c>
      <c r="P24" s="207">
        <f t="shared" si="25"/>
        <v>232</v>
      </c>
      <c r="Q24" s="207">
        <f t="shared" si="6"/>
        <v>4991.7419354838712</v>
      </c>
      <c r="R24" s="207">
        <f t="shared" si="26"/>
        <v>232</v>
      </c>
      <c r="S24" s="207">
        <f t="shared" si="7"/>
        <v>4991.7419354838712</v>
      </c>
      <c r="T24" s="207">
        <f t="shared" si="27"/>
        <v>232</v>
      </c>
      <c r="U24" s="207">
        <f t="shared" si="8"/>
        <v>4991.7419354838712</v>
      </c>
      <c r="V24" s="207">
        <f t="shared" si="28"/>
        <v>232</v>
      </c>
      <c r="W24" s="207">
        <f t="shared" si="9"/>
        <v>4991.7419354838712</v>
      </c>
      <c r="X24" s="35">
        <f t="shared" si="10"/>
        <v>0.74838709677419357</v>
      </c>
      <c r="Y24" s="36">
        <f t="shared" si="29"/>
        <v>54909.161290322583</v>
      </c>
      <c r="Z24" s="207">
        <f>'B5'!C23</f>
        <v>239</v>
      </c>
      <c r="AA24" s="207">
        <f t="shared" si="30"/>
        <v>2390</v>
      </c>
      <c r="AB24" s="207">
        <f t="shared" si="31"/>
        <v>239</v>
      </c>
      <c r="AC24" s="207">
        <f t="shared" si="30"/>
        <v>2390</v>
      </c>
      <c r="AD24" s="207">
        <f t="shared" si="32"/>
        <v>239</v>
      </c>
      <c r="AE24" s="207">
        <f t="shared" si="11"/>
        <v>2390</v>
      </c>
      <c r="AF24" s="207">
        <f t="shared" si="33"/>
        <v>239</v>
      </c>
      <c r="AG24" s="207">
        <f t="shared" si="12"/>
        <v>2390</v>
      </c>
      <c r="AH24" s="207">
        <f t="shared" si="34"/>
        <v>239</v>
      </c>
      <c r="AI24" s="207">
        <f t="shared" si="13"/>
        <v>2390</v>
      </c>
      <c r="AJ24" s="207">
        <f t="shared" si="35"/>
        <v>239</v>
      </c>
      <c r="AK24" s="207">
        <f t="shared" si="14"/>
        <v>2390</v>
      </c>
      <c r="AL24" s="207">
        <f t="shared" si="36"/>
        <v>239</v>
      </c>
      <c r="AM24" s="207">
        <f t="shared" si="15"/>
        <v>2390</v>
      </c>
      <c r="AN24" s="35">
        <f t="shared" si="16"/>
        <v>0.85357142857142854</v>
      </c>
      <c r="AO24" s="36">
        <f t="shared" si="17"/>
        <v>16730</v>
      </c>
      <c r="AQ24" s="227">
        <f t="shared" si="37"/>
        <v>0.77056213069078816</v>
      </c>
      <c r="AR24" s="38">
        <f t="shared" si="41"/>
        <v>71639.161290322576</v>
      </c>
      <c r="AS24" s="201">
        <f t="shared" si="38"/>
        <v>0</v>
      </c>
      <c r="AT24" s="278"/>
      <c r="AU24" s="460"/>
      <c r="AV24" s="552">
        <f t="shared" si="42"/>
        <v>0</v>
      </c>
      <c r="AW24" s="301">
        <f>-SUM('B5'!AI23)</f>
        <v>0</v>
      </c>
      <c r="AX24" s="301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5">
        <f>SUM('General information '!E24)</f>
        <v>0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8">
        <f>ELEC!C22</f>
        <v>43971</v>
      </c>
      <c r="B25">
        <f>'B5'!B24</f>
        <v>232</v>
      </c>
      <c r="C25" s="207">
        <f t="shared" si="18"/>
        <v>4991.7419354838712</v>
      </c>
      <c r="D25">
        <f t="shared" si="19"/>
        <v>232</v>
      </c>
      <c r="E25" s="207">
        <f t="shared" si="18"/>
        <v>4991.7419354838712</v>
      </c>
      <c r="F25">
        <f t="shared" si="20"/>
        <v>232</v>
      </c>
      <c r="G25" s="207">
        <f t="shared" si="1"/>
        <v>4991.7419354838712</v>
      </c>
      <c r="H25" s="207">
        <f t="shared" si="21"/>
        <v>232</v>
      </c>
      <c r="I25" s="207">
        <f t="shared" si="2"/>
        <v>4991.7419354838712</v>
      </c>
      <c r="J25" s="207">
        <f t="shared" si="22"/>
        <v>232</v>
      </c>
      <c r="K25" s="207">
        <f t="shared" si="3"/>
        <v>4991.7419354838712</v>
      </c>
      <c r="L25" s="207">
        <f t="shared" si="23"/>
        <v>232</v>
      </c>
      <c r="M25" s="207">
        <f t="shared" si="4"/>
        <v>4991.7419354838712</v>
      </c>
      <c r="N25" s="207">
        <f t="shared" si="24"/>
        <v>232</v>
      </c>
      <c r="O25" s="207">
        <f t="shared" si="5"/>
        <v>4991.7419354838712</v>
      </c>
      <c r="P25" s="207">
        <f t="shared" si="25"/>
        <v>232</v>
      </c>
      <c r="Q25" s="207">
        <f t="shared" si="6"/>
        <v>4991.7419354838712</v>
      </c>
      <c r="R25" s="207">
        <f t="shared" si="26"/>
        <v>232</v>
      </c>
      <c r="S25" s="207">
        <f t="shared" si="7"/>
        <v>4991.7419354838712</v>
      </c>
      <c r="T25" s="207">
        <f t="shared" si="27"/>
        <v>232</v>
      </c>
      <c r="U25" s="207">
        <f t="shared" si="8"/>
        <v>4991.7419354838712</v>
      </c>
      <c r="V25" s="207">
        <f t="shared" si="28"/>
        <v>232</v>
      </c>
      <c r="W25" s="207">
        <f t="shared" si="9"/>
        <v>4991.7419354838712</v>
      </c>
      <c r="X25" s="35">
        <f t="shared" si="10"/>
        <v>0.74838709677419357</v>
      </c>
      <c r="Y25" s="36">
        <f t="shared" si="29"/>
        <v>54909.161290322583</v>
      </c>
      <c r="Z25" s="207">
        <f>'B5'!C24</f>
        <v>239</v>
      </c>
      <c r="AA25" s="207">
        <f t="shared" si="30"/>
        <v>2390</v>
      </c>
      <c r="AB25" s="207">
        <f t="shared" si="31"/>
        <v>239</v>
      </c>
      <c r="AC25" s="207">
        <f t="shared" si="30"/>
        <v>2390</v>
      </c>
      <c r="AD25" s="207">
        <f t="shared" si="32"/>
        <v>239</v>
      </c>
      <c r="AE25" s="207">
        <f t="shared" si="11"/>
        <v>2390</v>
      </c>
      <c r="AF25" s="207">
        <f t="shared" si="33"/>
        <v>239</v>
      </c>
      <c r="AG25" s="207">
        <f t="shared" si="12"/>
        <v>2390</v>
      </c>
      <c r="AH25" s="207">
        <f t="shared" si="34"/>
        <v>239</v>
      </c>
      <c r="AI25" s="207">
        <f t="shared" si="13"/>
        <v>2390</v>
      </c>
      <c r="AJ25" s="207">
        <f t="shared" si="35"/>
        <v>239</v>
      </c>
      <c r="AK25" s="207">
        <f t="shared" si="14"/>
        <v>2390</v>
      </c>
      <c r="AL25" s="207">
        <f t="shared" si="36"/>
        <v>239</v>
      </c>
      <c r="AM25" s="207">
        <f t="shared" si="15"/>
        <v>2390</v>
      </c>
      <c r="AN25" s="35">
        <f t="shared" si="16"/>
        <v>0.85357142857142854</v>
      </c>
      <c r="AO25" s="36">
        <f t="shared" si="17"/>
        <v>16730</v>
      </c>
      <c r="AQ25" s="227">
        <f t="shared" si="37"/>
        <v>0.77056213069078816</v>
      </c>
      <c r="AR25" s="38">
        <f t="shared" si="41"/>
        <v>71639.161290322576</v>
      </c>
      <c r="AS25" s="201">
        <f t="shared" si="38"/>
        <v>0</v>
      </c>
      <c r="AT25" s="278"/>
      <c r="AU25" s="460"/>
      <c r="AV25" s="552">
        <f t="shared" si="42"/>
        <v>0</v>
      </c>
      <c r="AW25" s="301">
        <f>-SUM('B5'!AI24)</f>
        <v>0</v>
      </c>
      <c r="AX25" s="301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5">
        <f>SUM('General information '!E25)</f>
        <v>0</v>
      </c>
      <c r="BC25" s="3">
        <f t="shared" si="43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8">
        <f>ELEC!C23</f>
        <v>43972</v>
      </c>
      <c r="B26">
        <f>'B5'!B25</f>
        <v>232</v>
      </c>
      <c r="C26" s="207">
        <f t="shared" si="18"/>
        <v>4991.7419354838712</v>
      </c>
      <c r="D26">
        <f t="shared" si="19"/>
        <v>232</v>
      </c>
      <c r="E26" s="207">
        <f t="shared" si="18"/>
        <v>4991.7419354838712</v>
      </c>
      <c r="F26">
        <f t="shared" si="20"/>
        <v>232</v>
      </c>
      <c r="G26" s="207">
        <f t="shared" si="1"/>
        <v>4991.7419354838712</v>
      </c>
      <c r="H26" s="207">
        <f t="shared" si="21"/>
        <v>232</v>
      </c>
      <c r="I26" s="207">
        <f t="shared" si="2"/>
        <v>4991.7419354838712</v>
      </c>
      <c r="J26" s="207">
        <f t="shared" si="22"/>
        <v>232</v>
      </c>
      <c r="K26" s="207">
        <f t="shared" si="3"/>
        <v>4991.7419354838712</v>
      </c>
      <c r="L26" s="207">
        <f t="shared" si="23"/>
        <v>232</v>
      </c>
      <c r="M26" s="207">
        <f t="shared" si="4"/>
        <v>4991.7419354838712</v>
      </c>
      <c r="N26" s="207">
        <f t="shared" si="24"/>
        <v>232</v>
      </c>
      <c r="O26" s="207">
        <f t="shared" si="5"/>
        <v>4991.7419354838712</v>
      </c>
      <c r="P26" s="207">
        <f t="shared" si="25"/>
        <v>232</v>
      </c>
      <c r="Q26" s="207">
        <f t="shared" si="6"/>
        <v>4991.7419354838712</v>
      </c>
      <c r="R26" s="207">
        <f t="shared" si="26"/>
        <v>232</v>
      </c>
      <c r="S26" s="207">
        <f t="shared" si="7"/>
        <v>4991.7419354838712</v>
      </c>
      <c r="T26" s="207">
        <f t="shared" si="27"/>
        <v>232</v>
      </c>
      <c r="U26" s="207">
        <f t="shared" si="8"/>
        <v>4991.7419354838712</v>
      </c>
      <c r="V26" s="207">
        <f t="shared" si="28"/>
        <v>232</v>
      </c>
      <c r="W26" s="207">
        <f t="shared" si="9"/>
        <v>4991.7419354838712</v>
      </c>
      <c r="X26" s="35">
        <f t="shared" si="10"/>
        <v>0.74838709677419357</v>
      </c>
      <c r="Y26" s="36">
        <f t="shared" si="29"/>
        <v>54909.161290322583</v>
      </c>
      <c r="Z26" s="207">
        <f>'B5'!C25</f>
        <v>239</v>
      </c>
      <c r="AA26" s="207">
        <f t="shared" si="30"/>
        <v>2390</v>
      </c>
      <c r="AB26" s="207">
        <f t="shared" si="31"/>
        <v>239</v>
      </c>
      <c r="AC26" s="207">
        <f t="shared" si="30"/>
        <v>2390</v>
      </c>
      <c r="AD26" s="207">
        <f t="shared" si="32"/>
        <v>239</v>
      </c>
      <c r="AE26" s="207">
        <f t="shared" si="11"/>
        <v>2390</v>
      </c>
      <c r="AF26" s="207">
        <f t="shared" si="33"/>
        <v>239</v>
      </c>
      <c r="AG26" s="207">
        <f t="shared" si="12"/>
        <v>2390</v>
      </c>
      <c r="AH26" s="207">
        <f t="shared" si="34"/>
        <v>239</v>
      </c>
      <c r="AI26" s="207">
        <f t="shared" si="13"/>
        <v>2390</v>
      </c>
      <c r="AJ26" s="207">
        <f t="shared" si="35"/>
        <v>239</v>
      </c>
      <c r="AK26" s="207">
        <f t="shared" si="14"/>
        <v>2390</v>
      </c>
      <c r="AL26" s="207">
        <f t="shared" si="36"/>
        <v>239</v>
      </c>
      <c r="AM26" s="207">
        <f t="shared" si="15"/>
        <v>2390</v>
      </c>
      <c r="AN26" s="35">
        <f t="shared" si="16"/>
        <v>0.85357142857142854</v>
      </c>
      <c r="AO26" s="36">
        <f t="shared" si="17"/>
        <v>16730</v>
      </c>
      <c r="AQ26" s="227">
        <f t="shared" si="37"/>
        <v>0.77056213069078816</v>
      </c>
      <c r="AR26" s="38">
        <f t="shared" si="41"/>
        <v>71639.161290322576</v>
      </c>
      <c r="AS26" s="201">
        <f t="shared" si="38"/>
        <v>0</v>
      </c>
      <c r="AT26" s="278"/>
      <c r="AU26" s="460"/>
      <c r="AV26" s="552">
        <f t="shared" si="42"/>
        <v>0</v>
      </c>
      <c r="AW26" s="301">
        <f>-SUM('B5'!AI25)</f>
        <v>0</v>
      </c>
      <c r="AX26" s="301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3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8">
        <f>ELEC!C24</f>
        <v>43973</v>
      </c>
      <c r="B27">
        <f>'B5'!B26</f>
        <v>232</v>
      </c>
      <c r="C27" s="207">
        <f t="shared" si="18"/>
        <v>4991.7419354838712</v>
      </c>
      <c r="D27">
        <f t="shared" si="19"/>
        <v>232</v>
      </c>
      <c r="E27" s="207">
        <f t="shared" si="18"/>
        <v>4991.7419354838712</v>
      </c>
      <c r="F27">
        <f t="shared" si="20"/>
        <v>232</v>
      </c>
      <c r="G27" s="207">
        <f t="shared" si="1"/>
        <v>4991.7419354838712</v>
      </c>
      <c r="H27" s="207">
        <f t="shared" si="21"/>
        <v>232</v>
      </c>
      <c r="I27" s="207">
        <f t="shared" si="2"/>
        <v>4991.7419354838712</v>
      </c>
      <c r="J27" s="207">
        <f t="shared" si="22"/>
        <v>232</v>
      </c>
      <c r="K27" s="207">
        <f t="shared" si="3"/>
        <v>4991.7419354838712</v>
      </c>
      <c r="L27" s="207">
        <f t="shared" si="23"/>
        <v>232</v>
      </c>
      <c r="M27" s="207">
        <f t="shared" si="4"/>
        <v>4991.7419354838712</v>
      </c>
      <c r="N27" s="207">
        <f t="shared" si="24"/>
        <v>232</v>
      </c>
      <c r="O27" s="207">
        <f t="shared" si="5"/>
        <v>4991.7419354838712</v>
      </c>
      <c r="P27" s="207">
        <f t="shared" si="25"/>
        <v>232</v>
      </c>
      <c r="Q27" s="207">
        <f t="shared" si="6"/>
        <v>4991.7419354838712</v>
      </c>
      <c r="R27" s="207">
        <f t="shared" si="26"/>
        <v>232</v>
      </c>
      <c r="S27" s="207">
        <f t="shared" si="7"/>
        <v>4991.7419354838712</v>
      </c>
      <c r="T27" s="207">
        <f t="shared" si="27"/>
        <v>232</v>
      </c>
      <c r="U27" s="207">
        <f t="shared" si="8"/>
        <v>4991.7419354838712</v>
      </c>
      <c r="V27" s="207">
        <f t="shared" si="28"/>
        <v>232</v>
      </c>
      <c r="W27" s="207">
        <f t="shared" si="9"/>
        <v>4991.7419354838712</v>
      </c>
      <c r="X27" s="35">
        <f t="shared" si="10"/>
        <v>0.74838709677419357</v>
      </c>
      <c r="Y27" s="36">
        <f t="shared" si="29"/>
        <v>54909.161290322583</v>
      </c>
      <c r="Z27" s="207">
        <f>'B5'!C26</f>
        <v>239</v>
      </c>
      <c r="AA27" s="207">
        <f t="shared" si="30"/>
        <v>2390</v>
      </c>
      <c r="AB27" s="207">
        <f t="shared" si="31"/>
        <v>239</v>
      </c>
      <c r="AC27" s="207">
        <f t="shared" si="30"/>
        <v>2390</v>
      </c>
      <c r="AD27" s="207">
        <f t="shared" si="32"/>
        <v>239</v>
      </c>
      <c r="AE27" s="207">
        <f t="shared" si="11"/>
        <v>2390</v>
      </c>
      <c r="AF27" s="207">
        <f t="shared" si="33"/>
        <v>239</v>
      </c>
      <c r="AG27" s="207">
        <f t="shared" si="12"/>
        <v>2390</v>
      </c>
      <c r="AH27" s="207">
        <f t="shared" si="34"/>
        <v>239</v>
      </c>
      <c r="AI27" s="207">
        <f t="shared" si="13"/>
        <v>2390</v>
      </c>
      <c r="AJ27" s="207">
        <f t="shared" si="35"/>
        <v>239</v>
      </c>
      <c r="AK27" s="207">
        <f t="shared" si="14"/>
        <v>2390</v>
      </c>
      <c r="AL27" s="207">
        <f t="shared" si="36"/>
        <v>239</v>
      </c>
      <c r="AM27" s="207">
        <f t="shared" si="15"/>
        <v>2390</v>
      </c>
      <c r="AN27" s="35">
        <f t="shared" si="16"/>
        <v>0.85357142857142854</v>
      </c>
      <c r="AO27" s="36">
        <f t="shared" si="17"/>
        <v>16730</v>
      </c>
      <c r="AQ27" s="227">
        <f t="shared" si="37"/>
        <v>0.77056213069078816</v>
      </c>
      <c r="AR27" s="38">
        <f t="shared" si="41"/>
        <v>71639.161290322576</v>
      </c>
      <c r="AS27" s="201">
        <f t="shared" si="38"/>
        <v>0</v>
      </c>
      <c r="AT27" s="278"/>
      <c r="AU27" s="460"/>
      <c r="AV27" s="552">
        <f t="shared" si="42"/>
        <v>0</v>
      </c>
      <c r="AW27" s="301">
        <f>-SUM('B5'!AI26)</f>
        <v>0</v>
      </c>
      <c r="AX27" s="301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3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8">
        <f>ELEC!C25</f>
        <v>43974</v>
      </c>
      <c r="B28">
        <f>'B5'!B27</f>
        <v>232</v>
      </c>
      <c r="C28" s="207">
        <f t="shared" si="18"/>
        <v>4991.7419354838712</v>
      </c>
      <c r="D28">
        <f t="shared" si="19"/>
        <v>232</v>
      </c>
      <c r="E28" s="207">
        <f t="shared" si="18"/>
        <v>4991.7419354838712</v>
      </c>
      <c r="F28">
        <f t="shared" si="20"/>
        <v>232</v>
      </c>
      <c r="G28" s="207">
        <f t="shared" si="1"/>
        <v>4991.7419354838712</v>
      </c>
      <c r="H28" s="207">
        <f t="shared" si="21"/>
        <v>232</v>
      </c>
      <c r="I28" s="207">
        <f t="shared" si="2"/>
        <v>4991.7419354838712</v>
      </c>
      <c r="J28" s="207">
        <f t="shared" si="22"/>
        <v>232</v>
      </c>
      <c r="K28" s="207">
        <f t="shared" si="3"/>
        <v>4991.7419354838712</v>
      </c>
      <c r="L28" s="207">
        <f t="shared" si="23"/>
        <v>232</v>
      </c>
      <c r="M28" s="207">
        <f t="shared" si="4"/>
        <v>4991.7419354838712</v>
      </c>
      <c r="N28" s="207">
        <f t="shared" si="24"/>
        <v>232</v>
      </c>
      <c r="O28" s="207">
        <f t="shared" si="5"/>
        <v>4991.7419354838712</v>
      </c>
      <c r="P28" s="207">
        <f t="shared" si="25"/>
        <v>232</v>
      </c>
      <c r="Q28" s="207">
        <f t="shared" si="6"/>
        <v>4991.7419354838712</v>
      </c>
      <c r="R28" s="207">
        <f t="shared" si="26"/>
        <v>232</v>
      </c>
      <c r="S28" s="207">
        <f t="shared" si="7"/>
        <v>4991.7419354838712</v>
      </c>
      <c r="T28" s="207">
        <f t="shared" si="27"/>
        <v>232</v>
      </c>
      <c r="U28" s="207">
        <f t="shared" si="8"/>
        <v>4991.7419354838712</v>
      </c>
      <c r="V28" s="207">
        <f t="shared" si="28"/>
        <v>232</v>
      </c>
      <c r="W28" s="207">
        <f t="shared" si="9"/>
        <v>4991.7419354838712</v>
      </c>
      <c r="X28" s="35">
        <f t="shared" si="10"/>
        <v>0.74838709677419357</v>
      </c>
      <c r="Y28" s="36">
        <f t="shared" si="29"/>
        <v>54909.161290322583</v>
      </c>
      <c r="Z28" s="207">
        <f>'B5'!C27</f>
        <v>239</v>
      </c>
      <c r="AA28" s="207">
        <f t="shared" si="30"/>
        <v>2390</v>
      </c>
      <c r="AB28" s="207">
        <f t="shared" si="31"/>
        <v>239</v>
      </c>
      <c r="AC28" s="207">
        <f t="shared" si="30"/>
        <v>2390</v>
      </c>
      <c r="AD28" s="207">
        <f t="shared" si="32"/>
        <v>239</v>
      </c>
      <c r="AE28" s="207">
        <f t="shared" si="11"/>
        <v>2390</v>
      </c>
      <c r="AF28" s="207">
        <f t="shared" si="33"/>
        <v>239</v>
      </c>
      <c r="AG28" s="207">
        <f t="shared" si="12"/>
        <v>2390</v>
      </c>
      <c r="AH28" s="207">
        <f t="shared" si="34"/>
        <v>239</v>
      </c>
      <c r="AI28" s="207">
        <f t="shared" si="13"/>
        <v>2390</v>
      </c>
      <c r="AJ28" s="207">
        <f t="shared" si="35"/>
        <v>239</v>
      </c>
      <c r="AK28" s="207">
        <f t="shared" si="14"/>
        <v>2390</v>
      </c>
      <c r="AL28" s="207">
        <f t="shared" si="36"/>
        <v>239</v>
      </c>
      <c r="AM28" s="207">
        <f t="shared" si="15"/>
        <v>2390</v>
      </c>
      <c r="AN28" s="35">
        <f t="shared" si="16"/>
        <v>0.85357142857142854</v>
      </c>
      <c r="AO28" s="36">
        <f t="shared" si="17"/>
        <v>16730</v>
      </c>
      <c r="AQ28" s="227">
        <f t="shared" si="37"/>
        <v>0.77056213069078816</v>
      </c>
      <c r="AR28" s="38">
        <f t="shared" si="41"/>
        <v>71639.161290322576</v>
      </c>
      <c r="AS28" s="201">
        <f t="shared" si="38"/>
        <v>0</v>
      </c>
      <c r="AT28" s="375"/>
      <c r="AU28" s="460"/>
      <c r="AV28" s="552">
        <f t="shared" si="42"/>
        <v>0</v>
      </c>
      <c r="AW28" s="301">
        <f>-SUM('B5'!AI27)</f>
        <v>0</v>
      </c>
      <c r="AX28" s="301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3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8">
        <f>ELEC!C26</f>
        <v>43975</v>
      </c>
      <c r="B29">
        <f>'B5'!B28</f>
        <v>232</v>
      </c>
      <c r="C29" s="207">
        <f t="shared" si="18"/>
        <v>4991.7419354838712</v>
      </c>
      <c r="D29">
        <f t="shared" si="19"/>
        <v>232</v>
      </c>
      <c r="E29" s="207">
        <f t="shared" si="18"/>
        <v>4991.7419354838712</v>
      </c>
      <c r="F29">
        <f t="shared" si="20"/>
        <v>232</v>
      </c>
      <c r="G29" s="207">
        <f t="shared" si="1"/>
        <v>4991.7419354838712</v>
      </c>
      <c r="H29" s="207">
        <f t="shared" si="21"/>
        <v>232</v>
      </c>
      <c r="I29" s="207">
        <f t="shared" si="2"/>
        <v>4991.7419354838712</v>
      </c>
      <c r="J29" s="207">
        <f t="shared" si="22"/>
        <v>232</v>
      </c>
      <c r="K29" s="207">
        <f t="shared" si="3"/>
        <v>4991.7419354838712</v>
      </c>
      <c r="L29" s="207">
        <f t="shared" si="23"/>
        <v>232</v>
      </c>
      <c r="M29" s="207">
        <f t="shared" si="4"/>
        <v>4991.7419354838712</v>
      </c>
      <c r="N29" s="207">
        <f t="shared" si="24"/>
        <v>232</v>
      </c>
      <c r="O29" s="207">
        <f t="shared" si="5"/>
        <v>4991.7419354838712</v>
      </c>
      <c r="P29" s="207">
        <f t="shared" si="25"/>
        <v>232</v>
      </c>
      <c r="Q29" s="207">
        <f t="shared" si="6"/>
        <v>4991.7419354838712</v>
      </c>
      <c r="R29" s="207">
        <f t="shared" si="26"/>
        <v>232</v>
      </c>
      <c r="S29" s="207">
        <f t="shared" si="7"/>
        <v>4991.7419354838712</v>
      </c>
      <c r="T29" s="207">
        <f t="shared" si="27"/>
        <v>232</v>
      </c>
      <c r="U29" s="207">
        <f t="shared" si="8"/>
        <v>4991.7419354838712</v>
      </c>
      <c r="V29" s="207">
        <f t="shared" si="28"/>
        <v>232</v>
      </c>
      <c r="W29" s="207">
        <f t="shared" si="9"/>
        <v>4991.7419354838712</v>
      </c>
      <c r="X29" s="35">
        <f t="shared" si="10"/>
        <v>0.74838709677419357</v>
      </c>
      <c r="Y29" s="36">
        <f t="shared" si="29"/>
        <v>54909.161290322583</v>
      </c>
      <c r="Z29" s="207">
        <f>'B5'!C28</f>
        <v>239</v>
      </c>
      <c r="AA29" s="207">
        <f t="shared" si="30"/>
        <v>2390</v>
      </c>
      <c r="AB29" s="207">
        <f t="shared" si="31"/>
        <v>239</v>
      </c>
      <c r="AC29" s="207">
        <f t="shared" si="30"/>
        <v>2390</v>
      </c>
      <c r="AD29" s="207">
        <f t="shared" si="32"/>
        <v>239</v>
      </c>
      <c r="AE29" s="207">
        <f t="shared" si="11"/>
        <v>2390</v>
      </c>
      <c r="AF29" s="207">
        <f t="shared" si="33"/>
        <v>239</v>
      </c>
      <c r="AG29" s="207">
        <f t="shared" si="12"/>
        <v>2390</v>
      </c>
      <c r="AH29" s="207">
        <f t="shared" si="34"/>
        <v>239</v>
      </c>
      <c r="AI29" s="207">
        <f t="shared" si="13"/>
        <v>2390</v>
      </c>
      <c r="AJ29" s="207">
        <f t="shared" si="35"/>
        <v>239</v>
      </c>
      <c r="AK29" s="207">
        <f t="shared" si="14"/>
        <v>2390</v>
      </c>
      <c r="AL29" s="207">
        <f t="shared" si="36"/>
        <v>239</v>
      </c>
      <c r="AM29" s="207">
        <f t="shared" si="15"/>
        <v>2390</v>
      </c>
      <c r="AN29" s="35">
        <f t="shared" si="16"/>
        <v>0.85357142857142854</v>
      </c>
      <c r="AO29" s="36">
        <f t="shared" si="17"/>
        <v>16730</v>
      </c>
      <c r="AQ29" s="227">
        <f t="shared" si="37"/>
        <v>0.77056213069078816</v>
      </c>
      <c r="AR29" s="38">
        <f t="shared" si="41"/>
        <v>71639.161290322576</v>
      </c>
      <c r="AS29" s="201">
        <f t="shared" si="38"/>
        <v>0</v>
      </c>
      <c r="AT29" s="375"/>
      <c r="AU29" s="460"/>
      <c r="AV29" s="552">
        <f t="shared" si="42"/>
        <v>0</v>
      </c>
      <c r="AW29" s="301">
        <f>-SUM('B5'!AI28)</f>
        <v>0</v>
      </c>
      <c r="AX29" s="301">
        <f>-SUM(AW29-AS29)</f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3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8">
        <f>ELEC!C27</f>
        <v>43976</v>
      </c>
      <c r="B30">
        <f>'B5'!B29</f>
        <v>232</v>
      </c>
      <c r="C30" s="207">
        <f t="shared" si="18"/>
        <v>4991.7419354838712</v>
      </c>
      <c r="D30">
        <f t="shared" ref="D30:D35" si="44">SUM(B30)</f>
        <v>232</v>
      </c>
      <c r="E30" s="207">
        <f t="shared" si="18"/>
        <v>4991.7419354838712</v>
      </c>
      <c r="F30">
        <f t="shared" ref="F30:F35" si="45">SUM(D30)</f>
        <v>232</v>
      </c>
      <c r="G30" s="207">
        <f t="shared" si="1"/>
        <v>4991.7419354838712</v>
      </c>
      <c r="H30" s="207">
        <f t="shared" ref="H30:H35" si="46">SUM(F30)</f>
        <v>232</v>
      </c>
      <c r="I30" s="207">
        <f t="shared" si="2"/>
        <v>4991.7419354838712</v>
      </c>
      <c r="J30" s="207">
        <f t="shared" ref="J30:J35" si="47">SUM(H30)</f>
        <v>232</v>
      </c>
      <c r="K30" s="207">
        <f t="shared" si="3"/>
        <v>4991.7419354838712</v>
      </c>
      <c r="L30" s="207">
        <f t="shared" ref="L30:L35" si="48">SUM(J30)</f>
        <v>232</v>
      </c>
      <c r="M30" s="207">
        <f t="shared" si="4"/>
        <v>4991.7419354838712</v>
      </c>
      <c r="N30" s="207">
        <f t="shared" ref="N30:N35" si="49">SUM(L30)</f>
        <v>232</v>
      </c>
      <c r="O30" s="207">
        <f t="shared" si="5"/>
        <v>4991.7419354838712</v>
      </c>
      <c r="P30" s="207">
        <f t="shared" ref="P30:P35" si="50">SUM(N30)</f>
        <v>232</v>
      </c>
      <c r="Q30" s="207">
        <f t="shared" si="6"/>
        <v>4991.7419354838712</v>
      </c>
      <c r="R30" s="207">
        <f t="shared" ref="R30:R35" si="51">SUM(P30)</f>
        <v>232</v>
      </c>
      <c r="S30" s="207">
        <f t="shared" si="7"/>
        <v>4991.7419354838712</v>
      </c>
      <c r="T30" s="207">
        <f t="shared" ref="T30:T35" si="52">SUM(R30)</f>
        <v>232</v>
      </c>
      <c r="U30" s="207">
        <f t="shared" si="8"/>
        <v>4991.7419354838712</v>
      </c>
      <c r="V30" s="207">
        <f t="shared" ref="V30:V35" si="53">SUM(T30)</f>
        <v>232</v>
      </c>
      <c r="W30" s="207">
        <f t="shared" si="9"/>
        <v>4991.7419354838712</v>
      </c>
      <c r="X30" s="35">
        <f t="shared" ref="X30:X35" si="54">SUM(Y30/73370)</f>
        <v>0.74838709677419357</v>
      </c>
      <c r="Y30" s="36">
        <f t="shared" ref="Y30:Y35" si="55">SUM(C30+E30+G30+I30+K30+M30+O30+Q30+S30+U30+W30)</f>
        <v>54909.161290322583</v>
      </c>
      <c r="Z30" s="207">
        <f>'B5'!C29</f>
        <v>239</v>
      </c>
      <c r="AA30" s="207">
        <f t="shared" si="30"/>
        <v>2390</v>
      </c>
      <c r="AB30" s="207">
        <f t="shared" ref="AB30:AB35" si="56">SUM(Z30)</f>
        <v>239</v>
      </c>
      <c r="AC30" s="207">
        <f t="shared" si="30"/>
        <v>2390</v>
      </c>
      <c r="AD30" s="207">
        <f t="shared" ref="AD30:AD35" si="57">SUM(AB30)</f>
        <v>239</v>
      </c>
      <c r="AE30" s="207">
        <f t="shared" si="11"/>
        <v>2390</v>
      </c>
      <c r="AF30" s="207">
        <f t="shared" ref="AF30:AF35" si="58">SUM(AD30)</f>
        <v>239</v>
      </c>
      <c r="AG30" s="207">
        <f t="shared" si="12"/>
        <v>2390</v>
      </c>
      <c r="AH30" s="207">
        <f t="shared" ref="AH30:AH35" si="59">SUM(AF30)</f>
        <v>239</v>
      </c>
      <c r="AI30" s="207">
        <f t="shared" si="13"/>
        <v>2390</v>
      </c>
      <c r="AJ30" s="207">
        <f t="shared" ref="AJ30:AJ35" si="60">SUM(AH30)</f>
        <v>239</v>
      </c>
      <c r="AK30" s="207">
        <f t="shared" si="14"/>
        <v>2390</v>
      </c>
      <c r="AL30" s="207">
        <f t="shared" ref="AL30:AL35" si="61">SUM(AJ30)</f>
        <v>239</v>
      </c>
      <c r="AM30" s="207">
        <f t="shared" si="15"/>
        <v>2390</v>
      </c>
      <c r="AN30" s="35">
        <f t="shared" ref="AN30:AN35" si="62">SUM(AO30/19600)</f>
        <v>0.85357142857142854</v>
      </c>
      <c r="AO30" s="36">
        <f t="shared" ref="AO30:AO35" si="63">SUM(AA30+AC30+AE30+AG30+AI30+AK30+AM30)</f>
        <v>16730</v>
      </c>
      <c r="AQ30" s="227">
        <f t="shared" si="37"/>
        <v>0.77056213069078816</v>
      </c>
      <c r="AR30" s="38">
        <f t="shared" si="41"/>
        <v>71639.161290322576</v>
      </c>
      <c r="AS30" s="201">
        <f t="shared" si="38"/>
        <v>0</v>
      </c>
      <c r="AT30" s="375"/>
      <c r="AU30" s="460"/>
      <c r="AV30" s="552">
        <f t="shared" si="42"/>
        <v>0</v>
      </c>
      <c r="AW30" s="301">
        <f>-SUM('B5'!AI29)</f>
        <v>0</v>
      </c>
      <c r="AX30" s="301">
        <f>-SUM(AW30-AS30)</f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8">
        <f>ELEC!C28</f>
        <v>43977</v>
      </c>
      <c r="B31">
        <f>'B5'!B30</f>
        <v>232</v>
      </c>
      <c r="C31" s="207">
        <f t="shared" si="18"/>
        <v>4991.7419354838712</v>
      </c>
      <c r="D31">
        <f t="shared" si="44"/>
        <v>232</v>
      </c>
      <c r="E31" s="207">
        <f t="shared" si="18"/>
        <v>4991.7419354838712</v>
      </c>
      <c r="F31">
        <f t="shared" si="45"/>
        <v>232</v>
      </c>
      <c r="G31" s="207">
        <f t="shared" si="1"/>
        <v>4991.7419354838712</v>
      </c>
      <c r="H31" s="207">
        <f t="shared" si="46"/>
        <v>232</v>
      </c>
      <c r="I31" s="207">
        <f t="shared" si="2"/>
        <v>4991.7419354838712</v>
      </c>
      <c r="J31" s="207">
        <f t="shared" si="47"/>
        <v>232</v>
      </c>
      <c r="K31" s="207">
        <f t="shared" si="3"/>
        <v>4991.7419354838712</v>
      </c>
      <c r="L31" s="207">
        <f t="shared" si="48"/>
        <v>232</v>
      </c>
      <c r="M31" s="207">
        <f t="shared" si="4"/>
        <v>4991.7419354838712</v>
      </c>
      <c r="N31" s="207">
        <f t="shared" si="49"/>
        <v>232</v>
      </c>
      <c r="O31" s="207">
        <f t="shared" si="5"/>
        <v>4991.7419354838712</v>
      </c>
      <c r="P31" s="207">
        <f t="shared" si="50"/>
        <v>232</v>
      </c>
      <c r="Q31" s="207">
        <f t="shared" si="6"/>
        <v>4991.7419354838712</v>
      </c>
      <c r="R31" s="207">
        <f t="shared" si="51"/>
        <v>232</v>
      </c>
      <c r="S31" s="207">
        <f t="shared" si="7"/>
        <v>4991.7419354838712</v>
      </c>
      <c r="T31" s="207">
        <f t="shared" si="52"/>
        <v>232</v>
      </c>
      <c r="U31" s="207">
        <f t="shared" si="8"/>
        <v>4991.7419354838712</v>
      </c>
      <c r="V31" s="207">
        <f t="shared" si="53"/>
        <v>232</v>
      </c>
      <c r="W31" s="207">
        <f t="shared" si="9"/>
        <v>4991.7419354838712</v>
      </c>
      <c r="X31" s="35">
        <f t="shared" si="54"/>
        <v>0.74838709677419357</v>
      </c>
      <c r="Y31" s="36">
        <f t="shared" si="55"/>
        <v>54909.161290322583</v>
      </c>
      <c r="Z31" s="207">
        <f>'B5'!C30</f>
        <v>239</v>
      </c>
      <c r="AA31" s="207">
        <f t="shared" si="30"/>
        <v>2390</v>
      </c>
      <c r="AB31" s="207">
        <f t="shared" si="56"/>
        <v>239</v>
      </c>
      <c r="AC31" s="207">
        <f t="shared" si="30"/>
        <v>2390</v>
      </c>
      <c r="AD31" s="207">
        <f t="shared" si="57"/>
        <v>239</v>
      </c>
      <c r="AE31" s="207">
        <f t="shared" si="11"/>
        <v>2390</v>
      </c>
      <c r="AF31" s="207">
        <f t="shared" si="58"/>
        <v>239</v>
      </c>
      <c r="AG31" s="207">
        <f t="shared" si="12"/>
        <v>2390</v>
      </c>
      <c r="AH31" s="207">
        <f t="shared" si="59"/>
        <v>239</v>
      </c>
      <c r="AI31" s="207">
        <f t="shared" si="13"/>
        <v>2390</v>
      </c>
      <c r="AJ31" s="207">
        <f t="shared" si="60"/>
        <v>239</v>
      </c>
      <c r="AK31" s="207">
        <f t="shared" si="14"/>
        <v>2390</v>
      </c>
      <c r="AL31" s="207">
        <f t="shared" si="61"/>
        <v>239</v>
      </c>
      <c r="AM31" s="207">
        <f t="shared" si="15"/>
        <v>2390</v>
      </c>
      <c r="AN31" s="35">
        <f t="shared" si="62"/>
        <v>0.85357142857142854</v>
      </c>
      <c r="AO31" s="36">
        <f t="shared" si="63"/>
        <v>16730</v>
      </c>
      <c r="AQ31" s="227">
        <f t="shared" si="37"/>
        <v>0.77056213069078816</v>
      </c>
      <c r="AR31" s="38">
        <f t="shared" si="41"/>
        <v>71639.161290322576</v>
      </c>
      <c r="AS31" s="201">
        <f>SUM(AR31-AR30-AT31)</f>
        <v>0</v>
      </c>
      <c r="AT31" s="375"/>
      <c r="AU31" s="460"/>
      <c r="AV31" s="552">
        <f t="shared" si="42"/>
        <v>0</v>
      </c>
      <c r="AW31" s="301">
        <f>-SUM('B5'!AI30)</f>
        <v>0</v>
      </c>
      <c r="AX31" s="301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3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8">
        <f>ELEC!C29</f>
        <v>43978</v>
      </c>
      <c r="B32">
        <f>'B5'!B31</f>
        <v>232</v>
      </c>
      <c r="C32" s="207">
        <f t="shared" si="18"/>
        <v>4991.7419354838712</v>
      </c>
      <c r="D32">
        <f t="shared" si="44"/>
        <v>232</v>
      </c>
      <c r="E32" s="207">
        <f t="shared" si="18"/>
        <v>4991.7419354838712</v>
      </c>
      <c r="F32">
        <f t="shared" si="45"/>
        <v>232</v>
      </c>
      <c r="G32" s="207">
        <f t="shared" si="1"/>
        <v>4991.7419354838712</v>
      </c>
      <c r="H32" s="207">
        <f t="shared" si="46"/>
        <v>232</v>
      </c>
      <c r="I32" s="207">
        <f t="shared" si="2"/>
        <v>4991.7419354838712</v>
      </c>
      <c r="J32" s="207">
        <f t="shared" si="47"/>
        <v>232</v>
      </c>
      <c r="K32" s="207">
        <f t="shared" si="3"/>
        <v>4991.7419354838712</v>
      </c>
      <c r="L32" s="207">
        <f t="shared" si="48"/>
        <v>232</v>
      </c>
      <c r="M32" s="207">
        <f t="shared" si="4"/>
        <v>4991.7419354838712</v>
      </c>
      <c r="N32" s="207">
        <f t="shared" si="49"/>
        <v>232</v>
      </c>
      <c r="O32" s="207">
        <f t="shared" si="5"/>
        <v>4991.7419354838712</v>
      </c>
      <c r="P32" s="207">
        <f t="shared" si="50"/>
        <v>232</v>
      </c>
      <c r="Q32" s="207">
        <f t="shared" si="6"/>
        <v>4991.7419354838712</v>
      </c>
      <c r="R32" s="207">
        <f t="shared" si="51"/>
        <v>232</v>
      </c>
      <c r="S32" s="207">
        <f t="shared" si="7"/>
        <v>4991.7419354838712</v>
      </c>
      <c r="T32" s="207">
        <f t="shared" si="52"/>
        <v>232</v>
      </c>
      <c r="U32" s="207">
        <f t="shared" si="8"/>
        <v>4991.7419354838712</v>
      </c>
      <c r="V32" s="207">
        <f t="shared" si="53"/>
        <v>232</v>
      </c>
      <c r="W32" s="207">
        <f t="shared" si="9"/>
        <v>4991.7419354838712</v>
      </c>
      <c r="X32" s="35">
        <f t="shared" si="54"/>
        <v>0.74838709677419357</v>
      </c>
      <c r="Y32" s="36">
        <f t="shared" si="55"/>
        <v>54909.161290322583</v>
      </c>
      <c r="Z32" s="207">
        <f>'B5'!C31</f>
        <v>239</v>
      </c>
      <c r="AA32" s="207">
        <f t="shared" si="30"/>
        <v>2390</v>
      </c>
      <c r="AB32" s="207">
        <f t="shared" si="56"/>
        <v>239</v>
      </c>
      <c r="AC32" s="207">
        <f t="shared" si="30"/>
        <v>2390</v>
      </c>
      <c r="AD32" s="207">
        <f t="shared" si="57"/>
        <v>239</v>
      </c>
      <c r="AE32" s="207">
        <f t="shared" si="11"/>
        <v>2390</v>
      </c>
      <c r="AF32" s="207">
        <f t="shared" si="58"/>
        <v>239</v>
      </c>
      <c r="AG32" s="207">
        <f t="shared" si="12"/>
        <v>2390</v>
      </c>
      <c r="AH32" s="207">
        <f t="shared" si="59"/>
        <v>239</v>
      </c>
      <c r="AI32" s="207">
        <f t="shared" si="13"/>
        <v>2390</v>
      </c>
      <c r="AJ32" s="207">
        <f t="shared" si="60"/>
        <v>239</v>
      </c>
      <c r="AK32" s="207">
        <f t="shared" si="14"/>
        <v>2390</v>
      </c>
      <c r="AL32" s="207">
        <f t="shared" si="61"/>
        <v>239</v>
      </c>
      <c r="AM32" s="207">
        <f t="shared" si="15"/>
        <v>2390</v>
      </c>
      <c r="AN32" s="35">
        <f t="shared" si="62"/>
        <v>0.85357142857142854</v>
      </c>
      <c r="AO32" s="36">
        <f t="shared" si="63"/>
        <v>16730</v>
      </c>
      <c r="AQ32" s="227">
        <f t="shared" si="37"/>
        <v>0.77056213069078816</v>
      </c>
      <c r="AR32" s="38">
        <f t="shared" si="41"/>
        <v>71639.161290322576</v>
      </c>
      <c r="AS32" s="201">
        <f t="shared" si="38"/>
        <v>0</v>
      </c>
      <c r="AT32" s="375"/>
      <c r="AU32" s="460"/>
      <c r="AV32" s="552">
        <f>IF(AT32&gt;0,AU32,AV31)</f>
        <v>0</v>
      </c>
      <c r="AW32" s="301">
        <f>-SUM('B5'!AI31)</f>
        <v>0</v>
      </c>
      <c r="AX32" s="301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3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8">
        <f>ELEC!C30</f>
        <v>43979</v>
      </c>
      <c r="B33">
        <f>'B5'!B32</f>
        <v>232</v>
      </c>
      <c r="C33" s="207">
        <f t="shared" si="18"/>
        <v>4991.7419354838712</v>
      </c>
      <c r="D33">
        <f t="shared" si="44"/>
        <v>232</v>
      </c>
      <c r="E33" s="207">
        <f t="shared" si="18"/>
        <v>4991.7419354838712</v>
      </c>
      <c r="F33">
        <f t="shared" si="45"/>
        <v>232</v>
      </c>
      <c r="G33" s="207">
        <f t="shared" si="1"/>
        <v>4991.7419354838712</v>
      </c>
      <c r="H33" s="207">
        <f t="shared" si="46"/>
        <v>232</v>
      </c>
      <c r="I33" s="207">
        <f t="shared" si="2"/>
        <v>4991.7419354838712</v>
      </c>
      <c r="J33" s="207">
        <f t="shared" si="47"/>
        <v>232</v>
      </c>
      <c r="K33" s="207">
        <f t="shared" si="3"/>
        <v>4991.7419354838712</v>
      </c>
      <c r="L33" s="207">
        <f t="shared" si="48"/>
        <v>232</v>
      </c>
      <c r="M33" s="207">
        <f t="shared" si="4"/>
        <v>4991.7419354838712</v>
      </c>
      <c r="N33" s="207">
        <f t="shared" si="49"/>
        <v>232</v>
      </c>
      <c r="O33" s="207">
        <f t="shared" si="5"/>
        <v>4991.7419354838712</v>
      </c>
      <c r="P33" s="207">
        <f t="shared" si="50"/>
        <v>232</v>
      </c>
      <c r="Q33" s="207">
        <f t="shared" si="6"/>
        <v>4991.7419354838712</v>
      </c>
      <c r="R33" s="207">
        <f t="shared" si="51"/>
        <v>232</v>
      </c>
      <c r="S33" s="207">
        <f t="shared" si="7"/>
        <v>4991.7419354838712</v>
      </c>
      <c r="T33" s="207">
        <f t="shared" si="52"/>
        <v>232</v>
      </c>
      <c r="U33" s="207">
        <f t="shared" si="8"/>
        <v>4991.7419354838712</v>
      </c>
      <c r="V33" s="207">
        <f t="shared" si="53"/>
        <v>232</v>
      </c>
      <c r="W33" s="207">
        <f t="shared" si="9"/>
        <v>4991.7419354838712</v>
      </c>
      <c r="X33" s="35">
        <f t="shared" si="54"/>
        <v>0.74838709677419357</v>
      </c>
      <c r="Y33" s="36">
        <f t="shared" si="55"/>
        <v>54909.161290322583</v>
      </c>
      <c r="Z33" s="207">
        <f>'B5'!C32</f>
        <v>239</v>
      </c>
      <c r="AA33" s="207">
        <f t="shared" si="30"/>
        <v>2390</v>
      </c>
      <c r="AB33" s="207">
        <f t="shared" si="56"/>
        <v>239</v>
      </c>
      <c r="AC33" s="207">
        <f t="shared" si="30"/>
        <v>2390</v>
      </c>
      <c r="AD33" s="207">
        <f t="shared" si="57"/>
        <v>239</v>
      </c>
      <c r="AE33" s="207">
        <f t="shared" si="11"/>
        <v>2390</v>
      </c>
      <c r="AF33" s="207">
        <f t="shared" si="58"/>
        <v>239</v>
      </c>
      <c r="AG33" s="207">
        <f t="shared" si="12"/>
        <v>2390</v>
      </c>
      <c r="AH33" s="207">
        <f t="shared" si="59"/>
        <v>239</v>
      </c>
      <c r="AI33" s="207">
        <f t="shared" si="13"/>
        <v>2390</v>
      </c>
      <c r="AJ33" s="207">
        <f t="shared" si="60"/>
        <v>239</v>
      </c>
      <c r="AK33" s="207">
        <f t="shared" si="14"/>
        <v>2390</v>
      </c>
      <c r="AL33" s="207">
        <f t="shared" si="61"/>
        <v>239</v>
      </c>
      <c r="AM33" s="207">
        <f t="shared" si="15"/>
        <v>2390</v>
      </c>
      <c r="AN33" s="35">
        <f t="shared" si="62"/>
        <v>0.85357142857142854</v>
      </c>
      <c r="AO33" s="36">
        <f t="shared" si="63"/>
        <v>16730</v>
      </c>
      <c r="AQ33" s="227">
        <f t="shared" si="37"/>
        <v>0.77056213069078816</v>
      </c>
      <c r="AR33" s="38">
        <f t="shared" si="41"/>
        <v>71639.161290322576</v>
      </c>
      <c r="AS33" s="201">
        <f t="shared" si="38"/>
        <v>0</v>
      </c>
      <c r="AT33" s="375"/>
      <c r="AU33" s="460"/>
      <c r="AV33" s="552">
        <f>IF(AT33&gt;0,AU33,AV32)</f>
        <v>0</v>
      </c>
      <c r="AW33" s="301">
        <f>-SUM('B5'!AI32)</f>
        <v>0</v>
      </c>
      <c r="AX33" s="301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8">
        <f>ELEC!C31</f>
        <v>43980</v>
      </c>
      <c r="B34">
        <f>'B5'!B33</f>
        <v>232</v>
      </c>
      <c r="C34" s="207">
        <f t="shared" si="18"/>
        <v>4991.7419354838712</v>
      </c>
      <c r="D34">
        <f t="shared" si="44"/>
        <v>232</v>
      </c>
      <c r="E34" s="207">
        <f t="shared" si="18"/>
        <v>4991.7419354838712</v>
      </c>
      <c r="F34">
        <f t="shared" si="45"/>
        <v>232</v>
      </c>
      <c r="G34" s="207">
        <f t="shared" si="1"/>
        <v>4991.7419354838712</v>
      </c>
      <c r="H34" s="207">
        <f t="shared" si="46"/>
        <v>232</v>
      </c>
      <c r="I34" s="207">
        <f t="shared" si="2"/>
        <v>4991.7419354838712</v>
      </c>
      <c r="J34" s="207">
        <f t="shared" si="47"/>
        <v>232</v>
      </c>
      <c r="K34" s="207">
        <f t="shared" si="3"/>
        <v>4991.7419354838712</v>
      </c>
      <c r="L34" s="207">
        <f t="shared" si="48"/>
        <v>232</v>
      </c>
      <c r="M34" s="207">
        <f t="shared" si="4"/>
        <v>4991.7419354838712</v>
      </c>
      <c r="N34" s="207">
        <f t="shared" si="49"/>
        <v>232</v>
      </c>
      <c r="O34" s="207">
        <f t="shared" si="5"/>
        <v>4991.7419354838712</v>
      </c>
      <c r="P34" s="207">
        <f t="shared" si="50"/>
        <v>232</v>
      </c>
      <c r="Q34" s="207">
        <f t="shared" si="6"/>
        <v>4991.7419354838712</v>
      </c>
      <c r="R34" s="207">
        <f t="shared" si="51"/>
        <v>232</v>
      </c>
      <c r="S34" s="207">
        <f t="shared" si="7"/>
        <v>4991.7419354838712</v>
      </c>
      <c r="T34" s="207">
        <f t="shared" si="52"/>
        <v>232</v>
      </c>
      <c r="U34" s="207">
        <f t="shared" si="8"/>
        <v>4991.7419354838712</v>
      </c>
      <c r="V34" s="207">
        <f t="shared" si="53"/>
        <v>232</v>
      </c>
      <c r="W34" s="207">
        <f t="shared" si="9"/>
        <v>4991.7419354838712</v>
      </c>
      <c r="X34" s="35">
        <f t="shared" si="54"/>
        <v>0.74838709677419357</v>
      </c>
      <c r="Y34" s="36">
        <f t="shared" si="55"/>
        <v>54909.161290322583</v>
      </c>
      <c r="Z34" s="207">
        <f>'B5'!C33</f>
        <v>239</v>
      </c>
      <c r="AA34" s="207">
        <f t="shared" si="30"/>
        <v>2390</v>
      </c>
      <c r="AB34" s="207">
        <f t="shared" si="56"/>
        <v>239</v>
      </c>
      <c r="AC34" s="207">
        <f t="shared" si="30"/>
        <v>2390</v>
      </c>
      <c r="AD34" s="207">
        <f t="shared" si="57"/>
        <v>239</v>
      </c>
      <c r="AE34" s="207">
        <f t="shared" si="11"/>
        <v>2390</v>
      </c>
      <c r="AF34" s="207">
        <f t="shared" si="58"/>
        <v>239</v>
      </c>
      <c r="AG34" s="207">
        <f t="shared" si="12"/>
        <v>2390</v>
      </c>
      <c r="AH34" s="207">
        <f t="shared" si="59"/>
        <v>239</v>
      </c>
      <c r="AI34" s="207">
        <f t="shared" si="13"/>
        <v>2390</v>
      </c>
      <c r="AJ34" s="207">
        <f t="shared" si="60"/>
        <v>239</v>
      </c>
      <c r="AK34" s="207">
        <f t="shared" si="14"/>
        <v>2390</v>
      </c>
      <c r="AL34" s="207">
        <f t="shared" si="61"/>
        <v>239</v>
      </c>
      <c r="AM34" s="207">
        <f t="shared" si="15"/>
        <v>2390</v>
      </c>
      <c r="AN34" s="35">
        <f t="shared" si="62"/>
        <v>0.85357142857142854</v>
      </c>
      <c r="AO34" s="36">
        <f t="shared" si="63"/>
        <v>16730</v>
      </c>
      <c r="AQ34" s="227">
        <f>SUM(AR34/92970)</f>
        <v>0.77056213069078816</v>
      </c>
      <c r="AR34" s="38">
        <f t="shared" si="41"/>
        <v>71639.161290322576</v>
      </c>
      <c r="AS34" s="201">
        <f t="shared" si="38"/>
        <v>0</v>
      </c>
      <c r="AT34" s="375"/>
      <c r="AU34" s="460"/>
      <c r="AV34" s="552">
        <f t="shared" si="42"/>
        <v>0</v>
      </c>
      <c r="AW34" s="301">
        <f>-SUM('B5'!AI33)</f>
        <v>0</v>
      </c>
      <c r="AX34" s="301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8">
        <f>ELEC!C32</f>
        <v>43981</v>
      </c>
      <c r="B35">
        <f>'B5'!B34</f>
        <v>232</v>
      </c>
      <c r="C35" s="207">
        <f t="shared" si="18"/>
        <v>4991.7419354838712</v>
      </c>
      <c r="D35">
        <f t="shared" si="44"/>
        <v>232</v>
      </c>
      <c r="E35" s="207">
        <f t="shared" si="18"/>
        <v>4991.7419354838712</v>
      </c>
      <c r="F35">
        <f t="shared" si="45"/>
        <v>232</v>
      </c>
      <c r="G35" s="207">
        <f t="shared" si="1"/>
        <v>4991.7419354838712</v>
      </c>
      <c r="H35" s="207">
        <f t="shared" si="46"/>
        <v>232</v>
      </c>
      <c r="I35" s="207">
        <f t="shared" si="2"/>
        <v>4991.7419354838712</v>
      </c>
      <c r="J35" s="207">
        <f t="shared" si="47"/>
        <v>232</v>
      </c>
      <c r="K35" s="207">
        <f t="shared" si="3"/>
        <v>4991.7419354838712</v>
      </c>
      <c r="L35" s="207">
        <f t="shared" si="48"/>
        <v>232</v>
      </c>
      <c r="M35" s="207">
        <f t="shared" si="4"/>
        <v>4991.7419354838712</v>
      </c>
      <c r="N35" s="207">
        <f t="shared" si="49"/>
        <v>232</v>
      </c>
      <c r="O35" s="207">
        <f t="shared" si="5"/>
        <v>4991.7419354838712</v>
      </c>
      <c r="P35" s="207">
        <f t="shared" si="50"/>
        <v>232</v>
      </c>
      <c r="Q35" s="207">
        <f t="shared" si="6"/>
        <v>4991.7419354838712</v>
      </c>
      <c r="R35" s="207">
        <f t="shared" si="51"/>
        <v>232</v>
      </c>
      <c r="S35" s="207">
        <f t="shared" si="7"/>
        <v>4991.7419354838712</v>
      </c>
      <c r="T35" s="207">
        <f t="shared" si="52"/>
        <v>232</v>
      </c>
      <c r="U35" s="207">
        <f t="shared" si="8"/>
        <v>4991.7419354838712</v>
      </c>
      <c r="V35" s="207">
        <f t="shared" si="53"/>
        <v>232</v>
      </c>
      <c r="W35" s="207">
        <f t="shared" si="9"/>
        <v>4991.7419354838712</v>
      </c>
      <c r="X35" s="35">
        <f t="shared" si="54"/>
        <v>0.74838709677419357</v>
      </c>
      <c r="Y35" s="36">
        <f t="shared" si="55"/>
        <v>54909.161290322583</v>
      </c>
      <c r="Z35" s="207">
        <f>'B5'!C34</f>
        <v>239</v>
      </c>
      <c r="AA35" s="207">
        <f t="shared" si="30"/>
        <v>2390</v>
      </c>
      <c r="AB35" s="207">
        <f t="shared" si="56"/>
        <v>239</v>
      </c>
      <c r="AC35" s="207">
        <f t="shared" si="30"/>
        <v>2390</v>
      </c>
      <c r="AD35" s="207">
        <f t="shared" si="57"/>
        <v>239</v>
      </c>
      <c r="AE35" s="207">
        <f t="shared" si="11"/>
        <v>2390</v>
      </c>
      <c r="AF35" s="207">
        <f t="shared" si="58"/>
        <v>239</v>
      </c>
      <c r="AG35" s="207">
        <f t="shared" si="12"/>
        <v>2390</v>
      </c>
      <c r="AH35" s="207">
        <f t="shared" si="59"/>
        <v>239</v>
      </c>
      <c r="AI35" s="207">
        <f t="shared" si="13"/>
        <v>2390</v>
      </c>
      <c r="AJ35" s="207">
        <f t="shared" si="60"/>
        <v>239</v>
      </c>
      <c r="AK35" s="207">
        <f t="shared" si="14"/>
        <v>2390</v>
      </c>
      <c r="AL35" s="207">
        <f t="shared" si="61"/>
        <v>239</v>
      </c>
      <c r="AM35" s="207">
        <f t="shared" si="15"/>
        <v>2390</v>
      </c>
      <c r="AN35" s="35">
        <f t="shared" si="62"/>
        <v>0.85357142857142854</v>
      </c>
      <c r="AO35" s="36">
        <f t="shared" si="63"/>
        <v>16730</v>
      </c>
      <c r="AQ35" s="227">
        <f>SUM(AR35/92970)</f>
        <v>0.77056213069078816</v>
      </c>
      <c r="AR35" s="38">
        <f t="shared" si="41"/>
        <v>71639.161290322576</v>
      </c>
      <c r="AS35" s="201">
        <f t="shared" si="38"/>
        <v>0</v>
      </c>
      <c r="AT35" s="375"/>
      <c r="AU35" s="460"/>
      <c r="AV35" s="552">
        <f>IF(AT35&gt;0,AU35,AV34)</f>
        <v>0</v>
      </c>
      <c r="AW35" s="301">
        <f>-SUM('B5'!AI34)</f>
        <v>0</v>
      </c>
      <c r="AX35" s="301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68">
        <f>ELEC!C33</f>
        <v>43982</v>
      </c>
      <c r="B36">
        <f>'B5'!B35</f>
        <v>232</v>
      </c>
      <c r="C36" s="207">
        <f>B36*$B$4</f>
        <v>4991.7419354838712</v>
      </c>
      <c r="D36">
        <f>SUM(B36)</f>
        <v>232</v>
      </c>
      <c r="E36" s="207">
        <f>D36*$B$4</f>
        <v>4991.7419354838712</v>
      </c>
      <c r="F36">
        <f>SUM(D36)</f>
        <v>232</v>
      </c>
      <c r="G36" s="207">
        <f>F36*$B$4</f>
        <v>4991.7419354838712</v>
      </c>
      <c r="H36" s="207">
        <f>SUM(F36)</f>
        <v>232</v>
      </c>
      <c r="I36" s="207">
        <f>H36*$B$4</f>
        <v>4991.7419354838712</v>
      </c>
      <c r="J36" s="207">
        <f>SUM(H36)</f>
        <v>232</v>
      </c>
      <c r="K36" s="207">
        <f>J36*$B$4</f>
        <v>4991.7419354838712</v>
      </c>
      <c r="L36" s="207">
        <f>SUM(J36)</f>
        <v>232</v>
      </c>
      <c r="M36" s="207">
        <f>L36*$B$4</f>
        <v>4991.7419354838712</v>
      </c>
      <c r="N36" s="207">
        <f>SUM(L36)</f>
        <v>232</v>
      </c>
      <c r="O36" s="207">
        <f>N36*$B$4</f>
        <v>4991.7419354838712</v>
      </c>
      <c r="P36" s="207">
        <f>SUM(N36)</f>
        <v>232</v>
      </c>
      <c r="Q36" s="207">
        <f>P36*$B$4</f>
        <v>4991.7419354838712</v>
      </c>
      <c r="R36" s="207">
        <f>SUM(P36)</f>
        <v>232</v>
      </c>
      <c r="S36" s="207">
        <f>R36*$B$4</f>
        <v>4991.7419354838712</v>
      </c>
      <c r="T36" s="207">
        <f>SUM(R36)</f>
        <v>232</v>
      </c>
      <c r="U36" s="207">
        <f>T36*$B$4</f>
        <v>4991.7419354838712</v>
      </c>
      <c r="V36" s="207">
        <f>SUM(T36)</f>
        <v>232</v>
      </c>
      <c r="W36" s="207">
        <f>V36*$B$4</f>
        <v>4991.7419354838712</v>
      </c>
      <c r="X36" s="35">
        <f>SUM(Y36/73370)</f>
        <v>0.74838709677419357</v>
      </c>
      <c r="Y36" s="36">
        <f>SUM(C36+E36+G36+I36+K36+M36+O36+Q36+S36+U36+W36)</f>
        <v>54909.161290322583</v>
      </c>
      <c r="Z36" s="207">
        <f>'B5'!C35</f>
        <v>239</v>
      </c>
      <c r="AA36" s="207">
        <f>SUM(Z36*$Z$4)</f>
        <v>2390</v>
      </c>
      <c r="AB36" s="207">
        <f>SUM(Z36)</f>
        <v>239</v>
      </c>
      <c r="AC36" s="207">
        <f>SUM(AB36*$Z$4)</f>
        <v>2390</v>
      </c>
      <c r="AD36" s="207">
        <f>SUM(AB36)</f>
        <v>239</v>
      </c>
      <c r="AE36" s="207">
        <f>SUM(AD36*$Z$4)</f>
        <v>2390</v>
      </c>
      <c r="AF36" s="207">
        <f>SUM(AD36)</f>
        <v>239</v>
      </c>
      <c r="AG36" s="207">
        <f>SUM(AF36*$Z$4)</f>
        <v>2390</v>
      </c>
      <c r="AH36" s="207">
        <f>SUM(AF36)</f>
        <v>239</v>
      </c>
      <c r="AI36" s="207">
        <f>SUM(AH36*$Z$4)</f>
        <v>2390</v>
      </c>
      <c r="AJ36" s="207">
        <f>SUM(AH36)</f>
        <v>239</v>
      </c>
      <c r="AK36" s="207">
        <f>SUM(AJ36*$Z$4)</f>
        <v>2390</v>
      </c>
      <c r="AL36" s="207">
        <f>SUM(AJ36)</f>
        <v>239</v>
      </c>
      <c r="AM36" s="207">
        <f>SUM(AL36*$Z$4)</f>
        <v>2390</v>
      </c>
      <c r="AN36" s="35">
        <f>SUM(AO36/19600)</f>
        <v>0.85357142857142854</v>
      </c>
      <c r="AO36" s="36">
        <f>SUM(AA36+AC36+AE36+AG36+AI36+AK36+AM36)</f>
        <v>16730</v>
      </c>
      <c r="AP36" s="259"/>
      <c r="AQ36" s="227">
        <f>SUM(AR36/92970)</f>
        <v>0.77056213069078816</v>
      </c>
      <c r="AR36" s="38">
        <f t="shared" si="41"/>
        <v>71639.161290322576</v>
      </c>
      <c r="AS36" s="201">
        <f>SUM(AR36-AR35-AT36)</f>
        <v>0</v>
      </c>
      <c r="AT36" s="375"/>
      <c r="AU36" s="460"/>
      <c r="AV36" s="552">
        <f>IF(AT36&gt;0,AU36,AV35)</f>
        <v>0</v>
      </c>
      <c r="AW36" s="301">
        <f>-SUM('B5'!AI35)</f>
        <v>0</v>
      </c>
      <c r="AX36" s="301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1"/>
      <c r="BE36" s="512"/>
      <c r="BF36" s="512"/>
      <c r="BG36" s="512"/>
      <c r="BH36" s="513"/>
    </row>
    <row r="37" spans="1:60">
      <c r="AQ37" s="20"/>
      <c r="AR37" s="505" t="s">
        <v>226</v>
      </c>
      <c r="AS37" s="514">
        <f>COUNT(AT6:AT36)</f>
        <v>1</v>
      </c>
      <c r="AT37" s="207">
        <f>SUM(AT6:AT36)</f>
        <v>1</v>
      </c>
      <c r="AU37">
        <f>SUM(AU6:AU36)/AS37</f>
        <v>0</v>
      </c>
      <c r="AX37" s="207">
        <f>SUM(AX6:AX36)</f>
        <v>-2491.7451612903387</v>
      </c>
      <c r="AY37" s="207">
        <f>SUM(AY6:AY36)</f>
        <v>-4036.1451612903329</v>
      </c>
    </row>
    <row r="38" spans="1:60">
      <c r="AS38" s="210"/>
      <c r="AT38">
        <f>+AT37*AU37</f>
        <v>0</v>
      </c>
    </row>
    <row r="40" spans="1:60">
      <c r="AS40" s="166">
        <f>SUM(AS6:AS36)/'EDl log'!A36</f>
        <v>-1009.0362903225832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O1" zoomScaleNormal="100" workbookViewId="0">
      <pane ySplit="1" topLeftCell="A2" activePane="bottomLeft" state="frozen"/>
      <selection pane="bottomLeft" activeCell="T5" sqref="T5:T6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7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7" t="s">
        <v>375</v>
      </c>
      <c r="AC1" s="297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43951</v>
      </c>
      <c r="B2" s="277">
        <f>[4]GEN!B32</f>
        <v>8621.09</v>
      </c>
      <c r="C2" s="277">
        <f>[4]GEN!C32</f>
        <v>0</v>
      </c>
      <c r="D2" s="277">
        <f>[4]GEN!D32</f>
        <v>146479.79999999999</v>
      </c>
      <c r="E2" s="277">
        <f>[4]GEN!E32</f>
        <v>0</v>
      </c>
      <c r="F2" s="277">
        <f>[4]GEN!F32</f>
        <v>0</v>
      </c>
      <c r="G2" s="277">
        <f>[4]GEN!G32</f>
        <v>0</v>
      </c>
      <c r="H2" s="277">
        <f>[4]GEN!H32</f>
        <v>8677</v>
      </c>
      <c r="I2" s="277" t="str">
        <f>[4]GEN!I32</f>
        <v>ok</v>
      </c>
      <c r="J2" s="277">
        <f>[4]GEN!J32</f>
        <v>10689.42</v>
      </c>
      <c r="K2" s="277">
        <f>[4]GEN!K32</f>
        <v>0</v>
      </c>
      <c r="L2" s="277">
        <f>[4]GEN!L32</f>
        <v>237074.9</v>
      </c>
      <c r="M2" s="277">
        <f>[4]GEN!M32</f>
        <v>0</v>
      </c>
      <c r="N2" s="277">
        <f>[4]GEN!N32</f>
        <v>0</v>
      </c>
      <c r="O2" s="277">
        <f>[4]GEN!O32</f>
        <v>0</v>
      </c>
      <c r="P2" s="277">
        <f>[4]GEN!P32</f>
        <v>10873</v>
      </c>
      <c r="Q2" s="277" t="str">
        <f>[4]GEN!Q32</f>
        <v>ok</v>
      </c>
      <c r="R2" s="277">
        <f>[1]GEN!R32</f>
        <v>11115</v>
      </c>
      <c r="S2" s="277">
        <f>[1]GEN!S32</f>
        <v>2.8700000000008004</v>
      </c>
      <c r="T2" s="277">
        <f>[1]GEN!T32</f>
        <v>234142</v>
      </c>
      <c r="U2" s="277">
        <f>[1]GEN!U32</f>
        <v>682</v>
      </c>
      <c r="V2" s="277">
        <f>[1]GEN!V32</f>
        <v>237.63066202083965</v>
      </c>
      <c r="W2" s="277">
        <f>[1]GEN!W32</f>
        <v>0</v>
      </c>
      <c r="X2" s="277">
        <f>[1]GEN!X32</f>
        <v>11709</v>
      </c>
      <c r="Y2" s="277" t="str">
        <f>[1]GEN!Y32</f>
        <v>ok</v>
      </c>
      <c r="Z2" s="277">
        <f>[1]GEN!Z32</f>
        <v>2.8700000000008004</v>
      </c>
      <c r="AA2" s="277">
        <f>[1]GEN!AA32</f>
        <v>682</v>
      </c>
      <c r="AB2" s="277">
        <f>[1]GEN!AB32</f>
        <v>237.63066202083965</v>
      </c>
      <c r="AC2" s="277">
        <f>[1]GEN!AC32</f>
        <v>237.63066202083965</v>
      </c>
      <c r="AD2" s="277">
        <f>[1]GEN!AD32</f>
        <v>1770.0000000004366</v>
      </c>
      <c r="AE2" s="277">
        <f>[1]GEN!AE32</f>
        <v>616.72473867593828</v>
      </c>
      <c r="AF2" s="277">
        <f>[1]GEN!AF32</f>
        <v>0.3854529616724614</v>
      </c>
      <c r="AG2" s="277">
        <f>[1]GEN!AG32</f>
        <v>123.34494773518765</v>
      </c>
      <c r="AH2" s="277">
        <f>[1]GEN!AH32</f>
        <v>114.28571428565201</v>
      </c>
      <c r="AI2" s="277">
        <f>[1]GEN!AI32</f>
        <v>455.56962025327698</v>
      </c>
      <c r="AJ2" s="277">
        <f>[1]GEN!AJ32</f>
        <v>0.25738396624472576</v>
      </c>
      <c r="AK2" s="277">
        <f>[1]GEN!AK32</f>
        <v>158.73505932165503</v>
      </c>
    </row>
    <row r="3" spans="1:37">
      <c r="A3" s="4">
        <f>ELEC!C3</f>
        <v>43952</v>
      </c>
      <c r="B3" s="277">
        <f>B2</f>
        <v>8621.09</v>
      </c>
      <c r="C3" s="298">
        <f>B3-B2</f>
        <v>0</v>
      </c>
      <c r="D3" s="277">
        <f>D2</f>
        <v>146479.79999999999</v>
      </c>
      <c r="E3" s="298">
        <f>SUM(D3-D2)</f>
        <v>0</v>
      </c>
      <c r="F3" s="298">
        <f t="shared" ref="F3:F32" si="0">IF(C3&gt;0,E3/C3,0)</f>
        <v>0</v>
      </c>
      <c r="G3" s="277">
        <f>[5]GEN!G32</f>
        <v>0</v>
      </c>
      <c r="H3" s="299">
        <f>H2</f>
        <v>8677</v>
      </c>
      <c r="I3" s="298" t="str">
        <f t="shared" ref="I3:I32" si="1">IF(B3-H3&lt;=0,"ok","oil change")</f>
        <v>ok</v>
      </c>
      <c r="J3" s="277">
        <f>J2</f>
        <v>10689.42</v>
      </c>
      <c r="K3" s="298">
        <f t="shared" ref="K3:K31" si="2">J3-J2</f>
        <v>0</v>
      </c>
      <c r="L3" s="277">
        <f>L2</f>
        <v>237074.9</v>
      </c>
      <c r="M3" s="298">
        <f t="shared" ref="M3:M33" si="3">SUM(L3-L2)</f>
        <v>0</v>
      </c>
      <c r="N3" s="298">
        <f>IF(K3&gt;0,M3/K3,0)</f>
        <v>0</v>
      </c>
      <c r="O3" s="277">
        <f>[5]GEN!O32</f>
        <v>0</v>
      </c>
      <c r="P3" s="299">
        <f>P2</f>
        <v>10873</v>
      </c>
      <c r="Q3" s="298" t="str">
        <f t="shared" ref="Q3:Q17" si="4">IF(J3-P3&lt;=0,"ok","oil change")</f>
        <v>ok</v>
      </c>
      <c r="R3" s="277">
        <v>11118</v>
      </c>
      <c r="S3" s="298">
        <f t="shared" ref="S3:S32" si="5">R3-R2</f>
        <v>3</v>
      </c>
      <c r="T3" s="277">
        <v>234786</v>
      </c>
      <c r="U3" s="298">
        <f t="shared" ref="U3:U19" si="6">SUM(T3-T2)</f>
        <v>644</v>
      </c>
      <c r="V3" s="298">
        <f>IF(S3&gt;0,U3/S3,0)</f>
        <v>214.66666666666666</v>
      </c>
      <c r="W3" s="277">
        <f>[5]GEN!W32</f>
        <v>0</v>
      </c>
      <c r="X3" s="299">
        <f>X2</f>
        <v>11709</v>
      </c>
      <c r="Y3" s="298" t="str">
        <f t="shared" ref="Y3:Y20" si="7">IF(R3-X3&lt;=0,"ok","oil change")</f>
        <v>ok</v>
      </c>
      <c r="Z3" s="298">
        <f t="shared" ref="Z3:Z32" si="8">C3+K3+S3</f>
        <v>3</v>
      </c>
      <c r="AA3" s="298">
        <f>U3+M3+E3</f>
        <v>644</v>
      </c>
      <c r="AB3" s="298">
        <f>V3+N3+F3</f>
        <v>214.66666666666666</v>
      </c>
      <c r="AC3" s="298">
        <f>IF(Z3&gt;0,AA3/Z3,0)</f>
        <v>214.66666666666666</v>
      </c>
      <c r="AD3" s="74">
        <f>ELEC!Q3</f>
        <v>1399.9999999996362</v>
      </c>
      <c r="AE3" s="74">
        <f>SUM(AD3/Z3)</f>
        <v>466.66666666654538</v>
      </c>
      <c r="AF3" s="424">
        <f>SUM(AE3/1600)</f>
        <v>0.29166666666659086</v>
      </c>
      <c r="AG3" s="425">
        <f>SUM(360*AF3)</f>
        <v>104.99999999997272</v>
      </c>
      <c r="AH3" s="425">
        <f>SUM(AC3-AG3)</f>
        <v>109.66666666669394</v>
      </c>
      <c r="AI3" s="74">
        <f>AD3*AJ3</f>
        <v>360.3375527425224</v>
      </c>
      <c r="AJ3" s="300">
        <f t="shared" ref="AJ3:AJ32" si="9">305/1185</f>
        <v>0.25738396624472576</v>
      </c>
      <c r="AK3" s="300">
        <f t="shared" ref="AK3:AK8" si="10">AI3/Z3</f>
        <v>120.1125175808408</v>
      </c>
    </row>
    <row r="4" spans="1:37">
      <c r="A4" s="4">
        <f>ELEC!C4</f>
        <v>43953</v>
      </c>
      <c r="B4" s="277">
        <f t="shared" ref="B4:D33" si="11">B3</f>
        <v>8621.09</v>
      </c>
      <c r="C4" s="298">
        <f t="shared" ref="C4:C32" si="12">B4-B3</f>
        <v>0</v>
      </c>
      <c r="D4" s="277">
        <f t="shared" si="11"/>
        <v>146479.79999999999</v>
      </c>
      <c r="E4" s="298">
        <f t="shared" ref="E4:E32" si="13">SUM(D4-D3)</f>
        <v>0</v>
      </c>
      <c r="F4" s="298">
        <f t="shared" si="0"/>
        <v>0</v>
      </c>
      <c r="G4" s="200"/>
      <c r="H4" s="299">
        <f t="shared" ref="H4:H33" si="14">H3</f>
        <v>8677</v>
      </c>
      <c r="I4" s="298" t="str">
        <f t="shared" si="1"/>
        <v>ok</v>
      </c>
      <c r="J4" s="277">
        <f t="shared" ref="J4:L33" si="15">J3</f>
        <v>10689.42</v>
      </c>
      <c r="K4" s="298">
        <f t="shared" si="2"/>
        <v>0</v>
      </c>
      <c r="L4" s="277">
        <f t="shared" si="15"/>
        <v>237074.9</v>
      </c>
      <c r="M4" s="298">
        <f t="shared" si="3"/>
        <v>0</v>
      </c>
      <c r="N4" s="298">
        <f t="shared" ref="N4:N32" si="16">IF(K4&gt;0,M4/K4,0)</f>
        <v>0</v>
      </c>
      <c r="O4" s="200"/>
      <c r="P4" s="299">
        <f t="shared" ref="P4:P33" si="17">P3</f>
        <v>10873</v>
      </c>
      <c r="Q4" s="298" t="str">
        <f t="shared" si="4"/>
        <v>ok</v>
      </c>
      <c r="R4" s="277">
        <v>11120</v>
      </c>
      <c r="S4" s="298">
        <f t="shared" si="5"/>
        <v>2</v>
      </c>
      <c r="T4" s="277">
        <v>235331.1</v>
      </c>
      <c r="U4" s="298">
        <f t="shared" si="6"/>
        <v>545.10000000000582</v>
      </c>
      <c r="V4" s="298">
        <f t="shared" ref="V4:V32" si="18">IF(S4&gt;0,U4/S4,0)</f>
        <v>272.55000000000291</v>
      </c>
      <c r="W4" s="200"/>
      <c r="X4" s="299">
        <f t="shared" ref="X4:X33" si="19">X3</f>
        <v>11709</v>
      </c>
      <c r="Y4" s="298" t="str">
        <f t="shared" si="7"/>
        <v>ok</v>
      </c>
      <c r="Z4" s="298">
        <f>C4+K4+S4</f>
        <v>2</v>
      </c>
      <c r="AA4" s="298">
        <f t="shared" ref="AA4:AA32" si="20">U4+M4+E4</f>
        <v>545.10000000000582</v>
      </c>
      <c r="AB4" s="298">
        <f t="shared" ref="AB4:AB32" si="21">V4+N4+F4</f>
        <v>272.55000000000291</v>
      </c>
      <c r="AC4" s="298">
        <f t="shared" ref="AC4:AC32" si="22">IF(Z4&gt;0,AA4/Z4,0)</f>
        <v>272.55000000000291</v>
      </c>
      <c r="AD4" s="74">
        <f>ELEC!Q4</f>
        <v>1533.9999999996508</v>
      </c>
      <c r="AE4" s="74">
        <f>SUM(AD4/Z4)</f>
        <v>766.99999999982538</v>
      </c>
      <c r="AF4" s="424">
        <f>SUM(AE4/1600)</f>
        <v>0.47937499999989086</v>
      </c>
      <c r="AG4" s="425">
        <f>SUM(360*AF4)</f>
        <v>172.57499999996071</v>
      </c>
      <c r="AH4" s="425">
        <f t="shared" ref="AH4:AH32" si="23">SUM(AC4-AG4)</f>
        <v>99.975000000042201</v>
      </c>
      <c r="AI4" s="74">
        <f>AD4*AJ4</f>
        <v>394.82700421931941</v>
      </c>
      <c r="AJ4" s="300">
        <f t="shared" si="9"/>
        <v>0.25738396624472576</v>
      </c>
      <c r="AK4" s="300">
        <f t="shared" si="10"/>
        <v>197.4135021096597</v>
      </c>
    </row>
    <row r="5" spans="1:37">
      <c r="A5" s="4">
        <f>ELEC!C5</f>
        <v>43954</v>
      </c>
      <c r="B5" s="277">
        <f t="shared" si="11"/>
        <v>8621.09</v>
      </c>
      <c r="C5" s="298">
        <f t="shared" si="12"/>
        <v>0</v>
      </c>
      <c r="D5" s="277">
        <f t="shared" si="11"/>
        <v>146479.79999999999</v>
      </c>
      <c r="E5" s="298">
        <f t="shared" si="13"/>
        <v>0</v>
      </c>
      <c r="F5" s="298">
        <f t="shared" si="0"/>
        <v>0</v>
      </c>
      <c r="G5" s="296"/>
      <c r="H5" s="299">
        <v>8497</v>
      </c>
      <c r="I5" s="298" t="str">
        <f t="shared" si="1"/>
        <v>oil change</v>
      </c>
      <c r="J5" s="277">
        <f t="shared" si="15"/>
        <v>10689.42</v>
      </c>
      <c r="K5" s="298">
        <f t="shared" si="2"/>
        <v>0</v>
      </c>
      <c r="L5" s="277">
        <f t="shared" si="15"/>
        <v>237074.9</v>
      </c>
      <c r="M5" s="298">
        <f t="shared" si="3"/>
        <v>0</v>
      </c>
      <c r="N5" s="298">
        <f t="shared" si="16"/>
        <v>0</v>
      </c>
      <c r="O5" s="200"/>
      <c r="P5" s="299">
        <f>P4</f>
        <v>10873</v>
      </c>
      <c r="Q5" s="298" t="str">
        <f t="shared" si="4"/>
        <v>ok</v>
      </c>
      <c r="R5" s="586">
        <v>11124</v>
      </c>
      <c r="S5" s="298">
        <f t="shared" si="5"/>
        <v>4</v>
      </c>
      <c r="T5" s="277">
        <v>236146</v>
      </c>
      <c r="U5" s="298">
        <f t="shared" si="6"/>
        <v>814.89999999999418</v>
      </c>
      <c r="V5" s="298">
        <f>IF(S5&gt;0,U5/S5,0)</f>
        <v>203.72499999999854</v>
      </c>
      <c r="W5" s="200"/>
      <c r="X5" s="299">
        <f t="shared" si="19"/>
        <v>11709</v>
      </c>
      <c r="Y5" s="298" t="str">
        <f t="shared" si="7"/>
        <v>ok</v>
      </c>
      <c r="Z5" s="298">
        <f t="shared" si="8"/>
        <v>4</v>
      </c>
      <c r="AA5" s="298">
        <f t="shared" si="20"/>
        <v>814.89999999999418</v>
      </c>
      <c r="AB5" s="298">
        <f t="shared" si="21"/>
        <v>203.72499999999854</v>
      </c>
      <c r="AC5" s="298">
        <f t="shared" si="22"/>
        <v>203.72499999999854</v>
      </c>
      <c r="AD5" s="74">
        <f>ELEC!Q5</f>
        <v>1466.0000000003492</v>
      </c>
      <c r="AE5" s="74">
        <f t="shared" ref="AE5:AE32" si="24">SUM(AD5/Z5)</f>
        <v>366.50000000008731</v>
      </c>
      <c r="AF5" s="424">
        <f t="shared" ref="AF5:AF32" si="25">SUM(AE5/1600)</f>
        <v>0.22906250000005457</v>
      </c>
      <c r="AG5" s="425">
        <f t="shared" ref="AG5:AG32" si="26">SUM(320*AF5)</f>
        <v>73.300000000017462</v>
      </c>
      <c r="AH5" s="425">
        <f t="shared" si="23"/>
        <v>130.42499999998108</v>
      </c>
      <c r="AI5" s="74">
        <f t="shared" ref="AI5:AI32" si="27">AD5*AJ5</f>
        <v>377.32489451485787</v>
      </c>
      <c r="AJ5" s="300">
        <f t="shared" si="9"/>
        <v>0.25738396624472576</v>
      </c>
      <c r="AK5" s="300">
        <f t="shared" si="10"/>
        <v>94.331223628714469</v>
      </c>
    </row>
    <row r="6" spans="1:37">
      <c r="A6" s="4">
        <f>ELEC!C6</f>
        <v>43955</v>
      </c>
      <c r="B6" s="277">
        <f t="shared" si="11"/>
        <v>8621.09</v>
      </c>
      <c r="C6" s="298">
        <f t="shared" si="12"/>
        <v>0</v>
      </c>
      <c r="D6" s="277">
        <f t="shared" si="11"/>
        <v>146479.79999999999</v>
      </c>
      <c r="E6" s="298">
        <f t="shared" si="13"/>
        <v>0</v>
      </c>
      <c r="F6" s="298">
        <f t="shared" si="0"/>
        <v>0</v>
      </c>
      <c r="G6" s="200"/>
      <c r="H6" s="299">
        <f t="shared" si="14"/>
        <v>8497</v>
      </c>
      <c r="I6" s="298" t="str">
        <f t="shared" si="1"/>
        <v>oil change</v>
      </c>
      <c r="J6" s="277">
        <f t="shared" si="15"/>
        <v>10689.42</v>
      </c>
      <c r="K6" s="298">
        <f t="shared" si="2"/>
        <v>0</v>
      </c>
      <c r="L6" s="277">
        <f t="shared" si="15"/>
        <v>237074.9</v>
      </c>
      <c r="M6" s="298">
        <f t="shared" si="3"/>
        <v>0</v>
      </c>
      <c r="N6" s="298">
        <f t="shared" si="16"/>
        <v>0</v>
      </c>
      <c r="O6" s="323"/>
      <c r="P6" s="299">
        <f t="shared" si="17"/>
        <v>10873</v>
      </c>
      <c r="Q6" s="298" t="str">
        <f t="shared" si="4"/>
        <v>ok</v>
      </c>
      <c r="R6" s="586">
        <v>11127</v>
      </c>
      <c r="S6" s="298">
        <f t="shared" si="5"/>
        <v>3</v>
      </c>
      <c r="T6" s="277">
        <v>236923</v>
      </c>
      <c r="U6" s="298">
        <f t="shared" si="6"/>
        <v>777</v>
      </c>
      <c r="V6" s="298">
        <f t="shared" si="18"/>
        <v>259</v>
      </c>
      <c r="W6" s="323"/>
      <c r="X6" s="299">
        <f t="shared" si="19"/>
        <v>11709</v>
      </c>
      <c r="Y6" s="298" t="str">
        <f t="shared" si="7"/>
        <v>ok</v>
      </c>
      <c r="Z6" s="298">
        <f t="shared" si="8"/>
        <v>3</v>
      </c>
      <c r="AA6" s="298">
        <f t="shared" si="20"/>
        <v>777</v>
      </c>
      <c r="AB6" s="298">
        <f t="shared" si="21"/>
        <v>259</v>
      </c>
      <c r="AC6" s="298">
        <f t="shared" si="22"/>
        <v>259</v>
      </c>
      <c r="AD6" s="74">
        <f>ELEC!Q6</f>
        <v>1000</v>
      </c>
      <c r="AE6" s="74">
        <f>SUM(AD6/Z6)</f>
        <v>333.33333333333331</v>
      </c>
      <c r="AF6" s="424">
        <f t="shared" si="25"/>
        <v>0.20833333333333331</v>
      </c>
      <c r="AG6" s="425">
        <f>SUM(320*AF6)</f>
        <v>66.666666666666657</v>
      </c>
      <c r="AH6" s="425">
        <f t="shared" si="23"/>
        <v>192.33333333333334</v>
      </c>
      <c r="AI6" s="74">
        <f t="shared" si="27"/>
        <v>257.38396624472574</v>
      </c>
      <c r="AJ6" s="300">
        <f t="shared" si="9"/>
        <v>0.25738396624472576</v>
      </c>
      <c r="AK6" s="300">
        <f t="shared" si="10"/>
        <v>85.794655414908576</v>
      </c>
    </row>
    <row r="7" spans="1:37">
      <c r="A7" s="4">
        <f>ELEC!C7</f>
        <v>43956</v>
      </c>
      <c r="B7" s="277">
        <f t="shared" si="11"/>
        <v>8621.09</v>
      </c>
      <c r="C7" s="298">
        <f t="shared" si="12"/>
        <v>0</v>
      </c>
      <c r="D7" s="277">
        <f t="shared" si="11"/>
        <v>146479.79999999999</v>
      </c>
      <c r="E7" s="298">
        <f t="shared" si="13"/>
        <v>0</v>
      </c>
      <c r="F7" s="298">
        <f t="shared" si="0"/>
        <v>0</v>
      </c>
      <c r="G7" s="200"/>
      <c r="H7" s="299">
        <f t="shared" si="14"/>
        <v>8497</v>
      </c>
      <c r="I7" s="298" t="str">
        <f t="shared" si="1"/>
        <v>oil change</v>
      </c>
      <c r="J7" s="277">
        <f t="shared" si="15"/>
        <v>10689.42</v>
      </c>
      <c r="K7" s="298">
        <f t="shared" si="2"/>
        <v>0</v>
      </c>
      <c r="L7" s="277">
        <f t="shared" si="15"/>
        <v>237074.9</v>
      </c>
      <c r="M7" s="298">
        <f t="shared" si="3"/>
        <v>0</v>
      </c>
      <c r="N7" s="298">
        <f t="shared" si="16"/>
        <v>0</v>
      </c>
      <c r="O7" s="323"/>
      <c r="P7" s="299">
        <f t="shared" si="17"/>
        <v>10873</v>
      </c>
      <c r="Q7" s="298" t="str">
        <f t="shared" si="4"/>
        <v>ok</v>
      </c>
      <c r="R7" s="277">
        <f t="shared" ref="R7:T33" si="28">R6</f>
        <v>11127</v>
      </c>
      <c r="S7" s="298">
        <f t="shared" si="5"/>
        <v>0</v>
      </c>
      <c r="T7" s="277">
        <f t="shared" si="28"/>
        <v>236923</v>
      </c>
      <c r="U7" s="298">
        <f t="shared" si="6"/>
        <v>0</v>
      </c>
      <c r="V7" s="298">
        <f t="shared" si="18"/>
        <v>0</v>
      </c>
      <c r="W7" s="200"/>
      <c r="X7" s="299">
        <f t="shared" si="19"/>
        <v>11709</v>
      </c>
      <c r="Y7" s="298" t="str">
        <f t="shared" si="7"/>
        <v>ok</v>
      </c>
      <c r="Z7" s="298">
        <f t="shared" si="8"/>
        <v>0</v>
      </c>
      <c r="AA7" s="298">
        <f>U7+M7+E7</f>
        <v>0</v>
      </c>
      <c r="AB7" s="298">
        <f t="shared" si="21"/>
        <v>0</v>
      </c>
      <c r="AC7" s="298">
        <f t="shared" si="22"/>
        <v>0</v>
      </c>
      <c r="AD7" s="74">
        <f>ELEC!Q7</f>
        <v>0</v>
      </c>
      <c r="AE7" s="74" t="e">
        <f t="shared" si="24"/>
        <v>#DIV/0!</v>
      </c>
      <c r="AF7" s="424" t="e">
        <f t="shared" si="25"/>
        <v>#DIV/0!</v>
      </c>
      <c r="AG7" s="534" t="s">
        <v>406</v>
      </c>
      <c r="AH7" s="425" t="e">
        <f t="shared" si="23"/>
        <v>#VALUE!</v>
      </c>
      <c r="AI7" s="74">
        <f t="shared" si="27"/>
        <v>0</v>
      </c>
      <c r="AJ7" s="300">
        <f t="shared" si="9"/>
        <v>0.25738396624472576</v>
      </c>
      <c r="AK7" s="300" t="e">
        <f t="shared" si="10"/>
        <v>#DIV/0!</v>
      </c>
    </row>
    <row r="8" spans="1:37">
      <c r="A8" s="4">
        <f>ELEC!C8</f>
        <v>43957</v>
      </c>
      <c r="B8" s="277">
        <f t="shared" si="11"/>
        <v>8621.09</v>
      </c>
      <c r="C8" s="298">
        <f t="shared" si="12"/>
        <v>0</v>
      </c>
      <c r="D8" s="277">
        <f t="shared" si="11"/>
        <v>146479.79999999999</v>
      </c>
      <c r="E8" s="298">
        <f t="shared" si="13"/>
        <v>0</v>
      </c>
      <c r="F8" s="298">
        <f t="shared" si="0"/>
        <v>0</v>
      </c>
      <c r="G8" s="200"/>
      <c r="H8" s="299">
        <f t="shared" si="14"/>
        <v>8497</v>
      </c>
      <c r="I8" s="298" t="str">
        <f t="shared" si="1"/>
        <v>oil change</v>
      </c>
      <c r="J8" s="277">
        <f t="shared" si="15"/>
        <v>10689.42</v>
      </c>
      <c r="K8" s="298">
        <f t="shared" si="2"/>
        <v>0</v>
      </c>
      <c r="L8" s="277">
        <f t="shared" si="15"/>
        <v>237074.9</v>
      </c>
      <c r="M8" s="298">
        <f t="shared" si="3"/>
        <v>0</v>
      </c>
      <c r="N8" s="298">
        <f t="shared" si="16"/>
        <v>0</v>
      </c>
      <c r="O8" s="200"/>
      <c r="P8" s="299">
        <f t="shared" si="17"/>
        <v>10873</v>
      </c>
      <c r="Q8" s="298" t="str">
        <f t="shared" si="4"/>
        <v>ok</v>
      </c>
      <c r="R8" s="277">
        <f t="shared" si="28"/>
        <v>11127</v>
      </c>
      <c r="S8" s="298">
        <f t="shared" si="5"/>
        <v>0</v>
      </c>
      <c r="T8" s="277">
        <f t="shared" si="28"/>
        <v>236923</v>
      </c>
      <c r="U8" s="298">
        <f t="shared" si="6"/>
        <v>0</v>
      </c>
      <c r="V8" s="298">
        <f t="shared" si="18"/>
        <v>0</v>
      </c>
      <c r="W8" s="200"/>
      <c r="X8" s="299">
        <f t="shared" si="19"/>
        <v>11709</v>
      </c>
      <c r="Y8" s="298" t="str">
        <f t="shared" si="7"/>
        <v>ok</v>
      </c>
      <c r="Z8" s="298">
        <f t="shared" si="8"/>
        <v>0</v>
      </c>
      <c r="AA8" s="298">
        <f t="shared" si="20"/>
        <v>0</v>
      </c>
      <c r="AB8" s="298">
        <f t="shared" si="21"/>
        <v>0</v>
      </c>
      <c r="AC8" s="298">
        <f t="shared" si="22"/>
        <v>0</v>
      </c>
      <c r="AD8" s="74">
        <f>ELEC!Q8</f>
        <v>0</v>
      </c>
      <c r="AE8" s="74" t="e">
        <f t="shared" si="24"/>
        <v>#DIV/0!</v>
      </c>
      <c r="AF8" s="424" t="e">
        <f t="shared" si="25"/>
        <v>#DIV/0!</v>
      </c>
      <c r="AG8" s="425" t="e">
        <f t="shared" si="26"/>
        <v>#DIV/0!</v>
      </c>
      <c r="AH8" s="425" t="e">
        <f t="shared" si="23"/>
        <v>#DIV/0!</v>
      </c>
      <c r="AI8" s="74">
        <f t="shared" si="27"/>
        <v>0</v>
      </c>
      <c r="AJ8" s="300">
        <f t="shared" si="9"/>
        <v>0.25738396624472576</v>
      </c>
      <c r="AK8" s="300" t="e">
        <f t="shared" si="10"/>
        <v>#DIV/0!</v>
      </c>
    </row>
    <row r="9" spans="1:37">
      <c r="A9" s="4">
        <f>ELEC!C9</f>
        <v>43958</v>
      </c>
      <c r="B9" s="277">
        <f t="shared" si="11"/>
        <v>8621.09</v>
      </c>
      <c r="C9" s="298">
        <f t="shared" si="12"/>
        <v>0</v>
      </c>
      <c r="D9" s="277">
        <f t="shared" si="11"/>
        <v>146479.79999999999</v>
      </c>
      <c r="E9" s="298">
        <f t="shared" si="13"/>
        <v>0</v>
      </c>
      <c r="F9" s="298">
        <f t="shared" si="0"/>
        <v>0</v>
      </c>
      <c r="G9" s="200"/>
      <c r="H9" s="299">
        <f t="shared" si="14"/>
        <v>8497</v>
      </c>
      <c r="I9" s="298" t="str">
        <f t="shared" si="1"/>
        <v>oil change</v>
      </c>
      <c r="J9" s="277">
        <f t="shared" si="15"/>
        <v>10689.42</v>
      </c>
      <c r="K9" s="298">
        <f t="shared" si="2"/>
        <v>0</v>
      </c>
      <c r="L9" s="277">
        <f t="shared" si="15"/>
        <v>237074.9</v>
      </c>
      <c r="M9" s="298">
        <f t="shared" si="3"/>
        <v>0</v>
      </c>
      <c r="N9" s="298">
        <f t="shared" si="16"/>
        <v>0</v>
      </c>
      <c r="O9" s="200"/>
      <c r="P9" s="299">
        <f t="shared" si="17"/>
        <v>10873</v>
      </c>
      <c r="Q9" s="298" t="str">
        <f t="shared" si="4"/>
        <v>ok</v>
      </c>
      <c r="R9" s="277">
        <f t="shared" si="28"/>
        <v>11127</v>
      </c>
      <c r="S9" s="298">
        <f t="shared" si="5"/>
        <v>0</v>
      </c>
      <c r="T9" s="277">
        <f t="shared" si="28"/>
        <v>236923</v>
      </c>
      <c r="U9" s="298">
        <f t="shared" si="6"/>
        <v>0</v>
      </c>
      <c r="V9" s="298">
        <f t="shared" si="18"/>
        <v>0</v>
      </c>
      <c r="W9" s="200"/>
      <c r="X9" s="299">
        <f t="shared" si="19"/>
        <v>11709</v>
      </c>
      <c r="Y9" s="298" t="str">
        <f t="shared" si="7"/>
        <v>ok</v>
      </c>
      <c r="Z9" s="298">
        <f t="shared" si="8"/>
        <v>0</v>
      </c>
      <c r="AA9" s="298">
        <f t="shared" si="20"/>
        <v>0</v>
      </c>
      <c r="AB9" s="298">
        <f t="shared" si="21"/>
        <v>0</v>
      </c>
      <c r="AC9" s="298">
        <f t="shared" si="22"/>
        <v>0</v>
      </c>
      <c r="AD9" s="74">
        <f>ELEC!Q9</f>
        <v>0</v>
      </c>
      <c r="AE9" s="74" t="e">
        <f t="shared" si="24"/>
        <v>#DIV/0!</v>
      </c>
      <c r="AF9" s="424" t="e">
        <f t="shared" si="25"/>
        <v>#DIV/0!</v>
      </c>
      <c r="AG9" s="425" t="e">
        <f t="shared" si="26"/>
        <v>#DIV/0!</v>
      </c>
      <c r="AH9" s="425" t="e">
        <f t="shared" si="23"/>
        <v>#DIV/0!</v>
      </c>
      <c r="AI9" s="74">
        <f t="shared" si="27"/>
        <v>0</v>
      </c>
      <c r="AJ9" s="300">
        <v>0.25738396624472576</v>
      </c>
      <c r="AK9" s="300">
        <f t="shared" ref="AK9:AK16" si="29">IF(Z9&gt;0,AI9/Z9,0)</f>
        <v>0</v>
      </c>
    </row>
    <row r="10" spans="1:37">
      <c r="A10" s="4">
        <f>ELEC!C10</f>
        <v>43959</v>
      </c>
      <c r="B10" s="277">
        <f t="shared" si="11"/>
        <v>8621.09</v>
      </c>
      <c r="C10" s="298">
        <f t="shared" si="12"/>
        <v>0</v>
      </c>
      <c r="D10" s="277">
        <f t="shared" si="11"/>
        <v>146479.79999999999</v>
      </c>
      <c r="E10" s="298">
        <f t="shared" si="13"/>
        <v>0</v>
      </c>
      <c r="F10" s="298">
        <f t="shared" si="0"/>
        <v>0</v>
      </c>
      <c r="G10" s="200"/>
      <c r="H10" s="299">
        <f t="shared" si="14"/>
        <v>8497</v>
      </c>
      <c r="I10" s="298" t="str">
        <f t="shared" si="1"/>
        <v>oil change</v>
      </c>
      <c r="J10" s="277">
        <f t="shared" si="15"/>
        <v>10689.42</v>
      </c>
      <c r="K10" s="298">
        <f t="shared" si="2"/>
        <v>0</v>
      </c>
      <c r="L10" s="277">
        <f t="shared" si="15"/>
        <v>237074.9</v>
      </c>
      <c r="M10" s="298">
        <f t="shared" si="3"/>
        <v>0</v>
      </c>
      <c r="N10" s="298">
        <f t="shared" si="16"/>
        <v>0</v>
      </c>
      <c r="O10" s="200"/>
      <c r="P10" s="299">
        <v>10873</v>
      </c>
      <c r="Q10" s="298" t="str">
        <f t="shared" si="4"/>
        <v>ok</v>
      </c>
      <c r="R10" s="277">
        <f t="shared" si="28"/>
        <v>11127</v>
      </c>
      <c r="S10" s="298">
        <f t="shared" si="5"/>
        <v>0</v>
      </c>
      <c r="T10" s="277">
        <f t="shared" si="28"/>
        <v>236923</v>
      </c>
      <c r="U10" s="298">
        <f t="shared" si="6"/>
        <v>0</v>
      </c>
      <c r="V10" s="298">
        <f t="shared" si="18"/>
        <v>0</v>
      </c>
      <c r="W10" s="200"/>
      <c r="X10" s="299">
        <f t="shared" si="19"/>
        <v>11709</v>
      </c>
      <c r="Y10" s="298" t="str">
        <f t="shared" si="7"/>
        <v>ok</v>
      </c>
      <c r="Z10" s="298">
        <f t="shared" si="8"/>
        <v>0</v>
      </c>
      <c r="AA10" s="298">
        <f t="shared" si="20"/>
        <v>0</v>
      </c>
      <c r="AB10" s="298">
        <f t="shared" si="21"/>
        <v>0</v>
      </c>
      <c r="AC10" s="298">
        <f t="shared" si="22"/>
        <v>0</v>
      </c>
      <c r="AD10" s="74">
        <f>ELEC!Q10</f>
        <v>0</v>
      </c>
      <c r="AE10" s="74" t="e">
        <f t="shared" si="24"/>
        <v>#DIV/0!</v>
      </c>
      <c r="AF10" s="424" t="e">
        <f t="shared" si="25"/>
        <v>#DIV/0!</v>
      </c>
      <c r="AG10" s="425" t="e">
        <f t="shared" si="26"/>
        <v>#DIV/0!</v>
      </c>
      <c r="AH10" s="425" t="e">
        <f t="shared" si="23"/>
        <v>#DIV/0!</v>
      </c>
      <c r="AI10" s="74">
        <f t="shared" si="27"/>
        <v>0</v>
      </c>
      <c r="AJ10" s="300">
        <f t="shared" si="9"/>
        <v>0.25738396624472576</v>
      </c>
      <c r="AK10" s="300">
        <f t="shared" si="29"/>
        <v>0</v>
      </c>
    </row>
    <row r="11" spans="1:37">
      <c r="A11" s="4">
        <f>ELEC!C11</f>
        <v>43960</v>
      </c>
      <c r="B11" s="277">
        <f t="shared" si="11"/>
        <v>8621.09</v>
      </c>
      <c r="C11" s="298">
        <f t="shared" si="12"/>
        <v>0</v>
      </c>
      <c r="D11" s="277">
        <f t="shared" si="11"/>
        <v>146479.79999999999</v>
      </c>
      <c r="E11" s="298">
        <f t="shared" si="13"/>
        <v>0</v>
      </c>
      <c r="F11" s="298">
        <f t="shared" si="0"/>
        <v>0</v>
      </c>
      <c r="G11" s="200"/>
      <c r="H11" s="299">
        <f t="shared" si="14"/>
        <v>8497</v>
      </c>
      <c r="I11" s="298" t="str">
        <f t="shared" si="1"/>
        <v>oil change</v>
      </c>
      <c r="J11" s="277">
        <f t="shared" si="15"/>
        <v>10689.42</v>
      </c>
      <c r="K11" s="298">
        <f t="shared" si="2"/>
        <v>0</v>
      </c>
      <c r="L11" s="277">
        <f t="shared" si="15"/>
        <v>237074.9</v>
      </c>
      <c r="M11" s="298">
        <f t="shared" si="3"/>
        <v>0</v>
      </c>
      <c r="N11" s="298">
        <f t="shared" si="16"/>
        <v>0</v>
      </c>
      <c r="O11" s="200"/>
      <c r="P11" s="299">
        <f t="shared" si="17"/>
        <v>10873</v>
      </c>
      <c r="Q11" s="298" t="str">
        <f t="shared" si="4"/>
        <v>ok</v>
      </c>
      <c r="R11" s="277">
        <f t="shared" si="28"/>
        <v>11127</v>
      </c>
      <c r="S11" s="298">
        <f t="shared" si="5"/>
        <v>0</v>
      </c>
      <c r="T11" s="277">
        <f t="shared" si="28"/>
        <v>236923</v>
      </c>
      <c r="U11" s="298">
        <f t="shared" si="6"/>
        <v>0</v>
      </c>
      <c r="V11" s="298">
        <f t="shared" si="18"/>
        <v>0</v>
      </c>
      <c r="W11" s="200"/>
      <c r="X11" s="299">
        <f t="shared" si="19"/>
        <v>11709</v>
      </c>
      <c r="Y11" s="298" t="str">
        <f t="shared" si="7"/>
        <v>ok</v>
      </c>
      <c r="Z11" s="298">
        <f t="shared" si="8"/>
        <v>0</v>
      </c>
      <c r="AA11" s="298">
        <f t="shared" si="20"/>
        <v>0</v>
      </c>
      <c r="AB11" s="298">
        <f t="shared" si="21"/>
        <v>0</v>
      </c>
      <c r="AC11" s="298">
        <f t="shared" si="22"/>
        <v>0</v>
      </c>
      <c r="AD11" s="74">
        <f>ELEC!Q11</f>
        <v>0</v>
      </c>
      <c r="AE11" s="74" t="e">
        <f t="shared" si="24"/>
        <v>#DIV/0!</v>
      </c>
      <c r="AF11" s="424" t="e">
        <f t="shared" si="25"/>
        <v>#DIV/0!</v>
      </c>
      <c r="AG11" s="425" t="e">
        <f t="shared" si="26"/>
        <v>#DIV/0!</v>
      </c>
      <c r="AH11" s="425" t="e">
        <f t="shared" si="23"/>
        <v>#DIV/0!</v>
      </c>
      <c r="AI11" s="74">
        <f t="shared" si="27"/>
        <v>0</v>
      </c>
      <c r="AJ11" s="300">
        <f t="shared" si="9"/>
        <v>0.25738396624472576</v>
      </c>
      <c r="AK11" s="300">
        <f t="shared" si="29"/>
        <v>0</v>
      </c>
    </row>
    <row r="12" spans="1:37">
      <c r="A12" s="4">
        <f>ELEC!C12</f>
        <v>43961</v>
      </c>
      <c r="B12" s="277">
        <f t="shared" si="11"/>
        <v>8621.09</v>
      </c>
      <c r="C12" s="298">
        <f t="shared" si="12"/>
        <v>0</v>
      </c>
      <c r="D12" s="277">
        <f t="shared" si="11"/>
        <v>146479.79999999999</v>
      </c>
      <c r="E12" s="298">
        <f t="shared" si="13"/>
        <v>0</v>
      </c>
      <c r="F12" s="298">
        <f t="shared" si="0"/>
        <v>0</v>
      </c>
      <c r="G12" s="200"/>
      <c r="H12" s="299">
        <f t="shared" si="14"/>
        <v>8497</v>
      </c>
      <c r="I12" s="298" t="str">
        <f t="shared" si="1"/>
        <v>oil change</v>
      </c>
      <c r="J12" s="277">
        <f t="shared" si="15"/>
        <v>10689.42</v>
      </c>
      <c r="K12" s="298">
        <f t="shared" si="2"/>
        <v>0</v>
      </c>
      <c r="L12" s="277">
        <f t="shared" si="15"/>
        <v>237074.9</v>
      </c>
      <c r="M12" s="298">
        <f t="shared" si="3"/>
        <v>0</v>
      </c>
      <c r="N12" s="298">
        <f t="shared" si="16"/>
        <v>0</v>
      </c>
      <c r="O12" s="200"/>
      <c r="P12" s="299">
        <f t="shared" si="17"/>
        <v>10873</v>
      </c>
      <c r="Q12" s="298" t="str">
        <f t="shared" si="4"/>
        <v>ok</v>
      </c>
      <c r="R12" s="277">
        <f t="shared" si="28"/>
        <v>11127</v>
      </c>
      <c r="S12" s="298">
        <f t="shared" si="5"/>
        <v>0</v>
      </c>
      <c r="T12" s="277">
        <f t="shared" si="28"/>
        <v>236923</v>
      </c>
      <c r="U12" s="298">
        <f t="shared" si="6"/>
        <v>0</v>
      </c>
      <c r="V12" s="298">
        <f t="shared" si="18"/>
        <v>0</v>
      </c>
      <c r="W12" s="200"/>
      <c r="X12" s="299">
        <f t="shared" si="19"/>
        <v>11709</v>
      </c>
      <c r="Y12" s="298" t="str">
        <f t="shared" si="7"/>
        <v>ok</v>
      </c>
      <c r="Z12" s="298">
        <f t="shared" si="8"/>
        <v>0</v>
      </c>
      <c r="AA12" s="298">
        <f t="shared" si="20"/>
        <v>0</v>
      </c>
      <c r="AB12" s="298">
        <f t="shared" si="21"/>
        <v>0</v>
      </c>
      <c r="AC12" s="298">
        <f t="shared" si="22"/>
        <v>0</v>
      </c>
      <c r="AD12" s="74">
        <f>ELEC!Q12</f>
        <v>0</v>
      </c>
      <c r="AE12" s="74" t="e">
        <f t="shared" si="24"/>
        <v>#DIV/0!</v>
      </c>
      <c r="AF12" s="424" t="e">
        <f t="shared" si="25"/>
        <v>#DIV/0!</v>
      </c>
      <c r="AG12" s="425" t="e">
        <f t="shared" si="26"/>
        <v>#DIV/0!</v>
      </c>
      <c r="AH12" s="425" t="e">
        <f t="shared" si="23"/>
        <v>#DIV/0!</v>
      </c>
      <c r="AI12" s="74">
        <f t="shared" si="27"/>
        <v>0</v>
      </c>
      <c r="AJ12" s="300">
        <f t="shared" si="9"/>
        <v>0.25738396624472576</v>
      </c>
      <c r="AK12" s="300">
        <f t="shared" si="29"/>
        <v>0</v>
      </c>
    </row>
    <row r="13" spans="1:37">
      <c r="A13" s="4">
        <f>ELEC!C13</f>
        <v>43962</v>
      </c>
      <c r="B13" s="277">
        <f t="shared" si="11"/>
        <v>8621.09</v>
      </c>
      <c r="C13" s="298">
        <f t="shared" si="12"/>
        <v>0</v>
      </c>
      <c r="D13" s="277">
        <f t="shared" si="11"/>
        <v>146479.79999999999</v>
      </c>
      <c r="E13" s="298">
        <f t="shared" si="13"/>
        <v>0</v>
      </c>
      <c r="F13" s="298">
        <f t="shared" si="0"/>
        <v>0</v>
      </c>
      <c r="G13" s="200"/>
      <c r="H13" s="299">
        <f t="shared" si="14"/>
        <v>8497</v>
      </c>
      <c r="I13" s="298" t="str">
        <f t="shared" si="1"/>
        <v>oil change</v>
      </c>
      <c r="J13" s="277">
        <f t="shared" si="15"/>
        <v>10689.42</v>
      </c>
      <c r="K13" s="298">
        <f t="shared" si="2"/>
        <v>0</v>
      </c>
      <c r="L13" s="277">
        <f t="shared" si="15"/>
        <v>237074.9</v>
      </c>
      <c r="M13" s="298">
        <f t="shared" si="3"/>
        <v>0</v>
      </c>
      <c r="N13" s="298">
        <f t="shared" si="16"/>
        <v>0</v>
      </c>
      <c r="O13" s="200"/>
      <c r="P13" s="299">
        <f t="shared" si="17"/>
        <v>10873</v>
      </c>
      <c r="Q13" s="298" t="str">
        <f t="shared" si="4"/>
        <v>ok</v>
      </c>
      <c r="R13" s="277">
        <f t="shared" si="28"/>
        <v>11127</v>
      </c>
      <c r="S13" s="298">
        <f t="shared" si="5"/>
        <v>0</v>
      </c>
      <c r="T13" s="277">
        <f t="shared" si="28"/>
        <v>236923</v>
      </c>
      <c r="U13" s="298">
        <f t="shared" si="6"/>
        <v>0</v>
      </c>
      <c r="V13" s="298">
        <f t="shared" si="18"/>
        <v>0</v>
      </c>
      <c r="W13" s="200"/>
      <c r="X13" s="299">
        <f>X12+180</f>
        <v>11889</v>
      </c>
      <c r="Y13" s="298" t="str">
        <f t="shared" si="7"/>
        <v>ok</v>
      </c>
      <c r="Z13" s="298">
        <f t="shared" si="8"/>
        <v>0</v>
      </c>
      <c r="AA13" s="298">
        <f t="shared" si="20"/>
        <v>0</v>
      </c>
      <c r="AB13" s="298">
        <f t="shared" si="21"/>
        <v>0</v>
      </c>
      <c r="AC13" s="298">
        <f t="shared" si="22"/>
        <v>0</v>
      </c>
      <c r="AD13" s="74">
        <f>ELEC!Q13</f>
        <v>0</v>
      </c>
      <c r="AE13" s="74" t="e">
        <f t="shared" si="24"/>
        <v>#DIV/0!</v>
      </c>
      <c r="AF13" s="424" t="e">
        <f t="shared" si="25"/>
        <v>#DIV/0!</v>
      </c>
      <c r="AG13" s="425" t="e">
        <f t="shared" si="26"/>
        <v>#DIV/0!</v>
      </c>
      <c r="AH13" s="425" t="e">
        <f t="shared" si="23"/>
        <v>#DIV/0!</v>
      </c>
      <c r="AI13" s="74">
        <f t="shared" si="27"/>
        <v>0</v>
      </c>
      <c r="AJ13" s="300">
        <f t="shared" si="9"/>
        <v>0.25738396624472576</v>
      </c>
      <c r="AK13" s="300">
        <f t="shared" si="29"/>
        <v>0</v>
      </c>
    </row>
    <row r="14" spans="1:37">
      <c r="A14" s="4">
        <f>ELEC!C14</f>
        <v>43963</v>
      </c>
      <c r="B14" s="277">
        <f t="shared" si="11"/>
        <v>8621.09</v>
      </c>
      <c r="C14" s="298">
        <f t="shared" si="12"/>
        <v>0</v>
      </c>
      <c r="D14" s="277">
        <f t="shared" si="11"/>
        <v>146479.79999999999</v>
      </c>
      <c r="E14" s="298">
        <f t="shared" si="13"/>
        <v>0</v>
      </c>
      <c r="F14" s="298">
        <f t="shared" si="0"/>
        <v>0</v>
      </c>
      <c r="G14" s="200"/>
      <c r="H14" s="299">
        <f t="shared" si="14"/>
        <v>8497</v>
      </c>
      <c r="I14" s="298" t="str">
        <f t="shared" si="1"/>
        <v>oil change</v>
      </c>
      <c r="J14" s="277">
        <f t="shared" si="15"/>
        <v>10689.42</v>
      </c>
      <c r="K14" s="298">
        <f t="shared" si="2"/>
        <v>0</v>
      </c>
      <c r="L14" s="277">
        <f t="shared" si="15"/>
        <v>237074.9</v>
      </c>
      <c r="M14" s="298">
        <f t="shared" si="3"/>
        <v>0</v>
      </c>
      <c r="N14" s="298">
        <f t="shared" si="16"/>
        <v>0</v>
      </c>
      <c r="O14" s="200"/>
      <c r="P14" s="299">
        <f t="shared" si="17"/>
        <v>10873</v>
      </c>
      <c r="Q14" s="298" t="str">
        <f t="shared" si="4"/>
        <v>ok</v>
      </c>
      <c r="R14" s="277">
        <f t="shared" si="28"/>
        <v>11127</v>
      </c>
      <c r="S14" s="298">
        <f t="shared" si="5"/>
        <v>0</v>
      </c>
      <c r="T14" s="277">
        <f t="shared" si="28"/>
        <v>236923</v>
      </c>
      <c r="U14" s="298">
        <f t="shared" si="6"/>
        <v>0</v>
      </c>
      <c r="V14" s="298">
        <f t="shared" si="18"/>
        <v>0</v>
      </c>
      <c r="W14" s="200"/>
      <c r="X14" s="299">
        <f t="shared" si="19"/>
        <v>11889</v>
      </c>
      <c r="Y14" s="298" t="str">
        <f t="shared" si="7"/>
        <v>ok</v>
      </c>
      <c r="Z14" s="298">
        <f t="shared" si="8"/>
        <v>0</v>
      </c>
      <c r="AA14" s="298">
        <f t="shared" si="20"/>
        <v>0</v>
      </c>
      <c r="AB14" s="298">
        <f t="shared" si="21"/>
        <v>0</v>
      </c>
      <c r="AC14" s="298">
        <f t="shared" si="22"/>
        <v>0</v>
      </c>
      <c r="AD14" s="74">
        <f>ELEC!Q14</f>
        <v>0</v>
      </c>
      <c r="AE14" s="74" t="e">
        <f t="shared" si="24"/>
        <v>#DIV/0!</v>
      </c>
      <c r="AF14" s="424" t="e">
        <f t="shared" si="25"/>
        <v>#DIV/0!</v>
      </c>
      <c r="AG14" s="425" t="e">
        <f t="shared" si="26"/>
        <v>#DIV/0!</v>
      </c>
      <c r="AH14" s="425" t="e">
        <f t="shared" si="23"/>
        <v>#DIV/0!</v>
      </c>
      <c r="AI14" s="74">
        <f t="shared" si="27"/>
        <v>0</v>
      </c>
      <c r="AJ14" s="300">
        <f t="shared" si="9"/>
        <v>0.25738396624472576</v>
      </c>
      <c r="AK14" s="300">
        <f t="shared" si="29"/>
        <v>0</v>
      </c>
    </row>
    <row r="15" spans="1:37">
      <c r="A15" s="4">
        <f>ELEC!C15</f>
        <v>43964</v>
      </c>
      <c r="B15" s="277">
        <f t="shared" si="11"/>
        <v>8621.09</v>
      </c>
      <c r="C15" s="298">
        <f t="shared" si="12"/>
        <v>0</v>
      </c>
      <c r="D15" s="277">
        <f t="shared" si="11"/>
        <v>146479.79999999999</v>
      </c>
      <c r="E15" s="298">
        <f t="shared" si="13"/>
        <v>0</v>
      </c>
      <c r="F15" s="298">
        <f t="shared" si="0"/>
        <v>0</v>
      </c>
      <c r="G15" s="200"/>
      <c r="H15" s="299">
        <f t="shared" si="14"/>
        <v>8497</v>
      </c>
      <c r="I15" s="298" t="str">
        <f t="shared" si="1"/>
        <v>oil change</v>
      </c>
      <c r="J15" s="277">
        <f t="shared" si="15"/>
        <v>10689.42</v>
      </c>
      <c r="K15" s="298">
        <f t="shared" si="2"/>
        <v>0</v>
      </c>
      <c r="L15" s="277">
        <f t="shared" si="15"/>
        <v>237074.9</v>
      </c>
      <c r="M15" s="298">
        <f t="shared" si="3"/>
        <v>0</v>
      </c>
      <c r="N15" s="298">
        <f t="shared" si="16"/>
        <v>0</v>
      </c>
      <c r="O15" s="200"/>
      <c r="P15" s="299">
        <f t="shared" si="17"/>
        <v>10873</v>
      </c>
      <c r="Q15" s="298" t="str">
        <f t="shared" si="4"/>
        <v>ok</v>
      </c>
      <c r="R15" s="277">
        <f t="shared" si="28"/>
        <v>11127</v>
      </c>
      <c r="S15" s="298">
        <f t="shared" si="5"/>
        <v>0</v>
      </c>
      <c r="T15" s="277">
        <f t="shared" si="28"/>
        <v>236923</v>
      </c>
      <c r="U15" s="298">
        <f t="shared" si="6"/>
        <v>0</v>
      </c>
      <c r="V15" s="298">
        <f t="shared" si="18"/>
        <v>0</v>
      </c>
      <c r="W15" s="200"/>
      <c r="X15" s="299">
        <f t="shared" si="19"/>
        <v>11889</v>
      </c>
      <c r="Y15" s="298" t="str">
        <f t="shared" si="7"/>
        <v>ok</v>
      </c>
      <c r="Z15" s="298">
        <f t="shared" si="8"/>
        <v>0</v>
      </c>
      <c r="AA15" s="298">
        <f t="shared" si="20"/>
        <v>0</v>
      </c>
      <c r="AB15" s="298">
        <f t="shared" si="21"/>
        <v>0</v>
      </c>
      <c r="AC15" s="298">
        <f t="shared" si="22"/>
        <v>0</v>
      </c>
      <c r="AD15" s="74">
        <f>ELEC!Q15</f>
        <v>0</v>
      </c>
      <c r="AE15" s="74" t="e">
        <f t="shared" si="24"/>
        <v>#DIV/0!</v>
      </c>
      <c r="AF15" s="424" t="e">
        <f t="shared" si="25"/>
        <v>#DIV/0!</v>
      </c>
      <c r="AG15" s="425" t="e">
        <f t="shared" si="26"/>
        <v>#DIV/0!</v>
      </c>
      <c r="AH15" s="425" t="e">
        <f t="shared" si="23"/>
        <v>#DIV/0!</v>
      </c>
      <c r="AI15" s="74">
        <f t="shared" si="27"/>
        <v>0</v>
      </c>
      <c r="AJ15" s="300">
        <f t="shared" si="9"/>
        <v>0.25738396624472576</v>
      </c>
      <c r="AK15" s="300">
        <f t="shared" si="29"/>
        <v>0</v>
      </c>
    </row>
    <row r="16" spans="1:37">
      <c r="A16" s="4">
        <f>ELEC!C16</f>
        <v>43965</v>
      </c>
      <c r="B16" s="277">
        <f t="shared" si="11"/>
        <v>8621.09</v>
      </c>
      <c r="C16" s="298">
        <f t="shared" si="12"/>
        <v>0</v>
      </c>
      <c r="D16" s="277">
        <f t="shared" si="11"/>
        <v>146479.79999999999</v>
      </c>
      <c r="E16" s="298">
        <f t="shared" si="13"/>
        <v>0</v>
      </c>
      <c r="F16" s="298">
        <f t="shared" si="0"/>
        <v>0</v>
      </c>
      <c r="G16" s="200"/>
      <c r="H16" s="299">
        <f t="shared" si="14"/>
        <v>8497</v>
      </c>
      <c r="I16" s="298" t="str">
        <f t="shared" si="1"/>
        <v>oil change</v>
      </c>
      <c r="J16" s="277">
        <f t="shared" si="15"/>
        <v>10689.42</v>
      </c>
      <c r="K16" s="298">
        <f t="shared" si="2"/>
        <v>0</v>
      </c>
      <c r="L16" s="277">
        <f t="shared" si="15"/>
        <v>237074.9</v>
      </c>
      <c r="M16" s="298">
        <f t="shared" si="3"/>
        <v>0</v>
      </c>
      <c r="N16" s="298">
        <f t="shared" si="16"/>
        <v>0</v>
      </c>
      <c r="O16" s="200"/>
      <c r="P16" s="299">
        <f t="shared" si="17"/>
        <v>10873</v>
      </c>
      <c r="Q16" s="298" t="str">
        <f t="shared" si="4"/>
        <v>ok</v>
      </c>
      <c r="R16" s="277">
        <f t="shared" si="28"/>
        <v>11127</v>
      </c>
      <c r="S16" s="542">
        <f t="shared" si="5"/>
        <v>0</v>
      </c>
      <c r="T16" s="277">
        <f t="shared" si="28"/>
        <v>236923</v>
      </c>
      <c r="U16" s="298">
        <f t="shared" si="6"/>
        <v>0</v>
      </c>
      <c r="V16" s="298">
        <f t="shared" si="18"/>
        <v>0</v>
      </c>
      <c r="W16" s="200"/>
      <c r="X16" s="299">
        <f t="shared" si="19"/>
        <v>11889</v>
      </c>
      <c r="Y16" s="298" t="str">
        <f t="shared" si="7"/>
        <v>ok</v>
      </c>
      <c r="Z16" s="298">
        <f t="shared" si="8"/>
        <v>0</v>
      </c>
      <c r="AA16" s="298">
        <f t="shared" si="20"/>
        <v>0</v>
      </c>
      <c r="AB16" s="298">
        <f t="shared" si="21"/>
        <v>0</v>
      </c>
      <c r="AC16" s="298">
        <f t="shared" si="22"/>
        <v>0</v>
      </c>
      <c r="AD16" s="74">
        <f>ELEC!Q16</f>
        <v>0</v>
      </c>
      <c r="AE16" s="74" t="e">
        <f t="shared" si="24"/>
        <v>#DIV/0!</v>
      </c>
      <c r="AF16" s="424" t="e">
        <f t="shared" si="25"/>
        <v>#DIV/0!</v>
      </c>
      <c r="AG16" s="425" t="e">
        <f t="shared" si="26"/>
        <v>#DIV/0!</v>
      </c>
      <c r="AH16" s="425" t="e">
        <f t="shared" si="23"/>
        <v>#DIV/0!</v>
      </c>
      <c r="AI16" s="74">
        <f t="shared" si="27"/>
        <v>0</v>
      </c>
      <c r="AJ16" s="300">
        <f t="shared" si="9"/>
        <v>0.25738396624472576</v>
      </c>
      <c r="AK16" s="300">
        <f t="shared" si="29"/>
        <v>0</v>
      </c>
    </row>
    <row r="17" spans="1:37">
      <c r="A17" s="4">
        <f>ELEC!C17</f>
        <v>43966</v>
      </c>
      <c r="B17" s="277">
        <f t="shared" si="11"/>
        <v>8621.09</v>
      </c>
      <c r="C17" s="298">
        <f t="shared" si="12"/>
        <v>0</v>
      </c>
      <c r="D17" s="277">
        <f t="shared" si="11"/>
        <v>146479.79999999999</v>
      </c>
      <c r="E17" s="298">
        <f t="shared" si="13"/>
        <v>0</v>
      </c>
      <c r="F17" s="298">
        <f t="shared" si="0"/>
        <v>0</v>
      </c>
      <c r="G17" s="200"/>
      <c r="H17" s="299">
        <f t="shared" si="14"/>
        <v>8497</v>
      </c>
      <c r="I17" s="298" t="str">
        <f t="shared" si="1"/>
        <v>oil change</v>
      </c>
      <c r="J17" s="277">
        <f t="shared" si="15"/>
        <v>10689.42</v>
      </c>
      <c r="K17" s="298">
        <f t="shared" si="2"/>
        <v>0</v>
      </c>
      <c r="L17" s="277">
        <f t="shared" si="15"/>
        <v>237074.9</v>
      </c>
      <c r="M17" s="298">
        <f t="shared" si="3"/>
        <v>0</v>
      </c>
      <c r="N17" s="298">
        <f t="shared" si="16"/>
        <v>0</v>
      </c>
      <c r="O17" s="200"/>
      <c r="P17" s="299">
        <f t="shared" si="17"/>
        <v>10873</v>
      </c>
      <c r="Q17" s="298" t="str">
        <f t="shared" si="4"/>
        <v>ok</v>
      </c>
      <c r="R17" s="277">
        <f t="shared" si="28"/>
        <v>11127</v>
      </c>
      <c r="S17" s="543">
        <f t="shared" si="5"/>
        <v>0</v>
      </c>
      <c r="T17" s="277">
        <f t="shared" si="28"/>
        <v>236923</v>
      </c>
      <c r="U17" s="298">
        <f t="shared" si="6"/>
        <v>0</v>
      </c>
      <c r="V17" s="298">
        <f t="shared" si="18"/>
        <v>0</v>
      </c>
      <c r="W17" s="200"/>
      <c r="X17" s="299">
        <f t="shared" si="19"/>
        <v>11889</v>
      </c>
      <c r="Y17" s="298" t="str">
        <f t="shared" si="7"/>
        <v>ok</v>
      </c>
      <c r="Z17" s="298">
        <f t="shared" si="8"/>
        <v>0</v>
      </c>
      <c r="AA17" s="298">
        <f t="shared" si="20"/>
        <v>0</v>
      </c>
      <c r="AB17" s="298">
        <f t="shared" si="21"/>
        <v>0</v>
      </c>
      <c r="AC17" s="298">
        <f t="shared" si="22"/>
        <v>0</v>
      </c>
      <c r="AD17" s="74">
        <f>ELEC!Q17</f>
        <v>0</v>
      </c>
      <c r="AE17" s="74" t="e">
        <f t="shared" si="24"/>
        <v>#DIV/0!</v>
      </c>
      <c r="AF17" s="424" t="e">
        <f t="shared" si="25"/>
        <v>#DIV/0!</v>
      </c>
      <c r="AG17" s="425" t="e">
        <f t="shared" si="26"/>
        <v>#DIV/0!</v>
      </c>
      <c r="AH17" s="425" t="e">
        <f t="shared" si="23"/>
        <v>#DIV/0!</v>
      </c>
      <c r="AI17" s="74">
        <f t="shared" si="27"/>
        <v>0</v>
      </c>
      <c r="AJ17" s="300">
        <f t="shared" si="9"/>
        <v>0.25738396624472576</v>
      </c>
      <c r="AK17" s="300">
        <f t="shared" ref="AK17:AK32" si="30">IF(Z17&gt;0,AI17/Z17,0)</f>
        <v>0</v>
      </c>
    </row>
    <row r="18" spans="1:37">
      <c r="A18" s="4">
        <f>ELEC!C18</f>
        <v>43967</v>
      </c>
      <c r="B18" s="277">
        <f t="shared" si="11"/>
        <v>8621.09</v>
      </c>
      <c r="C18" s="298">
        <f t="shared" si="12"/>
        <v>0</v>
      </c>
      <c r="D18" s="277">
        <f t="shared" si="11"/>
        <v>146479.79999999999</v>
      </c>
      <c r="E18" s="298">
        <f t="shared" si="13"/>
        <v>0</v>
      </c>
      <c r="F18" s="298">
        <f t="shared" si="0"/>
        <v>0</v>
      </c>
      <c r="G18" s="200"/>
      <c r="H18" s="299">
        <f t="shared" si="14"/>
        <v>8497</v>
      </c>
      <c r="I18" s="298" t="str">
        <f t="shared" si="1"/>
        <v>oil change</v>
      </c>
      <c r="J18" s="277">
        <f t="shared" si="15"/>
        <v>10689.42</v>
      </c>
      <c r="K18" s="298">
        <f t="shared" si="2"/>
        <v>0</v>
      </c>
      <c r="L18" s="277">
        <f t="shared" si="15"/>
        <v>237074.9</v>
      </c>
      <c r="M18" s="298">
        <f t="shared" si="3"/>
        <v>0</v>
      </c>
      <c r="N18" s="298">
        <f t="shared" si="16"/>
        <v>0</v>
      </c>
      <c r="O18" s="200"/>
      <c r="P18" s="299">
        <f t="shared" si="17"/>
        <v>10873</v>
      </c>
      <c r="Q18" s="298" t="str">
        <f>IF(J18-P14&lt;=0,"ok","oil change")</f>
        <v>ok</v>
      </c>
      <c r="R18" s="277">
        <f t="shared" si="28"/>
        <v>11127</v>
      </c>
      <c r="S18" s="298">
        <f t="shared" si="5"/>
        <v>0</v>
      </c>
      <c r="T18" s="277">
        <f t="shared" si="28"/>
        <v>236923</v>
      </c>
      <c r="U18" s="298">
        <f t="shared" si="6"/>
        <v>0</v>
      </c>
      <c r="V18" s="298">
        <f t="shared" si="18"/>
        <v>0</v>
      </c>
      <c r="W18" s="355"/>
      <c r="X18" s="299">
        <f t="shared" si="19"/>
        <v>11889</v>
      </c>
      <c r="Y18" s="298" t="str">
        <f t="shared" si="7"/>
        <v>ok</v>
      </c>
      <c r="Z18" s="298">
        <f t="shared" si="8"/>
        <v>0</v>
      </c>
      <c r="AA18" s="298">
        <f t="shared" si="20"/>
        <v>0</v>
      </c>
      <c r="AB18" s="298">
        <f t="shared" si="21"/>
        <v>0</v>
      </c>
      <c r="AC18" s="298">
        <f t="shared" si="22"/>
        <v>0</v>
      </c>
      <c r="AD18" s="74">
        <f>ELEC!Q18</f>
        <v>0</v>
      </c>
      <c r="AE18" s="74" t="e">
        <f t="shared" si="24"/>
        <v>#DIV/0!</v>
      </c>
      <c r="AF18" s="424" t="e">
        <f t="shared" si="25"/>
        <v>#DIV/0!</v>
      </c>
      <c r="AG18" s="425" t="e">
        <f t="shared" si="26"/>
        <v>#DIV/0!</v>
      </c>
      <c r="AH18" s="425" t="e">
        <f t="shared" si="23"/>
        <v>#DIV/0!</v>
      </c>
      <c r="AI18" s="74">
        <f t="shared" si="27"/>
        <v>0</v>
      </c>
      <c r="AJ18" s="300">
        <f t="shared" si="9"/>
        <v>0.25738396624472576</v>
      </c>
      <c r="AK18" s="300">
        <f t="shared" si="30"/>
        <v>0</v>
      </c>
    </row>
    <row r="19" spans="1:37">
      <c r="A19" s="4">
        <f>ELEC!C19</f>
        <v>43968</v>
      </c>
      <c r="B19" s="277">
        <f t="shared" si="11"/>
        <v>8621.09</v>
      </c>
      <c r="C19" s="298">
        <f t="shared" si="12"/>
        <v>0</v>
      </c>
      <c r="D19" s="277">
        <f t="shared" si="11"/>
        <v>146479.79999999999</v>
      </c>
      <c r="E19" s="298">
        <f t="shared" si="13"/>
        <v>0</v>
      </c>
      <c r="F19" s="298">
        <f t="shared" si="0"/>
        <v>0</v>
      </c>
      <c r="G19" s="200"/>
      <c r="H19" s="299">
        <f t="shared" si="14"/>
        <v>8497</v>
      </c>
      <c r="I19" s="298" t="str">
        <f t="shared" si="1"/>
        <v>oil change</v>
      </c>
      <c r="J19" s="277">
        <f t="shared" si="15"/>
        <v>10689.42</v>
      </c>
      <c r="K19" s="298">
        <f t="shared" si="2"/>
        <v>0</v>
      </c>
      <c r="L19" s="277">
        <f t="shared" si="15"/>
        <v>237074.9</v>
      </c>
      <c r="M19" s="298">
        <f t="shared" si="3"/>
        <v>0</v>
      </c>
      <c r="N19" s="298">
        <f t="shared" si="16"/>
        <v>0</v>
      </c>
      <c r="O19" s="200"/>
      <c r="P19" s="299">
        <f t="shared" si="17"/>
        <v>10873</v>
      </c>
      <c r="Q19" s="298" t="str">
        <f t="shared" ref="Q19:Q32" si="31">IF(J19-P19&lt;=0,"ok","oil change")</f>
        <v>ok</v>
      </c>
      <c r="R19" s="277">
        <f t="shared" si="28"/>
        <v>11127</v>
      </c>
      <c r="S19" s="298">
        <f t="shared" si="5"/>
        <v>0</v>
      </c>
      <c r="T19" s="277">
        <f t="shared" si="28"/>
        <v>236923</v>
      </c>
      <c r="U19" s="298">
        <f t="shared" si="6"/>
        <v>0</v>
      </c>
      <c r="V19" s="298">
        <f t="shared" si="18"/>
        <v>0</v>
      </c>
      <c r="W19" s="200"/>
      <c r="X19" s="299">
        <f t="shared" si="19"/>
        <v>11889</v>
      </c>
      <c r="Y19" s="298" t="str">
        <f t="shared" si="7"/>
        <v>ok</v>
      </c>
      <c r="Z19" s="298">
        <f t="shared" si="8"/>
        <v>0</v>
      </c>
      <c r="AA19" s="298">
        <f t="shared" si="20"/>
        <v>0</v>
      </c>
      <c r="AB19" s="298">
        <f t="shared" si="21"/>
        <v>0</v>
      </c>
      <c r="AC19" s="298">
        <f t="shared" si="22"/>
        <v>0</v>
      </c>
      <c r="AD19" s="74">
        <f>ELEC!Q19</f>
        <v>0</v>
      </c>
      <c r="AE19" s="74" t="e">
        <f t="shared" si="24"/>
        <v>#DIV/0!</v>
      </c>
      <c r="AF19" s="424" t="e">
        <f t="shared" si="25"/>
        <v>#DIV/0!</v>
      </c>
      <c r="AG19" s="425" t="e">
        <f t="shared" si="26"/>
        <v>#DIV/0!</v>
      </c>
      <c r="AH19" s="425" t="e">
        <f t="shared" si="23"/>
        <v>#DIV/0!</v>
      </c>
      <c r="AI19" s="74">
        <f t="shared" si="27"/>
        <v>0</v>
      </c>
      <c r="AJ19" s="300">
        <f t="shared" si="9"/>
        <v>0.25738396624472576</v>
      </c>
      <c r="AK19" s="300">
        <f t="shared" si="30"/>
        <v>0</v>
      </c>
    </row>
    <row r="20" spans="1:37">
      <c r="A20" s="4">
        <f>ELEC!C20</f>
        <v>43969</v>
      </c>
      <c r="B20" s="277">
        <f t="shared" si="11"/>
        <v>8621.09</v>
      </c>
      <c r="C20" s="298">
        <f>B20-B19</f>
        <v>0</v>
      </c>
      <c r="D20" s="277">
        <f t="shared" si="11"/>
        <v>146479.79999999999</v>
      </c>
      <c r="E20" s="298">
        <f t="shared" si="13"/>
        <v>0</v>
      </c>
      <c r="F20" s="298">
        <f t="shared" si="0"/>
        <v>0</v>
      </c>
      <c r="G20" s="200"/>
      <c r="H20" s="299">
        <f t="shared" si="14"/>
        <v>8497</v>
      </c>
      <c r="I20" s="298" t="str">
        <f t="shared" si="1"/>
        <v>oil change</v>
      </c>
      <c r="J20" s="277">
        <f t="shared" si="15"/>
        <v>10689.42</v>
      </c>
      <c r="K20" s="298">
        <f t="shared" si="2"/>
        <v>0</v>
      </c>
      <c r="L20" s="277">
        <f t="shared" si="15"/>
        <v>237074.9</v>
      </c>
      <c r="M20" s="298">
        <f t="shared" si="3"/>
        <v>0</v>
      </c>
      <c r="N20" s="298">
        <f t="shared" si="16"/>
        <v>0</v>
      </c>
      <c r="O20" s="200"/>
      <c r="P20" s="299">
        <f t="shared" si="17"/>
        <v>10873</v>
      </c>
      <c r="Q20" s="298" t="str">
        <f t="shared" si="31"/>
        <v>ok</v>
      </c>
      <c r="R20" s="277">
        <f t="shared" si="28"/>
        <v>11127</v>
      </c>
      <c r="S20" s="298">
        <f t="shared" si="5"/>
        <v>0</v>
      </c>
      <c r="T20" s="277">
        <f t="shared" si="28"/>
        <v>236923</v>
      </c>
      <c r="U20" s="298">
        <f t="shared" ref="U20:U32" si="32">SUM(T20-T19)</f>
        <v>0</v>
      </c>
      <c r="V20" s="298">
        <f t="shared" si="18"/>
        <v>0</v>
      </c>
      <c r="W20" s="200"/>
      <c r="X20" s="299">
        <f t="shared" si="19"/>
        <v>11889</v>
      </c>
      <c r="Y20" s="298" t="str">
        <f t="shared" si="7"/>
        <v>ok</v>
      </c>
      <c r="Z20" s="298">
        <f t="shared" si="8"/>
        <v>0</v>
      </c>
      <c r="AA20" s="298">
        <f t="shared" si="20"/>
        <v>0</v>
      </c>
      <c r="AB20" s="298">
        <f t="shared" si="21"/>
        <v>0</v>
      </c>
      <c r="AC20" s="298">
        <f t="shared" si="22"/>
        <v>0</v>
      </c>
      <c r="AD20" s="74">
        <f>ELEC!Q20</f>
        <v>0</v>
      </c>
      <c r="AE20" s="74" t="e">
        <f t="shared" si="24"/>
        <v>#DIV/0!</v>
      </c>
      <c r="AF20" s="424" t="e">
        <f t="shared" si="25"/>
        <v>#DIV/0!</v>
      </c>
      <c r="AG20" s="425" t="e">
        <f t="shared" si="26"/>
        <v>#DIV/0!</v>
      </c>
      <c r="AH20" s="425" t="e">
        <f t="shared" si="23"/>
        <v>#DIV/0!</v>
      </c>
      <c r="AI20" s="74">
        <f>AD20*AJ20</f>
        <v>0</v>
      </c>
      <c r="AJ20" s="300">
        <f t="shared" si="9"/>
        <v>0.25738396624472576</v>
      </c>
      <c r="AK20" s="300">
        <f t="shared" si="30"/>
        <v>0</v>
      </c>
    </row>
    <row r="21" spans="1:37">
      <c r="A21" s="4">
        <f>ELEC!C21</f>
        <v>43970</v>
      </c>
      <c r="B21" s="277">
        <f t="shared" si="11"/>
        <v>8621.09</v>
      </c>
      <c r="C21" s="298">
        <f t="shared" si="12"/>
        <v>0</v>
      </c>
      <c r="D21" s="277">
        <f t="shared" si="11"/>
        <v>146479.79999999999</v>
      </c>
      <c r="E21" s="298">
        <f t="shared" si="13"/>
        <v>0</v>
      </c>
      <c r="F21" s="298">
        <f t="shared" si="0"/>
        <v>0</v>
      </c>
      <c r="G21" s="200"/>
      <c r="H21" s="299">
        <f t="shared" si="14"/>
        <v>8497</v>
      </c>
      <c r="I21" s="298" t="str">
        <f t="shared" si="1"/>
        <v>oil change</v>
      </c>
      <c r="J21" s="277">
        <f t="shared" si="15"/>
        <v>10689.42</v>
      </c>
      <c r="K21" s="298">
        <f t="shared" si="2"/>
        <v>0</v>
      </c>
      <c r="L21" s="277">
        <f t="shared" si="15"/>
        <v>237074.9</v>
      </c>
      <c r="M21" s="298">
        <f t="shared" si="3"/>
        <v>0</v>
      </c>
      <c r="N21" s="298">
        <f t="shared" si="16"/>
        <v>0</v>
      </c>
      <c r="O21" s="200"/>
      <c r="P21" s="299">
        <f t="shared" si="17"/>
        <v>10873</v>
      </c>
      <c r="Q21" s="298" t="str">
        <f t="shared" si="31"/>
        <v>ok</v>
      </c>
      <c r="R21" s="277">
        <f t="shared" si="28"/>
        <v>11127</v>
      </c>
      <c r="S21" s="298">
        <f t="shared" si="5"/>
        <v>0</v>
      </c>
      <c r="T21" s="277">
        <f t="shared" si="28"/>
        <v>236923</v>
      </c>
      <c r="U21" s="298">
        <f t="shared" si="32"/>
        <v>0</v>
      </c>
      <c r="V21" s="298">
        <f t="shared" si="18"/>
        <v>0</v>
      </c>
      <c r="W21" s="200"/>
      <c r="X21" s="299">
        <f t="shared" si="19"/>
        <v>11889</v>
      </c>
      <c r="Y21" s="298" t="str">
        <f>Y20</f>
        <v>ok</v>
      </c>
      <c r="Z21" s="298">
        <f t="shared" si="8"/>
        <v>0</v>
      </c>
      <c r="AA21" s="298">
        <f t="shared" si="20"/>
        <v>0</v>
      </c>
      <c r="AB21" s="298">
        <f t="shared" si="21"/>
        <v>0</v>
      </c>
      <c r="AC21" s="298">
        <f t="shared" si="22"/>
        <v>0</v>
      </c>
      <c r="AD21" s="74">
        <f>ELEC!Q21</f>
        <v>0</v>
      </c>
      <c r="AE21" s="74" t="e">
        <f t="shared" si="24"/>
        <v>#DIV/0!</v>
      </c>
      <c r="AF21" s="424" t="e">
        <f t="shared" si="25"/>
        <v>#DIV/0!</v>
      </c>
      <c r="AG21" s="425" t="e">
        <f t="shared" si="26"/>
        <v>#DIV/0!</v>
      </c>
      <c r="AH21" s="425" t="e">
        <f t="shared" si="23"/>
        <v>#DIV/0!</v>
      </c>
      <c r="AI21" s="74">
        <f t="shared" si="27"/>
        <v>0</v>
      </c>
      <c r="AJ21" s="300">
        <f t="shared" si="9"/>
        <v>0.25738396624472576</v>
      </c>
      <c r="AK21" s="300">
        <f t="shared" si="30"/>
        <v>0</v>
      </c>
    </row>
    <row r="22" spans="1:37">
      <c r="A22" s="4">
        <f>ELEC!C22</f>
        <v>43971</v>
      </c>
      <c r="B22" s="277">
        <f t="shared" si="11"/>
        <v>8621.09</v>
      </c>
      <c r="C22" s="298">
        <f t="shared" si="12"/>
        <v>0</v>
      </c>
      <c r="D22" s="277">
        <f t="shared" si="11"/>
        <v>146479.79999999999</v>
      </c>
      <c r="E22" s="298">
        <f t="shared" si="13"/>
        <v>0</v>
      </c>
      <c r="F22" s="298">
        <f t="shared" si="0"/>
        <v>0</v>
      </c>
      <c r="G22" s="200"/>
      <c r="H22" s="299">
        <f t="shared" si="14"/>
        <v>8497</v>
      </c>
      <c r="I22" s="298" t="str">
        <f t="shared" si="1"/>
        <v>oil change</v>
      </c>
      <c r="J22" s="277">
        <f t="shared" si="15"/>
        <v>10689.42</v>
      </c>
      <c r="K22" s="298">
        <f t="shared" si="2"/>
        <v>0</v>
      </c>
      <c r="L22" s="277">
        <f t="shared" si="15"/>
        <v>237074.9</v>
      </c>
      <c r="M22" s="298">
        <f t="shared" si="3"/>
        <v>0</v>
      </c>
      <c r="N22" s="298">
        <f t="shared" si="16"/>
        <v>0</v>
      </c>
      <c r="O22" s="200"/>
      <c r="P22" s="299">
        <f t="shared" si="17"/>
        <v>10873</v>
      </c>
      <c r="Q22" s="298" t="str">
        <f t="shared" si="31"/>
        <v>ok</v>
      </c>
      <c r="R22" s="277">
        <f t="shared" si="28"/>
        <v>11127</v>
      </c>
      <c r="S22" s="298">
        <f t="shared" si="5"/>
        <v>0</v>
      </c>
      <c r="T22" s="277">
        <f t="shared" si="28"/>
        <v>236923</v>
      </c>
      <c r="U22" s="298">
        <f t="shared" si="32"/>
        <v>0</v>
      </c>
      <c r="V22" s="298">
        <f t="shared" si="18"/>
        <v>0</v>
      </c>
      <c r="W22" s="200"/>
      <c r="X22" s="299">
        <f t="shared" si="19"/>
        <v>11889</v>
      </c>
      <c r="Y22" s="298" t="str">
        <f t="shared" ref="Y22:Y32" si="33">IF(R22-X22&lt;=0,"ok","oil change")</f>
        <v>ok</v>
      </c>
      <c r="Z22" s="298">
        <f t="shared" si="8"/>
        <v>0</v>
      </c>
      <c r="AA22" s="298">
        <f t="shared" si="20"/>
        <v>0</v>
      </c>
      <c r="AB22" s="298">
        <f t="shared" si="21"/>
        <v>0</v>
      </c>
      <c r="AC22" s="298">
        <f t="shared" si="22"/>
        <v>0</v>
      </c>
      <c r="AD22" s="74">
        <f>ELEC!Q22</f>
        <v>0</v>
      </c>
      <c r="AE22" s="74" t="e">
        <f t="shared" si="24"/>
        <v>#DIV/0!</v>
      </c>
      <c r="AF22" s="424" t="e">
        <f t="shared" si="25"/>
        <v>#DIV/0!</v>
      </c>
      <c r="AG22" s="425" t="e">
        <f t="shared" si="26"/>
        <v>#DIV/0!</v>
      </c>
      <c r="AH22" s="425" t="e">
        <f t="shared" si="23"/>
        <v>#DIV/0!</v>
      </c>
      <c r="AI22" s="74">
        <f t="shared" si="27"/>
        <v>0</v>
      </c>
      <c r="AJ22" s="300">
        <f t="shared" si="9"/>
        <v>0.25738396624472576</v>
      </c>
      <c r="AK22" s="300">
        <f t="shared" si="30"/>
        <v>0</v>
      </c>
    </row>
    <row r="23" spans="1:37">
      <c r="A23" s="4">
        <f>ELEC!C23</f>
        <v>43972</v>
      </c>
      <c r="B23" s="277">
        <f t="shared" si="11"/>
        <v>8621.09</v>
      </c>
      <c r="C23" s="298">
        <f t="shared" si="12"/>
        <v>0</v>
      </c>
      <c r="D23" s="277">
        <f t="shared" si="11"/>
        <v>146479.79999999999</v>
      </c>
      <c r="E23" s="298">
        <f t="shared" si="13"/>
        <v>0</v>
      </c>
      <c r="F23" s="298">
        <f t="shared" si="0"/>
        <v>0</v>
      </c>
      <c r="G23" s="200"/>
      <c r="H23" s="299">
        <f t="shared" si="14"/>
        <v>8497</v>
      </c>
      <c r="I23" s="298" t="str">
        <f t="shared" si="1"/>
        <v>oil change</v>
      </c>
      <c r="J23" s="277">
        <f t="shared" si="15"/>
        <v>10689.42</v>
      </c>
      <c r="K23" s="298">
        <f t="shared" si="2"/>
        <v>0</v>
      </c>
      <c r="L23" s="277">
        <f t="shared" si="15"/>
        <v>237074.9</v>
      </c>
      <c r="M23" s="298">
        <f t="shared" si="3"/>
        <v>0</v>
      </c>
      <c r="N23" s="298">
        <f t="shared" si="16"/>
        <v>0</v>
      </c>
      <c r="O23" s="200"/>
      <c r="P23" s="299">
        <f t="shared" si="17"/>
        <v>10873</v>
      </c>
      <c r="Q23" s="298" t="str">
        <f t="shared" si="31"/>
        <v>ok</v>
      </c>
      <c r="R23" s="277">
        <f t="shared" si="28"/>
        <v>11127</v>
      </c>
      <c r="S23" s="298">
        <f t="shared" si="5"/>
        <v>0</v>
      </c>
      <c r="T23" s="277">
        <f t="shared" si="28"/>
        <v>236923</v>
      </c>
      <c r="U23" s="298">
        <f t="shared" si="32"/>
        <v>0</v>
      </c>
      <c r="V23" s="298">
        <f t="shared" si="18"/>
        <v>0</v>
      </c>
      <c r="W23" s="200"/>
      <c r="X23" s="299">
        <f t="shared" si="19"/>
        <v>11889</v>
      </c>
      <c r="Y23" s="298" t="str">
        <f t="shared" si="33"/>
        <v>ok</v>
      </c>
      <c r="Z23" s="298">
        <f t="shared" si="8"/>
        <v>0</v>
      </c>
      <c r="AA23" s="298">
        <f t="shared" si="20"/>
        <v>0</v>
      </c>
      <c r="AB23" s="298">
        <f t="shared" si="21"/>
        <v>0</v>
      </c>
      <c r="AC23" s="298">
        <f t="shared" si="22"/>
        <v>0</v>
      </c>
      <c r="AD23" s="74">
        <f>ELEC!Q23</f>
        <v>0</v>
      </c>
      <c r="AE23" s="74" t="e">
        <f t="shared" si="24"/>
        <v>#DIV/0!</v>
      </c>
      <c r="AF23" s="424" t="e">
        <f t="shared" si="25"/>
        <v>#DIV/0!</v>
      </c>
      <c r="AG23" s="425" t="e">
        <f t="shared" si="26"/>
        <v>#DIV/0!</v>
      </c>
      <c r="AH23" s="425" t="e">
        <f t="shared" si="23"/>
        <v>#DIV/0!</v>
      </c>
      <c r="AI23" s="74">
        <f t="shared" si="27"/>
        <v>0</v>
      </c>
      <c r="AJ23" s="300">
        <f t="shared" si="9"/>
        <v>0.25738396624472576</v>
      </c>
      <c r="AK23" s="300">
        <f t="shared" si="30"/>
        <v>0</v>
      </c>
    </row>
    <row r="24" spans="1:37">
      <c r="A24" s="4">
        <f>ELEC!C24</f>
        <v>43973</v>
      </c>
      <c r="B24" s="277">
        <f t="shared" si="11"/>
        <v>8621.09</v>
      </c>
      <c r="C24" s="298">
        <f t="shared" si="12"/>
        <v>0</v>
      </c>
      <c r="D24" s="277">
        <f t="shared" si="11"/>
        <v>146479.79999999999</v>
      </c>
      <c r="E24" s="298">
        <f t="shared" si="13"/>
        <v>0</v>
      </c>
      <c r="F24" s="298">
        <f t="shared" si="0"/>
        <v>0</v>
      </c>
      <c r="G24" s="200"/>
      <c r="H24" s="299">
        <f t="shared" si="14"/>
        <v>8497</v>
      </c>
      <c r="I24" s="298" t="str">
        <f t="shared" si="1"/>
        <v>oil change</v>
      </c>
      <c r="J24" s="277">
        <f t="shared" si="15"/>
        <v>10689.42</v>
      </c>
      <c r="K24" s="298">
        <f t="shared" si="2"/>
        <v>0</v>
      </c>
      <c r="L24" s="277">
        <f t="shared" si="15"/>
        <v>237074.9</v>
      </c>
      <c r="M24" s="298">
        <f t="shared" si="3"/>
        <v>0</v>
      </c>
      <c r="N24" s="298">
        <f t="shared" si="16"/>
        <v>0</v>
      </c>
      <c r="O24" s="200"/>
      <c r="P24" s="299">
        <f>P23</f>
        <v>10873</v>
      </c>
      <c r="Q24" s="298" t="str">
        <f t="shared" si="31"/>
        <v>ok</v>
      </c>
      <c r="R24" s="277">
        <f t="shared" si="28"/>
        <v>11127</v>
      </c>
      <c r="S24" s="298">
        <f t="shared" si="5"/>
        <v>0</v>
      </c>
      <c r="T24" s="277">
        <f t="shared" si="28"/>
        <v>236923</v>
      </c>
      <c r="U24" s="298">
        <f t="shared" si="32"/>
        <v>0</v>
      </c>
      <c r="V24" s="298">
        <f t="shared" si="18"/>
        <v>0</v>
      </c>
      <c r="W24" s="200"/>
      <c r="X24" s="299">
        <f t="shared" si="19"/>
        <v>11889</v>
      </c>
      <c r="Y24" s="298" t="str">
        <f t="shared" si="33"/>
        <v>ok</v>
      </c>
      <c r="Z24" s="298">
        <f t="shared" si="8"/>
        <v>0</v>
      </c>
      <c r="AA24" s="298">
        <f t="shared" si="20"/>
        <v>0</v>
      </c>
      <c r="AB24" s="298">
        <f t="shared" si="21"/>
        <v>0</v>
      </c>
      <c r="AC24" s="298">
        <f t="shared" si="22"/>
        <v>0</v>
      </c>
      <c r="AD24" s="74">
        <f>ELEC!Q24</f>
        <v>0</v>
      </c>
      <c r="AE24" s="74" t="e">
        <f t="shared" si="24"/>
        <v>#DIV/0!</v>
      </c>
      <c r="AF24" s="424" t="e">
        <f t="shared" si="25"/>
        <v>#DIV/0!</v>
      </c>
      <c r="AG24" s="425" t="e">
        <f t="shared" si="26"/>
        <v>#DIV/0!</v>
      </c>
      <c r="AH24" s="425" t="e">
        <f t="shared" si="23"/>
        <v>#DIV/0!</v>
      </c>
      <c r="AI24" s="74">
        <f t="shared" si="27"/>
        <v>0</v>
      </c>
      <c r="AJ24" s="300">
        <f t="shared" si="9"/>
        <v>0.25738396624472576</v>
      </c>
      <c r="AK24" s="300">
        <f t="shared" si="30"/>
        <v>0</v>
      </c>
    </row>
    <row r="25" spans="1:37">
      <c r="A25" s="4">
        <f>ELEC!C25</f>
        <v>43974</v>
      </c>
      <c r="B25" s="277">
        <f t="shared" si="11"/>
        <v>8621.09</v>
      </c>
      <c r="C25" s="298">
        <f t="shared" si="12"/>
        <v>0</v>
      </c>
      <c r="D25" s="277">
        <f t="shared" si="11"/>
        <v>146479.79999999999</v>
      </c>
      <c r="E25" s="298">
        <f t="shared" si="13"/>
        <v>0</v>
      </c>
      <c r="F25" s="298">
        <f t="shared" si="0"/>
        <v>0</v>
      </c>
      <c r="G25" s="200"/>
      <c r="H25" s="299">
        <f t="shared" si="14"/>
        <v>8497</v>
      </c>
      <c r="I25" s="298" t="str">
        <f t="shared" si="1"/>
        <v>oil change</v>
      </c>
      <c r="J25" s="277">
        <f t="shared" si="15"/>
        <v>10689.42</v>
      </c>
      <c r="K25" s="298">
        <f t="shared" si="2"/>
        <v>0</v>
      </c>
      <c r="L25" s="277">
        <f t="shared" si="15"/>
        <v>237074.9</v>
      </c>
      <c r="M25" s="298">
        <f t="shared" si="3"/>
        <v>0</v>
      </c>
      <c r="N25" s="298">
        <f t="shared" si="16"/>
        <v>0</v>
      </c>
      <c r="O25" s="200"/>
      <c r="P25" s="299">
        <f t="shared" si="17"/>
        <v>10873</v>
      </c>
      <c r="Q25" s="298" t="str">
        <f t="shared" si="31"/>
        <v>ok</v>
      </c>
      <c r="R25" s="277">
        <f t="shared" si="28"/>
        <v>11127</v>
      </c>
      <c r="S25" s="298">
        <f t="shared" si="5"/>
        <v>0</v>
      </c>
      <c r="T25" s="277">
        <f t="shared" si="28"/>
        <v>236923</v>
      </c>
      <c r="U25" s="298">
        <f t="shared" si="32"/>
        <v>0</v>
      </c>
      <c r="V25" s="298">
        <f t="shared" si="18"/>
        <v>0</v>
      </c>
      <c r="W25" s="200"/>
      <c r="X25" s="299">
        <f t="shared" si="19"/>
        <v>11889</v>
      </c>
      <c r="Y25" s="298" t="str">
        <f t="shared" si="33"/>
        <v>ok</v>
      </c>
      <c r="Z25" s="298">
        <f t="shared" si="8"/>
        <v>0</v>
      </c>
      <c r="AA25" s="298">
        <f t="shared" si="20"/>
        <v>0</v>
      </c>
      <c r="AB25" s="298">
        <f t="shared" si="21"/>
        <v>0</v>
      </c>
      <c r="AC25" s="298">
        <f t="shared" si="22"/>
        <v>0</v>
      </c>
      <c r="AD25" s="74">
        <f>ELEC!Q25</f>
        <v>0</v>
      </c>
      <c r="AE25" s="74" t="e">
        <f t="shared" si="24"/>
        <v>#DIV/0!</v>
      </c>
      <c r="AF25" s="424" t="e">
        <f t="shared" si="25"/>
        <v>#DIV/0!</v>
      </c>
      <c r="AG25" s="425" t="e">
        <f t="shared" si="26"/>
        <v>#DIV/0!</v>
      </c>
      <c r="AH25" s="425" t="e">
        <f t="shared" si="23"/>
        <v>#DIV/0!</v>
      </c>
      <c r="AI25" s="74">
        <f t="shared" si="27"/>
        <v>0</v>
      </c>
      <c r="AJ25" s="300">
        <f t="shared" si="9"/>
        <v>0.25738396624472576</v>
      </c>
      <c r="AK25" s="300">
        <f t="shared" si="30"/>
        <v>0</v>
      </c>
    </row>
    <row r="26" spans="1:37">
      <c r="A26" s="4">
        <f>ELEC!C26</f>
        <v>43975</v>
      </c>
      <c r="B26" s="277">
        <f t="shared" si="11"/>
        <v>8621.09</v>
      </c>
      <c r="C26" s="298">
        <f t="shared" si="12"/>
        <v>0</v>
      </c>
      <c r="D26" s="277">
        <f t="shared" si="11"/>
        <v>146479.79999999999</v>
      </c>
      <c r="E26" s="298">
        <f t="shared" si="13"/>
        <v>0</v>
      </c>
      <c r="F26" s="298">
        <f t="shared" si="0"/>
        <v>0</v>
      </c>
      <c r="G26" s="200"/>
      <c r="H26" s="299">
        <f t="shared" si="14"/>
        <v>8497</v>
      </c>
      <c r="I26" s="298" t="str">
        <f t="shared" si="1"/>
        <v>oil change</v>
      </c>
      <c r="J26" s="277">
        <f t="shared" si="15"/>
        <v>10689.42</v>
      </c>
      <c r="K26" s="298">
        <f t="shared" si="2"/>
        <v>0</v>
      </c>
      <c r="L26" s="277">
        <f t="shared" si="15"/>
        <v>237074.9</v>
      </c>
      <c r="M26" s="298">
        <f t="shared" si="3"/>
        <v>0</v>
      </c>
      <c r="N26" s="298">
        <f t="shared" si="16"/>
        <v>0</v>
      </c>
      <c r="O26" s="200"/>
      <c r="P26" s="299">
        <f t="shared" si="17"/>
        <v>10873</v>
      </c>
      <c r="Q26" s="298" t="str">
        <f t="shared" si="31"/>
        <v>ok</v>
      </c>
      <c r="R26" s="277">
        <f t="shared" si="28"/>
        <v>11127</v>
      </c>
      <c r="S26" s="298">
        <f t="shared" si="5"/>
        <v>0</v>
      </c>
      <c r="T26" s="277">
        <f t="shared" si="28"/>
        <v>236923</v>
      </c>
      <c r="U26" s="298">
        <f t="shared" si="32"/>
        <v>0</v>
      </c>
      <c r="V26" s="298">
        <f t="shared" si="18"/>
        <v>0</v>
      </c>
      <c r="W26" s="200"/>
      <c r="X26" s="299">
        <f t="shared" si="19"/>
        <v>11889</v>
      </c>
      <c r="Y26" s="298" t="str">
        <f t="shared" si="33"/>
        <v>ok</v>
      </c>
      <c r="Z26" s="298">
        <f t="shared" si="8"/>
        <v>0</v>
      </c>
      <c r="AA26" s="298">
        <f t="shared" si="20"/>
        <v>0</v>
      </c>
      <c r="AB26" s="298">
        <f t="shared" si="21"/>
        <v>0</v>
      </c>
      <c r="AC26" s="298">
        <f t="shared" si="22"/>
        <v>0</v>
      </c>
      <c r="AD26" s="74">
        <f>ELEC!Q26</f>
        <v>0</v>
      </c>
      <c r="AE26" s="74" t="e">
        <f t="shared" si="24"/>
        <v>#DIV/0!</v>
      </c>
      <c r="AF26" s="424" t="e">
        <f t="shared" si="25"/>
        <v>#DIV/0!</v>
      </c>
      <c r="AG26" s="425" t="e">
        <f t="shared" si="26"/>
        <v>#DIV/0!</v>
      </c>
      <c r="AH26" s="425" t="e">
        <f t="shared" si="23"/>
        <v>#DIV/0!</v>
      </c>
      <c r="AI26" s="74">
        <f t="shared" si="27"/>
        <v>0</v>
      </c>
      <c r="AJ26" s="300">
        <f t="shared" si="9"/>
        <v>0.25738396624472576</v>
      </c>
      <c r="AK26" s="300">
        <f t="shared" si="30"/>
        <v>0</v>
      </c>
    </row>
    <row r="27" spans="1:37">
      <c r="A27" s="4">
        <f>ELEC!C27</f>
        <v>43976</v>
      </c>
      <c r="B27" s="277">
        <f t="shared" si="11"/>
        <v>8621.09</v>
      </c>
      <c r="C27" s="298">
        <f t="shared" si="12"/>
        <v>0</v>
      </c>
      <c r="D27" s="277">
        <f t="shared" si="11"/>
        <v>146479.79999999999</v>
      </c>
      <c r="E27" s="298">
        <f t="shared" si="13"/>
        <v>0</v>
      </c>
      <c r="F27" s="298">
        <f t="shared" si="0"/>
        <v>0</v>
      </c>
      <c r="G27" s="200"/>
      <c r="H27" s="299">
        <f t="shared" si="14"/>
        <v>8497</v>
      </c>
      <c r="I27" s="298" t="str">
        <f>IF(B27-H27&lt;=0,"ok","oil change")</f>
        <v>oil change</v>
      </c>
      <c r="J27" s="277">
        <f t="shared" si="15"/>
        <v>10689.42</v>
      </c>
      <c r="K27" s="298">
        <f t="shared" si="2"/>
        <v>0</v>
      </c>
      <c r="L27" s="277">
        <f t="shared" si="15"/>
        <v>237074.9</v>
      </c>
      <c r="M27" s="298">
        <f t="shared" si="3"/>
        <v>0</v>
      </c>
      <c r="N27" s="298">
        <f t="shared" si="16"/>
        <v>0</v>
      </c>
      <c r="O27" s="200"/>
      <c r="P27" s="299">
        <f t="shared" si="17"/>
        <v>10873</v>
      </c>
      <c r="Q27" s="298" t="str">
        <f t="shared" si="31"/>
        <v>ok</v>
      </c>
      <c r="R27" s="277">
        <f t="shared" si="28"/>
        <v>11127</v>
      </c>
      <c r="S27" s="298">
        <f t="shared" si="5"/>
        <v>0</v>
      </c>
      <c r="T27" s="277">
        <f t="shared" si="28"/>
        <v>236923</v>
      </c>
      <c r="U27" s="298">
        <f t="shared" si="32"/>
        <v>0</v>
      </c>
      <c r="V27" s="298">
        <f t="shared" si="18"/>
        <v>0</v>
      </c>
      <c r="W27" s="200"/>
      <c r="X27" s="299">
        <f t="shared" si="19"/>
        <v>11889</v>
      </c>
      <c r="Y27" s="298" t="str">
        <f t="shared" si="33"/>
        <v>ok</v>
      </c>
      <c r="Z27" s="298">
        <f t="shared" si="8"/>
        <v>0</v>
      </c>
      <c r="AA27" s="298">
        <f t="shared" si="20"/>
        <v>0</v>
      </c>
      <c r="AB27" s="298">
        <f t="shared" si="21"/>
        <v>0</v>
      </c>
      <c r="AC27" s="298">
        <f t="shared" si="22"/>
        <v>0</v>
      </c>
      <c r="AD27" s="74">
        <f>ELEC!Q27</f>
        <v>0</v>
      </c>
      <c r="AE27" s="74" t="e">
        <f t="shared" si="24"/>
        <v>#DIV/0!</v>
      </c>
      <c r="AF27" s="424" t="e">
        <f t="shared" si="25"/>
        <v>#DIV/0!</v>
      </c>
      <c r="AG27" s="425" t="e">
        <f t="shared" si="26"/>
        <v>#DIV/0!</v>
      </c>
      <c r="AH27" s="425" t="e">
        <f t="shared" si="23"/>
        <v>#DIV/0!</v>
      </c>
      <c r="AI27" s="74">
        <f t="shared" si="27"/>
        <v>0</v>
      </c>
      <c r="AJ27" s="300">
        <f t="shared" si="9"/>
        <v>0.25738396624472576</v>
      </c>
      <c r="AK27" s="300">
        <f t="shared" si="30"/>
        <v>0</v>
      </c>
    </row>
    <row r="28" spans="1:37">
      <c r="A28" s="4">
        <f>ELEC!C28</f>
        <v>43977</v>
      </c>
      <c r="B28" s="277">
        <f t="shared" si="11"/>
        <v>8621.09</v>
      </c>
      <c r="C28" s="298">
        <f t="shared" si="12"/>
        <v>0</v>
      </c>
      <c r="D28" s="277">
        <f t="shared" si="11"/>
        <v>146479.79999999999</v>
      </c>
      <c r="E28" s="298">
        <f t="shared" si="13"/>
        <v>0</v>
      </c>
      <c r="F28" s="298">
        <f t="shared" si="0"/>
        <v>0</v>
      </c>
      <c r="G28" s="296"/>
      <c r="H28" s="299">
        <f t="shared" si="14"/>
        <v>8497</v>
      </c>
      <c r="I28" s="298" t="str">
        <f t="shared" si="1"/>
        <v>oil change</v>
      </c>
      <c r="J28" s="277">
        <f t="shared" si="15"/>
        <v>10689.42</v>
      </c>
      <c r="K28" s="298">
        <f t="shared" si="2"/>
        <v>0</v>
      </c>
      <c r="L28" s="277">
        <f t="shared" si="15"/>
        <v>237074.9</v>
      </c>
      <c r="M28" s="298">
        <f t="shared" si="3"/>
        <v>0</v>
      </c>
      <c r="N28" s="298">
        <f t="shared" si="16"/>
        <v>0</v>
      </c>
      <c r="O28" s="200"/>
      <c r="P28" s="299">
        <f t="shared" si="17"/>
        <v>10873</v>
      </c>
      <c r="Q28" s="298" t="str">
        <f t="shared" si="31"/>
        <v>ok</v>
      </c>
      <c r="R28" s="277">
        <f t="shared" si="28"/>
        <v>11127</v>
      </c>
      <c r="S28" s="298">
        <f t="shared" si="5"/>
        <v>0</v>
      </c>
      <c r="T28" s="277">
        <f t="shared" si="28"/>
        <v>236923</v>
      </c>
      <c r="U28" s="298">
        <f t="shared" si="32"/>
        <v>0</v>
      </c>
      <c r="V28" s="298">
        <f t="shared" si="18"/>
        <v>0</v>
      </c>
      <c r="W28" s="200"/>
      <c r="X28" s="299">
        <f t="shared" si="19"/>
        <v>11889</v>
      </c>
      <c r="Y28" s="298" t="str">
        <f t="shared" si="33"/>
        <v>ok</v>
      </c>
      <c r="Z28" s="298">
        <f t="shared" si="8"/>
        <v>0</v>
      </c>
      <c r="AA28" s="298">
        <f t="shared" si="20"/>
        <v>0</v>
      </c>
      <c r="AB28" s="298">
        <f t="shared" si="21"/>
        <v>0</v>
      </c>
      <c r="AC28" s="298">
        <f t="shared" si="22"/>
        <v>0</v>
      </c>
      <c r="AD28" s="74">
        <f>ELEC!Q28</f>
        <v>0</v>
      </c>
      <c r="AE28" s="74" t="e">
        <f t="shared" si="24"/>
        <v>#DIV/0!</v>
      </c>
      <c r="AF28" s="424" t="e">
        <f t="shared" si="25"/>
        <v>#DIV/0!</v>
      </c>
      <c r="AG28" s="425" t="e">
        <f t="shared" si="26"/>
        <v>#DIV/0!</v>
      </c>
      <c r="AH28" s="425" t="e">
        <f t="shared" si="23"/>
        <v>#DIV/0!</v>
      </c>
      <c r="AI28" s="74">
        <f t="shared" si="27"/>
        <v>0</v>
      </c>
      <c r="AJ28" s="300">
        <f t="shared" si="9"/>
        <v>0.25738396624472576</v>
      </c>
      <c r="AK28" s="300">
        <f t="shared" si="30"/>
        <v>0</v>
      </c>
    </row>
    <row r="29" spans="1:37">
      <c r="A29" s="4">
        <f>ELEC!C29</f>
        <v>43978</v>
      </c>
      <c r="B29" s="277">
        <f t="shared" si="11"/>
        <v>8621.09</v>
      </c>
      <c r="C29" s="298">
        <f t="shared" si="12"/>
        <v>0</v>
      </c>
      <c r="D29" s="277">
        <f t="shared" si="11"/>
        <v>146479.79999999999</v>
      </c>
      <c r="E29" s="298">
        <f>SUM(D29-D28)</f>
        <v>0</v>
      </c>
      <c r="F29" s="298">
        <f t="shared" si="0"/>
        <v>0</v>
      </c>
      <c r="G29" s="200"/>
      <c r="H29" s="299">
        <f t="shared" si="14"/>
        <v>8497</v>
      </c>
      <c r="I29" s="298" t="str">
        <f t="shared" si="1"/>
        <v>oil change</v>
      </c>
      <c r="J29" s="277">
        <f t="shared" si="15"/>
        <v>10689.42</v>
      </c>
      <c r="K29" s="298">
        <f t="shared" si="2"/>
        <v>0</v>
      </c>
      <c r="L29" s="277">
        <f t="shared" si="15"/>
        <v>237074.9</v>
      </c>
      <c r="M29" s="298">
        <f t="shared" si="3"/>
        <v>0</v>
      </c>
      <c r="N29" s="298">
        <f t="shared" si="16"/>
        <v>0</v>
      </c>
      <c r="O29" s="200"/>
      <c r="P29" s="299">
        <f t="shared" si="17"/>
        <v>10873</v>
      </c>
      <c r="Q29" s="298" t="str">
        <f t="shared" si="31"/>
        <v>ok</v>
      </c>
      <c r="R29" s="277">
        <f t="shared" si="28"/>
        <v>11127</v>
      </c>
      <c r="S29" s="298">
        <f t="shared" si="5"/>
        <v>0</v>
      </c>
      <c r="T29" s="277">
        <f t="shared" si="28"/>
        <v>236923</v>
      </c>
      <c r="U29" s="298">
        <f t="shared" si="32"/>
        <v>0</v>
      </c>
      <c r="V29" s="298">
        <f t="shared" si="18"/>
        <v>0</v>
      </c>
      <c r="W29" s="200"/>
      <c r="X29" s="299">
        <f t="shared" si="19"/>
        <v>11889</v>
      </c>
      <c r="Y29" s="298" t="str">
        <f t="shared" si="33"/>
        <v>ok</v>
      </c>
      <c r="Z29" s="298">
        <f t="shared" si="8"/>
        <v>0</v>
      </c>
      <c r="AA29" s="298">
        <f t="shared" si="20"/>
        <v>0</v>
      </c>
      <c r="AB29" s="298">
        <f t="shared" si="21"/>
        <v>0</v>
      </c>
      <c r="AC29" s="298">
        <f t="shared" si="22"/>
        <v>0</v>
      </c>
      <c r="AD29" s="74">
        <f>ELEC!Q29</f>
        <v>0</v>
      </c>
      <c r="AE29" s="74" t="e">
        <f t="shared" si="24"/>
        <v>#DIV/0!</v>
      </c>
      <c r="AF29" s="424" t="e">
        <f t="shared" si="25"/>
        <v>#DIV/0!</v>
      </c>
      <c r="AG29" s="425" t="e">
        <f t="shared" si="26"/>
        <v>#DIV/0!</v>
      </c>
      <c r="AH29" s="425" t="e">
        <f t="shared" si="23"/>
        <v>#DIV/0!</v>
      </c>
      <c r="AI29" s="74">
        <f t="shared" si="27"/>
        <v>0</v>
      </c>
      <c r="AJ29" s="300">
        <f t="shared" si="9"/>
        <v>0.25738396624472576</v>
      </c>
      <c r="AK29" s="300">
        <f t="shared" si="30"/>
        <v>0</v>
      </c>
    </row>
    <row r="30" spans="1:37">
      <c r="A30" s="4">
        <f>ELEC!C30</f>
        <v>43979</v>
      </c>
      <c r="B30" s="277">
        <f t="shared" si="11"/>
        <v>8621.09</v>
      </c>
      <c r="C30" s="298">
        <f t="shared" si="12"/>
        <v>0</v>
      </c>
      <c r="D30" s="277">
        <f t="shared" si="11"/>
        <v>146479.79999999999</v>
      </c>
      <c r="E30" s="298">
        <f t="shared" si="13"/>
        <v>0</v>
      </c>
      <c r="F30" s="298">
        <f t="shared" si="0"/>
        <v>0</v>
      </c>
      <c r="G30" s="200"/>
      <c r="H30" s="299">
        <f t="shared" si="14"/>
        <v>8497</v>
      </c>
      <c r="I30" s="298" t="str">
        <f t="shared" si="1"/>
        <v>oil change</v>
      </c>
      <c r="J30" s="277">
        <f t="shared" si="15"/>
        <v>10689.42</v>
      </c>
      <c r="K30" s="298">
        <f t="shared" si="2"/>
        <v>0</v>
      </c>
      <c r="L30" s="277">
        <f t="shared" si="15"/>
        <v>237074.9</v>
      </c>
      <c r="M30" s="298">
        <f t="shared" si="3"/>
        <v>0</v>
      </c>
      <c r="N30" s="298">
        <f t="shared" si="16"/>
        <v>0</v>
      </c>
      <c r="O30" s="200"/>
      <c r="P30" s="299">
        <f t="shared" si="17"/>
        <v>10873</v>
      </c>
      <c r="Q30" s="298" t="str">
        <f t="shared" si="31"/>
        <v>ok</v>
      </c>
      <c r="R30" s="277">
        <f t="shared" si="28"/>
        <v>11127</v>
      </c>
      <c r="S30" s="298">
        <f t="shared" si="5"/>
        <v>0</v>
      </c>
      <c r="T30" s="277">
        <f t="shared" si="28"/>
        <v>236923</v>
      </c>
      <c r="U30" s="298">
        <f t="shared" si="32"/>
        <v>0</v>
      </c>
      <c r="V30" s="298">
        <f t="shared" si="18"/>
        <v>0</v>
      </c>
      <c r="W30" s="296"/>
      <c r="X30" s="299">
        <f t="shared" si="19"/>
        <v>11889</v>
      </c>
      <c r="Y30" s="298" t="str">
        <f t="shared" si="33"/>
        <v>ok</v>
      </c>
      <c r="Z30" s="298">
        <f t="shared" si="8"/>
        <v>0</v>
      </c>
      <c r="AA30" s="298">
        <f t="shared" si="20"/>
        <v>0</v>
      </c>
      <c r="AB30" s="298">
        <f t="shared" si="21"/>
        <v>0</v>
      </c>
      <c r="AC30" s="298">
        <f t="shared" si="22"/>
        <v>0</v>
      </c>
      <c r="AD30" s="74">
        <f>ELEC!Q30</f>
        <v>0</v>
      </c>
      <c r="AE30" s="74" t="e">
        <f t="shared" si="24"/>
        <v>#DIV/0!</v>
      </c>
      <c r="AF30" s="424" t="e">
        <f t="shared" si="25"/>
        <v>#DIV/0!</v>
      </c>
      <c r="AG30" s="425" t="e">
        <f t="shared" si="26"/>
        <v>#DIV/0!</v>
      </c>
      <c r="AH30" s="425" t="e">
        <f t="shared" si="23"/>
        <v>#DIV/0!</v>
      </c>
      <c r="AI30" s="74">
        <f t="shared" si="27"/>
        <v>0</v>
      </c>
      <c r="AJ30" s="300">
        <f t="shared" si="9"/>
        <v>0.25738396624472576</v>
      </c>
      <c r="AK30" s="300">
        <f t="shared" si="30"/>
        <v>0</v>
      </c>
    </row>
    <row r="31" spans="1:37">
      <c r="A31" s="4">
        <f>ELEC!C31</f>
        <v>43980</v>
      </c>
      <c r="B31" s="277">
        <f t="shared" si="11"/>
        <v>8621.09</v>
      </c>
      <c r="C31" s="298">
        <f t="shared" si="12"/>
        <v>0</v>
      </c>
      <c r="D31" s="277">
        <f t="shared" si="11"/>
        <v>146479.79999999999</v>
      </c>
      <c r="E31" s="298">
        <f t="shared" si="13"/>
        <v>0</v>
      </c>
      <c r="F31" s="298">
        <f t="shared" si="0"/>
        <v>0</v>
      </c>
      <c r="G31" s="200"/>
      <c r="H31" s="299">
        <f t="shared" si="14"/>
        <v>8497</v>
      </c>
      <c r="I31" s="298" t="str">
        <f t="shared" si="1"/>
        <v>oil change</v>
      </c>
      <c r="J31" s="277">
        <f t="shared" si="15"/>
        <v>10689.42</v>
      </c>
      <c r="K31" s="298">
        <f t="shared" si="2"/>
        <v>0</v>
      </c>
      <c r="L31" s="277">
        <f t="shared" si="15"/>
        <v>237074.9</v>
      </c>
      <c r="M31" s="298">
        <f t="shared" si="3"/>
        <v>0</v>
      </c>
      <c r="N31" s="298">
        <f t="shared" si="16"/>
        <v>0</v>
      </c>
      <c r="O31" s="200"/>
      <c r="P31" s="299">
        <f t="shared" si="17"/>
        <v>10873</v>
      </c>
      <c r="Q31" s="298" t="str">
        <f t="shared" si="31"/>
        <v>ok</v>
      </c>
      <c r="R31" s="277">
        <f t="shared" si="28"/>
        <v>11127</v>
      </c>
      <c r="S31" s="298">
        <f t="shared" si="5"/>
        <v>0</v>
      </c>
      <c r="T31" s="277">
        <f t="shared" si="28"/>
        <v>236923</v>
      </c>
      <c r="U31" s="298">
        <f t="shared" si="32"/>
        <v>0</v>
      </c>
      <c r="V31" s="298">
        <f t="shared" si="18"/>
        <v>0</v>
      </c>
      <c r="W31" s="200"/>
      <c r="X31" s="299">
        <f t="shared" si="19"/>
        <v>11889</v>
      </c>
      <c r="Y31" s="298" t="str">
        <f t="shared" si="33"/>
        <v>ok</v>
      </c>
      <c r="Z31" s="298">
        <f t="shared" si="8"/>
        <v>0</v>
      </c>
      <c r="AA31" s="298">
        <f t="shared" si="20"/>
        <v>0</v>
      </c>
      <c r="AB31" s="298">
        <f t="shared" si="21"/>
        <v>0</v>
      </c>
      <c r="AC31" s="298">
        <f t="shared" si="22"/>
        <v>0</v>
      </c>
      <c r="AD31" s="74">
        <f>ELEC!Q31</f>
        <v>0</v>
      </c>
      <c r="AE31" s="74" t="e">
        <f t="shared" si="24"/>
        <v>#DIV/0!</v>
      </c>
      <c r="AF31" s="424" t="e">
        <f t="shared" si="25"/>
        <v>#DIV/0!</v>
      </c>
      <c r="AG31" s="425" t="e">
        <f t="shared" si="26"/>
        <v>#DIV/0!</v>
      </c>
      <c r="AH31" s="425" t="e">
        <f t="shared" si="23"/>
        <v>#DIV/0!</v>
      </c>
      <c r="AI31" s="74">
        <f t="shared" si="27"/>
        <v>0</v>
      </c>
      <c r="AJ31" s="300">
        <f t="shared" si="9"/>
        <v>0.25738396624472576</v>
      </c>
      <c r="AK31" s="300">
        <f t="shared" si="30"/>
        <v>0</v>
      </c>
    </row>
    <row r="32" spans="1:37">
      <c r="A32" s="4">
        <f>ELEC!C32</f>
        <v>43981</v>
      </c>
      <c r="B32" s="277">
        <f t="shared" si="11"/>
        <v>8621.09</v>
      </c>
      <c r="C32" s="298">
        <f t="shared" si="12"/>
        <v>0</v>
      </c>
      <c r="D32" s="277">
        <f t="shared" si="11"/>
        <v>146479.79999999999</v>
      </c>
      <c r="E32" s="298">
        <f t="shared" si="13"/>
        <v>0</v>
      </c>
      <c r="F32" s="298">
        <f t="shared" si="0"/>
        <v>0</v>
      </c>
      <c r="G32" s="200"/>
      <c r="H32" s="299">
        <f t="shared" si="14"/>
        <v>8497</v>
      </c>
      <c r="I32" s="298" t="str">
        <f t="shared" si="1"/>
        <v>oil change</v>
      </c>
      <c r="J32" s="277">
        <f t="shared" si="15"/>
        <v>10689.42</v>
      </c>
      <c r="K32" s="298">
        <f>J32-J31</f>
        <v>0</v>
      </c>
      <c r="L32" s="277">
        <f t="shared" si="15"/>
        <v>237074.9</v>
      </c>
      <c r="M32" s="298">
        <f t="shared" si="3"/>
        <v>0</v>
      </c>
      <c r="N32" s="298">
        <f t="shared" si="16"/>
        <v>0</v>
      </c>
      <c r="O32" s="200"/>
      <c r="P32" s="299">
        <f t="shared" si="17"/>
        <v>10873</v>
      </c>
      <c r="Q32" s="298" t="str">
        <f t="shared" si="31"/>
        <v>ok</v>
      </c>
      <c r="R32" s="277">
        <f t="shared" si="28"/>
        <v>11127</v>
      </c>
      <c r="S32" s="298">
        <f t="shared" si="5"/>
        <v>0</v>
      </c>
      <c r="T32" s="277">
        <f t="shared" si="28"/>
        <v>236923</v>
      </c>
      <c r="U32" s="298">
        <f t="shared" si="32"/>
        <v>0</v>
      </c>
      <c r="V32" s="298">
        <f t="shared" si="18"/>
        <v>0</v>
      </c>
      <c r="W32" s="200"/>
      <c r="X32" s="299">
        <f t="shared" si="19"/>
        <v>11889</v>
      </c>
      <c r="Y32" s="298" t="str">
        <f t="shared" si="33"/>
        <v>ok</v>
      </c>
      <c r="Z32" s="298">
        <f t="shared" si="8"/>
        <v>0</v>
      </c>
      <c r="AA32" s="298">
        <f t="shared" si="20"/>
        <v>0</v>
      </c>
      <c r="AB32" s="298">
        <f t="shared" si="21"/>
        <v>0</v>
      </c>
      <c r="AC32" s="298">
        <f t="shared" si="22"/>
        <v>0</v>
      </c>
      <c r="AD32" s="74">
        <f>ELEC!Q32</f>
        <v>0</v>
      </c>
      <c r="AE32" s="74" t="e">
        <f t="shared" si="24"/>
        <v>#DIV/0!</v>
      </c>
      <c r="AF32" s="424" t="e">
        <f t="shared" si="25"/>
        <v>#DIV/0!</v>
      </c>
      <c r="AG32" s="425" t="e">
        <f t="shared" si="26"/>
        <v>#DIV/0!</v>
      </c>
      <c r="AH32" s="425" t="e">
        <f t="shared" si="23"/>
        <v>#DIV/0!</v>
      </c>
      <c r="AI32" s="74">
        <f t="shared" si="27"/>
        <v>0</v>
      </c>
      <c r="AJ32" s="300">
        <f t="shared" si="9"/>
        <v>0.25738396624472576</v>
      </c>
      <c r="AK32" s="300">
        <f t="shared" si="30"/>
        <v>0</v>
      </c>
    </row>
    <row r="33" spans="1:37">
      <c r="A33" s="4">
        <f>ELEC!C33</f>
        <v>43982</v>
      </c>
      <c r="B33" s="277">
        <f t="shared" si="11"/>
        <v>8621.09</v>
      </c>
      <c r="C33" s="298">
        <f>B33-B32</f>
        <v>0</v>
      </c>
      <c r="D33" s="277">
        <f t="shared" si="11"/>
        <v>146479.79999999999</v>
      </c>
      <c r="E33" s="298">
        <f>SUM(D33-D32)</f>
        <v>0</v>
      </c>
      <c r="F33" s="298">
        <f>IF(C33&gt;0,E33/C33,0)</f>
        <v>0</v>
      </c>
      <c r="G33" s="355"/>
      <c r="H33" s="299">
        <f t="shared" si="14"/>
        <v>8497</v>
      </c>
      <c r="I33" s="298" t="str">
        <f>IF(B33-H33&lt;=0,"ok","oil change")</f>
        <v>oil change</v>
      </c>
      <c r="J33" s="277">
        <f t="shared" si="15"/>
        <v>10689.42</v>
      </c>
      <c r="K33" s="298">
        <f>J33-J32</f>
        <v>0</v>
      </c>
      <c r="L33" s="277">
        <f t="shared" si="15"/>
        <v>237074.9</v>
      </c>
      <c r="M33" s="298">
        <f t="shared" si="3"/>
        <v>0</v>
      </c>
      <c r="N33" s="298">
        <f>IF(K33&gt;0,M33/K33,0)</f>
        <v>0</v>
      </c>
      <c r="O33" s="355"/>
      <c r="P33" s="299">
        <f t="shared" si="17"/>
        <v>10873</v>
      </c>
      <c r="Q33" s="298" t="str">
        <f>IF(J33-P33&lt;=0,"ok","oil change")</f>
        <v>ok</v>
      </c>
      <c r="R33" s="277">
        <f t="shared" si="28"/>
        <v>11127</v>
      </c>
      <c r="S33" s="298">
        <f>R33-R32</f>
        <v>0</v>
      </c>
      <c r="T33" s="277">
        <f t="shared" si="28"/>
        <v>236923</v>
      </c>
      <c r="U33" s="298">
        <f>SUM(T33-T32)</f>
        <v>0</v>
      </c>
      <c r="V33" s="298">
        <f>IF(S33&gt;0,U33/S33,0)</f>
        <v>0</v>
      </c>
      <c r="W33" s="355"/>
      <c r="X33" s="299">
        <f t="shared" si="19"/>
        <v>11889</v>
      </c>
      <c r="Y33" s="298" t="str">
        <f>IF(R33-X33&lt;=0,"ok","oil change")</f>
        <v>ok</v>
      </c>
      <c r="Z33" s="298">
        <f>C33+K33+S33</f>
        <v>0</v>
      </c>
      <c r="AA33" s="298">
        <f>U33+M33+E33</f>
        <v>0</v>
      </c>
      <c r="AB33" s="298">
        <f>V33+N33+F33</f>
        <v>0</v>
      </c>
      <c r="AC33" s="298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0"/>
      <c r="AK33" s="300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12</v>
      </c>
      <c r="V34" s="40"/>
      <c r="X34">
        <v>341</v>
      </c>
      <c r="Z34" s="443">
        <f>SUM(Z3:Z33)</f>
        <v>12</v>
      </c>
    </row>
    <row r="35" spans="1:37">
      <c r="C35" s="40">
        <f>SUM(C3:C33)</f>
        <v>0</v>
      </c>
      <c r="K35" s="40">
        <f>SUM(K3:K33)</f>
        <v>0</v>
      </c>
      <c r="S35" s="40">
        <f>SUM(S3:S33)</f>
        <v>12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835</v>
      </c>
      <c r="C2" s="3">
        <f>ELEC!N3</f>
        <v>8802.3999999999069</v>
      </c>
      <c r="D2" s="3">
        <f>C2-E2</f>
        <v>7402.4000000002707</v>
      </c>
      <c r="E2" s="3">
        <f>ELEC!Q3</f>
        <v>1399.9999999996362</v>
      </c>
      <c r="F2" s="3">
        <f>GEN!Z2</f>
        <v>2.8700000000008004</v>
      </c>
      <c r="G2" s="3">
        <f>WATER!C5+WATER!H5</f>
        <v>0</v>
      </c>
      <c r="H2" s="3">
        <f>WATER!L5</f>
        <v>1</v>
      </c>
      <c r="I2" s="15">
        <f>WATER!BC5+WATER!BD5+WATER!BE6-Sheet1!G2</f>
        <v>-28.100000000000023</v>
      </c>
      <c r="J2" s="9">
        <f>'B5'!A4</f>
        <v>43951</v>
      </c>
    </row>
    <row r="3" spans="1:10">
      <c r="A3" s="3">
        <f>ELEC!T4+ELEC!X2+ELEC!AB4</f>
        <v>3</v>
      </c>
      <c r="B3" s="3">
        <f>ELEC!AF4</f>
        <v>607</v>
      </c>
      <c r="C3" s="3">
        <f>ELEC!N4</f>
        <v>8701.6000000000931</v>
      </c>
      <c r="D3" s="3">
        <f t="shared" ref="D3:D30" si="0">C3-E3</f>
        <v>7167.6000000004424</v>
      </c>
      <c r="E3" s="3">
        <f>ELEC!Q4</f>
        <v>1533.9999999996508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-48.90000000000002</v>
      </c>
      <c r="J3" s="9">
        <f>'B5'!A5</f>
        <v>43952</v>
      </c>
    </row>
    <row r="4" spans="1:10">
      <c r="A4" s="3">
        <f>ELEC!T5+ELEC!X5+ELEC!AB5</f>
        <v>8</v>
      </c>
      <c r="B4" s="3">
        <f>ELEC!AF5</f>
        <v>1395</v>
      </c>
      <c r="C4" s="3">
        <f>ELEC!N5</f>
        <v>11338.399999999907</v>
      </c>
      <c r="D4" s="3">
        <f t="shared" si="0"/>
        <v>9872.3999999995576</v>
      </c>
      <c r="E4" s="3">
        <f>ELEC!Q5</f>
        <v>1466.0000000003492</v>
      </c>
      <c r="F4" s="3">
        <f>GEN!Z4</f>
        <v>2</v>
      </c>
      <c r="G4" s="3">
        <f>WATER!C7+WATER!H7</f>
        <v>0</v>
      </c>
      <c r="H4" s="3">
        <f>WATER!L7</f>
        <v>6</v>
      </c>
      <c r="I4" s="15">
        <f>WATER!BC7+WATER!BD7+WATER!BE8-Sheet1!G4</f>
        <v>198.10000000000002</v>
      </c>
      <c r="J4" s="9">
        <f>'B5'!A6</f>
        <v>43953</v>
      </c>
    </row>
    <row r="5" spans="1:10">
      <c r="A5" s="3">
        <f>ELEC!T6+ELEC!X6+ELEC!AB6</f>
        <v>4</v>
      </c>
      <c r="B5" s="3">
        <f>ELEC!AF6</f>
        <v>1030</v>
      </c>
      <c r="C5" s="3">
        <f>ELEC!N6</f>
        <v>10592</v>
      </c>
      <c r="D5" s="3">
        <f t="shared" si="0"/>
        <v>9592</v>
      </c>
      <c r="E5" s="3">
        <f>ELEC!Q6</f>
        <v>1000</v>
      </c>
      <c r="F5" s="3">
        <f>GEN!Z5</f>
        <v>4</v>
      </c>
      <c r="G5" s="3">
        <f>WATER!C8+WATER!H8</f>
        <v>340</v>
      </c>
      <c r="H5" s="3">
        <f>WATER!L8</f>
        <v>2</v>
      </c>
      <c r="I5" s="15">
        <f>WATER!BC8+WATER!BD8+WATER!BE9-Sheet1!G5</f>
        <v>-319.8</v>
      </c>
      <c r="J5" s="9">
        <f>'B5'!A7</f>
        <v>43954</v>
      </c>
    </row>
    <row r="6" spans="1:10">
      <c r="A6" s="3">
        <f>ELEC!T7+ELEC!X7+ELEC!AB7</f>
        <v>6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3</v>
      </c>
      <c r="G6" s="3">
        <f>WATER!C9+WATER!H9</f>
        <v>0</v>
      </c>
      <c r="H6" s="3">
        <f>WATER!L9</f>
        <v>6</v>
      </c>
      <c r="I6" s="15">
        <f>WATER!BC9+WATER!BD9+WATER!BE10-Sheet1!G6</f>
        <v>-15.900000000000034</v>
      </c>
      <c r="J6" s="9">
        <f>'B5'!A8</f>
        <v>43955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43956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43957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43958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43959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43960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43961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43962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43963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43964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43965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43966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43967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43968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43969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43970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43971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43972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43973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43974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43975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43976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43977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43978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43979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43980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26"/>
      <c r="B1" s="624" t="s">
        <v>119</v>
      </c>
      <c r="C1" s="624" t="s">
        <v>118</v>
      </c>
      <c r="D1" s="628" t="s">
        <v>113</v>
      </c>
      <c r="E1" s="628" t="s">
        <v>114</v>
      </c>
      <c r="F1" s="629" t="s">
        <v>120</v>
      </c>
      <c r="G1" s="630" t="s">
        <v>75</v>
      </c>
      <c r="H1" s="621" t="s">
        <v>115</v>
      </c>
      <c r="I1" s="622" t="s">
        <v>116</v>
      </c>
      <c r="J1" s="621" t="s">
        <v>117</v>
      </c>
      <c r="K1" s="620" t="s">
        <v>121</v>
      </c>
      <c r="L1" s="620" t="s">
        <v>122</v>
      </c>
      <c r="M1" s="620" t="s">
        <v>123</v>
      </c>
      <c r="N1" s="620" t="s">
        <v>124</v>
      </c>
    </row>
    <row r="2" spans="1:14">
      <c r="A2" s="627"/>
      <c r="B2" s="625"/>
      <c r="C2" s="625"/>
      <c r="D2" s="628"/>
      <c r="E2" s="628"/>
      <c r="F2" s="629"/>
      <c r="G2" s="630"/>
      <c r="H2" s="621"/>
      <c r="I2" s="623"/>
      <c r="J2" s="621"/>
      <c r="K2" s="620"/>
      <c r="L2" s="620"/>
      <c r="M2" s="620"/>
      <c r="N2" s="620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43952</v>
      </c>
      <c r="B5" s="77">
        <f>'B5'!V5</f>
        <v>349</v>
      </c>
      <c r="C5" s="77">
        <f>'B5'!AH5</f>
        <v>0</v>
      </c>
      <c r="D5" s="77">
        <f>GEN!AI3</f>
        <v>360.3375527425224</v>
      </c>
      <c r="E5" s="248">
        <f t="shared" ref="E5:E33" si="0">B5+C5+D5</f>
        <v>709.33755274252235</v>
      </c>
      <c r="F5" s="76">
        <f>WATER!L5</f>
        <v>1</v>
      </c>
      <c r="G5" s="79">
        <f>WATER!BG5</f>
        <v>-16.09999999999998</v>
      </c>
      <c r="H5" s="80">
        <f>ELEC!AF3</f>
        <v>835</v>
      </c>
      <c r="I5" s="80">
        <f>ELEC!Q3</f>
        <v>1399.9999999996362</v>
      </c>
      <c r="J5" s="80">
        <f>ELEC!R3</f>
        <v>7402.4000000002707</v>
      </c>
      <c r="K5" s="81"/>
      <c r="L5" s="3"/>
      <c r="M5" s="3"/>
      <c r="N5" s="3"/>
    </row>
    <row r="6" spans="1:14">
      <c r="A6" s="63">
        <f>'B5'!A6</f>
        <v>43953</v>
      </c>
      <c r="B6" s="77">
        <f>'B5'!V6</f>
        <v>249</v>
      </c>
      <c r="C6" s="77">
        <f>'B5'!AH6</f>
        <v>0</v>
      </c>
      <c r="D6" s="77">
        <f>GEN!AI4</f>
        <v>394.82700421931941</v>
      </c>
      <c r="E6" s="248">
        <f t="shared" si="0"/>
        <v>643.82700421931941</v>
      </c>
      <c r="F6" s="76">
        <f>WATER!L6</f>
        <v>0</v>
      </c>
      <c r="G6" s="79">
        <f>WATER!BG6</f>
        <v>-12.000000000000043</v>
      </c>
      <c r="H6" s="80">
        <f>ELEC!AF4</f>
        <v>607</v>
      </c>
      <c r="I6" s="80">
        <f>ELEC!Q4</f>
        <v>1533.9999999996508</v>
      </c>
      <c r="J6" s="80">
        <f>ELEC!R4</f>
        <v>7167.6000000004424</v>
      </c>
      <c r="K6" s="3"/>
      <c r="L6" s="3"/>
      <c r="M6" s="3"/>
      <c r="N6" s="3"/>
    </row>
    <row r="7" spans="1:14">
      <c r="A7" s="63">
        <f>'B5'!A7</f>
        <v>43954</v>
      </c>
      <c r="B7" s="77">
        <f>'B5'!V7</f>
        <v>288</v>
      </c>
      <c r="C7" s="77">
        <f>'B5'!AH7</f>
        <v>0.5</v>
      </c>
      <c r="D7" s="77">
        <f>GEN!AI5</f>
        <v>377.32489451485787</v>
      </c>
      <c r="E7" s="248">
        <f t="shared" si="0"/>
        <v>665.82489451485787</v>
      </c>
      <c r="F7" s="76">
        <f>WATER!L7</f>
        <v>6</v>
      </c>
      <c r="G7" s="79">
        <f>WATER!BG7</f>
        <v>-36.899999999999977</v>
      </c>
      <c r="H7" s="80">
        <f>ELEC!AF5</f>
        <v>1395</v>
      </c>
      <c r="I7" s="80">
        <f>ELEC!Q5</f>
        <v>1466.0000000003492</v>
      </c>
      <c r="J7" s="80">
        <f>ELEC!R5</f>
        <v>9872.3999999995576</v>
      </c>
      <c r="K7" s="3"/>
      <c r="L7" s="3"/>
      <c r="M7" s="3"/>
      <c r="N7" s="3"/>
    </row>
    <row r="8" spans="1:14">
      <c r="A8" s="63">
        <f>'B5'!A8</f>
        <v>43955</v>
      </c>
      <c r="B8" s="77">
        <f>'B5'!V8</f>
        <v>348</v>
      </c>
      <c r="C8" s="77">
        <f>'B5'!AH8</f>
        <v>309.89999999999418</v>
      </c>
      <c r="D8" s="77">
        <f>GEN!AI6</f>
        <v>257.38396624472574</v>
      </c>
      <c r="E8" s="248">
        <f t="shared" si="0"/>
        <v>915.28396624471998</v>
      </c>
      <c r="F8" s="76">
        <f>WATER!L8</f>
        <v>2</v>
      </c>
      <c r="G8" s="79">
        <f>WATER!BG8</f>
        <v>140.50000000000003</v>
      </c>
      <c r="H8" s="80">
        <f>ELEC!AF6</f>
        <v>1030</v>
      </c>
      <c r="I8" s="80">
        <f>ELEC!Q6</f>
        <v>1000</v>
      </c>
      <c r="J8" s="80">
        <f>ELEC!R6</f>
        <v>9592</v>
      </c>
      <c r="K8" s="3"/>
      <c r="L8" s="3"/>
      <c r="M8" s="3"/>
      <c r="N8" s="3"/>
    </row>
    <row r="9" spans="1:14">
      <c r="A9" s="63">
        <f>'B5'!A9</f>
        <v>43956</v>
      </c>
      <c r="B9" s="77">
        <f>'B5'!V9</f>
        <v>0</v>
      </c>
      <c r="C9" s="77">
        <f>'B5'!AH9</f>
        <v>0</v>
      </c>
      <c r="D9" s="77">
        <f>GEN!AI7</f>
        <v>0</v>
      </c>
      <c r="E9" s="248">
        <f t="shared" si="0"/>
        <v>0</v>
      </c>
      <c r="F9" s="76">
        <f>WATER!L9</f>
        <v>6</v>
      </c>
      <c r="G9" s="79">
        <f>WATER!BG9</f>
        <v>-15.900000000000034</v>
      </c>
      <c r="H9" s="80">
        <f>ELEC!AF7</f>
        <v>0</v>
      </c>
      <c r="I9" s="80">
        <f>ELEC!Q7</f>
        <v>0</v>
      </c>
      <c r="J9" s="80">
        <f>ELEC!R7</f>
        <v>0</v>
      </c>
      <c r="K9" s="3"/>
      <c r="L9" s="3"/>
      <c r="M9" s="3"/>
      <c r="N9" s="3"/>
    </row>
    <row r="10" spans="1:14">
      <c r="A10" s="63">
        <f>'B5'!A10</f>
        <v>43957</v>
      </c>
      <c r="B10" s="77">
        <f>'B5'!V10</f>
        <v>0</v>
      </c>
      <c r="C10" s="77">
        <f>'B5'!AH10</f>
        <v>0</v>
      </c>
      <c r="D10" s="77">
        <f>GEN!AI8</f>
        <v>0</v>
      </c>
      <c r="E10" s="248">
        <f t="shared" si="0"/>
        <v>0</v>
      </c>
      <c r="F10" s="76">
        <f>WATER!L10</f>
        <v>0</v>
      </c>
      <c r="G10" s="79">
        <f>WATER!BG10</f>
        <v>0</v>
      </c>
      <c r="H10" s="80">
        <f>ELEC!AF8</f>
        <v>0</v>
      </c>
      <c r="I10" s="80">
        <f>ELEC!Q8</f>
        <v>0</v>
      </c>
      <c r="J10" s="80">
        <f>ELEC!R8</f>
        <v>0</v>
      </c>
      <c r="K10" s="3"/>
      <c r="L10" s="3"/>
      <c r="M10" s="3"/>
      <c r="N10" s="3"/>
    </row>
    <row r="11" spans="1:14">
      <c r="A11" s="63">
        <f>'B5'!A11</f>
        <v>43958</v>
      </c>
      <c r="B11" s="77">
        <f>'B5'!V11</f>
        <v>0</v>
      </c>
      <c r="C11" s="77">
        <f>'B5'!AH11</f>
        <v>0</v>
      </c>
      <c r="D11" s="77">
        <f>GEN!AI9</f>
        <v>0</v>
      </c>
      <c r="E11" s="248">
        <f t="shared" si="0"/>
        <v>0</v>
      </c>
      <c r="F11" s="76">
        <f>WATER!L11</f>
        <v>0</v>
      </c>
      <c r="G11" s="79">
        <f>WATER!BG11</f>
        <v>0</v>
      </c>
      <c r="H11" s="80">
        <f>ELEC!AF9</f>
        <v>0</v>
      </c>
      <c r="I11" s="80">
        <f>ELEC!Q9</f>
        <v>0</v>
      </c>
      <c r="J11" s="80">
        <f>ELEC!R9</f>
        <v>0</v>
      </c>
      <c r="K11" s="3"/>
      <c r="L11" s="3"/>
      <c r="M11" s="3"/>
      <c r="N11" s="3"/>
    </row>
    <row r="12" spans="1:14">
      <c r="A12" s="63">
        <f>'B5'!A12</f>
        <v>43959</v>
      </c>
      <c r="B12" s="77">
        <f>'B5'!V12</f>
        <v>0</v>
      </c>
      <c r="C12" s="77">
        <f>'B5'!AH12</f>
        <v>0</v>
      </c>
      <c r="D12" s="77">
        <f>GEN!AI10</f>
        <v>0</v>
      </c>
      <c r="E12" s="248">
        <f t="shared" si="0"/>
        <v>0</v>
      </c>
      <c r="F12" s="76">
        <f>WATER!L12</f>
        <v>0</v>
      </c>
      <c r="G12" s="79">
        <f>WATER!BG12</f>
        <v>0</v>
      </c>
      <c r="H12" s="80">
        <f>ELEC!AF10</f>
        <v>0</v>
      </c>
      <c r="I12" s="80">
        <f>ELEC!Q10</f>
        <v>0</v>
      </c>
      <c r="J12" s="80">
        <f>ELEC!R10</f>
        <v>0</v>
      </c>
      <c r="K12" s="3"/>
      <c r="L12" s="3"/>
      <c r="M12" s="3"/>
      <c r="N12" s="3"/>
    </row>
    <row r="13" spans="1:14">
      <c r="A13" s="63">
        <f>'B5'!A13</f>
        <v>43960</v>
      </c>
      <c r="B13" s="77">
        <f>'B5'!V13</f>
        <v>0</v>
      </c>
      <c r="C13" s="77">
        <f>'B5'!AH13</f>
        <v>0</v>
      </c>
      <c r="D13" s="77">
        <f>GEN!AI11</f>
        <v>0</v>
      </c>
      <c r="E13" s="248">
        <f t="shared" si="0"/>
        <v>0</v>
      </c>
      <c r="F13" s="76">
        <f>WATER!L13</f>
        <v>0</v>
      </c>
      <c r="G13" s="79">
        <f>WATER!BG13</f>
        <v>0</v>
      </c>
      <c r="H13" s="80">
        <f>ELEC!AF11</f>
        <v>0</v>
      </c>
      <c r="I13" s="80">
        <f>ELEC!Q11</f>
        <v>0</v>
      </c>
      <c r="J13" s="80">
        <f>ELEC!R11</f>
        <v>0</v>
      </c>
      <c r="K13" s="3"/>
      <c r="L13" s="3"/>
      <c r="M13" s="3"/>
      <c r="N13" s="3"/>
    </row>
    <row r="14" spans="1:14">
      <c r="A14" s="63">
        <f>'B5'!A14</f>
        <v>43961</v>
      </c>
      <c r="B14" s="77">
        <f>'B5'!V14</f>
        <v>0</v>
      </c>
      <c r="C14" s="77">
        <f>'B5'!AH14</f>
        <v>0</v>
      </c>
      <c r="D14" s="77">
        <f>GEN!AI12</f>
        <v>0</v>
      </c>
      <c r="E14" s="248">
        <f t="shared" si="0"/>
        <v>0</v>
      </c>
      <c r="F14" s="76">
        <f>WATER!L14</f>
        <v>0</v>
      </c>
      <c r="G14" s="79">
        <f>WATER!BG14</f>
        <v>0</v>
      </c>
      <c r="H14" s="80">
        <f>ELEC!AF12</f>
        <v>0</v>
      </c>
      <c r="I14" s="80">
        <f>ELEC!Q12</f>
        <v>0</v>
      </c>
      <c r="J14" s="80">
        <f>ELEC!R12</f>
        <v>0</v>
      </c>
      <c r="K14" s="3"/>
      <c r="L14" s="3"/>
      <c r="M14" s="3"/>
      <c r="N14" s="3"/>
    </row>
    <row r="15" spans="1:14">
      <c r="A15" s="63">
        <f>'B5'!A15</f>
        <v>43962</v>
      </c>
      <c r="B15" s="77">
        <f>'B5'!V15</f>
        <v>0</v>
      </c>
      <c r="C15" s="77">
        <f>'B5'!AH15</f>
        <v>0</v>
      </c>
      <c r="D15" s="77">
        <f>GEN!AI13</f>
        <v>0</v>
      </c>
      <c r="E15" s="248">
        <f t="shared" si="0"/>
        <v>0</v>
      </c>
      <c r="F15" s="76">
        <f>WATER!L15</f>
        <v>0</v>
      </c>
      <c r="G15" s="79">
        <f>WATER!BG15</f>
        <v>0</v>
      </c>
      <c r="H15" s="80">
        <f>ELEC!AF13</f>
        <v>0</v>
      </c>
      <c r="I15" s="80">
        <f>ELEC!Q13</f>
        <v>0</v>
      </c>
      <c r="J15" s="80">
        <f>ELEC!R13</f>
        <v>0</v>
      </c>
      <c r="K15" s="3"/>
      <c r="L15" s="3"/>
      <c r="M15" s="3"/>
      <c r="N15" s="3"/>
    </row>
    <row r="16" spans="1:14">
      <c r="A16" s="63">
        <f>'B5'!A16</f>
        <v>43963</v>
      </c>
      <c r="B16" s="77">
        <f>'B5'!V16</f>
        <v>0</v>
      </c>
      <c r="C16" s="77">
        <f>'B5'!AH16</f>
        <v>0</v>
      </c>
      <c r="D16" s="77">
        <f>GEN!AI14</f>
        <v>0</v>
      </c>
      <c r="E16" s="248">
        <f t="shared" si="0"/>
        <v>0</v>
      </c>
      <c r="F16" s="76">
        <f>WATER!L16</f>
        <v>0</v>
      </c>
      <c r="G16" s="79">
        <f>WATER!BG16</f>
        <v>0</v>
      </c>
      <c r="H16" s="80">
        <f>ELEC!AF14</f>
        <v>0</v>
      </c>
      <c r="I16" s="80">
        <f>ELEC!Q14</f>
        <v>0</v>
      </c>
      <c r="J16" s="80">
        <f>ELEC!R14</f>
        <v>0</v>
      </c>
      <c r="K16" s="3"/>
      <c r="L16" s="3"/>
      <c r="M16" s="3"/>
      <c r="N16" s="3"/>
    </row>
    <row r="17" spans="1:14">
      <c r="A17" s="63">
        <f>'B5'!A17</f>
        <v>43964</v>
      </c>
      <c r="B17" s="77">
        <f>'B5'!V17</f>
        <v>0</v>
      </c>
      <c r="C17" s="77">
        <f>'B5'!AH17</f>
        <v>0</v>
      </c>
      <c r="D17" s="77">
        <f>GEN!AI15</f>
        <v>0</v>
      </c>
      <c r="E17" s="248">
        <f t="shared" si="0"/>
        <v>0</v>
      </c>
      <c r="F17" s="76">
        <f>WATER!L17</f>
        <v>0</v>
      </c>
      <c r="G17" s="79">
        <f>WATER!BG17</f>
        <v>0</v>
      </c>
      <c r="H17" s="80">
        <f>ELEC!AF15</f>
        <v>0</v>
      </c>
      <c r="I17" s="80">
        <f>ELEC!Q15</f>
        <v>0</v>
      </c>
      <c r="J17" s="80">
        <f>ELEC!R15</f>
        <v>0</v>
      </c>
      <c r="K17" s="3"/>
      <c r="L17" s="3"/>
      <c r="M17" s="3"/>
      <c r="N17" s="3"/>
    </row>
    <row r="18" spans="1:14">
      <c r="A18" s="63">
        <f>'B5'!A18</f>
        <v>43965</v>
      </c>
      <c r="B18" s="77">
        <f>'B5'!V18</f>
        <v>0</v>
      </c>
      <c r="C18" s="77">
        <f>'B5'!AH18</f>
        <v>0</v>
      </c>
      <c r="D18" s="77">
        <f>GEN!AI16</f>
        <v>0</v>
      </c>
      <c r="E18" s="248">
        <f t="shared" si="0"/>
        <v>0</v>
      </c>
      <c r="F18" s="76">
        <f>WATER!L18</f>
        <v>0</v>
      </c>
      <c r="G18" s="79">
        <f>WATER!BG18</f>
        <v>0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43966</v>
      </c>
      <c r="B19" s="77">
        <f>'B5'!V19</f>
        <v>0</v>
      </c>
      <c r="C19" s="77">
        <f>'B5'!AH19</f>
        <v>0</v>
      </c>
      <c r="D19" s="77">
        <f>GEN!AI17</f>
        <v>0</v>
      </c>
      <c r="E19" s="248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43967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43968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43969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43970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43971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43972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43973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43974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43975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43976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43977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43978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43979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43980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43981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31" t="s">
        <v>151</v>
      </c>
      <c r="U3" s="631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100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4</v>
      </c>
      <c r="E9">
        <f t="shared" si="0"/>
        <v>360</v>
      </c>
      <c r="F9">
        <f>'B5'!AM8</f>
        <v>5</v>
      </c>
      <c r="G9">
        <f t="shared" si="1"/>
        <v>535</v>
      </c>
    </row>
    <row r="10" spans="3:21">
      <c r="C10" s="100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zoomScale="80" zoomScaleNormal="80" workbookViewId="0">
      <selection activeCell="H8" sqref="H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4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4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4"/>
      <c r="T2" s="351"/>
    </row>
    <row r="3" spans="1:30" ht="15.75" thickBot="1">
      <c r="A3" s="164">
        <f>ELEC!C2</f>
        <v>43951</v>
      </c>
      <c r="B3" s="271">
        <f>'[1]EDl log'!B33</f>
        <v>49827570</v>
      </c>
      <c r="C3" s="271">
        <f>'[1]EDl log'!C33</f>
        <v>4393</v>
      </c>
      <c r="D3" s="271">
        <f>'[1]EDl log'!D33</f>
        <v>4392</v>
      </c>
      <c r="E3" s="271">
        <f>'[1]EDl log'!E33</f>
        <v>49827569</v>
      </c>
      <c r="F3" s="271">
        <f>'[1]EDl log'!F33</f>
        <v>8005615</v>
      </c>
      <c r="G3" s="271">
        <f>'[1]EDl log'!G33</f>
        <v>498</v>
      </c>
      <c r="H3" s="271">
        <f>'[1]EDl log'!H33</f>
        <v>24540104</v>
      </c>
      <c r="I3" s="271">
        <f>'[1]EDl log'!I33</f>
        <v>2185</v>
      </c>
      <c r="J3" s="271">
        <f>'[1]EDl log'!J33</f>
        <v>17281850</v>
      </c>
      <c r="K3" s="271">
        <f>'[1]EDl log'!K33</f>
        <v>1709</v>
      </c>
      <c r="L3" s="271">
        <f>'[1]EDl log'!L33</f>
        <v>105.71144278606965</v>
      </c>
      <c r="M3" s="271">
        <f>'[1]EDl log'!M33</f>
        <v>162.33499170812604</v>
      </c>
      <c r="N3" s="271">
        <f>'[1]EDl log'!N33</f>
        <v>90.693200663349913</v>
      </c>
      <c r="O3" s="271">
        <f>'[1]EDl log'!O33</f>
        <v>159.96313985627418</v>
      </c>
      <c r="P3" s="271">
        <f>'[1]EDl log'!P33</f>
        <v>518.70277501381975</v>
      </c>
      <c r="Q3" s="271">
        <f>'[1]EDl log'!Q33</f>
        <v>158.98518355644987</v>
      </c>
      <c r="R3" s="271">
        <f>'[1]EDl log'!R33</f>
        <v>677.68795857026964</v>
      </c>
      <c r="S3" s="271">
        <f>'[1]EDl log'!S33</f>
        <v>10173.200000000186</v>
      </c>
      <c r="T3" s="271">
        <f>'[1]EDl log'!T33</f>
        <v>6.6615023647451851E-2</v>
      </c>
      <c r="Z3" t="s">
        <v>214</v>
      </c>
      <c r="AA3">
        <v>0.1</v>
      </c>
    </row>
    <row r="4" spans="1:30">
      <c r="A4" s="164">
        <f>ELEC!C3</f>
        <v>43952</v>
      </c>
      <c r="B4" s="412">
        <v>49831143</v>
      </c>
      <c r="C4" s="280">
        <f>SUM(B4-B3)</f>
        <v>3573</v>
      </c>
      <c r="D4" s="324">
        <f>SUM(G4+I4+K4)</f>
        <v>3576</v>
      </c>
      <c r="E4" s="324">
        <f>B3+D4</f>
        <v>49831146</v>
      </c>
      <c r="F4" s="567">
        <v>8006372</v>
      </c>
      <c r="G4" s="161">
        <f t="shared" ref="G4:G32" si="0">F4-F3</f>
        <v>757</v>
      </c>
      <c r="H4" s="567">
        <v>24542022</v>
      </c>
      <c r="I4" s="162">
        <f t="shared" ref="I4:I33" si="1">H4-H3</f>
        <v>1918</v>
      </c>
      <c r="J4" s="567">
        <v>17282751</v>
      </c>
      <c r="K4" s="163">
        <f t="shared" ref="K4:K33" si="2">J4-J3</f>
        <v>901</v>
      </c>
      <c r="L4" s="311">
        <f>SUM(G4*$Y$28)/1507.5</f>
        <v>160.6898839137645</v>
      </c>
      <c r="M4" s="311">
        <f>SUM(I4*$Y$27)/1507.5</f>
        <v>142.49817578772803</v>
      </c>
      <c r="N4" s="311">
        <f>SUM(K4*$Y$26)/1507.5</f>
        <v>47.814262023217246</v>
      </c>
      <c r="O4" s="311">
        <f>($AC$31/$A$38)/1507.5</f>
        <v>19.974585622011347</v>
      </c>
      <c r="P4" s="312">
        <f>SUM(L4:O4)</f>
        <v>370.97690734672108</v>
      </c>
      <c r="Q4" s="312">
        <f>SUM(-tanks!AX6*tanks!$AU$37)</f>
        <v>0</v>
      </c>
      <c r="R4" s="312">
        <f>SUM(P4:Q4)</f>
        <v>370.97690734672108</v>
      </c>
      <c r="S4" s="315">
        <f>SUM(ELEC!N3)</f>
        <v>8802.3999999999069</v>
      </c>
      <c r="T4" s="352">
        <f>IF(S4&gt;0,R4/S4,0)</f>
        <v>4.2144972660493163E-2</v>
      </c>
      <c r="U4" s="256"/>
      <c r="V4" s="257" t="str">
        <f>'[6]EDl log'!V21</f>
        <v xml:space="preserve">EDL </v>
      </c>
      <c r="W4" s="168">
        <v>43941</v>
      </c>
      <c r="X4" s="170"/>
      <c r="Y4" s="170"/>
      <c r="Z4" s="170" t="s">
        <v>202</v>
      </c>
      <c r="AA4" s="170"/>
      <c r="AB4" s="642"/>
      <c r="AC4" s="643"/>
    </row>
    <row r="5" spans="1:30">
      <c r="A5" s="164">
        <f>ELEC!C4</f>
        <v>43953</v>
      </c>
      <c r="B5" s="567">
        <v>49835173</v>
      </c>
      <c r="C5" s="271">
        <f t="shared" ref="C5:C33" si="3">SUM(B5-B4)</f>
        <v>4030</v>
      </c>
      <c r="D5" s="324">
        <f t="shared" ref="D5:D33" si="4">SUM(G5+I5+K5)</f>
        <v>4027</v>
      </c>
      <c r="E5" s="324">
        <f>B4+D5</f>
        <v>49835170</v>
      </c>
      <c r="F5" s="567">
        <v>8006885</v>
      </c>
      <c r="G5" s="161">
        <f t="shared" si="0"/>
        <v>513</v>
      </c>
      <c r="H5" s="567">
        <v>24544434</v>
      </c>
      <c r="I5" s="162">
        <f t="shared" si="1"/>
        <v>2412</v>
      </c>
      <c r="J5" s="567">
        <v>17283853</v>
      </c>
      <c r="K5" s="163">
        <f t="shared" si="2"/>
        <v>1102</v>
      </c>
      <c r="L5" s="311">
        <f t="shared" ref="L5:L32" si="5">SUM(G5*$Y$28)/1507.5</f>
        <v>108.8955223880597</v>
      </c>
      <c r="M5" s="311">
        <f t="shared" ref="M5:M33" si="6">SUM(I5*$Y$27)/1507.5</f>
        <v>179.2</v>
      </c>
      <c r="N5" s="311">
        <f t="shared" ref="N5:N33" si="7">SUM(K5*$Y$26)/1507.5</f>
        <v>58.48092868988391</v>
      </c>
      <c r="O5" s="311">
        <f t="shared" ref="O5:O34" si="8">($AC$31/$A$38)/1507.5</f>
        <v>19.974585622011347</v>
      </c>
      <c r="P5" s="312">
        <f t="shared" ref="P5:P32" si="9">SUM(L5:O5)</f>
        <v>366.55103669995492</v>
      </c>
      <c r="Q5" s="312">
        <f>SUM(-tanks!AX7*tanks!$AU$37)</f>
        <v>0</v>
      </c>
      <c r="R5" s="312">
        <f t="shared" ref="R5:R32" si="10">SUM(P5:Q5)</f>
        <v>366.55103669995492</v>
      </c>
      <c r="S5" s="315">
        <f>SUM(ELEC!N4)</f>
        <v>8701.6000000000931</v>
      </c>
      <c r="T5" s="352">
        <f>IF(S5&gt;0,R5/S5,0)</f>
        <v>4.212455602417383E-2</v>
      </c>
      <c r="U5" s="256"/>
      <c r="V5" s="636"/>
      <c r="W5" s="637"/>
      <c r="X5" s="637"/>
      <c r="Y5" s="638"/>
      <c r="Z5" s="26" t="s">
        <v>203</v>
      </c>
      <c r="AA5" s="271">
        <f>'[7]EDl log'!AA5</f>
        <v>5000</v>
      </c>
      <c r="AB5" s="644"/>
      <c r="AC5" s="645"/>
    </row>
    <row r="6" spans="1:30">
      <c r="A6" s="164">
        <f>ELEC!C5</f>
        <v>43954</v>
      </c>
      <c r="B6" s="576">
        <v>49840476</v>
      </c>
      <c r="C6" s="271">
        <f t="shared" si="3"/>
        <v>5303</v>
      </c>
      <c r="D6" s="324">
        <f t="shared" si="4"/>
        <v>5304</v>
      </c>
      <c r="E6" s="324">
        <f t="shared" ref="E6:E33" si="11">B5+D6</f>
        <v>49840477</v>
      </c>
      <c r="F6" s="576">
        <v>8007520</v>
      </c>
      <c r="G6" s="161">
        <f t="shared" si="0"/>
        <v>635</v>
      </c>
      <c r="H6" s="576">
        <v>24547296</v>
      </c>
      <c r="I6" s="162">
        <f t="shared" si="1"/>
        <v>2862</v>
      </c>
      <c r="J6" s="587">
        <v>17285660</v>
      </c>
      <c r="K6" s="163">
        <f t="shared" si="2"/>
        <v>1807</v>
      </c>
      <c r="L6" s="311">
        <f t="shared" si="5"/>
        <v>134.7927031509121</v>
      </c>
      <c r="M6" s="311">
        <f t="shared" si="6"/>
        <v>212.63283582089554</v>
      </c>
      <c r="N6" s="311">
        <f t="shared" si="7"/>
        <v>95.893864013266992</v>
      </c>
      <c r="O6" s="311">
        <f t="shared" si="8"/>
        <v>19.974585622011347</v>
      </c>
      <c r="P6" s="312">
        <f t="shared" si="9"/>
        <v>463.29398860708602</v>
      </c>
      <c r="Q6" s="312">
        <f>SUM(-tanks!AX8*tanks!$AU$37)</f>
        <v>0</v>
      </c>
      <c r="R6" s="312">
        <f t="shared" si="10"/>
        <v>463.29398860708602</v>
      </c>
      <c r="S6" s="315">
        <f>SUM(ELEC!N5)</f>
        <v>11338.399999999907</v>
      </c>
      <c r="T6" s="352">
        <f t="shared" ref="T6:T32" si="12">IF(S6&gt;0,R6/S6,0)</f>
        <v>4.0860614249549301E-2</v>
      </c>
      <c r="V6" s="639"/>
      <c r="W6" s="640"/>
      <c r="X6" s="640"/>
      <c r="Y6" s="641"/>
      <c r="Z6" s="3"/>
      <c r="AA6" s="3"/>
      <c r="AB6" s="644"/>
      <c r="AC6" s="645"/>
    </row>
    <row r="7" spans="1:30" ht="15" customHeight="1">
      <c r="A7" s="164">
        <f>ELEC!C6</f>
        <v>43955</v>
      </c>
      <c r="B7" s="576">
        <v>49844850</v>
      </c>
      <c r="C7" s="271">
        <f t="shared" si="3"/>
        <v>4374</v>
      </c>
      <c r="D7" s="324">
        <f t="shared" si="4"/>
        <v>4374</v>
      </c>
      <c r="E7" s="324">
        <f t="shared" si="11"/>
        <v>49844850</v>
      </c>
      <c r="F7" s="576">
        <v>8008235</v>
      </c>
      <c r="G7" s="161">
        <f t="shared" si="0"/>
        <v>715</v>
      </c>
      <c r="H7" s="576">
        <v>24549301</v>
      </c>
      <c r="I7" s="162">
        <f t="shared" si="1"/>
        <v>2005</v>
      </c>
      <c r="J7" s="587">
        <v>17287314</v>
      </c>
      <c r="K7" s="163">
        <f t="shared" si="2"/>
        <v>1654</v>
      </c>
      <c r="L7" s="311">
        <f t="shared" si="5"/>
        <v>151.77446102819238</v>
      </c>
      <c r="M7" s="311">
        <f t="shared" si="6"/>
        <v>148.96185737976782</v>
      </c>
      <c r="N7" s="311">
        <f t="shared" si="7"/>
        <v>87.774461028192377</v>
      </c>
      <c r="O7" s="311">
        <f t="shared" si="8"/>
        <v>19.974585622011347</v>
      </c>
      <c r="P7" s="312">
        <f t="shared" si="9"/>
        <v>408.48536505816389</v>
      </c>
      <c r="Q7" s="312">
        <f>SUM(-tanks!AX9*tanks!$AU$37)</f>
        <v>0</v>
      </c>
      <c r="R7" s="312">
        <f t="shared" si="10"/>
        <v>408.48536505816389</v>
      </c>
      <c r="S7" s="315">
        <f>SUM(ELEC!N6)</f>
        <v>10592</v>
      </c>
      <c r="T7" s="352">
        <f t="shared" si="12"/>
        <v>3.8565461202621214E-2</v>
      </c>
      <c r="V7" s="632" t="s">
        <v>204</v>
      </c>
      <c r="W7" s="633"/>
      <c r="X7" s="634" t="s">
        <v>205</v>
      </c>
      <c r="Y7" s="635"/>
      <c r="Z7" s="633"/>
      <c r="AA7" s="26"/>
      <c r="AB7" s="646"/>
      <c r="AC7" s="647"/>
    </row>
    <row r="8" spans="1:30" ht="15.75" customHeight="1">
      <c r="A8" s="164">
        <f>ELEC!C7</f>
        <v>43956</v>
      </c>
      <c r="B8" s="567">
        <f t="shared" ref="B8:B34" si="13">B7</f>
        <v>49844850</v>
      </c>
      <c r="C8" s="271">
        <f t="shared" si="3"/>
        <v>0</v>
      </c>
      <c r="D8" s="324">
        <f t="shared" si="4"/>
        <v>0</v>
      </c>
      <c r="E8" s="324">
        <f t="shared" si="11"/>
        <v>49844850</v>
      </c>
      <c r="F8" s="567">
        <f t="shared" ref="F8:J34" si="14">F7</f>
        <v>8008235</v>
      </c>
      <c r="G8" s="161">
        <f t="shared" si="0"/>
        <v>0</v>
      </c>
      <c r="H8" s="567">
        <f t="shared" si="14"/>
        <v>24549301</v>
      </c>
      <c r="I8" s="162">
        <f t="shared" si="1"/>
        <v>0</v>
      </c>
      <c r="J8" s="567">
        <f t="shared" si="14"/>
        <v>17287314</v>
      </c>
      <c r="K8" s="163">
        <f>J8-J7</f>
        <v>0</v>
      </c>
      <c r="L8" s="311">
        <f>SUM(G8*$Y$28)/1507.5</f>
        <v>0</v>
      </c>
      <c r="M8" s="311">
        <f>SUM(I8*$Y$27)/1507.5</f>
        <v>0</v>
      </c>
      <c r="N8" s="311">
        <f>SUM(K8*$Y$26)/1507.5</f>
        <v>0</v>
      </c>
      <c r="O8" s="311">
        <f t="shared" si="8"/>
        <v>19.974585622011347</v>
      </c>
      <c r="P8" s="312">
        <f t="shared" si="9"/>
        <v>19.974585622011347</v>
      </c>
      <c r="Q8" s="312">
        <f>SUM(-tanks!AX10*tanks!$AU$37)</f>
        <v>0</v>
      </c>
      <c r="R8" s="312">
        <f t="shared" si="10"/>
        <v>19.974585622011347</v>
      </c>
      <c r="S8" s="315">
        <f>SUM(ELEC!N7)</f>
        <v>0</v>
      </c>
      <c r="T8" s="352">
        <f>IF(S8&gt;0,R8/S8,0)</f>
        <v>0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571" t="str">
        <f>'[4]EDl log'!AB25</f>
        <v>Total cost LL</v>
      </c>
      <c r="AC8" s="258" t="s">
        <v>212</v>
      </c>
    </row>
    <row r="9" spans="1:30">
      <c r="A9" s="164">
        <f>ELEC!C8</f>
        <v>43957</v>
      </c>
      <c r="B9" s="567">
        <f t="shared" si="13"/>
        <v>49844850</v>
      </c>
      <c r="C9" s="271">
        <f t="shared" si="3"/>
        <v>0</v>
      </c>
      <c r="D9" s="324">
        <f t="shared" si="4"/>
        <v>0</v>
      </c>
      <c r="E9" s="324">
        <f t="shared" si="11"/>
        <v>49844850</v>
      </c>
      <c r="F9" s="567">
        <f t="shared" si="14"/>
        <v>8008235</v>
      </c>
      <c r="G9" s="161">
        <f t="shared" si="0"/>
        <v>0</v>
      </c>
      <c r="H9" s="567">
        <f t="shared" si="14"/>
        <v>24549301</v>
      </c>
      <c r="I9" s="162">
        <f t="shared" si="1"/>
        <v>0</v>
      </c>
      <c r="J9" s="567">
        <f t="shared" si="14"/>
        <v>17287314</v>
      </c>
      <c r="K9" s="163">
        <f>J9-J8</f>
        <v>0</v>
      </c>
      <c r="L9" s="311">
        <f>SUM(G9*$Y$28)/1507.5</f>
        <v>0</v>
      </c>
      <c r="M9" s="311">
        <f>SUM(I9*$Y$27)/1507.5</f>
        <v>0</v>
      </c>
      <c r="N9" s="311">
        <f>SUM(K9*$Y$26)/1507.5</f>
        <v>0</v>
      </c>
      <c r="O9" s="311">
        <f t="shared" si="8"/>
        <v>19.974585622011347</v>
      </c>
      <c r="P9" s="312">
        <f t="shared" si="9"/>
        <v>19.974585622011347</v>
      </c>
      <c r="Q9" s="312">
        <f>SUM(-tanks!AX11*tanks!$AU$37)</f>
        <v>0</v>
      </c>
      <c r="R9" s="312">
        <f>SUM(P9:Q9)</f>
        <v>19.974585622011347</v>
      </c>
      <c r="S9" s="315">
        <f>SUM(ELEC!N8)</f>
        <v>0</v>
      </c>
      <c r="T9" s="352">
        <f t="shared" si="12"/>
        <v>0</v>
      </c>
      <c r="V9" s="271">
        <f>'[4]EDl log'!V26</f>
        <v>17242851</v>
      </c>
      <c r="W9" s="271">
        <f>'[4]EDl log'!W26</f>
        <v>17280141</v>
      </c>
      <c r="X9" s="271" t="str">
        <f>'[4]EDl log'!X26</f>
        <v>Night</v>
      </c>
      <c r="Y9" s="271">
        <f>'[4]EDl log'!Y26</f>
        <v>80</v>
      </c>
      <c r="Z9" s="271">
        <f>'[4]EDl log'!Z26</f>
        <v>1</v>
      </c>
      <c r="AA9" s="271">
        <f>'[4]EDl log'!AA26</f>
        <v>37290</v>
      </c>
      <c r="AB9" s="271">
        <f>'[4]EDl log'!AB26</f>
        <v>2983200</v>
      </c>
      <c r="AC9" s="271">
        <f>'[4]EDl log'!AC26</f>
        <v>1033333</v>
      </c>
      <c r="AD9" s="537">
        <f>'[4]EDl log'!AD26</f>
        <v>0.3287113352079899</v>
      </c>
    </row>
    <row r="10" spans="1:30">
      <c r="A10" s="164">
        <f>ELEC!C9</f>
        <v>43958</v>
      </c>
      <c r="B10" s="567">
        <f t="shared" si="13"/>
        <v>49844850</v>
      </c>
      <c r="C10" s="271">
        <f t="shared" si="3"/>
        <v>0</v>
      </c>
      <c r="D10" s="324">
        <f t="shared" si="4"/>
        <v>0</v>
      </c>
      <c r="E10" s="324">
        <f t="shared" si="11"/>
        <v>49844850</v>
      </c>
      <c r="F10" s="567">
        <f t="shared" si="14"/>
        <v>8008235</v>
      </c>
      <c r="G10" s="161">
        <f t="shared" si="0"/>
        <v>0</v>
      </c>
      <c r="H10" s="567">
        <f t="shared" si="14"/>
        <v>24549301</v>
      </c>
      <c r="I10" s="162">
        <f t="shared" si="1"/>
        <v>0</v>
      </c>
      <c r="J10" s="567">
        <f t="shared" si="14"/>
        <v>17287314</v>
      </c>
      <c r="K10" s="163">
        <f t="shared" si="2"/>
        <v>0</v>
      </c>
      <c r="L10" s="311">
        <f t="shared" si="5"/>
        <v>0</v>
      </c>
      <c r="M10" s="311">
        <f t="shared" si="6"/>
        <v>0</v>
      </c>
      <c r="N10" s="311">
        <f t="shared" si="7"/>
        <v>0</v>
      </c>
      <c r="O10" s="311">
        <f t="shared" si="8"/>
        <v>19.974585622011347</v>
      </c>
      <c r="P10" s="312">
        <f t="shared" si="9"/>
        <v>19.974585622011347</v>
      </c>
      <c r="Q10" s="312">
        <f>SUM(-tanks!AX12*tanks!$AU$37)</f>
        <v>0</v>
      </c>
      <c r="R10" s="312">
        <f t="shared" si="10"/>
        <v>19.974585622011347</v>
      </c>
      <c r="S10" s="315">
        <f>SUM(ELEC!N9)</f>
        <v>0</v>
      </c>
      <c r="T10" s="352">
        <f t="shared" si="12"/>
        <v>0</v>
      </c>
      <c r="V10" s="271">
        <f>'[4]EDl log'!V27</f>
        <v>24476792</v>
      </c>
      <c r="W10" s="271">
        <f>'[4]EDl log'!W27</f>
        <v>24537919</v>
      </c>
      <c r="X10" s="271" t="str">
        <f>'[4]EDl log'!X27</f>
        <v>day</v>
      </c>
      <c r="Y10" s="271">
        <f>'[4]EDl log'!Y27</f>
        <v>112</v>
      </c>
      <c r="Z10" s="271">
        <f>'[4]EDl log'!Z27</f>
        <v>1</v>
      </c>
      <c r="AA10" s="271">
        <f>'[4]EDl log'!AA27</f>
        <v>61127</v>
      </c>
      <c r="AB10" s="271">
        <f>'[4]EDl log'!AB27</f>
        <v>6846224</v>
      </c>
      <c r="AC10" s="271">
        <f>'[4]EDl log'!AC27</f>
        <v>6200000</v>
      </c>
      <c r="AD10" s="537">
        <f>'[4]EDl log'!AD27</f>
        <v>0.53883448075244844</v>
      </c>
    </row>
    <row r="11" spans="1:30">
      <c r="A11" s="164">
        <f>ELEC!C10</f>
        <v>43959</v>
      </c>
      <c r="B11" s="567">
        <f t="shared" si="13"/>
        <v>49844850</v>
      </c>
      <c r="C11" s="271">
        <f t="shared" si="3"/>
        <v>0</v>
      </c>
      <c r="D11" s="324">
        <f>SUM(G11+I11+K11)</f>
        <v>0</v>
      </c>
      <c r="E11" s="324">
        <f t="shared" si="11"/>
        <v>49844850</v>
      </c>
      <c r="F11" s="567">
        <f t="shared" si="14"/>
        <v>8008235</v>
      </c>
      <c r="G11" s="161">
        <f t="shared" si="0"/>
        <v>0</v>
      </c>
      <c r="H11" s="567">
        <f t="shared" si="14"/>
        <v>24549301</v>
      </c>
      <c r="I11" s="162">
        <f t="shared" si="1"/>
        <v>0</v>
      </c>
      <c r="J11" s="567">
        <f t="shared" si="14"/>
        <v>17287314</v>
      </c>
      <c r="K11" s="163">
        <f t="shared" si="2"/>
        <v>0</v>
      </c>
      <c r="L11" s="311">
        <f t="shared" si="5"/>
        <v>0</v>
      </c>
      <c r="M11" s="311">
        <f t="shared" si="6"/>
        <v>0</v>
      </c>
      <c r="N11" s="311">
        <f t="shared" si="7"/>
        <v>0</v>
      </c>
      <c r="O11" s="311">
        <f t="shared" si="8"/>
        <v>19.974585622011347</v>
      </c>
      <c r="P11" s="312">
        <f t="shared" si="9"/>
        <v>19.974585622011347</v>
      </c>
      <c r="Q11" s="312">
        <f>SUM(-tanks!AX13*tanks!$AU$37)</f>
        <v>0</v>
      </c>
      <c r="R11" s="312">
        <f t="shared" si="10"/>
        <v>19.974585622011347</v>
      </c>
      <c r="S11" s="315">
        <f>SUM(ELEC!N10)</f>
        <v>0</v>
      </c>
      <c r="T11" s="352">
        <f t="shared" si="12"/>
        <v>0</v>
      </c>
      <c r="V11" s="271">
        <f>'[4]EDl log'!V28</f>
        <v>7990092</v>
      </c>
      <c r="W11" s="271">
        <f>'[4]EDl log'!W28</f>
        <v>8005117</v>
      </c>
      <c r="X11" s="271" t="str">
        <f>'[4]EDl log'!X28</f>
        <v>Peak</v>
      </c>
      <c r="Y11" s="271">
        <f>'[4]EDl log'!Y28</f>
        <v>320</v>
      </c>
      <c r="Z11" s="271">
        <f>'[4]EDl log'!Z28</f>
        <v>1</v>
      </c>
      <c r="AA11" s="271">
        <f>'[4]EDl log'!AA28</f>
        <v>15025</v>
      </c>
      <c r="AB11" s="271">
        <f>'[4]EDl log'!AB28</f>
        <v>4808000</v>
      </c>
      <c r="AC11" s="271">
        <f>'[4]EDl log'!AC28</f>
        <v>1000</v>
      </c>
      <c r="AD11" s="537">
        <f>'[4]EDl log'!AD28</f>
        <v>0.1324453690399584</v>
      </c>
    </row>
    <row r="12" spans="1:30">
      <c r="A12" s="164">
        <f>ELEC!C11</f>
        <v>43960</v>
      </c>
      <c r="B12" s="567">
        <f t="shared" si="13"/>
        <v>49844850</v>
      </c>
      <c r="C12" s="271">
        <f t="shared" si="3"/>
        <v>0</v>
      </c>
      <c r="D12" s="324">
        <f t="shared" si="4"/>
        <v>0</v>
      </c>
      <c r="E12" s="324">
        <f t="shared" si="11"/>
        <v>49844850</v>
      </c>
      <c r="F12" s="567">
        <f t="shared" si="14"/>
        <v>8008235</v>
      </c>
      <c r="G12" s="161">
        <f t="shared" si="0"/>
        <v>0</v>
      </c>
      <c r="H12" s="567">
        <f t="shared" si="14"/>
        <v>24549301</v>
      </c>
      <c r="I12" s="162">
        <f t="shared" si="1"/>
        <v>0</v>
      </c>
      <c r="J12" s="567">
        <f t="shared" si="14"/>
        <v>17287314</v>
      </c>
      <c r="K12" s="163">
        <f t="shared" si="2"/>
        <v>0</v>
      </c>
      <c r="L12" s="311">
        <f t="shared" si="5"/>
        <v>0</v>
      </c>
      <c r="M12" s="311">
        <f t="shared" si="6"/>
        <v>0</v>
      </c>
      <c r="N12" s="311">
        <f t="shared" si="7"/>
        <v>0</v>
      </c>
      <c r="O12" s="311">
        <f t="shared" si="8"/>
        <v>19.974585622011347</v>
      </c>
      <c r="P12" s="312">
        <f t="shared" si="9"/>
        <v>19.974585622011347</v>
      </c>
      <c r="Q12" s="312">
        <f>SUM(-tanks!AX14*tanks!$AU$37)</f>
        <v>0</v>
      </c>
      <c r="R12" s="312">
        <f t="shared" si="10"/>
        <v>19.974585622011347</v>
      </c>
      <c r="S12" s="315">
        <f>SUM(ELEC!N11)</f>
        <v>0</v>
      </c>
      <c r="T12" s="352">
        <f t="shared" si="12"/>
        <v>0</v>
      </c>
      <c r="V12" s="271"/>
      <c r="W12" s="271"/>
      <c r="X12" s="3"/>
      <c r="Y12" s="271"/>
      <c r="Z12" s="28"/>
      <c r="AA12" s="271">
        <f>'[4]EDl log'!AA29</f>
        <v>113442</v>
      </c>
      <c r="AB12" s="271">
        <f>'[4]EDl log'!AB29</f>
        <v>0</v>
      </c>
      <c r="AC12" s="271">
        <f>'[4]EDl log'!AC29</f>
        <v>0</v>
      </c>
    </row>
    <row r="13" spans="1:30">
      <c r="A13" s="164">
        <f>ELEC!C12</f>
        <v>43961</v>
      </c>
      <c r="B13" s="567">
        <f t="shared" si="13"/>
        <v>49844850</v>
      </c>
      <c r="C13" s="271">
        <f t="shared" si="3"/>
        <v>0</v>
      </c>
      <c r="D13" s="324">
        <f t="shared" si="4"/>
        <v>0</v>
      </c>
      <c r="E13" s="324">
        <f t="shared" si="11"/>
        <v>49844850</v>
      </c>
      <c r="F13" s="567">
        <f t="shared" si="14"/>
        <v>8008235</v>
      </c>
      <c r="G13" s="161">
        <f t="shared" si="0"/>
        <v>0</v>
      </c>
      <c r="H13" s="567">
        <f t="shared" si="14"/>
        <v>24549301</v>
      </c>
      <c r="I13" s="162">
        <f t="shared" si="1"/>
        <v>0</v>
      </c>
      <c r="J13" s="567">
        <f t="shared" si="14"/>
        <v>17287314</v>
      </c>
      <c r="K13" s="163">
        <f t="shared" si="2"/>
        <v>0</v>
      </c>
      <c r="L13" s="311">
        <f t="shared" si="5"/>
        <v>0</v>
      </c>
      <c r="M13" s="311">
        <f t="shared" si="6"/>
        <v>0</v>
      </c>
      <c r="N13" s="311">
        <f t="shared" si="7"/>
        <v>0</v>
      </c>
      <c r="O13" s="311">
        <f t="shared" si="8"/>
        <v>19.974585622011347</v>
      </c>
      <c r="P13" s="312">
        <f t="shared" si="9"/>
        <v>19.974585622011347</v>
      </c>
      <c r="Q13" s="312">
        <f>SUM(-tanks!AX15*tanks!$AU$37)</f>
        <v>0</v>
      </c>
      <c r="R13" s="312">
        <f t="shared" si="10"/>
        <v>19.974585622011347</v>
      </c>
      <c r="S13" s="315">
        <f>SUM(ELEC!N12)</f>
        <v>0</v>
      </c>
      <c r="T13" s="352">
        <f t="shared" si="12"/>
        <v>0</v>
      </c>
      <c r="V13" s="271" t="str">
        <f>'[4]EDl log'!V30</f>
        <v>Occ %</v>
      </c>
      <c r="W13" s="537">
        <f>'[4]EDl log'!W30</f>
        <v>1.6079310344827583E-2</v>
      </c>
      <c r="X13" s="271">
        <f>'[4]EDl log'!X30</f>
        <v>0</v>
      </c>
      <c r="Y13" s="271" t="str">
        <f>'[4]EDl log'!Y30</f>
        <v>Per G</v>
      </c>
      <c r="Z13" s="3"/>
      <c r="AA13" s="3"/>
      <c r="AB13" s="571">
        <f>'[4]EDl log'!AB30</f>
        <v>14637424</v>
      </c>
      <c r="AC13" s="571">
        <f>'[4]EDl log'!AC30</f>
        <v>6993188.5666666664</v>
      </c>
    </row>
    <row r="14" spans="1:30">
      <c r="A14" s="164">
        <f>ELEC!C13</f>
        <v>43962</v>
      </c>
      <c r="B14" s="567">
        <f t="shared" si="13"/>
        <v>49844850</v>
      </c>
      <c r="C14" s="271">
        <f t="shared" si="3"/>
        <v>0</v>
      </c>
      <c r="D14" s="324">
        <f t="shared" si="4"/>
        <v>0</v>
      </c>
      <c r="E14" s="324">
        <f t="shared" si="11"/>
        <v>49844850</v>
      </c>
      <c r="F14" s="567">
        <f t="shared" si="14"/>
        <v>8008235</v>
      </c>
      <c r="G14" s="161">
        <f t="shared" si="0"/>
        <v>0</v>
      </c>
      <c r="H14" s="567">
        <f t="shared" si="14"/>
        <v>24549301</v>
      </c>
      <c r="I14" s="162">
        <f t="shared" si="1"/>
        <v>0</v>
      </c>
      <c r="J14" s="567">
        <f t="shared" si="14"/>
        <v>17287314</v>
      </c>
      <c r="K14" s="163">
        <f t="shared" si="2"/>
        <v>0</v>
      </c>
      <c r="L14" s="311">
        <f t="shared" si="5"/>
        <v>0</v>
      </c>
      <c r="M14" s="311">
        <f t="shared" si="6"/>
        <v>0</v>
      </c>
      <c r="N14" s="311">
        <f t="shared" si="7"/>
        <v>0</v>
      </c>
      <c r="O14" s="311">
        <f t="shared" si="8"/>
        <v>19.974585622011347</v>
      </c>
      <c r="P14" s="312">
        <f t="shared" si="9"/>
        <v>19.974585622011347</v>
      </c>
      <c r="Q14" s="312">
        <f>SUM(-tanks!AX16*tanks!$AU$37)</f>
        <v>0</v>
      </c>
      <c r="R14" s="312">
        <f>SUM(P14:Q14)</f>
        <v>19.974585622011347</v>
      </c>
      <c r="S14" s="315">
        <f>SUM(ELEC!N13)</f>
        <v>0</v>
      </c>
      <c r="T14" s="352">
        <f t="shared" si="12"/>
        <v>0</v>
      </c>
      <c r="V14" s="271" t="str">
        <f>'[4]EDl log'!V31</f>
        <v>Gen RH</v>
      </c>
      <c r="W14" s="271">
        <f>'[4]EDl log'!W31</f>
        <v>82.639999999999418</v>
      </c>
      <c r="X14" s="271">
        <f>'[4]EDl log'!X31</f>
        <v>2.8496551724137729</v>
      </c>
      <c r="Y14" s="271">
        <f>'[4]EDl log'!Y31</f>
        <v>1.4248275862068864</v>
      </c>
      <c r="Z14" s="3"/>
      <c r="AA14" s="3"/>
      <c r="AB14" s="571">
        <f>'[4]EDl log'!AB31</f>
        <v>21630612.566666666</v>
      </c>
      <c r="AC14" s="571">
        <f>'[4]EDl log'!AC31</f>
        <v>6993188.5666666664</v>
      </c>
    </row>
    <row r="15" spans="1:30">
      <c r="A15" s="164">
        <f>ELEC!C14</f>
        <v>43963</v>
      </c>
      <c r="B15" s="567">
        <f t="shared" si="13"/>
        <v>49844850</v>
      </c>
      <c r="C15" s="271">
        <f t="shared" si="3"/>
        <v>0</v>
      </c>
      <c r="D15" s="324">
        <f t="shared" si="4"/>
        <v>0</v>
      </c>
      <c r="E15" s="324">
        <f t="shared" si="11"/>
        <v>49844850</v>
      </c>
      <c r="F15" s="567">
        <f t="shared" si="14"/>
        <v>8008235</v>
      </c>
      <c r="G15" s="161">
        <f t="shared" si="0"/>
        <v>0</v>
      </c>
      <c r="H15" s="567">
        <f t="shared" si="14"/>
        <v>24549301</v>
      </c>
      <c r="I15" s="162">
        <f t="shared" si="1"/>
        <v>0</v>
      </c>
      <c r="J15" s="567">
        <f t="shared" si="14"/>
        <v>17287314</v>
      </c>
      <c r="K15" s="163">
        <f t="shared" si="2"/>
        <v>0</v>
      </c>
      <c r="L15" s="311">
        <f t="shared" si="5"/>
        <v>0</v>
      </c>
      <c r="M15" s="311">
        <f t="shared" si="6"/>
        <v>0</v>
      </c>
      <c r="N15" s="311">
        <f t="shared" si="7"/>
        <v>0</v>
      </c>
      <c r="O15" s="311">
        <f t="shared" si="8"/>
        <v>19.974585622011347</v>
      </c>
      <c r="P15" s="312">
        <f t="shared" si="9"/>
        <v>19.974585622011347</v>
      </c>
      <c r="Q15" s="312">
        <f>SUM(-tanks!AX17*tanks!$AU$37)</f>
        <v>0</v>
      </c>
      <c r="R15" s="312">
        <f t="shared" si="10"/>
        <v>19.974585622011347</v>
      </c>
      <c r="S15" s="315">
        <f>SUM(ELEC!N14)</f>
        <v>0</v>
      </c>
      <c r="T15" s="352">
        <f t="shared" si="12"/>
        <v>0</v>
      </c>
      <c r="V15" s="271" t="str">
        <f>'[4]EDl log'!V32</f>
        <v>H Deg</v>
      </c>
      <c r="W15" s="271">
        <f>'[4]EDl log'!W32</f>
        <v>-549.00000000000011</v>
      </c>
      <c r="X15" s="271">
        <f>'[4]EDl log'!X32</f>
        <v>0</v>
      </c>
      <c r="Y15" s="271">
        <f>'[4]EDl log'!Y32</f>
        <v>0</v>
      </c>
      <c r="Z15" s="3"/>
      <c r="AA15" s="3"/>
      <c r="AB15" s="271">
        <f>'[8]EDl log'!AB32</f>
        <v>0</v>
      </c>
      <c r="AC15" s="571">
        <f>'[4]EDl log'!AC32</f>
        <v>0</v>
      </c>
    </row>
    <row r="16" spans="1:30">
      <c r="A16" s="164">
        <f>ELEC!C15</f>
        <v>43964</v>
      </c>
      <c r="B16" s="567">
        <f t="shared" si="13"/>
        <v>49844850</v>
      </c>
      <c r="C16" s="271">
        <f t="shared" si="3"/>
        <v>0</v>
      </c>
      <c r="D16" s="324">
        <f t="shared" si="4"/>
        <v>0</v>
      </c>
      <c r="E16" s="324">
        <f t="shared" si="11"/>
        <v>49844850</v>
      </c>
      <c r="F16" s="567">
        <f t="shared" si="14"/>
        <v>8008235</v>
      </c>
      <c r="G16" s="161">
        <f t="shared" si="0"/>
        <v>0</v>
      </c>
      <c r="H16" s="567">
        <f t="shared" si="14"/>
        <v>24549301</v>
      </c>
      <c r="I16" s="162">
        <f t="shared" si="1"/>
        <v>0</v>
      </c>
      <c r="J16" s="567">
        <f t="shared" si="14"/>
        <v>17287314</v>
      </c>
      <c r="K16" s="163">
        <f t="shared" si="2"/>
        <v>0</v>
      </c>
      <c r="L16" s="311">
        <f t="shared" si="5"/>
        <v>0</v>
      </c>
      <c r="M16" s="311">
        <f t="shared" si="6"/>
        <v>0</v>
      </c>
      <c r="N16" s="311">
        <f t="shared" si="7"/>
        <v>0</v>
      </c>
      <c r="O16" s="311">
        <f t="shared" si="8"/>
        <v>19.974585622011347</v>
      </c>
      <c r="P16" s="312">
        <f t="shared" si="9"/>
        <v>19.974585622011347</v>
      </c>
      <c r="Q16" s="312">
        <f>SUM(-tanks!AX18*tanks!$AU$37)</f>
        <v>0</v>
      </c>
      <c r="R16" s="312">
        <f t="shared" si="10"/>
        <v>19.974585622011347</v>
      </c>
      <c r="S16" s="315">
        <f>SUM(ELEC!N15)</f>
        <v>0</v>
      </c>
      <c r="T16" s="352">
        <f t="shared" si="12"/>
        <v>0</v>
      </c>
      <c r="V16" s="271" t="str">
        <f>'[4]EDl log'!V33</f>
        <v>C Deg</v>
      </c>
      <c r="W16" s="271">
        <f>'[4]EDl log'!W33</f>
        <v>0</v>
      </c>
      <c r="X16" s="271">
        <f>'[4]EDl log'!X33</f>
        <v>0</v>
      </c>
      <c r="Y16" s="271">
        <f>'[4]EDl log'!Y33</f>
        <v>0</v>
      </c>
      <c r="Z16" s="3"/>
      <c r="AA16" s="3"/>
      <c r="AB16" s="271">
        <f>'[8]EDl log'!AB33</f>
        <v>0</v>
      </c>
      <c r="AC16" s="271">
        <f>'[8]EDl log'!AC33</f>
        <v>0</v>
      </c>
    </row>
    <row r="17" spans="1:32">
      <c r="A17" s="164">
        <f>ELEC!C16</f>
        <v>43965</v>
      </c>
      <c r="B17" s="567">
        <f t="shared" si="13"/>
        <v>49844850</v>
      </c>
      <c r="C17" s="271">
        <f t="shared" si="3"/>
        <v>0</v>
      </c>
      <c r="D17" s="324">
        <f t="shared" si="4"/>
        <v>0</v>
      </c>
      <c r="E17" s="324">
        <f t="shared" si="11"/>
        <v>49844850</v>
      </c>
      <c r="F17" s="567">
        <f t="shared" si="14"/>
        <v>8008235</v>
      </c>
      <c r="G17" s="161">
        <f t="shared" si="0"/>
        <v>0</v>
      </c>
      <c r="H17" s="567">
        <f t="shared" si="14"/>
        <v>24549301</v>
      </c>
      <c r="I17" s="162">
        <f t="shared" si="1"/>
        <v>0</v>
      </c>
      <c r="J17" s="567">
        <f t="shared" si="14"/>
        <v>17287314</v>
      </c>
      <c r="K17" s="163">
        <f t="shared" si="2"/>
        <v>0</v>
      </c>
      <c r="L17" s="311">
        <f t="shared" si="5"/>
        <v>0</v>
      </c>
      <c r="M17" s="311">
        <f t="shared" si="6"/>
        <v>0</v>
      </c>
      <c r="N17" s="311">
        <f t="shared" si="7"/>
        <v>0</v>
      </c>
      <c r="O17" s="311">
        <f t="shared" si="8"/>
        <v>19.974585622011347</v>
      </c>
      <c r="P17" s="312">
        <f t="shared" si="9"/>
        <v>19.974585622011347</v>
      </c>
      <c r="Q17" s="312">
        <f>SUM(-tanks!AX19*tanks!$AU$37)</f>
        <v>0</v>
      </c>
      <c r="R17" s="312">
        <f t="shared" si="10"/>
        <v>19.974585622011347</v>
      </c>
      <c r="S17" s="315">
        <f>SUM(ELEC!N16)</f>
        <v>0</v>
      </c>
      <c r="T17" s="352">
        <f t="shared" si="12"/>
        <v>0</v>
      </c>
      <c r="V17" s="259"/>
      <c r="W17" s="271">
        <f>'[9]EDl log'!W34</f>
        <v>0</v>
      </c>
      <c r="X17" s="17"/>
      <c r="Y17" s="454"/>
      <c r="Z17" s="454" t="str">
        <f>'[10]EDl log'!Z34</f>
        <v xml:space="preserve">VAT </v>
      </c>
      <c r="AA17" s="536">
        <f>'[8]EDl log'!$AA$35</f>
        <v>0.11</v>
      </c>
      <c r="AB17" s="571">
        <f>'[4]EDl log'!AB34</f>
        <v>2379367.3823333331</v>
      </c>
      <c r="AC17" s="571">
        <f>'[4]EDl log'!AC34</f>
        <v>0</v>
      </c>
    </row>
    <row r="18" spans="1:32" ht="15.75" thickBot="1">
      <c r="A18" s="164">
        <f>ELEC!C17</f>
        <v>43966</v>
      </c>
      <c r="B18" s="567">
        <f t="shared" si="13"/>
        <v>49844850</v>
      </c>
      <c r="C18" s="271">
        <f t="shared" si="3"/>
        <v>0</v>
      </c>
      <c r="D18" s="324">
        <f t="shared" si="4"/>
        <v>0</v>
      </c>
      <c r="E18" s="324">
        <f t="shared" si="11"/>
        <v>49844850</v>
      </c>
      <c r="F18" s="567">
        <f t="shared" si="14"/>
        <v>8008235</v>
      </c>
      <c r="G18" s="161">
        <f t="shared" si="0"/>
        <v>0</v>
      </c>
      <c r="H18" s="567">
        <f t="shared" si="14"/>
        <v>24549301</v>
      </c>
      <c r="I18" s="162">
        <f t="shared" si="1"/>
        <v>0</v>
      </c>
      <c r="J18" s="567">
        <f t="shared" si="14"/>
        <v>17287314</v>
      </c>
      <c r="K18" s="163">
        <f t="shared" si="2"/>
        <v>0</v>
      </c>
      <c r="L18" s="311">
        <f t="shared" si="5"/>
        <v>0</v>
      </c>
      <c r="M18" s="311">
        <f t="shared" si="6"/>
        <v>0</v>
      </c>
      <c r="N18" s="311">
        <f t="shared" si="7"/>
        <v>0</v>
      </c>
      <c r="O18" s="311">
        <f t="shared" si="8"/>
        <v>19.974585622011347</v>
      </c>
      <c r="P18" s="312">
        <f t="shared" si="9"/>
        <v>19.974585622011347</v>
      </c>
      <c r="Q18" s="312">
        <f>SUM(-tanks!AX20*tanks!$AU$37)</f>
        <v>0</v>
      </c>
      <c r="R18" s="312">
        <f t="shared" si="10"/>
        <v>19.974585622011347</v>
      </c>
      <c r="S18" s="315">
        <f>SUM(ELEC!N17)</f>
        <v>0</v>
      </c>
      <c r="T18" s="352">
        <f t="shared" si="12"/>
        <v>0</v>
      </c>
      <c r="V18" s="233"/>
      <c r="W18" s="234"/>
      <c r="X18" s="234"/>
      <c r="Y18" s="454"/>
      <c r="Z18" s="454"/>
      <c r="AA18" s="45"/>
      <c r="AB18" s="571">
        <f>'[4]EDl log'!AB35</f>
        <v>24009979.949000001</v>
      </c>
      <c r="AC18" s="571">
        <f>'[4]EDl log'!AC35</f>
        <v>0</v>
      </c>
    </row>
    <row r="19" spans="1:32" ht="15.75" thickBot="1">
      <c r="A19" s="164">
        <f>ELEC!C18</f>
        <v>43967</v>
      </c>
      <c r="B19" s="567">
        <f t="shared" si="13"/>
        <v>49844850</v>
      </c>
      <c r="C19" s="271">
        <f t="shared" si="3"/>
        <v>0</v>
      </c>
      <c r="D19" s="324">
        <f t="shared" si="4"/>
        <v>0</v>
      </c>
      <c r="E19" s="324">
        <f t="shared" si="11"/>
        <v>49844850</v>
      </c>
      <c r="F19" s="567">
        <f t="shared" si="14"/>
        <v>8008235</v>
      </c>
      <c r="G19" s="161">
        <f>F19-F18</f>
        <v>0</v>
      </c>
      <c r="H19" s="567">
        <f t="shared" si="14"/>
        <v>24549301</v>
      </c>
      <c r="I19" s="162">
        <f t="shared" si="1"/>
        <v>0</v>
      </c>
      <c r="J19" s="567">
        <f t="shared" si="14"/>
        <v>17287314</v>
      </c>
      <c r="K19" s="163">
        <f t="shared" si="2"/>
        <v>0</v>
      </c>
      <c r="L19" s="311">
        <f t="shared" si="5"/>
        <v>0</v>
      </c>
      <c r="M19" s="311">
        <f t="shared" si="6"/>
        <v>0</v>
      </c>
      <c r="N19" s="311">
        <f t="shared" si="7"/>
        <v>0</v>
      </c>
      <c r="O19" s="311">
        <f t="shared" si="8"/>
        <v>19.974585622011347</v>
      </c>
      <c r="P19" s="312">
        <f t="shared" si="9"/>
        <v>19.974585622011347</v>
      </c>
      <c r="Q19" s="312">
        <f>SUM(-tanks!AX21*tanks!$AU$37)</f>
        <v>0</v>
      </c>
      <c r="R19" s="312">
        <f t="shared" si="10"/>
        <v>19.974585622011347</v>
      </c>
      <c r="S19" s="315">
        <f>SUM(ELEC!N18)</f>
        <v>0</v>
      </c>
      <c r="T19" s="352">
        <f t="shared" si="12"/>
        <v>0</v>
      </c>
      <c r="V19" s="233"/>
      <c r="W19" s="234"/>
      <c r="X19" s="234"/>
      <c r="Y19" s="454"/>
      <c r="Z19" s="454"/>
      <c r="AA19" s="234" t="s">
        <v>215</v>
      </c>
      <c r="AB19" s="271" t="e">
        <f>'[11]EDl log'!AB36</f>
        <v>#REF!</v>
      </c>
      <c r="AC19" s="271" t="e">
        <f>'[11]EDl log'!AC36</f>
        <v>#REF!</v>
      </c>
    </row>
    <row r="20" spans="1:32" ht="15.75" thickBot="1">
      <c r="A20" s="164">
        <f>ELEC!C19</f>
        <v>43968</v>
      </c>
      <c r="B20" s="567">
        <f t="shared" si="13"/>
        <v>49844850</v>
      </c>
      <c r="C20" s="271">
        <f t="shared" si="3"/>
        <v>0</v>
      </c>
      <c r="D20" s="324">
        <f t="shared" si="4"/>
        <v>0</v>
      </c>
      <c r="E20" s="324">
        <f t="shared" si="11"/>
        <v>49844850</v>
      </c>
      <c r="F20" s="567">
        <f t="shared" si="14"/>
        <v>8008235</v>
      </c>
      <c r="G20" s="161">
        <f t="shared" si="0"/>
        <v>0</v>
      </c>
      <c r="H20" s="567">
        <f t="shared" si="14"/>
        <v>24549301</v>
      </c>
      <c r="I20" s="162">
        <f t="shared" si="1"/>
        <v>0</v>
      </c>
      <c r="J20" s="567">
        <f t="shared" si="14"/>
        <v>17287314</v>
      </c>
      <c r="K20" s="163">
        <f t="shared" si="2"/>
        <v>0</v>
      </c>
      <c r="L20" s="311">
        <f t="shared" si="5"/>
        <v>0</v>
      </c>
      <c r="M20" s="311">
        <f t="shared" si="6"/>
        <v>0</v>
      </c>
      <c r="N20" s="311">
        <f t="shared" si="7"/>
        <v>0</v>
      </c>
      <c r="O20" s="311">
        <f t="shared" si="8"/>
        <v>19.974585622011347</v>
      </c>
      <c r="P20" s="312">
        <f t="shared" si="9"/>
        <v>19.974585622011347</v>
      </c>
      <c r="Q20" s="312">
        <f>SUM(-tanks!AX22*tanks!$AU$37)</f>
        <v>0</v>
      </c>
      <c r="R20" s="312">
        <f t="shared" si="10"/>
        <v>19.974585622011347</v>
      </c>
      <c r="S20" s="315">
        <f>SUM(ELEC!N19)</f>
        <v>0</v>
      </c>
      <c r="T20" s="352">
        <f t="shared" si="12"/>
        <v>0</v>
      </c>
      <c r="AB20" s="271"/>
    </row>
    <row r="21" spans="1:32">
      <c r="A21" s="164">
        <f>ELEC!C20</f>
        <v>43969</v>
      </c>
      <c r="B21" s="567">
        <f t="shared" si="13"/>
        <v>49844850</v>
      </c>
      <c r="C21" s="271">
        <f t="shared" si="3"/>
        <v>0</v>
      </c>
      <c r="D21" s="324">
        <f t="shared" si="4"/>
        <v>0</v>
      </c>
      <c r="E21" s="324">
        <f t="shared" si="11"/>
        <v>49844850</v>
      </c>
      <c r="F21" s="567">
        <f t="shared" si="14"/>
        <v>8008235</v>
      </c>
      <c r="G21" s="161">
        <f t="shared" si="0"/>
        <v>0</v>
      </c>
      <c r="H21" s="567">
        <f t="shared" si="14"/>
        <v>24549301</v>
      </c>
      <c r="I21" s="162">
        <f t="shared" si="1"/>
        <v>0</v>
      </c>
      <c r="J21" s="567">
        <f t="shared" si="14"/>
        <v>17287314</v>
      </c>
      <c r="K21" s="163">
        <f t="shared" si="2"/>
        <v>0</v>
      </c>
      <c r="L21" s="311">
        <f t="shared" si="5"/>
        <v>0</v>
      </c>
      <c r="M21" s="311">
        <f t="shared" si="6"/>
        <v>0</v>
      </c>
      <c r="N21" s="311">
        <f t="shared" si="7"/>
        <v>0</v>
      </c>
      <c r="O21" s="311">
        <f t="shared" si="8"/>
        <v>19.974585622011347</v>
      </c>
      <c r="P21" s="312">
        <f t="shared" si="9"/>
        <v>19.974585622011347</v>
      </c>
      <c r="Q21" s="312">
        <f>SUM(-tanks!AX23*tanks!$AU$37)</f>
        <v>0</v>
      </c>
      <c r="R21" s="312">
        <f t="shared" si="10"/>
        <v>19.974585622011347</v>
      </c>
      <c r="S21" s="315">
        <f>SUM(ELEC!N20)</f>
        <v>0</v>
      </c>
      <c r="T21" s="352">
        <f t="shared" si="12"/>
        <v>0</v>
      </c>
      <c r="V21" s="167" t="s">
        <v>201</v>
      </c>
      <c r="W21" s="168">
        <v>43971</v>
      </c>
      <c r="X21" s="169"/>
      <c r="Y21" s="169"/>
      <c r="Z21" s="170" t="s">
        <v>202</v>
      </c>
      <c r="AA21" s="169"/>
      <c r="AB21" s="642"/>
      <c r="AC21" s="643"/>
    </row>
    <row r="22" spans="1:32">
      <c r="A22" s="164">
        <f>ELEC!C21</f>
        <v>43970</v>
      </c>
      <c r="B22" s="567">
        <f t="shared" si="13"/>
        <v>49844850</v>
      </c>
      <c r="C22" s="271">
        <f t="shared" si="3"/>
        <v>0</v>
      </c>
      <c r="D22" s="324">
        <f t="shared" si="4"/>
        <v>0</v>
      </c>
      <c r="E22" s="324">
        <f t="shared" si="11"/>
        <v>49844850</v>
      </c>
      <c r="F22" s="567">
        <f t="shared" si="14"/>
        <v>8008235</v>
      </c>
      <c r="G22" s="161">
        <f t="shared" si="0"/>
        <v>0</v>
      </c>
      <c r="H22" s="567">
        <f t="shared" si="14"/>
        <v>24549301</v>
      </c>
      <c r="I22" s="162">
        <f t="shared" si="1"/>
        <v>0</v>
      </c>
      <c r="J22" s="567">
        <f t="shared" si="14"/>
        <v>17287314</v>
      </c>
      <c r="K22" s="163">
        <f t="shared" si="2"/>
        <v>0</v>
      </c>
      <c r="L22" s="311">
        <f t="shared" si="5"/>
        <v>0</v>
      </c>
      <c r="M22" s="311">
        <f t="shared" si="6"/>
        <v>0</v>
      </c>
      <c r="N22" s="311">
        <f t="shared" si="7"/>
        <v>0</v>
      </c>
      <c r="O22" s="311">
        <f t="shared" si="8"/>
        <v>19.974585622011347</v>
      </c>
      <c r="P22" s="312">
        <f t="shared" si="9"/>
        <v>19.974585622011347</v>
      </c>
      <c r="Q22" s="312">
        <f>SUM(-tanks!AX24*tanks!$AU$37)</f>
        <v>0</v>
      </c>
      <c r="R22" s="312">
        <f t="shared" si="10"/>
        <v>19.974585622011347</v>
      </c>
      <c r="S22" s="315">
        <f>SUM(ELEC!N21)</f>
        <v>0</v>
      </c>
      <c r="T22" s="352">
        <f t="shared" si="12"/>
        <v>0</v>
      </c>
      <c r="V22" s="648"/>
      <c r="W22" s="649"/>
      <c r="X22" s="649"/>
      <c r="Y22" s="650"/>
      <c r="Z22" s="26" t="s">
        <v>203</v>
      </c>
      <c r="AA22" s="26">
        <v>5000</v>
      </c>
      <c r="AB22" s="644"/>
      <c r="AC22" s="645"/>
    </row>
    <row r="23" spans="1:32">
      <c r="A23" s="164">
        <f>ELEC!C22</f>
        <v>43971</v>
      </c>
      <c r="B23" s="567">
        <f t="shared" si="13"/>
        <v>49844850</v>
      </c>
      <c r="C23" s="271">
        <f t="shared" si="3"/>
        <v>0</v>
      </c>
      <c r="D23" s="324">
        <f t="shared" si="4"/>
        <v>0</v>
      </c>
      <c r="E23" s="324">
        <f t="shared" si="11"/>
        <v>49844850</v>
      </c>
      <c r="F23" s="567">
        <f t="shared" si="14"/>
        <v>8008235</v>
      </c>
      <c r="G23" s="161">
        <f t="shared" si="0"/>
        <v>0</v>
      </c>
      <c r="H23" s="567">
        <f t="shared" si="14"/>
        <v>24549301</v>
      </c>
      <c r="I23" s="162">
        <f t="shared" si="1"/>
        <v>0</v>
      </c>
      <c r="J23" s="567">
        <f t="shared" si="14"/>
        <v>17287314</v>
      </c>
      <c r="K23" s="163">
        <f t="shared" si="2"/>
        <v>0</v>
      </c>
      <c r="L23" s="311">
        <f t="shared" si="5"/>
        <v>0</v>
      </c>
      <c r="M23" s="311">
        <f t="shared" si="6"/>
        <v>0</v>
      </c>
      <c r="N23" s="311">
        <f t="shared" si="7"/>
        <v>0</v>
      </c>
      <c r="O23" s="311">
        <f t="shared" si="8"/>
        <v>19.974585622011347</v>
      </c>
      <c r="P23" s="312">
        <f t="shared" si="9"/>
        <v>19.974585622011347</v>
      </c>
      <c r="Q23" s="312">
        <f>SUM(-tanks!AX25*tanks!$AU$37)</f>
        <v>0</v>
      </c>
      <c r="R23" s="312">
        <f t="shared" si="10"/>
        <v>19.974585622011347</v>
      </c>
      <c r="S23" s="315">
        <f>SUM(ELEC!N22)</f>
        <v>0</v>
      </c>
      <c r="T23" s="352">
        <f t="shared" si="12"/>
        <v>0</v>
      </c>
      <c r="V23" s="651"/>
      <c r="W23" s="652"/>
      <c r="X23" s="652"/>
      <c r="Y23" s="653"/>
      <c r="Z23" s="654"/>
      <c r="AA23" s="655"/>
      <c r="AB23" s="644"/>
      <c r="AC23" s="645"/>
    </row>
    <row r="24" spans="1:32" ht="15" customHeight="1">
      <c r="A24" s="164">
        <f>ELEC!C23</f>
        <v>43972</v>
      </c>
      <c r="B24" s="567">
        <f t="shared" si="13"/>
        <v>49844850</v>
      </c>
      <c r="C24" s="271">
        <f t="shared" si="3"/>
        <v>0</v>
      </c>
      <c r="D24" s="324">
        <f t="shared" si="4"/>
        <v>0</v>
      </c>
      <c r="E24" s="324">
        <f t="shared" si="11"/>
        <v>49844850</v>
      </c>
      <c r="F24" s="567">
        <f t="shared" si="14"/>
        <v>8008235</v>
      </c>
      <c r="G24" s="161">
        <f t="shared" si="0"/>
        <v>0</v>
      </c>
      <c r="H24" s="567">
        <f t="shared" si="14"/>
        <v>24549301</v>
      </c>
      <c r="I24" s="162">
        <f t="shared" si="1"/>
        <v>0</v>
      </c>
      <c r="J24" s="567">
        <f t="shared" si="14"/>
        <v>17287314</v>
      </c>
      <c r="K24" s="163">
        <f t="shared" si="2"/>
        <v>0</v>
      </c>
      <c r="L24" s="311">
        <f t="shared" si="5"/>
        <v>0</v>
      </c>
      <c r="M24" s="311">
        <f t="shared" si="6"/>
        <v>0</v>
      </c>
      <c r="N24" s="311">
        <f t="shared" si="7"/>
        <v>0</v>
      </c>
      <c r="O24" s="311">
        <f t="shared" si="8"/>
        <v>19.974585622011347</v>
      </c>
      <c r="P24" s="312">
        <f t="shared" si="9"/>
        <v>19.974585622011347</v>
      </c>
      <c r="Q24" s="312">
        <f>SUM(-tanks!AX26*tanks!$AU$37)</f>
        <v>0</v>
      </c>
      <c r="R24" s="312">
        <f t="shared" si="10"/>
        <v>19.974585622011347</v>
      </c>
      <c r="S24" s="315">
        <f>SUM(ELEC!N23)</f>
        <v>0</v>
      </c>
      <c r="T24" s="352">
        <f t="shared" si="12"/>
        <v>0</v>
      </c>
      <c r="V24" s="656" t="s">
        <v>204</v>
      </c>
      <c r="W24" s="657"/>
      <c r="X24" s="658" t="s">
        <v>205</v>
      </c>
      <c r="Y24" s="659"/>
      <c r="Z24" s="660"/>
      <c r="AA24" s="171"/>
      <c r="AB24" s="646"/>
      <c r="AC24" s="647"/>
    </row>
    <row r="25" spans="1:32" ht="17.25" customHeight="1">
      <c r="A25" s="164">
        <f>ELEC!C24</f>
        <v>43973</v>
      </c>
      <c r="B25" s="567">
        <f t="shared" si="13"/>
        <v>49844850</v>
      </c>
      <c r="C25" s="271">
        <f t="shared" si="3"/>
        <v>0</v>
      </c>
      <c r="D25" s="324">
        <f t="shared" si="4"/>
        <v>0</v>
      </c>
      <c r="E25" s="324">
        <f t="shared" si="11"/>
        <v>49844850</v>
      </c>
      <c r="F25" s="567">
        <f t="shared" si="14"/>
        <v>8008235</v>
      </c>
      <c r="G25" s="161">
        <f t="shared" si="0"/>
        <v>0</v>
      </c>
      <c r="H25" s="567">
        <f t="shared" si="14"/>
        <v>24549301</v>
      </c>
      <c r="I25" s="162">
        <f t="shared" si="1"/>
        <v>0</v>
      </c>
      <c r="J25" s="567">
        <f t="shared" si="14"/>
        <v>17287314</v>
      </c>
      <c r="K25" s="163">
        <f t="shared" si="2"/>
        <v>0</v>
      </c>
      <c r="L25" s="311">
        <f t="shared" si="5"/>
        <v>0</v>
      </c>
      <c r="M25" s="311">
        <f t="shared" si="6"/>
        <v>0</v>
      </c>
      <c r="N25" s="311">
        <f t="shared" si="7"/>
        <v>0</v>
      </c>
      <c r="O25" s="311">
        <f t="shared" si="8"/>
        <v>19.974585622011347</v>
      </c>
      <c r="P25" s="312">
        <f t="shared" si="9"/>
        <v>19.974585622011347</v>
      </c>
      <c r="Q25" s="312">
        <f>SUM(-tanks!AX27*tanks!$AU$37)</f>
        <v>0</v>
      </c>
      <c r="R25" s="312">
        <f t="shared" si="10"/>
        <v>19.974585622011347</v>
      </c>
      <c r="S25" s="315">
        <f>SUM(ELEC!N24)</f>
        <v>0</v>
      </c>
      <c r="T25" s="352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43974</v>
      </c>
      <c r="B26" s="567">
        <f t="shared" si="13"/>
        <v>49844850</v>
      </c>
      <c r="C26" s="271">
        <f t="shared" si="3"/>
        <v>0</v>
      </c>
      <c r="D26" s="324">
        <f t="shared" si="4"/>
        <v>0</v>
      </c>
      <c r="E26" s="324">
        <f t="shared" si="11"/>
        <v>49844850</v>
      </c>
      <c r="F26" s="567">
        <f t="shared" si="14"/>
        <v>8008235</v>
      </c>
      <c r="G26" s="161">
        <f t="shared" si="0"/>
        <v>0</v>
      </c>
      <c r="H26" s="567">
        <f t="shared" si="14"/>
        <v>24549301</v>
      </c>
      <c r="I26" s="162">
        <f t="shared" si="1"/>
        <v>0</v>
      </c>
      <c r="J26" s="567">
        <f t="shared" si="14"/>
        <v>17287314</v>
      </c>
      <c r="K26" s="163">
        <f t="shared" si="2"/>
        <v>0</v>
      </c>
      <c r="L26" s="311">
        <f t="shared" si="5"/>
        <v>0</v>
      </c>
      <c r="M26" s="311">
        <f t="shared" si="6"/>
        <v>0</v>
      </c>
      <c r="N26" s="311">
        <f t="shared" si="7"/>
        <v>0</v>
      </c>
      <c r="O26" s="311">
        <f t="shared" si="8"/>
        <v>19.974585622011347</v>
      </c>
      <c r="P26" s="312">
        <f t="shared" si="9"/>
        <v>19.974585622011347</v>
      </c>
      <c r="Q26" s="312">
        <f>SUM(-tanks!AX28*tanks!$AU$37)</f>
        <v>0</v>
      </c>
      <c r="R26" s="312">
        <f t="shared" si="10"/>
        <v>19.974585622011347</v>
      </c>
      <c r="S26" s="315">
        <f>SUM(ELEC!N25)</f>
        <v>0</v>
      </c>
      <c r="T26" s="352">
        <f t="shared" si="12"/>
        <v>0</v>
      </c>
      <c r="V26" s="260">
        <f>W9</f>
        <v>17280141</v>
      </c>
      <c r="W26" s="171">
        <f>J34</f>
        <v>17287314</v>
      </c>
      <c r="X26" s="173" t="s">
        <v>199</v>
      </c>
      <c r="Y26" s="173">
        <v>80</v>
      </c>
      <c r="Z26" s="173">
        <v>1</v>
      </c>
      <c r="AA26" s="200">
        <f>(W26-V26)*Z26</f>
        <v>7173</v>
      </c>
      <c r="AB26" s="200">
        <f>AA26*Y26</f>
        <v>573840</v>
      </c>
      <c r="AC26" s="255">
        <f>AC9</f>
        <v>1033333</v>
      </c>
      <c r="AD26" s="216">
        <f>SUM(K37)</f>
        <v>0.31620370370370371</v>
      </c>
    </row>
    <row r="27" spans="1:32">
      <c r="A27" s="164">
        <f>ELEC!C26</f>
        <v>43975</v>
      </c>
      <c r="B27" s="567">
        <f t="shared" si="13"/>
        <v>49844850</v>
      </c>
      <c r="C27" s="271">
        <f t="shared" si="3"/>
        <v>0</v>
      </c>
      <c r="D27" s="324">
        <f t="shared" si="4"/>
        <v>0</v>
      </c>
      <c r="E27" s="324">
        <f t="shared" si="11"/>
        <v>49844850</v>
      </c>
      <c r="F27" s="567">
        <f t="shared" si="14"/>
        <v>8008235</v>
      </c>
      <c r="G27" s="161">
        <f t="shared" si="0"/>
        <v>0</v>
      </c>
      <c r="H27" s="567">
        <f t="shared" si="14"/>
        <v>24549301</v>
      </c>
      <c r="I27" s="162">
        <f t="shared" si="1"/>
        <v>0</v>
      </c>
      <c r="J27" s="567">
        <f t="shared" si="14"/>
        <v>17287314</v>
      </c>
      <c r="K27" s="163">
        <f t="shared" si="2"/>
        <v>0</v>
      </c>
      <c r="L27" s="311">
        <f t="shared" si="5"/>
        <v>0</v>
      </c>
      <c r="M27" s="311">
        <f t="shared" si="6"/>
        <v>0</v>
      </c>
      <c r="N27" s="311">
        <f t="shared" si="7"/>
        <v>0</v>
      </c>
      <c r="O27" s="311">
        <f t="shared" si="8"/>
        <v>19.974585622011347</v>
      </c>
      <c r="P27" s="312">
        <f t="shared" si="9"/>
        <v>19.974585622011347</v>
      </c>
      <c r="Q27" s="312">
        <f>SUM(-tanks!AX29*tanks!$AU$37)</f>
        <v>0</v>
      </c>
      <c r="R27" s="312">
        <f t="shared" si="10"/>
        <v>19.974585622011347</v>
      </c>
      <c r="S27" s="315">
        <f>SUM(ELEC!N26)</f>
        <v>0</v>
      </c>
      <c r="T27" s="352">
        <f t="shared" si="12"/>
        <v>0</v>
      </c>
      <c r="V27" s="260">
        <f>W10</f>
        <v>24537919</v>
      </c>
      <c r="W27" s="171">
        <f>H34</f>
        <v>24549301</v>
      </c>
      <c r="X27" s="173" t="s">
        <v>213</v>
      </c>
      <c r="Y27" s="173">
        <v>112</v>
      </c>
      <c r="Z27" s="173">
        <v>1</v>
      </c>
      <c r="AA27" s="200">
        <f>(W27-V27)*Z27</f>
        <v>11382</v>
      </c>
      <c r="AB27" s="200">
        <f>SUM(AA27*Y27)</f>
        <v>1274784</v>
      </c>
      <c r="AC27" s="255">
        <f>AC10</f>
        <v>6200000</v>
      </c>
      <c r="AD27" s="216">
        <f>SUM(I37)</f>
        <v>0.5322337962962963</v>
      </c>
    </row>
    <row r="28" spans="1:32">
      <c r="A28" s="164">
        <f>ELEC!C27</f>
        <v>43976</v>
      </c>
      <c r="B28" s="567">
        <f t="shared" si="13"/>
        <v>49844850</v>
      </c>
      <c r="C28" s="271">
        <f t="shared" si="3"/>
        <v>0</v>
      </c>
      <c r="D28" s="324">
        <f t="shared" si="4"/>
        <v>0</v>
      </c>
      <c r="E28" s="324">
        <f t="shared" si="11"/>
        <v>49844850</v>
      </c>
      <c r="F28" s="567">
        <f t="shared" si="14"/>
        <v>8008235</v>
      </c>
      <c r="G28" s="161">
        <f t="shared" si="0"/>
        <v>0</v>
      </c>
      <c r="H28" s="567">
        <f t="shared" si="14"/>
        <v>24549301</v>
      </c>
      <c r="I28" s="162">
        <f t="shared" si="1"/>
        <v>0</v>
      </c>
      <c r="J28" s="567">
        <f t="shared" si="14"/>
        <v>17287314</v>
      </c>
      <c r="K28" s="163">
        <f t="shared" si="2"/>
        <v>0</v>
      </c>
      <c r="L28" s="311">
        <f t="shared" si="5"/>
        <v>0</v>
      </c>
      <c r="M28" s="311">
        <f t="shared" si="6"/>
        <v>0</v>
      </c>
      <c r="N28" s="311">
        <f t="shared" si="7"/>
        <v>0</v>
      </c>
      <c r="O28" s="311">
        <f t="shared" si="8"/>
        <v>19.974585622011347</v>
      </c>
      <c r="P28" s="312">
        <f t="shared" si="9"/>
        <v>19.974585622011347</v>
      </c>
      <c r="Q28" s="312">
        <f>SUM(-tanks!AX30*tanks!$AU$37)</f>
        <v>0</v>
      </c>
      <c r="R28" s="312">
        <f t="shared" si="10"/>
        <v>19.974585622011347</v>
      </c>
      <c r="S28" s="315">
        <f>SUM(ELEC!N27)</f>
        <v>0</v>
      </c>
      <c r="T28" s="352">
        <f t="shared" si="12"/>
        <v>0</v>
      </c>
      <c r="V28" s="260">
        <f>W11</f>
        <v>8005117</v>
      </c>
      <c r="W28" s="171">
        <f>F34</f>
        <v>8008235</v>
      </c>
      <c r="X28" s="173" t="s">
        <v>197</v>
      </c>
      <c r="Y28" s="173">
        <v>320</v>
      </c>
      <c r="Z28" s="173">
        <v>1</v>
      </c>
      <c r="AA28" s="200">
        <f>(W28-V28)*Z28</f>
        <v>3118</v>
      </c>
      <c r="AB28" s="200">
        <f>SUM(AA28*Y28)</f>
        <v>997760</v>
      </c>
      <c r="AC28" s="255">
        <f>AC11</f>
        <v>1000</v>
      </c>
      <c r="AD28" s="216">
        <f>SUM(G37)</f>
        <v>0.15162037037037038</v>
      </c>
      <c r="AE28" s="40">
        <f>SUM(AB28*5%)</f>
        <v>49888</v>
      </c>
      <c r="AF28" s="83">
        <f>SUM(AE28/7)*31</f>
        <v>220932.57142857145</v>
      </c>
    </row>
    <row r="29" spans="1:32">
      <c r="A29" s="164">
        <f>ELEC!C28</f>
        <v>43977</v>
      </c>
      <c r="B29" s="567">
        <f t="shared" si="13"/>
        <v>49844850</v>
      </c>
      <c r="C29" s="271">
        <f t="shared" si="3"/>
        <v>0</v>
      </c>
      <c r="D29" s="324">
        <f t="shared" si="4"/>
        <v>0</v>
      </c>
      <c r="E29" s="324">
        <f t="shared" si="11"/>
        <v>49844850</v>
      </c>
      <c r="F29" s="567">
        <f t="shared" si="14"/>
        <v>8008235</v>
      </c>
      <c r="G29" s="161">
        <f t="shared" si="0"/>
        <v>0</v>
      </c>
      <c r="H29" s="567">
        <f t="shared" si="14"/>
        <v>24549301</v>
      </c>
      <c r="I29" s="162">
        <f t="shared" si="1"/>
        <v>0</v>
      </c>
      <c r="J29" s="567">
        <f t="shared" si="14"/>
        <v>17287314</v>
      </c>
      <c r="K29" s="163">
        <f t="shared" si="2"/>
        <v>0</v>
      </c>
      <c r="L29" s="311">
        <f t="shared" si="5"/>
        <v>0</v>
      </c>
      <c r="M29" s="311">
        <f t="shared" si="6"/>
        <v>0</v>
      </c>
      <c r="N29" s="311">
        <f t="shared" si="7"/>
        <v>0</v>
      </c>
      <c r="O29" s="311">
        <f t="shared" si="8"/>
        <v>19.974585622011347</v>
      </c>
      <c r="P29" s="312">
        <f t="shared" si="9"/>
        <v>19.974585622011347</v>
      </c>
      <c r="Q29" s="312">
        <f>SUM(-tanks!AX31*tanks!$AU$37)</f>
        <v>0</v>
      </c>
      <c r="R29" s="312">
        <f t="shared" si="10"/>
        <v>19.974585622011347</v>
      </c>
      <c r="S29" s="315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6">
        <f>SUM(AA26:AA28)</f>
        <v>21673</v>
      </c>
      <c r="AB29" s="200"/>
      <c r="AC29" s="255"/>
    </row>
    <row r="30" spans="1:32" ht="14.25" customHeight="1">
      <c r="A30" s="164">
        <f>ELEC!C29</f>
        <v>43978</v>
      </c>
      <c r="B30" s="567">
        <f t="shared" si="13"/>
        <v>49844850</v>
      </c>
      <c r="C30" s="271">
        <f t="shared" si="3"/>
        <v>0</v>
      </c>
      <c r="D30" s="324">
        <f t="shared" si="4"/>
        <v>0</v>
      </c>
      <c r="E30" s="324">
        <f t="shared" si="11"/>
        <v>49844850</v>
      </c>
      <c r="F30" s="567">
        <f t="shared" si="14"/>
        <v>8008235</v>
      </c>
      <c r="G30" s="161">
        <f t="shared" si="0"/>
        <v>0</v>
      </c>
      <c r="H30" s="567">
        <f t="shared" si="14"/>
        <v>24549301</v>
      </c>
      <c r="I30" s="162">
        <f t="shared" si="1"/>
        <v>0</v>
      </c>
      <c r="J30" s="567">
        <f t="shared" si="14"/>
        <v>17287314</v>
      </c>
      <c r="K30" s="163">
        <f t="shared" si="2"/>
        <v>0</v>
      </c>
      <c r="L30" s="311">
        <f t="shared" si="5"/>
        <v>0</v>
      </c>
      <c r="M30" s="311">
        <f t="shared" si="6"/>
        <v>0</v>
      </c>
      <c r="N30" s="311">
        <f t="shared" si="7"/>
        <v>0</v>
      </c>
      <c r="O30" s="311">
        <f t="shared" si="8"/>
        <v>19.974585622011347</v>
      </c>
      <c r="P30" s="312">
        <f t="shared" si="9"/>
        <v>19.974585622011347</v>
      </c>
      <c r="Q30" s="312">
        <f>SUM(-tanks!AX32*tanks!$AU$37)</f>
        <v>0</v>
      </c>
      <c r="R30" s="312">
        <f t="shared" si="10"/>
        <v>19.974585622011347</v>
      </c>
      <c r="S30" s="315">
        <f>SUM(ELEC!N29)</f>
        <v>0</v>
      </c>
      <c r="T30" s="352">
        <f t="shared" si="12"/>
        <v>0</v>
      </c>
      <c r="V30" s="220" t="s">
        <v>317</v>
      </c>
      <c r="W30" s="467">
        <f>'General information '!F37</f>
        <v>2.9324999999999997E-2</v>
      </c>
      <c r="X30" s="221"/>
      <c r="Y30" s="222" t="s">
        <v>333</v>
      </c>
      <c r="Z30" s="3"/>
      <c r="AA30" s="296"/>
      <c r="AB30" s="200">
        <f>SUM(AB26:AB29)</f>
        <v>2846384</v>
      </c>
      <c r="AC30" s="255">
        <f>SUM(AC26:AC29)/A38*A36</f>
        <v>933462.32258064521</v>
      </c>
    </row>
    <row r="31" spans="1:32">
      <c r="A31" s="164">
        <f>ELEC!C30</f>
        <v>43979</v>
      </c>
      <c r="B31" s="567">
        <f t="shared" si="13"/>
        <v>49844850</v>
      </c>
      <c r="C31" s="271">
        <f t="shared" si="3"/>
        <v>0</v>
      </c>
      <c r="D31" s="324">
        <f t="shared" si="4"/>
        <v>0</v>
      </c>
      <c r="E31" s="324">
        <f t="shared" si="11"/>
        <v>49844850</v>
      </c>
      <c r="F31" s="567">
        <f t="shared" si="14"/>
        <v>8008235</v>
      </c>
      <c r="G31" s="161">
        <f t="shared" si="0"/>
        <v>0</v>
      </c>
      <c r="H31" s="567">
        <f t="shared" si="14"/>
        <v>24549301</v>
      </c>
      <c r="I31" s="162">
        <f t="shared" si="1"/>
        <v>0</v>
      </c>
      <c r="J31" s="567">
        <f t="shared" si="14"/>
        <v>17287314</v>
      </c>
      <c r="K31" s="163">
        <f t="shared" si="2"/>
        <v>0</v>
      </c>
      <c r="L31" s="311">
        <f t="shared" si="5"/>
        <v>0</v>
      </c>
      <c r="M31" s="311">
        <f t="shared" si="6"/>
        <v>0</v>
      </c>
      <c r="N31" s="311">
        <f t="shared" si="7"/>
        <v>0</v>
      </c>
      <c r="O31" s="311">
        <f t="shared" si="8"/>
        <v>19.974585622011347</v>
      </c>
      <c r="P31" s="312">
        <f t="shared" si="9"/>
        <v>19.974585622011347</v>
      </c>
      <c r="Q31" s="312">
        <f>SUM(-tanks!AX33*tanks!$AU$37)</f>
        <v>0</v>
      </c>
      <c r="R31" s="312">
        <f t="shared" si="10"/>
        <v>19.974585622011347</v>
      </c>
      <c r="S31" s="315">
        <f>SUM(ELEC!N30)</f>
        <v>0</v>
      </c>
      <c r="T31" s="352">
        <f t="shared" si="12"/>
        <v>0</v>
      </c>
      <c r="V31" s="220" t="s">
        <v>318</v>
      </c>
      <c r="W31" s="221">
        <f>SUM(GEN!U34)</f>
        <v>12</v>
      </c>
      <c r="X31" s="226">
        <f>SUM(W31/A36)</f>
        <v>3</v>
      </c>
      <c r="Y31" s="267">
        <f>SUM(X31/2)</f>
        <v>1.5</v>
      </c>
      <c r="Z31" s="3"/>
      <c r="AA31" s="3"/>
      <c r="AB31" s="200">
        <f>SUM(AB30+AC31)</f>
        <v>3779846.3225806453</v>
      </c>
      <c r="AC31" s="255">
        <f>SUM(AC30)</f>
        <v>933462.32258064521</v>
      </c>
    </row>
    <row r="32" spans="1:32">
      <c r="A32" s="164">
        <f>ELEC!C31</f>
        <v>43980</v>
      </c>
      <c r="B32" s="567">
        <f t="shared" si="13"/>
        <v>49844850</v>
      </c>
      <c r="C32" s="271">
        <f t="shared" si="3"/>
        <v>0</v>
      </c>
      <c r="D32" s="324">
        <f t="shared" si="4"/>
        <v>0</v>
      </c>
      <c r="E32" s="324">
        <f t="shared" si="11"/>
        <v>49844850</v>
      </c>
      <c r="F32" s="567">
        <f t="shared" si="14"/>
        <v>8008235</v>
      </c>
      <c r="G32" s="161">
        <f t="shared" si="0"/>
        <v>0</v>
      </c>
      <c r="H32" s="567">
        <f t="shared" si="14"/>
        <v>24549301</v>
      </c>
      <c r="I32" s="162">
        <f t="shared" si="1"/>
        <v>0</v>
      </c>
      <c r="J32" s="567">
        <f t="shared" si="14"/>
        <v>17287314</v>
      </c>
      <c r="K32" s="163">
        <f t="shared" si="2"/>
        <v>0</v>
      </c>
      <c r="L32" s="311">
        <f t="shared" si="5"/>
        <v>0</v>
      </c>
      <c r="M32" s="311">
        <f t="shared" si="6"/>
        <v>0</v>
      </c>
      <c r="N32" s="311">
        <f t="shared" si="7"/>
        <v>0</v>
      </c>
      <c r="O32" s="311">
        <f t="shared" si="8"/>
        <v>19.974585622011347</v>
      </c>
      <c r="P32" s="312">
        <f t="shared" si="9"/>
        <v>19.974585622011347</v>
      </c>
      <c r="Q32" s="312">
        <f>SUM(-tanks!AX34*tanks!$AU$37)</f>
        <v>0</v>
      </c>
      <c r="R32" s="312">
        <f t="shared" si="10"/>
        <v>19.974585622011347</v>
      </c>
      <c r="S32" s="315">
        <f>SUM(ELEC!N31)</f>
        <v>0</v>
      </c>
      <c r="T32" s="352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43981</v>
      </c>
      <c r="B33" s="567">
        <f t="shared" si="13"/>
        <v>49844850</v>
      </c>
      <c r="C33" s="271">
        <f t="shared" si="3"/>
        <v>0</v>
      </c>
      <c r="D33" s="324">
        <f t="shared" si="4"/>
        <v>0</v>
      </c>
      <c r="E33" s="324">
        <f t="shared" si="11"/>
        <v>49844850</v>
      </c>
      <c r="F33" s="567">
        <f t="shared" si="14"/>
        <v>8008235</v>
      </c>
      <c r="G33" s="161">
        <f>F33-F32</f>
        <v>0</v>
      </c>
      <c r="H33" s="567">
        <f t="shared" si="14"/>
        <v>24549301</v>
      </c>
      <c r="I33" s="162">
        <f t="shared" si="1"/>
        <v>0</v>
      </c>
      <c r="J33" s="567">
        <f t="shared" si="14"/>
        <v>17287314</v>
      </c>
      <c r="K33" s="163">
        <f t="shared" si="2"/>
        <v>0</v>
      </c>
      <c r="L33" s="311">
        <f>SUM(G33*$Y$28)/1507.5</f>
        <v>0</v>
      </c>
      <c r="M33" s="311">
        <f t="shared" si="6"/>
        <v>0</v>
      </c>
      <c r="N33" s="311">
        <f t="shared" si="7"/>
        <v>0</v>
      </c>
      <c r="O33" s="311">
        <f t="shared" si="8"/>
        <v>19.974585622011347</v>
      </c>
      <c r="P33" s="312">
        <f>SUM(L33:O33)</f>
        <v>19.974585622011347</v>
      </c>
      <c r="Q33" s="312">
        <f>SUM(-tanks!AX35*tanks!$AU$37)</f>
        <v>0</v>
      </c>
      <c r="R33" s="312">
        <f>SUM(P33:Q33)</f>
        <v>19.974585622011347</v>
      </c>
      <c r="S33" s="315">
        <f>SUM(ELEC!N32)</f>
        <v>0</v>
      </c>
      <c r="T33" s="352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43982</v>
      </c>
      <c r="B34" s="567">
        <f t="shared" si="13"/>
        <v>49844850</v>
      </c>
      <c r="C34" s="271">
        <f>SUM(B34-B33)</f>
        <v>0</v>
      </c>
      <c r="D34" s="324">
        <f>SUM(G34+I34+K34)</f>
        <v>0</v>
      </c>
      <c r="E34" s="324">
        <f>B33+D34</f>
        <v>49844850</v>
      </c>
      <c r="F34" s="567">
        <f t="shared" si="14"/>
        <v>8008235</v>
      </c>
      <c r="G34" s="161">
        <f>F34-F33</f>
        <v>0</v>
      </c>
      <c r="H34" s="567">
        <f t="shared" si="14"/>
        <v>24549301</v>
      </c>
      <c r="I34" s="162">
        <f>H34-H33</f>
        <v>0</v>
      </c>
      <c r="J34" s="567">
        <f t="shared" si="14"/>
        <v>17287314</v>
      </c>
      <c r="K34" s="163">
        <f>J34-J33</f>
        <v>0</v>
      </c>
      <c r="L34" s="311">
        <f>SUM(G34*$Y$28)/1507.5</f>
        <v>0</v>
      </c>
      <c r="M34" s="311">
        <f>SUM(I34*$Y$27)/1507.5</f>
        <v>0</v>
      </c>
      <c r="N34" s="311">
        <f>SUM(K34*$Y$26)/1507.5</f>
        <v>0</v>
      </c>
      <c r="O34" s="311">
        <f t="shared" si="8"/>
        <v>19.974585622011347</v>
      </c>
      <c r="P34" s="312">
        <f>SUM(L34:O34)</f>
        <v>19.974585622011347</v>
      </c>
      <c r="Q34" s="312">
        <f>SUM(-tanks!AX36*tanks!$AU$37)</f>
        <v>0</v>
      </c>
      <c r="R34" s="312">
        <f>SUM(P34:Q34)</f>
        <v>19.974585622011347</v>
      </c>
      <c r="S34" s="315">
        <f>SUM(ELEC!N33)</f>
        <v>0</v>
      </c>
      <c r="T34" s="352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5"/>
      <c r="C35" s="306"/>
      <c r="D35" s="306"/>
      <c r="E35" s="306"/>
      <c r="F35" s="305"/>
      <c r="G35" s="307"/>
      <c r="H35" s="305"/>
      <c r="I35" s="308"/>
      <c r="J35" s="305"/>
      <c r="K35" s="177">
        <f>SUM(K4:K34)/A36</f>
        <v>1366</v>
      </c>
      <c r="L35" s="313">
        <f t="shared" ref="L35:S35" si="15">SUM(L4:L34)</f>
        <v>556.15257048092872</v>
      </c>
      <c r="M35" s="313">
        <f t="shared" si="15"/>
        <v>683.29286898839143</v>
      </c>
      <c r="N35" s="313">
        <f t="shared" si="15"/>
        <v>289.96351575456055</v>
      </c>
      <c r="O35" s="313">
        <f t="shared" si="15"/>
        <v>619.21215428235121</v>
      </c>
      <c r="P35" s="316">
        <f t="shared" si="15"/>
        <v>2148.6211095062326</v>
      </c>
      <c r="Q35" s="316">
        <f t="shared" si="15"/>
        <v>0</v>
      </c>
      <c r="R35" s="316">
        <f t="shared" si="15"/>
        <v>2148.6211095062326</v>
      </c>
      <c r="S35" s="316">
        <f t="shared" si="15"/>
        <v>39434.399999999907</v>
      </c>
      <c r="T35" s="353"/>
      <c r="V35" s="259"/>
      <c r="W35" s="17"/>
      <c r="X35" s="17"/>
      <c r="Y35" s="17"/>
      <c r="Z35" s="3" t="s">
        <v>214</v>
      </c>
      <c r="AA35" s="287">
        <v>0.11</v>
      </c>
      <c r="AB35" s="302">
        <f>SUM(AB31*AA35)</f>
        <v>415783.095483871</v>
      </c>
      <c r="AC35" s="289"/>
    </row>
    <row r="36" spans="1:29" ht="15.75" thickBot="1">
      <c r="A36" s="284">
        <f>A38-COUNTIF(C4:C34,0)</f>
        <v>4</v>
      </c>
      <c r="C36" s="177">
        <f>SUM(C4:C34)/A36</f>
        <v>4320</v>
      </c>
      <c r="D36" s="177"/>
      <c r="E36" s="177"/>
      <c r="G36" s="177">
        <f>SUM(G4:G34)/A36</f>
        <v>655</v>
      </c>
      <c r="I36" s="177">
        <f>SUM(I4:I34)/A36</f>
        <v>2299.25</v>
      </c>
      <c r="K36" s="177"/>
      <c r="L36" s="177">
        <f>SUM(L35*1507.5)</f>
        <v>838400</v>
      </c>
      <c r="M36" s="177">
        <f>SUM(M35*1507.5)</f>
        <v>1030064.0000000001</v>
      </c>
      <c r="N36" s="177">
        <f>SUM(N35*1507.5)</f>
        <v>437120</v>
      </c>
      <c r="O36" s="177">
        <f>SUM(O35*1507.5)</f>
        <v>933462.3225806444</v>
      </c>
      <c r="P36" s="177"/>
      <c r="Q36" s="177"/>
      <c r="R36" s="177"/>
      <c r="S36" s="316"/>
      <c r="V36" s="233"/>
      <c r="W36" s="234"/>
      <c r="X36" s="234"/>
      <c r="Y36" s="234"/>
      <c r="Z36" s="3"/>
      <c r="AA36" s="45"/>
      <c r="AB36" s="302">
        <f>SUM(AB31+AB35)</f>
        <v>4195629.418064516</v>
      </c>
      <c r="AC36" s="289"/>
    </row>
    <row r="37" spans="1:29" ht="15.75" thickBot="1">
      <c r="A37" s="214"/>
      <c r="C37" s="216">
        <f>SUM(G37:K37)</f>
        <v>1.0000578703703704</v>
      </c>
      <c r="G37" s="229">
        <f>IF(C36&gt;0,G36/C36,0)</f>
        <v>0.15162037037037038</v>
      </c>
      <c r="H37" s="216"/>
      <c r="I37" s="229">
        <f>SUM(I36/C36)</f>
        <v>0.5322337962962963</v>
      </c>
      <c r="J37" s="216"/>
      <c r="K37" s="229">
        <f>SUM(K35/C36)</f>
        <v>0.31620370370370371</v>
      </c>
      <c r="L37" s="229"/>
      <c r="M37" s="229"/>
      <c r="N37" s="229"/>
      <c r="O37" s="229"/>
      <c r="P37" s="229"/>
      <c r="Q37" s="229"/>
      <c r="R37" s="229"/>
      <c r="S37" s="317"/>
      <c r="V37" s="233"/>
      <c r="W37" s="234"/>
      <c r="X37" s="234"/>
      <c r="Y37" s="234"/>
      <c r="Z37" s="234"/>
      <c r="AA37" s="234" t="s">
        <v>215</v>
      </c>
      <c r="AB37" s="302">
        <f>SUM(AB31/1507.5)</f>
        <v>2507.360744663778</v>
      </c>
      <c r="AC37" s="289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622.30821505376343</v>
      </c>
      <c r="Z39" s="40"/>
      <c r="AA39" s="303" t="s">
        <v>215</v>
      </c>
      <c r="AB39" s="304">
        <f>SUM(AB37)</f>
        <v>2507.360744663778</v>
      </c>
    </row>
    <row r="40" spans="1:29">
      <c r="V40" s="221"/>
      <c r="W40" s="83">
        <f>AB30/1500</f>
        <v>1897.5893333333333</v>
      </c>
      <c r="Z40" s="309">
        <f>SUM(AB39)</f>
        <v>2507.360744663778</v>
      </c>
      <c r="AA40" s="304"/>
      <c r="AB40" s="304"/>
    </row>
    <row r="41" spans="1:29">
      <c r="V41" s="17"/>
      <c r="W41" s="83">
        <f>SUM(W39:W40)</f>
        <v>2519.8975483870968</v>
      </c>
      <c r="Y41" s="83"/>
      <c r="Z41" s="309">
        <f>SUM(-tanks!AX37)*tanks!AU37</f>
        <v>0</v>
      </c>
      <c r="AA41" s="102">
        <f>SUM(AB31/A36)</f>
        <v>944961.58064516133</v>
      </c>
      <c r="AB41" s="368">
        <f>SUM(AA41*A38)</f>
        <v>29293809</v>
      </c>
    </row>
    <row r="42" spans="1:29" ht="18.75">
      <c r="W42" s="83">
        <f>AB30/1500</f>
        <v>1897.5893333333333</v>
      </c>
      <c r="Z42" s="285">
        <f>SUM(Z40:Z41)</f>
        <v>2507.360744663778</v>
      </c>
      <c r="AA42" s="304">
        <f>SUM(AA41/1507.5)</f>
        <v>626.84018616594449</v>
      </c>
      <c r="AB42" s="367">
        <f>SUM(AB41/1507.5)</f>
        <v>19432.04577114428</v>
      </c>
    </row>
    <row r="43" spans="1:29">
      <c r="D43" s="553"/>
      <c r="E43" s="553"/>
      <c r="F43" s="553"/>
      <c r="W43" s="83">
        <f>SUM(W41:W42)</f>
        <v>4417.4868817204297</v>
      </c>
      <c r="Z43" s="310" t="e">
        <f>SUM(ELEC!#REF!)</f>
        <v>#REF!</v>
      </c>
    </row>
    <row r="44" spans="1:29">
      <c r="Z44" s="304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H1" sqref="H1:H1048576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89" customWidth="1"/>
    <col min="9" max="9" width="12.7109375" bestFit="1" customWidth="1"/>
    <col min="10" max="10" width="25.42578125" style="520" customWidth="1"/>
    <col min="12" max="12" width="26.42578125" bestFit="1" customWidth="1"/>
    <col min="14" max="14" width="14.28515625" customWidth="1"/>
  </cols>
  <sheetData>
    <row r="1" spans="1:18" ht="39.75" customHeight="1" thickBot="1">
      <c r="A1" s="661" t="s">
        <v>51</v>
      </c>
      <c r="B1" s="673" t="s">
        <v>321</v>
      </c>
      <c r="C1" s="674"/>
      <c r="D1" s="676"/>
      <c r="E1" s="673" t="s">
        <v>322</v>
      </c>
      <c r="F1" s="674"/>
      <c r="G1" s="675"/>
      <c r="H1" s="670" t="s">
        <v>327</v>
      </c>
      <c r="I1" s="667" t="s">
        <v>328</v>
      </c>
      <c r="J1" s="664" t="s">
        <v>43</v>
      </c>
    </row>
    <row r="2" spans="1:18" ht="38.25" thickBot="1">
      <c r="A2" s="662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71"/>
      <c r="I2" s="668"/>
      <c r="J2" s="665"/>
    </row>
    <row r="3" spans="1:18" ht="24" customHeight="1" thickBot="1">
      <c r="A3" s="663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72"/>
      <c r="I3" s="669"/>
      <c r="J3" s="666"/>
    </row>
    <row r="4" spans="1:18" ht="19.5" thickBot="1">
      <c r="A4" s="249"/>
      <c r="B4" s="539"/>
      <c r="C4" s="539"/>
      <c r="D4" s="539"/>
      <c r="E4" s="539"/>
      <c r="F4" s="539"/>
      <c r="G4" s="539"/>
      <c r="H4" s="250">
        <v>0</v>
      </c>
      <c r="I4" s="250"/>
      <c r="J4" s="515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38">
        <f>ELEC!C2</f>
        <v>43951</v>
      </c>
      <c r="B5" s="540">
        <f>'[1]Swimming Pool quality check '!B35</f>
        <v>1.56</v>
      </c>
      <c r="C5" s="540">
        <f>'[1]Swimming Pool quality check '!C35</f>
        <v>8</v>
      </c>
      <c r="D5" s="540">
        <f>'[1]Swimming Pool quality check '!D35</f>
        <v>20</v>
      </c>
      <c r="E5" s="540">
        <f>'[1]Swimming Pool quality check '!E35</f>
        <v>1</v>
      </c>
      <c r="F5" s="540">
        <f>'[1]Swimming Pool quality check '!F35</f>
        <v>7.5</v>
      </c>
      <c r="G5" s="540">
        <f>'[1]Swimming Pool quality check '!G35</f>
        <v>20</v>
      </c>
      <c r="H5" s="576">
        <f>'[1]Swimming Pool quality check '!H35</f>
        <v>6084</v>
      </c>
      <c r="I5" s="540">
        <f>'[1]Swimming Pool quality check '!I35</f>
        <v>1</v>
      </c>
      <c r="J5" s="551">
        <f>'[12]Swimming Pool quality check '!J36</f>
        <v>0.33333333333333398</v>
      </c>
      <c r="K5" s="428">
        <v>0</v>
      </c>
      <c r="L5" s="572">
        <f>A5</f>
        <v>43951</v>
      </c>
      <c r="M5" s="540">
        <f>'[4]Swimming Pool quality check '!M35:M35</f>
        <v>6083</v>
      </c>
      <c r="N5" s="540">
        <f>'[4]Swimming Pool quality check '!N35:N35</f>
        <v>0</v>
      </c>
      <c r="O5" s="540">
        <f>'[4]Swimming Pool quality check '!O35:O35</f>
        <v>6083</v>
      </c>
    </row>
    <row r="6" spans="1:18" ht="15.75" customHeight="1" thickBot="1">
      <c r="A6" s="245">
        <f>ELEC!C3</f>
        <v>43952</v>
      </c>
      <c r="B6" s="540">
        <v>2</v>
      </c>
      <c r="C6" s="540">
        <v>7.5</v>
      </c>
      <c r="D6" s="540">
        <v>20</v>
      </c>
      <c r="E6" s="540">
        <v>0.5</v>
      </c>
      <c r="F6" s="540"/>
      <c r="G6" s="540">
        <v>20</v>
      </c>
      <c r="H6" s="588">
        <v>6084</v>
      </c>
      <c r="I6" s="247">
        <f>M6-M5</f>
        <v>0</v>
      </c>
      <c r="J6" s="516">
        <v>0.29166666666666669</v>
      </c>
      <c r="L6" s="100">
        <f t="shared" ref="L6:L35" si="0">A6</f>
        <v>43952</v>
      </c>
      <c r="M6" s="3">
        <f>M5</f>
        <v>6083</v>
      </c>
      <c r="N6" s="3">
        <v>0</v>
      </c>
      <c r="O6" s="3">
        <f>O5</f>
        <v>6083</v>
      </c>
    </row>
    <row r="7" spans="1:18" ht="15.75" thickBot="1">
      <c r="A7" s="245">
        <f>ELEC!C4</f>
        <v>43953</v>
      </c>
      <c r="B7" s="540">
        <v>1.4</v>
      </c>
      <c r="C7" s="540">
        <v>7.8</v>
      </c>
      <c r="D7" s="540">
        <v>19</v>
      </c>
      <c r="E7" s="540">
        <v>1</v>
      </c>
      <c r="F7" s="540">
        <v>8.1</v>
      </c>
      <c r="G7" s="540">
        <v>19</v>
      </c>
      <c r="H7" s="588">
        <v>6090</v>
      </c>
      <c r="I7" s="247">
        <f>M7-M6</f>
        <v>0</v>
      </c>
      <c r="J7" s="517">
        <v>0.29166666666666669</v>
      </c>
      <c r="L7" s="100">
        <f t="shared" si="0"/>
        <v>43953</v>
      </c>
      <c r="M7" s="3">
        <f t="shared" ref="M7:M36" si="1">M6</f>
        <v>6083</v>
      </c>
      <c r="N7" s="3">
        <v>0</v>
      </c>
      <c r="O7" s="3">
        <f t="shared" ref="O7:O36" si="2">O6</f>
        <v>6083</v>
      </c>
    </row>
    <row r="8" spans="1:18" ht="15.75" thickBot="1">
      <c r="A8" s="245">
        <f>ELEC!C5</f>
        <v>43954</v>
      </c>
      <c r="B8" s="577">
        <v>1</v>
      </c>
      <c r="C8" s="575">
        <v>7.8</v>
      </c>
      <c r="D8" s="171">
        <v>19</v>
      </c>
      <c r="E8" s="171" t="s">
        <v>415</v>
      </c>
      <c r="F8" s="171" t="s">
        <v>416</v>
      </c>
      <c r="G8" s="171" t="s">
        <v>417</v>
      </c>
      <c r="H8" s="576">
        <v>6092</v>
      </c>
      <c r="I8" s="578"/>
      <c r="J8" s="517">
        <v>0.29166666666666669</v>
      </c>
      <c r="L8" s="100">
        <f t="shared" si="0"/>
        <v>43954</v>
      </c>
      <c r="M8" s="3">
        <f t="shared" si="1"/>
        <v>6083</v>
      </c>
      <c r="N8" s="3">
        <v>0</v>
      </c>
      <c r="O8" s="3">
        <f t="shared" si="2"/>
        <v>6083</v>
      </c>
    </row>
    <row r="9" spans="1:18" ht="15.75" thickBot="1">
      <c r="A9" s="245">
        <f>ELEC!C6</f>
        <v>43955</v>
      </c>
      <c r="B9" s="577">
        <v>1.2</v>
      </c>
      <c r="C9" s="575">
        <v>7.8</v>
      </c>
      <c r="D9" s="171">
        <v>20</v>
      </c>
      <c r="E9" s="171" t="s">
        <v>418</v>
      </c>
      <c r="F9" s="171" t="s">
        <v>419</v>
      </c>
      <c r="G9" s="171" t="s">
        <v>416</v>
      </c>
      <c r="H9" s="576">
        <v>6098</v>
      </c>
      <c r="I9" s="578" t="s">
        <v>420</v>
      </c>
      <c r="J9" s="517">
        <v>0.29166666666666669</v>
      </c>
      <c r="L9" s="100">
        <f t="shared" si="0"/>
        <v>43955</v>
      </c>
      <c r="M9" s="3">
        <f t="shared" si="1"/>
        <v>6083</v>
      </c>
      <c r="N9" s="3">
        <v>0</v>
      </c>
      <c r="O9" s="3">
        <f t="shared" si="2"/>
        <v>6083</v>
      </c>
    </row>
    <row r="10" spans="1:18" ht="15.75" thickBot="1">
      <c r="A10" s="245">
        <f>ELEC!C7</f>
        <v>43956</v>
      </c>
      <c r="B10" s="540"/>
      <c r="C10" s="540"/>
      <c r="D10" s="540"/>
      <c r="E10" s="540"/>
      <c r="F10" s="540"/>
      <c r="G10" s="540"/>
      <c r="H10" s="588">
        <f>H9</f>
        <v>6098</v>
      </c>
      <c r="I10" s="247">
        <f t="shared" ref="I10:I36" si="3">H10-H9</f>
        <v>0</v>
      </c>
      <c r="J10" s="517">
        <v>0.29166666666666669</v>
      </c>
      <c r="L10" s="100">
        <f t="shared" si="0"/>
        <v>43956</v>
      </c>
      <c r="M10" s="3">
        <f t="shared" si="1"/>
        <v>6083</v>
      </c>
      <c r="N10" s="3">
        <v>0</v>
      </c>
      <c r="O10" s="3">
        <f t="shared" si="2"/>
        <v>6083</v>
      </c>
    </row>
    <row r="11" spans="1:18" ht="15.75" thickBot="1">
      <c r="A11" s="245">
        <f>ELEC!C8</f>
        <v>43957</v>
      </c>
      <c r="B11" s="540"/>
      <c r="C11" s="540"/>
      <c r="D11" s="540"/>
      <c r="E11" s="540"/>
      <c r="F11" s="540"/>
      <c r="G11" s="540"/>
      <c r="H11" s="588">
        <f t="shared" ref="H11:H36" si="4">H10</f>
        <v>6098</v>
      </c>
      <c r="I11" s="247">
        <f t="shared" si="3"/>
        <v>0</v>
      </c>
      <c r="J11" s="517">
        <v>0.29166666666666669</v>
      </c>
      <c r="L11" s="100">
        <f t="shared" si="0"/>
        <v>43957</v>
      </c>
      <c r="M11" s="3">
        <f t="shared" si="1"/>
        <v>6083</v>
      </c>
      <c r="N11" s="3">
        <v>0</v>
      </c>
      <c r="O11" s="3">
        <f t="shared" si="2"/>
        <v>6083</v>
      </c>
    </row>
    <row r="12" spans="1:18" ht="16.5" thickBot="1">
      <c r="A12" s="245">
        <f>ELEC!C9</f>
        <v>43958</v>
      </c>
      <c r="B12" s="540"/>
      <c r="C12" s="540"/>
      <c r="D12" s="540"/>
      <c r="E12" s="540"/>
      <c r="F12" s="540"/>
      <c r="G12" s="540"/>
      <c r="H12" s="588">
        <f t="shared" si="4"/>
        <v>6098</v>
      </c>
      <c r="I12" s="247">
        <f t="shared" si="3"/>
        <v>0</v>
      </c>
      <c r="J12" s="517">
        <v>0.29166666666666669</v>
      </c>
      <c r="L12" s="100">
        <f t="shared" si="0"/>
        <v>43958</v>
      </c>
      <c r="M12" s="3">
        <f t="shared" si="1"/>
        <v>6083</v>
      </c>
      <c r="N12" s="3">
        <v>0</v>
      </c>
      <c r="O12" s="3">
        <f t="shared" si="2"/>
        <v>6083</v>
      </c>
      <c r="P12" s="461"/>
      <c r="Q12" s="378"/>
      <c r="R12" s="378"/>
    </row>
    <row r="13" spans="1:18" ht="15.75" thickBot="1">
      <c r="A13" s="245">
        <f>ELEC!C10</f>
        <v>43959</v>
      </c>
      <c r="B13" s="540"/>
      <c r="C13" s="540"/>
      <c r="D13" s="540"/>
      <c r="E13" s="540"/>
      <c r="F13" s="540"/>
      <c r="G13" s="540"/>
      <c r="H13" s="588">
        <f t="shared" si="4"/>
        <v>6098</v>
      </c>
      <c r="I13" s="247">
        <f>M13-M12</f>
        <v>0</v>
      </c>
      <c r="J13" s="517">
        <v>0.29166666666666669</v>
      </c>
      <c r="L13" s="100">
        <f t="shared" si="0"/>
        <v>43959</v>
      </c>
      <c r="M13" s="3">
        <f t="shared" si="1"/>
        <v>6083</v>
      </c>
      <c r="N13" s="3">
        <v>0</v>
      </c>
      <c r="O13" s="3">
        <f t="shared" si="2"/>
        <v>6083</v>
      </c>
    </row>
    <row r="14" spans="1:18" ht="15.75" thickBot="1">
      <c r="A14" s="245">
        <f>ELEC!C11</f>
        <v>43960</v>
      </c>
      <c r="B14" s="540"/>
      <c r="C14" s="540"/>
      <c r="D14" s="540"/>
      <c r="E14" s="540"/>
      <c r="F14" s="540"/>
      <c r="G14" s="540"/>
      <c r="H14" s="588">
        <f t="shared" si="4"/>
        <v>6098</v>
      </c>
      <c r="I14" s="247">
        <f>M14-M13</f>
        <v>0</v>
      </c>
      <c r="J14" s="517">
        <v>0.29166666666666669</v>
      </c>
      <c r="L14" s="100">
        <f t="shared" si="0"/>
        <v>43960</v>
      </c>
      <c r="M14" s="3">
        <f t="shared" si="1"/>
        <v>6083</v>
      </c>
      <c r="N14" s="3">
        <v>0</v>
      </c>
      <c r="O14" s="3">
        <f t="shared" si="2"/>
        <v>6083</v>
      </c>
    </row>
    <row r="15" spans="1:18" ht="15.75" thickBot="1">
      <c r="A15" s="245">
        <f>ELEC!C12</f>
        <v>43961</v>
      </c>
      <c r="B15" s="540"/>
      <c r="C15" s="540"/>
      <c r="D15" s="540"/>
      <c r="E15" s="540"/>
      <c r="F15" s="540"/>
      <c r="G15" s="540"/>
      <c r="H15" s="588">
        <f t="shared" si="4"/>
        <v>6098</v>
      </c>
      <c r="I15" s="247">
        <f>M15-M14</f>
        <v>0</v>
      </c>
      <c r="J15" s="517">
        <v>0.29166666666666669</v>
      </c>
      <c r="L15" s="100">
        <f t="shared" si="0"/>
        <v>43961</v>
      </c>
      <c r="M15" s="3">
        <f t="shared" si="1"/>
        <v>6083</v>
      </c>
      <c r="N15" s="3">
        <v>0</v>
      </c>
      <c r="O15" s="3">
        <f t="shared" si="2"/>
        <v>6083</v>
      </c>
    </row>
    <row r="16" spans="1:18" ht="15.75" thickBot="1">
      <c r="A16" s="245">
        <f>ELEC!C13</f>
        <v>43962</v>
      </c>
      <c r="B16" s="540"/>
      <c r="C16" s="540"/>
      <c r="D16" s="540"/>
      <c r="E16" s="540"/>
      <c r="F16" s="540"/>
      <c r="G16" s="540"/>
      <c r="H16" s="588">
        <f t="shared" si="4"/>
        <v>6098</v>
      </c>
      <c r="I16" s="247">
        <f>M16-M15</f>
        <v>0</v>
      </c>
      <c r="J16" s="517">
        <v>0.29166666666666669</v>
      </c>
      <c r="L16" s="100">
        <f t="shared" si="0"/>
        <v>43962</v>
      </c>
      <c r="M16" s="3">
        <f t="shared" si="1"/>
        <v>6083</v>
      </c>
      <c r="N16" s="3">
        <v>0</v>
      </c>
      <c r="O16" s="3">
        <f t="shared" si="2"/>
        <v>6083</v>
      </c>
    </row>
    <row r="17" spans="1:17" ht="15.75" thickBot="1">
      <c r="A17" s="245">
        <f>ELEC!C14</f>
        <v>43963</v>
      </c>
      <c r="B17" s="540"/>
      <c r="C17" s="540"/>
      <c r="D17" s="540"/>
      <c r="E17" s="540"/>
      <c r="F17" s="540"/>
      <c r="G17" s="540"/>
      <c r="H17" s="588">
        <f t="shared" si="4"/>
        <v>6098</v>
      </c>
      <c r="I17" s="247">
        <f t="shared" si="3"/>
        <v>0</v>
      </c>
      <c r="J17" s="517">
        <v>0.29166666666666669</v>
      </c>
      <c r="L17" s="100">
        <f t="shared" si="0"/>
        <v>43963</v>
      </c>
      <c r="M17" s="3">
        <f t="shared" si="1"/>
        <v>6083</v>
      </c>
      <c r="N17" s="3">
        <v>0</v>
      </c>
      <c r="O17" s="3">
        <f t="shared" si="2"/>
        <v>6083</v>
      </c>
    </row>
    <row r="18" spans="1:17" ht="15.75" thickBot="1">
      <c r="A18" s="245">
        <f>ELEC!C15</f>
        <v>43964</v>
      </c>
      <c r="B18" s="540"/>
      <c r="C18" s="540"/>
      <c r="D18" s="540"/>
      <c r="E18" s="540"/>
      <c r="F18" s="540"/>
      <c r="G18" s="540"/>
      <c r="H18" s="588">
        <f t="shared" si="4"/>
        <v>6098</v>
      </c>
      <c r="I18" s="247">
        <f t="shared" si="3"/>
        <v>0</v>
      </c>
      <c r="J18" s="517">
        <v>0.29166666666666669</v>
      </c>
      <c r="L18" s="100">
        <f t="shared" si="0"/>
        <v>43964</v>
      </c>
      <c r="M18" s="3">
        <f t="shared" si="1"/>
        <v>6083</v>
      </c>
      <c r="N18" s="3">
        <v>0</v>
      </c>
      <c r="O18" s="3">
        <f t="shared" si="2"/>
        <v>6083</v>
      </c>
    </row>
    <row r="19" spans="1:17" ht="15.75" thickBot="1">
      <c r="A19" s="245">
        <f>ELEC!C16</f>
        <v>43965</v>
      </c>
      <c r="B19" s="540"/>
      <c r="C19" s="540"/>
      <c r="D19" s="540"/>
      <c r="E19" s="540"/>
      <c r="F19" s="540"/>
      <c r="G19" s="550"/>
      <c r="H19" s="588">
        <f t="shared" si="4"/>
        <v>6098</v>
      </c>
      <c r="I19" s="247">
        <f t="shared" si="3"/>
        <v>0</v>
      </c>
      <c r="J19" s="517">
        <v>0.29166666666666669</v>
      </c>
      <c r="L19" s="100">
        <f t="shared" si="0"/>
        <v>43965</v>
      </c>
      <c r="M19" s="3">
        <f t="shared" si="1"/>
        <v>6083</v>
      </c>
      <c r="N19" s="3">
        <v>0</v>
      </c>
      <c r="O19" s="3">
        <f t="shared" si="2"/>
        <v>6083</v>
      </c>
    </row>
    <row r="20" spans="1:17" ht="15.75" thickBot="1">
      <c r="A20" s="245">
        <f>ELEC!C17</f>
        <v>43966</v>
      </c>
      <c r="B20" s="540"/>
      <c r="C20" s="540"/>
      <c r="D20" s="540"/>
      <c r="E20" s="540"/>
      <c r="F20" s="540"/>
      <c r="G20" s="540"/>
      <c r="H20" s="588">
        <f t="shared" si="4"/>
        <v>6098</v>
      </c>
      <c r="I20" s="247">
        <f t="shared" si="3"/>
        <v>0</v>
      </c>
      <c r="J20" s="517">
        <v>0.29166666666666669</v>
      </c>
      <c r="L20" s="100">
        <f t="shared" si="0"/>
        <v>43966</v>
      </c>
      <c r="M20" s="3">
        <f t="shared" si="1"/>
        <v>6083</v>
      </c>
      <c r="N20" s="3">
        <v>0</v>
      </c>
      <c r="O20" s="3">
        <f t="shared" si="2"/>
        <v>6083</v>
      </c>
    </row>
    <row r="21" spans="1:17" ht="15.75" thickBot="1">
      <c r="A21" s="245">
        <f>ELEC!C18</f>
        <v>43967</v>
      </c>
      <c r="B21" s="540"/>
      <c r="C21" s="540"/>
      <c r="D21" s="540"/>
      <c r="E21" s="540"/>
      <c r="F21" s="540"/>
      <c r="G21" s="540"/>
      <c r="H21" s="588">
        <f t="shared" si="4"/>
        <v>6098</v>
      </c>
      <c r="I21" s="247">
        <f t="shared" si="3"/>
        <v>0</v>
      </c>
      <c r="J21" s="517">
        <v>0.29166666666666669</v>
      </c>
      <c r="L21" s="100">
        <f t="shared" si="0"/>
        <v>43967</v>
      </c>
      <c r="M21" s="3">
        <f t="shared" si="1"/>
        <v>6083</v>
      </c>
      <c r="N21" s="3">
        <v>0</v>
      </c>
      <c r="O21" s="3">
        <f t="shared" si="2"/>
        <v>6083</v>
      </c>
    </row>
    <row r="22" spans="1:17" ht="15.75" thickBot="1">
      <c r="A22" s="245">
        <f>ELEC!C19</f>
        <v>43968</v>
      </c>
      <c r="B22" s="540"/>
      <c r="C22" s="540"/>
      <c r="D22" s="540"/>
      <c r="E22" s="540"/>
      <c r="F22" s="540"/>
      <c r="G22" s="540"/>
      <c r="H22" s="588">
        <f t="shared" si="4"/>
        <v>6098</v>
      </c>
      <c r="I22" s="247">
        <f t="shared" si="3"/>
        <v>0</v>
      </c>
      <c r="J22" s="517">
        <v>0.29166666666666669</v>
      </c>
      <c r="L22" s="100">
        <f t="shared" si="0"/>
        <v>43968</v>
      </c>
      <c r="M22" s="3">
        <f t="shared" si="1"/>
        <v>6083</v>
      </c>
      <c r="N22" s="3">
        <v>0</v>
      </c>
      <c r="O22" s="3">
        <f t="shared" si="2"/>
        <v>6083</v>
      </c>
    </row>
    <row r="23" spans="1:17" ht="15.75" thickBot="1">
      <c r="A23" s="245">
        <f>ELEC!C20</f>
        <v>43969</v>
      </c>
      <c r="B23" s="540"/>
      <c r="C23" s="540"/>
      <c r="D23" s="540"/>
      <c r="E23" s="540"/>
      <c r="F23" s="540"/>
      <c r="G23" s="540"/>
      <c r="H23" s="588">
        <f t="shared" si="4"/>
        <v>6098</v>
      </c>
      <c r="I23" s="247">
        <f t="shared" si="3"/>
        <v>0</v>
      </c>
      <c r="J23" s="517">
        <v>0.29166666666666669</v>
      </c>
      <c r="L23" s="100">
        <f t="shared" si="0"/>
        <v>43969</v>
      </c>
      <c r="M23" s="3">
        <f t="shared" si="1"/>
        <v>6083</v>
      </c>
      <c r="N23" s="3">
        <v>0</v>
      </c>
      <c r="O23" s="3">
        <f t="shared" si="2"/>
        <v>6083</v>
      </c>
    </row>
    <row r="24" spans="1:17" ht="15.75" thickBot="1">
      <c r="A24" s="245">
        <f>ELEC!C21</f>
        <v>43970</v>
      </c>
      <c r="B24" s="540"/>
      <c r="C24" s="540"/>
      <c r="D24" s="540"/>
      <c r="E24" s="540"/>
      <c r="F24" s="540"/>
      <c r="G24" s="540"/>
      <c r="H24" s="588">
        <f t="shared" si="4"/>
        <v>6098</v>
      </c>
      <c r="I24" s="247">
        <f t="shared" si="3"/>
        <v>0</v>
      </c>
      <c r="J24" s="517">
        <v>0.29166666666666702</v>
      </c>
      <c r="L24" s="100">
        <f t="shared" si="0"/>
        <v>43970</v>
      </c>
      <c r="M24" s="3">
        <f t="shared" si="1"/>
        <v>6083</v>
      </c>
      <c r="N24" s="3">
        <v>0</v>
      </c>
      <c r="O24" s="3">
        <f t="shared" si="2"/>
        <v>6083</v>
      </c>
    </row>
    <row r="25" spans="1:17" ht="15.75" thickBot="1">
      <c r="A25" s="245">
        <f>ELEC!C22</f>
        <v>43971</v>
      </c>
      <c r="B25" s="540"/>
      <c r="C25" s="540"/>
      <c r="D25" s="540"/>
      <c r="E25" s="540"/>
      <c r="F25" s="540"/>
      <c r="G25" s="540"/>
      <c r="H25" s="588">
        <f t="shared" si="4"/>
        <v>6098</v>
      </c>
      <c r="I25" s="247">
        <f t="shared" si="3"/>
        <v>0</v>
      </c>
      <c r="J25" s="517">
        <v>0.29166666666666702</v>
      </c>
      <c r="L25" s="100">
        <f t="shared" si="0"/>
        <v>43971</v>
      </c>
      <c r="M25" s="3">
        <f t="shared" si="1"/>
        <v>6083</v>
      </c>
      <c r="N25" s="3">
        <v>0</v>
      </c>
      <c r="O25" s="3">
        <f t="shared" si="2"/>
        <v>6083</v>
      </c>
    </row>
    <row r="26" spans="1:17" ht="15.75" thickBot="1">
      <c r="A26" s="245">
        <f>ELEC!C23</f>
        <v>43972</v>
      </c>
      <c r="B26" s="540"/>
      <c r="C26" s="540"/>
      <c r="D26" s="540"/>
      <c r="E26" s="540"/>
      <c r="F26" s="540"/>
      <c r="G26" s="540"/>
      <c r="H26" s="588">
        <f t="shared" si="4"/>
        <v>6098</v>
      </c>
      <c r="I26" s="247">
        <f t="shared" si="3"/>
        <v>0</v>
      </c>
      <c r="J26" s="517">
        <v>0.29166666666666702</v>
      </c>
      <c r="L26" s="100">
        <f t="shared" si="0"/>
        <v>43972</v>
      </c>
      <c r="M26" s="3">
        <f t="shared" si="1"/>
        <v>6083</v>
      </c>
      <c r="N26" s="3">
        <v>0</v>
      </c>
      <c r="O26" s="3">
        <f t="shared" si="2"/>
        <v>6083</v>
      </c>
    </row>
    <row r="27" spans="1:17" ht="15.75" thickBot="1">
      <c r="A27" s="245">
        <f>ELEC!C24</f>
        <v>43973</v>
      </c>
      <c r="B27" s="540"/>
      <c r="C27" s="540"/>
      <c r="D27" s="540"/>
      <c r="E27" s="540"/>
      <c r="F27" s="540"/>
      <c r="G27" s="540"/>
      <c r="H27" s="588">
        <f t="shared" si="4"/>
        <v>6098</v>
      </c>
      <c r="I27" s="247">
        <f t="shared" si="3"/>
        <v>0</v>
      </c>
      <c r="J27" s="517">
        <v>0.29166666666666702</v>
      </c>
      <c r="L27" s="100">
        <f t="shared" si="0"/>
        <v>43973</v>
      </c>
      <c r="M27" s="3">
        <f t="shared" si="1"/>
        <v>6083</v>
      </c>
      <c r="N27" s="3">
        <v>0</v>
      </c>
      <c r="O27" s="3">
        <f t="shared" si="2"/>
        <v>6083</v>
      </c>
    </row>
    <row r="28" spans="1:17" ht="15.75" thickBot="1">
      <c r="A28" s="245">
        <f>ELEC!C25</f>
        <v>43974</v>
      </c>
      <c r="B28" s="540"/>
      <c r="C28" s="540"/>
      <c r="D28" s="540"/>
      <c r="E28" s="540"/>
      <c r="F28" s="540"/>
      <c r="G28" s="540"/>
      <c r="H28" s="588">
        <f t="shared" si="4"/>
        <v>6098</v>
      </c>
      <c r="I28" s="247">
        <f t="shared" si="3"/>
        <v>0</v>
      </c>
      <c r="J28" s="518">
        <v>0.29166666666666702</v>
      </c>
      <c r="L28" s="100">
        <f t="shared" si="0"/>
        <v>43974</v>
      </c>
      <c r="M28" s="3">
        <f t="shared" si="1"/>
        <v>6083</v>
      </c>
      <c r="N28" s="3">
        <v>0</v>
      </c>
      <c r="O28" s="3">
        <f t="shared" si="2"/>
        <v>6083</v>
      </c>
    </row>
    <row r="29" spans="1:17" ht="15.75" thickBot="1">
      <c r="A29" s="245">
        <f>ELEC!C26</f>
        <v>43975</v>
      </c>
      <c r="B29" s="540"/>
      <c r="C29" s="540"/>
      <c r="D29" s="540"/>
      <c r="E29" s="540"/>
      <c r="F29" s="540"/>
      <c r="G29" s="540"/>
      <c r="H29" s="588">
        <f t="shared" si="4"/>
        <v>6098</v>
      </c>
      <c r="I29" s="247">
        <f t="shared" si="3"/>
        <v>0</v>
      </c>
      <c r="J29" s="517">
        <v>0.29166666666666702</v>
      </c>
      <c r="L29" s="100">
        <f t="shared" si="0"/>
        <v>43975</v>
      </c>
      <c r="M29" s="3">
        <f t="shared" si="1"/>
        <v>6083</v>
      </c>
      <c r="N29" s="3">
        <v>0</v>
      </c>
      <c r="O29" s="3">
        <f t="shared" si="2"/>
        <v>6083</v>
      </c>
    </row>
    <row r="30" spans="1:17" ht="15.75" thickBot="1">
      <c r="A30" s="245">
        <f>ELEC!C27</f>
        <v>43976</v>
      </c>
      <c r="B30" s="540"/>
      <c r="C30" s="540"/>
      <c r="D30" s="540"/>
      <c r="E30" s="540"/>
      <c r="F30" s="540"/>
      <c r="G30" s="540"/>
      <c r="H30" s="588">
        <f t="shared" si="4"/>
        <v>6098</v>
      </c>
      <c r="I30" s="247">
        <f t="shared" si="3"/>
        <v>0</v>
      </c>
      <c r="J30" s="517">
        <v>0.29166666666666702</v>
      </c>
      <c r="L30" s="100">
        <f t="shared" si="0"/>
        <v>43976</v>
      </c>
      <c r="M30" s="3">
        <f t="shared" si="1"/>
        <v>6083</v>
      </c>
      <c r="N30" s="3">
        <v>0</v>
      </c>
      <c r="O30" s="3">
        <f t="shared" si="2"/>
        <v>6083</v>
      </c>
    </row>
    <row r="31" spans="1:17" ht="15.75" thickBot="1">
      <c r="A31" s="245">
        <f>ELEC!C28</f>
        <v>43977</v>
      </c>
      <c r="B31" s="540"/>
      <c r="C31" s="540"/>
      <c r="D31" s="540"/>
      <c r="E31" s="540"/>
      <c r="F31" s="540"/>
      <c r="G31" s="540"/>
      <c r="H31" s="588">
        <f t="shared" si="4"/>
        <v>6098</v>
      </c>
      <c r="I31" s="247">
        <f t="shared" si="3"/>
        <v>0</v>
      </c>
      <c r="J31" s="517">
        <v>0.29166666666666702</v>
      </c>
      <c r="L31" s="100">
        <f t="shared" si="0"/>
        <v>43977</v>
      </c>
      <c r="M31" s="3">
        <f t="shared" si="1"/>
        <v>6083</v>
      </c>
      <c r="N31" s="3">
        <v>0</v>
      </c>
      <c r="O31" s="3">
        <f t="shared" si="2"/>
        <v>6083</v>
      </c>
    </row>
    <row r="32" spans="1:17" ht="15.75" thickBot="1">
      <c r="A32" s="245">
        <f>ELEC!C29</f>
        <v>43978</v>
      </c>
      <c r="B32" s="540"/>
      <c r="C32" s="540"/>
      <c r="D32" s="540"/>
      <c r="E32" s="540"/>
      <c r="F32" s="540"/>
      <c r="G32" s="540"/>
      <c r="H32" s="588">
        <f t="shared" si="4"/>
        <v>6098</v>
      </c>
      <c r="I32" s="247">
        <f t="shared" si="3"/>
        <v>0</v>
      </c>
      <c r="J32" s="517">
        <v>0.29166666666666702</v>
      </c>
      <c r="L32" s="100">
        <f t="shared" si="0"/>
        <v>43978</v>
      </c>
      <c r="M32" s="3">
        <f t="shared" si="1"/>
        <v>6083</v>
      </c>
      <c r="N32" s="3">
        <v>0</v>
      </c>
      <c r="O32" s="3">
        <f t="shared" si="2"/>
        <v>6083</v>
      </c>
    </row>
    <row r="33" spans="1:15" ht="15.75" thickBot="1">
      <c r="A33" s="245">
        <f>ELEC!C30</f>
        <v>43979</v>
      </c>
      <c r="B33" s="540"/>
      <c r="C33" s="540"/>
      <c r="D33" s="540"/>
      <c r="E33" s="540"/>
      <c r="F33" s="540"/>
      <c r="G33" s="540"/>
      <c r="H33" s="588">
        <f t="shared" si="4"/>
        <v>6098</v>
      </c>
      <c r="I33" s="247">
        <f t="shared" si="3"/>
        <v>0</v>
      </c>
      <c r="J33" s="517">
        <v>0.29166666666666702</v>
      </c>
      <c r="L33" s="100">
        <f t="shared" si="0"/>
        <v>43979</v>
      </c>
      <c r="M33" s="3">
        <f t="shared" si="1"/>
        <v>6083</v>
      </c>
      <c r="N33" s="3">
        <v>0</v>
      </c>
      <c r="O33" s="3">
        <f t="shared" si="2"/>
        <v>6083</v>
      </c>
    </row>
    <row r="34" spans="1:15" ht="15.75" thickBot="1">
      <c r="A34" s="245">
        <f>ELEC!C31</f>
        <v>43980</v>
      </c>
      <c r="B34" s="540"/>
      <c r="C34" s="540"/>
      <c r="D34" s="540"/>
      <c r="E34" s="540"/>
      <c r="F34" s="540"/>
      <c r="G34" s="540"/>
      <c r="H34" s="588">
        <f t="shared" si="4"/>
        <v>6098</v>
      </c>
      <c r="I34" s="247">
        <f t="shared" si="3"/>
        <v>0</v>
      </c>
      <c r="J34" s="517">
        <v>0.29166666666666702</v>
      </c>
      <c r="L34" s="100">
        <f t="shared" si="0"/>
        <v>43980</v>
      </c>
      <c r="M34" s="3">
        <f t="shared" si="1"/>
        <v>6083</v>
      </c>
      <c r="N34" s="3">
        <v>0</v>
      </c>
      <c r="O34" s="3">
        <f t="shared" si="2"/>
        <v>6083</v>
      </c>
    </row>
    <row r="35" spans="1:15" ht="15.75" thickBot="1">
      <c r="A35" s="429">
        <f>ELEC!C32</f>
        <v>43981</v>
      </c>
      <c r="B35" s="540"/>
      <c r="C35" s="540"/>
      <c r="D35" s="540"/>
      <c r="E35" s="540"/>
      <c r="F35" s="540"/>
      <c r="G35" s="540"/>
      <c r="H35" s="588">
        <f t="shared" si="4"/>
        <v>6098</v>
      </c>
      <c r="I35" s="247">
        <f t="shared" si="3"/>
        <v>0</v>
      </c>
      <c r="J35" s="519">
        <v>0.29166666666666702</v>
      </c>
      <c r="L35" s="100">
        <f t="shared" si="0"/>
        <v>43981</v>
      </c>
      <c r="M35" s="3">
        <f t="shared" si="1"/>
        <v>6083</v>
      </c>
      <c r="N35" s="3">
        <v>0</v>
      </c>
      <c r="O35" s="3">
        <f t="shared" si="2"/>
        <v>6083</v>
      </c>
    </row>
    <row r="36" spans="1:15">
      <c r="A36" s="429">
        <f>ELEC!C33</f>
        <v>43982</v>
      </c>
      <c r="B36" s="540"/>
      <c r="C36" s="540"/>
      <c r="D36" s="540"/>
      <c r="E36" s="540"/>
      <c r="F36" s="540"/>
      <c r="G36" s="540"/>
      <c r="H36" s="588">
        <f t="shared" si="4"/>
        <v>6098</v>
      </c>
      <c r="I36" s="247">
        <f t="shared" si="3"/>
        <v>0</v>
      </c>
      <c r="J36" s="519">
        <v>0.33333333333333398</v>
      </c>
      <c r="L36" s="100">
        <f>A36</f>
        <v>43982</v>
      </c>
      <c r="M36" s="3">
        <f t="shared" si="1"/>
        <v>6083</v>
      </c>
      <c r="N36" s="3">
        <v>0</v>
      </c>
      <c r="O36" s="3">
        <f t="shared" si="2"/>
        <v>6083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1" zoomScale="80" zoomScaleNormal="80" workbookViewId="0">
      <selection activeCell="B10" sqref="B10:P40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88" t="s">
        <v>161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  <c r="T1" s="688"/>
      <c r="U1" s="688"/>
      <c r="V1" s="688"/>
      <c r="W1" s="688"/>
      <c r="X1" s="688"/>
    </row>
    <row r="2" spans="1:28" ht="19.5">
      <c r="A2" s="689"/>
      <c r="B2" s="689"/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89"/>
      <c r="N2" s="689"/>
      <c r="O2" s="689"/>
      <c r="P2" s="689"/>
      <c r="Q2" s="689"/>
      <c r="R2" s="689"/>
      <c r="S2" s="689"/>
      <c r="T2" s="689"/>
      <c r="U2" s="689"/>
      <c r="V2" s="689"/>
      <c r="W2" s="689"/>
      <c r="X2" s="689"/>
    </row>
    <row r="3" spans="1:28" ht="19.5">
      <c r="A3" s="689" t="s">
        <v>162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89"/>
      <c r="N3" s="689"/>
      <c r="O3" s="689"/>
      <c r="P3" s="689"/>
      <c r="Q3" s="689"/>
      <c r="R3" s="689"/>
      <c r="S3" s="689"/>
      <c r="T3" s="689"/>
      <c r="U3" s="689"/>
      <c r="V3" s="689"/>
      <c r="W3" s="689"/>
      <c r="X3" s="689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89" t="s">
        <v>412</v>
      </c>
      <c r="B5" s="689"/>
      <c r="C5" s="689"/>
      <c r="D5" s="689"/>
      <c r="E5" s="689"/>
      <c r="F5" s="689"/>
      <c r="G5" s="689"/>
      <c r="H5" s="689"/>
      <c r="I5" s="689"/>
      <c r="J5" s="689"/>
      <c r="K5" s="689"/>
      <c r="L5" s="689"/>
      <c r="M5" s="689"/>
      <c r="N5" s="689"/>
      <c r="O5" s="689"/>
      <c r="P5" s="689"/>
      <c r="Q5" s="689"/>
      <c r="R5" s="689"/>
      <c r="S5" s="689"/>
      <c r="T5" s="689"/>
      <c r="U5" s="689"/>
      <c r="V5" s="689"/>
      <c r="W5" s="689"/>
      <c r="X5" s="689"/>
    </row>
    <row r="6" spans="1:28" ht="15.75" thickBot="1">
      <c r="A6" s="690"/>
      <c r="B6" s="690"/>
      <c r="C6" s="690"/>
      <c r="D6" s="690"/>
      <c r="E6" s="690"/>
      <c r="F6" s="690"/>
      <c r="G6" s="690"/>
      <c r="H6" s="690"/>
      <c r="I6" s="690"/>
      <c r="J6" s="690"/>
      <c r="K6" s="690"/>
      <c r="L6" s="690"/>
      <c r="M6" s="690"/>
      <c r="N6" s="690"/>
      <c r="O6" s="690"/>
      <c r="P6" s="690"/>
      <c r="Q6" s="690"/>
      <c r="R6" s="690"/>
      <c r="S6" s="690"/>
      <c r="T6" s="690"/>
      <c r="U6" s="690"/>
      <c r="V6" s="690"/>
      <c r="W6" s="690"/>
      <c r="X6" s="690"/>
    </row>
    <row r="7" spans="1:28" ht="15.75" thickBot="1">
      <c r="A7" s="678" t="s">
        <v>163</v>
      </c>
      <c r="B7" s="679"/>
      <c r="C7" s="680" t="s">
        <v>164</v>
      </c>
      <c r="D7" s="681"/>
      <c r="E7" s="681"/>
      <c r="F7" s="681"/>
      <c r="G7" s="681"/>
      <c r="H7" s="681"/>
      <c r="I7" s="681"/>
      <c r="J7" s="681"/>
      <c r="K7" s="682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'[4]Degree Days 2018'!B10</f>
        <v>16</v>
      </c>
      <c r="C10" s="279">
        <f>'[4]Degree Days 2018'!C10</f>
        <v>11</v>
      </c>
      <c r="D10" s="279">
        <f>'[4]Degree Days 2018'!D10</f>
        <v>-4.8000000000000007</v>
      </c>
      <c r="E10" s="279">
        <f>'[4]Degree Days 2018'!E10</f>
        <v>1</v>
      </c>
      <c r="F10" s="279">
        <f>'[4]Degree Days 2018'!F10</f>
        <v>17</v>
      </c>
      <c r="G10" s="279">
        <f>'[4]Degree Days 2018'!G10</f>
        <v>12</v>
      </c>
      <c r="H10" s="279">
        <f>'[4]Degree Days 2018'!H10</f>
        <v>-3.8000000000000007</v>
      </c>
      <c r="I10" s="279">
        <f>'[4]Degree Days 2018'!I10</f>
        <v>1</v>
      </c>
      <c r="J10" s="279">
        <f>'[4]Degree Days 2018'!J10</f>
        <v>17</v>
      </c>
      <c r="K10" s="279">
        <f>'[4]Degree Days 2018'!K10</f>
        <v>10</v>
      </c>
      <c r="L10" s="279">
        <f>'[4]Degree Days 2018'!L10</f>
        <v>-4.8000000000000007</v>
      </c>
      <c r="M10" s="279">
        <f>'[4]Degree Days 2018'!M10</f>
        <v>1</v>
      </c>
      <c r="N10" s="279">
        <f>'[4]Degree Days 2018'!N10</f>
        <v>19</v>
      </c>
      <c r="O10" s="279">
        <f>'[4]Degree Days 2018'!O10</f>
        <v>14</v>
      </c>
      <c r="P10" s="279">
        <f>'[4]Degree Days 2018'!P10</f>
        <v>-1.8000000000000007</v>
      </c>
      <c r="Q10" s="566">
        <v>1</v>
      </c>
      <c r="R10" s="279">
        <f>'General information '!B6</f>
        <v>22</v>
      </c>
      <c r="S10" s="279">
        <f>'General information '!C6</f>
        <v>16</v>
      </c>
      <c r="T10" s="279"/>
      <c r="U10" s="566">
        <v>1</v>
      </c>
      <c r="V10" s="279"/>
      <c r="W10" s="279"/>
      <c r="X10" s="279"/>
      <c r="Z10" t="s">
        <v>165</v>
      </c>
      <c r="AA10" s="279">
        <f>'[9]Degree Days 2018'!AA10</f>
        <v>-116.79999999999994</v>
      </c>
      <c r="AB10" s="279">
        <f>'[9]Degree Days 2018'!AB10</f>
        <v>0</v>
      </c>
    </row>
    <row r="11" spans="1:28">
      <c r="A11" s="118">
        <v>2</v>
      </c>
      <c r="B11" s="279">
        <f>'[4]Degree Days 2018'!B11</f>
        <v>17</v>
      </c>
      <c r="C11" s="279">
        <f>'[4]Degree Days 2018'!C11</f>
        <v>12</v>
      </c>
      <c r="D11" s="279">
        <f>'[4]Degree Days 2018'!D11</f>
        <v>-3.8000000000000007</v>
      </c>
      <c r="E11" s="279">
        <f>'[4]Degree Days 2018'!E11</f>
        <v>2</v>
      </c>
      <c r="F11" s="279">
        <f>'[4]Degree Days 2018'!F11</f>
        <v>17</v>
      </c>
      <c r="G11" s="279">
        <f>'[4]Degree Days 2018'!G11</f>
        <v>11</v>
      </c>
      <c r="H11" s="279">
        <f>'[4]Degree Days 2018'!H11</f>
        <v>-4.3000000000000007</v>
      </c>
      <c r="I11" s="279">
        <f>'[4]Degree Days 2018'!I11</f>
        <v>2</v>
      </c>
      <c r="J11" s="279">
        <f>'[4]Degree Days 2018'!J11</f>
        <v>18</v>
      </c>
      <c r="K11" s="279">
        <f>'[4]Degree Days 2018'!K11</f>
        <v>11</v>
      </c>
      <c r="L11" s="279">
        <f>'[4]Degree Days 2018'!L11</f>
        <v>-3.8000000000000007</v>
      </c>
      <c r="M11" s="279">
        <f>'[4]Degree Days 2018'!M11</f>
        <v>2</v>
      </c>
      <c r="N11" s="279">
        <f>'[4]Degree Days 2018'!N11</f>
        <v>19</v>
      </c>
      <c r="O11" s="279">
        <f>'[4]Degree Days 2018'!O11</f>
        <v>15</v>
      </c>
      <c r="P11" s="279">
        <f>'[4]Degree Days 2018'!P11</f>
        <v>-1.3000000000000007</v>
      </c>
      <c r="Q11" s="566">
        <v>2</v>
      </c>
      <c r="R11" s="279">
        <f>'General information '!B7</f>
        <v>21</v>
      </c>
      <c r="S11" s="279">
        <f>'General information '!C7</f>
        <v>14</v>
      </c>
      <c r="T11" s="279"/>
      <c r="U11" s="566">
        <v>2</v>
      </c>
      <c r="V11" s="279"/>
      <c r="W11" s="279"/>
      <c r="X11" s="279"/>
      <c r="Z11" t="s">
        <v>169</v>
      </c>
      <c r="AA11" s="279">
        <f>'[9]Degree Days 2018'!AA11</f>
        <v>-100.69999999999997</v>
      </c>
      <c r="AB11" s="279">
        <f>'[9]Degree Days 2018'!AB11</f>
        <v>2.2999999999999972</v>
      </c>
    </row>
    <row r="12" spans="1:28">
      <c r="A12" s="118">
        <v>3</v>
      </c>
      <c r="B12" s="279">
        <f>'[4]Degree Days 2018'!B12</f>
        <v>16</v>
      </c>
      <c r="C12" s="279">
        <f>'[4]Degree Days 2018'!C12</f>
        <v>12</v>
      </c>
      <c r="D12" s="279">
        <f>'[4]Degree Days 2018'!D12</f>
        <v>-4.3000000000000007</v>
      </c>
      <c r="E12" s="279">
        <f>'[4]Degree Days 2018'!E12</f>
        <v>3</v>
      </c>
      <c r="F12" s="279">
        <f>'[4]Degree Days 2018'!F12</f>
        <v>16</v>
      </c>
      <c r="G12" s="279">
        <f>'[4]Degree Days 2018'!G12</f>
        <v>10</v>
      </c>
      <c r="H12" s="279">
        <f>'[4]Degree Days 2018'!H12</f>
        <v>-5.3000000000000007</v>
      </c>
      <c r="I12" s="279">
        <f>'[4]Degree Days 2018'!I12</f>
        <v>3</v>
      </c>
      <c r="J12" s="279">
        <f>'[4]Degree Days 2018'!J12</f>
        <v>19</v>
      </c>
      <c r="K12" s="279">
        <f>'[4]Degree Days 2018'!K12</f>
        <v>12</v>
      </c>
      <c r="L12" s="279">
        <f>'[4]Degree Days 2018'!L12</f>
        <v>-2.8000000000000007</v>
      </c>
      <c r="M12" s="279">
        <f>'[4]Degree Days 2018'!M12</f>
        <v>3</v>
      </c>
      <c r="N12" s="279">
        <f>'[4]Degree Days 2018'!N12</f>
        <v>20</v>
      </c>
      <c r="O12" s="279">
        <f>'[4]Degree Days 2018'!O12</f>
        <v>14</v>
      </c>
      <c r="P12" s="279">
        <f>'[4]Degree Days 2018'!P12</f>
        <v>-1.3000000000000007</v>
      </c>
      <c r="Q12" s="566">
        <v>3</v>
      </c>
      <c r="R12" s="279">
        <f>'General information '!B8</f>
        <v>24</v>
      </c>
      <c r="S12" s="279">
        <f>'General information '!C8</f>
        <v>17</v>
      </c>
      <c r="T12" s="279"/>
      <c r="U12" s="566">
        <v>3</v>
      </c>
      <c r="V12" s="279"/>
      <c r="W12" s="279"/>
      <c r="X12" s="279"/>
      <c r="Z12" t="s">
        <v>170</v>
      </c>
      <c r="AA12" s="279">
        <f>'[9]Degree Days 2018'!AA12</f>
        <v>-87.799999999999955</v>
      </c>
      <c r="AB12" s="279">
        <f>'[9]Degree Days 2018'!AB12</f>
        <v>0</v>
      </c>
    </row>
    <row r="13" spans="1:28">
      <c r="A13" s="118">
        <v>4</v>
      </c>
      <c r="B13" s="279">
        <f>'[4]Degree Days 2018'!B13</f>
        <v>15</v>
      </c>
      <c r="C13" s="279">
        <f>'[4]Degree Days 2018'!C13</f>
        <v>11</v>
      </c>
      <c r="D13" s="279">
        <f>'[4]Degree Days 2018'!D13</f>
        <v>-5.3000000000000007</v>
      </c>
      <c r="E13" s="279">
        <f>'[4]Degree Days 2018'!E13</f>
        <v>4</v>
      </c>
      <c r="F13" s="279">
        <f>'[4]Degree Days 2018'!F13</f>
        <v>17</v>
      </c>
      <c r="G13" s="279">
        <f>'[4]Degree Days 2018'!G13</f>
        <v>13</v>
      </c>
      <c r="H13" s="279">
        <f>'[4]Degree Days 2018'!H13</f>
        <v>-3.3000000000000007</v>
      </c>
      <c r="I13" s="279">
        <f>'[4]Degree Days 2018'!I13</f>
        <v>4</v>
      </c>
      <c r="J13" s="279">
        <f>'[4]Degree Days 2018'!J13</f>
        <v>19</v>
      </c>
      <c r="K13" s="279">
        <f>'[4]Degree Days 2018'!K13</f>
        <v>12</v>
      </c>
      <c r="L13" s="279">
        <f>'[4]Degree Days 2018'!L13</f>
        <v>-2.8000000000000007</v>
      </c>
      <c r="M13" s="279">
        <f>'[4]Degree Days 2018'!M13</f>
        <v>4</v>
      </c>
      <c r="N13" s="279">
        <f>'[4]Degree Days 2018'!N13</f>
        <v>23</v>
      </c>
      <c r="O13" s="279">
        <f>'[4]Degree Days 2018'!O13</f>
        <v>14</v>
      </c>
      <c r="P13" s="279">
        <f>'[4]Degree Days 2018'!P13</f>
        <v>0.19999999999999929</v>
      </c>
      <c r="Q13" s="566">
        <v>4</v>
      </c>
      <c r="R13" s="279">
        <f>'General information '!B9</f>
        <v>23</v>
      </c>
      <c r="S13" s="279">
        <f>'General information '!C9</f>
        <v>17</v>
      </c>
      <c r="T13" s="279"/>
      <c r="U13" s="566">
        <v>4</v>
      </c>
      <c r="V13" s="279"/>
      <c r="W13" s="279"/>
      <c r="X13" s="279"/>
      <c r="Z13" t="s">
        <v>171</v>
      </c>
      <c r="AA13" s="279">
        <f>'[9]Degree Days 2018'!AA13</f>
        <v>-38.700000000000003</v>
      </c>
      <c r="AB13" s="279">
        <f>'[9]Degree Days 2018'!AB13</f>
        <v>33.199999999999989</v>
      </c>
    </row>
    <row r="14" spans="1:28">
      <c r="A14" s="118">
        <v>5</v>
      </c>
      <c r="B14" s="279">
        <f>'[4]Degree Days 2018'!B14</f>
        <v>15</v>
      </c>
      <c r="C14" s="279">
        <f>'[4]Degree Days 2018'!C14</f>
        <v>11</v>
      </c>
      <c r="D14" s="279">
        <f>'[4]Degree Days 2018'!D14</f>
        <v>-5.3000000000000007</v>
      </c>
      <c r="E14" s="279">
        <f>'[4]Degree Days 2018'!E14</f>
        <v>5</v>
      </c>
      <c r="F14" s="279">
        <f>'[4]Degree Days 2018'!F14</f>
        <v>20</v>
      </c>
      <c r="G14" s="279">
        <f>'[4]Degree Days 2018'!G14</f>
        <v>15</v>
      </c>
      <c r="H14" s="279">
        <f>'[4]Degree Days 2018'!H14</f>
        <v>-0.80000000000000071</v>
      </c>
      <c r="I14" s="279">
        <f>'[4]Degree Days 2018'!I14</f>
        <v>5</v>
      </c>
      <c r="J14" s="279">
        <f>'[4]Degree Days 2018'!J14</f>
        <v>19</v>
      </c>
      <c r="K14" s="279">
        <f>'[4]Degree Days 2018'!K14</f>
        <v>14</v>
      </c>
      <c r="L14" s="279">
        <f>'[4]Degree Days 2018'!L14</f>
        <v>-1.8000000000000007</v>
      </c>
      <c r="M14" s="279">
        <f>'[4]Degree Days 2018'!M14</f>
        <v>5</v>
      </c>
      <c r="N14" s="279">
        <f>'[4]Degree Days 2018'!N14</f>
        <v>34</v>
      </c>
      <c r="O14" s="279">
        <f>'[4]Degree Days 2018'!O14</f>
        <v>17</v>
      </c>
      <c r="P14" s="279">
        <f>'[4]Degree Days 2018'!P14</f>
        <v>7.1999999999999993</v>
      </c>
      <c r="Q14" s="566">
        <v>5</v>
      </c>
      <c r="R14" s="279">
        <f>'General information '!B10</f>
        <v>0</v>
      </c>
      <c r="S14" s="279">
        <f>'General information '!C10</f>
        <v>0</v>
      </c>
      <c r="T14" s="279"/>
      <c r="U14" s="566">
        <v>5</v>
      </c>
      <c r="V14" s="279"/>
      <c r="W14" s="279"/>
      <c r="X14" s="279"/>
      <c r="Z14" t="s">
        <v>172</v>
      </c>
      <c r="AA14" s="279">
        <f>'[9]Degree Days 2018'!AA14</f>
        <v>-18.3</v>
      </c>
      <c r="AB14" s="279">
        <f>'[9]Degree Days 2018'!AB14</f>
        <v>151</v>
      </c>
    </row>
    <row r="15" spans="1:28">
      <c r="A15" s="118">
        <v>6</v>
      </c>
      <c r="B15" s="279">
        <f>'[4]Degree Days 2018'!B15</f>
        <v>16</v>
      </c>
      <c r="C15" s="279">
        <f>'[4]Degree Days 2018'!C15</f>
        <v>12</v>
      </c>
      <c r="D15" s="279">
        <f>'[4]Degree Days 2018'!D15</f>
        <v>-4.3000000000000007</v>
      </c>
      <c r="E15" s="279">
        <f>'[4]Degree Days 2018'!E15</f>
        <v>6</v>
      </c>
      <c r="F15" s="279">
        <f>'[4]Degree Days 2018'!F15</f>
        <v>22</v>
      </c>
      <c r="G15" s="279">
        <f>'[4]Degree Days 2018'!G15</f>
        <v>16</v>
      </c>
      <c r="H15" s="279">
        <f>'[4]Degree Days 2018'!H15</f>
        <v>0.69999999999999929</v>
      </c>
      <c r="I15" s="279">
        <f>'[4]Degree Days 2018'!I15</f>
        <v>6</v>
      </c>
      <c r="J15" s="279">
        <f>'[4]Degree Days 2018'!J15</f>
        <v>18</v>
      </c>
      <c r="K15" s="279">
        <f>'[4]Degree Days 2018'!K15</f>
        <v>12</v>
      </c>
      <c r="L15" s="279">
        <f>'[4]Degree Days 2018'!L15</f>
        <v>-3.3000000000000007</v>
      </c>
      <c r="M15" s="279">
        <f>'[4]Degree Days 2018'!M15</f>
        <v>6</v>
      </c>
      <c r="N15" s="279">
        <f>'[4]Degree Days 2018'!N15</f>
        <v>19</v>
      </c>
      <c r="O15" s="279">
        <f>'[4]Degree Days 2018'!O15</f>
        <v>17</v>
      </c>
      <c r="P15" s="279">
        <f>'[4]Degree Days 2018'!P15</f>
        <v>-0.30000000000000071</v>
      </c>
      <c r="Q15" s="566">
        <v>6</v>
      </c>
      <c r="R15" s="279">
        <f>'General information '!B11</f>
        <v>0</v>
      </c>
      <c r="S15" s="279">
        <f>'General information '!C11</f>
        <v>0</v>
      </c>
      <c r="T15" s="279"/>
      <c r="U15" s="566">
        <v>6</v>
      </c>
      <c r="V15" s="279"/>
      <c r="W15" s="279"/>
      <c r="X15" s="279"/>
      <c r="Z15" t="s">
        <v>173</v>
      </c>
      <c r="AA15" s="279">
        <f>'[9]Degree Days 2018'!AA15</f>
        <v>-0.30000000000000071</v>
      </c>
      <c r="AB15" s="279">
        <f>'[9]Degree Days 2018'!AB15</f>
        <v>108.30000000000005</v>
      </c>
    </row>
    <row r="16" spans="1:28">
      <c r="A16" s="118">
        <v>7</v>
      </c>
      <c r="B16" s="279">
        <f>'[4]Degree Days 2018'!B16</f>
        <v>16</v>
      </c>
      <c r="C16" s="279">
        <f>'[4]Degree Days 2018'!C16</f>
        <v>12</v>
      </c>
      <c r="D16" s="279">
        <f>'[4]Degree Days 2018'!D16</f>
        <v>-4.3000000000000007</v>
      </c>
      <c r="E16" s="279">
        <f>'[4]Degree Days 2018'!E16</f>
        <v>7</v>
      </c>
      <c r="F16" s="279">
        <f>'[4]Degree Days 2018'!F16</f>
        <v>16</v>
      </c>
      <c r="G16" s="279">
        <f>'[4]Degree Days 2018'!G16</f>
        <v>10</v>
      </c>
      <c r="H16" s="279">
        <f>'[4]Degree Days 2018'!H16</f>
        <v>-5.3000000000000007</v>
      </c>
      <c r="I16" s="279">
        <f>'[4]Degree Days 2018'!I16</f>
        <v>7</v>
      </c>
      <c r="J16" s="279">
        <f>'[4]Degree Days 2018'!J16</f>
        <v>18</v>
      </c>
      <c r="K16" s="279">
        <f>'[4]Degree Days 2018'!K16</f>
        <v>12</v>
      </c>
      <c r="L16" s="279">
        <f>'[4]Degree Days 2018'!L16</f>
        <v>-3.3000000000000007</v>
      </c>
      <c r="M16" s="279">
        <f>'[4]Degree Days 2018'!M16</f>
        <v>7</v>
      </c>
      <c r="N16" s="279">
        <f>'[4]Degree Days 2018'!N16</f>
        <v>20</v>
      </c>
      <c r="O16" s="279">
        <f>'[4]Degree Days 2018'!O16</f>
        <v>16</v>
      </c>
      <c r="P16" s="279">
        <f>'[4]Degree Days 2018'!P16</f>
        <v>-0.30000000000000071</v>
      </c>
      <c r="Q16" s="566">
        <v>7</v>
      </c>
      <c r="R16" s="279">
        <f>'General information '!B12</f>
        <v>0</v>
      </c>
      <c r="S16" s="279">
        <f>'General information '!C12</f>
        <v>0</v>
      </c>
      <c r="T16" s="279"/>
      <c r="U16" s="566">
        <v>7</v>
      </c>
      <c r="V16" s="279"/>
      <c r="W16" s="279"/>
      <c r="X16" s="279"/>
      <c r="Z16" t="s">
        <v>176</v>
      </c>
      <c r="AA16" s="279">
        <f>'[9]Degree Days 2018'!AA16</f>
        <v>31</v>
      </c>
      <c r="AB16" s="279">
        <f>'[9]Degree Days 2018'!AB16</f>
        <v>26</v>
      </c>
    </row>
    <row r="17" spans="1:28">
      <c r="A17" s="118">
        <v>8</v>
      </c>
      <c r="B17" s="279">
        <f>'[4]Degree Days 2018'!B17</f>
        <v>14</v>
      </c>
      <c r="C17" s="279">
        <f>'[4]Degree Days 2018'!C17</f>
        <v>11</v>
      </c>
      <c r="D17" s="279">
        <f>'[4]Degree Days 2018'!D17</f>
        <v>-5.8000000000000007</v>
      </c>
      <c r="E17" s="279">
        <f>'[4]Degree Days 2018'!E17</f>
        <v>8</v>
      </c>
      <c r="F17" s="279">
        <f>'[4]Degree Days 2018'!F17</f>
        <v>14</v>
      </c>
      <c r="G17" s="279">
        <f>'[4]Degree Days 2018'!G17</f>
        <v>9</v>
      </c>
      <c r="H17" s="279">
        <f>'[4]Degree Days 2018'!H17</f>
        <v>-6.8000000000000007</v>
      </c>
      <c r="I17" s="279">
        <f>'[4]Degree Days 2018'!I17</f>
        <v>8</v>
      </c>
      <c r="J17" s="279">
        <f>'[4]Degree Days 2018'!J17</f>
        <v>19</v>
      </c>
      <c r="K17" s="279">
        <f>'[4]Degree Days 2018'!K17</f>
        <v>13</v>
      </c>
      <c r="L17" s="279">
        <f>'[4]Degree Days 2018'!L17</f>
        <v>-2.3000000000000007</v>
      </c>
      <c r="M17" s="279">
        <f>'[4]Degree Days 2018'!M17</f>
        <v>8</v>
      </c>
      <c r="N17" s="279">
        <f>'[4]Degree Days 2018'!N17</f>
        <v>19</v>
      </c>
      <c r="O17" s="279">
        <f>'[4]Degree Days 2018'!O17</f>
        <v>15</v>
      </c>
      <c r="P17" s="279">
        <f>'[4]Degree Days 2018'!P17</f>
        <v>-1.3000000000000007</v>
      </c>
      <c r="Q17" s="566">
        <v>8</v>
      </c>
      <c r="R17" s="279">
        <f>'General information '!B13</f>
        <v>0</v>
      </c>
      <c r="S17" s="279">
        <f>'General information '!C13</f>
        <v>0</v>
      </c>
      <c r="T17" s="279"/>
      <c r="U17" s="566">
        <v>8</v>
      </c>
      <c r="V17" s="279"/>
      <c r="W17" s="279"/>
      <c r="X17" s="279"/>
      <c r="Z17" t="s">
        <v>177</v>
      </c>
      <c r="AA17" s="279">
        <f>'[9]Degree Days 2018'!AA17</f>
        <v>31</v>
      </c>
      <c r="AB17" s="279">
        <f>'[9]Degree Days 2018'!AB17</f>
        <v>27</v>
      </c>
    </row>
    <row r="18" spans="1:28">
      <c r="A18" s="118">
        <v>9</v>
      </c>
      <c r="B18" s="279">
        <f>'[4]Degree Days 2018'!B18</f>
        <v>14</v>
      </c>
      <c r="C18" s="279">
        <f>'[4]Degree Days 2018'!C18</f>
        <v>11</v>
      </c>
      <c r="D18" s="279">
        <f>'[4]Degree Days 2018'!D18</f>
        <v>-5.8000000000000007</v>
      </c>
      <c r="E18" s="279">
        <f>'[4]Degree Days 2018'!E18</f>
        <v>9</v>
      </c>
      <c r="F18" s="279">
        <f>'[4]Degree Days 2018'!F18</f>
        <v>9</v>
      </c>
      <c r="G18" s="279">
        <f>'[4]Degree Days 2018'!G18</f>
        <v>8</v>
      </c>
      <c r="H18" s="279">
        <f>'[4]Degree Days 2018'!H18</f>
        <v>-9.8000000000000007</v>
      </c>
      <c r="I18" s="279">
        <f>'[4]Degree Days 2018'!I18</f>
        <v>9</v>
      </c>
      <c r="J18" s="279">
        <f>'[4]Degree Days 2018'!J18</f>
        <v>20</v>
      </c>
      <c r="K18" s="279">
        <f>'[4]Degree Days 2018'!K18</f>
        <v>14</v>
      </c>
      <c r="L18" s="279">
        <f>'[4]Degree Days 2018'!L18</f>
        <v>-1.3000000000000007</v>
      </c>
      <c r="M18" s="279">
        <f>'[4]Degree Days 2018'!M18</f>
        <v>9</v>
      </c>
      <c r="N18" s="279">
        <f>'[4]Degree Days 2018'!N18</f>
        <v>18</v>
      </c>
      <c r="O18" s="279">
        <f>'[4]Degree Days 2018'!O18</f>
        <v>15</v>
      </c>
      <c r="P18" s="279">
        <f>'[4]Degree Days 2018'!P18</f>
        <v>-1.8000000000000007</v>
      </c>
      <c r="Q18" s="566">
        <v>9</v>
      </c>
      <c r="R18" s="279">
        <f>'General information '!B14</f>
        <v>0</v>
      </c>
      <c r="S18" s="279">
        <f>'General information '!C14</f>
        <v>0</v>
      </c>
      <c r="T18" s="279"/>
      <c r="U18" s="566">
        <v>9</v>
      </c>
      <c r="V18" s="279"/>
      <c r="W18" s="279"/>
      <c r="X18" s="279"/>
      <c r="Z18" t="s">
        <v>178</v>
      </c>
      <c r="AA18" s="279">
        <f>'[9]Degree Days 2018'!AA18</f>
        <v>31</v>
      </c>
      <c r="AB18" s="279">
        <f>'[9]Degree Days 2018'!AB18</f>
        <v>26</v>
      </c>
    </row>
    <row r="19" spans="1:28">
      <c r="A19" s="118">
        <v>10</v>
      </c>
      <c r="B19" s="279">
        <f>'[4]Degree Days 2018'!B19</f>
        <v>17</v>
      </c>
      <c r="C19" s="279">
        <f>'[4]Degree Days 2018'!C19</f>
        <v>12</v>
      </c>
      <c r="D19" s="279">
        <f>'[4]Degree Days 2018'!D19</f>
        <v>-3.8000000000000007</v>
      </c>
      <c r="E19" s="279">
        <f>'[4]Degree Days 2018'!E19</f>
        <v>10</v>
      </c>
      <c r="F19" s="279">
        <f>'[4]Degree Days 2018'!F19</f>
        <v>10</v>
      </c>
      <c r="G19" s="279">
        <f>'[4]Degree Days 2018'!G19</f>
        <v>7</v>
      </c>
      <c r="H19" s="279">
        <f>'[4]Degree Days 2018'!H19</f>
        <v>-9.8000000000000007</v>
      </c>
      <c r="I19" s="279">
        <f>'[4]Degree Days 2018'!I19</f>
        <v>10</v>
      </c>
      <c r="J19" s="279">
        <f>'[4]Degree Days 2018'!J19</f>
        <v>19</v>
      </c>
      <c r="K19" s="279">
        <f>'[4]Degree Days 2018'!K19</f>
        <v>16</v>
      </c>
      <c r="L19" s="279">
        <f>'[4]Degree Days 2018'!L19</f>
        <v>-0.80000000000000071</v>
      </c>
      <c r="M19" s="279">
        <f>'[4]Degree Days 2018'!M19</f>
        <v>10</v>
      </c>
      <c r="N19" s="279">
        <f>'[4]Degree Days 2018'!N19</f>
        <v>16</v>
      </c>
      <c r="O19" s="279">
        <f>'[4]Degree Days 2018'!O19</f>
        <v>13</v>
      </c>
      <c r="P19" s="279">
        <f>'[4]Degree Days 2018'!P19</f>
        <v>-3.8000000000000007</v>
      </c>
      <c r="Q19" s="566">
        <v>10</v>
      </c>
      <c r="R19" s="279">
        <f>'General information '!B15</f>
        <v>0</v>
      </c>
      <c r="S19" s="279">
        <f>'General information '!C15</f>
        <v>0</v>
      </c>
      <c r="T19" s="279"/>
      <c r="U19" s="566">
        <v>10</v>
      </c>
      <c r="V19" s="279"/>
      <c r="W19" s="279"/>
      <c r="X19" s="279"/>
      <c r="Z19" t="s">
        <v>179</v>
      </c>
      <c r="AA19" s="279">
        <f>'[9]Degree Days 2018'!AA19</f>
        <v>32</v>
      </c>
      <c r="AB19" s="279">
        <f>'[9]Degree Days 2018'!AB19</f>
        <v>26</v>
      </c>
    </row>
    <row r="20" spans="1:28">
      <c r="A20" s="118">
        <v>11</v>
      </c>
      <c r="B20" s="279">
        <f>'[4]Degree Days 2018'!B20</f>
        <v>17</v>
      </c>
      <c r="C20" s="279">
        <f>'[4]Degree Days 2018'!C20</f>
        <v>13</v>
      </c>
      <c r="D20" s="279">
        <f>'[4]Degree Days 2018'!D20</f>
        <v>-3.3000000000000007</v>
      </c>
      <c r="E20" s="279">
        <f>'[4]Degree Days 2018'!E20</f>
        <v>11</v>
      </c>
      <c r="F20" s="279">
        <f>'[4]Degree Days 2018'!F20</f>
        <v>14</v>
      </c>
      <c r="G20" s="279">
        <f>'[4]Degree Days 2018'!G20</f>
        <v>8</v>
      </c>
      <c r="H20" s="279">
        <f>'[4]Degree Days 2018'!H20</f>
        <v>-7.3000000000000007</v>
      </c>
      <c r="I20" s="279">
        <f>'[4]Degree Days 2018'!I20</f>
        <v>11</v>
      </c>
      <c r="J20" s="279">
        <f>'[4]Degree Days 2018'!J20</f>
        <v>18</v>
      </c>
      <c r="K20" s="279">
        <f>'[4]Degree Days 2018'!K20</f>
        <v>14</v>
      </c>
      <c r="L20" s="279">
        <f>'[4]Degree Days 2018'!L20</f>
        <v>-2.3000000000000007</v>
      </c>
      <c r="M20" s="279">
        <f>'[4]Degree Days 2018'!M20</f>
        <v>11</v>
      </c>
      <c r="N20" s="279">
        <f>'[4]Degree Days 2018'!N20</f>
        <v>17</v>
      </c>
      <c r="O20" s="279">
        <f>'[4]Degree Days 2018'!O20</f>
        <v>14</v>
      </c>
      <c r="P20" s="279">
        <f>'[4]Degree Days 2018'!P20</f>
        <v>-2.8000000000000007</v>
      </c>
      <c r="Q20" s="566">
        <v>11</v>
      </c>
      <c r="R20" s="279">
        <f>'General information '!B16</f>
        <v>0</v>
      </c>
      <c r="S20" s="279">
        <f>'General information '!C16</f>
        <v>0</v>
      </c>
      <c r="T20" s="279"/>
      <c r="U20" s="566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'[4]Degree Days 2018'!B21</f>
        <v>16</v>
      </c>
      <c r="C21" s="279">
        <f>'[4]Degree Days 2018'!C21</f>
        <v>12</v>
      </c>
      <c r="D21" s="279">
        <f>'[4]Degree Days 2018'!D21</f>
        <v>-4.3000000000000007</v>
      </c>
      <c r="E21" s="279">
        <f>'[4]Degree Days 2018'!E21</f>
        <v>12</v>
      </c>
      <c r="F21" s="279">
        <f>'[4]Degree Days 2018'!F21</f>
        <v>16</v>
      </c>
      <c r="G21" s="279">
        <f>'[4]Degree Days 2018'!G21</f>
        <v>13</v>
      </c>
      <c r="H21" s="279">
        <f>'[4]Degree Days 2018'!H21</f>
        <v>-3.8000000000000007</v>
      </c>
      <c r="I21" s="279">
        <f>'[4]Degree Days 2018'!I21</f>
        <v>12</v>
      </c>
      <c r="J21" s="279">
        <f>'[4]Degree Days 2018'!J21</f>
        <v>27</v>
      </c>
      <c r="K21" s="279">
        <f>'[4]Degree Days 2018'!K21</f>
        <v>16</v>
      </c>
      <c r="L21" s="279">
        <f>'[4]Degree Days 2018'!L21</f>
        <v>3.1999999999999993</v>
      </c>
      <c r="M21" s="279">
        <f>'[4]Degree Days 2018'!M21</f>
        <v>12</v>
      </c>
      <c r="N21" s="279">
        <f>'[4]Degree Days 2018'!N21</f>
        <v>20</v>
      </c>
      <c r="O21" s="279">
        <f>'[4]Degree Days 2018'!O21</f>
        <v>14</v>
      </c>
      <c r="P21" s="279">
        <f>'[4]Degree Days 2018'!P21</f>
        <v>-1.3000000000000007</v>
      </c>
      <c r="Q21" s="566">
        <v>12</v>
      </c>
      <c r="R21" s="279">
        <f>'General information '!B17</f>
        <v>0</v>
      </c>
      <c r="S21" s="279">
        <f>'General information '!C17</f>
        <v>0</v>
      </c>
      <c r="T21" s="279"/>
      <c r="U21" s="566">
        <v>12</v>
      </c>
      <c r="V21" s="279"/>
      <c r="W21" s="279"/>
      <c r="X21" s="279"/>
      <c r="Z21" t="s">
        <v>181</v>
      </c>
      <c r="AA21" s="135">
        <f t="shared" ref="AA21" si="0">SUM(B54)</f>
        <v>0</v>
      </c>
      <c r="AB21" s="135">
        <f t="shared" ref="AB21" si="1">SUM(C54)</f>
        <v>0</v>
      </c>
    </row>
    <row r="22" spans="1:28">
      <c r="A22" s="118">
        <v>13</v>
      </c>
      <c r="B22" s="279">
        <f>'[4]Degree Days 2018'!B22</f>
        <v>17</v>
      </c>
      <c r="C22" s="279">
        <f>'[4]Degree Days 2018'!C22</f>
        <v>13</v>
      </c>
      <c r="D22" s="279">
        <f>'[4]Degree Days 2018'!D22</f>
        <v>-3.3000000000000007</v>
      </c>
      <c r="E22" s="279">
        <f>'[4]Degree Days 2018'!E22</f>
        <v>13</v>
      </c>
      <c r="F22" s="279">
        <f>'[4]Degree Days 2018'!F22</f>
        <v>17</v>
      </c>
      <c r="G22" s="279">
        <f>'[4]Degree Days 2018'!G22</f>
        <v>14</v>
      </c>
      <c r="H22" s="279">
        <f>'[4]Degree Days 2018'!H22</f>
        <v>-2.8000000000000007</v>
      </c>
      <c r="I22" s="279">
        <f>'[4]Degree Days 2018'!I22</f>
        <v>13</v>
      </c>
      <c r="J22" s="279">
        <f>'[4]Degree Days 2018'!J22</f>
        <v>26</v>
      </c>
      <c r="K22" s="279">
        <f>'[4]Degree Days 2018'!K22</f>
        <v>15</v>
      </c>
      <c r="L22" s="279">
        <f>'[4]Degree Days 2018'!L22</f>
        <v>2.1999999999999993</v>
      </c>
      <c r="M22" s="279">
        <f>'[4]Degree Days 2018'!M22</f>
        <v>13</v>
      </c>
      <c r="N22" s="279">
        <f>'[4]Degree Days 2018'!N22</f>
        <v>21</v>
      </c>
      <c r="O22" s="279">
        <f>'[4]Degree Days 2018'!O22</f>
        <v>15</v>
      </c>
      <c r="P22" s="279">
        <f>'[4]Degree Days 2018'!P22</f>
        <v>-0.30000000000000071</v>
      </c>
      <c r="Q22" s="566">
        <v>13</v>
      </c>
      <c r="R22" s="279">
        <f>'General information '!B18</f>
        <v>0</v>
      </c>
      <c r="S22" s="279">
        <f>'General information '!C18</f>
        <v>0</v>
      </c>
      <c r="T22" s="279"/>
      <c r="U22" s="566">
        <v>13</v>
      </c>
      <c r="V22" s="279"/>
      <c r="W22" s="279"/>
      <c r="X22" s="279"/>
    </row>
    <row r="23" spans="1:28">
      <c r="A23" s="118">
        <v>14</v>
      </c>
      <c r="B23" s="279">
        <f>'[4]Degree Days 2018'!B23</f>
        <v>16</v>
      </c>
      <c r="C23" s="279">
        <f>'[4]Degree Days 2018'!C23</f>
        <v>12</v>
      </c>
      <c r="D23" s="279">
        <f>'[4]Degree Days 2018'!D23</f>
        <v>-4.3000000000000007</v>
      </c>
      <c r="E23" s="279">
        <f>'[4]Degree Days 2018'!E23</f>
        <v>14</v>
      </c>
      <c r="F23" s="279">
        <f>'[4]Degree Days 2018'!F23</f>
        <v>17</v>
      </c>
      <c r="G23" s="279">
        <f>'[4]Degree Days 2018'!G23</f>
        <v>11</v>
      </c>
      <c r="H23" s="279">
        <f>'[4]Degree Days 2018'!H23</f>
        <v>-4.3000000000000007</v>
      </c>
      <c r="I23" s="279">
        <f>'[4]Degree Days 2018'!I23</f>
        <v>14</v>
      </c>
      <c r="J23" s="279">
        <f>'[4]Degree Days 2018'!J23</f>
        <v>19</v>
      </c>
      <c r="K23" s="279">
        <f>'[4]Degree Days 2018'!K23</f>
        <v>15</v>
      </c>
      <c r="L23" s="279">
        <f>'[4]Degree Days 2018'!L23</f>
        <v>-1.3000000000000007</v>
      </c>
      <c r="M23" s="279">
        <f>'[4]Degree Days 2018'!M23</f>
        <v>14</v>
      </c>
      <c r="N23" s="279">
        <f>'[4]Degree Days 2018'!N23</f>
        <v>22</v>
      </c>
      <c r="O23" s="279">
        <f>'[4]Degree Days 2018'!O23</f>
        <v>16</v>
      </c>
      <c r="P23" s="279">
        <f>'[4]Degree Days 2018'!P23</f>
        <v>0.69999999999999929</v>
      </c>
      <c r="Q23" s="566">
        <v>14</v>
      </c>
      <c r="R23" s="279">
        <f>'General information '!B19</f>
        <v>0</v>
      </c>
      <c r="S23" s="279">
        <f>'General information '!C19</f>
        <v>0</v>
      </c>
      <c r="T23" s="279"/>
      <c r="U23" s="566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'[4]Degree Days 2018'!B24</f>
        <v>17</v>
      </c>
      <c r="C24" s="279">
        <f>'[4]Degree Days 2018'!C24</f>
        <v>13</v>
      </c>
      <c r="D24" s="279">
        <f>'[4]Degree Days 2018'!D24</f>
        <v>-3.3000000000000007</v>
      </c>
      <c r="E24" s="279">
        <f>'[4]Degree Days 2018'!E24</f>
        <v>15</v>
      </c>
      <c r="F24" s="279">
        <f>'[4]Degree Days 2018'!F24</f>
        <v>17</v>
      </c>
      <c r="G24" s="279">
        <f>'[4]Degree Days 2018'!G24</f>
        <v>12</v>
      </c>
      <c r="H24" s="279">
        <f>'[4]Degree Days 2018'!H24</f>
        <v>-3.8000000000000007</v>
      </c>
      <c r="I24" s="279">
        <f>'[4]Degree Days 2018'!I24</f>
        <v>15</v>
      </c>
      <c r="J24" s="279">
        <f>'[4]Degree Days 2018'!J24</f>
        <v>19</v>
      </c>
      <c r="K24" s="279">
        <f>'[4]Degree Days 2018'!K24</f>
        <v>15</v>
      </c>
      <c r="L24" s="279">
        <f>'[4]Degree Days 2018'!L24</f>
        <v>-1.3000000000000007</v>
      </c>
      <c r="M24" s="279">
        <f>'[4]Degree Days 2018'!M24</f>
        <v>15</v>
      </c>
      <c r="N24" s="279">
        <f>'[4]Degree Days 2018'!N24</f>
        <v>20</v>
      </c>
      <c r="O24" s="279">
        <f>'[4]Degree Days 2018'!O24</f>
        <v>16</v>
      </c>
      <c r="P24" s="279">
        <f>'[4]Degree Days 2018'!P24</f>
        <v>-0.30000000000000071</v>
      </c>
      <c r="Q24" s="566">
        <v>15</v>
      </c>
      <c r="R24" s="279">
        <f>'General information '!B20</f>
        <v>0</v>
      </c>
      <c r="S24" s="279">
        <f>'General information '!C20</f>
        <v>0</v>
      </c>
      <c r="T24" s="279"/>
      <c r="U24" s="566">
        <v>15</v>
      </c>
      <c r="V24" s="279"/>
      <c r="W24" s="279"/>
      <c r="X24" s="279"/>
    </row>
    <row r="25" spans="1:28">
      <c r="A25" s="118">
        <v>16</v>
      </c>
      <c r="B25" s="279">
        <f>'[4]Degree Days 2018'!B25</f>
        <v>19</v>
      </c>
      <c r="C25" s="279">
        <f>'[4]Degree Days 2018'!C25</f>
        <v>13</v>
      </c>
      <c r="D25" s="279">
        <f>'[4]Degree Days 2018'!D25</f>
        <v>-2.3000000000000007</v>
      </c>
      <c r="E25" s="279">
        <f>'[4]Degree Days 2018'!E25</f>
        <v>16</v>
      </c>
      <c r="F25" s="279">
        <f>'[4]Degree Days 2018'!F25</f>
        <v>17</v>
      </c>
      <c r="G25" s="279">
        <f>'[4]Degree Days 2018'!G25</f>
        <v>11</v>
      </c>
      <c r="H25" s="279">
        <f>'[4]Degree Days 2018'!H25</f>
        <v>-4.3000000000000007</v>
      </c>
      <c r="I25" s="279">
        <f>'[4]Degree Days 2018'!I25</f>
        <v>16</v>
      </c>
      <c r="J25" s="279">
        <f>'[4]Degree Days 2018'!J25</f>
        <v>18</v>
      </c>
      <c r="K25" s="279">
        <f>'[4]Degree Days 2018'!K25</f>
        <v>11</v>
      </c>
      <c r="L25" s="279">
        <f>'[4]Degree Days 2018'!L25</f>
        <v>-3.8000000000000007</v>
      </c>
      <c r="M25" s="279">
        <f>'[4]Degree Days 2018'!M25</f>
        <v>16</v>
      </c>
      <c r="N25" s="279">
        <f>'[4]Degree Days 2018'!N25</f>
        <v>20</v>
      </c>
      <c r="O25" s="279">
        <f>'[4]Degree Days 2018'!O25</f>
        <v>15</v>
      </c>
      <c r="P25" s="279">
        <f>'[4]Degree Days 2018'!P25</f>
        <v>-0.80000000000000071</v>
      </c>
      <c r="Q25" s="566">
        <v>16</v>
      </c>
      <c r="R25" s="279">
        <f>'General information '!B21</f>
        <v>0</v>
      </c>
      <c r="S25" s="279">
        <f>'General information '!C21</f>
        <v>0</v>
      </c>
      <c r="T25" s="279"/>
      <c r="U25" s="566">
        <v>16</v>
      </c>
      <c r="V25" s="279"/>
      <c r="W25" s="279"/>
      <c r="X25" s="279"/>
    </row>
    <row r="26" spans="1:28">
      <c r="A26" s="118">
        <v>17</v>
      </c>
      <c r="B26" s="279">
        <f>'[4]Degree Days 2018'!B26</f>
        <v>20</v>
      </c>
      <c r="C26" s="279">
        <f>'[4]Degree Days 2018'!C26</f>
        <v>13</v>
      </c>
      <c r="D26" s="279">
        <f>'[4]Degree Days 2018'!D26</f>
        <v>-1.8000000000000007</v>
      </c>
      <c r="E26" s="279">
        <f>'[4]Degree Days 2018'!E26</f>
        <v>17</v>
      </c>
      <c r="F26" s="279">
        <f>'[4]Degree Days 2018'!F26</f>
        <v>16</v>
      </c>
      <c r="G26" s="279">
        <f>'[4]Degree Days 2018'!G26</f>
        <v>12</v>
      </c>
      <c r="H26" s="279">
        <f>'[4]Degree Days 2018'!H26</f>
        <v>-4.3000000000000007</v>
      </c>
      <c r="I26" s="279">
        <f>'[4]Degree Days 2018'!I26</f>
        <v>17</v>
      </c>
      <c r="J26" s="279">
        <f>'[4]Degree Days 2018'!J26</f>
        <v>19</v>
      </c>
      <c r="K26" s="279">
        <f>'[4]Degree Days 2018'!K26</f>
        <v>12</v>
      </c>
      <c r="L26" s="279">
        <f>'[4]Degree Days 2018'!L26</f>
        <v>-2.8000000000000007</v>
      </c>
      <c r="M26" s="279">
        <f>'[4]Degree Days 2018'!M26</f>
        <v>17</v>
      </c>
      <c r="N26" s="279">
        <f>'[4]Degree Days 2018'!N26</f>
        <v>22</v>
      </c>
      <c r="O26" s="279">
        <f>'[4]Degree Days 2018'!O26</f>
        <v>17</v>
      </c>
      <c r="P26" s="279">
        <f>'[4]Degree Days 2018'!P26</f>
        <v>1.1999999999999993</v>
      </c>
      <c r="Q26" s="566">
        <v>17</v>
      </c>
      <c r="R26" s="279">
        <f>'General information '!B22</f>
        <v>0</v>
      </c>
      <c r="S26" s="279">
        <f>'General information '!C22</f>
        <v>0</v>
      </c>
      <c r="T26" s="279"/>
      <c r="U26" s="566">
        <v>17</v>
      </c>
      <c r="V26" s="279"/>
      <c r="W26" s="279"/>
      <c r="X26" s="279"/>
    </row>
    <row r="27" spans="1:28">
      <c r="A27" s="118">
        <v>18</v>
      </c>
      <c r="B27" s="279">
        <f>'[4]Degree Days 2018'!B27</f>
        <v>14</v>
      </c>
      <c r="C27" s="279">
        <f>'[4]Degree Days 2018'!C27</f>
        <v>13</v>
      </c>
      <c r="D27" s="279">
        <f>'[4]Degree Days 2018'!D27</f>
        <v>-4.8000000000000007</v>
      </c>
      <c r="E27" s="279">
        <f>'[4]Degree Days 2018'!E27</f>
        <v>18</v>
      </c>
      <c r="F27" s="279">
        <f>'[4]Degree Days 2018'!F27</f>
        <v>17</v>
      </c>
      <c r="G27" s="279">
        <f>'[4]Degree Days 2018'!G27</f>
        <v>11</v>
      </c>
      <c r="H27" s="279">
        <f>'[4]Degree Days 2018'!H27</f>
        <v>-4.3000000000000007</v>
      </c>
      <c r="I27" s="279">
        <f>'[4]Degree Days 2018'!I27</f>
        <v>18</v>
      </c>
      <c r="J27" s="279">
        <f>'[4]Degree Days 2018'!J27</f>
        <v>15</v>
      </c>
      <c r="K27" s="279">
        <f>'[4]Degree Days 2018'!K27</f>
        <v>13</v>
      </c>
      <c r="L27" s="279">
        <f>'[4]Degree Days 2018'!L27</f>
        <v>-4.3000000000000007</v>
      </c>
      <c r="M27" s="279">
        <f>'[4]Degree Days 2018'!M27</f>
        <v>18</v>
      </c>
      <c r="N27" s="279">
        <f>'[4]Degree Days 2018'!N27</f>
        <v>24</v>
      </c>
      <c r="O27" s="279">
        <f>'[4]Degree Days 2018'!O27</f>
        <v>17</v>
      </c>
      <c r="P27" s="279">
        <f>'[4]Degree Days 2018'!P27</f>
        <v>2.1999999999999993</v>
      </c>
      <c r="Q27" s="566">
        <v>18</v>
      </c>
      <c r="R27" s="279">
        <f>'General information '!B23</f>
        <v>0</v>
      </c>
      <c r="S27" s="279">
        <f>'General information '!C23</f>
        <v>0</v>
      </c>
      <c r="T27" s="279"/>
      <c r="U27" s="566">
        <v>18</v>
      </c>
      <c r="V27" s="279"/>
      <c r="W27" s="279"/>
      <c r="X27" s="279"/>
    </row>
    <row r="28" spans="1:28">
      <c r="A28" s="118">
        <v>19</v>
      </c>
      <c r="B28" s="279">
        <f>'[4]Degree Days 2018'!B28</f>
        <v>15</v>
      </c>
      <c r="C28" s="279">
        <f>'[4]Degree Days 2018'!C28</f>
        <v>13</v>
      </c>
      <c r="D28" s="279">
        <f>'[4]Degree Days 2018'!D28</f>
        <v>-4.3000000000000007</v>
      </c>
      <c r="E28" s="279">
        <f>'[4]Degree Days 2018'!E28</f>
        <v>19</v>
      </c>
      <c r="F28" s="279">
        <f>'[4]Degree Days 2018'!F28</f>
        <v>17</v>
      </c>
      <c r="G28" s="279">
        <f>'[4]Degree Days 2018'!G28</f>
        <v>14</v>
      </c>
      <c r="H28" s="279">
        <f>'[4]Degree Days 2018'!H28</f>
        <v>-2.8000000000000007</v>
      </c>
      <c r="I28" s="279">
        <f>'[4]Degree Days 2018'!I28</f>
        <v>19</v>
      </c>
      <c r="J28" s="279">
        <f>'[4]Degree Days 2018'!J28</f>
        <v>17</v>
      </c>
      <c r="K28" s="279">
        <f>'[4]Degree Days 2018'!K28</f>
        <v>14</v>
      </c>
      <c r="L28" s="279">
        <f>'[4]Degree Days 2018'!L28</f>
        <v>-2.8000000000000007</v>
      </c>
      <c r="M28" s="279">
        <f>'[4]Degree Days 2018'!M28</f>
        <v>19</v>
      </c>
      <c r="N28" s="279">
        <f>'[4]Degree Days 2018'!N28</f>
        <v>24</v>
      </c>
      <c r="O28" s="279">
        <f>'[4]Degree Days 2018'!O28</f>
        <v>17</v>
      </c>
      <c r="P28" s="279">
        <f>'[4]Degree Days 2018'!P28</f>
        <v>2.1999999999999993</v>
      </c>
      <c r="Q28" s="566">
        <v>19</v>
      </c>
      <c r="R28" s="279">
        <f>'General information '!B24</f>
        <v>0</v>
      </c>
      <c r="S28" s="279">
        <f>'General information '!C24</f>
        <v>0</v>
      </c>
      <c r="T28" s="279"/>
      <c r="U28" s="566">
        <v>19</v>
      </c>
      <c r="V28" s="279"/>
      <c r="W28" s="279"/>
      <c r="X28" s="279"/>
    </row>
    <row r="29" spans="1:28">
      <c r="A29" s="118">
        <v>20</v>
      </c>
      <c r="B29" s="279">
        <f>'[4]Degree Days 2018'!B29</f>
        <v>15</v>
      </c>
      <c r="C29" s="279">
        <f>'[4]Degree Days 2018'!C29</f>
        <v>10</v>
      </c>
      <c r="D29" s="279">
        <f>'[4]Degree Days 2018'!D29</f>
        <v>-5.8000000000000007</v>
      </c>
      <c r="E29" s="279">
        <f>'[4]Degree Days 2018'!E29</f>
        <v>20</v>
      </c>
      <c r="F29" s="279">
        <f>'[4]Degree Days 2018'!F29</f>
        <v>17</v>
      </c>
      <c r="G29" s="279">
        <f>'[4]Degree Days 2018'!G29</f>
        <v>14</v>
      </c>
      <c r="H29" s="279">
        <f>'[4]Degree Days 2018'!H29</f>
        <v>-2.8000000000000007</v>
      </c>
      <c r="I29" s="279">
        <f>'[4]Degree Days 2018'!I29</f>
        <v>20</v>
      </c>
      <c r="J29" s="279">
        <f>'[4]Degree Days 2018'!J29</f>
        <v>16</v>
      </c>
      <c r="K29" s="279">
        <f>'[4]Degree Days 2018'!K29</f>
        <v>13</v>
      </c>
      <c r="L29" s="279">
        <f>'[4]Degree Days 2018'!L29</f>
        <v>-3.8000000000000007</v>
      </c>
      <c r="M29" s="279">
        <f>'[4]Degree Days 2018'!M29</f>
        <v>20</v>
      </c>
      <c r="N29" s="279">
        <f>'[4]Degree Days 2018'!N29</f>
        <v>23</v>
      </c>
      <c r="O29" s="279">
        <f>'[4]Degree Days 2018'!O29</f>
        <v>18</v>
      </c>
      <c r="P29" s="279">
        <f>'[4]Degree Days 2018'!P29</f>
        <v>2.1999999999999993</v>
      </c>
      <c r="Q29" s="566">
        <v>20</v>
      </c>
      <c r="R29" s="279">
        <f>'General information '!B25</f>
        <v>0</v>
      </c>
      <c r="S29" s="279">
        <f>'General information '!C25</f>
        <v>0</v>
      </c>
      <c r="T29" s="279"/>
      <c r="U29" s="566">
        <v>20</v>
      </c>
      <c r="V29" s="279"/>
      <c r="W29" s="279"/>
      <c r="X29" s="279"/>
    </row>
    <row r="30" spans="1:28">
      <c r="A30" s="118">
        <v>21</v>
      </c>
      <c r="B30" s="279">
        <f>'[4]Degree Days 2018'!B30</f>
        <v>13</v>
      </c>
      <c r="C30" s="279">
        <f>'[4]Degree Days 2018'!C30</f>
        <v>9</v>
      </c>
      <c r="D30" s="279">
        <f>'[4]Degree Days 2018'!D30</f>
        <v>-7.3000000000000007</v>
      </c>
      <c r="E30" s="279">
        <f>'[4]Degree Days 2018'!E30</f>
        <v>21</v>
      </c>
      <c r="F30" s="279">
        <f>'[4]Degree Days 2018'!F30</f>
        <v>16</v>
      </c>
      <c r="G30" s="279">
        <f>'[4]Degree Days 2018'!G30</f>
        <v>12</v>
      </c>
      <c r="H30" s="279">
        <f>'[4]Degree Days 2018'!H30</f>
        <v>-4.3000000000000007</v>
      </c>
      <c r="I30" s="279">
        <f>'[4]Degree Days 2018'!I30</f>
        <v>21</v>
      </c>
      <c r="J30" s="279">
        <f>'[4]Degree Days 2018'!J30</f>
        <v>17</v>
      </c>
      <c r="K30" s="279">
        <f>'[4]Degree Days 2018'!K30</f>
        <v>14</v>
      </c>
      <c r="L30" s="279">
        <f>'[4]Degree Days 2018'!L30</f>
        <v>-2.8000000000000007</v>
      </c>
      <c r="M30" s="279">
        <f>'[4]Degree Days 2018'!M30</f>
        <v>21</v>
      </c>
      <c r="N30" s="279">
        <f>'[4]Degree Days 2018'!N30</f>
        <v>24</v>
      </c>
      <c r="O30" s="279">
        <f>'[4]Degree Days 2018'!O30</f>
        <v>18</v>
      </c>
      <c r="P30" s="279">
        <f>'[4]Degree Days 2018'!P30</f>
        <v>2.6999999999999993</v>
      </c>
      <c r="Q30" s="566">
        <v>21</v>
      </c>
      <c r="R30" s="279">
        <f>'General information '!B26</f>
        <v>0</v>
      </c>
      <c r="S30" s="279">
        <f>'General information '!C26</f>
        <v>0</v>
      </c>
      <c r="T30" s="279"/>
      <c r="U30" s="566">
        <v>21</v>
      </c>
      <c r="V30" s="279"/>
      <c r="W30" s="279"/>
      <c r="X30" s="279"/>
    </row>
    <row r="31" spans="1:28">
      <c r="A31" s="118">
        <v>22</v>
      </c>
      <c r="B31" s="279">
        <f>'[4]Degree Days 2018'!B31</f>
        <v>14</v>
      </c>
      <c r="C31" s="279">
        <f>'[4]Degree Days 2018'!C31</f>
        <v>10</v>
      </c>
      <c r="D31" s="279">
        <f>'[4]Degree Days 2018'!D31</f>
        <v>-6.3000000000000007</v>
      </c>
      <c r="E31" s="279">
        <f>'[4]Degree Days 2018'!E31</f>
        <v>22</v>
      </c>
      <c r="F31" s="279">
        <f>'[4]Degree Days 2018'!F31</f>
        <v>17</v>
      </c>
      <c r="G31" s="279">
        <f>'[4]Degree Days 2018'!G31</f>
        <v>12</v>
      </c>
      <c r="H31" s="279">
        <f>'[4]Degree Days 2018'!H31</f>
        <v>-3.8000000000000007</v>
      </c>
      <c r="I31" s="279">
        <f>'[4]Degree Days 2018'!I31</f>
        <v>22</v>
      </c>
      <c r="J31" s="279">
        <f>'[4]Degree Days 2018'!J31</f>
        <v>19</v>
      </c>
      <c r="K31" s="279">
        <f>'[4]Degree Days 2018'!K31</f>
        <v>14</v>
      </c>
      <c r="L31" s="279">
        <f>'[4]Degree Days 2018'!L31</f>
        <v>-1.8000000000000007</v>
      </c>
      <c r="M31" s="279">
        <f>'[4]Degree Days 2018'!M31</f>
        <v>22</v>
      </c>
      <c r="N31" s="279">
        <f>'[4]Degree Days 2018'!N31</f>
        <v>25</v>
      </c>
      <c r="O31" s="279">
        <f>'[4]Degree Days 2018'!O31</f>
        <v>18</v>
      </c>
      <c r="P31" s="279">
        <f>'[4]Degree Days 2018'!P31</f>
        <v>3.1999999999999993</v>
      </c>
      <c r="Q31" s="566">
        <v>22</v>
      </c>
      <c r="R31" s="279">
        <f>'General information '!B27</f>
        <v>0</v>
      </c>
      <c r="S31" s="279">
        <f>'General information '!C27</f>
        <v>0</v>
      </c>
      <c r="T31" s="279"/>
      <c r="U31" s="566">
        <v>22</v>
      </c>
      <c r="V31" s="279"/>
      <c r="W31" s="279"/>
      <c r="X31" s="279"/>
    </row>
    <row r="32" spans="1:28">
      <c r="A32" s="118">
        <v>23</v>
      </c>
      <c r="B32" s="279">
        <f>'[4]Degree Days 2018'!B32</f>
        <v>13</v>
      </c>
      <c r="C32" s="279">
        <f>'[4]Degree Days 2018'!C32</f>
        <v>7</v>
      </c>
      <c r="D32" s="279">
        <f>'[4]Degree Days 2018'!D32</f>
        <v>-8.3000000000000007</v>
      </c>
      <c r="E32" s="279">
        <f>'[4]Degree Days 2018'!E32</f>
        <v>23</v>
      </c>
      <c r="F32" s="279">
        <f>'[4]Degree Days 2018'!F32</f>
        <v>16</v>
      </c>
      <c r="G32" s="279">
        <f>'[4]Degree Days 2018'!G32</f>
        <v>14</v>
      </c>
      <c r="H32" s="279">
        <f>'[4]Degree Days 2018'!H32</f>
        <v>-3.3000000000000007</v>
      </c>
      <c r="I32" s="279">
        <f>'[4]Degree Days 2018'!I32</f>
        <v>23</v>
      </c>
      <c r="J32" s="279">
        <f>'[4]Degree Days 2018'!J32</f>
        <v>21</v>
      </c>
      <c r="K32" s="279">
        <f>'[4]Degree Days 2018'!K32</f>
        <v>14</v>
      </c>
      <c r="L32" s="279">
        <f>'[4]Degree Days 2018'!L32</f>
        <v>-0.80000000000000071</v>
      </c>
      <c r="M32" s="279">
        <f>'[4]Degree Days 2018'!M32</f>
        <v>23</v>
      </c>
      <c r="N32" s="279">
        <f>'[4]Degree Days 2018'!N32</f>
        <v>23</v>
      </c>
      <c r="O32" s="279">
        <f>'[4]Degree Days 2018'!O32</f>
        <v>15</v>
      </c>
      <c r="P32" s="279">
        <f>'[4]Degree Days 2018'!P32</f>
        <v>0.69999999999999929</v>
      </c>
      <c r="Q32" s="566">
        <v>23</v>
      </c>
      <c r="R32" s="279">
        <f>'General information '!B28</f>
        <v>0</v>
      </c>
      <c r="S32" s="279">
        <f>'General information '!C28</f>
        <v>0</v>
      </c>
      <c r="T32" s="279"/>
      <c r="U32" s="566">
        <v>23</v>
      </c>
      <c r="V32" s="279"/>
      <c r="W32" s="279"/>
      <c r="X32" s="279"/>
    </row>
    <row r="33" spans="1:24">
      <c r="A33" s="118">
        <v>24</v>
      </c>
      <c r="B33" s="279">
        <f>'[4]Degree Days 2018'!B33</f>
        <v>14</v>
      </c>
      <c r="C33" s="279">
        <f>'[4]Degree Days 2018'!C33</f>
        <v>8</v>
      </c>
      <c r="D33" s="279">
        <f>'[4]Degree Days 2018'!D33</f>
        <v>-7.3000000000000007</v>
      </c>
      <c r="E33" s="279">
        <f>'[4]Degree Days 2018'!E33</f>
        <v>24</v>
      </c>
      <c r="F33" s="279">
        <f>'[4]Degree Days 2018'!F33</f>
        <v>17</v>
      </c>
      <c r="G33" s="279">
        <f>'[4]Degree Days 2018'!G33</f>
        <v>13</v>
      </c>
      <c r="H33" s="279">
        <f>'[4]Degree Days 2018'!H33</f>
        <v>-3.3000000000000007</v>
      </c>
      <c r="I33" s="279">
        <f>'[4]Degree Days 2018'!I33</f>
        <v>24</v>
      </c>
      <c r="J33" s="279">
        <f>'[4]Degree Days 2018'!J33</f>
        <v>22</v>
      </c>
      <c r="K33" s="279">
        <f>'[4]Degree Days 2018'!K33</f>
        <v>15</v>
      </c>
      <c r="L33" s="279">
        <f>'[4]Degree Days 2018'!L33</f>
        <v>0.19999999999999929</v>
      </c>
      <c r="M33" s="279">
        <f>'[4]Degree Days 2018'!M33</f>
        <v>24</v>
      </c>
      <c r="N33" s="279">
        <f>'[4]Degree Days 2018'!N33</f>
        <v>23</v>
      </c>
      <c r="O33" s="279">
        <f>'[4]Degree Days 2018'!O33</f>
        <v>16</v>
      </c>
      <c r="P33" s="279">
        <f>'[4]Degree Days 2018'!P33</f>
        <v>1.1999999999999993</v>
      </c>
      <c r="Q33" s="566">
        <v>24</v>
      </c>
      <c r="R33" s="279">
        <f>'General information '!B29</f>
        <v>0</v>
      </c>
      <c r="S33" s="279">
        <f>'General information '!C29</f>
        <v>0</v>
      </c>
      <c r="T33" s="279"/>
      <c r="U33" s="566">
        <v>24</v>
      </c>
      <c r="V33" s="279"/>
      <c r="W33" s="279"/>
      <c r="X33" s="279"/>
    </row>
    <row r="34" spans="1:24">
      <c r="A34" s="118">
        <v>25</v>
      </c>
      <c r="B34" s="279">
        <f>'[4]Degree Days 2018'!B34</f>
        <v>16</v>
      </c>
      <c r="C34" s="279">
        <f>'[4]Degree Days 2018'!C34</f>
        <v>10</v>
      </c>
      <c r="D34" s="279">
        <f>'[4]Degree Days 2018'!D34</f>
        <v>-5.3000000000000007</v>
      </c>
      <c r="E34" s="279">
        <f>'[4]Degree Days 2018'!E34</f>
        <v>25</v>
      </c>
      <c r="F34" s="279">
        <f>'[4]Degree Days 2018'!F34</f>
        <v>17</v>
      </c>
      <c r="G34" s="279">
        <f>'[4]Degree Days 2018'!G34</f>
        <v>13</v>
      </c>
      <c r="H34" s="279">
        <f>'[4]Degree Days 2018'!H34</f>
        <v>-3.3000000000000007</v>
      </c>
      <c r="I34" s="279">
        <f>'[4]Degree Days 2018'!I34</f>
        <v>25</v>
      </c>
      <c r="J34" s="279">
        <f>'[4]Degree Days 2018'!J34</f>
        <v>21</v>
      </c>
      <c r="K34" s="279">
        <f>'[4]Degree Days 2018'!K34</f>
        <v>15</v>
      </c>
      <c r="L34" s="279">
        <f>'[4]Degree Days 2018'!L34</f>
        <v>-0.30000000000000071</v>
      </c>
      <c r="M34" s="279">
        <f>'[4]Degree Days 2018'!M34</f>
        <v>25</v>
      </c>
      <c r="N34" s="279">
        <f>'[4]Degree Days 2018'!N34</f>
        <v>22</v>
      </c>
      <c r="O34" s="279">
        <f>'[4]Degree Days 2018'!O34</f>
        <v>14</v>
      </c>
      <c r="P34" s="279">
        <f>'[4]Degree Days 2018'!P34</f>
        <v>-0.30000000000000071</v>
      </c>
      <c r="Q34" s="566">
        <v>25</v>
      </c>
      <c r="R34" s="279">
        <f>'General information '!B30</f>
        <v>0</v>
      </c>
      <c r="S34" s="279">
        <f>'General information '!C30</f>
        <v>0</v>
      </c>
      <c r="T34" s="279"/>
      <c r="U34" s="566">
        <v>25</v>
      </c>
      <c r="V34" s="279"/>
      <c r="W34" s="279"/>
      <c r="X34" s="279"/>
    </row>
    <row r="35" spans="1:24">
      <c r="A35" s="118">
        <v>26</v>
      </c>
      <c r="B35" s="279">
        <f>'[4]Degree Days 2018'!B35</f>
        <v>15</v>
      </c>
      <c r="C35" s="279">
        <f>'[4]Degree Days 2018'!C35</f>
        <v>9</v>
      </c>
      <c r="D35" s="279">
        <f>'[4]Degree Days 2018'!D35</f>
        <v>-6.3000000000000007</v>
      </c>
      <c r="E35" s="279">
        <f>'[4]Degree Days 2018'!E35</f>
        <v>26</v>
      </c>
      <c r="F35" s="279">
        <f>'[4]Degree Days 2018'!F35</f>
        <v>18</v>
      </c>
      <c r="G35" s="279">
        <f>'[4]Degree Days 2018'!G35</f>
        <v>14</v>
      </c>
      <c r="H35" s="279">
        <f>'[4]Degree Days 2018'!H35</f>
        <v>-2.3000000000000007</v>
      </c>
      <c r="I35" s="279">
        <f>'[4]Degree Days 2018'!I35</f>
        <v>26</v>
      </c>
      <c r="J35" s="279">
        <f>'[4]Degree Days 2018'!J35</f>
        <v>21</v>
      </c>
      <c r="K35" s="279">
        <f>'[4]Degree Days 2018'!K35</f>
        <v>15</v>
      </c>
      <c r="L35" s="279">
        <f>'[4]Degree Days 2018'!L35</f>
        <v>-0.30000000000000071</v>
      </c>
      <c r="M35" s="279">
        <f>'[4]Degree Days 2018'!M35</f>
        <v>26</v>
      </c>
      <c r="N35" s="279">
        <f>'[4]Degree Days 2018'!N35</f>
        <v>21</v>
      </c>
      <c r="O35" s="279">
        <f>'[4]Degree Days 2018'!O35</f>
        <v>17</v>
      </c>
      <c r="P35" s="279">
        <f>'[4]Degree Days 2018'!P35</f>
        <v>0.69999999999999929</v>
      </c>
      <c r="Q35" s="566">
        <v>26</v>
      </c>
      <c r="R35" s="279">
        <f>'General information '!B31</f>
        <v>0</v>
      </c>
      <c r="S35" s="279">
        <f>'General information '!C31</f>
        <v>0</v>
      </c>
      <c r="T35" s="279"/>
      <c r="U35" s="566">
        <v>26</v>
      </c>
      <c r="V35" s="279"/>
      <c r="W35" s="279"/>
      <c r="X35" s="279"/>
    </row>
    <row r="36" spans="1:24">
      <c r="A36" s="118">
        <v>27</v>
      </c>
      <c r="B36" s="279">
        <f>'[4]Degree Days 2018'!B36</f>
        <v>17</v>
      </c>
      <c r="C36" s="279">
        <f>'[4]Degree Days 2018'!C36</f>
        <v>11</v>
      </c>
      <c r="D36" s="279">
        <f>'[4]Degree Days 2018'!D36</f>
        <v>-4.3000000000000007</v>
      </c>
      <c r="E36" s="279">
        <f>'[4]Degree Days 2018'!E36</f>
        <v>27</v>
      </c>
      <c r="F36" s="279">
        <f>'[4]Degree Days 2018'!F36</f>
        <v>19</v>
      </c>
      <c r="G36" s="279">
        <f>'[4]Degree Days 2018'!G36</f>
        <v>13</v>
      </c>
      <c r="H36" s="279">
        <f>'[4]Degree Days 2018'!H36</f>
        <v>-2.3000000000000007</v>
      </c>
      <c r="I36" s="279">
        <f>'[4]Degree Days 2018'!I36</f>
        <v>27</v>
      </c>
      <c r="J36" s="279">
        <f>'[4]Degree Days 2018'!J36</f>
        <v>18</v>
      </c>
      <c r="K36" s="279">
        <f>'[4]Degree Days 2018'!K36</f>
        <v>13</v>
      </c>
      <c r="L36" s="279">
        <f>'[4]Degree Days 2018'!L36</f>
        <v>-2.8000000000000007</v>
      </c>
      <c r="M36" s="279">
        <f>'[4]Degree Days 2018'!M36</f>
        <v>27</v>
      </c>
      <c r="N36" s="279">
        <f>'[4]Degree Days 2018'!N36</f>
        <v>20</v>
      </c>
      <c r="O36" s="279">
        <f>'[4]Degree Days 2018'!O36</f>
        <v>16</v>
      </c>
      <c r="P36" s="279">
        <f>'[4]Degree Days 2018'!P36</f>
        <v>-0.30000000000000071</v>
      </c>
      <c r="Q36" s="566">
        <v>27</v>
      </c>
      <c r="R36" s="279">
        <f>'General information '!B32</f>
        <v>0</v>
      </c>
      <c r="S36" s="279">
        <f>'General information '!C32</f>
        <v>0</v>
      </c>
      <c r="T36" s="279"/>
      <c r="U36" s="566">
        <v>27</v>
      </c>
      <c r="V36" s="279"/>
      <c r="W36" s="279"/>
      <c r="X36" s="279"/>
    </row>
    <row r="37" spans="1:24">
      <c r="A37" s="118">
        <v>28</v>
      </c>
      <c r="B37" s="279">
        <f>'[4]Degree Days 2018'!B37</f>
        <v>16</v>
      </c>
      <c r="C37" s="279">
        <f>'[4]Degree Days 2018'!C37</f>
        <v>10</v>
      </c>
      <c r="D37" s="279">
        <f>'[4]Degree Days 2018'!D37</f>
        <v>-5.3000000000000007</v>
      </c>
      <c r="E37" s="279">
        <f>'[4]Degree Days 2018'!E37</f>
        <v>28</v>
      </c>
      <c r="F37" s="279">
        <f>'[4]Degree Days 2018'!F37</f>
        <v>19</v>
      </c>
      <c r="G37" s="279">
        <f>'[4]Degree Days 2018'!G37</f>
        <v>14</v>
      </c>
      <c r="H37" s="279">
        <f>'[4]Degree Days 2018'!H37</f>
        <v>-1.8000000000000007</v>
      </c>
      <c r="I37" s="279">
        <f>'[4]Degree Days 2018'!I37</f>
        <v>28</v>
      </c>
      <c r="J37" s="279">
        <f>'[4]Degree Days 2018'!J37</f>
        <v>17</v>
      </c>
      <c r="K37" s="279">
        <f>'[4]Degree Days 2018'!K37</f>
        <v>13</v>
      </c>
      <c r="L37" s="279">
        <f>'[4]Degree Days 2018'!L37</f>
        <v>-3.3000000000000007</v>
      </c>
      <c r="M37" s="279">
        <f>'[4]Degree Days 2018'!M37</f>
        <v>28</v>
      </c>
      <c r="N37" s="279">
        <f>'[4]Degree Days 2018'!N37</f>
        <v>21</v>
      </c>
      <c r="O37" s="279">
        <f>'[4]Degree Days 2018'!O37</f>
        <v>16</v>
      </c>
      <c r="P37" s="279">
        <f>'[4]Degree Days 2018'!P37</f>
        <v>0.19999999999999929</v>
      </c>
      <c r="Q37" s="566">
        <v>28</v>
      </c>
      <c r="R37" s="279">
        <f>'General information '!B33</f>
        <v>0</v>
      </c>
      <c r="S37" s="279">
        <f>'General information '!C33</f>
        <v>0</v>
      </c>
      <c r="T37" s="279"/>
      <c r="U37" s="566">
        <v>28</v>
      </c>
      <c r="V37" s="279"/>
      <c r="W37" s="279"/>
      <c r="X37" s="279"/>
    </row>
    <row r="38" spans="1:24">
      <c r="A38" s="118">
        <v>29</v>
      </c>
      <c r="B38" s="279">
        <f>'[4]Degree Days 2018'!B38</f>
        <v>16</v>
      </c>
      <c r="C38" s="279">
        <f>'[4]Degree Days 2018'!C38</f>
        <v>10</v>
      </c>
      <c r="D38" s="279">
        <f>'[4]Degree Days 2018'!D38</f>
        <v>-5.3000000000000007</v>
      </c>
      <c r="E38" s="279">
        <f>'[4]Degree Days 2018'!E38</f>
        <v>29</v>
      </c>
      <c r="F38" s="279">
        <f>'[4]Degree Days 2018'!F38</f>
        <v>18</v>
      </c>
      <c r="G38" s="279">
        <f>'[4]Degree Days 2018'!G38</f>
        <v>13</v>
      </c>
      <c r="H38" s="279">
        <f>'[4]Degree Days 2018'!H38</f>
        <v>-2.8000000000000007</v>
      </c>
      <c r="I38" s="279">
        <f>'[4]Degree Days 2018'!I38</f>
        <v>29</v>
      </c>
      <c r="J38" s="279">
        <f>'[4]Degree Days 2018'!J38</f>
        <v>20</v>
      </c>
      <c r="K38" s="279">
        <f>'[4]Degree Days 2018'!K38</f>
        <v>16</v>
      </c>
      <c r="L38" s="279">
        <f>'[4]Degree Days 2018'!L38</f>
        <v>-0.30000000000000071</v>
      </c>
      <c r="M38" s="279">
        <f>'[4]Degree Days 2018'!M38</f>
        <v>29</v>
      </c>
      <c r="N38" s="279">
        <f>'[4]Degree Days 2018'!N38</f>
        <v>21</v>
      </c>
      <c r="O38" s="279">
        <f>'[4]Degree Days 2018'!O38</f>
        <v>17</v>
      </c>
      <c r="P38" s="279">
        <f>'[4]Degree Days 2018'!P38</f>
        <v>0.69999999999999929</v>
      </c>
      <c r="Q38" s="566">
        <v>29</v>
      </c>
      <c r="R38" s="279">
        <f>'General information '!B34</f>
        <v>0</v>
      </c>
      <c r="S38" s="279">
        <f>'General information '!C34</f>
        <v>0</v>
      </c>
      <c r="T38" s="279"/>
      <c r="U38" s="566">
        <v>29</v>
      </c>
      <c r="V38" s="279"/>
      <c r="W38" s="279"/>
      <c r="X38" s="279"/>
    </row>
    <row r="39" spans="1:24">
      <c r="A39" s="118">
        <v>30</v>
      </c>
      <c r="B39" s="279">
        <f>'[4]Degree Days 2018'!B39</f>
        <v>16</v>
      </c>
      <c r="C39" s="279">
        <f>'[4]Degree Days 2018'!C39</f>
        <v>11</v>
      </c>
      <c r="D39" s="279">
        <f>'[4]Degree Days 2018'!D39</f>
        <v>-4.8000000000000007</v>
      </c>
      <c r="E39" s="279">
        <f>'[4]Degree Days 2018'!E39</f>
        <v>0</v>
      </c>
      <c r="F39" s="279">
        <f>'[4]Degree Days 2018'!F39</f>
        <v>0</v>
      </c>
      <c r="G39" s="279">
        <f>'[4]Degree Days 2018'!G39</f>
        <v>0</v>
      </c>
      <c r="H39" s="279">
        <f>'[4]Degree Days 2018'!H39</f>
        <v>-18.3</v>
      </c>
      <c r="I39" s="279">
        <f>'[4]Degree Days 2018'!I39</f>
        <v>30</v>
      </c>
      <c r="J39" s="279">
        <f>'[4]Degree Days 2018'!J39</f>
        <v>20</v>
      </c>
      <c r="K39" s="279">
        <f>'[4]Degree Days 2018'!K39</f>
        <v>17</v>
      </c>
      <c r="L39" s="279">
        <f>'[4]Degree Days 2018'!L39</f>
        <v>0.19999999999999929</v>
      </c>
      <c r="M39" s="279">
        <f>'[4]Degree Days 2018'!M39</f>
        <v>30</v>
      </c>
      <c r="N39" s="279">
        <f>'[4]Degree Days 2018'!N39</f>
        <v>0</v>
      </c>
      <c r="O39" s="279">
        <f>'[4]Degree Days 2018'!O39</f>
        <v>0</v>
      </c>
      <c r="P39" s="279">
        <f>'[4]Degree Days 2018'!P39</f>
        <v>-18.3</v>
      </c>
      <c r="Q39" s="566">
        <v>30</v>
      </c>
      <c r="R39" s="279">
        <f>'General information '!B35</f>
        <v>0</v>
      </c>
      <c r="S39" s="279">
        <f>'General information '!C35</f>
        <v>0</v>
      </c>
      <c r="T39" s="279"/>
      <c r="U39" s="566">
        <v>30</v>
      </c>
      <c r="V39" s="279"/>
      <c r="W39" s="279"/>
      <c r="X39" s="279"/>
    </row>
    <row r="40" spans="1:24">
      <c r="A40" s="121">
        <v>31</v>
      </c>
      <c r="B40" s="279">
        <f>'[4]Degree Days 2018'!B40</f>
        <v>17</v>
      </c>
      <c r="C40" s="279">
        <f>'[4]Degree Days 2018'!C40</f>
        <v>13</v>
      </c>
      <c r="D40" s="279">
        <f>'[4]Degree Days 2018'!D40</f>
        <v>-3.3000000000000007</v>
      </c>
      <c r="E40" s="279">
        <f>'[4]Degree Days 2018'!E40</f>
        <v>0</v>
      </c>
      <c r="F40" s="279">
        <f>'[4]Degree Days 2018'!F40</f>
        <v>0</v>
      </c>
      <c r="G40" s="279">
        <f>'[4]Degree Days 2018'!G40</f>
        <v>0</v>
      </c>
      <c r="H40" s="279">
        <f>'[4]Degree Days 2018'!H40</f>
        <v>-18.3</v>
      </c>
      <c r="I40" s="279">
        <f>'[4]Degree Days 2018'!I40</f>
        <v>31</v>
      </c>
      <c r="J40" s="279">
        <f>'[4]Degree Days 2018'!J40</f>
        <v>30</v>
      </c>
      <c r="K40" s="279">
        <f>'[4]Degree Days 2018'!K40</f>
        <v>18</v>
      </c>
      <c r="L40" s="279">
        <f>'[4]Degree Days 2018'!L40</f>
        <v>5.6999999999999993</v>
      </c>
      <c r="M40" s="279">
        <f>'[4]Degree Days 2018'!M40</f>
        <v>0</v>
      </c>
      <c r="N40" s="279">
        <f>'[4]Degree Days 2018'!N40</f>
        <v>0</v>
      </c>
      <c r="O40" s="279">
        <f>'[4]Degree Days 2018'!O40</f>
        <v>0</v>
      </c>
      <c r="P40" s="279">
        <f>'[4]Degree Days 2018'!P40</f>
        <v>-18.3</v>
      </c>
      <c r="Q40" s="566">
        <v>31</v>
      </c>
      <c r="R40" s="279">
        <f>'General information '!B36</f>
        <v>0</v>
      </c>
      <c r="S40" s="279">
        <f>'General information '!C36</f>
        <v>0</v>
      </c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-54.600000000000009</v>
      </c>
      <c r="O43" s="120">
        <f>SUMIF(P10:P40,"&gt;0")</f>
        <v>25.29999999999999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2">(B48+C48)/2-18.3</f>
        <v>-18.3</v>
      </c>
      <c r="E48" s="118">
        <v>1</v>
      </c>
      <c r="F48" s="279"/>
      <c r="G48" s="279"/>
      <c r="H48" s="120">
        <f t="shared" ref="H48:H78" si="3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4">(V48+W48)/2-18.3</f>
        <v>-18.3</v>
      </c>
    </row>
    <row r="49" spans="1:24">
      <c r="A49" s="118">
        <v>2</v>
      </c>
      <c r="B49" s="279"/>
      <c r="C49" s="279"/>
      <c r="D49" s="120">
        <f t="shared" si="2"/>
        <v>-18.3</v>
      </c>
      <c r="E49" s="118">
        <v>2</v>
      </c>
      <c r="F49" s="279"/>
      <c r="G49" s="279"/>
      <c r="H49" s="120">
        <f t="shared" si="3"/>
        <v>-18.3</v>
      </c>
      <c r="I49" s="118">
        <v>2</v>
      </c>
      <c r="J49" s="279"/>
      <c r="K49" s="279"/>
      <c r="L49" s="120">
        <f t="shared" ref="L49:L77" si="5">(J49+K49)/2-18.3</f>
        <v>-18.3</v>
      </c>
      <c r="M49" s="118">
        <v>2</v>
      </c>
      <c r="N49" s="279"/>
      <c r="O49" s="279"/>
      <c r="P49" s="120">
        <f t="shared" ref="P49:P78" si="6">(N49+O49)/2-18.3</f>
        <v>-18.3</v>
      </c>
      <c r="Q49" s="118">
        <v>2</v>
      </c>
      <c r="R49" s="279"/>
      <c r="S49" s="279"/>
      <c r="T49" s="120">
        <f t="shared" ref="T49:T77" si="7">(R49+S49)/2-18.3</f>
        <v>-18.3</v>
      </c>
      <c r="U49" s="118">
        <v>2</v>
      </c>
      <c r="V49" s="279"/>
      <c r="W49" s="279"/>
      <c r="X49" s="120">
        <f t="shared" si="4"/>
        <v>-18.3</v>
      </c>
    </row>
    <row r="50" spans="1:24">
      <c r="A50" s="118">
        <v>3</v>
      </c>
      <c r="B50" s="279"/>
      <c r="C50" s="279"/>
      <c r="D50" s="120">
        <f t="shared" si="2"/>
        <v>-18.3</v>
      </c>
      <c r="E50" s="118">
        <v>3</v>
      </c>
      <c r="F50" s="279"/>
      <c r="G50" s="279"/>
      <c r="H50" s="120">
        <f t="shared" si="3"/>
        <v>-18.3</v>
      </c>
      <c r="I50" s="118">
        <v>3</v>
      </c>
      <c r="J50" s="279"/>
      <c r="K50" s="279"/>
      <c r="L50" s="120">
        <f t="shared" si="5"/>
        <v>-18.3</v>
      </c>
      <c r="M50" s="118">
        <v>3</v>
      </c>
      <c r="N50" s="279"/>
      <c r="O50" s="279"/>
      <c r="P50" s="120">
        <f t="shared" si="6"/>
        <v>-18.3</v>
      </c>
      <c r="Q50" s="118">
        <v>3</v>
      </c>
      <c r="R50" s="279"/>
      <c r="S50" s="279"/>
      <c r="T50" s="120">
        <f t="shared" si="7"/>
        <v>-18.3</v>
      </c>
      <c r="U50" s="118">
        <v>3</v>
      </c>
      <c r="V50" s="279"/>
      <c r="W50" s="279"/>
      <c r="X50" s="120">
        <f t="shared" si="4"/>
        <v>-18.3</v>
      </c>
    </row>
    <row r="51" spans="1:24">
      <c r="A51" s="118">
        <v>4</v>
      </c>
      <c r="B51" s="279"/>
      <c r="C51" s="279"/>
      <c r="D51" s="120">
        <f t="shared" si="2"/>
        <v>-18.3</v>
      </c>
      <c r="E51" s="118">
        <v>4</v>
      </c>
      <c r="F51" s="279"/>
      <c r="G51" s="279"/>
      <c r="H51" s="120">
        <f t="shared" si="3"/>
        <v>-18.3</v>
      </c>
      <c r="I51" s="118">
        <v>4</v>
      </c>
      <c r="J51" s="279"/>
      <c r="K51" s="279"/>
      <c r="L51" s="120">
        <f t="shared" si="5"/>
        <v>-18.3</v>
      </c>
      <c r="M51" s="118">
        <v>4</v>
      </c>
      <c r="N51" s="279"/>
      <c r="O51" s="279"/>
      <c r="P51" s="120">
        <f t="shared" si="6"/>
        <v>-18.3</v>
      </c>
      <c r="Q51" s="118">
        <v>4</v>
      </c>
      <c r="R51" s="279"/>
      <c r="S51" s="279"/>
      <c r="T51" s="120">
        <f t="shared" si="7"/>
        <v>-18.3</v>
      </c>
      <c r="U51" s="118">
        <v>4</v>
      </c>
      <c r="V51" s="279"/>
      <c r="W51" s="279"/>
      <c r="X51" s="120">
        <f t="shared" si="4"/>
        <v>-18.3</v>
      </c>
    </row>
    <row r="52" spans="1:24">
      <c r="A52" s="118">
        <v>5</v>
      </c>
      <c r="B52" s="279"/>
      <c r="C52" s="279"/>
      <c r="D52" s="120">
        <f t="shared" si="2"/>
        <v>-18.3</v>
      </c>
      <c r="E52" s="118">
        <v>5</v>
      </c>
      <c r="F52" s="279"/>
      <c r="G52" s="279"/>
      <c r="H52" s="120">
        <f t="shared" si="3"/>
        <v>-18.3</v>
      </c>
      <c r="I52" s="118">
        <v>5</v>
      </c>
      <c r="J52" s="279"/>
      <c r="K52" s="279"/>
      <c r="L52" s="120">
        <f t="shared" si="5"/>
        <v>-18.3</v>
      </c>
      <c r="M52" s="118">
        <v>5</v>
      </c>
      <c r="N52" s="279"/>
      <c r="O52" s="279"/>
      <c r="P52" s="120">
        <f t="shared" si="6"/>
        <v>-18.3</v>
      </c>
      <c r="Q52" s="118">
        <v>5</v>
      </c>
      <c r="R52" s="279"/>
      <c r="S52" s="279"/>
      <c r="T52" s="120">
        <f t="shared" si="7"/>
        <v>-18.3</v>
      </c>
      <c r="U52" s="118">
        <v>5</v>
      </c>
      <c r="V52" s="279"/>
      <c r="W52" s="279"/>
      <c r="X52" s="120">
        <f t="shared" si="4"/>
        <v>-18.3</v>
      </c>
    </row>
    <row r="53" spans="1:24">
      <c r="A53" s="118">
        <v>6</v>
      </c>
      <c r="B53" s="279"/>
      <c r="C53" s="279"/>
      <c r="D53" s="120">
        <f t="shared" si="2"/>
        <v>-18.3</v>
      </c>
      <c r="E53" s="118">
        <v>6</v>
      </c>
      <c r="F53" s="279"/>
      <c r="G53" s="279"/>
      <c r="H53" s="120">
        <f t="shared" si="3"/>
        <v>-18.3</v>
      </c>
      <c r="I53" s="118">
        <v>6</v>
      </c>
      <c r="J53" s="279"/>
      <c r="K53" s="279"/>
      <c r="L53" s="120">
        <f t="shared" si="5"/>
        <v>-18.3</v>
      </c>
      <c r="M53" s="118">
        <v>6</v>
      </c>
      <c r="N53" s="279"/>
      <c r="O53" s="279"/>
      <c r="P53" s="120">
        <f t="shared" si="6"/>
        <v>-18.3</v>
      </c>
      <c r="Q53" s="118">
        <v>6</v>
      </c>
      <c r="R53" s="279"/>
      <c r="S53" s="279"/>
      <c r="T53" s="120">
        <f t="shared" si="7"/>
        <v>-18.3</v>
      </c>
      <c r="U53" s="118">
        <v>6</v>
      </c>
      <c r="V53" s="279"/>
      <c r="W53" s="279"/>
      <c r="X53" s="120">
        <f t="shared" si="4"/>
        <v>-18.3</v>
      </c>
    </row>
    <row r="54" spans="1:24">
      <c r="A54" s="118">
        <v>7</v>
      </c>
      <c r="B54" s="279"/>
      <c r="C54" s="279"/>
      <c r="D54" s="120">
        <f t="shared" si="2"/>
        <v>-18.3</v>
      </c>
      <c r="E54" s="118">
        <v>7</v>
      </c>
      <c r="F54" s="279"/>
      <c r="G54" s="279"/>
      <c r="H54" s="120">
        <f t="shared" si="3"/>
        <v>-18.3</v>
      </c>
      <c r="I54" s="118">
        <v>7</v>
      </c>
      <c r="J54" s="279"/>
      <c r="K54" s="279"/>
      <c r="L54" s="120">
        <f t="shared" si="5"/>
        <v>-18.3</v>
      </c>
      <c r="M54" s="118">
        <v>7</v>
      </c>
      <c r="N54" s="279"/>
      <c r="O54" s="279"/>
      <c r="P54" s="120">
        <f t="shared" si="6"/>
        <v>-18.3</v>
      </c>
      <c r="Q54" s="118">
        <v>7</v>
      </c>
      <c r="R54" s="279"/>
      <c r="S54" s="279"/>
      <c r="T54" s="120">
        <f t="shared" si="7"/>
        <v>-18.3</v>
      </c>
      <c r="U54" s="118">
        <v>7</v>
      </c>
      <c r="V54" s="279"/>
      <c r="W54" s="279"/>
      <c r="X54" s="120">
        <f t="shared" si="4"/>
        <v>-18.3</v>
      </c>
    </row>
    <row r="55" spans="1:24">
      <c r="A55" s="118">
        <v>8</v>
      </c>
      <c r="B55" s="279"/>
      <c r="C55" s="279"/>
      <c r="D55" s="120">
        <f t="shared" si="2"/>
        <v>-18.3</v>
      </c>
      <c r="E55" s="118">
        <v>8</v>
      </c>
      <c r="F55" s="279"/>
      <c r="G55" s="279"/>
      <c r="H55" s="120">
        <f t="shared" si="3"/>
        <v>-18.3</v>
      </c>
      <c r="I55" s="118">
        <v>8</v>
      </c>
      <c r="J55" s="279"/>
      <c r="K55" s="279"/>
      <c r="L55" s="120">
        <f t="shared" si="5"/>
        <v>-18.3</v>
      </c>
      <c r="M55" s="118">
        <v>8</v>
      </c>
      <c r="N55" s="279"/>
      <c r="O55" s="279"/>
      <c r="P55" s="120">
        <f t="shared" si="6"/>
        <v>-18.3</v>
      </c>
      <c r="Q55" s="118">
        <v>8</v>
      </c>
      <c r="R55" s="279"/>
      <c r="S55" s="279"/>
      <c r="T55" s="120">
        <f t="shared" si="7"/>
        <v>-18.3</v>
      </c>
      <c r="U55" s="118">
        <v>8</v>
      </c>
      <c r="V55" s="279"/>
      <c r="W55" s="279"/>
      <c r="X55" s="120">
        <f t="shared" si="4"/>
        <v>-18.3</v>
      </c>
    </row>
    <row r="56" spans="1:24">
      <c r="A56" s="118">
        <v>9</v>
      </c>
      <c r="B56" s="279"/>
      <c r="C56" s="279"/>
      <c r="D56" s="120">
        <f t="shared" si="2"/>
        <v>-18.3</v>
      </c>
      <c r="E56" s="118">
        <v>9</v>
      </c>
      <c r="F56" s="279"/>
      <c r="G56" s="279"/>
      <c r="H56" s="120">
        <f t="shared" si="3"/>
        <v>-18.3</v>
      </c>
      <c r="I56" s="118">
        <v>9</v>
      </c>
      <c r="J56" s="279"/>
      <c r="K56" s="279"/>
      <c r="L56" s="120">
        <f t="shared" si="5"/>
        <v>-18.3</v>
      </c>
      <c r="M56" s="118">
        <v>9</v>
      </c>
      <c r="N56" s="279"/>
      <c r="O56" s="279"/>
      <c r="P56" s="120">
        <f t="shared" si="6"/>
        <v>-18.3</v>
      </c>
      <c r="Q56" s="118">
        <v>9</v>
      </c>
      <c r="R56" s="279"/>
      <c r="S56" s="279"/>
      <c r="T56" s="120">
        <f t="shared" si="7"/>
        <v>-18.3</v>
      </c>
      <c r="U56" s="118">
        <v>9</v>
      </c>
      <c r="V56" s="279"/>
      <c r="W56" s="279"/>
      <c r="X56" s="120">
        <f t="shared" si="4"/>
        <v>-18.3</v>
      </c>
    </row>
    <row r="57" spans="1:24">
      <c r="A57" s="118">
        <v>10</v>
      </c>
      <c r="B57" s="279"/>
      <c r="C57" s="279"/>
      <c r="D57" s="120">
        <f t="shared" ref="D57:D78" si="8">(B57+C57)/2-18.3</f>
        <v>-18.3</v>
      </c>
      <c r="E57" s="118">
        <v>10</v>
      </c>
      <c r="F57" s="279"/>
      <c r="G57" s="279"/>
      <c r="H57" s="120">
        <f t="shared" si="3"/>
        <v>-18.3</v>
      </c>
      <c r="I57" s="118">
        <v>10</v>
      </c>
      <c r="J57" s="279"/>
      <c r="K57" s="279"/>
      <c r="L57" s="120">
        <f t="shared" si="5"/>
        <v>-18.3</v>
      </c>
      <c r="M57" s="118">
        <v>10</v>
      </c>
      <c r="N57" s="279"/>
      <c r="O57" s="279"/>
      <c r="P57" s="120">
        <f t="shared" si="6"/>
        <v>-18.3</v>
      </c>
      <c r="Q57" s="118">
        <v>10</v>
      </c>
      <c r="R57" s="279"/>
      <c r="S57" s="279"/>
      <c r="T57" s="120">
        <f t="shared" si="7"/>
        <v>-18.3</v>
      </c>
      <c r="U57" s="118">
        <v>10</v>
      </c>
      <c r="V57" s="279"/>
      <c r="W57" s="279"/>
      <c r="X57" s="120">
        <f t="shared" si="4"/>
        <v>-18.3</v>
      </c>
    </row>
    <row r="58" spans="1:24">
      <c r="A58" s="118">
        <v>11</v>
      </c>
      <c r="B58" s="279"/>
      <c r="C58" s="279"/>
      <c r="D58" s="120">
        <f t="shared" si="8"/>
        <v>-18.3</v>
      </c>
      <c r="E58" s="118">
        <v>11</v>
      </c>
      <c r="F58" s="279"/>
      <c r="G58" s="279"/>
      <c r="H58" s="120">
        <f t="shared" si="3"/>
        <v>-18.3</v>
      </c>
      <c r="I58" s="118">
        <v>11</v>
      </c>
      <c r="J58" s="279"/>
      <c r="K58" s="279"/>
      <c r="L58" s="120">
        <f t="shared" si="5"/>
        <v>-18.3</v>
      </c>
      <c r="M58" s="118">
        <v>11</v>
      </c>
      <c r="N58" s="279"/>
      <c r="O58" s="279"/>
      <c r="P58" s="120">
        <f t="shared" si="6"/>
        <v>-18.3</v>
      </c>
      <c r="Q58" s="118">
        <v>11</v>
      </c>
      <c r="R58" s="279"/>
      <c r="S58" s="279"/>
      <c r="T58" s="120">
        <f t="shared" si="7"/>
        <v>-18.3</v>
      </c>
      <c r="U58" s="118">
        <v>11</v>
      </c>
      <c r="V58" s="279"/>
      <c r="W58" s="279"/>
      <c r="X58" s="120">
        <f t="shared" si="4"/>
        <v>-18.3</v>
      </c>
    </row>
    <row r="59" spans="1:24">
      <c r="A59" s="118">
        <v>12</v>
      </c>
      <c r="B59" s="279"/>
      <c r="C59" s="279"/>
      <c r="D59" s="120">
        <f t="shared" si="8"/>
        <v>-18.3</v>
      </c>
      <c r="E59" s="118">
        <v>12</v>
      </c>
      <c r="F59" s="279"/>
      <c r="G59" s="279"/>
      <c r="H59" s="120">
        <f t="shared" si="3"/>
        <v>-18.3</v>
      </c>
      <c r="I59" s="118">
        <v>12</v>
      </c>
      <c r="J59" s="279"/>
      <c r="K59" s="279"/>
      <c r="L59" s="120">
        <f t="shared" si="5"/>
        <v>-18.3</v>
      </c>
      <c r="M59" s="118">
        <v>12</v>
      </c>
      <c r="N59" s="279"/>
      <c r="O59" s="279"/>
      <c r="P59" s="120">
        <f t="shared" si="6"/>
        <v>-18.3</v>
      </c>
      <c r="Q59" s="118">
        <v>12</v>
      </c>
      <c r="R59" s="279"/>
      <c r="S59" s="279"/>
      <c r="T59" s="120">
        <f t="shared" si="7"/>
        <v>-18.3</v>
      </c>
      <c r="U59" s="118">
        <v>12</v>
      </c>
      <c r="V59" s="279"/>
      <c r="W59" s="279"/>
      <c r="X59" s="120">
        <f t="shared" si="4"/>
        <v>-18.3</v>
      </c>
    </row>
    <row r="60" spans="1:24">
      <c r="A60" s="118">
        <v>13</v>
      </c>
      <c r="B60" s="279"/>
      <c r="C60" s="279"/>
      <c r="D60" s="120">
        <f t="shared" si="8"/>
        <v>-18.3</v>
      </c>
      <c r="E60" s="118">
        <v>13</v>
      </c>
      <c r="F60" s="279"/>
      <c r="G60" s="279"/>
      <c r="H60" s="120">
        <f t="shared" si="3"/>
        <v>-18.3</v>
      </c>
      <c r="I60" s="118">
        <v>13</v>
      </c>
      <c r="J60" s="279"/>
      <c r="K60" s="279"/>
      <c r="L60" s="120">
        <f t="shared" si="5"/>
        <v>-18.3</v>
      </c>
      <c r="M60" s="118">
        <v>13</v>
      </c>
      <c r="N60" s="279"/>
      <c r="O60" s="279"/>
      <c r="P60" s="120">
        <f t="shared" si="6"/>
        <v>-18.3</v>
      </c>
      <c r="Q60" s="118">
        <v>13</v>
      </c>
      <c r="R60" s="279"/>
      <c r="S60" s="279"/>
      <c r="T60" s="120">
        <f t="shared" si="7"/>
        <v>-18.3</v>
      </c>
      <c r="U60" s="118">
        <v>13</v>
      </c>
      <c r="V60" s="279"/>
      <c r="W60" s="279"/>
      <c r="X60" s="120">
        <f t="shared" si="4"/>
        <v>-18.3</v>
      </c>
    </row>
    <row r="61" spans="1:24">
      <c r="A61" s="118">
        <v>14</v>
      </c>
      <c r="B61" s="279"/>
      <c r="C61" s="279"/>
      <c r="D61" s="120">
        <f t="shared" si="8"/>
        <v>-18.3</v>
      </c>
      <c r="E61" s="118">
        <v>14</v>
      </c>
      <c r="F61" s="279"/>
      <c r="G61" s="279"/>
      <c r="H61" s="120">
        <f t="shared" si="3"/>
        <v>-18.3</v>
      </c>
      <c r="I61" s="118">
        <v>14</v>
      </c>
      <c r="J61" s="279"/>
      <c r="K61" s="279"/>
      <c r="L61" s="120">
        <f t="shared" si="5"/>
        <v>-18.3</v>
      </c>
      <c r="M61" s="118">
        <v>14</v>
      </c>
      <c r="N61" s="279"/>
      <c r="O61" s="279"/>
      <c r="P61" s="120">
        <f t="shared" si="6"/>
        <v>-18.3</v>
      </c>
      <c r="Q61" s="118">
        <v>14</v>
      </c>
      <c r="R61" s="279"/>
      <c r="S61" s="279"/>
      <c r="T61" s="120">
        <f t="shared" si="7"/>
        <v>-18.3</v>
      </c>
      <c r="U61" s="118">
        <v>14</v>
      </c>
      <c r="V61" s="279"/>
      <c r="W61" s="279"/>
      <c r="X61" s="120">
        <f t="shared" si="4"/>
        <v>-18.3</v>
      </c>
    </row>
    <row r="62" spans="1:24">
      <c r="A62" s="118">
        <v>15</v>
      </c>
      <c r="B62" s="279"/>
      <c r="C62" s="279"/>
      <c r="D62" s="120">
        <f t="shared" si="8"/>
        <v>-18.3</v>
      </c>
      <c r="E62" s="118">
        <v>15</v>
      </c>
      <c r="F62" s="279"/>
      <c r="G62" s="279"/>
      <c r="H62" s="120">
        <f t="shared" si="3"/>
        <v>-18.3</v>
      </c>
      <c r="I62" s="118">
        <v>15</v>
      </c>
      <c r="J62" s="279"/>
      <c r="K62" s="279"/>
      <c r="L62" s="120">
        <f t="shared" si="5"/>
        <v>-18.3</v>
      </c>
      <c r="M62" s="118">
        <v>15</v>
      </c>
      <c r="N62" s="279"/>
      <c r="O62" s="279"/>
      <c r="P62" s="120">
        <f t="shared" si="6"/>
        <v>-18.3</v>
      </c>
      <c r="Q62" s="118">
        <v>15</v>
      </c>
      <c r="R62" s="279"/>
      <c r="S62" s="279"/>
      <c r="T62" s="120">
        <f t="shared" si="7"/>
        <v>-18.3</v>
      </c>
      <c r="U62" s="118">
        <v>15</v>
      </c>
      <c r="V62" s="279"/>
      <c r="W62" s="279"/>
      <c r="X62" s="120">
        <f t="shared" si="4"/>
        <v>-18.3</v>
      </c>
    </row>
    <row r="63" spans="1:24">
      <c r="A63" s="118">
        <v>16</v>
      </c>
      <c r="B63" s="279"/>
      <c r="C63" s="279"/>
      <c r="D63" s="120">
        <f t="shared" si="8"/>
        <v>-18.3</v>
      </c>
      <c r="E63" s="118">
        <v>16</v>
      </c>
      <c r="F63" s="279"/>
      <c r="G63" s="279"/>
      <c r="H63" s="120">
        <f t="shared" si="3"/>
        <v>-18.3</v>
      </c>
      <c r="I63" s="118">
        <v>16</v>
      </c>
      <c r="J63" s="279"/>
      <c r="K63" s="279"/>
      <c r="L63" s="120">
        <f t="shared" si="5"/>
        <v>-18.3</v>
      </c>
      <c r="M63" s="118">
        <v>16</v>
      </c>
      <c r="N63" s="279"/>
      <c r="O63" s="279"/>
      <c r="P63" s="120">
        <f t="shared" si="6"/>
        <v>-18.3</v>
      </c>
      <c r="Q63" s="118">
        <v>16</v>
      </c>
      <c r="R63" s="279"/>
      <c r="S63" s="279"/>
      <c r="T63" s="120">
        <f t="shared" si="7"/>
        <v>-18.3</v>
      </c>
      <c r="U63" s="118">
        <v>16</v>
      </c>
      <c r="V63" s="279"/>
      <c r="W63" s="279"/>
      <c r="X63" s="120">
        <f t="shared" si="4"/>
        <v>-18.3</v>
      </c>
    </row>
    <row r="64" spans="1:24">
      <c r="A64" s="118">
        <v>17</v>
      </c>
      <c r="B64" s="279"/>
      <c r="C64" s="279"/>
      <c r="D64" s="120">
        <f t="shared" si="8"/>
        <v>-18.3</v>
      </c>
      <c r="E64" s="118">
        <v>17</v>
      </c>
      <c r="F64" s="279"/>
      <c r="G64" s="279"/>
      <c r="H64" s="120">
        <f t="shared" si="3"/>
        <v>-18.3</v>
      </c>
      <c r="I64" s="118">
        <v>17</v>
      </c>
      <c r="J64" s="279"/>
      <c r="K64" s="279"/>
      <c r="L64" s="120">
        <f t="shared" si="5"/>
        <v>-18.3</v>
      </c>
      <c r="M64" s="118">
        <v>17</v>
      </c>
      <c r="N64" s="279"/>
      <c r="O64" s="279"/>
      <c r="P64" s="120">
        <f t="shared" si="6"/>
        <v>-18.3</v>
      </c>
      <c r="Q64" s="118">
        <v>17</v>
      </c>
      <c r="R64" s="279"/>
      <c r="S64" s="279"/>
      <c r="T64" s="120">
        <f t="shared" si="7"/>
        <v>-18.3</v>
      </c>
      <c r="U64" s="118">
        <v>17</v>
      </c>
      <c r="V64" s="279"/>
      <c r="W64" s="279"/>
      <c r="X64" s="120">
        <f t="shared" si="4"/>
        <v>-18.3</v>
      </c>
    </row>
    <row r="65" spans="1:24">
      <c r="A65" s="118">
        <v>18</v>
      </c>
      <c r="B65" s="279"/>
      <c r="C65" s="279"/>
      <c r="D65" s="120">
        <f t="shared" si="8"/>
        <v>-18.3</v>
      </c>
      <c r="E65" s="118">
        <v>18</v>
      </c>
      <c r="F65" s="279"/>
      <c r="G65" s="279"/>
      <c r="H65" s="120">
        <f t="shared" si="3"/>
        <v>-18.3</v>
      </c>
      <c r="I65" s="118">
        <v>18</v>
      </c>
      <c r="J65" s="279"/>
      <c r="K65" s="279"/>
      <c r="L65" s="120">
        <f t="shared" si="5"/>
        <v>-18.3</v>
      </c>
      <c r="M65" s="118">
        <v>18</v>
      </c>
      <c r="N65" s="279"/>
      <c r="O65" s="279"/>
      <c r="P65" s="120">
        <f t="shared" si="6"/>
        <v>-18.3</v>
      </c>
      <c r="Q65" s="118">
        <v>18</v>
      </c>
      <c r="R65" s="279"/>
      <c r="S65" s="279"/>
      <c r="T65" s="120">
        <f t="shared" si="7"/>
        <v>-18.3</v>
      </c>
      <c r="U65" s="118">
        <v>18</v>
      </c>
      <c r="V65" s="279"/>
      <c r="W65" s="279"/>
      <c r="X65" s="120">
        <f t="shared" si="4"/>
        <v>-18.3</v>
      </c>
    </row>
    <row r="66" spans="1:24">
      <c r="A66" s="118">
        <v>19</v>
      </c>
      <c r="B66" s="279"/>
      <c r="C66" s="279"/>
      <c r="D66" s="120">
        <f t="shared" si="8"/>
        <v>-18.3</v>
      </c>
      <c r="E66" s="118">
        <v>19</v>
      </c>
      <c r="F66" s="279"/>
      <c r="G66" s="279"/>
      <c r="H66" s="120">
        <f t="shared" si="3"/>
        <v>-18.3</v>
      </c>
      <c r="I66" s="118">
        <v>19</v>
      </c>
      <c r="J66" s="279"/>
      <c r="K66" s="279"/>
      <c r="L66" s="120">
        <f t="shared" si="5"/>
        <v>-18.3</v>
      </c>
      <c r="M66" s="118">
        <v>19</v>
      </c>
      <c r="N66" s="279"/>
      <c r="O66" s="279"/>
      <c r="P66" s="120">
        <f t="shared" si="6"/>
        <v>-18.3</v>
      </c>
      <c r="Q66" s="118">
        <v>19</v>
      </c>
      <c r="R66" s="279"/>
      <c r="S66" s="279"/>
      <c r="T66" s="120">
        <f t="shared" si="7"/>
        <v>-18.3</v>
      </c>
      <c r="U66" s="118">
        <v>19</v>
      </c>
      <c r="V66" s="279"/>
      <c r="W66" s="279"/>
      <c r="X66" s="120">
        <f t="shared" si="4"/>
        <v>-18.3</v>
      </c>
    </row>
    <row r="67" spans="1:24">
      <c r="A67" s="118">
        <v>20</v>
      </c>
      <c r="B67" s="279"/>
      <c r="C67" s="279"/>
      <c r="D67" s="120">
        <f t="shared" si="8"/>
        <v>-18.3</v>
      </c>
      <c r="E67" s="118">
        <v>20</v>
      </c>
      <c r="F67" s="279"/>
      <c r="G67" s="279"/>
      <c r="H67" s="120">
        <f t="shared" si="3"/>
        <v>-18.3</v>
      </c>
      <c r="I67" s="118">
        <v>20</v>
      </c>
      <c r="J67" s="279"/>
      <c r="K67" s="279"/>
      <c r="L67" s="120">
        <f t="shared" si="5"/>
        <v>-18.3</v>
      </c>
      <c r="M67" s="118">
        <v>20</v>
      </c>
      <c r="N67" s="279"/>
      <c r="O67" s="279"/>
      <c r="P67" s="120">
        <f t="shared" si="6"/>
        <v>-18.3</v>
      </c>
      <c r="Q67" s="118">
        <v>20</v>
      </c>
      <c r="R67" s="279"/>
      <c r="S67" s="279"/>
      <c r="T67" s="120">
        <f t="shared" si="7"/>
        <v>-18.3</v>
      </c>
      <c r="U67" s="118">
        <v>20</v>
      </c>
      <c r="V67" s="279"/>
      <c r="W67" s="279"/>
      <c r="X67" s="120">
        <f t="shared" si="4"/>
        <v>-18.3</v>
      </c>
    </row>
    <row r="68" spans="1:24">
      <c r="A68" s="118">
        <v>21</v>
      </c>
      <c r="B68" s="279"/>
      <c r="C68" s="279"/>
      <c r="D68" s="120">
        <f t="shared" si="8"/>
        <v>-18.3</v>
      </c>
      <c r="E68" s="118">
        <v>21</v>
      </c>
      <c r="F68" s="279"/>
      <c r="G68" s="279"/>
      <c r="H68" s="120">
        <f t="shared" si="3"/>
        <v>-18.3</v>
      </c>
      <c r="I68" s="118">
        <v>21</v>
      </c>
      <c r="J68" s="279"/>
      <c r="K68" s="279"/>
      <c r="L68" s="120">
        <f t="shared" si="5"/>
        <v>-18.3</v>
      </c>
      <c r="M68" s="118">
        <v>21</v>
      </c>
      <c r="N68" s="279"/>
      <c r="O68" s="279"/>
      <c r="P68" s="120">
        <f t="shared" si="6"/>
        <v>-18.3</v>
      </c>
      <c r="Q68" s="118">
        <v>21</v>
      </c>
      <c r="R68" s="279"/>
      <c r="S68" s="279"/>
      <c r="T68" s="120">
        <f t="shared" si="7"/>
        <v>-18.3</v>
      </c>
      <c r="U68" s="118">
        <v>21</v>
      </c>
      <c r="V68" s="279"/>
      <c r="W68" s="279"/>
      <c r="X68" s="120">
        <f t="shared" si="4"/>
        <v>-18.3</v>
      </c>
    </row>
    <row r="69" spans="1:24">
      <c r="A69" s="118">
        <v>22</v>
      </c>
      <c r="B69" s="279"/>
      <c r="C69" s="279"/>
      <c r="D69" s="120">
        <f t="shared" si="8"/>
        <v>-18.3</v>
      </c>
      <c r="E69" s="118">
        <v>22</v>
      </c>
      <c r="F69" s="279"/>
      <c r="G69" s="279"/>
      <c r="H69" s="120">
        <f t="shared" si="3"/>
        <v>-18.3</v>
      </c>
      <c r="I69" s="118">
        <v>22</v>
      </c>
      <c r="J69" s="279"/>
      <c r="K69" s="279"/>
      <c r="L69" s="120">
        <f t="shared" si="5"/>
        <v>-18.3</v>
      </c>
      <c r="M69" s="118">
        <v>22</v>
      </c>
      <c r="N69" s="279"/>
      <c r="O69" s="279"/>
      <c r="P69" s="120">
        <f t="shared" si="6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4"/>
        <v>-18.3</v>
      </c>
    </row>
    <row r="70" spans="1:24">
      <c r="A70" s="118">
        <v>23</v>
      </c>
      <c r="B70" s="279"/>
      <c r="C70" s="279"/>
      <c r="D70" s="120">
        <f t="shared" si="8"/>
        <v>-18.3</v>
      </c>
      <c r="E70" s="118">
        <v>23</v>
      </c>
      <c r="F70" s="279"/>
      <c r="G70" s="279"/>
      <c r="H70" s="120">
        <f t="shared" si="3"/>
        <v>-18.3</v>
      </c>
      <c r="I70" s="118">
        <v>23</v>
      </c>
      <c r="J70" s="279"/>
      <c r="K70" s="279"/>
      <c r="L70" s="120">
        <f t="shared" si="5"/>
        <v>-18.3</v>
      </c>
      <c r="M70" s="118">
        <v>23</v>
      </c>
      <c r="N70" s="279"/>
      <c r="O70" s="279"/>
      <c r="P70" s="120">
        <f t="shared" si="6"/>
        <v>-18.3</v>
      </c>
      <c r="Q70" s="118">
        <v>23</v>
      </c>
      <c r="R70" s="279"/>
      <c r="S70" s="279"/>
      <c r="T70" s="120">
        <f t="shared" si="7"/>
        <v>-18.3</v>
      </c>
      <c r="U70" s="118">
        <v>23</v>
      </c>
      <c r="V70" s="279"/>
      <c r="W70" s="279"/>
      <c r="X70" s="120">
        <f t="shared" si="4"/>
        <v>-18.3</v>
      </c>
    </row>
    <row r="71" spans="1:24">
      <c r="A71" s="118">
        <v>24</v>
      </c>
      <c r="B71" s="279"/>
      <c r="C71" s="279"/>
      <c r="D71" s="120">
        <f t="shared" si="8"/>
        <v>-18.3</v>
      </c>
      <c r="E71" s="118">
        <v>24</v>
      </c>
      <c r="F71" s="279"/>
      <c r="G71" s="279"/>
      <c r="H71" s="120">
        <f t="shared" si="3"/>
        <v>-18.3</v>
      </c>
      <c r="I71" s="118">
        <v>24</v>
      </c>
      <c r="J71" s="279"/>
      <c r="K71" s="279"/>
      <c r="L71" s="120">
        <f t="shared" si="5"/>
        <v>-18.3</v>
      </c>
      <c r="M71" s="118">
        <v>24</v>
      </c>
      <c r="N71" s="279"/>
      <c r="O71" s="279"/>
      <c r="P71" s="120">
        <f t="shared" si="6"/>
        <v>-18.3</v>
      </c>
      <c r="Q71" s="118">
        <v>24</v>
      </c>
      <c r="R71" s="279"/>
      <c r="S71" s="279"/>
      <c r="T71" s="120">
        <f t="shared" si="7"/>
        <v>-18.3</v>
      </c>
      <c r="U71" s="118">
        <v>24</v>
      </c>
      <c r="V71" s="279"/>
      <c r="W71" s="279"/>
      <c r="X71" s="120">
        <f t="shared" si="4"/>
        <v>-18.3</v>
      </c>
    </row>
    <row r="72" spans="1:24">
      <c r="A72" s="118">
        <v>25</v>
      </c>
      <c r="B72" s="279"/>
      <c r="C72" s="279"/>
      <c r="D72" s="120">
        <f t="shared" si="8"/>
        <v>-18.3</v>
      </c>
      <c r="E72" s="118">
        <v>25</v>
      </c>
      <c r="F72" s="279"/>
      <c r="G72" s="279"/>
      <c r="H72" s="120">
        <f t="shared" si="3"/>
        <v>-18.3</v>
      </c>
      <c r="I72" s="118">
        <v>25</v>
      </c>
      <c r="J72" s="279"/>
      <c r="K72" s="279"/>
      <c r="L72" s="120">
        <f t="shared" si="5"/>
        <v>-18.3</v>
      </c>
      <c r="M72" s="118">
        <v>25</v>
      </c>
      <c r="N72" s="279"/>
      <c r="O72" s="279"/>
      <c r="P72" s="120">
        <f t="shared" si="6"/>
        <v>-18.3</v>
      </c>
      <c r="Q72" s="118">
        <v>25</v>
      </c>
      <c r="R72" s="279"/>
      <c r="S72" s="279"/>
      <c r="T72" s="120">
        <f t="shared" si="7"/>
        <v>-18.3</v>
      </c>
      <c r="U72" s="118">
        <v>25</v>
      </c>
      <c r="V72" s="279"/>
      <c r="W72" s="279"/>
      <c r="X72" s="120">
        <f t="shared" si="4"/>
        <v>-18.3</v>
      </c>
    </row>
    <row r="73" spans="1:24">
      <c r="A73" s="118">
        <v>26</v>
      </c>
      <c r="B73" s="279"/>
      <c r="C73" s="279"/>
      <c r="D73" s="120">
        <f t="shared" si="8"/>
        <v>-18.3</v>
      </c>
      <c r="E73" s="118">
        <v>26</v>
      </c>
      <c r="F73" s="279"/>
      <c r="G73" s="279"/>
      <c r="H73" s="120">
        <f t="shared" si="3"/>
        <v>-18.3</v>
      </c>
      <c r="I73" s="118">
        <v>26</v>
      </c>
      <c r="J73" s="279"/>
      <c r="K73" s="279"/>
      <c r="L73" s="120">
        <f t="shared" si="5"/>
        <v>-18.3</v>
      </c>
      <c r="M73" s="118">
        <v>26</v>
      </c>
      <c r="N73" s="279"/>
      <c r="O73" s="279"/>
      <c r="P73" s="120">
        <f t="shared" si="6"/>
        <v>-18.3</v>
      </c>
      <c r="Q73" s="118">
        <v>26</v>
      </c>
      <c r="R73" s="279"/>
      <c r="S73" s="279"/>
      <c r="T73" s="120">
        <f t="shared" si="7"/>
        <v>-18.3</v>
      </c>
      <c r="U73" s="118">
        <v>26</v>
      </c>
      <c r="V73" s="279"/>
      <c r="W73" s="279"/>
      <c r="X73" s="120">
        <f t="shared" si="4"/>
        <v>-18.3</v>
      </c>
    </row>
    <row r="74" spans="1:24">
      <c r="A74" s="118">
        <v>27</v>
      </c>
      <c r="B74" s="279"/>
      <c r="C74" s="279"/>
      <c r="D74" s="120">
        <f t="shared" si="8"/>
        <v>-18.3</v>
      </c>
      <c r="E74" s="118">
        <v>27</v>
      </c>
      <c r="F74" s="279"/>
      <c r="G74" s="279"/>
      <c r="H74" s="120">
        <f t="shared" si="3"/>
        <v>-18.3</v>
      </c>
      <c r="I74" s="118">
        <v>27</v>
      </c>
      <c r="J74" s="279"/>
      <c r="K74" s="279"/>
      <c r="L74" s="120">
        <f t="shared" si="5"/>
        <v>-18.3</v>
      </c>
      <c r="M74" s="118">
        <v>27</v>
      </c>
      <c r="N74" s="279"/>
      <c r="O74" s="279"/>
      <c r="P74" s="120">
        <f t="shared" si="6"/>
        <v>-18.3</v>
      </c>
      <c r="Q74" s="118">
        <v>27</v>
      </c>
      <c r="R74" s="279"/>
      <c r="S74" s="279"/>
      <c r="T74" s="120">
        <f t="shared" si="7"/>
        <v>-18.3</v>
      </c>
      <c r="U74" s="118">
        <v>27</v>
      </c>
      <c r="V74" s="279"/>
      <c r="W74" s="279"/>
      <c r="X74" s="120">
        <f t="shared" si="4"/>
        <v>-18.3</v>
      </c>
    </row>
    <row r="75" spans="1:24">
      <c r="A75" s="118">
        <v>28</v>
      </c>
      <c r="B75" s="279"/>
      <c r="C75" s="279"/>
      <c r="D75" s="120">
        <f t="shared" si="8"/>
        <v>-18.3</v>
      </c>
      <c r="E75" s="118">
        <v>28</v>
      </c>
      <c r="F75" s="279"/>
      <c r="G75" s="279"/>
      <c r="H75" s="120">
        <f t="shared" si="3"/>
        <v>-18.3</v>
      </c>
      <c r="I75" s="118">
        <v>28</v>
      </c>
      <c r="J75" s="279"/>
      <c r="K75" s="279"/>
      <c r="L75" s="120">
        <f t="shared" si="5"/>
        <v>-18.3</v>
      </c>
      <c r="M75" s="118">
        <v>28</v>
      </c>
      <c r="N75" s="279"/>
      <c r="O75" s="279"/>
      <c r="P75" s="120">
        <f t="shared" si="6"/>
        <v>-18.3</v>
      </c>
      <c r="Q75" s="118">
        <v>28</v>
      </c>
      <c r="R75" s="279"/>
      <c r="S75" s="279"/>
      <c r="T75" s="120">
        <f t="shared" si="7"/>
        <v>-18.3</v>
      </c>
      <c r="U75" s="118">
        <v>28</v>
      </c>
      <c r="V75" s="279"/>
      <c r="W75" s="279"/>
      <c r="X75" s="120">
        <f t="shared" si="4"/>
        <v>-18.3</v>
      </c>
    </row>
    <row r="76" spans="1:24">
      <c r="A76" s="118">
        <v>29</v>
      </c>
      <c r="B76" s="279"/>
      <c r="C76" s="279"/>
      <c r="D76" s="120">
        <f t="shared" si="8"/>
        <v>-18.3</v>
      </c>
      <c r="E76" s="118">
        <v>29</v>
      </c>
      <c r="F76" s="279"/>
      <c r="G76" s="279"/>
      <c r="H76" s="120">
        <f t="shared" si="3"/>
        <v>-18.3</v>
      </c>
      <c r="I76" s="118">
        <v>29</v>
      </c>
      <c r="J76" s="279"/>
      <c r="K76" s="279"/>
      <c r="L76" s="120">
        <f t="shared" si="5"/>
        <v>-18.3</v>
      </c>
      <c r="M76" s="118">
        <v>29</v>
      </c>
      <c r="N76" s="279"/>
      <c r="O76" s="279"/>
      <c r="P76" s="120">
        <f t="shared" si="6"/>
        <v>-18.3</v>
      </c>
      <c r="Q76" s="118">
        <v>29</v>
      </c>
      <c r="R76" s="279"/>
      <c r="S76" s="279"/>
      <c r="T76" s="120">
        <f t="shared" si="7"/>
        <v>-18.3</v>
      </c>
      <c r="U76" s="118">
        <v>29</v>
      </c>
      <c r="V76" s="279"/>
      <c r="W76" s="279"/>
      <c r="X76" s="120">
        <f t="shared" si="4"/>
        <v>-18.3</v>
      </c>
    </row>
    <row r="77" spans="1:24">
      <c r="A77" s="118">
        <v>30</v>
      </c>
      <c r="B77" s="279"/>
      <c r="C77" s="279"/>
      <c r="D77" s="120">
        <f t="shared" si="8"/>
        <v>-18.3</v>
      </c>
      <c r="E77" s="118">
        <v>30</v>
      </c>
      <c r="F77" s="279"/>
      <c r="G77" s="279"/>
      <c r="H77" s="120">
        <f t="shared" si="3"/>
        <v>-18.3</v>
      </c>
      <c r="I77" s="118">
        <v>30</v>
      </c>
      <c r="J77" s="279"/>
      <c r="K77" s="279"/>
      <c r="L77" s="120">
        <f t="shared" si="5"/>
        <v>-18.3</v>
      </c>
      <c r="M77" s="118">
        <v>30</v>
      </c>
      <c r="N77" s="279"/>
      <c r="O77" s="279"/>
      <c r="P77" s="120">
        <f t="shared" si="6"/>
        <v>-18.3</v>
      </c>
      <c r="Q77" s="118">
        <v>30</v>
      </c>
      <c r="R77" s="279"/>
      <c r="S77" s="279"/>
      <c r="T77" s="120">
        <f t="shared" si="7"/>
        <v>-18.3</v>
      </c>
      <c r="U77" s="118">
        <v>30</v>
      </c>
      <c r="V77" s="279"/>
      <c r="W77" s="279"/>
      <c r="X77" s="120">
        <f t="shared" si="4"/>
        <v>-18.3</v>
      </c>
    </row>
    <row r="78" spans="1:24">
      <c r="A78" s="121">
        <v>31</v>
      </c>
      <c r="B78" s="279"/>
      <c r="C78" s="279"/>
      <c r="D78" s="120">
        <f t="shared" si="8"/>
        <v>-18.3</v>
      </c>
      <c r="E78" s="121">
        <v>31</v>
      </c>
      <c r="F78" s="279"/>
      <c r="G78" s="279"/>
      <c r="H78" s="120">
        <f t="shared" si="3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6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83" t="s">
        <v>174</v>
      </c>
      <c r="O84" s="683" t="s">
        <v>175</v>
      </c>
      <c r="P84" s="135"/>
      <c r="T84" s="135"/>
      <c r="X84" s="135"/>
    </row>
    <row r="85" spans="1:24" ht="20.25" thickBot="1">
      <c r="D85" s="135"/>
      <c r="I85" s="685" t="s">
        <v>182</v>
      </c>
      <c r="J85" s="686"/>
      <c r="K85" s="686"/>
      <c r="L85" s="686"/>
      <c r="N85" s="684"/>
      <c r="O85" s="684"/>
      <c r="P85" s="135"/>
      <c r="R85" s="17"/>
      <c r="S85" s="17"/>
      <c r="T85" s="141"/>
      <c r="U85" s="142"/>
      <c r="X85" s="135"/>
    </row>
    <row r="86" spans="1:24" ht="18.75" thickBot="1">
      <c r="D86" s="135"/>
      <c r="I86" s="687" t="s">
        <v>183</v>
      </c>
      <c r="J86" s="687"/>
      <c r="K86" s="687"/>
      <c r="L86" s="687"/>
      <c r="N86" s="143">
        <f>B43+F43+J43+N43+R43+V43+B81+F81+J81+N81+R81+V81</f>
        <v>-3767.6000000000004</v>
      </c>
      <c r="O86" s="143">
        <f>C43+G43+K43+O43+S43+W43+C81+G81+K81+O81+S81+W81</f>
        <v>37.499999999999986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77"/>
      <c r="C88" s="677"/>
      <c r="D88" s="677"/>
      <c r="E88" s="677"/>
      <c r="F88" s="677"/>
      <c r="G88" s="677"/>
      <c r="H88" s="677"/>
      <c r="I88" s="677"/>
      <c r="J88" s="677"/>
      <c r="K88" s="677"/>
      <c r="L88" s="677"/>
      <c r="M88" s="677"/>
      <c r="N88" s="677"/>
      <c r="O88" s="677"/>
      <c r="P88" s="677"/>
      <c r="Q88" s="677"/>
      <c r="R88" s="677"/>
      <c r="S88" s="677"/>
      <c r="T88" s="677"/>
      <c r="U88" s="677"/>
      <c r="V88" s="677"/>
      <c r="W88" s="677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F5" sqref="F5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91" t="s">
        <v>216</v>
      </c>
      <c r="B2" s="691"/>
      <c r="C2" s="691"/>
      <c r="D2" s="691"/>
      <c r="E2" s="691"/>
      <c r="F2" s="691"/>
      <c r="G2" s="691"/>
      <c r="H2" s="691"/>
      <c r="I2" s="691"/>
    </row>
    <row r="3" spans="1:11">
      <c r="A3" s="197">
        <v>43971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4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3"/>
    </row>
    <row r="6" spans="1:11">
      <c r="A6" s="188" t="s">
        <v>217</v>
      </c>
      <c r="B6" s="370">
        <f>WATER!C37</f>
        <v>0</v>
      </c>
      <c r="C6" s="345">
        <v>1.45</v>
      </c>
      <c r="D6" s="188">
        <f>SUM(C6*B6)*D4</f>
        <v>0</v>
      </c>
      <c r="E6" s="459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1">
        <f>9400-I7</f>
        <v>1900</v>
      </c>
      <c r="J6" s="285"/>
    </row>
    <row r="7" spans="1:11">
      <c r="A7" s="188" t="s">
        <v>218</v>
      </c>
      <c r="B7" s="370">
        <f>WATER!H37</f>
        <v>340</v>
      </c>
      <c r="C7" s="188">
        <v>7500</v>
      </c>
      <c r="D7" s="191">
        <f>SUM(C7)*D4</f>
        <v>11306250</v>
      </c>
      <c r="E7" s="189">
        <f>SUM(I7/G4)</f>
        <v>241.93548387096774</v>
      </c>
      <c r="F7" s="189">
        <f>SUM(E7*F4)</f>
        <v>967.74193548387098</v>
      </c>
      <c r="G7" s="541">
        <v>7500</v>
      </c>
      <c r="H7" s="193">
        <v>7500</v>
      </c>
      <c r="I7" s="189">
        <v>7500</v>
      </c>
      <c r="J7" s="285"/>
      <c r="K7" s="285"/>
    </row>
    <row r="8" spans="1:11">
      <c r="A8" s="194" t="s">
        <v>219</v>
      </c>
      <c r="B8" s="371">
        <f>tanks!AT37</f>
        <v>1</v>
      </c>
      <c r="C8" s="523">
        <f>SUM(tanks!AU37)</f>
        <v>0</v>
      </c>
      <c r="D8" s="195">
        <f>SUM(B8*C8)*D4</f>
        <v>0</v>
      </c>
      <c r="E8" s="196">
        <f>SUM(D8/D4/F4)</f>
        <v>0</v>
      </c>
      <c r="F8" s="196">
        <f>SUM(E8*F4)</f>
        <v>0</v>
      </c>
      <c r="G8" s="541">
        <f>E8*$G$4</f>
        <v>0</v>
      </c>
      <c r="H8" s="193">
        <v>27550</v>
      </c>
      <c r="I8" s="196">
        <v>30500</v>
      </c>
      <c r="J8" s="285"/>
      <c r="K8" s="285"/>
    </row>
    <row r="9" spans="1:11">
      <c r="A9" s="2" t="s">
        <v>220</v>
      </c>
      <c r="B9" s="372">
        <f>'B5'!AV36</f>
        <v>0</v>
      </c>
      <c r="C9" s="369">
        <v>0.7</v>
      </c>
      <c r="D9" s="192">
        <f>SUM(B9*C9)*D4</f>
        <v>0</v>
      </c>
      <c r="E9" s="193">
        <f>SUM(C9*B9)/F4</f>
        <v>0</v>
      </c>
      <c r="F9" s="193">
        <f>SUM(E9*F4)</f>
        <v>0</v>
      </c>
      <c r="G9" s="541">
        <f>E9*$G$4</f>
        <v>0</v>
      </c>
      <c r="H9" s="193">
        <v>5103.43</v>
      </c>
      <c r="I9" s="193">
        <v>6300</v>
      </c>
      <c r="J9" s="285"/>
      <c r="K9" s="285"/>
    </row>
    <row r="10" spans="1:11">
      <c r="A10" s="185" t="s">
        <v>221</v>
      </c>
      <c r="B10" s="373"/>
      <c r="C10" s="185"/>
      <c r="D10" s="187">
        <f>SUM('EDl log'!AB31)</f>
        <v>3779846.3225806453</v>
      </c>
      <c r="E10" s="186">
        <f>SUM(D10/D4/F4)</f>
        <v>626.84018616594449</v>
      </c>
      <c r="F10" s="186">
        <f>SUM(E10*F4)</f>
        <v>2507.360744663778</v>
      </c>
      <c r="G10" s="541">
        <f>E10*$G$4</f>
        <v>19432.04577114428</v>
      </c>
      <c r="H10" s="193">
        <v>24694.54</v>
      </c>
      <c r="I10" s="288">
        <v>27600</v>
      </c>
      <c r="J10" s="285"/>
      <c r="K10" s="285"/>
    </row>
    <row r="11" spans="1:11">
      <c r="I11" s="285"/>
      <c r="J11" s="285"/>
      <c r="K11" s="285"/>
    </row>
    <row r="12" spans="1:11" ht="42.75" customHeight="1">
      <c r="E12" s="452">
        <f>SUM(E6:E11)</f>
        <v>868.77567003691229</v>
      </c>
      <c r="F12" s="184">
        <f>SUM(F6:F10)</f>
        <v>3475.1026801476492</v>
      </c>
      <c r="G12" s="183">
        <f>SUM(G6:G10)</f>
        <v>26932.04577114428</v>
      </c>
      <c r="H12" s="183">
        <f>SUM(H6:H11)</f>
        <v>64847.97</v>
      </c>
      <c r="I12" s="225">
        <f>SUM(I6:I11)</f>
        <v>73800</v>
      </c>
      <c r="J12" s="285"/>
    </row>
    <row r="13" spans="1:11" ht="30">
      <c r="A13" s="3"/>
      <c r="B13" s="179" t="s">
        <v>227</v>
      </c>
      <c r="C13" s="442" t="s">
        <v>387</v>
      </c>
      <c r="D13" s="442" t="s">
        <v>391</v>
      </c>
      <c r="E13" s="442" t="s">
        <v>388</v>
      </c>
      <c r="F13" s="442" t="s">
        <v>413</v>
      </c>
      <c r="G13" s="444"/>
      <c r="H13" s="17"/>
      <c r="I13" s="17"/>
      <c r="J13" s="17"/>
    </row>
    <row r="14" spans="1:11">
      <c r="A14" s="473" t="s">
        <v>303</v>
      </c>
      <c r="B14" s="98">
        <f>'Degree Days 2018'!AB12</f>
        <v>0</v>
      </c>
      <c r="C14" s="456">
        <f>'[13]Utility Cost '!D14</f>
        <v>191.29999999999993</v>
      </c>
      <c r="D14" s="171"/>
      <c r="E14" s="171">
        <f t="shared" ref="E14:E18" si="0">B14-C14</f>
        <v>-191.29999999999993</v>
      </c>
      <c r="F14" s="540">
        <v>0</v>
      </c>
      <c r="G14" s="444"/>
      <c r="H14" s="445">
        <f>SUM(G12-H12)</f>
        <v>-37915.924228855722</v>
      </c>
      <c r="I14" s="445">
        <f>SUM(G12-I12)</f>
        <v>-46867.95422885572</v>
      </c>
    </row>
    <row r="15" spans="1:11">
      <c r="A15" s="473" t="s">
        <v>304</v>
      </c>
      <c r="B15" s="98">
        <f>'Degree Days 2018'!AA12</f>
        <v>-87.799999999999955</v>
      </c>
      <c r="C15" s="456">
        <f>'[13]Utility Cost '!D15</f>
        <v>-8.1000000000000014</v>
      </c>
      <c r="D15" s="171"/>
      <c r="E15" s="171">
        <f t="shared" si="0"/>
        <v>-79.69999999999996</v>
      </c>
      <c r="F15" s="540">
        <v>0</v>
      </c>
      <c r="G15" s="444"/>
      <c r="H15" s="17"/>
      <c r="I15" s="17"/>
      <c r="J15" s="17"/>
    </row>
    <row r="16" spans="1:11">
      <c r="A16" s="473" t="s">
        <v>305</v>
      </c>
      <c r="B16" s="98">
        <f>'General information '!D38</f>
        <v>19.25</v>
      </c>
      <c r="C16" s="456">
        <f>'[13]Utility Cost '!D16</f>
        <v>24.20967741935484</v>
      </c>
      <c r="D16" s="456"/>
      <c r="E16" s="457">
        <f t="shared" si="0"/>
        <v>-4.9596774193548399</v>
      </c>
      <c r="F16" s="563">
        <v>0</v>
      </c>
      <c r="G16" s="444"/>
      <c r="H16" s="17"/>
      <c r="I16" s="17"/>
      <c r="J16" s="17"/>
    </row>
    <row r="17" spans="1:10">
      <c r="A17" s="555" t="s">
        <v>317</v>
      </c>
      <c r="B17" s="558">
        <f>'General information '!F37</f>
        <v>2.9324999999999997E-2</v>
      </c>
      <c r="C17" s="557">
        <f>'[13]Utility Cost '!D17</f>
        <v>0.46607096774193552</v>
      </c>
      <c r="D17" s="503">
        <f>'[14]Water prod Calculation2020'!$G$82</f>
        <v>0.32200000000000001</v>
      </c>
      <c r="E17" s="557">
        <f t="shared" si="0"/>
        <v>-0.43674596774193553</v>
      </c>
      <c r="F17" s="561">
        <f>B17-D17</f>
        <v>-0.29267500000000002</v>
      </c>
      <c r="G17" s="17"/>
      <c r="H17" s="17"/>
      <c r="I17" s="17"/>
      <c r="J17" s="17"/>
    </row>
    <row r="18" spans="1:10">
      <c r="A18" s="556" t="s">
        <v>389</v>
      </c>
      <c r="B18" s="560">
        <f>GEN!Z34</f>
        <v>12</v>
      </c>
      <c r="C18" s="456">
        <f>'[13]Utility Cost '!D18</f>
        <v>182</v>
      </c>
      <c r="D18" s="454">
        <f>'[14]Other Fuel Calculation 2020'!$F$60</f>
        <v>185.66666666666666</v>
      </c>
      <c r="E18" s="559">
        <f t="shared" si="0"/>
        <v>-170</v>
      </c>
      <c r="F18" s="562">
        <f>B18-D18</f>
        <v>-173.66666666666666</v>
      </c>
    </row>
    <row r="19" spans="1:10">
      <c r="A19" s="556" t="s">
        <v>414</v>
      </c>
      <c r="B19" s="554">
        <f>SUM(B18/$F$4)</f>
        <v>3</v>
      </c>
      <c r="C19" s="456">
        <f>C18/31</f>
        <v>5.870967741935484</v>
      </c>
      <c r="D19" s="455"/>
      <c r="E19" s="455"/>
      <c r="F19" s="540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2018</vt:lpstr>
      <vt:lpstr>Utility Cost </vt:lpstr>
      <vt:lpstr>MDB</vt:lpstr>
      <vt:lpstr>Sheet6</vt:lpstr>
      <vt:lpstr>Sheet2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2020-05-05T09:57:32Z</dcterms:modified>
</cp:coreProperties>
</file>