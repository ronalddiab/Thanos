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8" l="1"/>
  <c r="H5" i="8" s="1"/>
  <c r="G6" i="8"/>
  <c r="H6" i="8" s="1"/>
  <c r="G7" i="8"/>
  <c r="H7" i="8" s="1"/>
  <c r="G8" i="8"/>
  <c r="G9" i="8"/>
  <c r="H9" i="8" s="1"/>
  <c r="G10" i="8"/>
  <c r="G11" i="8"/>
  <c r="G12" i="8"/>
  <c r="G13" i="8"/>
  <c r="H13" i="8" s="1"/>
  <c r="G14" i="8"/>
  <c r="H14" i="8" s="1"/>
  <c r="G15" i="8"/>
  <c r="G16" i="8"/>
  <c r="H16" i="8" s="1"/>
  <c r="G17" i="8"/>
  <c r="H17" i="8" s="1"/>
  <c r="G18" i="8"/>
  <c r="H18" i="8" s="1"/>
  <c r="G19" i="8"/>
  <c r="H19" i="8" s="1"/>
  <c r="G20" i="8"/>
  <c r="H20" i="8" s="1"/>
  <c r="G21" i="8"/>
  <c r="G22" i="8"/>
  <c r="H22" i="8" s="1"/>
  <c r="G23" i="8"/>
  <c r="H23" i="8" s="1"/>
  <c r="G24" i="8"/>
  <c r="H24" i="8" s="1"/>
  <c r="G25" i="8"/>
  <c r="H25" i="8" s="1"/>
  <c r="G26" i="8"/>
  <c r="H26" i="8" s="1"/>
  <c r="G27" i="8"/>
  <c r="G28" i="8"/>
  <c r="H28" i="8" s="1"/>
  <c r="G29" i="8"/>
  <c r="H29" i="8" s="1"/>
  <c r="G30" i="8"/>
  <c r="H30" i="8" s="1"/>
  <c r="G31" i="8"/>
  <c r="H31" i="8" s="1"/>
  <c r="G32" i="8"/>
  <c r="H32" i="8" s="1"/>
  <c r="G33" i="8"/>
  <c r="G4" i="8"/>
  <c r="H4" i="8" s="1"/>
  <c r="H12" i="8" l="1"/>
  <c r="H11" i="8"/>
  <c r="H10" i="8"/>
  <c r="H8" i="8"/>
  <c r="H27" i="8"/>
  <c r="H33" i="8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J9" i="9" s="1"/>
  <c r="G10" i="9"/>
  <c r="I10" i="9" s="1"/>
  <c r="G11" i="9"/>
  <c r="I11" i="9" s="1"/>
  <c r="G12" i="9"/>
  <c r="I12" i="9" s="1"/>
  <c r="J12" i="9" s="1"/>
  <c r="G13" i="9"/>
  <c r="I13" i="9" s="1"/>
  <c r="G14" i="9"/>
  <c r="I14" i="9" s="1"/>
  <c r="G15" i="9"/>
  <c r="I15" i="9" s="1"/>
  <c r="J15" i="9" s="1"/>
  <c r="G16" i="9"/>
  <c r="I16" i="9" s="1"/>
  <c r="J16" i="9" s="1"/>
  <c r="G17" i="9"/>
  <c r="I17" i="9" s="1"/>
  <c r="J17" i="9" s="1"/>
  <c r="G18" i="9"/>
  <c r="I18" i="9" s="1"/>
  <c r="J18" i="9" s="1"/>
  <c r="G19" i="9"/>
  <c r="I19" i="9" s="1"/>
  <c r="G20" i="9"/>
  <c r="I20" i="9" s="1"/>
  <c r="G21" i="9"/>
  <c r="I21" i="9" s="1"/>
  <c r="J21" i="9" s="1"/>
  <c r="G22" i="9"/>
  <c r="I22" i="9" s="1"/>
  <c r="J22" i="9" s="1"/>
  <c r="G23" i="9"/>
  <c r="I23" i="9" s="1"/>
  <c r="J23" i="9" s="1"/>
  <c r="G24" i="9"/>
  <c r="I24" i="9" s="1"/>
  <c r="J24" i="9" s="1"/>
  <c r="G25" i="9"/>
  <c r="I25" i="9" s="1"/>
  <c r="G26" i="9"/>
  <c r="I26" i="9" s="1"/>
  <c r="G27" i="9"/>
  <c r="I27" i="9" s="1"/>
  <c r="J27" i="9" s="1"/>
  <c r="G28" i="9"/>
  <c r="I28" i="9" s="1"/>
  <c r="J28" i="9" s="1"/>
  <c r="G29" i="9"/>
  <c r="I29" i="9" s="1"/>
  <c r="J29" i="9" s="1"/>
  <c r="G30" i="9"/>
  <c r="I30" i="9" s="1"/>
  <c r="J30" i="9" s="1"/>
  <c r="G31" i="9"/>
  <c r="I31" i="9" s="1"/>
  <c r="G32" i="9"/>
  <c r="I32" i="9" s="1"/>
  <c r="G33" i="9"/>
  <c r="I33" i="9" s="1"/>
  <c r="J33" i="9" s="1"/>
  <c r="G4" i="9"/>
  <c r="I4" i="9" s="1"/>
  <c r="J4" i="9" s="1"/>
  <c r="H5" i="10"/>
  <c r="I5" i="10" s="1"/>
  <c r="H6" i="10"/>
  <c r="I6" i="10" s="1"/>
  <c r="H7" i="10"/>
  <c r="I7" i="10" s="1"/>
  <c r="H8" i="10"/>
  <c r="H9" i="10"/>
  <c r="H10" i="10"/>
  <c r="H11" i="10"/>
  <c r="I11" i="10" s="1"/>
  <c r="H12" i="10"/>
  <c r="H13" i="10"/>
  <c r="H14" i="10"/>
  <c r="H15" i="10"/>
  <c r="H16" i="10"/>
  <c r="I16" i="10" s="1"/>
  <c r="H17" i="10"/>
  <c r="H18" i="10"/>
  <c r="I18" i="10" s="1"/>
  <c r="H19" i="10"/>
  <c r="I20" i="10" s="1"/>
  <c r="H20" i="10"/>
  <c r="H21" i="10"/>
  <c r="I21" i="10" s="1"/>
  <c r="H22" i="10"/>
  <c r="I22" i="10" s="1"/>
  <c r="H23" i="10"/>
  <c r="I23" i="10" s="1"/>
  <c r="H24" i="10"/>
  <c r="I24" i="10" s="1"/>
  <c r="H25" i="10"/>
  <c r="I26" i="10" s="1"/>
  <c r="H26" i="10"/>
  <c r="H27" i="10"/>
  <c r="I27" i="10" s="1"/>
  <c r="H28" i="10"/>
  <c r="I28" i="10" s="1"/>
  <c r="H29" i="10"/>
  <c r="I29" i="10" s="1"/>
  <c r="H30" i="10"/>
  <c r="I30" i="10" s="1"/>
  <c r="H31" i="10"/>
  <c r="I31" i="10" s="1"/>
  <c r="H32" i="10"/>
  <c r="H33" i="10"/>
  <c r="I33" i="10" s="1"/>
  <c r="H4" i="10"/>
  <c r="I4" i="10" s="1"/>
  <c r="I17" i="10" l="1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E2" i="5"/>
  <c r="E3" i="5"/>
  <c r="E4" i="5"/>
  <c r="E5" i="5"/>
  <c r="I2" i="5"/>
  <c r="I3" i="5"/>
  <c r="I4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<sst xmlns="http://schemas.openxmlformats.org/spreadsheetml/2006/main" count="75" uniqueCount="40">
  <si>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</si>
  <si>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</si>
  <si>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</si>
  <si>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</si>
  <si>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</si>
  <si>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</si>
  <si>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</si>
  <si>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</si>
  <si>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</si>
  <si>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</si>
  <si>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</si>
  <si>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</si>
  <si>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</si>
  <si>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</si>
  <si>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</si>
  <si>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</si>
  <si>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</si>
  <si>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</si>
  <si>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</si>
  <si>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</si>
  <si>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</si>
  <si>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</si>
  <si>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</si>
  <si>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</si>
  <si>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</si>
  <si>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</si>
  <si>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</si>
  <si>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</si>
  <si>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</si>
  <si>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</si>
  <si>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</si>
  <si>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</si>
  <si>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</si>
  <si>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</si>
  <si>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</si>
  <si>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</si>
  <si>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</si>
  <si>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NOV.2021</t>
  </si>
  <si>
    <t>WATER CONSUMPTION , NOV.2021</t>
  </si>
  <si>
    <t>NATURAL GAS CONSUMPTION , NOV.2021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</si>
</sst>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4">
          <cell r="G34">
            <v>12271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4">
          <cell r="I34">
            <v>1176539.1521959999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4">
          <cell r="H34">
            <v>13106591.4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14" sqref="A14:XFD1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11</v>
      </c>
      <c r="D2" s="12">
        <v>2021</v>
      </c>
      <c r="E2" s="13">
        <f>Electricity!I4</f>
        <v>1026.7199999988079</v>
      </c>
      <c r="F2" s="3">
        <v>0.8</v>
      </c>
      <c r="G2" s="13">
        <v>0</v>
      </c>
      <c r="H2" s="3">
        <v>1.69</v>
      </c>
      <c r="I2" s="13">
        <f>Water!H4</f>
        <v>4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11</v>
      </c>
      <c r="D3" s="12">
        <v>2021</v>
      </c>
      <c r="E3" s="13">
        <f>Electricity!I5</f>
        <v>1239.2400000020862</v>
      </c>
      <c r="F3" s="3">
        <v>0.8</v>
      </c>
      <c r="G3" s="13">
        <f>Gas!J5</f>
        <v>0</v>
      </c>
      <c r="H3" s="3">
        <v>1.69</v>
      </c>
      <c r="I3" s="13">
        <f>Water!H5</f>
        <v>4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11</v>
      </c>
      <c r="D4" s="12">
        <v>2021</v>
      </c>
      <c r="E4" s="13">
        <f>Electricity!I6</f>
        <v>1208.8799999989569</v>
      </c>
      <c r="F4" s="3">
        <v>0.8</v>
      </c>
      <c r="G4" s="13">
        <f>Gas!J6</f>
        <v>0</v>
      </c>
      <c r="H4" s="3">
        <v>1.69</v>
      </c>
      <c r="I4" s="13">
        <f>Water!H6</f>
        <v>5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11</v>
      </c>
      <c r="D5" s="12">
        <v>2021</v>
      </c>
      <c r="E5" s="13">
        <f>Electricity!I7</f>
        <v>1164.7199999988079</v>
      </c>
      <c r="F5" s="3">
        <v>0.8</v>
      </c>
      <c r="G5" s="13">
        <f>Gas!J7</f>
        <v>1.26112399995327</v>
      </c>
      <c r="H5" s="3">
        <v>1.69</v>
      </c>
      <c r="I5" s="13">
        <f>Water!H7</f>
        <v>4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11</v>
      </c>
      <c r="D6" s="12">
        <v>2021</v>
      </c>
      <c r="E6" s="13">
        <f>Electricity!I8</f>
        <v>1092.9600000008941</v>
      </c>
      <c r="F6" s="3">
        <v>0.8</v>
      </c>
      <c r="G6" s="13">
        <f>Gas!J8</f>
        <v>0</v>
      </c>
      <c r="H6" s="3">
        <v>1.69</v>
      </c>
      <c r="I6" s="13">
        <f>Water!H8</f>
        <v>5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11</v>
      </c>
      <c r="D7" s="12">
        <v>2021</v>
      </c>
      <c r="E7" s="13">
        <f>Electricity!I9</f>
        <v>701.03999999910593</v>
      </c>
      <c r="F7" s="3">
        <v>0.8</v>
      </c>
      <c r="G7" s="13">
        <f>Gas!J9</f>
        <v>0</v>
      </c>
      <c r="H7" s="3">
        <v>1.69</v>
      </c>
      <c r="I7" s="13">
        <f>Water!H9</f>
        <v>6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11</v>
      </c>
      <c r="D8" s="12">
        <v>2021</v>
      </c>
      <c r="E8" s="13">
        <f>Electricity!I10</f>
        <v>1722.2400000020862</v>
      </c>
      <c r="F8" s="3">
        <v>0.8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11</v>
      </c>
      <c r="D9" s="12">
        <v>2021</v>
      </c>
      <c r="E9" s="13">
        <f>Electricity!I11</f>
        <v>687.23999999836087</v>
      </c>
      <c r="F9" s="3">
        <v>0.8</v>
      </c>
      <c r="G9" s="13">
        <f>Gas!J11</f>
        <v>0</v>
      </c>
      <c r="H9" s="3">
        <v>1.69</v>
      </c>
      <c r="I9" s="13">
        <f>Water!H11</f>
        <v>3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11</v>
      </c>
      <c r="D10" s="12">
        <v>2021</v>
      </c>
      <c r="E10" s="13">
        <f>Electricity!I12</f>
        <v>1650.480000000447</v>
      </c>
      <c r="F10" s="3">
        <v>0.8</v>
      </c>
      <c r="G10" s="13">
        <f>Gas!J12</f>
        <v>0</v>
      </c>
      <c r="H10" s="3">
        <v>1.69</v>
      </c>
      <c r="I10" s="13">
        <f>Water!H12</f>
        <v>10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11</v>
      </c>
      <c r="D11" s="12">
        <v>2021</v>
      </c>
      <c r="E11" s="13">
        <f>Electricity!I13</f>
        <v>786.59999999962747</v>
      </c>
      <c r="F11" s="3">
        <v>0.8</v>
      </c>
      <c r="G11" s="13">
        <f>Gas!J13</f>
        <v>0</v>
      </c>
      <c r="H11" s="3">
        <v>1.69</v>
      </c>
      <c r="I11" s="13">
        <f>Water!H13</f>
        <v>9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11</v>
      </c>
      <c r="D12" s="12">
        <v>2021</v>
      </c>
      <c r="E12" s="13">
        <f>Electricity!I14</f>
        <v>1984.4399999994785</v>
      </c>
      <c r="F12" s="3">
        <v>0.8</v>
      </c>
      <c r="G12" s="13">
        <f>Gas!J14</f>
        <v>0</v>
      </c>
      <c r="H12" s="3">
        <v>1.69</v>
      </c>
      <c r="I12" s="13">
        <f>Water!H14</f>
        <v>9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11</v>
      </c>
      <c r="D13" s="12">
        <v>2021</v>
      </c>
      <c r="E13" s="13">
        <f>Electricity!I15</f>
        <v>1512.480000000447</v>
      </c>
      <c r="F13" s="3">
        <v>0.8</v>
      </c>
      <c r="G13" s="13">
        <f>Gas!J15</f>
        <v>0</v>
      </c>
      <c r="H13" s="3">
        <v>1.69</v>
      </c>
      <c r="I13" s="13">
        <f>Water!H15</f>
        <v>4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11</v>
      </c>
      <c r="D14" s="12">
        <v>2021</v>
      </c>
      <c r="E14" s="13">
        <f>Electricity!I16</f>
        <v>1217.1600000020117</v>
      </c>
      <c r="F14" s="3">
        <v>0.8</v>
      </c>
      <c r="G14" s="13">
        <f>Gas!J16</f>
        <v>0</v>
      </c>
      <c r="H14" s="3">
        <v>1.69</v>
      </c>
      <c r="I14" s="13">
        <f>Water!H16</f>
        <v>5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11</v>
      </c>
      <c r="D15" s="12">
        <v>2021</v>
      </c>
      <c r="E15" s="13">
        <f>Electricity!I17</f>
        <v>-13122585.600000001</v>
      </c>
      <c r="F15" s="3">
        <v>0.8</v>
      </c>
      <c r="G15" s="13">
        <f>Gas!J17</f>
        <v>-1176540.4133199998</v>
      </c>
      <c r="H15" s="3">
        <v>1.69</v>
      </c>
      <c r="I15" s="13">
        <f>Water!H17</f>
        <v>-11278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11</v>
      </c>
      <c r="D16" s="12">
        <v>2021</v>
      </c>
      <c r="E16" s="13">
        <f>Electricity!I18</f>
        <v>0</v>
      </c>
      <c r="F16" s="3">
        <v>0.8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11</v>
      </c>
      <c r="D17" s="12">
        <v>2021</v>
      </c>
      <c r="E17" s="13">
        <f>Electricity!I19</f>
        <v>0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11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11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11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11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11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11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11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11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11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11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11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11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11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11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17" sqref="E17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38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9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44501</v>
      </c>
      <c r="E4" s="24">
        <v>11210</v>
      </c>
      <c r="F4" s="24">
        <v>1065</v>
      </c>
      <c r="G4" s="24">
        <f>E4+F4</f>
        <v>12275</v>
      </c>
      <c r="H4" s="25">
        <f>+(G4-[1]Oct.2021!$G$34)</f>
        <v>4</v>
      </c>
      <c r="I4" s="25">
        <v>52.5</v>
      </c>
      <c r="J4" s="40">
        <v>1</v>
      </c>
      <c r="K4" s="110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44502</v>
      </c>
      <c r="E5" s="24">
        <v>11214</v>
      </c>
      <c r="F5" s="24">
        <v>1065</v>
      </c>
      <c r="G5" s="24">
        <f t="shared" ref="G5:G33" si="0">E5+F5</f>
        <v>12279</v>
      </c>
      <c r="H5" s="25">
        <f>G5-G4</f>
        <v>4</v>
      </c>
      <c r="I5" s="25">
        <v>52.5</v>
      </c>
      <c r="J5" s="40">
        <v>6</v>
      </c>
      <c r="K5" s="110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44503</v>
      </c>
      <c r="E6" s="24">
        <v>11219</v>
      </c>
      <c r="F6" s="24">
        <v>1065</v>
      </c>
      <c r="G6" s="24">
        <f t="shared" si="0"/>
        <v>12284</v>
      </c>
      <c r="H6" s="25">
        <f t="shared" ref="H6:H33" si="1">G6-G5</f>
        <v>5</v>
      </c>
      <c r="I6" s="25">
        <v>52.5</v>
      </c>
      <c r="J6" s="40">
        <v>4</v>
      </c>
      <c r="K6" s="110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44504</v>
      </c>
      <c r="E7" s="24">
        <v>11223</v>
      </c>
      <c r="F7" s="24">
        <v>1065</v>
      </c>
      <c r="G7" s="24">
        <f t="shared" si="0"/>
        <v>12288</v>
      </c>
      <c r="H7" s="25">
        <f t="shared" si="1"/>
        <v>4</v>
      </c>
      <c r="I7" s="25">
        <v>52.5</v>
      </c>
      <c r="J7" s="40">
        <v>6</v>
      </c>
      <c r="K7" s="110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44505</v>
      </c>
      <c r="E8" s="24">
        <v>11228</v>
      </c>
      <c r="F8" s="24">
        <v>1065</v>
      </c>
      <c r="G8" s="24">
        <f t="shared" si="0"/>
        <v>12293</v>
      </c>
      <c r="H8" s="25">
        <f t="shared" si="1"/>
        <v>5</v>
      </c>
      <c r="I8" s="25">
        <v>52.5</v>
      </c>
      <c r="J8" s="40">
        <v>0</v>
      </c>
      <c r="K8" s="110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44506</v>
      </c>
      <c r="E9" s="24">
        <v>11234</v>
      </c>
      <c r="F9" s="24">
        <v>1065</v>
      </c>
      <c r="G9" s="24">
        <f t="shared" si="0"/>
        <v>12299</v>
      </c>
      <c r="H9" s="25">
        <f t="shared" si="1"/>
        <v>6</v>
      </c>
      <c r="I9" s="25">
        <v>52.5</v>
      </c>
      <c r="J9" s="40">
        <v>1</v>
      </c>
      <c r="K9" s="110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44507</v>
      </c>
      <c r="E10" s="24">
        <v>11238</v>
      </c>
      <c r="F10" s="24">
        <v>1065</v>
      </c>
      <c r="G10" s="24">
        <f t="shared" si="0"/>
        <v>12303</v>
      </c>
      <c r="H10" s="25">
        <f t="shared" si="1"/>
        <v>4</v>
      </c>
      <c r="I10" s="25">
        <v>52.5</v>
      </c>
      <c r="J10" s="40">
        <v>6</v>
      </c>
      <c r="K10" s="110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44508</v>
      </c>
      <c r="E11" s="24">
        <v>11241</v>
      </c>
      <c r="F11" s="24">
        <v>1065</v>
      </c>
      <c r="G11" s="24">
        <f t="shared" si="0"/>
        <v>12306</v>
      </c>
      <c r="H11" s="25">
        <f t="shared" si="1"/>
        <v>3</v>
      </c>
      <c r="I11" s="25">
        <v>52.5</v>
      </c>
      <c r="J11" s="40">
        <v>6</v>
      </c>
      <c r="K11" s="110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44509</v>
      </c>
      <c r="E12" s="24">
        <v>11251</v>
      </c>
      <c r="F12" s="24">
        <v>1065</v>
      </c>
      <c r="G12" s="24">
        <f t="shared" si="0"/>
        <v>12316</v>
      </c>
      <c r="H12" s="25">
        <f t="shared" si="1"/>
        <v>10</v>
      </c>
      <c r="I12" s="25">
        <v>52.5</v>
      </c>
      <c r="J12" s="40">
        <v>1</v>
      </c>
      <c r="K12" s="110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44510</v>
      </c>
      <c r="E13" s="24">
        <v>11260</v>
      </c>
      <c r="F13" s="24">
        <v>1065</v>
      </c>
      <c r="G13" s="24">
        <f t="shared" si="0"/>
        <v>12325</v>
      </c>
      <c r="H13" s="25">
        <f t="shared" si="1"/>
        <v>9</v>
      </c>
      <c r="I13" s="25">
        <v>52.5</v>
      </c>
      <c r="J13" s="40">
        <v>3</v>
      </c>
      <c r="K13" s="110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44511</v>
      </c>
      <c r="E14" s="24">
        <v>11269</v>
      </c>
      <c r="F14" s="24">
        <v>1065</v>
      </c>
      <c r="G14" s="24">
        <f t="shared" si="0"/>
        <v>12334</v>
      </c>
      <c r="H14" s="25">
        <f t="shared" si="1"/>
        <v>9</v>
      </c>
      <c r="I14" s="25">
        <v>52.5</v>
      </c>
      <c r="J14" s="40">
        <v>6</v>
      </c>
      <c r="K14" s="110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44512</v>
      </c>
      <c r="E15" s="24">
        <v>11273</v>
      </c>
      <c r="F15" s="24">
        <v>1065</v>
      </c>
      <c r="G15" s="24">
        <f t="shared" si="0"/>
        <v>12338</v>
      </c>
      <c r="H15" s="25">
        <f t="shared" si="1"/>
        <v>4</v>
      </c>
      <c r="I15" s="25">
        <v>52.5</v>
      </c>
      <c r="J15" s="40">
        <v>2</v>
      </c>
      <c r="K15" s="110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44513</v>
      </c>
      <c r="E16" s="24">
        <v>11278</v>
      </c>
      <c r="F16" s="24">
        <v>1065</v>
      </c>
      <c r="G16" s="24">
        <f t="shared" si="0"/>
        <v>12343</v>
      </c>
      <c r="H16" s="25">
        <f t="shared" si="1"/>
        <v>5</v>
      </c>
      <c r="I16" s="25">
        <v>52.5</v>
      </c>
      <c r="J16" s="40">
        <v>8</v>
      </c>
      <c r="K16" s="110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44514</v>
      </c>
      <c r="E17" s="24"/>
      <c r="F17" s="24">
        <v>1065</v>
      </c>
      <c r="G17" s="24">
        <f t="shared" si="0"/>
        <v>1065</v>
      </c>
      <c r="H17" s="25">
        <f t="shared" si="1"/>
        <v>-11278</v>
      </c>
      <c r="I17" s="25">
        <v>52.5</v>
      </c>
      <c r="J17" s="40">
        <v>6</v>
      </c>
      <c r="K17" s="110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44515</v>
      </c>
      <c r="E18" s="24"/>
      <c r="F18" s="24">
        <v>1065</v>
      </c>
      <c r="G18" s="24">
        <f t="shared" si="0"/>
        <v>1065</v>
      </c>
      <c r="H18" s="25">
        <f t="shared" si="1"/>
        <v>0</v>
      </c>
      <c r="I18" s="25">
        <v>52.5</v>
      </c>
      <c r="J18" s="40">
        <v>0</v>
      </c>
      <c r="K18" s="110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44516</v>
      </c>
      <c r="E19" s="24"/>
      <c r="F19" s="24">
        <v>1065</v>
      </c>
      <c r="G19" s="24">
        <f t="shared" si="0"/>
        <v>1065</v>
      </c>
      <c r="H19" s="25">
        <f t="shared" si="1"/>
        <v>0</v>
      </c>
      <c r="I19" s="25">
        <v>52.5</v>
      </c>
      <c r="J19" s="40">
        <v>1</v>
      </c>
      <c r="K19" s="110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44517</v>
      </c>
      <c r="E20" s="24"/>
      <c r="F20" s="24">
        <v>1065</v>
      </c>
      <c r="G20" s="24">
        <f t="shared" si="0"/>
        <v>1065</v>
      </c>
      <c r="H20" s="25">
        <f t="shared" si="1"/>
        <v>0</v>
      </c>
      <c r="I20" s="25">
        <v>52.5</v>
      </c>
      <c r="J20" s="40">
        <v>7</v>
      </c>
      <c r="K20" s="110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44518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>
        <v>52.5</v>
      </c>
      <c r="J21" s="40">
        <v>1</v>
      </c>
      <c r="K21" s="110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44519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>
        <v>52.5</v>
      </c>
      <c r="J22" s="40">
        <v>0</v>
      </c>
      <c r="K22" s="110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44520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>
        <v>52.5</v>
      </c>
      <c r="J23" s="40">
        <v>5</v>
      </c>
      <c r="K23" s="110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44521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>
        <v>52.5</v>
      </c>
      <c r="J24" s="40">
        <v>7</v>
      </c>
      <c r="K24" s="110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44522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>
        <v>52.5</v>
      </c>
      <c r="J25" s="40">
        <v>1</v>
      </c>
      <c r="K25" s="110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44523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>
        <v>52.5</v>
      </c>
      <c r="J26" s="40">
        <v>0</v>
      </c>
      <c r="K26" s="110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44524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10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44525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10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44526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10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44527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10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44528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10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44529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10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44530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10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v>0</v>
      </c>
      <c r="I34" s="93">
        <v>1575</v>
      </c>
      <c r="J34" s="40">
        <v>106</v>
      </c>
      <c r="K34" s="110">
        <v>1625</v>
      </c>
      <c r="L34" s="41">
        <v>1539</v>
      </c>
      <c r="M34" s="42">
        <v>1188</v>
      </c>
      <c r="N34" s="43">
        <v>968</v>
      </c>
    </row>
    <row r="35" spans="2:14" x14ac:dyDescent="0.25">
      <c r="H35" s="49"/>
      <c r="L35" s="32"/>
    </row>
    <row r="36" spans="2:14" x14ac:dyDescent="0.25">
      <c r="D36" s="50"/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5"/>
  <sheetViews>
    <sheetView workbookViewId="0">
      <selection activeCell="F14" sqref="F14:F1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39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7">
        <v>2016</v>
      </c>
    </row>
    <row r="4" spans="2:19" s="33" customFormat="1" ht="11.25" customHeight="1" x14ac:dyDescent="0.25">
      <c r="D4" s="39">
        <v>44501</v>
      </c>
      <c r="E4" s="24">
        <v>760788</v>
      </c>
      <c r="F4" s="24">
        <v>172141</v>
      </c>
      <c r="G4" s="24">
        <f>E4+F4</f>
        <v>932929</v>
      </c>
      <c r="H4" s="18">
        <v>1.2611239999999999</v>
      </c>
      <c r="I4" s="24">
        <f>H4*G4</f>
        <v>1176539.1521959999</v>
      </c>
      <c r="J4" s="25">
        <f>I4-[2]Oct.2021!$I$34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6">
        <v>70.155524999834597</v>
      </c>
      <c r="P4" s="57">
        <v>529.74840400007088</v>
      </c>
      <c r="Q4" s="58">
        <v>445.89521400001831</v>
      </c>
      <c r="R4" s="59">
        <v>528.11395999998786</v>
      </c>
      <c r="S4" s="108">
        <v>358.82758600002853</v>
      </c>
    </row>
    <row r="5" spans="2:19" s="33" customFormat="1" ht="11.25" customHeight="1" x14ac:dyDescent="0.25">
      <c r="D5" s="39">
        <v>44502</v>
      </c>
      <c r="E5" s="24">
        <v>760788</v>
      </c>
      <c r="F5" s="24">
        <v>172141</v>
      </c>
      <c r="G5" s="24">
        <f t="shared" ref="G5:G33" si="0">E5+F5</f>
        <v>932929</v>
      </c>
      <c r="H5" s="18">
        <v>1.2611239999999999</v>
      </c>
      <c r="I5" s="24">
        <f t="shared" ref="I5:I33" si="1">H5*G5</f>
        <v>1176539.1521959999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6">
        <v>68.879970000125468</v>
      </c>
      <c r="P5" s="57">
        <v>632.1579999999376</v>
      </c>
      <c r="Q5" s="58">
        <v>473.1</v>
      </c>
      <c r="R5" s="59">
        <v>656.29696000006516</v>
      </c>
      <c r="S5" s="108">
        <v>376.57877399999416</v>
      </c>
    </row>
    <row r="6" spans="2:19" s="33" customFormat="1" ht="11.25" customHeight="1" x14ac:dyDescent="0.25">
      <c r="D6" s="39">
        <v>44503</v>
      </c>
      <c r="E6" s="24">
        <v>760788</v>
      </c>
      <c r="F6" s="24">
        <v>172141</v>
      </c>
      <c r="G6" s="24">
        <f t="shared" si="0"/>
        <v>932929</v>
      </c>
      <c r="H6" s="18">
        <v>1.2611239999999999</v>
      </c>
      <c r="I6" s="24">
        <f t="shared" si="1"/>
        <v>1176539.1521959999</v>
      </c>
      <c r="J6" s="25">
        <f t="shared" ref="J6:J33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6">
        <v>67.604414999950677</v>
      </c>
      <c r="P6" s="57">
        <v>666.2945320000872</v>
      </c>
      <c r="Q6" s="58">
        <v>461.64846399996895</v>
      </c>
      <c r="R6" s="59">
        <v>775.50714999996126</v>
      </c>
      <c r="S6" s="108">
        <v>374.04288999998244</v>
      </c>
    </row>
    <row r="7" spans="2:19" s="33" customFormat="1" ht="11.25" customHeight="1" x14ac:dyDescent="0.25">
      <c r="D7" s="39">
        <v>44504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1.26112399995327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6">
        <v>72.706634999951348</v>
      </c>
      <c r="P7" s="57">
        <v>627.10073599999305</v>
      </c>
      <c r="Q7" s="58">
        <v>493.53026400005911</v>
      </c>
      <c r="R7" s="59">
        <v>840.88048000005074</v>
      </c>
      <c r="S7" s="108">
        <v>368.9711220000172</v>
      </c>
    </row>
    <row r="8" spans="2:19" s="33" customFormat="1" ht="11.25" customHeight="1" x14ac:dyDescent="0.25">
      <c r="D8" s="39">
        <v>44505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6">
        <v>67.604415000183508</v>
      </c>
      <c r="P8" s="57">
        <v>534.80566799989901</v>
      </c>
      <c r="Q8" s="58">
        <v>480.7775439999532</v>
      </c>
      <c r="R8" s="59">
        <v>819.0893699999433</v>
      </c>
      <c r="S8" s="108">
        <v>420.95674399996642</v>
      </c>
    </row>
    <row r="9" spans="2:19" s="33" customFormat="1" ht="11.25" customHeight="1" x14ac:dyDescent="0.25">
      <c r="D9" s="39">
        <v>44506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6">
        <v>57.399974999949336</v>
      </c>
      <c r="P9" s="57">
        <v>501.93345200002659</v>
      </c>
      <c r="Q9" s="58">
        <v>485.87863200006541</v>
      </c>
      <c r="R9" s="59">
        <v>788.3</v>
      </c>
      <c r="S9" s="108">
        <v>437.4399900000426</v>
      </c>
    </row>
    <row r="10" spans="2:19" s="33" customFormat="1" ht="11.25" x14ac:dyDescent="0.25">
      <c r="D10" s="39">
        <v>44507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6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8">
        <v>409.54526599997189</v>
      </c>
    </row>
    <row r="11" spans="2:19" s="33" customFormat="1" ht="11.25" customHeight="1" x14ac:dyDescent="0.25">
      <c r="D11" s="39">
        <v>44508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6">
        <v>45.919980000006035</v>
      </c>
      <c r="P11" s="57">
        <v>496.87618799996562</v>
      </c>
      <c r="Q11" s="58">
        <v>513.9346160000423</v>
      </c>
      <c r="R11" s="59">
        <v>735.7704200000735</v>
      </c>
      <c r="S11" s="108">
        <v>341.0763980000047</v>
      </c>
    </row>
    <row r="12" spans="2:19" s="33" customFormat="1" ht="11.25" customHeight="1" x14ac:dyDescent="0.25">
      <c r="D12" s="39">
        <v>44509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6">
        <v>44.644425000064075</v>
      </c>
      <c r="P12" s="57">
        <v>514.57661200000439</v>
      </c>
      <c r="Q12" s="58">
        <v>519.03570399992168</v>
      </c>
      <c r="R12" s="59">
        <v>743.7</v>
      </c>
      <c r="S12" s="108">
        <v>352.48787599999923</v>
      </c>
    </row>
    <row r="13" spans="2:19" s="33" customFormat="1" ht="11.25" customHeight="1" x14ac:dyDescent="0.25">
      <c r="D13" s="39">
        <v>44510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6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8">
        <v>330.93286200001603</v>
      </c>
    </row>
    <row r="14" spans="2:19" s="33" customFormat="1" ht="11.25" customHeight="1" x14ac:dyDescent="0.25">
      <c r="D14" s="39">
        <v>44511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6">
        <v>45.919980000006035</v>
      </c>
      <c r="P14" s="57">
        <v>513.31229599996004</v>
      </c>
      <c r="Q14" s="58">
        <v>557.29386400000658</v>
      </c>
      <c r="R14" s="59">
        <v>696.4595819999231</v>
      </c>
      <c r="S14" s="108">
        <v>374.04288999998244</v>
      </c>
    </row>
    <row r="15" spans="2:19" s="33" customFormat="1" ht="11.25" customHeight="1" x14ac:dyDescent="0.25">
      <c r="D15" s="39">
        <v>44512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6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8">
        <v>423.49262799997814</v>
      </c>
    </row>
    <row r="16" spans="2:19" s="33" customFormat="1" ht="11.25" customHeight="1" x14ac:dyDescent="0.25">
      <c r="D16" s="39">
        <v>44513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6">
        <v>94.391070000128821</v>
      </c>
      <c r="P16" s="57">
        <v>488.02597600000445</v>
      </c>
      <c r="Q16" s="58">
        <v>548.36696000001393</v>
      </c>
      <c r="R16" s="59">
        <v>647.9880360000534</v>
      </c>
      <c r="S16" s="108">
        <v>424.8</v>
      </c>
    </row>
    <row r="17" spans="4:19" s="33" customFormat="1" ht="11.25" customHeight="1" x14ac:dyDescent="0.25">
      <c r="D17" s="39">
        <v>44514</v>
      </c>
      <c r="E17" s="24"/>
      <c r="F17" s="24"/>
      <c r="G17" s="24">
        <f t="shared" si="0"/>
        <v>0</v>
      </c>
      <c r="H17" s="18">
        <v>1.2611239999999999</v>
      </c>
      <c r="I17" s="24">
        <f t="shared" si="1"/>
        <v>0</v>
      </c>
      <c r="J17" s="25">
        <f t="shared" si="2"/>
        <v>-1176540.4133199998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6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8">
        <v>424</v>
      </c>
    </row>
    <row r="18" spans="4:19" s="33" customFormat="1" ht="11.25" customHeight="1" x14ac:dyDescent="0.25">
      <c r="D18" s="39">
        <v>44515</v>
      </c>
      <c r="E18" s="24"/>
      <c r="F18" s="24"/>
      <c r="G18" s="24">
        <f t="shared" si="0"/>
        <v>0</v>
      </c>
      <c r="H18" s="18">
        <v>1.2611239999999999</v>
      </c>
      <c r="I18" s="24">
        <f t="shared" si="1"/>
        <v>0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6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8">
        <v>420.80420100002084</v>
      </c>
    </row>
    <row r="19" spans="4:19" s="33" customFormat="1" ht="11.25" customHeight="1" x14ac:dyDescent="0.25">
      <c r="D19" s="39">
        <v>44516</v>
      </c>
      <c r="E19" s="24"/>
      <c r="F19" s="24"/>
      <c r="G19" s="24">
        <f t="shared" si="0"/>
        <v>0</v>
      </c>
      <c r="H19" s="18">
        <v>1.2611239999999999</v>
      </c>
      <c r="I19" s="24">
        <f t="shared" si="1"/>
        <v>0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6">
        <v>94.39106999989599</v>
      </c>
      <c r="P19" s="57">
        <v>536.06998399994336</v>
      </c>
      <c r="Q19" s="58">
        <v>702.67487200000323</v>
      </c>
      <c r="R19" s="59">
        <v>616.09886100003496</v>
      </c>
      <c r="S19" s="108">
        <v>458.12322799995309</v>
      </c>
    </row>
    <row r="20" spans="4:19" s="33" customFormat="1" ht="11.25" customHeight="1" x14ac:dyDescent="0.25">
      <c r="D20" s="39">
        <v>44517</v>
      </c>
      <c r="E20" s="24"/>
      <c r="F20" s="24"/>
      <c r="G20" s="24">
        <f t="shared" si="0"/>
        <v>0</v>
      </c>
      <c r="H20" s="18">
        <v>1.2611239999999999</v>
      </c>
      <c r="I20" s="24">
        <f t="shared" si="1"/>
        <v>0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6">
        <v>93.11551499995403</v>
      </c>
      <c r="P20" s="57">
        <v>557.56335599999875</v>
      </c>
      <c r="Q20" s="58">
        <v>740.93303200008813</v>
      </c>
      <c r="R20" s="59">
        <v>539.56484100001398</v>
      </c>
      <c r="S20" s="108">
        <v>527.61383000004571</v>
      </c>
    </row>
    <row r="21" spans="4:19" s="33" customFormat="1" ht="11.25" customHeight="1" x14ac:dyDescent="0.25">
      <c r="D21" s="39">
        <v>44518</v>
      </c>
      <c r="E21" s="24"/>
      <c r="F21" s="24"/>
      <c r="G21" s="24">
        <f t="shared" si="0"/>
        <v>0</v>
      </c>
      <c r="H21" s="18">
        <v>1.2611239999999999</v>
      </c>
      <c r="I21" s="24">
        <f t="shared" si="1"/>
        <v>0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6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8">
        <v>477.42617299995618</v>
      </c>
    </row>
    <row r="22" spans="4:19" s="33" customFormat="1" ht="11.25" customHeight="1" x14ac:dyDescent="0.25">
      <c r="D22" s="39">
        <v>44519</v>
      </c>
      <c r="E22" s="24"/>
      <c r="F22" s="24"/>
      <c r="G22" s="24">
        <f t="shared" si="0"/>
        <v>0</v>
      </c>
      <c r="H22" s="18">
        <v>1.2611239999999999</v>
      </c>
      <c r="I22" s="24">
        <f t="shared" si="1"/>
        <v>0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6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8">
        <v>535.33500800002366</v>
      </c>
    </row>
    <row r="23" spans="4:19" s="33" customFormat="1" ht="11.25" customHeight="1" x14ac:dyDescent="0.25">
      <c r="D23" s="39">
        <v>44520</v>
      </c>
      <c r="E23" s="24"/>
      <c r="F23" s="24"/>
      <c r="G23" s="24">
        <f t="shared" si="0"/>
        <v>0</v>
      </c>
      <c r="H23" s="18">
        <v>1.2611239999999999</v>
      </c>
      <c r="I23" s="24">
        <f t="shared" si="1"/>
        <v>0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6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8">
        <v>423.37792699999409</v>
      </c>
    </row>
    <row r="24" spans="4:19" s="33" customFormat="1" ht="11.25" customHeight="1" x14ac:dyDescent="0.25">
      <c r="D24" s="39">
        <v>44521</v>
      </c>
      <c r="E24" s="24"/>
      <c r="F24" s="24"/>
      <c r="G24" s="24">
        <f t="shared" si="0"/>
        <v>0</v>
      </c>
      <c r="H24" s="18">
        <v>1.2611239999999999</v>
      </c>
      <c r="I24" s="24">
        <f t="shared" si="1"/>
        <v>0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6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8">
        <v>400.21439300000202</v>
      </c>
    </row>
    <row r="25" spans="4:19" s="33" customFormat="1" ht="11.25" customHeight="1" x14ac:dyDescent="0.25">
      <c r="D25" s="39">
        <v>44522</v>
      </c>
      <c r="E25" s="24"/>
      <c r="F25" s="24"/>
      <c r="G25" s="24">
        <f t="shared" si="0"/>
        <v>0</v>
      </c>
      <c r="H25" s="18">
        <v>1.2611239999999999</v>
      </c>
      <c r="I25" s="24">
        <f t="shared" si="1"/>
        <v>0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6">
        <v>71.431080000009388</v>
      </c>
      <c r="P25" s="57">
        <v>619.5148399999598</v>
      </c>
      <c r="Q25" s="58">
        <v>642.73708800005261</v>
      </c>
      <c r="R25" s="59">
        <v>849.52762199996505</v>
      </c>
      <c r="S25" s="108">
        <v>404.074981999991</v>
      </c>
    </row>
    <row r="26" spans="4:19" s="33" customFormat="1" ht="11.25" customHeight="1" x14ac:dyDescent="0.25">
      <c r="D26" s="39">
        <v>44523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0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6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8">
        <v>419.51733800000511</v>
      </c>
    </row>
    <row r="27" spans="4:19" s="33" customFormat="1" ht="11.25" customHeight="1" x14ac:dyDescent="0.25">
      <c r="D27" s="39">
        <v>44524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6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8">
        <v>410.50929700001143</v>
      </c>
    </row>
    <row r="28" spans="4:19" s="33" customFormat="1" ht="11.25" customHeight="1" x14ac:dyDescent="0.25">
      <c r="D28" s="39">
        <v>44525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6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8">
        <v>422.09106399997836</v>
      </c>
    </row>
    <row r="29" spans="4:19" s="33" customFormat="1" ht="11.25" customHeight="1" x14ac:dyDescent="0.25">
      <c r="D29" s="39">
        <v>44526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6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8">
        <v>437.53341999999247</v>
      </c>
    </row>
    <row r="30" spans="4:19" s="33" customFormat="1" ht="11.25" customHeight="1" x14ac:dyDescent="0.25">
      <c r="D30" s="39">
        <v>44527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6">
        <v>84.6</v>
      </c>
      <c r="P30" s="57">
        <v>615.77379500004463</v>
      </c>
      <c r="Q30" s="58">
        <v>599.37783999997191</v>
      </c>
      <c r="R30" s="59">
        <v>656.91700499993749</v>
      </c>
      <c r="S30" s="108">
        <v>415.65674900001613</v>
      </c>
    </row>
    <row r="31" spans="4:19" s="33" customFormat="1" ht="11.25" customHeight="1" x14ac:dyDescent="0.25">
      <c r="D31" s="39">
        <v>44528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6">
        <v>77.04480000003241</v>
      </c>
      <c r="P31" s="57">
        <v>634.97671999991871</v>
      </c>
      <c r="Q31" s="58">
        <v>626.15855200006627</v>
      </c>
      <c r="R31" s="59">
        <v>639.05906700005289</v>
      </c>
      <c r="S31" s="108">
        <v>418.23047499998938</v>
      </c>
    </row>
    <row r="32" spans="4:19" s="33" customFormat="1" ht="11.25" customHeight="1" x14ac:dyDescent="0.25">
      <c r="D32" s="39">
        <v>44529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6">
        <v>73.19255999987945</v>
      </c>
      <c r="P32" s="57">
        <v>567.12638500006869</v>
      </c>
      <c r="Q32" s="58">
        <v>700.12432800000533</v>
      </c>
      <c r="R32" s="59">
        <v>684.97947899997234</v>
      </c>
      <c r="S32" s="108">
        <v>459.41009100002702</v>
      </c>
    </row>
    <row r="33" spans="4:19" s="33" customFormat="1" ht="11.25" customHeight="1" x14ac:dyDescent="0.25">
      <c r="D33" s="39">
        <v>44530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6">
        <v>53.93136000004597</v>
      </c>
      <c r="P33" s="57">
        <v>547.92345999996178</v>
      </c>
      <c r="Q33" s="58">
        <v>828.92680000001565</v>
      </c>
      <c r="R33" s="59">
        <v>709.21525200002361</v>
      </c>
      <c r="S33" s="108">
        <v>528.90069300000323</v>
      </c>
    </row>
    <row r="34" spans="4:19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v>0</v>
      </c>
      <c r="K34" s="93">
        <v>23749.980000000003</v>
      </c>
      <c r="L34" s="98">
        <v>13094.398660000017</v>
      </c>
      <c r="M34" s="99">
        <v>20025</v>
      </c>
      <c r="N34" s="100">
        <v>20076.483000000007</v>
      </c>
      <c r="O34" s="106">
        <v>2134.4968049997929</v>
      </c>
      <c r="P34" s="57">
        <v>17200.661169000017</v>
      </c>
      <c r="Q34" s="58">
        <v>18257.593326000053</v>
      </c>
      <c r="R34" s="59">
        <v>20690.438003000105</v>
      </c>
      <c r="S34" s="108">
        <v>12576.013894999993</v>
      </c>
    </row>
    <row r="35" spans="4:19" ht="12" customHeight="1" x14ac:dyDescent="0.25"/>
    <row r="36" spans="4:19" ht="12.75" customHeight="1" x14ac:dyDescent="0.25">
      <c r="L36" s="49">
        <f>+AVERAGE(J4:J8)</f>
        <v>0.252224799990654</v>
      </c>
      <c r="M36" s="17">
        <f>+(L36*31)</f>
        <v>7.8189687997102739</v>
      </c>
    </row>
    <row r="37" spans="4:19" ht="12.75" customHeight="1" x14ac:dyDescent="0.25">
      <c r="D37" s="50"/>
    </row>
    <row r="38" spans="4:19" ht="12.75" customHeight="1" x14ac:dyDescent="0.25">
      <c r="D38" s="51"/>
    </row>
    <row r="39" spans="4:19" ht="12.75" customHeight="1" x14ac:dyDescent="0.25"/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17" sqref="F17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44501</v>
      </c>
      <c r="F4" s="92">
        <v>4749.1369999999997</v>
      </c>
      <c r="G4" s="23">
        <v>2760</v>
      </c>
      <c r="H4" s="24">
        <f>G4*F4</f>
        <v>13107618.119999999</v>
      </c>
      <c r="I4" s="25">
        <f>+(H4-'[3]Ekim 2021'!$H$34)</f>
        <v>1026.7199999988079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44502</v>
      </c>
      <c r="F5" s="92">
        <v>4749.5860000000002</v>
      </c>
      <c r="G5" s="23">
        <v>2760</v>
      </c>
      <c r="H5" s="24">
        <f t="shared" ref="H5:H33" si="0">G5*F5</f>
        <v>13108857.360000001</v>
      </c>
      <c r="I5" s="25">
        <f>+(H5-H4)</f>
        <v>1239.2400000020862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44503</v>
      </c>
      <c r="F6" s="92">
        <v>4750.0240000000003</v>
      </c>
      <c r="G6" s="23">
        <v>2760</v>
      </c>
      <c r="H6" s="24">
        <f t="shared" si="0"/>
        <v>13110066.24</v>
      </c>
      <c r="I6" s="25">
        <f t="shared" ref="I6:I33" si="1">+(H6-H5)</f>
        <v>1208.8799999989569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44504</v>
      </c>
      <c r="F7" s="92">
        <v>4750.4459999999999</v>
      </c>
      <c r="G7" s="23">
        <v>2760</v>
      </c>
      <c r="H7" s="24">
        <f t="shared" si="0"/>
        <v>13111230.959999999</v>
      </c>
      <c r="I7" s="25">
        <f t="shared" si="1"/>
        <v>1164.7199999988079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44505</v>
      </c>
      <c r="F8" s="92">
        <v>4750.8419999999996</v>
      </c>
      <c r="G8" s="23">
        <v>2760</v>
      </c>
      <c r="H8" s="24">
        <f t="shared" si="0"/>
        <v>13112323.92</v>
      </c>
      <c r="I8" s="25">
        <f t="shared" si="1"/>
        <v>1092.9600000008941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44506</v>
      </c>
      <c r="F9" s="92">
        <v>4751.0959999999995</v>
      </c>
      <c r="G9" s="23">
        <v>2760</v>
      </c>
      <c r="H9" s="24">
        <f t="shared" si="0"/>
        <v>13113024.959999999</v>
      </c>
      <c r="I9" s="25">
        <f t="shared" si="1"/>
        <v>701.03999999910593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44507</v>
      </c>
      <c r="F10" s="92">
        <v>4751.72</v>
      </c>
      <c r="G10" s="23">
        <v>2760</v>
      </c>
      <c r="H10" s="24">
        <f t="shared" si="0"/>
        <v>13114747.200000001</v>
      </c>
      <c r="I10" s="25">
        <f t="shared" si="1"/>
        <v>1722.2400000020862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44508</v>
      </c>
      <c r="F11" s="92">
        <v>4751.9690000000001</v>
      </c>
      <c r="G11" s="23">
        <v>2760</v>
      </c>
      <c r="H11" s="24">
        <f t="shared" si="0"/>
        <v>13115434.439999999</v>
      </c>
      <c r="I11" s="25">
        <f t="shared" si="1"/>
        <v>687.23999999836087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44509</v>
      </c>
      <c r="F12" s="92">
        <v>4752.567</v>
      </c>
      <c r="G12" s="23">
        <v>2760</v>
      </c>
      <c r="H12" s="24">
        <f t="shared" si="0"/>
        <v>13117084.92</v>
      </c>
      <c r="I12" s="25">
        <f t="shared" si="1"/>
        <v>1650.480000000447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44510</v>
      </c>
      <c r="F13" s="92">
        <v>4752.8519999999999</v>
      </c>
      <c r="G13" s="23">
        <v>2760</v>
      </c>
      <c r="H13" s="24">
        <f t="shared" si="0"/>
        <v>13117871.52</v>
      </c>
      <c r="I13" s="25">
        <f t="shared" si="1"/>
        <v>786.59999999962747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44511</v>
      </c>
      <c r="F14" s="92">
        <v>4753.5709999999999</v>
      </c>
      <c r="G14" s="23">
        <v>2760</v>
      </c>
      <c r="H14" s="24">
        <f t="shared" si="0"/>
        <v>13119855.959999999</v>
      </c>
      <c r="I14" s="25">
        <f t="shared" si="1"/>
        <v>1984.4399999994785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44512</v>
      </c>
      <c r="F15" s="92">
        <v>4754.1189999999997</v>
      </c>
      <c r="G15" s="23">
        <v>2760</v>
      </c>
      <c r="H15" s="24">
        <f t="shared" si="0"/>
        <v>13121368.439999999</v>
      </c>
      <c r="I15" s="25">
        <f t="shared" si="1"/>
        <v>1512.480000000447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44513</v>
      </c>
      <c r="F16" s="92">
        <v>4754.5600000000004</v>
      </c>
      <c r="G16" s="23">
        <v>2760</v>
      </c>
      <c r="H16" s="24">
        <f t="shared" si="0"/>
        <v>13122585.600000001</v>
      </c>
      <c r="I16" s="25">
        <f t="shared" si="1"/>
        <v>1217.1600000020117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44514</v>
      </c>
      <c r="F17" s="92"/>
      <c r="G17" s="23">
        <v>2760</v>
      </c>
      <c r="H17" s="24">
        <f t="shared" si="0"/>
        <v>0</v>
      </c>
      <c r="I17" s="25">
        <f t="shared" si="1"/>
        <v>-13122585.600000001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44515</v>
      </c>
      <c r="F18" s="92"/>
      <c r="G18" s="23">
        <v>2760</v>
      </c>
      <c r="H18" s="24">
        <f t="shared" si="0"/>
        <v>0</v>
      </c>
      <c r="I18" s="25">
        <f t="shared" si="1"/>
        <v>0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44516</v>
      </c>
      <c r="F19" s="92"/>
      <c r="G19" s="23">
        <v>2760</v>
      </c>
      <c r="H19" s="24">
        <f t="shared" si="0"/>
        <v>0</v>
      </c>
      <c r="I19" s="25">
        <f t="shared" si="1"/>
        <v>0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44517</v>
      </c>
      <c r="F20" s="92"/>
      <c r="G20" s="23">
        <v>2760</v>
      </c>
      <c r="H20" s="24">
        <f t="shared" si="0"/>
        <v>0</v>
      </c>
      <c r="I20" s="25">
        <f t="shared" si="1"/>
        <v>0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44518</v>
      </c>
      <c r="F21" s="92"/>
      <c r="G21" s="23">
        <v>2760</v>
      </c>
      <c r="H21" s="24">
        <f t="shared" si="0"/>
        <v>0</v>
      </c>
      <c r="I21" s="25">
        <f t="shared" si="1"/>
        <v>0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44519</v>
      </c>
      <c r="F22" s="92"/>
      <c r="G22" s="23">
        <v>2760</v>
      </c>
      <c r="H22" s="24">
        <f t="shared" si="0"/>
        <v>0</v>
      </c>
      <c r="I22" s="25">
        <f t="shared" si="1"/>
        <v>0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44520</v>
      </c>
      <c r="F23" s="92"/>
      <c r="G23" s="23">
        <v>2760</v>
      </c>
      <c r="H23" s="24">
        <f t="shared" si="0"/>
        <v>0</v>
      </c>
      <c r="I23" s="25">
        <f t="shared" si="1"/>
        <v>0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44521</v>
      </c>
      <c r="F24" s="92"/>
      <c r="G24" s="23">
        <v>2760</v>
      </c>
      <c r="H24" s="24">
        <f t="shared" si="0"/>
        <v>0</v>
      </c>
      <c r="I24" s="25">
        <f t="shared" si="1"/>
        <v>0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44522</v>
      </c>
      <c r="F25" s="92"/>
      <c r="G25" s="23">
        <v>2760</v>
      </c>
      <c r="H25" s="24">
        <f t="shared" si="0"/>
        <v>0</v>
      </c>
      <c r="I25" s="25">
        <f t="shared" si="1"/>
        <v>0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44523</v>
      </c>
      <c r="F26" s="92"/>
      <c r="G26" s="23">
        <v>2760</v>
      </c>
      <c r="H26" s="24">
        <f t="shared" si="0"/>
        <v>0</v>
      </c>
      <c r="I26" s="25">
        <f t="shared" si="1"/>
        <v>0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3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44524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3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44525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3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44526</v>
      </c>
      <c r="F29" s="92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3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44527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3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44528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3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44529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3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44530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3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/>
      <c r="F34" s="102"/>
      <c r="G34" s="23"/>
      <c r="H34" s="24"/>
      <c r="I34" s="25"/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3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4">
        <v>-12616180.799999999</v>
      </c>
      <c r="J35" s="93">
        <v>244999.97999999995</v>
      </c>
      <c r="K35" s="101">
        <v>43475.520000001416</v>
      </c>
      <c r="L35" s="87">
        <v>243180.83999999985</v>
      </c>
      <c r="M35" s="105">
        <v>206103</v>
      </c>
      <c r="N35" s="103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2021-11-13T11:32:24Z</dcterms:modified>
</cp:coreProperties>
</file>