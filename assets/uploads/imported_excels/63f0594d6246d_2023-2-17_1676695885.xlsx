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2"/>
  <workbookPr/>
  <mc:AlternateContent xmlns:mc="http://schemas.openxmlformats.org/markup-compatibility/2006">
    <mc:Choice Requires="x15">
      <x15ac:absPath xmlns:x15ac="http://schemas.microsoft.com/office/spreadsheetml/2010/11/ac" url="C:\Users\Cok.Krisyana\OneDrive - Four Seasons Hotels Limited\Documents\HEP 2020\"/>
    </mc:Choice>
  </mc:AlternateContent>
  <xr:revisionPtr revIDLastSave="1" documentId="11_603663DF3037BC3FB11B336F139862482E083213" xr6:coauthVersionLast="47" xr6:coauthVersionMax="47" xr10:uidLastSave="{6629AD44-1DAB-4999-9D6F-79713C2C8059}"/>
  <bookViews>
    <workbookView xWindow="0" yWindow="0" windowWidth="28800" windowHeight="12435" tabRatio="762" firstSheet="1" xr2:uid="{00000000-000D-0000-FFFF-FFFF00000000}"/>
  </bookViews>
  <sheets>
    <sheet name="TOTAL" sheetId="11" r:id="rId1"/>
    <sheet name="FS Jimbaran December 2020" sheetId="12" r:id="rId2"/>
    <sheet name="RNs &amp; Covers Dec 2020" sheetId="10" r:id="rId3"/>
  </sheet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47" i="12" l="1"/>
  <c r="AH47" i="12"/>
  <c r="AJ47" i="12"/>
  <c r="AK47" i="12"/>
  <c r="W47" i="12"/>
  <c r="X47" i="12"/>
  <c r="Y47" i="12"/>
  <c r="Z47" i="12"/>
  <c r="B38" i="10" l="1"/>
  <c r="C38" i="10"/>
  <c r="I13" i="12"/>
  <c r="I14" i="12"/>
  <c r="I15" i="12"/>
  <c r="I16" i="12"/>
  <c r="I18" i="12"/>
  <c r="I19" i="12"/>
  <c r="I21" i="12"/>
  <c r="I22" i="12"/>
  <c r="I23" i="12"/>
  <c r="I24" i="12"/>
  <c r="I26" i="12"/>
  <c r="I27" i="12"/>
  <c r="I29" i="12"/>
  <c r="I30" i="12"/>
  <c r="O30" i="12" s="1"/>
  <c r="I31" i="12"/>
  <c r="I32" i="12"/>
  <c r="I34" i="12"/>
  <c r="I35" i="12"/>
  <c r="I37" i="12"/>
  <c r="I38" i="12"/>
  <c r="I39" i="12"/>
  <c r="I40" i="12"/>
  <c r="O40" i="12" s="1"/>
  <c r="I42" i="12"/>
  <c r="I12" i="12"/>
  <c r="I17" i="12"/>
  <c r="I20" i="12"/>
  <c r="I25" i="12"/>
  <c r="I28" i="12"/>
  <c r="I33" i="12"/>
  <c r="I36" i="12"/>
  <c r="O36" i="12" s="1"/>
  <c r="I41" i="12"/>
  <c r="V13" i="12"/>
  <c r="V14" i="12"/>
  <c r="V15" i="12"/>
  <c r="K5" i="11" s="1"/>
  <c r="V16" i="12"/>
  <c r="K6" i="11" s="1"/>
  <c r="V17" i="12"/>
  <c r="V18" i="12"/>
  <c r="K8" i="11" s="1"/>
  <c r="V19" i="12"/>
  <c r="V20" i="12"/>
  <c r="V21" i="12"/>
  <c r="V22" i="12"/>
  <c r="V23" i="12"/>
  <c r="K13" i="11" s="1"/>
  <c r="V24" i="12"/>
  <c r="K14" i="11" s="1"/>
  <c r="V25" i="12"/>
  <c r="V26" i="12"/>
  <c r="K16" i="11" s="1"/>
  <c r="V27" i="12"/>
  <c r="V28" i="12"/>
  <c r="V29" i="12"/>
  <c r="V30" i="12"/>
  <c r="V31" i="12"/>
  <c r="K21" i="11" s="1"/>
  <c r="V32" i="12"/>
  <c r="K22" i="11" s="1"/>
  <c r="V33" i="12"/>
  <c r="V34" i="12"/>
  <c r="K24" i="11" s="1"/>
  <c r="V35" i="12"/>
  <c r="V36" i="12"/>
  <c r="V37" i="12"/>
  <c r="V38" i="12"/>
  <c r="V39" i="12"/>
  <c r="K29" i="11" s="1"/>
  <c r="V40" i="12"/>
  <c r="V41" i="12"/>
  <c r="K31" i="11" s="1"/>
  <c r="V42" i="12"/>
  <c r="K32" i="11" s="1"/>
  <c r="V12" i="12"/>
  <c r="V47" i="12" s="1"/>
  <c r="R47" i="12"/>
  <c r="Q47" i="12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5" i="11"/>
  <c r="I26" i="11"/>
  <c r="I27" i="11"/>
  <c r="I28" i="11"/>
  <c r="I29" i="11"/>
  <c r="I30" i="11"/>
  <c r="I31" i="11"/>
  <c r="I32" i="11"/>
  <c r="I2" i="11"/>
  <c r="AE47" i="12"/>
  <c r="AD47" i="12"/>
  <c r="AC47" i="12"/>
  <c r="D47" i="12"/>
  <c r="C47" i="12"/>
  <c r="S44" i="12"/>
  <c r="AL42" i="12"/>
  <c r="AG42" i="12"/>
  <c r="H32" i="11" s="1"/>
  <c r="AI42" i="12"/>
  <c r="P42" i="12"/>
  <c r="E32" i="11" s="1"/>
  <c r="O42" i="12"/>
  <c r="AL41" i="12"/>
  <c r="AG41" i="12"/>
  <c r="AI41" i="12"/>
  <c r="AL40" i="12"/>
  <c r="AG40" i="12"/>
  <c r="H30" i="11" s="1"/>
  <c r="K30" i="11"/>
  <c r="P40" i="12"/>
  <c r="E30" i="11" s="1"/>
  <c r="AL39" i="12"/>
  <c r="AG39" i="12"/>
  <c r="AI39" i="12"/>
  <c r="P39" i="12"/>
  <c r="E29" i="11" s="1"/>
  <c r="AL38" i="12"/>
  <c r="AG38" i="12"/>
  <c r="H28" i="11" s="1"/>
  <c r="AI38" i="12"/>
  <c r="K28" i="11"/>
  <c r="P38" i="12"/>
  <c r="E28" i="11" s="1"/>
  <c r="AL37" i="12"/>
  <c r="AG37" i="12"/>
  <c r="AI37" i="12"/>
  <c r="K27" i="11"/>
  <c r="AL36" i="12"/>
  <c r="AG36" i="12"/>
  <c r="H26" i="11" s="1"/>
  <c r="AL35" i="12"/>
  <c r="AG35" i="12"/>
  <c r="AI35" i="12"/>
  <c r="AG34" i="12"/>
  <c r="H24" i="11" s="1"/>
  <c r="AL33" i="12"/>
  <c r="J23" i="11"/>
  <c r="AG33" i="12"/>
  <c r="G23" i="11" s="1"/>
  <c r="K23" i="11"/>
  <c r="AL32" i="12"/>
  <c r="AI32" i="12"/>
  <c r="AG32" i="12"/>
  <c r="G22" i="11" s="1"/>
  <c r="P32" i="12"/>
  <c r="E22" i="11" s="1"/>
  <c r="AL31" i="12"/>
  <c r="AG31" i="12"/>
  <c r="G21" i="11" s="1"/>
  <c r="AA31" i="12"/>
  <c r="AB31" i="12" s="1"/>
  <c r="AL30" i="12"/>
  <c r="AG30" i="12"/>
  <c r="H20" i="11" s="1"/>
  <c r="AI30" i="12"/>
  <c r="AL29" i="12"/>
  <c r="AG29" i="12"/>
  <c r="G19" i="11" s="1"/>
  <c r="J18" i="11"/>
  <c r="AG28" i="12"/>
  <c r="G18" i="11" s="1"/>
  <c r="K18" i="11"/>
  <c r="J17" i="11"/>
  <c r="AG27" i="12"/>
  <c r="G17" i="11" s="1"/>
  <c r="AL26" i="12"/>
  <c r="J16" i="11"/>
  <c r="AG26" i="12"/>
  <c r="G16" i="11" s="1"/>
  <c r="J15" i="11"/>
  <c r="AG25" i="12"/>
  <c r="K15" i="11"/>
  <c r="J14" i="11"/>
  <c r="AG24" i="12"/>
  <c r="G14" i="11" s="1"/>
  <c r="J13" i="11"/>
  <c r="AG23" i="12"/>
  <c r="G13" i="11" s="1"/>
  <c r="AI23" i="12"/>
  <c r="AL22" i="12"/>
  <c r="AG22" i="12"/>
  <c r="G12" i="11" s="1"/>
  <c r="J11" i="11"/>
  <c r="AG21" i="12"/>
  <c r="G11" i="11" s="1"/>
  <c r="AI21" i="12"/>
  <c r="K11" i="11"/>
  <c r="J10" i="11"/>
  <c r="AG20" i="12"/>
  <c r="G10" i="11" s="1"/>
  <c r="J9" i="11"/>
  <c r="AG19" i="12"/>
  <c r="G9" i="11" s="1"/>
  <c r="AI19" i="12"/>
  <c r="P19" i="12"/>
  <c r="E9" i="11" s="1"/>
  <c r="AL18" i="12"/>
  <c r="AG18" i="12"/>
  <c r="G8" i="11" s="1"/>
  <c r="P18" i="12"/>
  <c r="E8" i="11" s="1"/>
  <c r="AL17" i="12"/>
  <c r="AG17" i="12"/>
  <c r="H7" i="11" s="1"/>
  <c r="AI17" i="12"/>
  <c r="K7" i="11"/>
  <c r="AL16" i="12"/>
  <c r="J6" i="11"/>
  <c r="AG16" i="12"/>
  <c r="H6" i="11" s="1"/>
  <c r="J5" i="11"/>
  <c r="AG15" i="12"/>
  <c r="H5" i="11" s="1"/>
  <c r="AI15" i="12"/>
  <c r="AL14" i="12"/>
  <c r="J4" i="11"/>
  <c r="AG14" i="12"/>
  <c r="G4" i="11"/>
  <c r="AL13" i="12"/>
  <c r="AG13" i="12"/>
  <c r="AI13" i="12"/>
  <c r="K3" i="11"/>
  <c r="J2" i="11"/>
  <c r="AG12" i="12"/>
  <c r="M47" i="12"/>
  <c r="J47" i="12"/>
  <c r="G47" i="12"/>
  <c r="AI40" i="12"/>
  <c r="AL19" i="12"/>
  <c r="AL21" i="12"/>
  <c r="AL23" i="12"/>
  <c r="AL12" i="12"/>
  <c r="AI20" i="12"/>
  <c r="AL27" i="12"/>
  <c r="AI24" i="12"/>
  <c r="AI18" i="12"/>
  <c r="AI22" i="12"/>
  <c r="AI33" i="12"/>
  <c r="AL28" i="12"/>
  <c r="AI36" i="12"/>
  <c r="AA20" i="12"/>
  <c r="AB20" i="12" s="1"/>
  <c r="AI34" i="12"/>
  <c r="AI16" i="12"/>
  <c r="H15" i="11"/>
  <c r="AI25" i="12"/>
  <c r="AI26" i="12"/>
  <c r="H17" i="11"/>
  <c r="AI27" i="12"/>
  <c r="G25" i="11"/>
  <c r="J29" i="11"/>
  <c r="J20" i="11"/>
  <c r="J12" i="11"/>
  <c r="H31" i="11"/>
  <c r="H23" i="11"/>
  <c r="J28" i="11"/>
  <c r="J19" i="11"/>
  <c r="J3" i="11"/>
  <c r="AL20" i="12"/>
  <c r="AL24" i="12"/>
  <c r="AL25" i="12"/>
  <c r="G31" i="11"/>
  <c r="G15" i="11"/>
  <c r="H14" i="11"/>
  <c r="J27" i="11"/>
  <c r="AL15" i="12"/>
  <c r="AA12" i="12"/>
  <c r="AB12" i="12" s="1"/>
  <c r="AA35" i="12"/>
  <c r="H29" i="11"/>
  <c r="J26" i="11"/>
  <c r="G29" i="11"/>
  <c r="J25" i="11"/>
  <c r="J8" i="11"/>
  <c r="G20" i="11"/>
  <c r="H27" i="11"/>
  <c r="H11" i="11"/>
  <c r="H3" i="11"/>
  <c r="J32" i="11"/>
  <c r="J7" i="11"/>
  <c r="G27" i="11"/>
  <c r="G3" i="11"/>
  <c r="H10" i="11"/>
  <c r="J31" i="11"/>
  <c r="J22" i="11"/>
  <c r="AA14" i="12"/>
  <c r="AB14" i="12" s="1"/>
  <c r="G26" i="11"/>
  <c r="H25" i="11"/>
  <c r="J30" i="11"/>
  <c r="J21" i="11"/>
  <c r="AA18" i="12"/>
  <c r="AB18" i="12" s="1"/>
  <c r="AA32" i="12"/>
  <c r="AB32" i="12" s="1"/>
  <c r="AA33" i="12"/>
  <c r="AB33" i="12" s="1"/>
  <c r="AA22" i="12"/>
  <c r="L12" i="11" s="1"/>
  <c r="AA30" i="12"/>
  <c r="AB30" i="12" s="1"/>
  <c r="O35" i="12"/>
  <c r="F32" i="11"/>
  <c r="O38" i="12"/>
  <c r="P13" i="12"/>
  <c r="E3" i="11" s="1"/>
  <c r="P20" i="12"/>
  <c r="E10" i="11" s="1"/>
  <c r="P21" i="12"/>
  <c r="E11" i="11" s="1"/>
  <c r="P31" i="12"/>
  <c r="E21" i="11" s="1"/>
  <c r="AA34" i="12"/>
  <c r="AB34" i="12" s="1"/>
  <c r="P35" i="12"/>
  <c r="E25" i="11" s="1"/>
  <c r="O16" i="12"/>
  <c r="AA16" i="12"/>
  <c r="AB16" i="12" s="1"/>
  <c r="O24" i="12"/>
  <c r="AA24" i="12"/>
  <c r="AA26" i="12"/>
  <c r="AB26" i="12" s="1"/>
  <c r="AA28" i="12"/>
  <c r="L18" i="11" s="1"/>
  <c r="K20" i="11"/>
  <c r="K12" i="11"/>
  <c r="K4" i="11"/>
  <c r="P25" i="12"/>
  <c r="E15" i="11" s="1"/>
  <c r="P27" i="12"/>
  <c r="P28" i="12"/>
  <c r="E18" i="11" s="1"/>
  <c r="P29" i="12"/>
  <c r="E19" i="11" s="1"/>
  <c r="K19" i="11"/>
  <c r="O14" i="12"/>
  <c r="O22" i="12"/>
  <c r="P34" i="12"/>
  <c r="E24" i="11" s="1"/>
  <c r="K26" i="11"/>
  <c r="K10" i="11"/>
  <c r="P16" i="12"/>
  <c r="E6" i="11" s="1"/>
  <c r="P17" i="12"/>
  <c r="E7" i="11" s="1"/>
  <c r="P23" i="12"/>
  <c r="E13" i="11" s="1"/>
  <c r="P24" i="12"/>
  <c r="E14" i="11" s="1"/>
  <c r="P26" i="12"/>
  <c r="K47" i="12"/>
  <c r="O34" i="12"/>
  <c r="O41" i="12"/>
  <c r="O12" i="12"/>
  <c r="O20" i="12"/>
  <c r="P41" i="12"/>
  <c r="E31" i="11" s="1"/>
  <c r="P14" i="12"/>
  <c r="E4" i="11" s="1"/>
  <c r="P15" i="12"/>
  <c r="E5" i="11" s="1"/>
  <c r="P22" i="12"/>
  <c r="E12" i="11" s="1"/>
  <c r="E47" i="12"/>
  <c r="P37" i="12"/>
  <c r="E27" i="11" s="1"/>
  <c r="P36" i="12"/>
  <c r="E26" i="11" s="1"/>
  <c r="I24" i="11"/>
  <c r="O23" i="12"/>
  <c r="O25" i="12"/>
  <c r="F15" i="11"/>
  <c r="O29" i="12"/>
  <c r="AA36" i="12"/>
  <c r="L26" i="11" s="1"/>
  <c r="H47" i="12"/>
  <c r="O13" i="12"/>
  <c r="O21" i="12"/>
  <c r="O27" i="12"/>
  <c r="L47" i="12"/>
  <c r="AA17" i="12"/>
  <c r="AB17" i="12" s="1"/>
  <c r="O18" i="12"/>
  <c r="AA19" i="12"/>
  <c r="AB19" i="12" s="1"/>
  <c r="AA21" i="12"/>
  <c r="AB21" i="12" s="1"/>
  <c r="AA23" i="12"/>
  <c r="AB23" i="12" s="1"/>
  <c r="AA25" i="12"/>
  <c r="AB25" i="12" s="1"/>
  <c r="O26" i="12"/>
  <c r="AA27" i="12"/>
  <c r="O28" i="12"/>
  <c r="AA29" i="12"/>
  <c r="AB29" i="12" s="1"/>
  <c r="AA39" i="12"/>
  <c r="AB39" i="12" s="1"/>
  <c r="O15" i="12"/>
  <c r="F47" i="12"/>
  <c r="AA13" i="12"/>
  <c r="AB13" i="12" s="1"/>
  <c r="P12" i="12"/>
  <c r="F2" i="11" s="1"/>
  <c r="O32" i="12"/>
  <c r="O39" i="12"/>
  <c r="O17" i="12"/>
  <c r="F7" i="11" s="1"/>
  <c r="P33" i="12"/>
  <c r="E23" i="11" s="1"/>
  <c r="AA38" i="12"/>
  <c r="L28" i="11" s="1"/>
  <c r="AI12" i="12"/>
  <c r="AA15" i="12"/>
  <c r="P30" i="12"/>
  <c r="E20" i="11" s="1"/>
  <c r="O33" i="12"/>
  <c r="L22" i="11"/>
  <c r="AA41" i="12"/>
  <c r="AB41" i="12" s="1"/>
  <c r="AA40" i="12"/>
  <c r="AI14" i="12"/>
  <c r="H4" i="11"/>
  <c r="AI31" i="12"/>
  <c r="H21" i="11"/>
  <c r="F10" i="11"/>
  <c r="F3" i="11"/>
  <c r="AI28" i="12"/>
  <c r="AI29" i="12"/>
  <c r="AA42" i="12"/>
  <c r="AB42" i="12" s="1"/>
  <c r="O37" i="12"/>
  <c r="F27" i="11"/>
  <c r="AB27" i="12"/>
  <c r="L7" i="11"/>
  <c r="AB28" i="12"/>
  <c r="O31" i="12"/>
  <c r="AB35" i="12"/>
  <c r="AB24" i="12"/>
  <c r="L14" i="11"/>
  <c r="AL34" i="12"/>
  <c r="J24" i="11"/>
  <c r="N47" i="12"/>
  <c r="E2" i="11"/>
  <c r="AA37" i="12"/>
  <c r="AB37" i="12" s="1"/>
  <c r="AB40" i="12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L23" i="11" l="1"/>
  <c r="L10" i="11"/>
  <c r="L11" i="11"/>
  <c r="L32" i="11"/>
  <c r="L3" i="11"/>
  <c r="L20" i="11"/>
  <c r="L16" i="11"/>
  <c r="L6" i="11"/>
  <c r="L4" i="11"/>
  <c r="AB36" i="12"/>
  <c r="L15" i="11"/>
  <c r="L30" i="11"/>
  <c r="AI47" i="12"/>
  <c r="F16" i="11"/>
  <c r="F17" i="11"/>
  <c r="AA47" i="12"/>
  <c r="AA49" i="12" s="1"/>
  <c r="AL47" i="12"/>
  <c r="G2" i="11"/>
  <c r="AG47" i="12"/>
  <c r="L25" i="11"/>
  <c r="L17" i="11"/>
  <c r="L9" i="11"/>
  <c r="F30" i="11"/>
  <c r="G6" i="11"/>
  <c r="H12" i="11"/>
  <c r="H8" i="11"/>
  <c r="H19" i="11"/>
  <c r="G5" i="11"/>
  <c r="H9" i="11"/>
  <c r="G28" i="11"/>
  <c r="G7" i="11"/>
  <c r="H2" i="11"/>
  <c r="G24" i="11"/>
  <c r="H13" i="11"/>
  <c r="G32" i="11"/>
  <c r="H22" i="11"/>
  <c r="H16" i="11"/>
  <c r="G30" i="11"/>
  <c r="H18" i="11"/>
  <c r="F26" i="11"/>
  <c r="F13" i="11"/>
  <c r="F29" i="11"/>
  <c r="F31" i="11"/>
  <c r="F19" i="11"/>
  <c r="F28" i="11"/>
  <c r="F20" i="11"/>
  <c r="E16" i="11"/>
  <c r="E17" i="11"/>
  <c r="F11" i="11"/>
  <c r="F14" i="11"/>
  <c r="F8" i="11"/>
  <c r="F12" i="11"/>
  <c r="F6" i="11"/>
  <c r="I47" i="12"/>
  <c r="F21" i="11"/>
  <c r="F23" i="11"/>
  <c r="F22" i="11"/>
  <c r="F4" i="11"/>
  <c r="F5" i="11"/>
  <c r="O19" i="12"/>
  <c r="F9" i="11" s="1"/>
  <c r="F24" i="11"/>
  <c r="F18" i="11"/>
  <c r="P47" i="12"/>
  <c r="S47" i="12" s="1"/>
  <c r="F25" i="11"/>
  <c r="L13" i="11"/>
  <c r="L8" i="11"/>
  <c r="AB22" i="12"/>
  <c r="L29" i="11"/>
  <c r="AB38" i="12"/>
  <c r="L5" i="11"/>
  <c r="L2" i="11"/>
  <c r="L19" i="11"/>
  <c r="L24" i="11"/>
  <c r="AB15" i="12"/>
  <c r="K17" i="11"/>
  <c r="K2" i="11"/>
  <c r="K9" i="11"/>
  <c r="K25" i="11"/>
  <c r="L31" i="11"/>
  <c r="L21" i="11"/>
  <c r="L27" i="11"/>
  <c r="AB47" i="12" l="1"/>
  <c r="O47" i="12"/>
  <c r="T47" i="12" s="1"/>
  <c r="U47" i="12" s="1"/>
  <c r="U48" i="12" s="1"/>
</calcChain>
</file>

<file path=xl/sharedStrings.xml><?xml version="1.0" encoding="utf-8"?>
<sst xmlns="http://schemas.openxmlformats.org/spreadsheetml/2006/main" count="102" uniqueCount="55">
  <si>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</si>
  <si>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</si>
  <si>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</si>
  <si>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</si>
  <si>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</si>
  <si>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</si>
  <si>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</si>
  <si>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</si>
  <si>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(Liter) 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</si>
  <si>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</si>
  <si>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</si>
  <si>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</si>
  <si>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</si>
  <si>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</si>
  <si>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Jimbaran</t>
  </si>
  <si>
    <t xml:space="preserve"> </t>
  </si>
  <si>
    <t>Four Seasons Resort Bali at Jimbaran Bay</t>
  </si>
  <si>
    <t>DECEMBER 2020</t>
  </si>
  <si>
    <t>Date</t>
  </si>
  <si>
    <t>Room Nights</t>
  </si>
  <si>
    <t>ELECTRICITY Resort, Sundara &amp; Residences</t>
  </si>
  <si>
    <t>WATER</t>
  </si>
  <si>
    <t>GAS</t>
  </si>
  <si>
    <t>Electricity Resort</t>
  </si>
  <si>
    <t>Electricity - Sundara</t>
  </si>
  <si>
    <t>Sub Total (Resort &amp; Sundara) Cost  (IDR)</t>
  </si>
  <si>
    <t>Sub Total (Resort &amp; Sundara), KWh</t>
  </si>
  <si>
    <t>Residences- Electricity KWh (daily reading N/A), monthly report</t>
  </si>
  <si>
    <t>Residences- Electricity cost (IDR)</t>
  </si>
  <si>
    <t>TOTAL  Electricity consumption (KWh)</t>
  </si>
  <si>
    <t>TOTAL  Electricity cost</t>
  </si>
  <si>
    <t>Water (m3)</t>
  </si>
  <si>
    <t xml:space="preserve">Total Water Cost </t>
  </si>
  <si>
    <t xml:space="preserve">LPG </t>
  </si>
  <si>
    <t>Diesel</t>
  </si>
  <si>
    <t>BASED LOAD KWh (from 10 pm - 6 pm)</t>
  </si>
  <si>
    <t>Cost (IDR)</t>
  </si>
  <si>
    <t>PEAK LOAD KWh (from 6 pm - 10 pm)</t>
  </si>
  <si>
    <t>Resort Cost  (IDR)</t>
  </si>
  <si>
    <t>Sundara Cost  (IDR)</t>
  </si>
  <si>
    <t>IDR</t>
  </si>
  <si>
    <t>USD</t>
  </si>
  <si>
    <t>Water consumption (m3)</t>
  </si>
  <si>
    <t>Municipal Water (m3)</t>
  </si>
  <si>
    <t>Municipal Water cost (IDR)</t>
  </si>
  <si>
    <t>Deepwell Consumption (m3)</t>
  </si>
  <si>
    <t>Deepwell water Cost (IDR)</t>
  </si>
  <si>
    <t>LPG Bulk (m3)</t>
  </si>
  <si>
    <t>50 Kg (tube) IVD &amp; TW</t>
  </si>
  <si>
    <t>Sundara 50 kg (tube)</t>
  </si>
  <si>
    <t>12 Kg (tube)</t>
  </si>
  <si>
    <t>Total kg</t>
  </si>
  <si>
    <t>Used (liters)</t>
  </si>
  <si>
    <t>`</t>
  </si>
  <si>
    <t>kWh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</si>
</sst>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&quot;$&quot;#,##0"/>
    <numFmt numFmtId="168" formatCode="_-* #,##0.0_-;\-* #,##0.0_-;_-* &quot;-&quot;??_-;_-@_-"/>
  </numFmts>
  <fonts count="2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</fills>
  <borders count="7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4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41" fontId="18" fillId="0" borderId="0" applyFont="0" applyFill="0" applyBorder="0" applyAlignment="0" applyProtection="0"/>
    <xf numFmtId="0" fontId="18" fillId="0" borderId="0"/>
  </cellStyleXfs>
  <cellXfs count="252">
    <xf numFmtId="0" fontId="0" fillId="0" borderId="0" xfId="0"/>
    <xf numFmtId="0" fontId="0" fillId="0" borderId="8" xfId="0" applyBorder="1"/>
    <xf numFmtId="165" fontId="0" fillId="0" borderId="8" xfId="2" applyNumberFormat="1" applyFont="1" applyBorder="1"/>
    <xf numFmtId="165" fontId="0" fillId="0" borderId="0" xfId="2" applyNumberFormat="1" applyFont="1"/>
    <xf numFmtId="165" fontId="0" fillId="0" borderId="0" xfId="2" applyNumberFormat="1" applyFont="1" applyBorder="1"/>
    <xf numFmtId="165" fontId="1" fillId="0" borderId="0" xfId="2" applyNumberFormat="1" applyFont="1"/>
    <xf numFmtId="165" fontId="0" fillId="3" borderId="0" xfId="2" applyNumberFormat="1" applyFont="1" applyFill="1" applyBorder="1"/>
    <xf numFmtId="0" fontId="0" fillId="3" borderId="0" xfId="0" applyFill="1"/>
    <xf numFmtId="164" fontId="4" fillId="0" borderId="0" xfId="2" applyFont="1" applyBorder="1"/>
    <xf numFmtId="164" fontId="4" fillId="0" borderId="0" xfId="0" applyNumberFormat="1" applyFont="1"/>
    <xf numFmtId="165" fontId="0" fillId="0" borderId="0" xfId="0" applyNumberFormat="1"/>
    <xf numFmtId="164" fontId="0" fillId="3" borderId="12" xfId="2" applyFont="1" applyFill="1" applyBorder="1"/>
    <xf numFmtId="164" fontId="0" fillId="3" borderId="15" xfId="2" applyFont="1" applyFill="1" applyBorder="1"/>
    <xf numFmtId="164" fontId="0" fillId="3" borderId="24" xfId="2" applyFont="1" applyFill="1" applyBorder="1"/>
    <xf numFmtId="164" fontId="0" fillId="3" borderId="11" xfId="2" applyFont="1" applyFill="1" applyBorder="1"/>
    <xf numFmtId="0" fontId="8" fillId="0" borderId="0" xfId="0" applyFont="1"/>
    <xf numFmtId="0" fontId="0" fillId="0" borderId="22" xfId="0" applyBorder="1"/>
    <xf numFmtId="0" fontId="0" fillId="0" borderId="34" xfId="0" applyBorder="1" applyAlignment="1">
      <alignment horizontal="center" vertical="center" wrapText="1"/>
    </xf>
    <xf numFmtId="0" fontId="4" fillId="0" borderId="0" xfId="0" applyFont="1" applyAlignment="1">
      <alignment horizontal="right"/>
    </xf>
    <xf numFmtId="164" fontId="0" fillId="3" borderId="0" xfId="0" applyNumberFormat="1" applyFill="1"/>
    <xf numFmtId="165" fontId="4" fillId="0" borderId="0" xfId="2" applyNumberFormat="1" applyFont="1" applyBorder="1"/>
    <xf numFmtId="0" fontId="0" fillId="0" borderId="9" xfId="0" applyBorder="1"/>
    <xf numFmtId="165" fontId="0" fillId="0" borderId="12" xfId="2" applyNumberFormat="1" applyFont="1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165" fontId="0" fillId="0" borderId="35" xfId="2" applyNumberFormat="1" applyFont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4" fontId="0" fillId="3" borderId="41" xfId="2" applyFont="1" applyFill="1" applyBorder="1"/>
    <xf numFmtId="164" fontId="0" fillId="3" borderId="5" xfId="2" applyFont="1" applyFill="1" applyBorder="1"/>
    <xf numFmtId="165" fontId="0" fillId="3" borderId="0" xfId="0" applyNumberFormat="1" applyFill="1"/>
    <xf numFmtId="0" fontId="6" fillId="3" borderId="0" xfId="0" applyFont="1" applyFill="1"/>
    <xf numFmtId="0" fontId="1" fillId="3" borderId="0" xfId="0" applyFont="1" applyFill="1"/>
    <xf numFmtId="0" fontId="0" fillId="3" borderId="0" xfId="0" applyFill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9" fillId="3" borderId="0" xfId="0" applyFont="1" applyFill="1"/>
    <xf numFmtId="165" fontId="0" fillId="0" borderId="9" xfId="0" applyNumberFormat="1" applyBorder="1"/>
    <xf numFmtId="0" fontId="0" fillId="3" borderId="5" xfId="0" applyFill="1" applyBorder="1"/>
    <xf numFmtId="165" fontId="0" fillId="3" borderId="0" xfId="2" applyNumberFormat="1" applyFont="1" applyFill="1" applyBorder="1" applyAlignment="1">
      <alignment horizontal="right"/>
    </xf>
    <xf numFmtId="165" fontId="6" fillId="3" borderId="0" xfId="2" applyNumberFormat="1" applyFont="1" applyFill="1" applyBorder="1" applyAlignment="1"/>
    <xf numFmtId="166" fontId="0" fillId="0" borderId="8" xfId="2" applyNumberFormat="1" applyFont="1" applyBorder="1"/>
    <xf numFmtId="0" fontId="1" fillId="4" borderId="39" xfId="0" applyFont="1" applyFill="1" applyBorder="1" applyAlignment="1">
      <alignment horizontal="center" vertical="center"/>
    </xf>
    <xf numFmtId="167" fontId="6" fillId="3" borderId="0" xfId="0" applyNumberFormat="1" applyFont="1" applyFill="1"/>
    <xf numFmtId="167" fontId="1" fillId="4" borderId="4" xfId="0" applyNumberFormat="1" applyFont="1" applyFill="1" applyBorder="1" applyAlignment="1">
      <alignment horizontal="center" vertical="center"/>
    </xf>
    <xf numFmtId="167" fontId="0" fillId="0" borderId="21" xfId="2" applyNumberFormat="1" applyFont="1" applyBorder="1"/>
    <xf numFmtId="167" fontId="0" fillId="3" borderId="5" xfId="0" applyNumberFormat="1" applyFill="1" applyBorder="1"/>
    <xf numFmtId="167" fontId="0" fillId="0" borderId="0" xfId="0" applyNumberFormat="1"/>
    <xf numFmtId="0" fontId="0" fillId="0" borderId="13" xfId="0" applyBorder="1" applyAlignment="1">
      <alignment horizontal="center" vertical="center" wrapText="1"/>
    </xf>
    <xf numFmtId="167" fontId="0" fillId="0" borderId="9" xfId="2" applyNumberFormat="1" applyFont="1" applyBorder="1"/>
    <xf numFmtId="164" fontId="0" fillId="3" borderId="23" xfId="0" applyNumberFormat="1" applyFill="1" applyBorder="1"/>
    <xf numFmtId="165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165" fontId="0" fillId="0" borderId="46" xfId="2" applyNumberFormat="1" applyFont="1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7" fontId="0" fillId="0" borderId="27" xfId="0" applyNumberFormat="1" applyBorder="1" applyAlignment="1">
      <alignment horizontal="center" vertical="center" wrapText="1"/>
    </xf>
    <xf numFmtId="167" fontId="0" fillId="0" borderId="47" xfId="0" applyNumberFormat="1" applyBorder="1" applyAlignment="1">
      <alignment horizontal="center" vertical="center" wrapText="1"/>
    </xf>
    <xf numFmtId="0" fontId="0" fillId="5" borderId="18" xfId="0" applyFill="1" applyBorder="1" applyAlignment="1">
      <alignment vertical="center"/>
    </xf>
    <xf numFmtId="0" fontId="0" fillId="5" borderId="19" xfId="0" applyFill="1" applyBorder="1" applyAlignment="1">
      <alignment vertical="center"/>
    </xf>
    <xf numFmtId="0" fontId="0" fillId="5" borderId="35" xfId="0" applyFill="1" applyBorder="1" applyAlignment="1">
      <alignment horizontal="center" vertical="center"/>
    </xf>
    <xf numFmtId="0" fontId="1" fillId="0" borderId="31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12" fillId="11" borderId="48" xfId="0" applyFont="1" applyFill="1" applyBorder="1" applyAlignment="1">
      <alignment horizontal="center" vertical="center" shrinkToFit="1"/>
    </xf>
    <xf numFmtId="0" fontId="12" fillId="11" borderId="49" xfId="0" applyFont="1" applyFill="1" applyBorder="1" applyAlignment="1">
      <alignment horizontal="center" vertical="center" shrinkToFit="1"/>
    </xf>
    <xf numFmtId="164" fontId="9" fillId="3" borderId="0" xfId="2" applyFont="1" applyFill="1" applyBorder="1" applyAlignment="1"/>
    <xf numFmtId="164" fontId="8" fillId="0" borderId="16" xfId="2" applyFont="1" applyBorder="1" applyAlignment="1">
      <alignment horizontal="center" vertical="center" wrapText="1"/>
    </xf>
    <xf numFmtId="164" fontId="8" fillId="0" borderId="29" xfId="2" applyFont="1" applyBorder="1" applyAlignment="1">
      <alignment horizontal="center" vertical="center" wrapText="1"/>
    </xf>
    <xf numFmtId="164" fontId="8" fillId="0" borderId="8" xfId="2" applyFont="1" applyBorder="1"/>
    <xf numFmtId="164" fontId="8" fillId="3" borderId="0" xfId="2" applyFont="1" applyFill="1" applyBorder="1"/>
    <xf numFmtId="164" fontId="13" fillId="0" borderId="0" xfId="2" applyFont="1" applyBorder="1"/>
    <xf numFmtId="164" fontId="8" fillId="0" borderId="0" xfId="2" applyFont="1"/>
    <xf numFmtId="165" fontId="9" fillId="3" borderId="0" xfId="2" applyNumberFormat="1" applyFont="1" applyFill="1" applyBorder="1" applyAlignment="1"/>
    <xf numFmtId="165" fontId="8" fillId="3" borderId="0" xfId="2" applyNumberFormat="1" applyFont="1" applyFill="1" applyBorder="1"/>
    <xf numFmtId="165" fontId="13" fillId="0" borderId="0" xfId="2" applyNumberFormat="1" applyFont="1" applyBorder="1"/>
    <xf numFmtId="165" fontId="8" fillId="0" borderId="0" xfId="2" applyNumberFormat="1" applyFont="1"/>
    <xf numFmtId="165" fontId="0" fillId="3" borderId="43" xfId="0" applyNumberFormat="1" applyFill="1" applyBorder="1"/>
    <xf numFmtId="165" fontId="1" fillId="0" borderId="43" xfId="0" applyNumberFormat="1" applyFont="1" applyBorder="1"/>
    <xf numFmtId="0" fontId="0" fillId="3" borderId="51" xfId="0" applyFill="1" applyBorder="1"/>
    <xf numFmtId="165" fontId="0" fillId="3" borderId="51" xfId="2" applyNumberFormat="1" applyFont="1" applyFill="1" applyBorder="1"/>
    <xf numFmtId="164" fontId="8" fillId="3" borderId="51" xfId="2" applyFont="1" applyFill="1" applyBorder="1"/>
    <xf numFmtId="165" fontId="8" fillId="3" borderId="51" xfId="2" applyNumberFormat="1" applyFont="1" applyFill="1" applyBorder="1"/>
    <xf numFmtId="164" fontId="0" fillId="3" borderId="51" xfId="0" applyNumberFormat="1" applyFill="1" applyBorder="1"/>
    <xf numFmtId="0" fontId="0" fillId="3" borderId="53" xfId="0" applyFill="1" applyBorder="1"/>
    <xf numFmtId="43" fontId="0" fillId="3" borderId="51" xfId="0" applyNumberFormat="1" applyFill="1" applyBorder="1"/>
    <xf numFmtId="165" fontId="0" fillId="3" borderId="51" xfId="0" applyNumberFormat="1" applyFill="1" applyBorder="1"/>
    <xf numFmtId="165" fontId="0" fillId="0" borderId="51" xfId="2" applyNumberFormat="1" applyFont="1" applyBorder="1"/>
    <xf numFmtId="167" fontId="0" fillId="3" borderId="53" xfId="0" applyNumberFormat="1" applyFill="1" applyBorder="1"/>
    <xf numFmtId="165" fontId="0" fillId="0" borderId="0" xfId="2" applyNumberFormat="1" applyFont="1" applyBorder="1" applyAlignment="1">
      <alignment horizontal="right"/>
    </xf>
    <xf numFmtId="165" fontId="9" fillId="6" borderId="23" xfId="2" applyNumberFormat="1" applyFont="1" applyFill="1" applyBorder="1"/>
    <xf numFmtId="165" fontId="1" fillId="6" borderId="23" xfId="0" applyNumberFormat="1" applyFont="1" applyFill="1" applyBorder="1"/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68" fontId="6" fillId="3" borderId="0" xfId="2" applyNumberFormat="1" applyFont="1" applyFill="1" applyBorder="1" applyAlignment="1"/>
    <xf numFmtId="168" fontId="0" fillId="3" borderId="0" xfId="2" applyNumberFormat="1" applyFont="1" applyFill="1" applyBorder="1"/>
    <xf numFmtId="168" fontId="0" fillId="3" borderId="51" xfId="2" applyNumberFormat="1" applyFont="1" applyFill="1" applyBorder="1"/>
    <xf numFmtId="168" fontId="0" fillId="0" borderId="0" xfId="2" applyNumberFormat="1" applyFont="1" applyBorder="1"/>
    <xf numFmtId="168" fontId="0" fillId="0" borderId="0" xfId="2" applyNumberFormat="1" applyFont="1"/>
    <xf numFmtId="165" fontId="0" fillId="0" borderId="19" xfId="2" applyNumberFormat="1" applyFont="1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165" fontId="9" fillId="0" borderId="58" xfId="2" applyNumberFormat="1" applyFont="1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165" fontId="8" fillId="0" borderId="60" xfId="2" applyNumberFormat="1" applyFont="1" applyBorder="1" applyAlignment="1">
      <alignment horizontal="center" vertical="center" wrapText="1"/>
    </xf>
    <xf numFmtId="165" fontId="8" fillId="0" borderId="21" xfId="2" applyNumberFormat="1" applyFont="1" applyBorder="1"/>
    <xf numFmtId="0" fontId="0" fillId="0" borderId="31" xfId="0" applyBorder="1"/>
    <xf numFmtId="165" fontId="0" fillId="0" borderId="31" xfId="2" applyNumberFormat="1" applyFont="1" applyBorder="1"/>
    <xf numFmtId="164" fontId="8" fillId="0" borderId="31" xfId="2" applyFont="1" applyBorder="1"/>
    <xf numFmtId="165" fontId="8" fillId="0" borderId="34" xfId="2" applyNumberFormat="1" applyFont="1" applyBorder="1"/>
    <xf numFmtId="0" fontId="1" fillId="0" borderId="57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165" fontId="0" fillId="0" borderId="18" xfId="2" applyNumberFormat="1" applyFont="1" applyBorder="1" applyAlignment="1">
      <alignment horizontal="center" vertical="center" wrapText="1"/>
    </xf>
    <xf numFmtId="0" fontId="0" fillId="0" borderId="60" xfId="0" applyBorder="1" applyAlignment="1">
      <alignment horizontal="center" vertical="center" wrapText="1"/>
    </xf>
    <xf numFmtId="164" fontId="0" fillId="0" borderId="21" xfId="0" applyNumberFormat="1" applyBorder="1"/>
    <xf numFmtId="165" fontId="0" fillId="0" borderId="62" xfId="2" applyNumberFormat="1" applyFont="1" applyBorder="1"/>
    <xf numFmtId="0" fontId="0" fillId="0" borderId="34" xfId="0" applyBorder="1"/>
    <xf numFmtId="165" fontId="0" fillId="0" borderId="10" xfId="2" applyNumberFormat="1" applyFont="1" applyBorder="1"/>
    <xf numFmtId="0" fontId="0" fillId="0" borderId="63" xfId="0" applyBorder="1"/>
    <xf numFmtId="164" fontId="0" fillId="0" borderId="49" xfId="2" applyFont="1" applyBorder="1"/>
    <xf numFmtId="164" fontId="0" fillId="0" borderId="64" xfId="2" applyFont="1" applyBorder="1"/>
    <xf numFmtId="0" fontId="0" fillId="0" borderId="39" xfId="0" applyBorder="1" applyAlignment="1">
      <alignment horizontal="center" vertical="center" wrapText="1"/>
    </xf>
    <xf numFmtId="165" fontId="8" fillId="0" borderId="48" xfId="2" applyNumberFormat="1" applyFont="1" applyBorder="1" applyAlignment="1">
      <alignment horizontal="center" vertical="center" wrapText="1"/>
    </xf>
    <xf numFmtId="165" fontId="8" fillId="0" borderId="49" xfId="2" applyNumberFormat="1" applyFont="1" applyBorder="1"/>
    <xf numFmtId="165" fontId="8" fillId="0" borderId="64" xfId="2" applyNumberFormat="1" applyFont="1" applyBorder="1"/>
    <xf numFmtId="165" fontId="10" fillId="0" borderId="23" xfId="0" applyNumberFormat="1" applyFont="1" applyBorder="1"/>
    <xf numFmtId="168" fontId="0" fillId="0" borderId="36" xfId="2" applyNumberFormat="1" applyFont="1" applyBorder="1" applyAlignment="1">
      <alignment horizontal="center" vertical="center" wrapText="1"/>
    </xf>
    <xf numFmtId="168" fontId="4" fillId="0" borderId="0" xfId="2" applyNumberFormat="1" applyFont="1" applyBorder="1"/>
    <xf numFmtId="165" fontId="9" fillId="6" borderId="23" xfId="0" applyNumberFormat="1" applyFont="1" applyFill="1" applyBorder="1"/>
    <xf numFmtId="165" fontId="0" fillId="3" borderId="14" xfId="2" applyNumberFormat="1" applyFont="1" applyFill="1" applyBorder="1"/>
    <xf numFmtId="0" fontId="0" fillId="3" borderId="66" xfId="0" applyFill="1" applyBorder="1"/>
    <xf numFmtId="0" fontId="0" fillId="3" borderId="15" xfId="0" applyFill="1" applyBorder="1"/>
    <xf numFmtId="0" fontId="0" fillId="3" borderId="67" xfId="0" applyFill="1" applyBorder="1"/>
    <xf numFmtId="0" fontId="0" fillId="3" borderId="68" xfId="0" applyFill="1" applyBorder="1"/>
    <xf numFmtId="165" fontId="0" fillId="3" borderId="52" xfId="2" applyNumberFormat="1" applyFont="1" applyFill="1" applyBorder="1"/>
    <xf numFmtId="0" fontId="12" fillId="11" borderId="64" xfId="0" applyFont="1" applyFill="1" applyBorder="1" applyAlignment="1">
      <alignment horizontal="center" vertical="center" shrinkToFit="1"/>
    </xf>
    <xf numFmtId="165" fontId="1" fillId="0" borderId="23" xfId="2" applyNumberFormat="1" applyFont="1" applyBorder="1"/>
    <xf numFmtId="0" fontId="0" fillId="0" borderId="70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10" xfId="0" applyBorder="1"/>
    <xf numFmtId="165" fontId="0" fillId="0" borderId="21" xfId="0" applyNumberFormat="1" applyBorder="1"/>
    <xf numFmtId="0" fontId="0" fillId="0" borderId="21" xfId="0" applyBorder="1"/>
    <xf numFmtId="0" fontId="0" fillId="3" borderId="54" xfId="0" applyFill="1" applyBorder="1"/>
    <xf numFmtId="43" fontId="0" fillId="3" borderId="5" xfId="0" applyNumberFormat="1" applyFill="1" applyBorder="1"/>
    <xf numFmtId="0" fontId="0" fillId="3" borderId="71" xfId="0" applyFill="1" applyBorder="1"/>
    <xf numFmtId="165" fontId="1" fillId="0" borderId="12" xfId="2" applyNumberFormat="1" applyFont="1" applyBorder="1" applyAlignment="1">
      <alignment horizontal="center" vertical="center" wrapText="1"/>
    </xf>
    <xf numFmtId="168" fontId="0" fillId="0" borderId="24" xfId="2" applyNumberFormat="1" applyFont="1" applyBorder="1"/>
    <xf numFmtId="165" fontId="1" fillId="0" borderId="22" xfId="2" applyNumberFormat="1" applyFont="1" applyBorder="1"/>
    <xf numFmtId="165" fontId="15" fillId="3" borderId="8" xfId="2" applyNumberFormat="1" applyFont="1" applyFill="1" applyBorder="1" applyProtection="1">
      <protection locked="0"/>
    </xf>
    <xf numFmtId="168" fontId="0" fillId="3" borderId="11" xfId="2" applyNumberFormat="1" applyFont="1" applyFill="1" applyBorder="1"/>
    <xf numFmtId="168" fontId="7" fillId="3" borderId="11" xfId="2" applyNumberFormat="1" applyFont="1" applyFill="1" applyBorder="1" applyAlignment="1">
      <alignment vertical="top" wrapText="1"/>
    </xf>
    <xf numFmtId="168" fontId="7" fillId="3" borderId="0" xfId="2" applyNumberFormat="1" applyFont="1" applyFill="1" applyBorder="1" applyAlignment="1">
      <alignment vertical="top" wrapText="1"/>
    </xf>
    <xf numFmtId="0" fontId="7" fillId="3" borderId="66" xfId="4" applyFill="1" applyBorder="1" applyAlignment="1">
      <alignment vertical="top" wrapText="1"/>
    </xf>
    <xf numFmtId="0" fontId="0" fillId="3" borderId="57" xfId="0" applyFill="1" applyBorder="1" applyAlignment="1">
      <alignment wrapText="1"/>
    </xf>
    <xf numFmtId="0" fontId="0" fillId="3" borderId="66" xfId="0" applyFill="1" applyBorder="1" applyAlignment="1">
      <alignment wrapText="1"/>
    </xf>
    <xf numFmtId="44" fontId="9" fillId="12" borderId="7" xfId="1" applyFont="1" applyFill="1" applyBorder="1"/>
    <xf numFmtId="165" fontId="0" fillId="3" borderId="23" xfId="2" applyNumberFormat="1" applyFont="1" applyFill="1" applyBorder="1"/>
    <xf numFmtId="43" fontId="0" fillId="0" borderId="0" xfId="0" applyNumberFormat="1"/>
    <xf numFmtId="168" fontId="1" fillId="4" borderId="3" xfId="2" applyNumberFormat="1" applyFont="1" applyFill="1" applyBorder="1" applyAlignment="1">
      <alignment horizontal="center" vertical="center"/>
    </xf>
    <xf numFmtId="168" fontId="0" fillId="0" borderId="45" xfId="2" applyNumberFormat="1" applyFont="1" applyBorder="1" applyAlignment="1">
      <alignment horizontal="center" vertical="center" wrapText="1"/>
    </xf>
    <xf numFmtId="168" fontId="0" fillId="0" borderId="26" xfId="2" applyNumberFormat="1" applyFont="1" applyBorder="1" applyAlignment="1">
      <alignment horizontal="center" vertical="center" wrapText="1"/>
    </xf>
    <xf numFmtId="168" fontId="0" fillId="0" borderId="22" xfId="2" applyNumberFormat="1" applyFont="1" applyBorder="1"/>
    <xf numFmtId="168" fontId="0" fillId="0" borderId="51" xfId="2" applyNumberFormat="1" applyFont="1" applyBorder="1"/>
    <xf numFmtId="164" fontId="5" fillId="0" borderId="0" xfId="2" applyFont="1" applyBorder="1"/>
    <xf numFmtId="164" fontId="0" fillId="3" borderId="33" xfId="2" applyFont="1" applyFill="1" applyBorder="1"/>
    <xf numFmtId="164" fontId="0" fillId="3" borderId="55" xfId="2" applyFont="1" applyFill="1" applyBorder="1"/>
    <xf numFmtId="164" fontId="0" fillId="3" borderId="7" xfId="2" applyFont="1" applyFill="1" applyBorder="1"/>
    <xf numFmtId="0" fontId="7" fillId="0" borderId="23" xfId="4" quotePrefix="1" applyBorder="1"/>
    <xf numFmtId="165" fontId="15" fillId="3" borderId="72" xfId="2" applyNumberFormat="1" applyFont="1" applyFill="1" applyBorder="1" applyProtection="1">
      <protection locked="0"/>
    </xf>
    <xf numFmtId="166" fontId="0" fillId="0" borderId="61" xfId="2" applyNumberFormat="1" applyFont="1" applyBorder="1"/>
    <xf numFmtId="165" fontId="15" fillId="3" borderId="49" xfId="2" applyNumberFormat="1" applyFont="1" applyFill="1" applyBorder="1" applyProtection="1">
      <protection locked="0"/>
    </xf>
    <xf numFmtId="165" fontId="0" fillId="0" borderId="64" xfId="2" applyNumberFormat="1" applyFont="1" applyBorder="1"/>
    <xf numFmtId="7" fontId="4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2" fontId="14" fillId="0" borderId="8" xfId="0" applyNumberFormat="1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0" fontId="0" fillId="5" borderId="29" xfId="0" applyFill="1" applyBorder="1" applyAlignment="1">
      <alignment horizontal="center" vertical="center"/>
    </xf>
    <xf numFmtId="9" fontId="8" fillId="0" borderId="0" xfId="5" applyFont="1"/>
    <xf numFmtId="9" fontId="0" fillId="0" borderId="0" xfId="0" applyNumberFormat="1"/>
    <xf numFmtId="165" fontId="15" fillId="3" borderId="69" xfId="2" applyNumberFormat="1" applyFont="1" applyFill="1" applyBorder="1" applyProtection="1">
      <protection locked="0"/>
    </xf>
    <xf numFmtId="165" fontId="15" fillId="3" borderId="50" xfId="2" applyNumberFormat="1" applyFont="1" applyFill="1" applyBorder="1" applyProtection="1">
      <protection locked="0"/>
    </xf>
    <xf numFmtId="0" fontId="7" fillId="3" borderId="0" xfId="4" applyFill="1" applyBorder="1" applyAlignment="1">
      <alignment vertical="top" wrapText="1"/>
    </xf>
    <xf numFmtId="0" fontId="7" fillId="0" borderId="73" xfId="4" quotePrefix="1" applyBorder="1"/>
    <xf numFmtId="165" fontId="1" fillId="5" borderId="6" xfId="0" applyNumberFormat="1" applyFont="1" applyFill="1" applyBorder="1"/>
    <xf numFmtId="164" fontId="17" fillId="0" borderId="0" xfId="2" applyFont="1"/>
    <xf numFmtId="0" fontId="7" fillId="3" borderId="66" xfId="4" quotePrefix="1" applyFill="1" applyBorder="1" applyAlignment="1"/>
    <xf numFmtId="165" fontId="0" fillId="0" borderId="8" xfId="2" applyNumberFormat="1" applyFont="1" applyFill="1" applyBorder="1"/>
    <xf numFmtId="165" fontId="9" fillId="0" borderId="0" xfId="2" applyNumberFormat="1" applyFont="1"/>
    <xf numFmtId="9" fontId="0" fillId="0" borderId="0" xfId="5" applyFont="1"/>
    <xf numFmtId="0" fontId="19" fillId="13" borderId="49" xfId="0" applyFont="1" applyFill="1" applyBorder="1"/>
    <xf numFmtId="0" fontId="19" fillId="13" borderId="74" xfId="0" applyFont="1" applyFill="1" applyBorder="1"/>
    <xf numFmtId="1" fontId="0" fillId="0" borderId="0" xfId="0" applyNumberFormat="1"/>
    <xf numFmtId="1" fontId="19" fillId="13" borderId="74" xfId="0" applyNumberFormat="1" applyFont="1" applyFill="1" applyBorder="1"/>
    <xf numFmtId="0" fontId="1" fillId="6" borderId="12" xfId="0" applyFont="1" applyFill="1" applyBorder="1" applyAlignment="1">
      <alignment horizontal="center" vertical="center" wrapText="1"/>
    </xf>
    <xf numFmtId="0" fontId="1" fillId="6" borderId="33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0" fillId="5" borderId="29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/>
    </xf>
    <xf numFmtId="49" fontId="9" fillId="2" borderId="44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11" fillId="10" borderId="28" xfId="0" applyFont="1" applyFill="1" applyBorder="1" applyAlignment="1">
      <alignment horizontal="center" vertical="center" wrapText="1"/>
    </xf>
    <xf numFmtId="0" fontId="11" fillId="10" borderId="42" xfId="0" applyFont="1" applyFill="1" applyBorder="1" applyAlignment="1">
      <alignment horizontal="center" vertical="center" wrapText="1"/>
    </xf>
    <xf numFmtId="0" fontId="11" fillId="10" borderId="43" xfId="0" applyFont="1" applyFill="1" applyBorder="1" applyAlignment="1">
      <alignment horizontal="center" vertical="center" wrapText="1"/>
    </xf>
    <xf numFmtId="164" fontId="0" fillId="0" borderId="28" xfId="2" applyFont="1" applyBorder="1" applyAlignment="1">
      <alignment horizontal="center" vertical="center" wrapText="1"/>
    </xf>
    <xf numFmtId="164" fontId="0" fillId="0" borderId="42" xfId="2" applyFont="1" applyBorder="1" applyAlignment="1">
      <alignment horizontal="center" vertical="center" wrapText="1"/>
    </xf>
    <xf numFmtId="164" fontId="0" fillId="0" borderId="43" xfId="2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1" fillId="8" borderId="39" xfId="0" applyFont="1" applyFill="1" applyBorder="1" applyAlignment="1">
      <alignment horizontal="center"/>
    </xf>
    <xf numFmtId="0" fontId="1" fillId="8" borderId="19" xfId="0" applyFont="1" applyFill="1" applyBorder="1" applyAlignment="1">
      <alignment horizontal="center"/>
    </xf>
    <xf numFmtId="0" fontId="1" fillId="8" borderId="20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9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4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165" fontId="9" fillId="0" borderId="28" xfId="2" applyNumberFormat="1" applyFont="1" applyBorder="1" applyAlignment="1">
      <alignment horizontal="center" vertical="center" wrapText="1"/>
    </xf>
    <xf numFmtId="165" fontId="9" fillId="0" borderId="43" xfId="2" applyNumberFormat="1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55" xfId="0" applyFont="1" applyBorder="1" applyAlignment="1">
      <alignment horizontal="center" vertical="center" wrapText="1"/>
    </xf>
    <xf numFmtId="168" fontId="1" fillId="0" borderId="12" xfId="2" applyNumberFormat="1" applyFont="1" applyBorder="1" applyAlignment="1">
      <alignment horizontal="center" vertical="center" wrapText="1"/>
    </xf>
    <xf numFmtId="168" fontId="1" fillId="0" borderId="33" xfId="2" applyNumberFormat="1" applyFont="1" applyBorder="1" applyAlignment="1">
      <alignment horizontal="center" vertical="center" wrapText="1"/>
    </xf>
    <xf numFmtId="17" fontId="6" fillId="3" borderId="65" xfId="0" applyNumberFormat="1" applyFont="1" applyFill="1" applyBorder="1" applyAlignment="1">
      <alignment horizontal="center"/>
    </xf>
    <xf numFmtId="0" fontId="6" fillId="3" borderId="65" xfId="0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1" fillId="10" borderId="8" xfId="0" applyFont="1" applyFill="1" applyBorder="1" applyAlignment="1">
      <alignment horizontal="center" vertical="center" wrapText="1"/>
    </xf>
  </cellXfs>
  <cellStyles count="10">
    <cellStyle name="Comma" xfId="2" builtinId="3"/>
    <cellStyle name="Comma [0] 2" xfId="8" xr:uid="{00000000-0005-0000-0000-000001000000}"/>
    <cellStyle name="Comma 10" xfId="3" xr:uid="{00000000-0005-0000-0000-000002000000}"/>
    <cellStyle name="Comma 2" xfId="6" xr:uid="{00000000-0005-0000-0000-000003000000}"/>
    <cellStyle name="Currency" xfId="1" builtinId="4"/>
    <cellStyle name="Hyperlink" xfId="4" builtinId="8"/>
    <cellStyle name="Hyperlink 2" xfId="7" xr:uid="{00000000-0005-0000-0000-000006000000}"/>
    <cellStyle name="Normal" xfId="0" builtinId="0"/>
    <cellStyle name="Normal 2" xfId="9" xr:uid="{00000000-0005-0000-0000-000008000000}"/>
    <cellStyle name="Percent" xfId="5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344023</xdr:colOff>
      <xdr:row>4</xdr:row>
      <xdr:rowOff>138265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Z32"/>
  <sheetViews>
    <sheetView tabSelected="1" workbookViewId="0">
      <selection activeCell="I2" sqref="I2"/>
    </sheetView>
  </sheetViews>
  <sheetFormatPr defaultColWidth="11.5703125" defaultRowHeight="15"/>
  <cols>
    <col min="1" max="1" width="18.42578125" style="187" customWidth="1"/>
    <col min="2" max="2" width="11.5703125" style="188"/>
    <col min="3" max="3" width="11.5703125" style="189"/>
    <col min="4" max="4" width="13.42578125" style="188" customWidth="1"/>
    <col min="5" max="5" width="12.5703125" style="186" customWidth="1"/>
    <col min="6" max="6" width="12.5703125" style="190" customWidth="1"/>
    <col min="7" max="7" width="11.5703125" style="186"/>
    <col min="8" max="8" width="11.5703125" style="190"/>
    <col min="9" max="9" width="11.5703125" style="191"/>
    <col min="10" max="10" width="11.5703125" style="192"/>
    <col min="11" max="11" width="11.5703125" style="186"/>
    <col min="12" max="12" width="11.5703125" style="192"/>
    <col min="13" max="26" width="11.5703125" style="186"/>
  </cols>
  <sheetData>
    <row r="1" spans="1:15" s="180" customFormat="1" ht="60.75">
      <c r="A1" s="176" t="s">
        <v>0</v>
      </c>
      <c r="B1" s="176" t="s">
        <v>1</v>
      </c>
      <c r="C1" s="177" t="s">
        <v>2</v>
      </c>
      <c r="D1" s="176" t="s">
        <v>3</v>
      </c>
      <c r="E1" s="175" t="s">
        <v>4</v>
      </c>
      <c r="F1" s="178" t="s">
        <v>5</v>
      </c>
      <c r="G1" s="175" t="s">
        <v>6</v>
      </c>
      <c r="H1" s="178" t="s">
        <v>7</v>
      </c>
      <c r="I1" s="175" t="s">
        <v>8</v>
      </c>
      <c r="J1" s="178" t="s">
        <v>9</v>
      </c>
      <c r="K1" s="175" t="s">
        <v>10</v>
      </c>
      <c r="L1" s="179" t="s">
        <v>11</v>
      </c>
      <c r="M1" s="175" t="s">
        <v>12</v>
      </c>
      <c r="N1" s="175" t="s">
        <v>13</v>
      </c>
    </row>
    <row r="2" spans="1:15">
      <c r="A2" s="181" t="s">
        <v>14</v>
      </c>
      <c r="B2" s="182">
        <v>1</v>
      </c>
      <c r="C2" s="183">
        <v>12</v>
      </c>
      <c r="D2" s="182">
        <v>2020</v>
      </c>
      <c r="E2" s="184">
        <f>'FS Jimbaran December 2020'!P12</f>
        <v>13060.000000000016</v>
      </c>
      <c r="F2" s="193">
        <f>'FS Jimbaran December 2020'!O12/'FS Jimbaran December 2020'!P12</f>
        <v>1141.3010788667684</v>
      </c>
      <c r="G2" s="184">
        <f>'FS Jimbaran December 2020'!AG12</f>
        <v>12</v>
      </c>
      <c r="H2" s="193">
        <f>'FS Jimbaran December 2020'!AH12/'FS Jimbaran December 2020'!AG12</f>
        <v>11458.333333333334</v>
      </c>
      <c r="I2" s="184">
        <f>'FS Jimbaran December 2020'!AJ12</f>
        <v>122.66999999999825</v>
      </c>
      <c r="J2" s="185">
        <f>'FS Jimbaran December 2020'!AK12/'FS Jimbaran December 2020'!AJ12</f>
        <v>8600.0000000000018</v>
      </c>
      <c r="K2" s="184">
        <f>'FS Jimbaran December 2020'!V12</f>
        <v>798.33</v>
      </c>
      <c r="L2" s="193">
        <f>'FS Jimbaran December 2020'!AA12/'FS Jimbaran December 2020'!V12</f>
        <v>2003.4002229654402</v>
      </c>
      <c r="M2" s="184">
        <f>'FS Jimbaran December 2020'!C12</f>
        <v>3</v>
      </c>
      <c r="N2" s="184">
        <f>'FS Jimbaran December 2020'!D12</f>
        <v>31</v>
      </c>
    </row>
    <row r="3" spans="1:15">
      <c r="A3" s="181" t="s">
        <v>14</v>
      </c>
      <c r="B3" s="182">
        <f>B2+1</f>
        <v>2</v>
      </c>
      <c r="C3" s="183">
        <v>12</v>
      </c>
      <c r="D3" s="182">
        <v>2020</v>
      </c>
      <c r="E3" s="184">
        <f>'FS Jimbaran December 2020'!P13</f>
        <v>12440.000000000022</v>
      </c>
      <c r="F3" s="193">
        <f>'FS Jimbaran December 2020'!O13/'FS Jimbaran December 2020'!P13</f>
        <v>1131.2399493569128</v>
      </c>
      <c r="G3" s="184">
        <f>'FS Jimbaran December 2020'!AG13</f>
        <v>0</v>
      </c>
      <c r="H3" s="193" t="e">
        <f>'FS Jimbaran December 2020'!AH13/'FS Jimbaran December 2020'!AG13</f>
        <v>#DIV/0!</v>
      </c>
      <c r="I3" s="184">
        <f>'FS Jimbaran December 2020'!AJ13</f>
        <v>217.80000000000291</v>
      </c>
      <c r="J3" s="185">
        <f>'FS Jimbaran December 2020'!AK13/'FS Jimbaran December 2020'!AJ13</f>
        <v>8600</v>
      </c>
      <c r="K3" s="184">
        <f>'FS Jimbaran December 2020'!V13</f>
        <v>819.51200000000006</v>
      </c>
      <c r="L3" s="193">
        <f>'FS Jimbaran December 2020'!AA13/'FS Jimbaran December 2020'!V13</f>
        <v>1745.2387315377932</v>
      </c>
      <c r="M3" s="184">
        <f>'FS Jimbaran December 2020'!C13</f>
        <v>3</v>
      </c>
      <c r="N3" s="184">
        <f>'FS Jimbaran December 2020'!D13</f>
        <v>33</v>
      </c>
    </row>
    <row r="4" spans="1:15">
      <c r="A4" s="181" t="s">
        <v>14</v>
      </c>
      <c r="B4" s="182">
        <f t="shared" ref="B4:B31" si="0">B3+1</f>
        <v>3</v>
      </c>
      <c r="C4" s="183">
        <v>12</v>
      </c>
      <c r="D4" s="182">
        <v>2020</v>
      </c>
      <c r="E4" s="184">
        <f>'FS Jimbaran December 2020'!P14</f>
        <v>13107.999999999971</v>
      </c>
      <c r="F4" s="193">
        <f>'FS Jimbaran December 2020'!O14/'FS Jimbaran December 2020'!P14</f>
        <v>1134.9329404943549</v>
      </c>
      <c r="G4" s="184">
        <f>'FS Jimbaran December 2020'!AG14</f>
        <v>24</v>
      </c>
      <c r="H4" s="193">
        <f>'FS Jimbaran December 2020'!AH14/'FS Jimbaran December 2020'!AG14</f>
        <v>11458.333333333334</v>
      </c>
      <c r="I4" s="184">
        <f>'FS Jimbaran December 2020'!AJ14</f>
        <v>221.65999999998894</v>
      </c>
      <c r="J4" s="185">
        <f>'FS Jimbaran December 2020'!AK14/'FS Jimbaran December 2020'!AJ14</f>
        <v>8600</v>
      </c>
      <c r="K4" s="184">
        <f>'FS Jimbaran December 2020'!V14</f>
        <v>831.26</v>
      </c>
      <c r="L4" s="193">
        <f>'FS Jimbaran December 2020'!AA14/'FS Jimbaran December 2020'!V14</f>
        <v>1907.2217558886509</v>
      </c>
      <c r="M4" s="184">
        <f>'FS Jimbaran December 2020'!C14</f>
        <v>9</v>
      </c>
      <c r="N4" s="184">
        <f>'FS Jimbaran December 2020'!D14</f>
        <v>63</v>
      </c>
    </row>
    <row r="5" spans="1:15">
      <c r="A5" s="181" t="s">
        <v>14</v>
      </c>
      <c r="B5" s="182">
        <f t="shared" si="0"/>
        <v>4</v>
      </c>
      <c r="C5" s="183">
        <v>12</v>
      </c>
      <c r="D5" s="182">
        <v>2020</v>
      </c>
      <c r="E5" s="184">
        <f>'FS Jimbaran December 2020'!P15</f>
        <v>13160.000000000044</v>
      </c>
      <c r="F5" s="193">
        <f>'FS Jimbaran December 2020'!O15/'FS Jimbaran December 2020'!P15</f>
        <v>1087.4115866261398</v>
      </c>
      <c r="G5" s="184">
        <f>'FS Jimbaran December 2020'!AG15</f>
        <v>12</v>
      </c>
      <c r="H5" s="193">
        <f>'FS Jimbaran December 2020'!AH15/'FS Jimbaran December 2020'!AG15</f>
        <v>11458.333333333334</v>
      </c>
      <c r="I5" s="184">
        <f>'FS Jimbaran December 2020'!AJ15</f>
        <v>254.0400000000227</v>
      </c>
      <c r="J5" s="185">
        <f>'FS Jimbaran December 2020'!AK15/'FS Jimbaran December 2020'!AJ15</f>
        <v>8600</v>
      </c>
      <c r="K5" s="184">
        <f>'FS Jimbaran December 2020'!V15</f>
        <v>801.89</v>
      </c>
      <c r="L5" s="193">
        <f>'FS Jimbaran December 2020'!AA15/'FS Jimbaran December 2020'!V15</f>
        <v>1795.0554938956714</v>
      </c>
      <c r="M5" s="184">
        <f>'FS Jimbaran December 2020'!C15</f>
        <v>11</v>
      </c>
      <c r="N5" s="184">
        <f>'FS Jimbaran December 2020'!D15</f>
        <v>55</v>
      </c>
    </row>
    <row r="6" spans="1:15">
      <c r="A6" s="181" t="s">
        <v>14</v>
      </c>
      <c r="B6" s="182">
        <f t="shared" si="0"/>
        <v>5</v>
      </c>
      <c r="C6" s="183">
        <v>12</v>
      </c>
      <c r="D6" s="182">
        <v>2020</v>
      </c>
      <c r="E6" s="184">
        <f>'FS Jimbaran December 2020'!P16</f>
        <v>13599.999999999993</v>
      </c>
      <c r="F6" s="193">
        <f>'FS Jimbaran December 2020'!O16/'FS Jimbaran December 2020'!P16</f>
        <v>1130.2568448529412</v>
      </c>
      <c r="G6" s="184">
        <f>'FS Jimbaran December 2020'!AG16</f>
        <v>412</v>
      </c>
      <c r="H6" s="193">
        <f>'FS Jimbaran December 2020'!AH16/'FS Jimbaran December 2020'!AG16</f>
        <v>10799.757281553399</v>
      </c>
      <c r="I6" s="184">
        <f>'FS Jimbaran December 2020'!AJ16</f>
        <v>158.77999999999884</v>
      </c>
      <c r="J6" s="185">
        <f>'FS Jimbaran December 2020'!AK16/'FS Jimbaran December 2020'!AJ16</f>
        <v>8600</v>
      </c>
      <c r="K6" s="184">
        <f>'FS Jimbaran December 2020'!V16</f>
        <v>792.99</v>
      </c>
      <c r="L6" s="193">
        <f>'FS Jimbaran December 2020'!AA16/'FS Jimbaran December 2020'!V16</f>
        <v>1895.8776655443323</v>
      </c>
      <c r="M6" s="184">
        <f>'FS Jimbaran December 2020'!C16</f>
        <v>12</v>
      </c>
      <c r="N6" s="184">
        <f>'FS Jimbaran December 2020'!D16</f>
        <v>94</v>
      </c>
    </row>
    <row r="7" spans="1:15">
      <c r="A7" s="181" t="s">
        <v>14</v>
      </c>
      <c r="B7" s="182">
        <f t="shared" si="0"/>
        <v>6</v>
      </c>
      <c r="C7" s="183">
        <v>12</v>
      </c>
      <c r="D7" s="182">
        <v>2020</v>
      </c>
      <c r="E7" s="184">
        <f>'FS Jimbaran December 2020'!P17</f>
        <v>13519.99999999996</v>
      </c>
      <c r="F7" s="193">
        <f>'FS Jimbaran December 2020'!O17/'FS Jimbaran December 2020'!P17</f>
        <v>1130.5860465976334</v>
      </c>
      <c r="G7" s="184">
        <f>'FS Jimbaran December 2020'!AG17</f>
        <v>12</v>
      </c>
      <c r="H7" s="193">
        <f>'FS Jimbaran December 2020'!AH17/'FS Jimbaran December 2020'!AG17</f>
        <v>11458.333333333334</v>
      </c>
      <c r="I7" s="184">
        <f>'FS Jimbaran December 2020'!AJ17</f>
        <v>221.51999999998952</v>
      </c>
      <c r="J7" s="185">
        <f>'FS Jimbaran December 2020'!AK17/'FS Jimbaran December 2020'!AJ17</f>
        <v>8600</v>
      </c>
      <c r="K7" s="184">
        <f>'FS Jimbaran December 2020'!V17</f>
        <v>812.56999999999994</v>
      </c>
      <c r="L7" s="193">
        <f>'FS Jimbaran December 2020'!AA17/'FS Jimbaran December 2020'!V17</f>
        <v>1830.5109529025192</v>
      </c>
      <c r="M7" s="184">
        <f>'FS Jimbaran December 2020'!C17</f>
        <v>7</v>
      </c>
      <c r="N7" s="184">
        <f>'FS Jimbaran December 2020'!D17</f>
        <v>86</v>
      </c>
    </row>
    <row r="8" spans="1:15">
      <c r="A8" s="181" t="s">
        <v>14</v>
      </c>
      <c r="B8" s="182">
        <f t="shared" si="0"/>
        <v>7</v>
      </c>
      <c r="C8" s="183">
        <v>12</v>
      </c>
      <c r="D8" s="182">
        <v>2020</v>
      </c>
      <c r="E8" s="184">
        <f>'FS Jimbaran December 2020'!P18</f>
        <v>14320.00000000004</v>
      </c>
      <c r="F8" s="193">
        <f>'FS Jimbaran December 2020'!O18/'FS Jimbaran December 2020'!P18</f>
        <v>1133.2821955307261</v>
      </c>
      <c r="G8" s="184">
        <f>'FS Jimbaran December 2020'!AG18</f>
        <v>0</v>
      </c>
      <c r="H8" s="193" t="e">
        <f>'FS Jimbaran December 2020'!AH18/'FS Jimbaran December 2020'!AG18</f>
        <v>#DIV/0!</v>
      </c>
      <c r="I8" s="184">
        <f>'FS Jimbaran December 2020'!AJ18</f>
        <v>231.40000000000873</v>
      </c>
      <c r="J8" s="185">
        <f>'FS Jimbaran December 2020'!AK18/'FS Jimbaran December 2020'!AJ18</f>
        <v>8600</v>
      </c>
      <c r="K8" s="184">
        <f>'FS Jimbaran December 2020'!V18</f>
        <v>825.03000000000009</v>
      </c>
      <c r="L8" s="193">
        <f>'FS Jimbaran December 2020'!AA18/'FS Jimbaran December 2020'!V18</f>
        <v>1705.9374325782092</v>
      </c>
      <c r="M8" s="184">
        <f>'FS Jimbaran December 2020'!C18</f>
        <v>4</v>
      </c>
      <c r="N8" s="184">
        <f>'FS Jimbaran December 2020'!D18</f>
        <v>36</v>
      </c>
    </row>
    <row r="9" spans="1:15">
      <c r="A9" s="181" t="s">
        <v>14</v>
      </c>
      <c r="B9" s="182">
        <f t="shared" si="0"/>
        <v>8</v>
      </c>
      <c r="C9" s="183">
        <v>12</v>
      </c>
      <c r="D9" s="182">
        <v>2020</v>
      </c>
      <c r="E9" s="184">
        <f>'FS Jimbaran December 2020'!P19</f>
        <v>14239.999999999989</v>
      </c>
      <c r="F9" s="193">
        <f>'FS Jimbaran December 2020'!O19/'FS Jimbaran December 2020'!P19</f>
        <v>1142.2311257022473</v>
      </c>
      <c r="G9" s="184">
        <f>'FS Jimbaran December 2020'!AG19</f>
        <v>12</v>
      </c>
      <c r="H9" s="193">
        <f>'FS Jimbaran December 2020'!AH19/'FS Jimbaran December 2020'!AG19</f>
        <v>11458.333333333334</v>
      </c>
      <c r="I9" s="184">
        <f>'FS Jimbaran December 2020'!AJ19</f>
        <v>218.3799999999901</v>
      </c>
      <c r="J9" s="185">
        <f>'FS Jimbaran December 2020'!AK19/'FS Jimbaran December 2020'!AJ19</f>
        <v>8600</v>
      </c>
      <c r="K9" s="184">
        <f>'FS Jimbaran December 2020'!V19</f>
        <v>820.57999999999993</v>
      </c>
      <c r="L9" s="193">
        <f>'FS Jimbaran December 2020'!AA19/'FS Jimbaran December 2020'!V19</f>
        <v>1344.8638828633407</v>
      </c>
      <c r="M9" s="184">
        <f>'FS Jimbaran December 2020'!C19</f>
        <v>6</v>
      </c>
      <c r="N9" s="184">
        <f>'FS Jimbaran December 2020'!D19</f>
        <v>71</v>
      </c>
      <c r="O9" s="186" t="s">
        <v>15</v>
      </c>
    </row>
    <row r="10" spans="1:15">
      <c r="A10" s="181" t="s">
        <v>14</v>
      </c>
      <c r="B10" s="182">
        <f t="shared" si="0"/>
        <v>9</v>
      </c>
      <c r="C10" s="183">
        <v>12</v>
      </c>
      <c r="D10" s="182">
        <v>2020</v>
      </c>
      <c r="E10" s="184">
        <f>'FS Jimbaran December 2020'!P20</f>
        <v>14899.999999999975</v>
      </c>
      <c r="F10" s="193">
        <f>'FS Jimbaran December 2020'!O20/'FS Jimbaran December 2020'!P20</f>
        <v>1131.9546060402686</v>
      </c>
      <c r="G10" s="184">
        <f>'FS Jimbaran December 2020'!AG20</f>
        <v>0</v>
      </c>
      <c r="H10" s="193" t="e">
        <f>'FS Jimbaran December 2020'!AH20/'FS Jimbaran December 2020'!AG20</f>
        <v>#DIV/0!</v>
      </c>
      <c r="I10" s="184">
        <f>'FS Jimbaran December 2020'!AJ20</f>
        <v>187.6200000000099</v>
      </c>
      <c r="J10" s="185">
        <f>'FS Jimbaran December 2020'!AK20/'FS Jimbaran December 2020'!AJ20</f>
        <v>8600</v>
      </c>
      <c r="K10" s="184">
        <f>'FS Jimbaran December 2020'!V20</f>
        <v>849.95</v>
      </c>
      <c r="L10" s="193">
        <f>'FS Jimbaran December 2020'!AA20/'FS Jimbaran December 2020'!V20</f>
        <v>2220.4387434554974</v>
      </c>
      <c r="M10" s="184">
        <f>'FS Jimbaran December 2020'!C20</f>
        <v>9</v>
      </c>
      <c r="N10" s="184">
        <f>'FS Jimbaran December 2020'!D20</f>
        <v>67</v>
      </c>
    </row>
    <row r="11" spans="1:15">
      <c r="A11" s="181" t="s">
        <v>14</v>
      </c>
      <c r="B11" s="182">
        <f t="shared" si="0"/>
        <v>10</v>
      </c>
      <c r="C11" s="183">
        <v>12</v>
      </c>
      <c r="D11" s="182">
        <v>2020</v>
      </c>
      <c r="E11" s="184">
        <f>'FS Jimbaran December 2020'!P21</f>
        <v>15280.000000000065</v>
      </c>
      <c r="F11" s="193">
        <f>'FS Jimbaran December 2020'!O21/'FS Jimbaran December 2020'!P21</f>
        <v>1132.8504816753921</v>
      </c>
      <c r="G11" s="184">
        <f>'FS Jimbaran December 2020'!AG21</f>
        <v>450</v>
      </c>
      <c r="H11" s="193">
        <f>'FS Jimbaran December 2020'!AH21/'FS Jimbaran December 2020'!AG21</f>
        <v>10780</v>
      </c>
      <c r="I11" s="184">
        <f>'FS Jimbaran December 2020'!AJ21</f>
        <v>191.95999999999185</v>
      </c>
      <c r="J11" s="185">
        <f>'FS Jimbaran December 2020'!AK21/'FS Jimbaran December 2020'!AJ21</f>
        <v>8600</v>
      </c>
      <c r="K11" s="184">
        <f>'FS Jimbaran December 2020'!V21</f>
        <v>825.92</v>
      </c>
      <c r="L11" s="193">
        <f>'FS Jimbaran December 2020'!AA21/'FS Jimbaran December 2020'!V21</f>
        <v>1607.2753232758623</v>
      </c>
      <c r="M11" s="184">
        <f>'FS Jimbaran December 2020'!C21</f>
        <v>8</v>
      </c>
      <c r="N11" s="184">
        <f>'FS Jimbaran December 2020'!D21</f>
        <v>84</v>
      </c>
    </row>
    <row r="12" spans="1:15">
      <c r="A12" s="181" t="s">
        <v>14</v>
      </c>
      <c r="B12" s="182">
        <f t="shared" si="0"/>
        <v>11</v>
      </c>
      <c r="C12" s="183">
        <v>12</v>
      </c>
      <c r="D12" s="182">
        <v>2020</v>
      </c>
      <c r="E12" s="184">
        <f>'FS Jimbaran December 2020'!P22</f>
        <v>15499.999999999924</v>
      </c>
      <c r="F12" s="193">
        <f>'FS Jimbaran December 2020'!O22/'FS Jimbaran December 2020'!P22</f>
        <v>1123.8881245161297</v>
      </c>
      <c r="G12" s="184">
        <f>'FS Jimbaran December 2020'!AG22</f>
        <v>12</v>
      </c>
      <c r="H12" s="193">
        <f>'FS Jimbaran December 2020'!AH22/'FS Jimbaran December 2020'!AG22</f>
        <v>11458.333333333334</v>
      </c>
      <c r="I12" s="184">
        <f>'FS Jimbaran December 2020'!AJ22</f>
        <v>219.41999999999825</v>
      </c>
      <c r="J12" s="185">
        <f>'FS Jimbaran December 2020'!AK22/'FS Jimbaran December 2020'!AJ22</f>
        <v>8600</v>
      </c>
      <c r="K12" s="184">
        <f>'FS Jimbaran December 2020'!V22</f>
        <v>827.7</v>
      </c>
      <c r="L12" s="193">
        <f>'FS Jimbaran December 2020'!AA22/'FS Jimbaran December 2020'!V22</f>
        <v>1932.3118279569892</v>
      </c>
      <c r="M12" s="184">
        <f>'FS Jimbaran December 2020'!C22</f>
        <v>6</v>
      </c>
      <c r="N12" s="184">
        <f>'FS Jimbaran December 2020'!D22</f>
        <v>93</v>
      </c>
    </row>
    <row r="13" spans="1:15">
      <c r="A13" s="181" t="s">
        <v>14</v>
      </c>
      <c r="B13" s="182">
        <f t="shared" si="0"/>
        <v>12</v>
      </c>
      <c r="C13" s="183">
        <v>12</v>
      </c>
      <c r="D13" s="182">
        <v>2020</v>
      </c>
      <c r="E13" s="184">
        <f>'FS Jimbaran December 2020'!P23</f>
        <v>12783.999999999998</v>
      </c>
      <c r="F13" s="193">
        <f>'FS Jimbaran December 2020'!O23/'FS Jimbaran December 2020'!P23</f>
        <v>1096.9107892678346</v>
      </c>
      <c r="G13" s="184">
        <f>'FS Jimbaran December 2020'!AG23</f>
        <v>424</v>
      </c>
      <c r="H13" s="193">
        <f>'FS Jimbaran December 2020'!AH23/'FS Jimbaran December 2020'!AG23</f>
        <v>10818.396226415094</v>
      </c>
      <c r="I13" s="184">
        <f>'FS Jimbaran December 2020'!AJ23</f>
        <v>211.83999999999651</v>
      </c>
      <c r="J13" s="185">
        <f>'FS Jimbaran December 2020'!AK23/'FS Jimbaran December 2020'!AJ23</f>
        <v>8600</v>
      </c>
      <c r="K13" s="184">
        <f>'FS Jimbaran December 2020'!V23</f>
        <v>836.59999999999991</v>
      </c>
      <c r="L13" s="193">
        <f>'FS Jimbaran December 2020'!AA23/'FS Jimbaran December 2020'!V23</f>
        <v>1835.2851063829789</v>
      </c>
      <c r="M13" s="184">
        <f>'FS Jimbaran December 2020'!C23</f>
        <v>8</v>
      </c>
      <c r="N13" s="184">
        <f>'FS Jimbaran December 2020'!D23</f>
        <v>158</v>
      </c>
    </row>
    <row r="14" spans="1:15">
      <c r="A14" s="181" t="s">
        <v>14</v>
      </c>
      <c r="B14" s="182">
        <f t="shared" si="0"/>
        <v>13</v>
      </c>
      <c r="C14" s="183">
        <v>12</v>
      </c>
      <c r="D14" s="182">
        <v>2020</v>
      </c>
      <c r="E14" s="184">
        <f>'FS Jimbaran December 2020'!P24</f>
        <v>15136.000000000009</v>
      </c>
      <c r="F14" s="193">
        <f>'FS Jimbaran December 2020'!O24/'FS Jimbaran December 2020'!P24</f>
        <v>1165.0129895613109</v>
      </c>
      <c r="G14" s="184">
        <f>'FS Jimbaran December 2020'!AG24</f>
        <v>0</v>
      </c>
      <c r="H14" s="193" t="e">
        <f>'FS Jimbaran December 2020'!AH24/'FS Jimbaran December 2020'!AG24</f>
        <v>#DIV/0!</v>
      </c>
      <c r="I14" s="184">
        <f>'FS Jimbaran December 2020'!AJ24</f>
        <v>217.45999999999185</v>
      </c>
      <c r="J14" s="185">
        <f>'FS Jimbaran December 2020'!AK24/'FS Jimbaran December 2020'!AJ24</f>
        <v>8600</v>
      </c>
      <c r="K14" s="184">
        <f>'FS Jimbaran December 2020'!V24</f>
        <v>848.17</v>
      </c>
      <c r="L14" s="193">
        <f>'FS Jimbaran December 2020'!AA24/'FS Jimbaran December 2020'!V24</f>
        <v>1621.6820566631691</v>
      </c>
      <c r="M14" s="184">
        <f>'FS Jimbaran December 2020'!C24</f>
        <v>8</v>
      </c>
      <c r="N14" s="184">
        <f>'FS Jimbaran December 2020'!D24</f>
        <v>153</v>
      </c>
    </row>
    <row r="15" spans="1:15">
      <c r="A15" s="181" t="s">
        <v>14</v>
      </c>
      <c r="B15" s="182">
        <f t="shared" si="0"/>
        <v>14</v>
      </c>
      <c r="C15" s="183">
        <v>12</v>
      </c>
      <c r="D15" s="182">
        <v>2020</v>
      </c>
      <c r="E15" s="184">
        <f>'FS Jimbaran December 2020'!P25</f>
        <v>16320.000000000055</v>
      </c>
      <c r="F15" s="193">
        <f>'FS Jimbaran December 2020'!O25/'FS Jimbaran December 2020'!P25</f>
        <v>1115.208840073529</v>
      </c>
      <c r="G15" s="184">
        <f>'FS Jimbaran December 2020'!AG25</f>
        <v>0</v>
      </c>
      <c r="H15" s="193" t="e">
        <f>'FS Jimbaran December 2020'!AH25/'FS Jimbaran December 2020'!AG25</f>
        <v>#DIV/0!</v>
      </c>
      <c r="I15" s="184">
        <f>'FS Jimbaran December 2020'!AJ25</f>
        <v>189.97000000000116</v>
      </c>
      <c r="J15" s="185">
        <f>'FS Jimbaran December 2020'!AK25/'FS Jimbaran December 2020'!AJ25</f>
        <v>8600</v>
      </c>
      <c r="K15" s="184">
        <f>'FS Jimbaran December 2020'!V25</f>
        <v>834.81999999999994</v>
      </c>
      <c r="L15" s="193">
        <f>'FS Jimbaran December 2020'!AA25/'FS Jimbaran December 2020'!V25</f>
        <v>1666.7734541577829</v>
      </c>
      <c r="M15" s="184">
        <f>'FS Jimbaran December 2020'!C25</f>
        <v>11</v>
      </c>
      <c r="N15" s="184">
        <f>'FS Jimbaran December 2020'!D25</f>
        <v>58</v>
      </c>
    </row>
    <row r="16" spans="1:15">
      <c r="A16" s="181" t="s">
        <v>14</v>
      </c>
      <c r="B16" s="182">
        <f t="shared" si="0"/>
        <v>15</v>
      </c>
      <c r="C16" s="183">
        <v>12</v>
      </c>
      <c r="D16" s="182">
        <v>2020</v>
      </c>
      <c r="E16" s="184">
        <f>'FS Jimbaran December 2020'!P26</f>
        <v>14340.000000000022</v>
      </c>
      <c r="F16" s="193">
        <f>'FS Jimbaran December 2020'!O26/'FS Jimbaran December 2020'!P26</f>
        <v>1134.8797322175731</v>
      </c>
      <c r="G16" s="184">
        <f>'FS Jimbaran December 2020'!AG26</f>
        <v>24</v>
      </c>
      <c r="H16" s="193">
        <f>'FS Jimbaran December 2020'!AH26/'FS Jimbaran December 2020'!AG26</f>
        <v>11458.333333333334</v>
      </c>
      <c r="I16" s="184">
        <f>'FS Jimbaran December 2020'!AJ26</f>
        <v>209.77999999999884</v>
      </c>
      <c r="J16" s="185">
        <f>'FS Jimbaran December 2020'!AK26/'FS Jimbaran December 2020'!AJ26</f>
        <v>8600</v>
      </c>
      <c r="K16" s="184">
        <f>'FS Jimbaran December 2020'!V26</f>
        <v>804.56000000000006</v>
      </c>
      <c r="L16" s="193">
        <f>'FS Jimbaran December 2020'!AA26/'FS Jimbaran December 2020'!V26</f>
        <v>1948.1294247787609</v>
      </c>
      <c r="M16" s="184">
        <f>'FS Jimbaran December 2020'!C26</f>
        <v>12</v>
      </c>
      <c r="N16" s="184">
        <f>'FS Jimbaran December 2020'!D26</f>
        <v>118</v>
      </c>
    </row>
    <row r="17" spans="1:14">
      <c r="A17" s="181" t="s">
        <v>14</v>
      </c>
      <c r="B17" s="182">
        <f t="shared" si="0"/>
        <v>16</v>
      </c>
      <c r="C17" s="183">
        <v>12</v>
      </c>
      <c r="D17" s="182">
        <v>2020</v>
      </c>
      <c r="E17" s="184">
        <f>'FS Jimbaran December 2020'!P27</f>
        <v>14439.999999999945</v>
      </c>
      <c r="F17" s="193">
        <f>'FS Jimbaran December 2020'!O27/'FS Jimbaran December 2020'!P27</f>
        <v>1134.587960526316</v>
      </c>
      <c r="G17" s="184">
        <f>'FS Jimbaran December 2020'!AG27</f>
        <v>0</v>
      </c>
      <c r="H17" s="193" t="e">
        <f>'FS Jimbaran December 2020'!AH27/'FS Jimbaran December 2020'!AG27</f>
        <v>#DIV/0!</v>
      </c>
      <c r="I17" s="184">
        <f>'FS Jimbaran December 2020'!AJ27</f>
        <v>197.89000000001397</v>
      </c>
      <c r="J17" s="185">
        <f>'FS Jimbaran December 2020'!AK27/'FS Jimbaran December 2020'!AJ27</f>
        <v>8600</v>
      </c>
      <c r="K17" s="184">
        <f>'FS Jimbaran December 2020'!V27</f>
        <v>805.45</v>
      </c>
      <c r="L17" s="193">
        <f>'FS Jimbaran December 2020'!AA27/'FS Jimbaran December 2020'!V27</f>
        <v>1906.2629834254142</v>
      </c>
      <c r="M17" s="184">
        <f>'FS Jimbaran December 2020'!C27</f>
        <v>22</v>
      </c>
      <c r="N17" s="184">
        <f>'FS Jimbaran December 2020'!D27</f>
        <v>145</v>
      </c>
    </row>
    <row r="18" spans="1:14">
      <c r="A18" s="181" t="s">
        <v>14</v>
      </c>
      <c r="B18" s="182">
        <f t="shared" si="0"/>
        <v>17</v>
      </c>
      <c r="C18" s="183">
        <v>12</v>
      </c>
      <c r="D18" s="182">
        <v>2020</v>
      </c>
      <c r="E18" s="184">
        <f>'FS Jimbaran December 2020'!P28</f>
        <v>12499.999999999947</v>
      </c>
      <c r="F18" s="193">
        <f>'FS Jimbaran December 2020'!O28/'FS Jimbaran December 2020'!P28</f>
        <v>1163.2223712000007</v>
      </c>
      <c r="G18" s="184">
        <f>'FS Jimbaran December 2020'!AG28</f>
        <v>374</v>
      </c>
      <c r="H18" s="193">
        <f>'FS Jimbaran December 2020'!AH28/'FS Jimbaran December 2020'!AG28</f>
        <v>10823.529411764706</v>
      </c>
      <c r="I18" s="184">
        <f>'FS Jimbaran December 2020'!AJ28</f>
        <v>524.27999999999884</v>
      </c>
      <c r="J18" s="185">
        <f>'FS Jimbaran December 2020'!AK28/'FS Jimbaran December 2020'!AJ28</f>
        <v>8600</v>
      </c>
      <c r="K18" s="184">
        <f>'FS Jimbaran December 2020'!V28</f>
        <v>825.03</v>
      </c>
      <c r="L18" s="193">
        <f>'FS Jimbaran December 2020'!AA28/'FS Jimbaran December 2020'!V28</f>
        <v>1512.0809061488676</v>
      </c>
      <c r="M18" s="184">
        <f>'FS Jimbaran December 2020'!C28</f>
        <v>31</v>
      </c>
      <c r="N18" s="184">
        <f>'FS Jimbaran December 2020'!D28</f>
        <v>220</v>
      </c>
    </row>
    <row r="19" spans="1:14">
      <c r="A19" s="181" t="s">
        <v>14</v>
      </c>
      <c r="B19" s="182">
        <f t="shared" si="0"/>
        <v>18</v>
      </c>
      <c r="C19" s="183">
        <v>12</v>
      </c>
      <c r="D19" s="182">
        <v>2020</v>
      </c>
      <c r="E19" s="184">
        <f>'FS Jimbaran December 2020'!P29</f>
        <v>16020.000000000018</v>
      </c>
      <c r="F19" s="193">
        <f>'FS Jimbaran December 2020'!O29/'FS Jimbaran December 2020'!P29</f>
        <v>1143.1726704119849</v>
      </c>
      <c r="G19" s="184">
        <f>'FS Jimbaran December 2020'!AG29</f>
        <v>0</v>
      </c>
      <c r="H19" s="193" t="e">
        <f>'FS Jimbaran December 2020'!AH29/'FS Jimbaran December 2020'!AG29</f>
        <v>#DIV/0!</v>
      </c>
      <c r="I19" s="184">
        <f>'FS Jimbaran December 2020'!AJ29</f>
        <v>357.59999999999127</v>
      </c>
      <c r="J19" s="185">
        <f>'FS Jimbaran December 2020'!AK29/'FS Jimbaran December 2020'!AJ29</f>
        <v>8600</v>
      </c>
      <c r="K19" s="184">
        <f>'FS Jimbaran December 2020'!V29</f>
        <v>840.16</v>
      </c>
      <c r="L19" s="193">
        <f>'FS Jimbaran December 2020'!AA29/'FS Jimbaran December 2020'!V29</f>
        <v>0</v>
      </c>
      <c r="M19" s="184">
        <f>'FS Jimbaran December 2020'!C29</f>
        <v>35</v>
      </c>
      <c r="N19" s="184">
        <f>'FS Jimbaran December 2020'!D29</f>
        <v>286</v>
      </c>
    </row>
    <row r="20" spans="1:14">
      <c r="A20" s="181" t="s">
        <v>14</v>
      </c>
      <c r="B20" s="182">
        <f t="shared" si="0"/>
        <v>19</v>
      </c>
      <c r="C20" s="183">
        <v>12</v>
      </c>
      <c r="D20" s="182">
        <v>2020</v>
      </c>
      <c r="E20" s="184">
        <f>'FS Jimbaran December 2020'!P30</f>
        <v>15839.999999999982</v>
      </c>
      <c r="F20" s="193">
        <f>'FS Jimbaran December 2020'!O30/'FS Jimbaran December 2020'!P30</f>
        <v>1131.4130965909089</v>
      </c>
      <c r="G20" s="184">
        <f>'FS Jimbaran December 2020'!AG30</f>
        <v>62</v>
      </c>
      <c r="H20" s="193">
        <f>'FS Jimbaran December 2020'!AH30/'FS Jimbaran December 2020'!AG30</f>
        <v>10911.290322580646</v>
      </c>
      <c r="I20" s="184">
        <f>'FS Jimbaran December 2020'!AJ30</f>
        <v>301.69999999999709</v>
      </c>
      <c r="J20" s="185">
        <f>'FS Jimbaran December 2020'!AK30/'FS Jimbaran December 2020'!AJ30</f>
        <v>8600</v>
      </c>
      <c r="K20" s="184">
        <f>'FS Jimbaran December 2020'!V30</f>
        <v>755.61</v>
      </c>
      <c r="L20" s="193">
        <f>'FS Jimbaran December 2020'!AA30/'FS Jimbaran December 2020'!V30</f>
        <v>0</v>
      </c>
      <c r="M20" s="184">
        <f>'FS Jimbaran December 2020'!C30</f>
        <v>30</v>
      </c>
      <c r="N20" s="184">
        <f>'FS Jimbaran December 2020'!D30</f>
        <v>313</v>
      </c>
    </row>
    <row r="21" spans="1:14">
      <c r="A21" s="181" t="s">
        <v>14</v>
      </c>
      <c r="B21" s="182">
        <f t="shared" si="0"/>
        <v>20</v>
      </c>
      <c r="C21" s="183">
        <v>12</v>
      </c>
      <c r="D21" s="182">
        <v>2020</v>
      </c>
      <c r="E21" s="184">
        <f>'FS Jimbaran December 2020'!P31</f>
        <v>15340.000000000056</v>
      </c>
      <c r="F21" s="193">
        <f>'FS Jimbaran December 2020'!O31/'FS Jimbaran December 2020'!P31</f>
        <v>1134.2263650586701</v>
      </c>
      <c r="G21" s="184">
        <f>'FS Jimbaran December 2020'!AG31</f>
        <v>400</v>
      </c>
      <c r="H21" s="193">
        <f>'FS Jimbaran December 2020'!AH31/'FS Jimbaran December 2020'!AG31</f>
        <v>10780</v>
      </c>
      <c r="I21" s="184">
        <f>'FS Jimbaran December 2020'!AJ31</f>
        <v>251.45000000001164</v>
      </c>
      <c r="J21" s="185">
        <f>'FS Jimbaran December 2020'!AK31/'FS Jimbaran December 2020'!AJ31</f>
        <v>8600</v>
      </c>
      <c r="K21" s="184">
        <f>'FS Jimbaran December 2020'!V31</f>
        <v>764.51</v>
      </c>
      <c r="L21" s="193">
        <f>'FS Jimbaran December 2020'!AA31/'FS Jimbaran December 2020'!V31</f>
        <v>0</v>
      </c>
      <c r="M21" s="184">
        <f>'FS Jimbaran December 2020'!C31</f>
        <v>24</v>
      </c>
      <c r="N21" s="184">
        <f>'FS Jimbaran December 2020'!D31</f>
        <v>242</v>
      </c>
    </row>
    <row r="22" spans="1:14">
      <c r="A22" s="181" t="s">
        <v>14</v>
      </c>
      <c r="B22" s="182">
        <f t="shared" si="0"/>
        <v>21</v>
      </c>
      <c r="C22" s="183">
        <v>12</v>
      </c>
      <c r="D22" s="182">
        <v>2020</v>
      </c>
      <c r="E22" s="184">
        <f>'FS Jimbaran December 2020'!P32</f>
        <v>19400.000000000015</v>
      </c>
      <c r="F22" s="193">
        <f>'FS Jimbaran December 2020'!O32/'FS Jimbaran December 2020'!P32</f>
        <v>1119.9504726804123</v>
      </c>
      <c r="G22" s="184">
        <f>'FS Jimbaran December 2020'!AG32</f>
        <v>50</v>
      </c>
      <c r="H22" s="193">
        <f>'FS Jimbaran December 2020'!AH32/'FS Jimbaran December 2020'!AG32</f>
        <v>10780</v>
      </c>
      <c r="I22" s="184">
        <f>'FS Jimbaran December 2020'!AJ32</f>
        <v>273.50999999999476</v>
      </c>
      <c r="J22" s="185">
        <f>'FS Jimbaran December 2020'!AK32/'FS Jimbaran December 2020'!AJ32</f>
        <v>8600</v>
      </c>
      <c r="K22" s="184">
        <f>'FS Jimbaran December 2020'!V32</f>
        <v>810.79</v>
      </c>
      <c r="L22" s="193">
        <f>'FS Jimbaran December 2020'!AA32/'FS Jimbaran December 2020'!V32</f>
        <v>1992.3386388583976</v>
      </c>
      <c r="M22" s="184">
        <f>'FS Jimbaran December 2020'!C32</f>
        <v>24</v>
      </c>
      <c r="N22" s="184">
        <f>'FS Jimbaran December 2020'!D32</f>
        <v>210</v>
      </c>
    </row>
    <row r="23" spans="1:14">
      <c r="A23" s="181" t="s">
        <v>14</v>
      </c>
      <c r="B23" s="182">
        <f t="shared" si="0"/>
        <v>22</v>
      </c>
      <c r="C23" s="183">
        <v>12</v>
      </c>
      <c r="D23" s="182">
        <v>2020</v>
      </c>
      <c r="E23" s="184">
        <f>'FS Jimbaran December 2020'!P33</f>
        <v>15779.999999999991</v>
      </c>
      <c r="F23" s="193">
        <f>'FS Jimbaran December 2020'!O33/'FS Jimbaran December 2020'!P33</f>
        <v>1128.7245171102663</v>
      </c>
      <c r="G23" s="184">
        <f>'FS Jimbaran December 2020'!AG33</f>
        <v>12</v>
      </c>
      <c r="H23" s="193">
        <f>'FS Jimbaran December 2020'!AH33/'FS Jimbaran December 2020'!AG33</f>
        <v>11458.333333333334</v>
      </c>
      <c r="I23" s="184">
        <f>'FS Jimbaran December 2020'!AJ33</f>
        <v>369.75999999999476</v>
      </c>
      <c r="J23" s="185">
        <f>'FS Jimbaran December 2020'!AK33/'FS Jimbaran December 2020'!AJ33</f>
        <v>8600</v>
      </c>
      <c r="K23" s="184">
        <f>'FS Jimbaran December 2020'!V33</f>
        <v>820.58</v>
      </c>
      <c r="L23" s="193">
        <f>'FS Jimbaran December 2020'!AA33/'FS Jimbaran December 2020'!V33</f>
        <v>1734.6795010845988</v>
      </c>
      <c r="M23" s="184">
        <f>'FS Jimbaran December 2020'!C33</f>
        <v>12</v>
      </c>
      <c r="N23" s="184">
        <f>'FS Jimbaran December 2020'!D33</f>
        <v>180</v>
      </c>
    </row>
    <row r="24" spans="1:14">
      <c r="A24" s="181" t="s">
        <v>14</v>
      </c>
      <c r="B24" s="182">
        <f t="shared" si="0"/>
        <v>23</v>
      </c>
      <c r="C24" s="183">
        <v>12</v>
      </c>
      <c r="D24" s="182">
        <v>2020</v>
      </c>
      <c r="E24" s="184">
        <f>'FS Jimbaran December 2020'!P34</f>
        <v>11880.000000000016</v>
      </c>
      <c r="F24" s="193">
        <f>'FS Jimbaran December 2020'!O34/'FS Jimbaran December 2020'!P34</f>
        <v>1155.09522979798</v>
      </c>
      <c r="G24" s="184">
        <f>'FS Jimbaran December 2020'!AG34</f>
        <v>12</v>
      </c>
      <c r="H24" s="193">
        <f>'FS Jimbaran December 2020'!AH34/'FS Jimbaran December 2020'!AG34</f>
        <v>11458.333333333334</v>
      </c>
      <c r="I24" s="184">
        <f>'FS Jimbaran December 2020'!AJ34</f>
        <v>832.72000000003027</v>
      </c>
      <c r="J24" s="185">
        <f>'FS Jimbaran December 2020'!AK34/'FS Jimbaran December 2020'!AJ34</f>
        <v>8600</v>
      </c>
      <c r="K24" s="184">
        <f>'FS Jimbaran December 2020'!V34</f>
        <v>823.25</v>
      </c>
      <c r="L24" s="193">
        <f>'FS Jimbaran December 2020'!AA34/'FS Jimbaran December 2020'!V34</f>
        <v>1787.3362162162159</v>
      </c>
      <c r="M24" s="184">
        <f>'FS Jimbaran December 2020'!C34</f>
        <v>6</v>
      </c>
      <c r="N24" s="184">
        <f>'FS Jimbaran December 2020'!D34</f>
        <v>166</v>
      </c>
    </row>
    <row r="25" spans="1:14">
      <c r="A25" s="181" t="s">
        <v>14</v>
      </c>
      <c r="B25" s="182">
        <f t="shared" si="0"/>
        <v>24</v>
      </c>
      <c r="C25" s="183">
        <v>12</v>
      </c>
      <c r="D25" s="182">
        <v>2020</v>
      </c>
      <c r="E25" s="184">
        <f>'FS Jimbaran December 2020'!P35</f>
        <v>15219.999999999967</v>
      </c>
      <c r="F25" s="193">
        <f>'FS Jimbaran December 2020'!O35/'FS Jimbaran December 2020'!P35</f>
        <v>1136.9761143232593</v>
      </c>
      <c r="G25" s="184">
        <f>'FS Jimbaran December 2020'!AG35</f>
        <v>200</v>
      </c>
      <c r="H25" s="193">
        <f>'FS Jimbaran December 2020'!AH35/'FS Jimbaran December 2020'!AG35</f>
        <v>10780</v>
      </c>
      <c r="I25" s="184">
        <f>'FS Jimbaran December 2020'!AJ35</f>
        <v>339.77999999999884</v>
      </c>
      <c r="J25" s="185">
        <f>'FS Jimbaran December 2020'!AK35/'FS Jimbaran December 2020'!AJ35</f>
        <v>8600</v>
      </c>
      <c r="K25" s="184">
        <f>'FS Jimbaran December 2020'!V35</f>
        <v>831.26</v>
      </c>
      <c r="L25" s="193">
        <f>'FS Jimbaran December 2020'!AA35/'FS Jimbaran December 2020'!V35</f>
        <v>1750.8731263383297</v>
      </c>
      <c r="M25" s="184">
        <f>'FS Jimbaran December 2020'!C35</f>
        <v>7</v>
      </c>
      <c r="N25" s="184">
        <f>'FS Jimbaran December 2020'!D35</f>
        <v>186</v>
      </c>
    </row>
    <row r="26" spans="1:14">
      <c r="A26" s="181" t="s">
        <v>14</v>
      </c>
      <c r="B26" s="182">
        <f>B25+1</f>
        <v>25</v>
      </c>
      <c r="C26" s="183">
        <v>12</v>
      </c>
      <c r="D26" s="182">
        <v>2020</v>
      </c>
      <c r="E26" s="184">
        <f>'FS Jimbaran December 2020'!P36</f>
        <v>19520.000000000062</v>
      </c>
      <c r="F26" s="193">
        <f>'FS Jimbaran December 2020'!O36/'FS Jimbaran December 2020'!P36</f>
        <v>1118.5840312499997</v>
      </c>
      <c r="G26" s="184">
        <f>'FS Jimbaran December 2020'!AG36</f>
        <v>50</v>
      </c>
      <c r="H26" s="193">
        <f>'FS Jimbaran December 2020'!AH36/'FS Jimbaran December 2020'!AG36</f>
        <v>10780</v>
      </c>
      <c r="I26" s="184">
        <f>'FS Jimbaran December 2020'!AJ36</f>
        <v>357.88999999999942</v>
      </c>
      <c r="J26" s="185">
        <f>'FS Jimbaran December 2020'!AK36/'FS Jimbaran December 2020'!AJ36</f>
        <v>8600</v>
      </c>
      <c r="K26" s="184">
        <f>'FS Jimbaran December 2020'!V36</f>
        <v>858.84999999999991</v>
      </c>
      <c r="L26" s="193">
        <f>'FS Jimbaran December 2020'!AA36/'FS Jimbaran December 2020'!V36</f>
        <v>1936.7170984455961</v>
      </c>
      <c r="M26" s="184">
        <f>'FS Jimbaran December 2020'!C36</f>
        <v>16</v>
      </c>
      <c r="N26" s="184">
        <f>'FS Jimbaran December 2020'!D36</f>
        <v>226</v>
      </c>
    </row>
    <row r="27" spans="1:14">
      <c r="A27" s="181" t="s">
        <v>14</v>
      </c>
      <c r="B27" s="182">
        <f t="shared" si="0"/>
        <v>26</v>
      </c>
      <c r="C27" s="183">
        <v>12</v>
      </c>
      <c r="D27" s="182">
        <v>2020</v>
      </c>
      <c r="E27" s="184">
        <f>'FS Jimbaran December 2020'!P37</f>
        <v>12839.999999999978</v>
      </c>
      <c r="F27" s="193">
        <f>'FS Jimbaran December 2020'!O37/'FS Jimbaran December 2020'!P37</f>
        <v>1160.1704018691585</v>
      </c>
      <c r="G27" s="184">
        <f>'FS Jimbaran December 2020'!AG37</f>
        <v>0</v>
      </c>
      <c r="H27" s="193" t="e">
        <f>'FS Jimbaran December 2020'!AH37/'FS Jimbaran December 2020'!AG37</f>
        <v>#DIV/0!</v>
      </c>
      <c r="I27" s="184">
        <f>'FS Jimbaran December 2020'!AJ37</f>
        <v>301.19000000000233</v>
      </c>
      <c r="J27" s="185">
        <f>'FS Jimbaran December 2020'!AK37/'FS Jimbaran December 2020'!AJ37</f>
        <v>8600</v>
      </c>
      <c r="K27" s="184">
        <f>'FS Jimbaran December 2020'!V37</f>
        <v>867.75</v>
      </c>
      <c r="L27" s="193">
        <f>'FS Jimbaran December 2020'!AA37/'FS Jimbaran December 2020'!V37</f>
        <v>1603.5215384615387</v>
      </c>
      <c r="M27" s="184">
        <f>'FS Jimbaran December 2020'!C37</f>
        <v>26</v>
      </c>
      <c r="N27" s="184">
        <f>'FS Jimbaran December 2020'!D37</f>
        <v>205</v>
      </c>
    </row>
    <row r="28" spans="1:14">
      <c r="A28" s="181" t="s">
        <v>14</v>
      </c>
      <c r="B28" s="182">
        <f t="shared" si="0"/>
        <v>27</v>
      </c>
      <c r="C28" s="183">
        <v>12</v>
      </c>
      <c r="D28" s="182">
        <v>2020</v>
      </c>
      <c r="E28" s="184">
        <f>'FS Jimbaran December 2020'!P38</f>
        <v>16459.99999999996</v>
      </c>
      <c r="F28" s="193">
        <f>'FS Jimbaran December 2020'!O38/'FS Jimbaran December 2020'!P38</f>
        <v>1136.8094526123941</v>
      </c>
      <c r="G28" s="184">
        <f>'FS Jimbaran December 2020'!AG38</f>
        <v>0</v>
      </c>
      <c r="H28" s="193" t="e">
        <f>'FS Jimbaran December 2020'!AH38/'FS Jimbaran December 2020'!AG38</f>
        <v>#DIV/0!</v>
      </c>
      <c r="I28" s="184">
        <f>'FS Jimbaran December 2020'!AJ38</f>
        <v>300.08999999999651</v>
      </c>
      <c r="J28" s="185">
        <f>'FS Jimbaran December 2020'!AK38/'FS Jimbaran December 2020'!AJ38</f>
        <v>8600</v>
      </c>
      <c r="K28" s="184">
        <f>'FS Jimbaran December 2020'!V38</f>
        <v>798.33</v>
      </c>
      <c r="L28" s="193">
        <f>'FS Jimbaran December 2020'!AA38/'FS Jimbaran December 2020'!V38</f>
        <v>1843.1282051282049</v>
      </c>
      <c r="M28" s="184">
        <f>'FS Jimbaran December 2020'!C38</f>
        <v>27</v>
      </c>
      <c r="N28" s="184">
        <f>'FS Jimbaran December 2020'!D38</f>
        <v>275</v>
      </c>
    </row>
    <row r="29" spans="1:14">
      <c r="A29" s="181" t="s">
        <v>14</v>
      </c>
      <c r="B29" s="182">
        <f t="shared" si="0"/>
        <v>28</v>
      </c>
      <c r="C29" s="183">
        <v>12</v>
      </c>
      <c r="D29" s="182">
        <v>2020</v>
      </c>
      <c r="E29" s="184">
        <f>'FS Jimbaran December 2020'!P39</f>
        <v>19479.999999999949</v>
      </c>
      <c r="F29" s="193">
        <f>'FS Jimbaran December 2020'!O39/'FS Jimbaran December 2020'!P39</f>
        <v>1116.0954871663246</v>
      </c>
      <c r="G29" s="184">
        <f>'FS Jimbaran December 2020'!AG39</f>
        <v>12</v>
      </c>
      <c r="H29" s="193">
        <f>'FS Jimbaran December 2020'!AH39/'FS Jimbaran December 2020'!AG39</f>
        <v>11458.333333333334</v>
      </c>
      <c r="I29" s="184">
        <f>'FS Jimbaran December 2020'!AJ39</f>
        <v>298.8700000000099</v>
      </c>
      <c r="J29" s="185">
        <f>'FS Jimbaran December 2020'!AK39/'FS Jimbaran December 2020'!AJ39</f>
        <v>8600</v>
      </c>
      <c r="K29" s="184">
        <f>'FS Jimbaran December 2020'!V39</f>
        <v>753.83</v>
      </c>
      <c r="L29" s="193">
        <f>'FS Jimbaran December 2020'!AA39/'FS Jimbaran December 2020'!V39</f>
        <v>1973.1481700118061</v>
      </c>
      <c r="M29" s="184">
        <f>'FS Jimbaran December 2020'!C39</f>
        <v>24</v>
      </c>
      <c r="N29" s="184">
        <f>'FS Jimbaran December 2020'!D39</f>
        <v>230</v>
      </c>
    </row>
    <row r="30" spans="1:14">
      <c r="A30" s="181" t="s">
        <v>14</v>
      </c>
      <c r="B30" s="182">
        <f t="shared" si="0"/>
        <v>29</v>
      </c>
      <c r="C30" s="183">
        <v>12</v>
      </c>
      <c r="D30" s="182">
        <v>2020</v>
      </c>
      <c r="E30" s="184">
        <f>'FS Jimbaran December 2020'!P40</f>
        <v>16400.000000000044</v>
      </c>
      <c r="F30" s="193">
        <f>'FS Jimbaran December 2020'!O40/'FS Jimbaran December 2020'!P40</f>
        <v>1137.9053817073172</v>
      </c>
      <c r="G30" s="184">
        <f>'FS Jimbaran December 2020'!AG40</f>
        <v>400</v>
      </c>
      <c r="H30" s="193">
        <f>'FS Jimbaran December 2020'!AH40/'FS Jimbaran December 2020'!AG40</f>
        <v>10780</v>
      </c>
      <c r="I30" s="184">
        <f>'FS Jimbaran December 2020'!AJ40</f>
        <v>301.97999999999593</v>
      </c>
      <c r="J30" s="185">
        <f>'FS Jimbaran December 2020'!AK40/'FS Jimbaran December 2020'!AJ40</f>
        <v>8600</v>
      </c>
      <c r="K30" s="184">
        <f>'FS Jimbaran December 2020'!V40</f>
        <v>815.24</v>
      </c>
      <c r="L30" s="193">
        <f>'FS Jimbaran December 2020'!AA40/'FS Jimbaran December 2020'!V40</f>
        <v>1804.8973799126634</v>
      </c>
      <c r="M30" s="184">
        <f>'FS Jimbaran December 2020'!C40</f>
        <v>21</v>
      </c>
      <c r="N30" s="184">
        <f>'FS Jimbaran December 2020'!D40</f>
        <v>286</v>
      </c>
    </row>
    <row r="31" spans="1:14">
      <c r="A31" s="181" t="s">
        <v>14</v>
      </c>
      <c r="B31" s="182">
        <f t="shared" si="0"/>
        <v>30</v>
      </c>
      <c r="C31" s="183">
        <v>12</v>
      </c>
      <c r="D31" s="182">
        <v>2020</v>
      </c>
      <c r="E31" s="184">
        <f>'FS Jimbaran December 2020'!P41</f>
        <v>12240.00000000004</v>
      </c>
      <c r="F31" s="193">
        <f>'FS Jimbaran December 2020'!O41/'FS Jimbaran December 2020'!P41</f>
        <v>1162.5445784313717</v>
      </c>
      <c r="G31" s="184">
        <f>'FS Jimbaran December 2020'!AG41</f>
        <v>0</v>
      </c>
      <c r="H31" s="193" t="e">
        <f>'FS Jimbaran December 2020'!AH41/'FS Jimbaran December 2020'!AG41</f>
        <v>#DIV/0!</v>
      </c>
      <c r="I31" s="184">
        <f>'FS Jimbaran December 2020'!AJ41</f>
        <v>215.86000000000058</v>
      </c>
      <c r="J31" s="185">
        <f>'FS Jimbaran December 2020'!AK41/'FS Jimbaran December 2020'!AJ41</f>
        <v>8600</v>
      </c>
      <c r="K31" s="184">
        <f>'FS Jimbaran December 2020'!V41</f>
        <v>826.81000000000006</v>
      </c>
      <c r="L31" s="193">
        <f>'FS Jimbaran December 2020'!AA41/'FS Jimbaran December 2020'!V41</f>
        <v>1740.9526372443484</v>
      </c>
      <c r="M31" s="184">
        <f>'FS Jimbaran December 2020'!C41</f>
        <v>29</v>
      </c>
      <c r="N31" s="184">
        <f>'FS Jimbaran December 2020'!D41</f>
        <v>271</v>
      </c>
    </row>
    <row r="32" spans="1:14">
      <c r="A32" s="181" t="s">
        <v>14</v>
      </c>
      <c r="B32" s="182">
        <v>31</v>
      </c>
      <c r="C32" s="183">
        <v>12</v>
      </c>
      <c r="D32" s="182">
        <v>2020</v>
      </c>
      <c r="E32" s="184">
        <f>'FS Jimbaran December 2020'!P42</f>
        <v>16920.000000000007</v>
      </c>
      <c r="F32" s="193">
        <f>'FS Jimbaran December 2020'!O42/'FS Jimbaran December 2020'!P42</f>
        <v>1140.3680691489365</v>
      </c>
      <c r="G32" s="184">
        <f>'FS Jimbaran December 2020'!AG42</f>
        <v>0</v>
      </c>
      <c r="H32" s="193" t="e">
        <f>'FS Jimbaran December 2020'!AH42/'FS Jimbaran December 2020'!AG42</f>
        <v>#DIV/0!</v>
      </c>
      <c r="I32" s="184">
        <f>'FS Jimbaran December 2020'!AJ42</f>
        <v>342.89999999999418</v>
      </c>
      <c r="J32" s="185">
        <f>'FS Jimbaran December 2020'!AK42/'FS Jimbaran December 2020'!AJ42</f>
        <v>8600</v>
      </c>
      <c r="K32" s="184">
        <f>'FS Jimbaran December 2020'!V42</f>
        <v>814.35</v>
      </c>
      <c r="L32" s="193">
        <f>'FS Jimbaran December 2020'!AA42/'FS Jimbaran December 2020'!V42</f>
        <v>1747.9502732240439</v>
      </c>
      <c r="M32" s="184">
        <f>'FS Jimbaran December 2020'!C42</f>
        <v>43</v>
      </c>
      <c r="N32" s="184">
        <f>'FS Jimbaran December 2020'!D42</f>
        <v>301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M52"/>
  <sheetViews>
    <sheetView zoomScale="62" zoomScaleNormal="62" workbookViewId="0">
      <pane xSplit="4" ySplit="10" topLeftCell="T11" activePane="bottomRight" state="frozen"/>
      <selection pane="bottomRight" activeCell="Y12" sqref="Y12:Y42"/>
      <selection pane="bottomLeft" activeCell="A11" sqref="A11"/>
      <selection pane="topRight" activeCell="E1" sqref="E1"/>
    </sheetView>
  </sheetViews>
  <sheetFormatPr defaultRowHeight="15.75"/>
  <cols>
    <col min="1" max="1" width="3.7109375" style="7" customWidth="1"/>
    <col min="2" max="2" width="8.7109375" style="7" customWidth="1"/>
    <col min="3" max="3" width="8.7109375" style="3" customWidth="1"/>
    <col min="4" max="4" width="9.140625" customWidth="1"/>
    <col min="5" max="5" width="14.7109375" style="3" customWidth="1"/>
    <col min="6" max="6" width="17.7109375" style="3" customWidth="1"/>
    <col min="7" max="7" width="14.85546875" customWidth="1"/>
    <col min="8" max="8" width="17.140625" style="3" customWidth="1"/>
    <col min="9" max="9" width="17" customWidth="1"/>
    <col min="10" max="10" width="14" customWidth="1"/>
    <col min="11" max="11" width="17.42578125" customWidth="1"/>
    <col min="12" max="12" width="14.140625" style="3" customWidth="1"/>
    <col min="13" max="13" width="18.28515625" style="75" bestFit="1" customWidth="1"/>
    <col min="14" max="14" width="20.42578125" style="79" customWidth="1"/>
    <col min="15" max="15" width="18.85546875" customWidth="1"/>
    <col min="16" max="16" width="15.140625" style="79" customWidth="1"/>
    <col min="17" max="17" width="19.7109375" customWidth="1"/>
    <col min="18" max="18" width="18.140625" style="101" customWidth="1"/>
    <col min="19" max="19" width="22.85546875" customWidth="1"/>
    <col min="20" max="20" width="17.140625" customWidth="1"/>
    <col min="21" max="21" width="18.85546875" customWidth="1"/>
    <col min="22" max="22" width="17.42578125" bestFit="1" customWidth="1"/>
    <col min="23" max="24" width="21.140625" bestFit="1" customWidth="1"/>
    <col min="25" max="25" width="19.7109375" bestFit="1" customWidth="1"/>
    <col min="26" max="26" width="21.28515625" bestFit="1" customWidth="1"/>
    <col min="27" max="27" width="16" bestFit="1" customWidth="1"/>
    <col min="28" max="28" width="9.85546875" customWidth="1"/>
    <col min="29" max="29" width="15.85546875" bestFit="1" customWidth="1"/>
    <col min="30" max="30" width="12.85546875" style="3" bestFit="1" customWidth="1"/>
    <col min="31" max="31" width="14.85546875" customWidth="1"/>
    <col min="32" max="32" width="12.28515625" bestFit="1" customWidth="1"/>
    <col min="33" max="33" width="10.7109375" bestFit="1" customWidth="1"/>
    <col min="34" max="34" width="19" style="3" customWidth="1"/>
    <col min="35" max="35" width="10.5703125" customWidth="1"/>
    <col min="36" max="36" width="13.28515625" style="101" bestFit="1" customWidth="1"/>
    <col min="37" max="37" width="20.7109375" bestFit="1" customWidth="1"/>
    <col min="38" max="38" width="9.42578125" style="50" bestFit="1" customWidth="1"/>
    <col min="39" max="39" width="2.28515625" style="7" customWidth="1"/>
  </cols>
  <sheetData>
    <row r="2" spans="1:39">
      <c r="L2" s="3" t="s">
        <v>15</v>
      </c>
    </row>
    <row r="5" spans="1:39">
      <c r="N5" s="195"/>
      <c r="X5" s="196"/>
    </row>
    <row r="6" spans="1:39" s="35" customFormat="1" ht="19.5" thickBot="1">
      <c r="B6" s="35" t="s">
        <v>16</v>
      </c>
      <c r="C6" s="43"/>
      <c r="E6" s="43"/>
      <c r="F6" s="43"/>
      <c r="H6" s="43"/>
      <c r="L6" s="43"/>
      <c r="M6" s="69"/>
      <c r="N6" s="76"/>
      <c r="P6" s="76"/>
      <c r="R6" s="97"/>
      <c r="AD6" s="43"/>
      <c r="AH6" s="43"/>
      <c r="AJ6" s="97"/>
      <c r="AL6" s="46"/>
    </row>
    <row r="7" spans="1:39" s="15" customFormat="1" ht="16.5" thickBot="1">
      <c r="A7" s="39"/>
      <c r="B7" s="217" t="s">
        <v>17</v>
      </c>
      <c r="C7" s="218"/>
      <c r="D7" s="218"/>
      <c r="E7" s="218"/>
      <c r="F7" s="218"/>
      <c r="G7" s="218"/>
      <c r="H7" s="218"/>
      <c r="I7" s="218"/>
      <c r="J7" s="218"/>
      <c r="K7" s="218"/>
      <c r="L7" s="218"/>
      <c r="M7" s="218"/>
      <c r="N7" s="218"/>
      <c r="O7" s="218"/>
      <c r="P7" s="218"/>
      <c r="Q7" s="218"/>
      <c r="R7" s="218"/>
      <c r="S7" s="218"/>
      <c r="T7" s="218"/>
      <c r="U7" s="218"/>
      <c r="V7" s="218"/>
      <c r="W7" s="218"/>
      <c r="X7" s="218"/>
      <c r="Y7" s="218"/>
      <c r="Z7" s="218"/>
      <c r="AA7" s="218"/>
      <c r="AB7" s="218"/>
      <c r="AC7" s="218"/>
      <c r="AD7" s="218"/>
      <c r="AE7" s="218"/>
      <c r="AF7" s="218"/>
      <c r="AG7" s="218"/>
      <c r="AH7" s="218"/>
      <c r="AI7" s="218"/>
      <c r="AJ7" s="218"/>
      <c r="AK7" s="218"/>
      <c r="AL7" s="219"/>
      <c r="AM7" s="39"/>
    </row>
    <row r="8" spans="1:39" s="7" customFormat="1" ht="15.75" customHeight="1" thickBot="1">
      <c r="A8" s="36"/>
      <c r="B8" s="220" t="s">
        <v>18</v>
      </c>
      <c r="C8" s="223" t="s">
        <v>19</v>
      </c>
      <c r="D8" s="226" t="s">
        <v>13</v>
      </c>
      <c r="E8" s="229" t="s">
        <v>20</v>
      </c>
      <c r="F8" s="229"/>
      <c r="G8" s="229"/>
      <c r="H8" s="229"/>
      <c r="I8" s="229"/>
      <c r="J8" s="229"/>
      <c r="K8" s="229"/>
      <c r="L8" s="229"/>
      <c r="M8" s="229"/>
      <c r="N8" s="229"/>
      <c r="O8" s="229"/>
      <c r="P8" s="229"/>
      <c r="Q8" s="230"/>
      <c r="R8" s="230"/>
      <c r="S8" s="230"/>
      <c r="T8" s="230"/>
      <c r="U8" s="231"/>
      <c r="V8" s="232" t="s">
        <v>21</v>
      </c>
      <c r="W8" s="233"/>
      <c r="X8" s="233"/>
      <c r="Y8" s="233"/>
      <c r="Z8" s="233"/>
      <c r="AA8" s="233"/>
      <c r="AB8" s="234"/>
      <c r="AC8" s="235" t="s">
        <v>22</v>
      </c>
      <c r="AD8" s="235"/>
      <c r="AE8" s="235"/>
      <c r="AF8" s="235"/>
      <c r="AG8" s="235"/>
      <c r="AH8" s="235"/>
      <c r="AI8" s="235"/>
      <c r="AJ8" s="235"/>
      <c r="AK8" s="235"/>
      <c r="AL8" s="236"/>
      <c r="AM8" s="38"/>
    </row>
    <row r="9" spans="1:39" ht="15" customHeight="1" thickBot="1">
      <c r="B9" s="221"/>
      <c r="C9" s="224"/>
      <c r="D9" s="227"/>
      <c r="E9" s="237" t="s">
        <v>23</v>
      </c>
      <c r="F9" s="238"/>
      <c r="G9" s="238"/>
      <c r="H9" s="238"/>
      <c r="I9" s="239"/>
      <c r="J9" s="240" t="s">
        <v>24</v>
      </c>
      <c r="K9" s="240"/>
      <c r="L9" s="240"/>
      <c r="M9" s="240"/>
      <c r="N9" s="241"/>
      <c r="O9" s="226" t="s">
        <v>25</v>
      </c>
      <c r="P9" s="242" t="s">
        <v>26</v>
      </c>
      <c r="Q9" s="244" t="s">
        <v>27</v>
      </c>
      <c r="R9" s="246" t="s">
        <v>28</v>
      </c>
      <c r="S9" s="211" t="s">
        <v>29</v>
      </c>
      <c r="T9" s="213" t="s">
        <v>30</v>
      </c>
      <c r="U9" s="214"/>
      <c r="V9" s="61"/>
      <c r="W9" s="62" t="s">
        <v>31</v>
      </c>
      <c r="X9" s="62"/>
      <c r="Y9" s="63"/>
      <c r="Z9" s="194"/>
      <c r="AA9" s="215" t="s">
        <v>32</v>
      </c>
      <c r="AB9" s="216"/>
      <c r="AC9" s="235" t="s">
        <v>33</v>
      </c>
      <c r="AD9" s="235"/>
      <c r="AE9" s="235"/>
      <c r="AF9" s="235"/>
      <c r="AG9" s="235"/>
      <c r="AH9" s="235"/>
      <c r="AI9" s="236"/>
      <c r="AJ9" s="160" t="s">
        <v>34</v>
      </c>
      <c r="AK9" s="45"/>
      <c r="AL9" s="47"/>
    </row>
    <row r="10" spans="1:39" ht="61.5" customHeight="1" thickBot="1">
      <c r="A10" s="37"/>
      <c r="B10" s="222"/>
      <c r="C10" s="225"/>
      <c r="D10" s="228"/>
      <c r="E10" s="112" t="s">
        <v>35</v>
      </c>
      <c r="F10" s="95" t="s">
        <v>36</v>
      </c>
      <c r="G10" s="147" t="s">
        <v>37</v>
      </c>
      <c r="H10" s="22" t="s">
        <v>36</v>
      </c>
      <c r="I10" s="113" t="s">
        <v>38</v>
      </c>
      <c r="J10" s="112" t="s">
        <v>35</v>
      </c>
      <c r="K10" s="96" t="s">
        <v>36</v>
      </c>
      <c r="L10" s="147" t="s">
        <v>37</v>
      </c>
      <c r="M10" s="70" t="s">
        <v>36</v>
      </c>
      <c r="N10" s="104" t="s">
        <v>39</v>
      </c>
      <c r="O10" s="228"/>
      <c r="P10" s="243"/>
      <c r="Q10" s="245"/>
      <c r="R10" s="247"/>
      <c r="S10" s="212"/>
      <c r="T10" s="28" t="s">
        <v>40</v>
      </c>
      <c r="U10" s="30" t="s">
        <v>41</v>
      </c>
      <c r="V10" s="65" t="s">
        <v>42</v>
      </c>
      <c r="W10" s="64" t="s">
        <v>43</v>
      </c>
      <c r="X10" s="64" t="s">
        <v>44</v>
      </c>
      <c r="Y10" s="29" t="s">
        <v>45</v>
      </c>
      <c r="Z10" s="29" t="s">
        <v>46</v>
      </c>
      <c r="AA10" s="29" t="s">
        <v>40</v>
      </c>
      <c r="AB10" s="17" t="s">
        <v>41</v>
      </c>
      <c r="AC10" s="139" t="s">
        <v>47</v>
      </c>
      <c r="AD10" s="57" t="s">
        <v>48</v>
      </c>
      <c r="AE10" s="56" t="s">
        <v>49</v>
      </c>
      <c r="AF10" s="56" t="s">
        <v>50</v>
      </c>
      <c r="AG10" s="56" t="s">
        <v>51</v>
      </c>
      <c r="AH10" s="57" t="s">
        <v>40</v>
      </c>
      <c r="AI10" s="58" t="s">
        <v>41</v>
      </c>
      <c r="AJ10" s="161" t="s">
        <v>52</v>
      </c>
      <c r="AK10" s="56" t="s">
        <v>40</v>
      </c>
      <c r="AL10" s="60" t="s">
        <v>41</v>
      </c>
      <c r="AM10" s="37"/>
    </row>
    <row r="11" spans="1:39">
      <c r="A11" s="37"/>
      <c r="B11" s="67"/>
      <c r="C11" s="114"/>
      <c r="D11" s="66" t="s">
        <v>53</v>
      </c>
      <c r="E11" s="102"/>
      <c r="F11" s="102"/>
      <c r="G11" s="23"/>
      <c r="H11" s="24"/>
      <c r="I11" s="115"/>
      <c r="J11" s="103"/>
      <c r="K11" s="23"/>
      <c r="L11" s="24"/>
      <c r="M11" s="71"/>
      <c r="N11" s="106"/>
      <c r="O11" s="66"/>
      <c r="P11" s="124"/>
      <c r="Q11" s="123"/>
      <c r="R11" s="128"/>
      <c r="S11" s="26"/>
      <c r="T11" s="27"/>
      <c r="U11" s="31"/>
      <c r="V11" s="105"/>
      <c r="W11" s="23"/>
      <c r="X11" s="23"/>
      <c r="Y11" s="25"/>
      <c r="Z11" s="25"/>
      <c r="AA11" s="25"/>
      <c r="AB11" s="115"/>
      <c r="AC11" s="140"/>
      <c r="AD11" s="54"/>
      <c r="AE11" s="51"/>
      <c r="AF11" s="51"/>
      <c r="AG11" s="51"/>
      <c r="AH11" s="54"/>
      <c r="AI11" s="55"/>
      <c r="AJ11" s="162"/>
      <c r="AK11" s="51"/>
      <c r="AL11" s="59"/>
      <c r="AM11" s="37"/>
    </row>
    <row r="12" spans="1:39">
      <c r="A12" s="42"/>
      <c r="B12" s="68">
        <v>1</v>
      </c>
      <c r="C12" s="170">
        <v>3</v>
      </c>
      <c r="D12" s="172">
        <v>31</v>
      </c>
      <c r="E12" s="119">
        <v>9040.00000000002</v>
      </c>
      <c r="F12" s="2">
        <v>9363451.2000000197</v>
      </c>
      <c r="G12" s="44">
        <v>1879.9999999999955</v>
      </c>
      <c r="H12" s="2">
        <v>2920899.5999999931</v>
      </c>
      <c r="I12" s="116">
        <f>F12+H12</f>
        <v>12284350.800000012</v>
      </c>
      <c r="J12" s="119">
        <v>1600.0000000000014</v>
      </c>
      <c r="K12" s="2">
        <v>1657248.0000000014</v>
      </c>
      <c r="L12" s="2">
        <v>540</v>
      </c>
      <c r="M12" s="72">
        <v>838981.8</v>
      </c>
      <c r="N12" s="107">
        <v>2621041.2900000014</v>
      </c>
      <c r="O12" s="121">
        <f>N12+I12</f>
        <v>14905392.090000013</v>
      </c>
      <c r="P12" s="125">
        <f>L12+J12+G12+E12</f>
        <v>13060.000000000016</v>
      </c>
      <c r="Q12" s="155"/>
      <c r="R12" s="148"/>
      <c r="S12" s="11"/>
      <c r="T12" s="13"/>
      <c r="U12" s="32"/>
      <c r="V12" s="149">
        <f>W12+Y12</f>
        <v>798.33</v>
      </c>
      <c r="W12" s="2">
        <v>89</v>
      </c>
      <c r="X12" s="2">
        <v>1599374.5</v>
      </c>
      <c r="Y12" s="207">
        <v>709.33</v>
      </c>
      <c r="Z12" s="40">
        <v>0</v>
      </c>
      <c r="AA12" s="40">
        <f t="shared" ref="AA12:AA42" si="0">Z12+X12</f>
        <v>1599374.5</v>
      </c>
      <c r="AB12" s="142">
        <f t="shared" ref="AB12:AB42" si="1">AA12/$AL$48</f>
        <v>123.25550300591318</v>
      </c>
      <c r="AC12" s="150">
        <v>0</v>
      </c>
      <c r="AD12" s="2">
        <v>0</v>
      </c>
      <c r="AE12" s="2">
        <v>0</v>
      </c>
      <c r="AF12" s="2">
        <v>12</v>
      </c>
      <c r="AG12" s="2">
        <f t="shared" ref="AG12:AG42" si="2">SUM(AC12:AF12)</f>
        <v>12</v>
      </c>
      <c r="AH12" s="2">
        <v>137500</v>
      </c>
      <c r="AI12" s="52">
        <f t="shared" ref="AI12:AI42" si="3">AH12/$AL$48</f>
        <v>10.596412324513778</v>
      </c>
      <c r="AJ12" s="163">
        <v>122.66999999999825</v>
      </c>
      <c r="AK12" s="2">
        <v>1054961.9999999851</v>
      </c>
      <c r="AL12" s="48">
        <f t="shared" ref="AL12:AL42" si="4">AK12/$AL$48</f>
        <v>81.30045337231671</v>
      </c>
      <c r="AM12" s="6"/>
    </row>
    <row r="13" spans="1:39">
      <c r="A13" s="42"/>
      <c r="B13" s="68">
        <v>2</v>
      </c>
      <c r="C13" s="170">
        <v>3</v>
      </c>
      <c r="D13" s="172">
        <v>33</v>
      </c>
      <c r="E13" s="119">
        <v>9160.0000000000255</v>
      </c>
      <c r="F13" s="2">
        <v>9487744.8000000268</v>
      </c>
      <c r="G13" s="44">
        <v>1879.9999999999955</v>
      </c>
      <c r="H13" s="2">
        <v>2920899.5999999931</v>
      </c>
      <c r="I13" s="116">
        <f t="shared" ref="I13:I42" si="5">F13+H13</f>
        <v>12408644.400000021</v>
      </c>
      <c r="J13" s="119">
        <v>1140.0000000000005</v>
      </c>
      <c r="K13" s="2">
        <v>1180789.2000000004</v>
      </c>
      <c r="L13" s="2">
        <v>259.99999999999977</v>
      </c>
      <c r="M13" s="72">
        <v>403954.19999999966</v>
      </c>
      <c r="N13" s="107">
        <v>1663980.57</v>
      </c>
      <c r="O13" s="121">
        <f t="shared" ref="O13:O42" si="6">N13+I13</f>
        <v>14072624.970000021</v>
      </c>
      <c r="P13" s="125">
        <f t="shared" ref="P13:P42" si="7">L13+J13+G13+E13</f>
        <v>12440.000000000022</v>
      </c>
      <c r="Q13" s="156"/>
      <c r="R13" s="151"/>
      <c r="S13" s="12"/>
      <c r="T13" s="14"/>
      <c r="U13" s="33"/>
      <c r="V13" s="149">
        <f t="shared" ref="V13:V42" si="8">W13+Y13</f>
        <v>819.51200000000006</v>
      </c>
      <c r="W13" s="2">
        <v>79.210000000000008</v>
      </c>
      <c r="X13" s="2">
        <v>1423443.3050000002</v>
      </c>
      <c r="Y13" s="210">
        <v>740.30200000000002</v>
      </c>
      <c r="Z13" s="40">
        <v>6800.7783599998284</v>
      </c>
      <c r="AA13" s="40">
        <f t="shared" si="0"/>
        <v>1430244.08336</v>
      </c>
      <c r="AB13" s="142">
        <f t="shared" si="1"/>
        <v>110.22149841439139</v>
      </c>
      <c r="AC13" s="150">
        <v>0</v>
      </c>
      <c r="AD13" s="2">
        <v>0</v>
      </c>
      <c r="AE13" s="2">
        <v>0</v>
      </c>
      <c r="AF13" s="2">
        <v>0</v>
      </c>
      <c r="AG13" s="2">
        <f t="shared" si="2"/>
        <v>0</v>
      </c>
      <c r="AH13" s="2">
        <v>0</v>
      </c>
      <c r="AI13" s="52">
        <f t="shared" si="3"/>
        <v>0</v>
      </c>
      <c r="AJ13" s="163">
        <v>217.80000000000291</v>
      </c>
      <c r="AK13" s="2">
        <v>1873080.0000000251</v>
      </c>
      <c r="AL13" s="48">
        <f t="shared" si="4"/>
        <v>144.34856724945843</v>
      </c>
      <c r="AM13" s="6"/>
    </row>
    <row r="14" spans="1:39">
      <c r="A14" s="42"/>
      <c r="B14" s="68">
        <v>3</v>
      </c>
      <c r="C14" s="170">
        <v>9</v>
      </c>
      <c r="D14" s="172">
        <v>63</v>
      </c>
      <c r="E14" s="119">
        <v>9479.9999999999618</v>
      </c>
      <c r="F14" s="2">
        <v>9819194.3999999594</v>
      </c>
      <c r="G14" s="44">
        <v>2040.0000000000064</v>
      </c>
      <c r="H14" s="2">
        <v>3169486.8000000101</v>
      </c>
      <c r="I14" s="116">
        <f t="shared" si="5"/>
        <v>12988681.199999969</v>
      </c>
      <c r="J14" s="119">
        <v>1292.0000000000016</v>
      </c>
      <c r="K14" s="2">
        <v>1338227.7600000016</v>
      </c>
      <c r="L14" s="2">
        <v>296.00000000000028</v>
      </c>
      <c r="M14" s="72">
        <v>459886.32000000047</v>
      </c>
      <c r="N14" s="107">
        <v>1888019.7840000021</v>
      </c>
      <c r="O14" s="121">
        <f t="shared" si="6"/>
        <v>14876700.983999971</v>
      </c>
      <c r="P14" s="125">
        <f t="shared" si="7"/>
        <v>13107.999999999971</v>
      </c>
      <c r="Q14" s="156"/>
      <c r="R14" s="151"/>
      <c r="S14" s="12"/>
      <c r="T14" s="14"/>
      <c r="U14" s="33"/>
      <c r="V14" s="149">
        <f t="shared" si="8"/>
        <v>831.26</v>
      </c>
      <c r="W14" s="2">
        <v>86.33</v>
      </c>
      <c r="X14" s="2">
        <v>1551393.2649999999</v>
      </c>
      <c r="Y14" s="210">
        <v>744.93</v>
      </c>
      <c r="Z14" s="40">
        <v>34003.891800000005</v>
      </c>
      <c r="AA14" s="40">
        <f t="shared" si="0"/>
        <v>1585397.1568</v>
      </c>
      <c r="AB14" s="142">
        <f t="shared" si="1"/>
        <v>122.17834161137908</v>
      </c>
      <c r="AC14" s="150">
        <v>0</v>
      </c>
      <c r="AD14" s="2">
        <v>0</v>
      </c>
      <c r="AE14" s="2">
        <v>0</v>
      </c>
      <c r="AF14" s="2">
        <v>24</v>
      </c>
      <c r="AG14" s="2">
        <f t="shared" si="2"/>
        <v>24</v>
      </c>
      <c r="AH14" s="2">
        <v>275000</v>
      </c>
      <c r="AI14" s="52">
        <f t="shared" si="3"/>
        <v>21.192824649027557</v>
      </c>
      <c r="AJ14" s="163">
        <v>221.65999999998894</v>
      </c>
      <c r="AK14" s="2">
        <v>1906275.999999905</v>
      </c>
      <c r="AL14" s="48">
        <f t="shared" si="4"/>
        <v>146.90681091144597</v>
      </c>
      <c r="AM14" s="6"/>
    </row>
    <row r="15" spans="1:39">
      <c r="A15" s="42"/>
      <c r="B15" s="68">
        <v>4</v>
      </c>
      <c r="C15" s="170">
        <v>11</v>
      </c>
      <c r="D15" s="172">
        <v>55</v>
      </c>
      <c r="E15" s="119">
        <v>9640.0000000000437</v>
      </c>
      <c r="F15" s="2">
        <v>9984919.2000000458</v>
      </c>
      <c r="G15" s="44">
        <v>2000</v>
      </c>
      <c r="H15" s="2">
        <v>3107340</v>
      </c>
      <c r="I15" s="116">
        <f t="shared" si="5"/>
        <v>13092259.200000046</v>
      </c>
      <c r="J15" s="119">
        <v>1140.0000000000002</v>
      </c>
      <c r="K15" s="2">
        <v>1180789.2000000002</v>
      </c>
      <c r="L15" s="2">
        <v>380</v>
      </c>
      <c r="M15" s="72">
        <v>590394.6</v>
      </c>
      <c r="N15" s="107">
        <v>1218077.2799999998</v>
      </c>
      <c r="O15" s="121">
        <f t="shared" si="6"/>
        <v>14310336.480000045</v>
      </c>
      <c r="P15" s="125">
        <f t="shared" si="7"/>
        <v>13160.000000000044</v>
      </c>
      <c r="Q15" s="156"/>
      <c r="R15" s="151"/>
      <c r="S15" s="12"/>
      <c r="T15" s="14"/>
      <c r="U15" s="33"/>
      <c r="V15" s="149">
        <f t="shared" si="8"/>
        <v>801.89</v>
      </c>
      <c r="W15" s="2">
        <v>80.099999999999994</v>
      </c>
      <c r="X15" s="2">
        <v>1439437.0499999998</v>
      </c>
      <c r="Y15" s="208">
        <v>721.79</v>
      </c>
      <c r="Z15" s="40">
        <v>0</v>
      </c>
      <c r="AA15" s="40">
        <f t="shared" si="0"/>
        <v>1439437.0499999998</v>
      </c>
      <c r="AB15" s="142">
        <f t="shared" si="1"/>
        <v>110.92995270532185</v>
      </c>
      <c r="AC15" s="150">
        <v>0</v>
      </c>
      <c r="AD15" s="2">
        <v>0</v>
      </c>
      <c r="AE15" s="2">
        <v>0</v>
      </c>
      <c r="AF15" s="2">
        <v>12</v>
      </c>
      <c r="AG15" s="2">
        <f t="shared" si="2"/>
        <v>12</v>
      </c>
      <c r="AH15" s="2">
        <v>137500</v>
      </c>
      <c r="AI15" s="52">
        <f t="shared" si="3"/>
        <v>10.596412324513778</v>
      </c>
      <c r="AJ15" s="163">
        <v>254.0400000000227</v>
      </c>
      <c r="AK15" s="2">
        <v>2184744.0000001951</v>
      </c>
      <c r="AL15" s="48">
        <f t="shared" si="4"/>
        <v>168.36689634552434</v>
      </c>
      <c r="AM15" s="6"/>
    </row>
    <row r="16" spans="1:39">
      <c r="A16" s="42"/>
      <c r="B16" s="68">
        <v>5</v>
      </c>
      <c r="C16" s="170">
        <v>12</v>
      </c>
      <c r="D16" s="172">
        <v>94</v>
      </c>
      <c r="E16" s="119">
        <v>10000</v>
      </c>
      <c r="F16" s="2">
        <v>10357800</v>
      </c>
      <c r="G16" s="44">
        <v>1959.9999999999936</v>
      </c>
      <c r="H16" s="2">
        <v>3045193.1999999904</v>
      </c>
      <c r="I16" s="116">
        <f t="shared" si="5"/>
        <v>13402993.19999999</v>
      </c>
      <c r="J16" s="119">
        <v>1299.9999999999998</v>
      </c>
      <c r="K16" s="2">
        <v>1346513.9999999998</v>
      </c>
      <c r="L16" s="2">
        <v>340</v>
      </c>
      <c r="M16" s="72">
        <v>528247.80000000005</v>
      </c>
      <c r="N16" s="107">
        <v>1968499.89</v>
      </c>
      <c r="O16" s="121">
        <f t="shared" si="6"/>
        <v>15371493.089999991</v>
      </c>
      <c r="P16" s="125">
        <f t="shared" si="7"/>
        <v>13599.999999999993</v>
      </c>
      <c r="Q16" s="156"/>
      <c r="R16" s="151"/>
      <c r="S16" s="12"/>
      <c r="T16" s="14"/>
      <c r="U16" s="33"/>
      <c r="V16" s="149">
        <f t="shared" si="8"/>
        <v>792.99</v>
      </c>
      <c r="W16" s="2">
        <v>83.66</v>
      </c>
      <c r="X16" s="2">
        <v>1503412.03</v>
      </c>
      <c r="Y16" s="208">
        <v>709.33</v>
      </c>
      <c r="Z16" s="40">
        <v>0</v>
      </c>
      <c r="AA16" s="40">
        <f t="shared" si="0"/>
        <v>1503412.03</v>
      </c>
      <c r="AB16" s="142">
        <f t="shared" si="1"/>
        <v>115.86017282555839</v>
      </c>
      <c r="AC16" s="150">
        <v>0</v>
      </c>
      <c r="AD16" s="2">
        <v>0</v>
      </c>
      <c r="AE16" s="2">
        <v>400</v>
      </c>
      <c r="AF16" s="2">
        <v>12</v>
      </c>
      <c r="AG16" s="2">
        <f t="shared" si="2"/>
        <v>412</v>
      </c>
      <c r="AH16" s="2">
        <v>4449500</v>
      </c>
      <c r="AI16" s="52">
        <f t="shared" si="3"/>
        <v>342.89990282126587</v>
      </c>
      <c r="AJ16" s="163">
        <v>158.77999999999884</v>
      </c>
      <c r="AK16" s="2">
        <v>1365507.99999999</v>
      </c>
      <c r="AL16" s="48">
        <f t="shared" si="4"/>
        <v>105.23262400306949</v>
      </c>
      <c r="AM16" s="6"/>
    </row>
    <row r="17" spans="1:39">
      <c r="A17" s="42"/>
      <c r="B17" s="68">
        <v>6</v>
      </c>
      <c r="C17" s="170">
        <v>7</v>
      </c>
      <c r="D17" s="172">
        <v>86</v>
      </c>
      <c r="E17" s="119">
        <v>9919.99999999996</v>
      </c>
      <c r="F17" s="2">
        <v>10274937.599999959</v>
      </c>
      <c r="G17" s="44">
        <v>2000</v>
      </c>
      <c r="H17" s="2">
        <v>3107340</v>
      </c>
      <c r="I17" s="116">
        <f t="shared" si="5"/>
        <v>13382277.599999959</v>
      </c>
      <c r="J17" s="119">
        <v>1300.0000000000002</v>
      </c>
      <c r="K17" s="2">
        <v>1346514.0000000002</v>
      </c>
      <c r="L17" s="2">
        <v>299.99999999999994</v>
      </c>
      <c r="M17" s="72">
        <v>466100.99999999994</v>
      </c>
      <c r="N17" s="107">
        <v>1903245.75</v>
      </c>
      <c r="O17" s="121">
        <f t="shared" si="6"/>
        <v>15285523.349999959</v>
      </c>
      <c r="P17" s="125">
        <f t="shared" si="7"/>
        <v>13519.99999999996</v>
      </c>
      <c r="Q17" s="156"/>
      <c r="R17" s="151"/>
      <c r="S17" s="12"/>
      <c r="T17" s="14"/>
      <c r="U17" s="33"/>
      <c r="V17" s="149">
        <f t="shared" si="8"/>
        <v>812.56999999999994</v>
      </c>
      <c r="W17" s="2">
        <v>82.77</v>
      </c>
      <c r="X17" s="2">
        <v>1487418.2849999999</v>
      </c>
      <c r="Y17" s="208">
        <v>729.8</v>
      </c>
      <c r="Z17" s="40">
        <v>0</v>
      </c>
      <c r="AA17" s="40">
        <f t="shared" si="0"/>
        <v>1487418.2849999999</v>
      </c>
      <c r="AB17" s="142">
        <f t="shared" si="1"/>
        <v>114.62761779549925</v>
      </c>
      <c r="AC17" s="150">
        <v>0</v>
      </c>
      <c r="AD17" s="2">
        <v>0</v>
      </c>
      <c r="AE17" s="2">
        <v>0</v>
      </c>
      <c r="AF17" s="2">
        <v>12</v>
      </c>
      <c r="AG17" s="2">
        <f t="shared" si="2"/>
        <v>12</v>
      </c>
      <c r="AH17" s="2">
        <v>137500</v>
      </c>
      <c r="AI17" s="52">
        <f t="shared" si="3"/>
        <v>10.596412324513778</v>
      </c>
      <c r="AJ17" s="163">
        <v>221.51999999998952</v>
      </c>
      <c r="AK17" s="2">
        <v>1905071.9999999099</v>
      </c>
      <c r="AL17" s="48">
        <f t="shared" si="4"/>
        <v>146.81402487189206</v>
      </c>
      <c r="AM17" s="6"/>
    </row>
    <row r="18" spans="1:39">
      <c r="A18" s="42"/>
      <c r="B18" s="68">
        <v>7</v>
      </c>
      <c r="C18" s="170">
        <v>4</v>
      </c>
      <c r="D18" s="172">
        <v>36</v>
      </c>
      <c r="E18" s="119">
        <v>10520.000000000038</v>
      </c>
      <c r="F18" s="2">
        <v>10896405.600000039</v>
      </c>
      <c r="G18" s="44">
        <v>2200.0000000000027</v>
      </c>
      <c r="H18" s="2">
        <v>3418074.0000000042</v>
      </c>
      <c r="I18" s="116">
        <f t="shared" si="5"/>
        <v>14314479.600000042</v>
      </c>
      <c r="J18" s="119">
        <v>1279.9999999999993</v>
      </c>
      <c r="K18" s="2">
        <v>1325798.3999999992</v>
      </c>
      <c r="L18" s="2">
        <v>320.00000000000006</v>
      </c>
      <c r="M18" s="72">
        <v>497174.40000000014</v>
      </c>
      <c r="N18" s="107">
        <v>1914121.4399999995</v>
      </c>
      <c r="O18" s="121">
        <f t="shared" si="6"/>
        <v>16228601.040000042</v>
      </c>
      <c r="P18" s="125">
        <f t="shared" si="7"/>
        <v>14320.00000000004</v>
      </c>
      <c r="Q18" s="156"/>
      <c r="R18" s="151"/>
      <c r="S18" s="12"/>
      <c r="T18" s="14"/>
      <c r="U18" s="33"/>
      <c r="V18" s="149">
        <f t="shared" si="8"/>
        <v>825.03000000000009</v>
      </c>
      <c r="W18" s="2">
        <v>78.320000000000007</v>
      </c>
      <c r="X18" s="2">
        <v>1407449.56</v>
      </c>
      <c r="Y18" s="208">
        <v>746.71</v>
      </c>
      <c r="Z18" s="40">
        <v>0</v>
      </c>
      <c r="AA18" s="40">
        <f t="shared" si="0"/>
        <v>1407449.56</v>
      </c>
      <c r="AB18" s="142">
        <f t="shared" si="1"/>
        <v>108.4648426452036</v>
      </c>
      <c r="AC18" s="150">
        <v>0</v>
      </c>
      <c r="AD18" s="2">
        <v>0</v>
      </c>
      <c r="AE18" s="2">
        <v>0</v>
      </c>
      <c r="AF18" s="2">
        <v>0</v>
      </c>
      <c r="AG18" s="2">
        <f t="shared" si="2"/>
        <v>0</v>
      </c>
      <c r="AH18" s="2">
        <v>0</v>
      </c>
      <c r="AI18" s="52">
        <f t="shared" si="3"/>
        <v>0</v>
      </c>
      <c r="AJ18" s="163">
        <v>231.40000000000873</v>
      </c>
      <c r="AK18" s="2">
        <v>1990040.000000075</v>
      </c>
      <c r="AL18" s="48">
        <f t="shared" si="4"/>
        <v>153.36206823473597</v>
      </c>
      <c r="AM18" s="6"/>
    </row>
    <row r="19" spans="1:39">
      <c r="A19" s="42"/>
      <c r="B19" s="68">
        <v>8</v>
      </c>
      <c r="C19" s="170">
        <v>6</v>
      </c>
      <c r="D19" s="172">
        <v>71</v>
      </c>
      <c r="E19" s="119">
        <v>10199.999999999989</v>
      </c>
      <c r="F19" s="2">
        <v>10564955.999999989</v>
      </c>
      <c r="G19" s="44">
        <v>2359.9999999999995</v>
      </c>
      <c r="H19" s="2">
        <v>3666661.1999999993</v>
      </c>
      <c r="I19" s="116">
        <f t="shared" si="5"/>
        <v>14231617.199999988</v>
      </c>
      <c r="J19" s="119">
        <v>1300.0000000000007</v>
      </c>
      <c r="K19" s="2">
        <v>1346514.0000000007</v>
      </c>
      <c r="L19" s="2">
        <v>379.99999999999989</v>
      </c>
      <c r="M19" s="72">
        <v>590394.59999999986</v>
      </c>
      <c r="N19" s="107">
        <v>2033754.0300000007</v>
      </c>
      <c r="O19" s="121">
        <f t="shared" si="6"/>
        <v>16265371.229999989</v>
      </c>
      <c r="P19" s="125">
        <f t="shared" si="7"/>
        <v>14239.999999999989</v>
      </c>
      <c r="Q19" s="154"/>
      <c r="R19" s="151"/>
      <c r="S19" s="12"/>
      <c r="T19" s="14"/>
      <c r="U19" s="33"/>
      <c r="V19" s="149">
        <f t="shared" si="8"/>
        <v>820.57999999999993</v>
      </c>
      <c r="W19" s="2">
        <v>61.410000000000004</v>
      </c>
      <c r="X19" s="2">
        <v>1103568.405</v>
      </c>
      <c r="Y19" s="208">
        <v>759.17</v>
      </c>
      <c r="Z19" s="40">
        <v>0</v>
      </c>
      <c r="AA19" s="40">
        <f t="shared" si="0"/>
        <v>1103568.405</v>
      </c>
      <c r="AB19" s="142">
        <f t="shared" si="1"/>
        <v>85.046297074080101</v>
      </c>
      <c r="AC19" s="150">
        <v>0</v>
      </c>
      <c r="AD19" s="2">
        <v>0</v>
      </c>
      <c r="AE19" s="2">
        <v>0</v>
      </c>
      <c r="AF19" s="2">
        <v>12</v>
      </c>
      <c r="AG19" s="2">
        <f t="shared" si="2"/>
        <v>12</v>
      </c>
      <c r="AH19" s="2">
        <v>137500</v>
      </c>
      <c r="AI19" s="52">
        <f t="shared" si="3"/>
        <v>10.596412324513778</v>
      </c>
      <c r="AJ19" s="163">
        <v>218.3799999999901</v>
      </c>
      <c r="AK19" s="2">
        <v>1878067.9999999148</v>
      </c>
      <c r="AL19" s="48">
        <f t="shared" si="4"/>
        <v>144.73296655617483</v>
      </c>
      <c r="AM19" s="6"/>
    </row>
    <row r="20" spans="1:39">
      <c r="A20" s="42"/>
      <c r="B20" s="68">
        <v>9</v>
      </c>
      <c r="C20" s="170">
        <v>9</v>
      </c>
      <c r="D20" s="172">
        <v>67</v>
      </c>
      <c r="E20" s="119">
        <v>10959.99999999998</v>
      </c>
      <c r="F20" s="2">
        <v>11352148.799999978</v>
      </c>
      <c r="G20" s="44">
        <v>2239.999999999995</v>
      </c>
      <c r="H20" s="2">
        <v>3480220.7999999924</v>
      </c>
      <c r="I20" s="116">
        <f t="shared" si="5"/>
        <v>14832369.599999972</v>
      </c>
      <c r="J20" s="119">
        <v>1359.9999999999995</v>
      </c>
      <c r="K20" s="2">
        <v>1408660.7999999996</v>
      </c>
      <c r="L20" s="2">
        <v>340.00000000000006</v>
      </c>
      <c r="M20" s="72">
        <v>528247.80000000016</v>
      </c>
      <c r="N20" s="107">
        <v>2033754.0299999998</v>
      </c>
      <c r="O20" s="121">
        <f t="shared" si="6"/>
        <v>16866123.629999973</v>
      </c>
      <c r="P20" s="125">
        <f t="shared" si="7"/>
        <v>14899.999999999975</v>
      </c>
      <c r="Q20" s="154"/>
      <c r="R20" s="151"/>
      <c r="S20" s="12"/>
      <c r="T20" s="14"/>
      <c r="U20" s="33"/>
      <c r="V20" s="149">
        <f t="shared" si="8"/>
        <v>849.95</v>
      </c>
      <c r="W20" s="2">
        <v>105.02</v>
      </c>
      <c r="X20" s="2">
        <v>1887261.91</v>
      </c>
      <c r="Y20" s="208">
        <v>744.93000000000006</v>
      </c>
      <c r="Z20" s="40">
        <v>0</v>
      </c>
      <c r="AA20" s="40">
        <f t="shared" si="0"/>
        <v>1887261.91</v>
      </c>
      <c r="AB20" s="142">
        <f t="shared" si="1"/>
        <v>145.44149354697754</v>
      </c>
      <c r="AC20" s="150">
        <v>0</v>
      </c>
      <c r="AD20" s="2">
        <v>0</v>
      </c>
      <c r="AE20" s="2">
        <v>0</v>
      </c>
      <c r="AF20" s="2">
        <v>0</v>
      </c>
      <c r="AG20" s="2">
        <f t="shared" si="2"/>
        <v>0</v>
      </c>
      <c r="AH20" s="2">
        <v>0</v>
      </c>
      <c r="AI20" s="52">
        <f t="shared" si="3"/>
        <v>0</v>
      </c>
      <c r="AJ20" s="163">
        <v>187.6200000000099</v>
      </c>
      <c r="AK20" s="2">
        <v>1613532.0000000852</v>
      </c>
      <c r="AL20" s="48">
        <f t="shared" si="4"/>
        <v>124.34654815126014</v>
      </c>
      <c r="AM20" s="6"/>
    </row>
    <row r="21" spans="1:39">
      <c r="A21" s="42"/>
      <c r="B21" s="68">
        <v>10</v>
      </c>
      <c r="C21" s="170">
        <v>8</v>
      </c>
      <c r="D21" s="172">
        <v>84</v>
      </c>
      <c r="E21" s="119">
        <v>11240.000000000065</v>
      </c>
      <c r="F21" s="2">
        <v>11642167.200000068</v>
      </c>
      <c r="G21" s="44">
        <v>2359.9999999999995</v>
      </c>
      <c r="H21" s="2">
        <v>3666661.1999999993</v>
      </c>
      <c r="I21" s="116">
        <f t="shared" si="5"/>
        <v>15308828.400000067</v>
      </c>
      <c r="J21" s="119">
        <v>1359.9999999999995</v>
      </c>
      <c r="K21" s="2">
        <v>1408660.7999999996</v>
      </c>
      <c r="L21" s="2">
        <v>319.99999999999983</v>
      </c>
      <c r="M21" s="72">
        <v>497174.39999999973</v>
      </c>
      <c r="N21" s="107">
        <v>2001126.9599999993</v>
      </c>
      <c r="O21" s="121">
        <f t="shared" si="6"/>
        <v>17309955.360000066</v>
      </c>
      <c r="P21" s="125">
        <f t="shared" si="7"/>
        <v>15280.000000000065</v>
      </c>
      <c r="Q21" s="154"/>
      <c r="R21" s="151"/>
      <c r="S21" s="12"/>
      <c r="T21" s="14"/>
      <c r="U21" s="33"/>
      <c r="V21" s="149">
        <f t="shared" si="8"/>
        <v>825.92</v>
      </c>
      <c r="W21" s="2">
        <v>73.87</v>
      </c>
      <c r="X21" s="2">
        <v>1327480.8350000002</v>
      </c>
      <c r="Y21" s="208">
        <v>752.05</v>
      </c>
      <c r="Z21" s="40">
        <v>0</v>
      </c>
      <c r="AA21" s="40">
        <f t="shared" si="0"/>
        <v>1327480.8350000002</v>
      </c>
      <c r="AB21" s="142">
        <f t="shared" si="1"/>
        <v>102.30206749490796</v>
      </c>
      <c r="AC21" s="150">
        <v>0</v>
      </c>
      <c r="AD21" s="2">
        <v>0</v>
      </c>
      <c r="AE21" s="2">
        <v>450</v>
      </c>
      <c r="AF21" s="2">
        <v>0</v>
      </c>
      <c r="AG21" s="2">
        <f t="shared" si="2"/>
        <v>450</v>
      </c>
      <c r="AH21" s="2">
        <v>4851000</v>
      </c>
      <c r="AI21" s="52">
        <f t="shared" si="3"/>
        <v>373.84142680884611</v>
      </c>
      <c r="AJ21" s="163">
        <v>191.95999999999185</v>
      </c>
      <c r="AK21" s="2">
        <v>1650855.9999999299</v>
      </c>
      <c r="AL21" s="48">
        <f t="shared" si="4"/>
        <v>127.22291537743109</v>
      </c>
      <c r="AM21" s="6"/>
    </row>
    <row r="22" spans="1:39">
      <c r="A22" s="42"/>
      <c r="B22" s="68">
        <v>11</v>
      </c>
      <c r="C22" s="170">
        <v>6</v>
      </c>
      <c r="D22" s="172">
        <v>93</v>
      </c>
      <c r="E22" s="119">
        <v>11719.999999999913</v>
      </c>
      <c r="F22" s="2">
        <v>12139341.599999908</v>
      </c>
      <c r="G22" s="44">
        <v>2160.0000000000109</v>
      </c>
      <c r="H22" s="2">
        <v>3355927.200000017</v>
      </c>
      <c r="I22" s="116">
        <f t="shared" si="5"/>
        <v>15495268.799999926</v>
      </c>
      <c r="J22" s="119">
        <v>1320.0000000000002</v>
      </c>
      <c r="K22" s="2">
        <v>1367229.6</v>
      </c>
      <c r="L22" s="2">
        <v>300.00000000000028</v>
      </c>
      <c r="M22" s="72">
        <v>466101.00000000047</v>
      </c>
      <c r="N22" s="107">
        <v>1924997.1300000006</v>
      </c>
      <c r="O22" s="121">
        <f t="shared" si="6"/>
        <v>17420265.929999925</v>
      </c>
      <c r="P22" s="125">
        <f t="shared" si="7"/>
        <v>15499.999999999924</v>
      </c>
      <c r="Q22" s="154"/>
      <c r="R22" s="151"/>
      <c r="S22" s="12"/>
      <c r="T22" s="14"/>
      <c r="U22" s="33"/>
      <c r="V22" s="149">
        <f t="shared" si="8"/>
        <v>827.7</v>
      </c>
      <c r="W22" s="2">
        <v>89</v>
      </c>
      <c r="X22" s="2">
        <v>1599374.5</v>
      </c>
      <c r="Y22" s="208">
        <v>738.7</v>
      </c>
      <c r="Z22" s="40">
        <v>0</v>
      </c>
      <c r="AA22" s="40">
        <f t="shared" si="0"/>
        <v>1599374.5</v>
      </c>
      <c r="AB22" s="142">
        <f t="shared" si="1"/>
        <v>123.25550300591318</v>
      </c>
      <c r="AC22" s="150">
        <v>0</v>
      </c>
      <c r="AD22" s="2">
        <v>0</v>
      </c>
      <c r="AE22" s="2">
        <v>0</v>
      </c>
      <c r="AF22" s="2">
        <v>12</v>
      </c>
      <c r="AG22" s="2">
        <f t="shared" si="2"/>
        <v>12</v>
      </c>
      <c r="AH22" s="2">
        <v>137500</v>
      </c>
      <c r="AI22" s="52">
        <f t="shared" si="3"/>
        <v>10.596412324513778</v>
      </c>
      <c r="AJ22" s="163">
        <v>219.41999999999825</v>
      </c>
      <c r="AK22" s="2">
        <v>1887011.9999999851</v>
      </c>
      <c r="AL22" s="48">
        <f t="shared" si="4"/>
        <v>145.42223427858355</v>
      </c>
      <c r="AM22" s="6"/>
    </row>
    <row r="23" spans="1:39">
      <c r="A23" s="42"/>
      <c r="B23" s="68">
        <v>12</v>
      </c>
      <c r="C23" s="170">
        <v>8</v>
      </c>
      <c r="D23" s="172">
        <v>158</v>
      </c>
      <c r="E23" s="119">
        <v>10120.000000000004</v>
      </c>
      <c r="F23" s="2">
        <v>10482093.600000003</v>
      </c>
      <c r="G23" s="44">
        <v>983.99999999999466</v>
      </c>
      <c r="H23" s="2">
        <v>1528811.2799999919</v>
      </c>
      <c r="I23" s="116">
        <f t="shared" si="5"/>
        <v>12010904.879999995</v>
      </c>
      <c r="J23" s="119">
        <v>1339.9999999999998</v>
      </c>
      <c r="K23" s="2">
        <v>1387945.1999999997</v>
      </c>
      <c r="L23" s="2">
        <v>339.99999999999989</v>
      </c>
      <c r="M23" s="72">
        <v>528247.79999999981</v>
      </c>
      <c r="N23" s="107">
        <v>2012002.6499999997</v>
      </c>
      <c r="O23" s="121">
        <f t="shared" si="6"/>
        <v>14022907.529999996</v>
      </c>
      <c r="P23" s="125">
        <f t="shared" si="7"/>
        <v>12783.999999999998</v>
      </c>
      <c r="Q23" s="154"/>
      <c r="R23" s="152"/>
      <c r="S23" s="12"/>
      <c r="T23" s="14"/>
      <c r="U23" s="33"/>
      <c r="V23" s="149">
        <f t="shared" si="8"/>
        <v>836.59999999999991</v>
      </c>
      <c r="W23" s="2">
        <v>85.44</v>
      </c>
      <c r="X23" s="2">
        <v>1535399.52</v>
      </c>
      <c r="Y23" s="208">
        <v>751.16</v>
      </c>
      <c r="Z23" s="40">
        <v>0</v>
      </c>
      <c r="AA23" s="40">
        <f t="shared" si="0"/>
        <v>1535399.52</v>
      </c>
      <c r="AB23" s="142">
        <f t="shared" si="1"/>
        <v>118.32528288567666</v>
      </c>
      <c r="AC23" s="150">
        <v>0</v>
      </c>
      <c r="AD23" s="2">
        <v>0</v>
      </c>
      <c r="AE23" s="2">
        <v>400</v>
      </c>
      <c r="AF23" s="2">
        <v>24</v>
      </c>
      <c r="AG23" s="2">
        <f t="shared" si="2"/>
        <v>424</v>
      </c>
      <c r="AH23" s="2">
        <v>4587000</v>
      </c>
      <c r="AI23" s="52">
        <f t="shared" si="3"/>
        <v>353.49631514577965</v>
      </c>
      <c r="AJ23" s="163">
        <v>211.83999999999651</v>
      </c>
      <c r="AK23" s="2">
        <v>1821823.99999997</v>
      </c>
      <c r="AL23" s="48">
        <f t="shared" si="4"/>
        <v>140.39853299414307</v>
      </c>
      <c r="AM23" s="6"/>
    </row>
    <row r="24" spans="1:39">
      <c r="A24" s="42"/>
      <c r="B24" s="68">
        <v>13</v>
      </c>
      <c r="C24" s="170">
        <v>8</v>
      </c>
      <c r="D24" s="172">
        <v>153</v>
      </c>
      <c r="E24" s="119">
        <v>10240.000000000009</v>
      </c>
      <c r="F24" s="2">
        <v>10606387.200000009</v>
      </c>
      <c r="G24" s="44">
        <v>3256</v>
      </c>
      <c r="H24" s="2">
        <v>5058749.5200000005</v>
      </c>
      <c r="I24" s="116">
        <f t="shared" si="5"/>
        <v>15665136.72000001</v>
      </c>
      <c r="J24" s="119">
        <v>1300.0000000000007</v>
      </c>
      <c r="K24" s="2">
        <v>1346514.0000000007</v>
      </c>
      <c r="L24" s="2">
        <v>339.99999999999989</v>
      </c>
      <c r="M24" s="72">
        <v>528247.79999999981</v>
      </c>
      <c r="N24" s="107">
        <v>1968499.8900000006</v>
      </c>
      <c r="O24" s="121">
        <f t="shared" si="6"/>
        <v>17633636.610000011</v>
      </c>
      <c r="P24" s="125">
        <f t="shared" si="7"/>
        <v>15136.000000000009</v>
      </c>
      <c r="Q24" s="154"/>
      <c r="R24" s="153"/>
      <c r="S24" s="12"/>
      <c r="T24" s="14"/>
      <c r="U24" s="33"/>
      <c r="V24" s="149">
        <f t="shared" si="8"/>
        <v>848.17</v>
      </c>
      <c r="W24" s="2">
        <v>76.540000000000006</v>
      </c>
      <c r="X24" s="2">
        <v>1375462.07</v>
      </c>
      <c r="Y24" s="208">
        <v>771.63</v>
      </c>
      <c r="Z24" s="40">
        <v>0</v>
      </c>
      <c r="AA24" s="40">
        <f t="shared" si="0"/>
        <v>1375462.07</v>
      </c>
      <c r="AB24" s="142">
        <f t="shared" si="1"/>
        <v>105.99973258508534</v>
      </c>
      <c r="AC24" s="150">
        <v>0</v>
      </c>
      <c r="AD24" s="2">
        <v>0</v>
      </c>
      <c r="AE24" s="2">
        <v>0</v>
      </c>
      <c r="AF24" s="2">
        <v>0</v>
      </c>
      <c r="AG24" s="2">
        <f t="shared" si="2"/>
        <v>0</v>
      </c>
      <c r="AH24" s="2">
        <v>0</v>
      </c>
      <c r="AI24" s="52">
        <f t="shared" si="3"/>
        <v>0</v>
      </c>
      <c r="AJ24" s="163">
        <v>217.45999999999185</v>
      </c>
      <c r="AK24" s="2">
        <v>1870155.9999999299</v>
      </c>
      <c r="AL24" s="48">
        <f t="shared" si="4"/>
        <v>144.12322972481925</v>
      </c>
      <c r="AM24" s="6"/>
    </row>
    <row r="25" spans="1:39">
      <c r="A25" s="42"/>
      <c r="B25" s="68">
        <v>14</v>
      </c>
      <c r="C25" s="170">
        <v>11</v>
      </c>
      <c r="D25" s="172">
        <v>58</v>
      </c>
      <c r="E25" s="119">
        <v>12440.000000000055</v>
      </c>
      <c r="F25" s="2">
        <v>12885103.200000057</v>
      </c>
      <c r="G25" s="44">
        <v>2000</v>
      </c>
      <c r="H25" s="2">
        <v>3107340</v>
      </c>
      <c r="I25" s="116">
        <f t="shared" si="5"/>
        <v>15992443.200000057</v>
      </c>
      <c r="J25" s="119">
        <v>1580</v>
      </c>
      <c r="K25" s="2">
        <v>1636532.4</v>
      </c>
      <c r="L25" s="2">
        <v>300.00000000000028</v>
      </c>
      <c r="M25" s="72">
        <v>466101.00000000047</v>
      </c>
      <c r="N25" s="107">
        <v>2207765.0700000003</v>
      </c>
      <c r="O25" s="121">
        <f t="shared" si="6"/>
        <v>18200208.270000055</v>
      </c>
      <c r="P25" s="125">
        <f t="shared" si="7"/>
        <v>16320.000000000055</v>
      </c>
      <c r="Q25" s="154"/>
      <c r="R25" s="153"/>
      <c r="S25" s="12"/>
      <c r="T25" s="14"/>
      <c r="U25" s="33"/>
      <c r="V25" s="149">
        <f t="shared" si="8"/>
        <v>834.81999999999994</v>
      </c>
      <c r="W25" s="2">
        <v>77.430000000000007</v>
      </c>
      <c r="X25" s="2">
        <v>1391455.8150000002</v>
      </c>
      <c r="Y25" s="208">
        <v>757.39</v>
      </c>
      <c r="Z25" s="40">
        <v>0</v>
      </c>
      <c r="AA25" s="40">
        <f t="shared" si="0"/>
        <v>1391455.8150000002</v>
      </c>
      <c r="AB25" s="142">
        <f t="shared" si="1"/>
        <v>107.23228761514449</v>
      </c>
      <c r="AC25" s="150">
        <v>0</v>
      </c>
      <c r="AD25" s="2">
        <v>0</v>
      </c>
      <c r="AE25" s="2">
        <v>0</v>
      </c>
      <c r="AF25" s="2">
        <v>0</v>
      </c>
      <c r="AG25" s="2">
        <f t="shared" si="2"/>
        <v>0</v>
      </c>
      <c r="AH25" s="2">
        <v>0</v>
      </c>
      <c r="AI25" s="52">
        <f t="shared" si="3"/>
        <v>0</v>
      </c>
      <c r="AJ25" s="163">
        <v>189.97000000000116</v>
      </c>
      <c r="AK25" s="2">
        <v>1633742.00000001</v>
      </c>
      <c r="AL25" s="48">
        <f t="shared" si="4"/>
        <v>125.90402810091561</v>
      </c>
      <c r="AM25" s="6"/>
    </row>
    <row r="26" spans="1:39">
      <c r="A26" s="42"/>
      <c r="B26" s="68">
        <v>15</v>
      </c>
      <c r="C26" s="170">
        <v>12</v>
      </c>
      <c r="D26" s="172">
        <v>118</v>
      </c>
      <c r="E26" s="119">
        <v>10480.000000000018</v>
      </c>
      <c r="F26" s="2">
        <v>10854974.400000019</v>
      </c>
      <c r="G26" s="44">
        <v>2200.0000000000027</v>
      </c>
      <c r="H26" s="2">
        <v>3418074.0000000042</v>
      </c>
      <c r="I26" s="116">
        <f t="shared" si="5"/>
        <v>14273048.400000023</v>
      </c>
      <c r="J26" s="119">
        <v>1300.0000000000007</v>
      </c>
      <c r="K26" s="2">
        <v>1346514.0000000007</v>
      </c>
      <c r="L26" s="2">
        <v>359.99999999999989</v>
      </c>
      <c r="M26" s="72">
        <v>559321.19999999984</v>
      </c>
      <c r="N26" s="107">
        <v>2001126.9600000007</v>
      </c>
      <c r="O26" s="121">
        <f t="shared" si="6"/>
        <v>16274175.360000024</v>
      </c>
      <c r="P26" s="125">
        <f t="shared" si="7"/>
        <v>14340.000000000022</v>
      </c>
      <c r="Q26" s="154"/>
      <c r="R26" s="153"/>
      <c r="S26" s="12"/>
      <c r="T26" s="14"/>
      <c r="U26" s="33"/>
      <c r="V26" s="149">
        <f t="shared" si="8"/>
        <v>804.56000000000006</v>
      </c>
      <c r="W26" s="2">
        <v>87.22</v>
      </c>
      <c r="X26" s="2">
        <v>1567387.01</v>
      </c>
      <c r="Y26" s="208">
        <v>717.34</v>
      </c>
      <c r="Z26" s="40">
        <v>0</v>
      </c>
      <c r="AA26" s="40">
        <f t="shared" si="0"/>
        <v>1567387.01</v>
      </c>
      <c r="AB26" s="142">
        <f t="shared" si="1"/>
        <v>120.79039294579492</v>
      </c>
      <c r="AC26" s="150">
        <v>0</v>
      </c>
      <c r="AD26" s="2">
        <v>0</v>
      </c>
      <c r="AE26" s="2">
        <v>0</v>
      </c>
      <c r="AF26" s="2">
        <v>24</v>
      </c>
      <c r="AG26" s="2">
        <f t="shared" si="2"/>
        <v>24</v>
      </c>
      <c r="AH26" s="2">
        <v>275000</v>
      </c>
      <c r="AI26" s="52">
        <f t="shared" si="3"/>
        <v>21.192824649027557</v>
      </c>
      <c r="AJ26" s="163">
        <v>209.77999999999884</v>
      </c>
      <c r="AK26" s="2">
        <v>1804107.99999999</v>
      </c>
      <c r="AL26" s="48">
        <f t="shared" si="4"/>
        <v>139.0332526978458</v>
      </c>
      <c r="AM26" s="6"/>
    </row>
    <row r="27" spans="1:39">
      <c r="A27" s="42"/>
      <c r="B27" s="68">
        <v>16</v>
      </c>
      <c r="C27" s="170">
        <v>22</v>
      </c>
      <c r="D27" s="172">
        <v>145</v>
      </c>
      <c r="E27" s="119">
        <v>10559.999999999945</v>
      </c>
      <c r="F27" s="2">
        <v>10937836.799999943</v>
      </c>
      <c r="G27" s="44">
        <v>2280.0000000000009</v>
      </c>
      <c r="H27" s="2">
        <v>3542367.6000000015</v>
      </c>
      <c r="I27" s="116">
        <f t="shared" si="5"/>
        <v>14480204.399999944</v>
      </c>
      <c r="J27" s="119">
        <v>1299.9999999999989</v>
      </c>
      <c r="K27" s="2">
        <v>1346513.9999999988</v>
      </c>
      <c r="L27" s="2">
        <v>299.99999999999983</v>
      </c>
      <c r="M27" s="72">
        <v>466100.99999999977</v>
      </c>
      <c r="N27" s="107">
        <v>1903245.7499999986</v>
      </c>
      <c r="O27" s="121">
        <f t="shared" si="6"/>
        <v>16383450.149999943</v>
      </c>
      <c r="P27" s="125">
        <f t="shared" si="7"/>
        <v>14439.999999999945</v>
      </c>
      <c r="Q27" s="154"/>
      <c r="R27" s="153"/>
      <c r="S27" s="12"/>
      <c r="T27" s="14"/>
      <c r="U27" s="33"/>
      <c r="V27" s="149">
        <f t="shared" si="8"/>
        <v>805.45</v>
      </c>
      <c r="W27" s="204">
        <v>85.44</v>
      </c>
      <c r="X27" s="2">
        <v>1535399.52</v>
      </c>
      <c r="Y27" s="208">
        <v>720.01</v>
      </c>
      <c r="Z27" s="40">
        <v>0</v>
      </c>
      <c r="AA27" s="40">
        <f t="shared" si="0"/>
        <v>1535399.52</v>
      </c>
      <c r="AB27" s="142">
        <f t="shared" si="1"/>
        <v>118.32528288567666</v>
      </c>
      <c r="AC27" s="150">
        <v>0</v>
      </c>
      <c r="AD27" s="2">
        <v>0</v>
      </c>
      <c r="AE27" s="2">
        <v>0</v>
      </c>
      <c r="AF27" s="2">
        <v>0</v>
      </c>
      <c r="AG27" s="2">
        <f t="shared" si="2"/>
        <v>0</v>
      </c>
      <c r="AH27" s="2">
        <v>0</v>
      </c>
      <c r="AI27" s="52">
        <f t="shared" si="3"/>
        <v>0</v>
      </c>
      <c r="AJ27" s="163">
        <v>197.89000000001397</v>
      </c>
      <c r="AK27" s="2">
        <v>1701854.0000001201</v>
      </c>
      <c r="AL27" s="48">
        <f t="shared" si="4"/>
        <v>131.15306690999523</v>
      </c>
      <c r="AM27" s="6"/>
    </row>
    <row r="28" spans="1:39">
      <c r="A28" s="42"/>
      <c r="B28" s="68">
        <v>17</v>
      </c>
      <c r="C28" s="170">
        <v>31</v>
      </c>
      <c r="D28" s="172">
        <v>220</v>
      </c>
      <c r="E28" s="119">
        <v>8559.9999999999454</v>
      </c>
      <c r="F28" s="2">
        <v>8866276.799999943</v>
      </c>
      <c r="G28" s="44">
        <v>2560.0000000000023</v>
      </c>
      <c r="H28" s="2">
        <v>3977395.2000000039</v>
      </c>
      <c r="I28" s="116">
        <f t="shared" si="5"/>
        <v>12843671.999999948</v>
      </c>
      <c r="J28" s="119">
        <v>1019.9999999999995</v>
      </c>
      <c r="K28" s="2">
        <v>1056495.5999999994</v>
      </c>
      <c r="L28" s="2">
        <v>360.00000000000034</v>
      </c>
      <c r="M28" s="72">
        <v>559321.20000000054</v>
      </c>
      <c r="N28" s="107">
        <v>1696607.64</v>
      </c>
      <c r="O28" s="121">
        <f t="shared" si="6"/>
        <v>14540279.639999948</v>
      </c>
      <c r="P28" s="125">
        <f t="shared" si="7"/>
        <v>12499.999999999947</v>
      </c>
      <c r="Q28" s="154"/>
      <c r="R28" s="153"/>
      <c r="S28" s="12"/>
      <c r="T28" s="14"/>
      <c r="U28" s="33"/>
      <c r="V28" s="149">
        <f t="shared" si="8"/>
        <v>825.03</v>
      </c>
      <c r="W28" s="204">
        <v>69.42</v>
      </c>
      <c r="X28" s="2">
        <v>1247512.1100000001</v>
      </c>
      <c r="Y28" s="208">
        <v>755.61</v>
      </c>
      <c r="Z28" s="40">
        <v>0</v>
      </c>
      <c r="AA28" s="40">
        <f t="shared" si="0"/>
        <v>1247512.1100000001</v>
      </c>
      <c r="AB28" s="142">
        <f t="shared" si="1"/>
        <v>96.139292344612286</v>
      </c>
      <c r="AC28" s="150">
        <v>0</v>
      </c>
      <c r="AD28" s="2">
        <v>0</v>
      </c>
      <c r="AE28" s="2">
        <v>350</v>
      </c>
      <c r="AF28" s="2">
        <v>24</v>
      </c>
      <c r="AG28" s="2">
        <f t="shared" si="2"/>
        <v>374</v>
      </c>
      <c r="AH28" s="2">
        <v>4048000</v>
      </c>
      <c r="AI28" s="52">
        <f t="shared" si="3"/>
        <v>311.95837883368563</v>
      </c>
      <c r="AJ28" s="163">
        <v>524.27999999999884</v>
      </c>
      <c r="AK28" s="2">
        <v>4508807.9999999898</v>
      </c>
      <c r="AL28" s="48">
        <f t="shared" si="4"/>
        <v>347.47046298229975</v>
      </c>
      <c r="AM28" s="6"/>
    </row>
    <row r="29" spans="1:39">
      <c r="A29" s="42"/>
      <c r="B29" s="68">
        <v>18</v>
      </c>
      <c r="C29" s="170">
        <v>35</v>
      </c>
      <c r="D29" s="172">
        <v>286</v>
      </c>
      <c r="E29" s="119">
        <v>11480.000000000018</v>
      </c>
      <c r="F29" s="2">
        <v>11890754.400000019</v>
      </c>
      <c r="G29" s="44">
        <v>2719.9999999999991</v>
      </c>
      <c r="H29" s="2">
        <v>4225982.3999999985</v>
      </c>
      <c r="I29" s="116">
        <f t="shared" si="5"/>
        <v>16116736.800000018</v>
      </c>
      <c r="J29" s="119">
        <v>1420.0000000000018</v>
      </c>
      <c r="K29" s="2">
        <v>1470807.600000002</v>
      </c>
      <c r="L29" s="2">
        <v>399.99999999999949</v>
      </c>
      <c r="M29" s="72">
        <v>621467.99999999919</v>
      </c>
      <c r="N29" s="107">
        <v>2196889.3800000013</v>
      </c>
      <c r="O29" s="121">
        <f t="shared" si="6"/>
        <v>18313626.180000018</v>
      </c>
      <c r="P29" s="125">
        <f t="shared" si="7"/>
        <v>16020.000000000018</v>
      </c>
      <c r="Q29" s="154"/>
      <c r="R29" s="153"/>
      <c r="S29" s="12"/>
      <c r="T29" s="14"/>
      <c r="U29" s="33"/>
      <c r="V29" s="149">
        <f t="shared" si="8"/>
        <v>840.16</v>
      </c>
      <c r="W29" s="204">
        <v>0</v>
      </c>
      <c r="X29" s="2">
        <v>0</v>
      </c>
      <c r="Y29" s="208">
        <v>840.16</v>
      </c>
      <c r="Z29" s="40">
        <v>0</v>
      </c>
      <c r="AA29" s="40">
        <f t="shared" si="0"/>
        <v>0</v>
      </c>
      <c r="AB29" s="142">
        <f t="shared" si="1"/>
        <v>0</v>
      </c>
      <c r="AC29" s="150">
        <v>0</v>
      </c>
      <c r="AD29" s="2">
        <v>0</v>
      </c>
      <c r="AE29" s="2">
        <v>0</v>
      </c>
      <c r="AF29" s="2">
        <v>0</v>
      </c>
      <c r="AG29" s="2">
        <f t="shared" si="2"/>
        <v>0</v>
      </c>
      <c r="AH29" s="2">
        <v>0</v>
      </c>
      <c r="AI29" s="52">
        <f t="shared" si="3"/>
        <v>0</v>
      </c>
      <c r="AJ29" s="163">
        <v>357.59999999999127</v>
      </c>
      <c r="AK29" s="2">
        <v>3075359.999999925</v>
      </c>
      <c r="AL29" s="48">
        <f t="shared" si="4"/>
        <v>237.00205531866109</v>
      </c>
      <c r="AM29" s="6"/>
    </row>
    <row r="30" spans="1:39">
      <c r="A30" s="42"/>
      <c r="B30" s="68">
        <v>19</v>
      </c>
      <c r="C30" s="170">
        <v>30</v>
      </c>
      <c r="D30" s="172">
        <v>313</v>
      </c>
      <c r="E30" s="119">
        <v>11759.999999999991</v>
      </c>
      <c r="F30" s="2">
        <v>12180772.79999999</v>
      </c>
      <c r="G30" s="44">
        <v>2399.9999999999914</v>
      </c>
      <c r="H30" s="2">
        <v>3728807.999999987</v>
      </c>
      <c r="I30" s="116">
        <f t="shared" si="5"/>
        <v>15909580.799999977</v>
      </c>
      <c r="J30" s="119">
        <v>1339.9999999999998</v>
      </c>
      <c r="K30" s="2">
        <v>1387945.1999999997</v>
      </c>
      <c r="L30" s="2">
        <v>340.00000000000074</v>
      </c>
      <c r="M30" s="72">
        <v>528247.80000000121</v>
      </c>
      <c r="N30" s="107">
        <v>2012002.6500000011</v>
      </c>
      <c r="O30" s="121">
        <f t="shared" si="6"/>
        <v>17921583.449999977</v>
      </c>
      <c r="P30" s="125">
        <f t="shared" si="7"/>
        <v>15839.999999999982</v>
      </c>
      <c r="Q30" s="154"/>
      <c r="R30" s="153"/>
      <c r="S30" s="12"/>
      <c r="T30" s="14"/>
      <c r="U30" s="33"/>
      <c r="V30" s="149">
        <f t="shared" si="8"/>
        <v>755.61</v>
      </c>
      <c r="W30" s="204">
        <v>0</v>
      </c>
      <c r="X30" s="2">
        <v>0</v>
      </c>
      <c r="Y30" s="208">
        <v>755.61</v>
      </c>
      <c r="Z30" s="40">
        <v>0</v>
      </c>
      <c r="AA30" s="40">
        <f t="shared" si="0"/>
        <v>0</v>
      </c>
      <c r="AB30" s="142">
        <f t="shared" si="1"/>
        <v>0</v>
      </c>
      <c r="AC30" s="150">
        <v>0</v>
      </c>
      <c r="AD30" s="2">
        <v>0</v>
      </c>
      <c r="AE30" s="2">
        <v>50</v>
      </c>
      <c r="AF30" s="2">
        <v>12</v>
      </c>
      <c r="AG30" s="2">
        <f t="shared" si="2"/>
        <v>62</v>
      </c>
      <c r="AH30" s="2">
        <v>676500</v>
      </c>
      <c r="AI30" s="52">
        <f t="shared" si="3"/>
        <v>52.13434863660779</v>
      </c>
      <c r="AJ30" s="163">
        <v>301.69999999999709</v>
      </c>
      <c r="AK30" s="2">
        <v>2594619.9999999749</v>
      </c>
      <c r="AL30" s="48">
        <f t="shared" si="4"/>
        <v>199.95391523948854</v>
      </c>
      <c r="AM30" s="6"/>
    </row>
    <row r="31" spans="1:39">
      <c r="A31" s="42"/>
      <c r="B31" s="68">
        <v>20</v>
      </c>
      <c r="C31" s="170">
        <v>24</v>
      </c>
      <c r="D31" s="172">
        <v>242</v>
      </c>
      <c r="E31" s="119">
        <v>11200.000000000045</v>
      </c>
      <c r="F31" s="2">
        <v>11600736.000000047</v>
      </c>
      <c r="G31" s="44">
        <v>2360.0000000000136</v>
      </c>
      <c r="H31" s="2">
        <v>3666661.2000000211</v>
      </c>
      <c r="I31" s="116">
        <f t="shared" si="5"/>
        <v>15267397.200000068</v>
      </c>
      <c r="J31" s="119">
        <v>1419.9999999999982</v>
      </c>
      <c r="K31" s="2">
        <v>1470807.599999998</v>
      </c>
      <c r="L31" s="2">
        <v>359.99999999999943</v>
      </c>
      <c r="M31" s="72">
        <v>559321.19999999914</v>
      </c>
      <c r="N31" s="107">
        <v>2131635.239999997</v>
      </c>
      <c r="O31" s="121">
        <f t="shared" si="6"/>
        <v>17399032.440000065</v>
      </c>
      <c r="P31" s="125">
        <f t="shared" si="7"/>
        <v>15340.000000000056</v>
      </c>
      <c r="Q31" s="154"/>
      <c r="R31" s="153"/>
      <c r="S31" s="12"/>
      <c r="T31" s="14"/>
      <c r="U31" s="33"/>
      <c r="V31" s="149">
        <f t="shared" si="8"/>
        <v>764.51</v>
      </c>
      <c r="W31" s="204">
        <v>0</v>
      </c>
      <c r="X31" s="2">
        <v>0</v>
      </c>
      <c r="Y31" s="208">
        <v>764.51</v>
      </c>
      <c r="Z31" s="40">
        <v>0</v>
      </c>
      <c r="AA31" s="40">
        <f t="shared" si="0"/>
        <v>0</v>
      </c>
      <c r="AB31" s="142">
        <f t="shared" si="1"/>
        <v>0</v>
      </c>
      <c r="AC31" s="150">
        <v>0</v>
      </c>
      <c r="AD31" s="2">
        <v>0</v>
      </c>
      <c r="AE31" s="2">
        <v>400</v>
      </c>
      <c r="AF31" s="2">
        <v>0</v>
      </c>
      <c r="AG31" s="2">
        <f t="shared" si="2"/>
        <v>400</v>
      </c>
      <c r="AH31" s="2">
        <v>4312000</v>
      </c>
      <c r="AI31" s="52">
        <f t="shared" si="3"/>
        <v>332.30349049675209</v>
      </c>
      <c r="AJ31" s="163">
        <v>251.45000000001164</v>
      </c>
      <c r="AK31" s="2">
        <v>2162470.0000001001</v>
      </c>
      <c r="AL31" s="48">
        <f t="shared" si="4"/>
        <v>166.65035461376272</v>
      </c>
      <c r="AM31" s="6"/>
    </row>
    <row r="32" spans="1:39">
      <c r="A32" s="42"/>
      <c r="B32" s="68">
        <v>21</v>
      </c>
      <c r="C32" s="170">
        <v>24</v>
      </c>
      <c r="D32" s="172">
        <v>210</v>
      </c>
      <c r="E32" s="119">
        <v>14600.000000000022</v>
      </c>
      <c r="F32" s="2">
        <v>15122388.000000022</v>
      </c>
      <c r="G32" s="44">
        <v>2479.99999999999</v>
      </c>
      <c r="H32" s="2">
        <v>3853101.5999999847</v>
      </c>
      <c r="I32" s="116">
        <f t="shared" si="5"/>
        <v>18975489.600000009</v>
      </c>
      <c r="J32" s="119">
        <v>1900.000000000002</v>
      </c>
      <c r="K32" s="2">
        <v>1967982.0000000021</v>
      </c>
      <c r="L32" s="2">
        <v>419.99999999999994</v>
      </c>
      <c r="M32" s="72">
        <v>652541.39999999991</v>
      </c>
      <c r="N32" s="107">
        <v>2751549.5700000026</v>
      </c>
      <c r="O32" s="121">
        <f t="shared" si="6"/>
        <v>21727039.170000013</v>
      </c>
      <c r="P32" s="125">
        <f t="shared" si="7"/>
        <v>19400.000000000015</v>
      </c>
      <c r="Q32" s="154"/>
      <c r="R32" s="153"/>
      <c r="S32" s="12"/>
      <c r="T32" s="14"/>
      <c r="U32" s="33"/>
      <c r="V32" s="149">
        <f t="shared" si="8"/>
        <v>810.79</v>
      </c>
      <c r="W32" s="204">
        <v>89.89</v>
      </c>
      <c r="X32" s="2">
        <v>1615368.2450000001</v>
      </c>
      <c r="Y32" s="208">
        <v>720.9</v>
      </c>
      <c r="Z32" s="40">
        <v>0</v>
      </c>
      <c r="AA32" s="40">
        <f t="shared" si="0"/>
        <v>1615368.2450000001</v>
      </c>
      <c r="AB32" s="142">
        <f t="shared" si="1"/>
        <v>124.48805803597232</v>
      </c>
      <c r="AC32" s="150">
        <v>0</v>
      </c>
      <c r="AD32" s="2">
        <v>0</v>
      </c>
      <c r="AE32" s="2">
        <v>50</v>
      </c>
      <c r="AF32" s="2">
        <v>0</v>
      </c>
      <c r="AG32" s="2">
        <f t="shared" si="2"/>
        <v>50</v>
      </c>
      <c r="AH32" s="2">
        <v>539000</v>
      </c>
      <c r="AI32" s="52">
        <f t="shared" si="3"/>
        <v>41.537936312094011</v>
      </c>
      <c r="AJ32" s="163">
        <v>273.50999999999476</v>
      </c>
      <c r="AK32" s="2">
        <v>2352185.9999999548</v>
      </c>
      <c r="AL32" s="48">
        <f t="shared" si="4"/>
        <v>181.27078341780575</v>
      </c>
      <c r="AM32" s="6"/>
    </row>
    <row r="33" spans="1:39">
      <c r="A33" s="42"/>
      <c r="B33" s="68">
        <v>22</v>
      </c>
      <c r="C33" s="170">
        <v>12</v>
      </c>
      <c r="D33" s="172">
        <v>180</v>
      </c>
      <c r="E33" s="119">
        <v>11759.999999999991</v>
      </c>
      <c r="F33" s="2">
        <v>12180772.79999999</v>
      </c>
      <c r="G33" s="44">
        <v>2280.0000000000009</v>
      </c>
      <c r="H33" s="2">
        <v>3542367.6000000015</v>
      </c>
      <c r="I33" s="116">
        <f t="shared" si="5"/>
        <v>15723140.399999991</v>
      </c>
      <c r="J33" s="119">
        <v>1379.9999999999991</v>
      </c>
      <c r="K33" s="2">
        <v>1429376.399999999</v>
      </c>
      <c r="L33" s="2">
        <v>360.00000000000034</v>
      </c>
      <c r="M33" s="72">
        <v>559321.20000000054</v>
      </c>
      <c r="N33" s="107">
        <v>2088132.4799999997</v>
      </c>
      <c r="O33" s="121">
        <f t="shared" si="6"/>
        <v>17811272.879999992</v>
      </c>
      <c r="P33" s="125">
        <f t="shared" si="7"/>
        <v>15779.999999999991</v>
      </c>
      <c r="Q33" s="154"/>
      <c r="R33" s="153"/>
      <c r="S33" s="12"/>
      <c r="T33" s="14"/>
      <c r="U33" s="33"/>
      <c r="V33" s="149">
        <f t="shared" si="8"/>
        <v>820.58</v>
      </c>
      <c r="W33" s="204">
        <v>79.210000000000008</v>
      </c>
      <c r="X33" s="2">
        <v>1423443.3050000002</v>
      </c>
      <c r="Y33" s="208">
        <v>741.37</v>
      </c>
      <c r="Z33" s="40">
        <v>0</v>
      </c>
      <c r="AA33" s="40">
        <f t="shared" si="0"/>
        <v>1423443.3050000002</v>
      </c>
      <c r="AB33" s="142">
        <f t="shared" si="1"/>
        <v>109.69739767526275</v>
      </c>
      <c r="AC33" s="150">
        <v>0</v>
      </c>
      <c r="AD33" s="2">
        <v>0</v>
      </c>
      <c r="AE33" s="2">
        <v>0</v>
      </c>
      <c r="AF33" s="2">
        <v>12</v>
      </c>
      <c r="AG33" s="2">
        <f t="shared" si="2"/>
        <v>12</v>
      </c>
      <c r="AH33" s="2">
        <v>137500</v>
      </c>
      <c r="AI33" s="52">
        <f t="shared" si="3"/>
        <v>10.596412324513778</v>
      </c>
      <c r="AJ33" s="163">
        <v>369.75999999999476</v>
      </c>
      <c r="AK33" s="2">
        <v>3179935.9999999548</v>
      </c>
      <c r="AL33" s="48">
        <f t="shared" si="4"/>
        <v>245.06118561137868</v>
      </c>
      <c r="AM33" s="6"/>
    </row>
    <row r="34" spans="1:39">
      <c r="A34" s="42"/>
      <c r="B34" s="68">
        <v>23</v>
      </c>
      <c r="C34" s="170">
        <v>6</v>
      </c>
      <c r="D34" s="172">
        <v>166</v>
      </c>
      <c r="E34" s="119">
        <v>8240.0000000000091</v>
      </c>
      <c r="F34" s="2">
        <v>8534827.2000000086</v>
      </c>
      <c r="G34" s="44">
        <v>2240.0000000000091</v>
      </c>
      <c r="H34" s="2">
        <v>3480220.8000000142</v>
      </c>
      <c r="I34" s="116">
        <f t="shared" si="5"/>
        <v>12015048.000000022</v>
      </c>
      <c r="J34" s="119">
        <v>1059.9999999999986</v>
      </c>
      <c r="K34" s="2">
        <v>1097926.7999999986</v>
      </c>
      <c r="L34" s="2">
        <v>339.99999999999989</v>
      </c>
      <c r="M34" s="72">
        <v>528247.79999999981</v>
      </c>
      <c r="N34" s="107">
        <v>1707483.3299999984</v>
      </c>
      <c r="O34" s="121">
        <f t="shared" si="6"/>
        <v>13722531.330000021</v>
      </c>
      <c r="P34" s="125">
        <f t="shared" si="7"/>
        <v>11880.000000000016</v>
      </c>
      <c r="Q34" s="132"/>
      <c r="R34" s="153"/>
      <c r="S34" s="12"/>
      <c r="T34" s="14"/>
      <c r="U34" s="33"/>
      <c r="V34" s="149">
        <f t="shared" si="8"/>
        <v>823.25</v>
      </c>
      <c r="W34" s="2">
        <v>81.88</v>
      </c>
      <c r="X34" s="2">
        <v>1471424.5399999998</v>
      </c>
      <c r="Y34" s="208">
        <v>741.37</v>
      </c>
      <c r="Z34" s="40">
        <v>0</v>
      </c>
      <c r="AA34" s="40">
        <f t="shared" si="0"/>
        <v>1471424.5399999998</v>
      </c>
      <c r="AB34" s="142">
        <f t="shared" si="1"/>
        <v>113.39506276544012</v>
      </c>
      <c r="AC34" s="150">
        <v>0</v>
      </c>
      <c r="AD34" s="2">
        <v>0</v>
      </c>
      <c r="AE34" s="2">
        <v>0</v>
      </c>
      <c r="AF34" s="2">
        <v>12</v>
      </c>
      <c r="AG34" s="2">
        <f t="shared" si="2"/>
        <v>12</v>
      </c>
      <c r="AH34" s="2">
        <v>137500</v>
      </c>
      <c r="AI34" s="52">
        <f t="shared" si="3"/>
        <v>10.596412324513778</v>
      </c>
      <c r="AJ34" s="163">
        <v>832.72000000003027</v>
      </c>
      <c r="AK34" s="2">
        <v>7161392.0000002608</v>
      </c>
      <c r="AL34" s="48">
        <f t="shared" si="4"/>
        <v>551.89136326892469</v>
      </c>
      <c r="AM34" s="6"/>
    </row>
    <row r="35" spans="1:39">
      <c r="A35" s="42"/>
      <c r="B35" s="68">
        <v>24</v>
      </c>
      <c r="C35" s="170">
        <v>7</v>
      </c>
      <c r="D35" s="172">
        <v>186</v>
      </c>
      <c r="E35" s="119">
        <v>11039.999999999964</v>
      </c>
      <c r="F35" s="2">
        <v>11435011.199999962</v>
      </c>
      <c r="G35" s="44">
        <v>2280.0000000000009</v>
      </c>
      <c r="H35" s="2">
        <v>3542367.6000000015</v>
      </c>
      <c r="I35" s="116">
        <f t="shared" si="5"/>
        <v>14977378.799999963</v>
      </c>
      <c r="J35" s="119">
        <v>1420.0000000000018</v>
      </c>
      <c r="K35" s="2">
        <v>1470807.600000002</v>
      </c>
      <c r="L35" s="2">
        <v>480.00000000000045</v>
      </c>
      <c r="M35" s="72">
        <v>745761.60000000079</v>
      </c>
      <c r="N35" s="107">
        <v>2327397.6600000029</v>
      </c>
      <c r="O35" s="121">
        <f t="shared" si="6"/>
        <v>17304776.459999967</v>
      </c>
      <c r="P35" s="125">
        <f t="shared" si="7"/>
        <v>15219.999999999967</v>
      </c>
      <c r="Q35" s="132"/>
      <c r="R35" s="153"/>
      <c r="S35" s="12"/>
      <c r="T35" s="14"/>
      <c r="U35" s="33"/>
      <c r="V35" s="149">
        <f t="shared" si="8"/>
        <v>831.26</v>
      </c>
      <c r="W35" s="2">
        <v>80.989999999999995</v>
      </c>
      <c r="X35" s="2">
        <v>1455430.7949999999</v>
      </c>
      <c r="Y35" s="208">
        <v>750.27</v>
      </c>
      <c r="Z35" s="40">
        <v>0</v>
      </c>
      <c r="AA35" s="40">
        <f t="shared" si="0"/>
        <v>1455430.7949999999</v>
      </c>
      <c r="AB35" s="142">
        <f t="shared" si="1"/>
        <v>112.16250773538098</v>
      </c>
      <c r="AC35" s="150">
        <v>0</v>
      </c>
      <c r="AD35" s="2">
        <v>0</v>
      </c>
      <c r="AE35" s="2">
        <v>200</v>
      </c>
      <c r="AF35" s="2">
        <v>0</v>
      </c>
      <c r="AG35" s="2">
        <f t="shared" si="2"/>
        <v>200</v>
      </c>
      <c r="AH35" s="2">
        <v>2156000</v>
      </c>
      <c r="AI35" s="52">
        <f t="shared" si="3"/>
        <v>166.15174524837605</v>
      </c>
      <c r="AJ35" s="163">
        <v>339.77999999999884</v>
      </c>
      <c r="AK35" s="2">
        <v>2922107.9999999898</v>
      </c>
      <c r="AL35" s="48">
        <f t="shared" si="4"/>
        <v>225.191717998256</v>
      </c>
      <c r="AM35" s="6"/>
    </row>
    <row r="36" spans="1:39">
      <c r="A36" s="42"/>
      <c r="B36" s="68">
        <v>25</v>
      </c>
      <c r="C36" s="170">
        <v>16</v>
      </c>
      <c r="D36" s="172">
        <v>226</v>
      </c>
      <c r="E36" s="119">
        <v>14680.000000000064</v>
      </c>
      <c r="F36" s="2">
        <v>15205250.400000066</v>
      </c>
      <c r="G36" s="44">
        <v>2439.9999999999977</v>
      </c>
      <c r="H36" s="2">
        <v>3790954.7999999966</v>
      </c>
      <c r="I36" s="116">
        <f t="shared" si="5"/>
        <v>18996205.200000063</v>
      </c>
      <c r="J36" s="119">
        <v>1980.0000000000005</v>
      </c>
      <c r="K36" s="2">
        <v>2050844.4000000004</v>
      </c>
      <c r="L36" s="2">
        <v>419.99999999999994</v>
      </c>
      <c r="M36" s="72">
        <v>652541.39999999991</v>
      </c>
      <c r="N36" s="107">
        <v>2838555.0900000003</v>
      </c>
      <c r="O36" s="121">
        <f t="shared" si="6"/>
        <v>21834760.290000062</v>
      </c>
      <c r="P36" s="125">
        <f t="shared" si="7"/>
        <v>19520.000000000062</v>
      </c>
      <c r="Q36" s="132"/>
      <c r="R36" s="153"/>
      <c r="S36" s="12"/>
      <c r="T36" s="14"/>
      <c r="U36" s="33"/>
      <c r="V36" s="149">
        <f t="shared" si="8"/>
        <v>858.84999999999991</v>
      </c>
      <c r="W36" s="2">
        <v>92.56</v>
      </c>
      <c r="X36" s="2">
        <v>1663349.48</v>
      </c>
      <c r="Y36" s="208">
        <v>766.29</v>
      </c>
      <c r="Z36" s="40">
        <v>0</v>
      </c>
      <c r="AA36" s="40">
        <f t="shared" si="0"/>
        <v>1663349.48</v>
      </c>
      <c r="AB36" s="142">
        <f t="shared" si="1"/>
        <v>128.1857231261497</v>
      </c>
      <c r="AC36" s="150">
        <v>0</v>
      </c>
      <c r="AD36" s="2">
        <v>0</v>
      </c>
      <c r="AE36" s="2">
        <v>50</v>
      </c>
      <c r="AF36" s="2">
        <v>0</v>
      </c>
      <c r="AG36" s="2">
        <f t="shared" si="2"/>
        <v>50</v>
      </c>
      <c r="AH36" s="2">
        <v>539000</v>
      </c>
      <c r="AI36" s="52">
        <f t="shared" si="3"/>
        <v>41.537936312094011</v>
      </c>
      <c r="AJ36" s="163">
        <v>357.88999999999942</v>
      </c>
      <c r="AK36" s="2">
        <v>3077853.9999999949</v>
      </c>
      <c r="AL36" s="48">
        <f t="shared" si="4"/>
        <v>237.19425497202892</v>
      </c>
      <c r="AM36" s="6"/>
    </row>
    <row r="37" spans="1:39">
      <c r="A37" s="42"/>
      <c r="B37" s="68">
        <v>26</v>
      </c>
      <c r="C37" s="170">
        <v>26</v>
      </c>
      <c r="D37" s="172">
        <v>205</v>
      </c>
      <c r="E37" s="119">
        <v>8879.9999999999964</v>
      </c>
      <c r="F37" s="2">
        <v>9197726.3999999966</v>
      </c>
      <c r="G37" s="44">
        <v>2519.9999999999818</v>
      </c>
      <c r="H37" s="2">
        <v>3915248.399999972</v>
      </c>
      <c r="I37" s="116">
        <f t="shared" si="5"/>
        <v>13112974.799999969</v>
      </c>
      <c r="J37" s="119">
        <v>1039.9999999999991</v>
      </c>
      <c r="K37" s="2">
        <v>1077211.199999999</v>
      </c>
      <c r="L37" s="2">
        <v>400.00000000000034</v>
      </c>
      <c r="M37" s="72">
        <v>621468.00000000058</v>
      </c>
      <c r="N37" s="107">
        <v>1783613.1599999995</v>
      </c>
      <c r="O37" s="121">
        <f t="shared" si="6"/>
        <v>14896587.959999969</v>
      </c>
      <c r="P37" s="125">
        <f t="shared" si="7"/>
        <v>12839.999999999978</v>
      </c>
      <c r="Q37" s="132"/>
      <c r="R37" s="153"/>
      <c r="S37" s="12"/>
      <c r="T37" s="14"/>
      <c r="U37" s="33"/>
      <c r="V37" s="149">
        <f t="shared" si="8"/>
        <v>867.75</v>
      </c>
      <c r="W37" s="2">
        <v>77.430000000000007</v>
      </c>
      <c r="X37" s="2">
        <v>1391455.8150000002</v>
      </c>
      <c r="Y37" s="208">
        <v>790.32</v>
      </c>
      <c r="Z37" s="40">
        <v>0</v>
      </c>
      <c r="AA37" s="40">
        <f t="shared" si="0"/>
        <v>1391455.8150000002</v>
      </c>
      <c r="AB37" s="142">
        <f t="shared" si="1"/>
        <v>107.23228761514449</v>
      </c>
      <c r="AC37" s="150">
        <v>0</v>
      </c>
      <c r="AD37" s="2">
        <v>0</v>
      </c>
      <c r="AE37" s="2">
        <v>0</v>
      </c>
      <c r="AF37" s="2">
        <v>0</v>
      </c>
      <c r="AG37" s="2">
        <f t="shared" si="2"/>
        <v>0</v>
      </c>
      <c r="AH37" s="2">
        <v>0</v>
      </c>
      <c r="AI37" s="52">
        <f t="shared" si="3"/>
        <v>0</v>
      </c>
      <c r="AJ37" s="163">
        <v>301.19000000000233</v>
      </c>
      <c r="AK37" s="2">
        <v>2590234.00000002</v>
      </c>
      <c r="AL37" s="48">
        <f t="shared" si="4"/>
        <v>199.61590895254426</v>
      </c>
      <c r="AM37" s="6"/>
    </row>
    <row r="38" spans="1:39">
      <c r="A38" s="42"/>
      <c r="B38" s="68">
        <v>27</v>
      </c>
      <c r="C38" s="170">
        <v>27</v>
      </c>
      <c r="D38" s="172">
        <v>275</v>
      </c>
      <c r="E38" s="119">
        <v>11799.999999999955</v>
      </c>
      <c r="F38" s="2">
        <v>12222203.999999953</v>
      </c>
      <c r="G38" s="44">
        <v>2560.0000000000023</v>
      </c>
      <c r="H38" s="2">
        <v>3977395.2000000039</v>
      </c>
      <c r="I38" s="116">
        <f t="shared" si="5"/>
        <v>16199599.199999958</v>
      </c>
      <c r="J38" s="119">
        <v>1680.0000000000032</v>
      </c>
      <c r="K38" s="2">
        <v>1740110.4000000032</v>
      </c>
      <c r="L38" s="2">
        <v>419.99999999999994</v>
      </c>
      <c r="M38" s="72">
        <v>652541.39999999991</v>
      </c>
      <c r="N38" s="107">
        <v>2512284.3900000034</v>
      </c>
      <c r="O38" s="121">
        <f t="shared" si="6"/>
        <v>18711883.589999963</v>
      </c>
      <c r="P38" s="125">
        <f t="shared" si="7"/>
        <v>16459.99999999996</v>
      </c>
      <c r="Q38" s="132"/>
      <c r="R38" s="153"/>
      <c r="S38" s="12"/>
      <c r="T38" s="14"/>
      <c r="U38" s="33"/>
      <c r="V38" s="149">
        <f t="shared" si="8"/>
        <v>798.33</v>
      </c>
      <c r="W38" s="2">
        <v>81.88</v>
      </c>
      <c r="X38" s="2">
        <v>1471424.5399999998</v>
      </c>
      <c r="Y38" s="208">
        <v>716.45</v>
      </c>
      <c r="Z38" s="40">
        <v>0</v>
      </c>
      <c r="AA38" s="40">
        <f t="shared" si="0"/>
        <v>1471424.5399999998</v>
      </c>
      <c r="AB38" s="142">
        <f t="shared" si="1"/>
        <v>113.39506276544012</v>
      </c>
      <c r="AC38" s="150">
        <v>0</v>
      </c>
      <c r="AD38" s="2">
        <v>0</v>
      </c>
      <c r="AE38" s="2">
        <v>0</v>
      </c>
      <c r="AF38" s="2">
        <v>0</v>
      </c>
      <c r="AG38" s="2">
        <f t="shared" si="2"/>
        <v>0</v>
      </c>
      <c r="AH38" s="2">
        <v>0</v>
      </c>
      <c r="AI38" s="52">
        <f t="shared" si="3"/>
        <v>0</v>
      </c>
      <c r="AJ38" s="163">
        <v>300.08999999999651</v>
      </c>
      <c r="AK38" s="2">
        <v>2580773.9999999702</v>
      </c>
      <c r="AL38" s="48">
        <f t="shared" si="4"/>
        <v>198.88687578461386</v>
      </c>
      <c r="AM38" s="6"/>
    </row>
    <row r="39" spans="1:39">
      <c r="A39" s="42"/>
      <c r="B39" s="68">
        <v>28</v>
      </c>
      <c r="C39" s="170">
        <v>24</v>
      </c>
      <c r="D39" s="172">
        <v>230</v>
      </c>
      <c r="E39" s="119">
        <v>14799.999999999955</v>
      </c>
      <c r="F39" s="2">
        <v>15329543.999999952</v>
      </c>
      <c r="G39" s="44">
        <v>2439.9999999999977</v>
      </c>
      <c r="H39" s="2">
        <v>3790954.7999999966</v>
      </c>
      <c r="I39" s="116">
        <f t="shared" si="5"/>
        <v>19120498.799999949</v>
      </c>
      <c r="J39" s="119">
        <v>1899.9999999999986</v>
      </c>
      <c r="K39" s="2">
        <v>1967981.9999999986</v>
      </c>
      <c r="L39" s="2">
        <v>339.99999999999989</v>
      </c>
      <c r="M39" s="72">
        <v>528247.79999999981</v>
      </c>
      <c r="N39" s="107">
        <v>2621041.2899999986</v>
      </c>
      <c r="O39" s="121">
        <f t="shared" si="6"/>
        <v>21741540.089999948</v>
      </c>
      <c r="P39" s="125">
        <f t="shared" si="7"/>
        <v>19479.999999999949</v>
      </c>
      <c r="Q39" s="132"/>
      <c r="R39" s="153"/>
      <c r="S39" s="12"/>
      <c r="T39" s="14"/>
      <c r="U39" s="33"/>
      <c r="V39" s="149">
        <f t="shared" si="8"/>
        <v>753.83</v>
      </c>
      <c r="W39" s="2">
        <v>82.77</v>
      </c>
      <c r="X39" s="2">
        <v>1487418.2849999999</v>
      </c>
      <c r="Y39" s="208">
        <v>671.06000000000006</v>
      </c>
      <c r="Z39" s="40">
        <v>0</v>
      </c>
      <c r="AA39" s="40">
        <f t="shared" si="0"/>
        <v>1487418.2849999999</v>
      </c>
      <c r="AB39" s="142">
        <f t="shared" si="1"/>
        <v>114.62761779549925</v>
      </c>
      <c r="AC39" s="150">
        <v>0</v>
      </c>
      <c r="AD39" s="2">
        <v>0</v>
      </c>
      <c r="AE39" s="2">
        <v>0</v>
      </c>
      <c r="AF39" s="2">
        <v>12</v>
      </c>
      <c r="AG39" s="2">
        <f t="shared" si="2"/>
        <v>12</v>
      </c>
      <c r="AH39" s="2">
        <v>137500</v>
      </c>
      <c r="AI39" s="52">
        <f t="shared" si="3"/>
        <v>10.596412324513778</v>
      </c>
      <c r="AJ39" s="163">
        <v>298.8700000000099</v>
      </c>
      <c r="AK39" s="2">
        <v>2570282.0000000852</v>
      </c>
      <c r="AL39" s="48">
        <f t="shared" si="4"/>
        <v>198.07831172564966</v>
      </c>
      <c r="AM39" s="6"/>
    </row>
    <row r="40" spans="1:39">
      <c r="A40" s="42"/>
      <c r="B40" s="68">
        <v>29</v>
      </c>
      <c r="C40" s="170">
        <v>21</v>
      </c>
      <c r="D40" s="172">
        <v>286</v>
      </c>
      <c r="E40" s="119">
        <v>11840.000000000033</v>
      </c>
      <c r="F40" s="2">
        <v>12263635.200000033</v>
      </c>
      <c r="G40" s="44">
        <v>2480.0000000000182</v>
      </c>
      <c r="H40" s="2">
        <v>3853101.6000000285</v>
      </c>
      <c r="I40" s="116">
        <f t="shared" si="5"/>
        <v>16116736.80000006</v>
      </c>
      <c r="J40" s="119">
        <v>1559.9999999999952</v>
      </c>
      <c r="K40" s="2">
        <v>1615816.7999999949</v>
      </c>
      <c r="L40" s="2">
        <v>519.99999999999955</v>
      </c>
      <c r="M40" s="72">
        <v>807908.39999999932</v>
      </c>
      <c r="N40" s="107">
        <v>2544911.4599999939</v>
      </c>
      <c r="O40" s="121">
        <f t="shared" si="6"/>
        <v>18661648.260000054</v>
      </c>
      <c r="P40" s="125">
        <f t="shared" si="7"/>
        <v>16400.000000000044</v>
      </c>
      <c r="Q40" s="132"/>
      <c r="R40" s="132"/>
      <c r="S40" s="12"/>
      <c r="T40" s="14"/>
      <c r="U40" s="33"/>
      <c r="V40" s="149">
        <f t="shared" si="8"/>
        <v>815.24</v>
      </c>
      <c r="W40" s="2">
        <v>81.88</v>
      </c>
      <c r="X40" s="2">
        <v>1471424.5399999998</v>
      </c>
      <c r="Y40" s="208">
        <v>733.36</v>
      </c>
      <c r="Z40" s="40">
        <v>0</v>
      </c>
      <c r="AA40" s="40">
        <f t="shared" si="0"/>
        <v>1471424.5399999998</v>
      </c>
      <c r="AB40" s="142">
        <f t="shared" si="1"/>
        <v>113.39506276544012</v>
      </c>
      <c r="AC40" s="150">
        <v>0</v>
      </c>
      <c r="AD40" s="2">
        <v>0</v>
      </c>
      <c r="AE40" s="2">
        <v>400</v>
      </c>
      <c r="AF40" s="2">
        <v>0</v>
      </c>
      <c r="AG40" s="2">
        <f t="shared" si="2"/>
        <v>400</v>
      </c>
      <c r="AH40" s="2">
        <v>4312000</v>
      </c>
      <c r="AI40" s="52">
        <f t="shared" si="3"/>
        <v>332.30349049675209</v>
      </c>
      <c r="AJ40" s="163">
        <v>301.97999999999593</v>
      </c>
      <c r="AK40" s="2">
        <v>2597027.9999999651</v>
      </c>
      <c r="AL40" s="48">
        <f t="shared" si="4"/>
        <v>200.13948731859637</v>
      </c>
      <c r="AM40" s="6"/>
    </row>
    <row r="41" spans="1:39">
      <c r="A41" s="42"/>
      <c r="B41" s="68">
        <v>30</v>
      </c>
      <c r="C41" s="170">
        <v>29</v>
      </c>
      <c r="D41" s="172">
        <v>271</v>
      </c>
      <c r="E41" s="119">
        <v>8200.0000000000455</v>
      </c>
      <c r="F41" s="2">
        <v>8493396.0000000466</v>
      </c>
      <c r="G41" s="44">
        <v>2319.9999999999932</v>
      </c>
      <c r="H41" s="2">
        <v>3604514.3999999897</v>
      </c>
      <c r="I41" s="116">
        <f t="shared" si="5"/>
        <v>12097910.400000036</v>
      </c>
      <c r="J41" s="119">
        <v>1240.000000000002</v>
      </c>
      <c r="K41" s="2">
        <v>1284367.200000002</v>
      </c>
      <c r="L41" s="2">
        <v>480.00000000000045</v>
      </c>
      <c r="M41" s="72">
        <v>745761.60000000079</v>
      </c>
      <c r="N41" s="107">
        <v>2131635.240000003</v>
      </c>
      <c r="O41" s="121">
        <f t="shared" si="6"/>
        <v>14229545.640000038</v>
      </c>
      <c r="P41" s="125">
        <f t="shared" si="7"/>
        <v>12240.00000000004</v>
      </c>
      <c r="Q41" s="203"/>
      <c r="R41" s="203"/>
      <c r="S41" s="12"/>
      <c r="T41" s="14"/>
      <c r="U41" s="33"/>
      <c r="V41" s="149">
        <f t="shared" si="8"/>
        <v>826.81000000000006</v>
      </c>
      <c r="W41" s="2">
        <v>80.099999999999994</v>
      </c>
      <c r="X41" s="2">
        <v>1439437.0499999998</v>
      </c>
      <c r="Y41" s="208">
        <v>746.71</v>
      </c>
      <c r="Z41" s="40">
        <v>0</v>
      </c>
      <c r="AA41" s="40">
        <f t="shared" si="0"/>
        <v>1439437.0499999998</v>
      </c>
      <c r="AB41" s="142">
        <f t="shared" si="1"/>
        <v>110.92995270532185</v>
      </c>
      <c r="AC41" s="150">
        <v>0</v>
      </c>
      <c r="AD41" s="2">
        <v>0</v>
      </c>
      <c r="AE41" s="2">
        <v>0</v>
      </c>
      <c r="AF41" s="2">
        <v>0</v>
      </c>
      <c r="AG41" s="2">
        <f t="shared" si="2"/>
        <v>0</v>
      </c>
      <c r="AH41" s="2">
        <v>0</v>
      </c>
      <c r="AI41" s="52">
        <f t="shared" si="3"/>
        <v>0</v>
      </c>
      <c r="AJ41" s="163">
        <v>215.86000000000058</v>
      </c>
      <c r="AK41" s="2">
        <v>1856396.0000000051</v>
      </c>
      <c r="AL41" s="48">
        <f t="shared" si="4"/>
        <v>143.06281784420463</v>
      </c>
      <c r="AM41" s="6"/>
    </row>
    <row r="42" spans="1:39">
      <c r="A42" s="42"/>
      <c r="B42" s="68">
        <v>31</v>
      </c>
      <c r="C42" s="197">
        <v>43</v>
      </c>
      <c r="D42" s="198">
        <v>301</v>
      </c>
      <c r="E42" s="119">
        <v>12120.000000000004</v>
      </c>
      <c r="F42" s="2">
        <v>12553653.600000003</v>
      </c>
      <c r="G42" s="44">
        <v>2680.0000000000068</v>
      </c>
      <c r="H42" s="2">
        <v>4163835.6000000108</v>
      </c>
      <c r="I42" s="116">
        <f t="shared" si="5"/>
        <v>16717489.200000014</v>
      </c>
      <c r="J42" s="119">
        <v>1619.9999999999975</v>
      </c>
      <c r="K42" s="2">
        <v>1677963.5999999973</v>
      </c>
      <c r="L42" s="2">
        <v>500</v>
      </c>
      <c r="M42" s="72">
        <v>776835</v>
      </c>
      <c r="N42" s="107">
        <v>2577538.5299999975</v>
      </c>
      <c r="O42" s="121">
        <f t="shared" si="6"/>
        <v>19295027.730000012</v>
      </c>
      <c r="P42" s="125">
        <f t="shared" si="7"/>
        <v>16920.000000000007</v>
      </c>
      <c r="Q42" s="132"/>
      <c r="R42" s="199"/>
      <c r="S42" s="12"/>
      <c r="T42" s="14"/>
      <c r="U42" s="33"/>
      <c r="V42" s="149">
        <f t="shared" si="8"/>
        <v>814.35</v>
      </c>
      <c r="W42" s="2">
        <v>79.210000000000008</v>
      </c>
      <c r="X42" s="2">
        <v>1423443.3050000002</v>
      </c>
      <c r="Y42" s="208">
        <v>735.14</v>
      </c>
      <c r="Z42" s="40">
        <v>0</v>
      </c>
      <c r="AA42" s="40">
        <f t="shared" si="0"/>
        <v>1423443.3050000002</v>
      </c>
      <c r="AB42" s="142">
        <f t="shared" si="1"/>
        <v>109.69739767526275</v>
      </c>
      <c r="AC42" s="150">
        <v>0</v>
      </c>
      <c r="AD42" s="2">
        <v>0</v>
      </c>
      <c r="AE42" s="2">
        <v>0</v>
      </c>
      <c r="AF42" s="2">
        <v>0</v>
      </c>
      <c r="AG42" s="2">
        <f t="shared" si="2"/>
        <v>0</v>
      </c>
      <c r="AH42" s="2">
        <v>0</v>
      </c>
      <c r="AI42" s="52">
        <f t="shared" si="3"/>
        <v>0</v>
      </c>
      <c r="AJ42" s="163">
        <v>342.89999999999418</v>
      </c>
      <c r="AK42" s="2">
        <v>2948939.9999999497</v>
      </c>
      <c r="AL42" s="48">
        <f t="shared" si="4"/>
        <v>227.25952116546276</v>
      </c>
      <c r="AM42" s="6"/>
    </row>
    <row r="43" spans="1:39" ht="16.5" thickBot="1">
      <c r="A43" s="42"/>
      <c r="B43" s="137"/>
      <c r="C43" s="171"/>
      <c r="D43" s="173"/>
      <c r="E43" s="117"/>
      <c r="F43" s="117"/>
      <c r="G43" s="108"/>
      <c r="H43" s="109"/>
      <c r="I43" s="118"/>
      <c r="J43" s="120"/>
      <c r="K43" s="108"/>
      <c r="L43" s="109"/>
      <c r="M43" s="110"/>
      <c r="N43" s="111"/>
      <c r="O43" s="122"/>
      <c r="P43" s="126"/>
      <c r="Q43" s="200"/>
      <c r="R43" s="169"/>
      <c r="S43" s="166"/>
      <c r="T43" s="167"/>
      <c r="U43" s="168"/>
      <c r="V43" s="16"/>
      <c r="W43" s="1"/>
      <c r="X43" s="1"/>
      <c r="Y43" s="21"/>
      <c r="Z43" s="21"/>
      <c r="AA43" s="21"/>
      <c r="AB43" s="143"/>
      <c r="AC43" s="141"/>
      <c r="AD43" s="2"/>
      <c r="AE43" s="1"/>
      <c r="AF43" s="1"/>
      <c r="AG43" s="1"/>
      <c r="AH43" s="2"/>
      <c r="AI43" s="52"/>
      <c r="AJ43" s="163"/>
      <c r="AK43" s="2"/>
      <c r="AL43" s="48"/>
      <c r="AM43" s="6"/>
    </row>
    <row r="44" spans="1:39" s="7" customFormat="1" ht="6" customHeight="1">
      <c r="B44" s="132"/>
      <c r="C44" s="133"/>
      <c r="D44" s="133"/>
      <c r="E44" s="131"/>
      <c r="F44" s="6"/>
      <c r="H44" s="6"/>
      <c r="L44" s="6"/>
      <c r="M44" s="73"/>
      <c r="N44" s="77"/>
      <c r="P44" s="77"/>
      <c r="R44" s="98"/>
      <c r="S44" s="19">
        <f>SUM(S12:S41)</f>
        <v>0</v>
      </c>
      <c r="U44" s="41"/>
      <c r="V44" s="144"/>
      <c r="AB44" s="41"/>
      <c r="AD44" s="6"/>
      <c r="AJ44" s="98"/>
      <c r="AL44" s="41"/>
    </row>
    <row r="45" spans="1:39" s="7" customFormat="1" ht="9.75" customHeight="1">
      <c r="B45" s="132"/>
      <c r="C45" s="133"/>
      <c r="D45" s="133"/>
      <c r="E45" s="131"/>
      <c r="F45" s="6"/>
      <c r="H45" s="6"/>
      <c r="L45" s="6"/>
      <c r="M45" s="73"/>
      <c r="N45" s="77"/>
      <c r="P45" s="77"/>
      <c r="R45" s="98"/>
      <c r="S45" s="19"/>
      <c r="U45" s="41"/>
      <c r="V45" s="144"/>
      <c r="AB45" s="145"/>
      <c r="AD45" s="6"/>
      <c r="AH45" s="6"/>
      <c r="AJ45" s="100"/>
      <c r="AK45" s="4"/>
      <c r="AL45" s="49"/>
    </row>
    <row r="46" spans="1:39" s="7" customFormat="1" ht="16.5" thickBot="1">
      <c r="B46" s="134"/>
      <c r="C46" s="135"/>
      <c r="D46" s="135"/>
      <c r="E46" s="136"/>
      <c r="F46" s="83"/>
      <c r="G46" s="82"/>
      <c r="H46" s="83"/>
      <c r="I46" s="82"/>
      <c r="J46" s="82"/>
      <c r="K46" s="82"/>
      <c r="L46" s="83"/>
      <c r="M46" s="84"/>
      <c r="N46" s="85"/>
      <c r="O46" s="82"/>
      <c r="P46" s="85"/>
      <c r="Q46" s="82"/>
      <c r="R46" s="99"/>
      <c r="S46" s="86"/>
      <c r="T46" s="82"/>
      <c r="U46" s="87"/>
      <c r="V46" s="146"/>
      <c r="W46" s="88"/>
      <c r="X46" s="82"/>
      <c r="Y46" s="82"/>
      <c r="Z46" s="82"/>
      <c r="AA46" s="82"/>
      <c r="AB46" s="87"/>
      <c r="AC46" s="89"/>
      <c r="AD46" s="83"/>
      <c r="AE46" s="89"/>
      <c r="AF46" s="89"/>
      <c r="AG46" s="89"/>
      <c r="AH46" s="83"/>
      <c r="AI46" s="82"/>
      <c r="AJ46" s="164"/>
      <c r="AK46" s="90"/>
      <c r="AL46" s="91"/>
    </row>
    <row r="47" spans="1:39" ht="17.25" thickTop="1" thickBot="1">
      <c r="A47" s="34"/>
      <c r="B47" s="80"/>
      <c r="C47" s="81">
        <f>SUM(C12:C43)</f>
        <v>494</v>
      </c>
      <c r="D47" s="81">
        <f>SUM(D12:D43)</f>
        <v>4942</v>
      </c>
      <c r="E47" s="81">
        <f t="shared" ref="E47:O47" si="9">SUM(E12:E43)</f>
        <v>336680.00000000012</v>
      </c>
      <c r="F47" s="81">
        <f>SUM(F12:F43)</f>
        <v>348726410.40000004</v>
      </c>
      <c r="G47" s="81">
        <f>SUM(G12:G43)</f>
        <v>70560</v>
      </c>
      <c r="H47" s="81">
        <f t="shared" si="9"/>
        <v>109626955.2</v>
      </c>
      <c r="I47" s="81">
        <f t="shared" si="9"/>
        <v>458353365.5999999</v>
      </c>
      <c r="J47" s="81">
        <f t="shared" si="9"/>
        <v>43192.000000000007</v>
      </c>
      <c r="K47" s="81">
        <f t="shared" si="9"/>
        <v>44737409.75999999</v>
      </c>
      <c r="L47" s="81">
        <f t="shared" si="9"/>
        <v>11556</v>
      </c>
      <c r="M47" s="81">
        <f t="shared" si="9"/>
        <v>17954210.520000003</v>
      </c>
      <c r="N47" s="81">
        <f t="shared" si="9"/>
        <v>65184535.583999991</v>
      </c>
      <c r="O47" s="81">
        <f t="shared" si="9"/>
        <v>523537901.18400019</v>
      </c>
      <c r="P47" s="93">
        <f>SUM(P12:P43)</f>
        <v>461988</v>
      </c>
      <c r="Q47" s="94" t="e">
        <f>#REF!</f>
        <v>#REF!</v>
      </c>
      <c r="R47" s="138" t="e">
        <f>#REF!</f>
        <v>#REF!</v>
      </c>
      <c r="S47" s="130" t="e">
        <f>Q47+P47</f>
        <v>#REF!</v>
      </c>
      <c r="T47" s="127" t="e">
        <f>R47+O47</f>
        <v>#REF!</v>
      </c>
      <c r="U47" s="157" t="e">
        <f>T47/AL48</f>
        <v>#REF!</v>
      </c>
      <c r="V47" s="201">
        <f>SUM(V12:V42)</f>
        <v>25341.682000000004</v>
      </c>
      <c r="W47" s="201">
        <f t="shared" ref="W47:AB47" si="10">SUM(W12:W42)</f>
        <v>2297.9800000000005</v>
      </c>
      <c r="X47" s="201">
        <f t="shared" si="10"/>
        <v>41295849.589999996</v>
      </c>
      <c r="Y47" s="201">
        <f t="shared" si="10"/>
        <v>23043.702000000001</v>
      </c>
      <c r="Z47" s="201">
        <f t="shared" si="10"/>
        <v>40804.670159999834</v>
      </c>
      <c r="AA47" s="201">
        <f t="shared" si="10"/>
        <v>41336654.260159999</v>
      </c>
      <c r="AB47" s="201">
        <f t="shared" si="10"/>
        <v>3185.6016920474508</v>
      </c>
      <c r="AC47" s="53">
        <f>SUM(AC12:AC41)</f>
        <v>0</v>
      </c>
      <c r="AD47" s="158">
        <f>SUM(AD12:AD41)</f>
        <v>0</v>
      </c>
      <c r="AE47" s="53">
        <f>SUM(AE12:AE42)</f>
        <v>2750</v>
      </c>
      <c r="AF47" s="53">
        <f t="shared" ref="AF47:AL47" si="11">SUM(AF12:AF42)</f>
        <v>216</v>
      </c>
      <c r="AG47" s="53">
        <f t="shared" si="11"/>
        <v>2966</v>
      </c>
      <c r="AH47" s="53">
        <f t="shared" si="11"/>
        <v>32120000</v>
      </c>
      <c r="AI47" s="53">
        <f t="shared" si="11"/>
        <v>2475.3219190064187</v>
      </c>
      <c r="AJ47" s="53">
        <f t="shared" si="11"/>
        <v>8641.7700000000186</v>
      </c>
      <c r="AK47" s="53">
        <f t="shared" si="11"/>
        <v>74319222.000000164</v>
      </c>
      <c r="AL47" s="53">
        <f t="shared" si="11"/>
        <v>5727.3972359932895</v>
      </c>
      <c r="AM47" s="34"/>
    </row>
    <row r="48" spans="1:39">
      <c r="A48" s="34"/>
      <c r="B48" s="34"/>
      <c r="C48" s="4"/>
      <c r="D48" s="10"/>
      <c r="E48" s="4"/>
      <c r="F48" s="4"/>
      <c r="G48" s="10"/>
      <c r="H48" s="4"/>
      <c r="I48" s="8"/>
      <c r="J48" s="8"/>
      <c r="K48" s="8"/>
      <c r="L48" s="20"/>
      <c r="M48" s="74"/>
      <c r="N48" s="78"/>
      <c r="O48" s="9"/>
      <c r="P48" s="78"/>
      <c r="Q48" s="9"/>
      <c r="R48" s="129"/>
      <c r="S48" s="18"/>
      <c r="T48" s="92" t="s">
        <v>54</v>
      </c>
      <c r="U48" s="174" t="e">
        <f>U47/S47</f>
        <v>#REF!</v>
      </c>
      <c r="V48" s="10"/>
      <c r="W48" s="10"/>
      <c r="X48" s="10"/>
      <c r="Y48" s="159"/>
      <c r="Z48" s="10"/>
      <c r="AA48" s="10"/>
      <c r="AB48" s="10"/>
      <c r="AC48" s="19"/>
      <c r="AD48" s="6"/>
      <c r="AE48" s="19"/>
      <c r="AF48" s="19"/>
      <c r="AG48" s="6"/>
      <c r="AH48" s="4"/>
      <c r="AI48" s="10"/>
      <c r="AJ48" s="100"/>
      <c r="AK48" s="10"/>
      <c r="AL48" s="165">
        <v>12976.09</v>
      </c>
      <c r="AM48" s="34"/>
    </row>
    <row r="49" spans="12:37">
      <c r="O49" s="206"/>
      <c r="AA49" s="209">
        <f>AA47/V47</f>
        <v>1631.1724794021168</v>
      </c>
      <c r="AK49" s="202"/>
    </row>
    <row r="50" spans="12:37">
      <c r="O50" s="206"/>
      <c r="AK50" s="202"/>
    </row>
    <row r="51" spans="12:37">
      <c r="O51" s="206"/>
    </row>
    <row r="52" spans="12:37">
      <c r="L52" s="5"/>
      <c r="M52" s="205"/>
      <c r="N52" s="205"/>
    </row>
  </sheetData>
  <mergeCells count="17">
    <mergeCell ref="R9:R10"/>
    <mergeCell ref="S9:S10"/>
    <mergeCell ref="T9:U9"/>
    <mergeCell ref="AA9:AB9"/>
    <mergeCell ref="B7:AL7"/>
    <mergeCell ref="B8:B10"/>
    <mergeCell ref="C8:C10"/>
    <mergeCell ref="D8:D10"/>
    <mergeCell ref="E8:U8"/>
    <mergeCell ref="V8:AB8"/>
    <mergeCell ref="AC8:AL8"/>
    <mergeCell ref="E9:I9"/>
    <mergeCell ref="J9:N9"/>
    <mergeCell ref="O9:O10"/>
    <mergeCell ref="AC9:AI9"/>
    <mergeCell ref="P9:P10"/>
    <mergeCell ref="Q9:Q1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8"/>
  <sheetViews>
    <sheetView workbookViewId="0">
      <pane xSplit="1" ySplit="5" topLeftCell="B6" activePane="bottomRight" state="frozen"/>
      <selection pane="bottomRight" activeCell="B6" sqref="B6:C36"/>
      <selection pane="bottomLeft" activeCell="A6" sqref="A6"/>
      <selection pane="topRight" activeCell="B1" sqref="B1"/>
    </sheetView>
  </sheetViews>
  <sheetFormatPr defaultRowHeight="1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.75">
      <c r="A1" s="35" t="s">
        <v>16</v>
      </c>
    </row>
    <row r="2" spans="1:3" ht="18.75">
      <c r="A2" s="248">
        <v>44166</v>
      </c>
      <c r="B2" s="249"/>
      <c r="C2" s="249"/>
    </row>
    <row r="3" spans="1:3">
      <c r="A3" s="251" t="s">
        <v>18</v>
      </c>
      <c r="B3" s="250" t="s">
        <v>19</v>
      </c>
      <c r="C3" s="250" t="s">
        <v>13</v>
      </c>
    </row>
    <row r="4" spans="1:3">
      <c r="A4" s="251"/>
      <c r="B4" s="250"/>
      <c r="C4" s="250"/>
    </row>
    <row r="5" spans="1:3">
      <c r="A5" s="251"/>
      <c r="B5" s="250"/>
      <c r="C5" s="250"/>
    </row>
    <row r="6" spans="1:3">
      <c r="A6" s="1">
        <v>1</v>
      </c>
      <c r="B6" s="1">
        <v>3</v>
      </c>
      <c r="C6" s="1">
        <v>31</v>
      </c>
    </row>
    <row r="7" spans="1:3">
      <c r="A7" s="1">
        <v>2</v>
      </c>
      <c r="B7" s="1">
        <v>3</v>
      </c>
      <c r="C7" s="1">
        <v>33</v>
      </c>
    </row>
    <row r="8" spans="1:3">
      <c r="A8" s="1">
        <f>A7+1</f>
        <v>3</v>
      </c>
      <c r="B8" s="1">
        <v>9</v>
      </c>
      <c r="C8" s="1">
        <v>63</v>
      </c>
    </row>
    <row r="9" spans="1:3">
      <c r="A9" s="1">
        <f>A8+1</f>
        <v>4</v>
      </c>
      <c r="B9" s="1">
        <v>11</v>
      </c>
      <c r="C9" s="1">
        <v>55</v>
      </c>
    </row>
    <row r="10" spans="1:3">
      <c r="A10" s="1">
        <f t="shared" ref="A10:A36" si="0">A9+1</f>
        <v>5</v>
      </c>
      <c r="B10" s="1">
        <v>12</v>
      </c>
      <c r="C10" s="1">
        <v>94</v>
      </c>
    </row>
    <row r="11" spans="1:3">
      <c r="A11" s="1">
        <f t="shared" si="0"/>
        <v>6</v>
      </c>
      <c r="B11" s="1">
        <v>7</v>
      </c>
      <c r="C11" s="1">
        <v>86</v>
      </c>
    </row>
    <row r="12" spans="1:3">
      <c r="A12" s="1">
        <f t="shared" si="0"/>
        <v>7</v>
      </c>
      <c r="B12" s="1">
        <v>4</v>
      </c>
      <c r="C12" s="1">
        <v>36</v>
      </c>
    </row>
    <row r="13" spans="1:3">
      <c r="A13" s="1">
        <f t="shared" si="0"/>
        <v>8</v>
      </c>
      <c r="B13" s="1">
        <v>6</v>
      </c>
      <c r="C13" s="1">
        <v>71</v>
      </c>
    </row>
    <row r="14" spans="1:3">
      <c r="A14" s="1">
        <f t="shared" si="0"/>
        <v>9</v>
      </c>
      <c r="B14" s="1">
        <v>9</v>
      </c>
      <c r="C14" s="1">
        <v>67</v>
      </c>
    </row>
    <row r="15" spans="1:3">
      <c r="A15" s="1">
        <f t="shared" si="0"/>
        <v>10</v>
      </c>
      <c r="B15" s="1">
        <v>8</v>
      </c>
      <c r="C15" s="1">
        <v>84</v>
      </c>
    </row>
    <row r="16" spans="1:3">
      <c r="A16" s="1">
        <f t="shared" si="0"/>
        <v>11</v>
      </c>
      <c r="B16" s="1">
        <v>6</v>
      </c>
      <c r="C16" s="1">
        <v>93</v>
      </c>
    </row>
    <row r="17" spans="1:3">
      <c r="A17" s="1">
        <f t="shared" si="0"/>
        <v>12</v>
      </c>
      <c r="B17" s="1">
        <v>8</v>
      </c>
      <c r="C17" s="1">
        <v>158</v>
      </c>
    </row>
    <row r="18" spans="1:3">
      <c r="A18" s="1">
        <f t="shared" si="0"/>
        <v>13</v>
      </c>
      <c r="B18" s="1">
        <v>8</v>
      </c>
      <c r="C18" s="1">
        <v>153</v>
      </c>
    </row>
    <row r="19" spans="1:3">
      <c r="A19" s="1">
        <f t="shared" si="0"/>
        <v>14</v>
      </c>
      <c r="B19" s="1">
        <v>11</v>
      </c>
      <c r="C19" s="1">
        <v>58</v>
      </c>
    </row>
    <row r="20" spans="1:3">
      <c r="A20" s="1">
        <f t="shared" si="0"/>
        <v>15</v>
      </c>
      <c r="B20" s="1">
        <v>12</v>
      </c>
      <c r="C20" s="1">
        <v>118</v>
      </c>
    </row>
    <row r="21" spans="1:3">
      <c r="A21" s="1">
        <f t="shared" si="0"/>
        <v>16</v>
      </c>
      <c r="B21" s="1">
        <v>22</v>
      </c>
      <c r="C21" s="1">
        <v>145</v>
      </c>
    </row>
    <row r="22" spans="1:3">
      <c r="A22" s="1">
        <f t="shared" si="0"/>
        <v>17</v>
      </c>
      <c r="B22" s="1">
        <v>31</v>
      </c>
      <c r="C22" s="1">
        <v>220</v>
      </c>
    </row>
    <row r="23" spans="1:3">
      <c r="A23" s="1">
        <f t="shared" si="0"/>
        <v>18</v>
      </c>
      <c r="B23" s="1">
        <v>35</v>
      </c>
      <c r="C23" s="1">
        <v>286</v>
      </c>
    </row>
    <row r="24" spans="1:3">
      <c r="A24" s="1">
        <f t="shared" si="0"/>
        <v>19</v>
      </c>
      <c r="B24" s="1">
        <v>30</v>
      </c>
      <c r="C24" s="1">
        <v>313</v>
      </c>
    </row>
    <row r="25" spans="1:3">
      <c r="A25" s="1">
        <f t="shared" si="0"/>
        <v>20</v>
      </c>
      <c r="B25" s="1">
        <v>24</v>
      </c>
      <c r="C25" s="1">
        <v>242</v>
      </c>
    </row>
    <row r="26" spans="1:3">
      <c r="A26" s="1">
        <f t="shared" si="0"/>
        <v>21</v>
      </c>
      <c r="B26" s="1">
        <v>24</v>
      </c>
      <c r="C26" s="1">
        <v>210</v>
      </c>
    </row>
    <row r="27" spans="1:3">
      <c r="A27" s="1">
        <f t="shared" si="0"/>
        <v>22</v>
      </c>
      <c r="B27" s="1">
        <v>12</v>
      </c>
      <c r="C27" s="1">
        <v>180</v>
      </c>
    </row>
    <row r="28" spans="1:3">
      <c r="A28" s="1">
        <f t="shared" si="0"/>
        <v>23</v>
      </c>
      <c r="B28" s="1">
        <v>6</v>
      </c>
      <c r="C28" s="1">
        <v>166</v>
      </c>
    </row>
    <row r="29" spans="1:3">
      <c r="A29" s="1">
        <f t="shared" si="0"/>
        <v>24</v>
      </c>
      <c r="B29" s="1">
        <v>7</v>
      </c>
      <c r="C29" s="1">
        <v>186</v>
      </c>
    </row>
    <row r="30" spans="1:3">
      <c r="A30" s="1">
        <f t="shared" si="0"/>
        <v>25</v>
      </c>
      <c r="B30" s="1">
        <v>16</v>
      </c>
      <c r="C30" s="1">
        <v>226</v>
      </c>
    </row>
    <row r="31" spans="1:3">
      <c r="A31" s="1">
        <f t="shared" si="0"/>
        <v>26</v>
      </c>
      <c r="B31" s="1">
        <v>26</v>
      </c>
      <c r="C31" s="1">
        <v>205</v>
      </c>
    </row>
    <row r="32" spans="1:3">
      <c r="A32" s="1">
        <f t="shared" si="0"/>
        <v>27</v>
      </c>
      <c r="B32" s="1">
        <v>27</v>
      </c>
      <c r="C32" s="1">
        <v>275</v>
      </c>
    </row>
    <row r="33" spans="1:3">
      <c r="A33" s="1">
        <f t="shared" si="0"/>
        <v>28</v>
      </c>
      <c r="B33" s="1">
        <v>24</v>
      </c>
      <c r="C33" s="1">
        <v>230</v>
      </c>
    </row>
    <row r="34" spans="1:3">
      <c r="A34" s="1">
        <f t="shared" si="0"/>
        <v>29</v>
      </c>
      <c r="B34" s="1">
        <v>21</v>
      </c>
      <c r="C34" s="1">
        <v>286</v>
      </c>
    </row>
    <row r="35" spans="1:3">
      <c r="A35" s="1">
        <f t="shared" si="0"/>
        <v>30</v>
      </c>
      <c r="B35" s="1">
        <v>29</v>
      </c>
      <c r="C35" s="1">
        <v>271</v>
      </c>
    </row>
    <row r="36" spans="1:3">
      <c r="A36" s="1">
        <f t="shared" si="0"/>
        <v>31</v>
      </c>
      <c r="B36" s="1">
        <v>43</v>
      </c>
      <c r="C36" s="1">
        <v>301</v>
      </c>
    </row>
    <row r="38" spans="1:3">
      <c r="B38" s="5">
        <f>SUM(B6:B37)</f>
        <v>494</v>
      </c>
      <c r="C38" s="5">
        <f>SUM(C6:C37)</f>
        <v>4942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  <_Flow_SignoffStatus xmlns="2e11796f-5f26-4c51-a1e5-22e0f1616a7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AE74F4-7ADC-443D-BDD6-B8BBEBD453EB}"/>
</file>

<file path=customXml/itemProps2.xml><?xml version="1.0" encoding="utf-8"?>
<ds:datastoreItem xmlns:ds="http://schemas.openxmlformats.org/officeDocument/2006/customXml" ds:itemID="{3F63AC17-9EFD-48DA-BB12-4FD1F7102A5E}"/>
</file>

<file path=customXml/itemProps3.xml><?xml version="1.0" encoding="utf-8"?>
<ds:datastoreItem xmlns:ds="http://schemas.openxmlformats.org/officeDocument/2006/customXml" ds:itemID="{C9C97E9C-B8C0-4F66-9801-FDCA953006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Tjokorda Gde Sparsa Krisyana Krisyana</cp:lastModifiedBy>
  <cp:revision/>
  <dcterms:created xsi:type="dcterms:W3CDTF">2020-09-16T08:52:25Z</dcterms:created>
  <dcterms:modified xsi:type="dcterms:W3CDTF">2023-02-18T04:35:38Z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Order">
    <vt:r8>1891400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MediaServiceImageTags">
    <vt:lpwstr/>
  </property>
</Properties>
</file>