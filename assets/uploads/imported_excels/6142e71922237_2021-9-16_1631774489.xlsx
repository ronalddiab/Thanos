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77"/>
  <workbookPr filterPrivacy="1" defaultThemeVersion="124226"/>
  <xr:revisionPtr revIDLastSave="0" documentId="13_ncr:1_{EB6207D9-E9B9-44E2-90D9-DBDDC4195720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B32" i="8" l="1"/>
  <c r="U23" i="2"/>
  <c r="T23" i="2"/>
  <c r="S23" i="2"/>
  <c r="R23" i="2"/>
  <c r="Q23" i="2"/>
  <c r="P23" i="2"/>
  <c r="O23" i="2"/>
  <c r="N23" i="2"/>
  <c r="M23" i="2"/>
  <c r="K23" i="2"/>
  <c r="J23" i="2"/>
  <c r="I23" i="2"/>
  <c r="G22" i="4" s="1"/>
  <c r="H23" i="2"/>
  <c r="G23" i="2"/>
  <c r="F23" i="2"/>
  <c r="E23" i="2"/>
  <c r="D23" i="2"/>
  <c r="C23" i="2"/>
  <c r="C17" i="8"/>
  <c r="J12" i="2"/>
  <c r="S8" i="8"/>
  <c r="S9" i="8"/>
  <c r="J8" i="2"/>
  <c r="G7" i="4" s="1"/>
  <c r="J9" i="2"/>
  <c r="I8" i="2"/>
  <c r="I9" i="2"/>
  <c r="H8" i="2"/>
  <c r="H9" i="2"/>
  <c r="G8" i="2"/>
  <c r="G9" i="2"/>
  <c r="F9" i="2"/>
  <c r="F8" i="2"/>
  <c r="E8" i="2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K9" i="2"/>
  <c r="K9" i="8"/>
  <c r="B29" i="2"/>
  <c r="B30" i="2"/>
  <c r="K19" i="8"/>
  <c r="K8" i="8"/>
  <c r="K10" i="8"/>
  <c r="K11" i="8"/>
  <c r="K12" i="8"/>
  <c r="K13" i="8"/>
  <c r="K14" i="8"/>
  <c r="K15" i="8"/>
  <c r="K16" i="8"/>
  <c r="K17" i="8"/>
  <c r="K18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7" i="8"/>
  <c r="K5" i="8"/>
  <c r="K6" i="8"/>
  <c r="K4" i="8"/>
  <c r="B9" i="8"/>
  <c r="I7" i="8"/>
  <c r="B8" i="2"/>
  <c r="O17" i="8"/>
  <c r="C17" i="2"/>
  <c r="C18" i="2"/>
  <c r="C19" i="2"/>
  <c r="G17" i="8"/>
  <c r="B8" i="8"/>
  <c r="B10" i="8"/>
  <c r="S27" i="2"/>
  <c r="B20" i="4"/>
  <c r="B3" i="4"/>
  <c r="H21" i="2"/>
  <c r="C21" i="2"/>
  <c r="C20" i="4" s="1"/>
  <c r="C22" i="2"/>
  <c r="C24" i="2"/>
  <c r="B5" i="8"/>
  <c r="B6" i="8"/>
  <c r="B7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3" i="8"/>
  <c r="B34" i="8"/>
  <c r="G33" i="6"/>
  <c r="G5" i="8"/>
  <c r="G6" i="8"/>
  <c r="G7" i="8"/>
  <c r="G8" i="8"/>
  <c r="G9" i="8"/>
  <c r="G10" i="8"/>
  <c r="G11" i="8"/>
  <c r="G12" i="8"/>
  <c r="G13" i="8"/>
  <c r="G14" i="8"/>
  <c r="G15" i="8"/>
  <c r="G16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Q32" i="8"/>
  <c r="Q33" i="8"/>
  <c r="Q34" i="8"/>
  <c r="C34" i="2"/>
  <c r="K34" i="2"/>
  <c r="H33" i="4" s="1"/>
  <c r="M34" i="2"/>
  <c r="N34" i="2"/>
  <c r="O34" i="2"/>
  <c r="P34" i="2"/>
  <c r="Q34" i="2"/>
  <c r="R34" i="2"/>
  <c r="S34" i="2"/>
  <c r="T34" i="2"/>
  <c r="J33" i="4" s="1"/>
  <c r="U34" i="2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5" i="2"/>
  <c r="B6" i="2"/>
  <c r="B7" i="2"/>
  <c r="B9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31" i="2"/>
  <c r="B32" i="2"/>
  <c r="B33" i="2"/>
  <c r="B34" i="2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2" i="4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E3" i="3" s="1"/>
  <c r="B4" i="3"/>
  <c r="B5" i="3"/>
  <c r="B6" i="3"/>
  <c r="B7" i="3"/>
  <c r="B8" i="3"/>
  <c r="L8" i="3" s="1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D22" i="3" s="1"/>
  <c r="B23" i="3"/>
  <c r="D23" i="3" s="1"/>
  <c r="B24" i="3"/>
  <c r="B25" i="3"/>
  <c r="B26" i="3"/>
  <c r="B27" i="3"/>
  <c r="B28" i="3"/>
  <c r="C28" i="3" s="1"/>
  <c r="B29" i="3"/>
  <c r="B30" i="3"/>
  <c r="B31" i="3"/>
  <c r="B32" i="3"/>
  <c r="B33" i="3"/>
  <c r="B3" i="3"/>
  <c r="C3" i="3" s="1"/>
  <c r="D3" i="4"/>
  <c r="I34" i="2"/>
  <c r="H34" i="2"/>
  <c r="G34" i="2"/>
  <c r="F34" i="2"/>
  <c r="E34" i="2"/>
  <c r="C33" i="2"/>
  <c r="C32" i="4" s="1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E33" i="8"/>
  <c r="I33" i="8"/>
  <c r="M33" i="8"/>
  <c r="O33" i="8"/>
  <c r="S33" i="8"/>
  <c r="U33" i="8"/>
  <c r="W33" i="8"/>
  <c r="E34" i="8"/>
  <c r="I34" i="8"/>
  <c r="M34" i="8"/>
  <c r="O34" i="8"/>
  <c r="S34" i="8"/>
  <c r="U34" i="8"/>
  <c r="W34" i="8"/>
  <c r="C33" i="8"/>
  <c r="C34" i="8"/>
  <c r="A34" i="8"/>
  <c r="C33" i="4"/>
  <c r="A33" i="4"/>
  <c r="A33" i="3"/>
  <c r="A34" i="2"/>
  <c r="A33" i="8"/>
  <c r="W32" i="8"/>
  <c r="U32" i="8"/>
  <c r="S32" i="8"/>
  <c r="O32" i="8"/>
  <c r="M32" i="8"/>
  <c r="I32" i="8"/>
  <c r="E32" i="8"/>
  <c r="C32" i="8"/>
  <c r="A32" i="8"/>
  <c r="W31" i="8"/>
  <c r="U31" i="8"/>
  <c r="S31" i="8"/>
  <c r="Q31" i="8"/>
  <c r="O31" i="8"/>
  <c r="M31" i="8"/>
  <c r="I31" i="8"/>
  <c r="E31" i="8"/>
  <c r="C31" i="8"/>
  <c r="A31" i="8"/>
  <c r="W30" i="8"/>
  <c r="U30" i="8"/>
  <c r="S30" i="8"/>
  <c r="Q30" i="8"/>
  <c r="O30" i="8"/>
  <c r="M30" i="8"/>
  <c r="I30" i="8"/>
  <c r="E30" i="8"/>
  <c r="C30" i="8"/>
  <c r="A30" i="8"/>
  <c r="W29" i="8"/>
  <c r="U29" i="8"/>
  <c r="S29" i="8"/>
  <c r="Q29" i="8"/>
  <c r="O29" i="8"/>
  <c r="M29" i="8"/>
  <c r="I29" i="8"/>
  <c r="E29" i="8"/>
  <c r="C29" i="8"/>
  <c r="A29" i="8"/>
  <c r="W28" i="8"/>
  <c r="U28" i="8"/>
  <c r="S28" i="8"/>
  <c r="Q28" i="8"/>
  <c r="O28" i="8"/>
  <c r="M28" i="8"/>
  <c r="I28" i="8"/>
  <c r="E28" i="8"/>
  <c r="C28" i="8"/>
  <c r="A28" i="8"/>
  <c r="W27" i="8"/>
  <c r="U27" i="8"/>
  <c r="S27" i="8"/>
  <c r="Q27" i="8"/>
  <c r="O27" i="8"/>
  <c r="M27" i="8"/>
  <c r="I27" i="8"/>
  <c r="E27" i="8"/>
  <c r="C27" i="8"/>
  <c r="A27" i="8"/>
  <c r="W26" i="8"/>
  <c r="U26" i="8"/>
  <c r="S26" i="8"/>
  <c r="Q26" i="8"/>
  <c r="O26" i="8"/>
  <c r="M26" i="8"/>
  <c r="I26" i="8"/>
  <c r="E26" i="8"/>
  <c r="C26" i="8"/>
  <c r="A26" i="8"/>
  <c r="W25" i="8"/>
  <c r="U25" i="8"/>
  <c r="S25" i="8"/>
  <c r="Q25" i="8"/>
  <c r="O25" i="8"/>
  <c r="M25" i="8"/>
  <c r="I25" i="8"/>
  <c r="E25" i="8"/>
  <c r="C25" i="8"/>
  <c r="A25" i="8"/>
  <c r="W24" i="8"/>
  <c r="U24" i="8"/>
  <c r="S24" i="8"/>
  <c r="Q24" i="8"/>
  <c r="O24" i="8"/>
  <c r="M24" i="8"/>
  <c r="I24" i="8"/>
  <c r="E24" i="8"/>
  <c r="C24" i="8"/>
  <c r="A24" i="8"/>
  <c r="W23" i="8"/>
  <c r="U23" i="8"/>
  <c r="S23" i="8"/>
  <c r="Q23" i="8"/>
  <c r="O23" i="8"/>
  <c r="M23" i="8"/>
  <c r="I23" i="8"/>
  <c r="E23" i="8"/>
  <c r="C23" i="8"/>
  <c r="A23" i="8"/>
  <c r="W22" i="8"/>
  <c r="U22" i="8"/>
  <c r="S22" i="8"/>
  <c r="Q22" i="8"/>
  <c r="O22" i="8"/>
  <c r="M22" i="8"/>
  <c r="I22" i="8"/>
  <c r="E22" i="8"/>
  <c r="C22" i="8"/>
  <c r="A22" i="8"/>
  <c r="W21" i="8"/>
  <c r="U21" i="8"/>
  <c r="S21" i="8"/>
  <c r="Q21" i="8"/>
  <c r="O21" i="8"/>
  <c r="M21" i="8"/>
  <c r="I21" i="8"/>
  <c r="E21" i="8"/>
  <c r="C21" i="8"/>
  <c r="A21" i="8"/>
  <c r="W20" i="8"/>
  <c r="U20" i="8"/>
  <c r="S20" i="8"/>
  <c r="Q20" i="8"/>
  <c r="O20" i="8"/>
  <c r="M20" i="8"/>
  <c r="I20" i="8"/>
  <c r="E20" i="8"/>
  <c r="C20" i="8"/>
  <c r="A20" i="8"/>
  <c r="W19" i="8"/>
  <c r="U19" i="8"/>
  <c r="S19" i="8"/>
  <c r="Q19" i="8"/>
  <c r="O19" i="8"/>
  <c r="M19" i="8"/>
  <c r="I19" i="8"/>
  <c r="E19" i="8"/>
  <c r="C19" i="8"/>
  <c r="A19" i="8"/>
  <c r="W18" i="8"/>
  <c r="U18" i="8"/>
  <c r="S18" i="8"/>
  <c r="Q18" i="8"/>
  <c r="O18" i="8"/>
  <c r="M18" i="8"/>
  <c r="I18" i="8"/>
  <c r="E18" i="8"/>
  <c r="C18" i="8"/>
  <c r="H18" i="8" s="1"/>
  <c r="A18" i="8"/>
  <c r="W17" i="8"/>
  <c r="U17" i="8"/>
  <c r="S17" i="8"/>
  <c r="Q17" i="8"/>
  <c r="M17" i="8"/>
  <c r="I17" i="8"/>
  <c r="E17" i="8"/>
  <c r="A17" i="8"/>
  <c r="W16" i="8"/>
  <c r="U16" i="8"/>
  <c r="S16" i="8"/>
  <c r="Q16" i="8"/>
  <c r="O16" i="8"/>
  <c r="M16" i="8"/>
  <c r="I16" i="8"/>
  <c r="E16" i="8"/>
  <c r="C16" i="8"/>
  <c r="A16" i="8"/>
  <c r="W15" i="8"/>
  <c r="U15" i="8"/>
  <c r="S15" i="8"/>
  <c r="Q15" i="8"/>
  <c r="O15" i="8"/>
  <c r="M15" i="8"/>
  <c r="I15" i="8"/>
  <c r="E15" i="8"/>
  <c r="C15" i="8"/>
  <c r="A15" i="8"/>
  <c r="W14" i="8"/>
  <c r="U14" i="8"/>
  <c r="S14" i="8"/>
  <c r="Q14" i="8"/>
  <c r="O14" i="8"/>
  <c r="M14" i="8"/>
  <c r="I14" i="8"/>
  <c r="E14" i="8"/>
  <c r="C14" i="8"/>
  <c r="L14" i="8" s="1"/>
  <c r="A14" i="8"/>
  <c r="W13" i="8"/>
  <c r="U13" i="8"/>
  <c r="S13" i="8"/>
  <c r="Q13" i="8"/>
  <c r="O13" i="8"/>
  <c r="M13" i="8"/>
  <c r="I13" i="8"/>
  <c r="E13" i="8"/>
  <c r="C13" i="8"/>
  <c r="A13" i="8"/>
  <c r="W12" i="8"/>
  <c r="U12" i="8"/>
  <c r="S12" i="8"/>
  <c r="Q12" i="8"/>
  <c r="O12" i="8"/>
  <c r="M12" i="8"/>
  <c r="I12" i="8"/>
  <c r="E12" i="8"/>
  <c r="C12" i="8"/>
  <c r="A12" i="8"/>
  <c r="W11" i="8"/>
  <c r="U11" i="8"/>
  <c r="S11" i="8"/>
  <c r="Q11" i="8"/>
  <c r="O11" i="8"/>
  <c r="M11" i="8"/>
  <c r="I11" i="8"/>
  <c r="E11" i="8"/>
  <c r="C11" i="8"/>
  <c r="A11" i="8"/>
  <c r="W10" i="8"/>
  <c r="U10" i="8"/>
  <c r="S10" i="8"/>
  <c r="Q10" i="8"/>
  <c r="O10" i="8"/>
  <c r="M10" i="8"/>
  <c r="I10" i="8"/>
  <c r="E10" i="8"/>
  <c r="C10" i="8"/>
  <c r="A10" i="8"/>
  <c r="W9" i="8"/>
  <c r="U9" i="8"/>
  <c r="Q9" i="8"/>
  <c r="O9" i="8"/>
  <c r="M9" i="8"/>
  <c r="I9" i="8"/>
  <c r="E9" i="8"/>
  <c r="C9" i="8"/>
  <c r="A9" i="8"/>
  <c r="W8" i="8"/>
  <c r="U8" i="8"/>
  <c r="Q8" i="8"/>
  <c r="O8" i="8"/>
  <c r="M8" i="8"/>
  <c r="I8" i="8"/>
  <c r="E8" i="8"/>
  <c r="C8" i="8"/>
  <c r="A8" i="8"/>
  <c r="W7" i="8"/>
  <c r="U7" i="8"/>
  <c r="S7" i="8"/>
  <c r="Q7" i="8"/>
  <c r="O7" i="8"/>
  <c r="M7" i="8"/>
  <c r="E7" i="8"/>
  <c r="C7" i="8"/>
  <c r="A7" i="8"/>
  <c r="W6" i="8"/>
  <c r="U6" i="8"/>
  <c r="S6" i="8"/>
  <c r="Q6" i="8"/>
  <c r="O6" i="8"/>
  <c r="M6" i="8"/>
  <c r="I6" i="8"/>
  <c r="E6" i="8"/>
  <c r="C6" i="8"/>
  <c r="A6" i="8"/>
  <c r="W5" i="8"/>
  <c r="U5" i="8"/>
  <c r="S5" i="8"/>
  <c r="Q5" i="8"/>
  <c r="O5" i="8"/>
  <c r="M5" i="8"/>
  <c r="I5" i="8"/>
  <c r="E5" i="8"/>
  <c r="A5" i="8"/>
  <c r="W4" i="8"/>
  <c r="U4" i="8"/>
  <c r="S4" i="8"/>
  <c r="Q4" i="8"/>
  <c r="G4" i="8"/>
  <c r="O4" i="8"/>
  <c r="M4" i="8"/>
  <c r="I4" i="8"/>
  <c r="E4" i="8"/>
  <c r="C4" i="8"/>
  <c r="V4" i="8" s="1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7" i="2"/>
  <c r="C6" i="4" s="1"/>
  <c r="C12" i="2"/>
  <c r="D11" i="3" s="1"/>
  <c r="C13" i="2"/>
  <c r="C12" i="4" s="1"/>
  <c r="C14" i="2"/>
  <c r="C13" i="4" s="1"/>
  <c r="C15" i="2"/>
  <c r="C14" i="4" s="1"/>
  <c r="C16" i="2"/>
  <c r="D15" i="3" s="1"/>
  <c r="C17" i="4"/>
  <c r="C20" i="2"/>
  <c r="C25" i="2"/>
  <c r="C24" i="4" s="1"/>
  <c r="C26" i="2"/>
  <c r="C27" i="2"/>
  <c r="C26" i="4" s="1"/>
  <c r="C28" i="2"/>
  <c r="C27" i="4" s="1"/>
  <c r="C29" i="2"/>
  <c r="C30" i="2"/>
  <c r="D29" i="3" s="1"/>
  <c r="C31" i="2"/>
  <c r="C30" i="4" s="1"/>
  <c r="C32" i="2"/>
  <c r="C31" i="4" s="1"/>
  <c r="U6" i="2"/>
  <c r="K5" i="4" s="1"/>
  <c r="U11" i="2"/>
  <c r="L10" i="3" s="1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F4" i="3" s="1"/>
  <c r="E6" i="2"/>
  <c r="E5" i="4" s="1"/>
  <c r="E7" i="2"/>
  <c r="E6" i="4" s="1"/>
  <c r="E7" i="4"/>
  <c r="E11" i="2"/>
  <c r="E12" i="2"/>
  <c r="E11" i="4" s="1"/>
  <c r="E13" i="2"/>
  <c r="E12" i="4" s="1"/>
  <c r="E14" i="2"/>
  <c r="F13" i="3" s="1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0" i="4" s="1"/>
  <c r="E32" i="2"/>
  <c r="E31" i="4" s="1"/>
  <c r="E4" i="2"/>
  <c r="F3" i="3" s="1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I3" i="3" s="1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23" i="4"/>
  <c r="C25" i="4"/>
  <c r="D7" i="3"/>
  <c r="E22" i="4"/>
  <c r="H7" i="4"/>
  <c r="C5" i="4"/>
  <c r="K22" i="4"/>
  <c r="J7" i="4"/>
  <c r="C16" i="4"/>
  <c r="C19" i="4"/>
  <c r="C22" i="4"/>
  <c r="K8" i="4"/>
  <c r="J22" i="4"/>
  <c r="E18" i="3"/>
  <c r="D16" i="3"/>
  <c r="G8" i="4"/>
  <c r="N17" i="8" l="1"/>
  <c r="H17" i="8"/>
  <c r="X22" i="8"/>
  <c r="C9" i="4"/>
  <c r="V10" i="2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D18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D7" i="8"/>
  <c r="L3" i="3"/>
  <c r="I21" i="4"/>
  <c r="D28" i="8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D20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D6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D33" i="8"/>
  <c r="E8" i="3"/>
  <c r="F8" i="4"/>
  <c r="J23" i="3"/>
  <c r="I31" i="4"/>
  <c r="L32" i="8"/>
  <c r="R28" i="8"/>
  <c r="H28" i="8"/>
  <c r="E29" i="3"/>
  <c r="K18" i="4"/>
  <c r="J10" i="3"/>
  <c r="H7" i="8"/>
  <c r="D32" i="8"/>
  <c r="R6" i="8"/>
  <c r="R19" i="8"/>
  <c r="T20" i="8"/>
  <c r="T28" i="8"/>
  <c r="C23" i="3"/>
  <c r="C15" i="3"/>
  <c r="V7" i="2"/>
  <c r="M6" i="3" s="1"/>
  <c r="H25" i="8"/>
  <c r="H8" i="8"/>
  <c r="D30" i="8"/>
  <c r="D22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D13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V30" i="2"/>
  <c r="M29" i="3" s="1"/>
  <c r="E29" i="4"/>
  <c r="F29" i="3"/>
  <c r="D28" i="3"/>
  <c r="C28" i="4"/>
  <c r="J4" i="8"/>
  <c r="Y4" i="8"/>
  <c r="Z4" i="8" s="1"/>
  <c r="P7" i="8"/>
  <c r="Y7" i="8"/>
  <c r="Z7" i="8" s="1"/>
  <c r="J8" i="8"/>
  <c r="Y8" i="8"/>
  <c r="Z8" i="8" s="1"/>
  <c r="Y9" i="8"/>
  <c r="Z9" i="8" s="1"/>
  <c r="F9" i="8"/>
  <c r="P10" i="8"/>
  <c r="D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D31" i="8"/>
  <c r="H31" i="8"/>
  <c r="X31" i="8"/>
  <c r="V32" i="8"/>
  <c r="Y32" i="8"/>
  <c r="Z32" i="8" s="1"/>
  <c r="H34" i="8"/>
  <c r="D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V24" i="2"/>
  <c r="M23" i="3" s="1"/>
  <c r="C21" i="4"/>
  <c r="D21" i="3"/>
  <c r="K4" i="3"/>
  <c r="J4" i="4"/>
  <c r="G25" i="3"/>
  <c r="J28" i="3"/>
  <c r="I19" i="4"/>
  <c r="M9" i="3"/>
  <c r="H9" i="4"/>
  <c r="K9" i="3"/>
  <c r="J9" i="4"/>
  <c r="K4" i="4"/>
  <c r="L4" i="3"/>
  <c r="Y6" i="8"/>
  <c r="Z6" i="8" s="1"/>
  <c r="Y5" i="8"/>
  <c r="Z5" i="8" s="1"/>
  <c r="T34" i="8"/>
  <c r="I33" i="3"/>
  <c r="J8" i="4"/>
  <c r="K8" i="3"/>
  <c r="K32" i="3"/>
  <c r="D33" i="3"/>
  <c r="E33" i="3"/>
  <c r="C33" i="3"/>
  <c r="V34" i="2"/>
  <c r="M33" i="3" s="1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D5" i="8"/>
  <c r="F33" i="4"/>
  <c r="V33" i="2"/>
  <c r="M32" i="3" s="1"/>
  <c r="L17" i="3"/>
  <c r="H5" i="8"/>
  <c r="E16" i="3"/>
  <c r="F9" i="4"/>
  <c r="K28" i="3"/>
  <c r="L32" i="3"/>
  <c r="H28" i="3"/>
  <c r="G3" i="3"/>
  <c r="E24" i="3"/>
  <c r="K17" i="4"/>
  <c r="V31" i="2"/>
  <c r="M30" i="3" s="1"/>
  <c r="C24" i="3"/>
  <c r="I25" i="3"/>
  <c r="G28" i="3"/>
  <c r="F25" i="4"/>
  <c r="Y31" i="8"/>
  <c r="Z31" i="8" s="1"/>
  <c r="L5" i="8"/>
  <c r="F7" i="8"/>
  <c r="J7" i="8"/>
  <c r="R24" i="8"/>
  <c r="G33" i="4"/>
  <c r="D9" i="8"/>
  <c r="I17" i="4"/>
  <c r="K12" i="3"/>
  <c r="H15" i="3"/>
  <c r="L21" i="3"/>
  <c r="I23" i="4"/>
  <c r="J31" i="3"/>
  <c r="H12" i="3"/>
  <c r="G13" i="4"/>
  <c r="J7" i="3"/>
  <c r="V32" i="2"/>
  <c r="M31" i="3" s="1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D29" i="8"/>
  <c r="J28" i="4"/>
  <c r="J26" i="3"/>
  <c r="L26" i="3"/>
  <c r="I27" i="4"/>
  <c r="J25" i="3"/>
  <c r="F26" i="4"/>
  <c r="F27" i="4"/>
  <c r="G27" i="3"/>
  <c r="I26" i="3"/>
  <c r="I26" i="4"/>
  <c r="E26" i="3"/>
  <c r="V27" i="2"/>
  <c r="M26" i="3" s="1"/>
  <c r="V29" i="2"/>
  <c r="M28" i="3" s="1"/>
  <c r="F28" i="3"/>
  <c r="E26" i="4"/>
  <c r="V28" i="2"/>
  <c r="M27" i="3" s="1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D27" i="8"/>
  <c r="X27" i="8"/>
  <c r="V27" i="8"/>
  <c r="J25" i="8"/>
  <c r="Y26" i="8"/>
  <c r="Z26" i="8" s="1"/>
  <c r="H26" i="8"/>
  <c r="R26" i="8"/>
  <c r="T25" i="8"/>
  <c r="J26" i="8"/>
  <c r="N25" i="8"/>
  <c r="D26" i="8"/>
  <c r="X26" i="8"/>
  <c r="D25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V26" i="2"/>
  <c r="M25" i="3" s="1"/>
  <c r="F25" i="3"/>
  <c r="E25" i="4"/>
  <c r="M35" i="8"/>
  <c r="J23" i="8"/>
  <c r="Y24" i="8"/>
  <c r="Z24" i="8" s="1"/>
  <c r="T24" i="8"/>
  <c r="Y25" i="8"/>
  <c r="Z25" i="8" s="1"/>
  <c r="D24" i="8"/>
  <c r="G24" i="3"/>
  <c r="V25" i="2"/>
  <c r="M24" i="3" s="1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D23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D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D19" i="8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D8" i="8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D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D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D15" i="8"/>
  <c r="D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D11" i="8"/>
  <c r="D12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<sst xmlns="http://schemas.openxmlformats.org/spreadsheetml/2006/main" count="201" uniqueCount="128">
  <si>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</si>
  <si>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</si>
  <si>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</si>
  <si>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</si>
  <si>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</si>
  <si>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</si>
  <si>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</si>
  <si>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</si>
  <si>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</si>
  <si>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</si>
  <si>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</si>
  <si>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</si>
  <si>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</si>
  <si>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</si>
  <si>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</si>
  <si>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</si>
  <si>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</si>
  <si>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</si>
  <si>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</si>
  <si>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</si>
  <si>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</si>
  <si>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</si>
  <si>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</si>
  <si>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</si>
  <si>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</si>
  <si>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</si>
  <si>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</si>
  <si>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</si>
  <si>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</si>
  <si>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</si>
  <si>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</si>
  <si>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</si>
  <si>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</si>
  <si>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</si>
  <si>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</si>
  <si>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</si>
  <si>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</si>
  <si>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</si>
  <si>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</si>
  <si>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</si>
  <si>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</si>
  <si>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</si>
  <si>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</si>
  <si>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</si>
  <si>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</si>
  <si>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</si>
  <si>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</si>
  <si>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</si>
  <si>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</si>
  <si>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</si>
  <si>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</si>
  <si>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</si>
  <si>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</si>
  <si>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</si>
  <si>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</si>
  <si>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</si>
  <si>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</si>
  <si>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</si>
  <si>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</si>
  <si>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</si>
  <si>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</si>
  <si>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</si>
  <si>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</si>
  <si>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</si>
  <si>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</si>
  <si>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</si>
  <si>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</si>
  <si>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</si>
  <si>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</si>
  <si>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</si>
  <si>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</si>
  <si>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</si>
  <si>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</si>
  <si>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</si>
  <si>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</si>
  <si>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</si>
  <si>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</si>
  <si>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</si>
  <si>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</si>
  <si>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</si>
  <si>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</si>
  <si>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</si>
  <si>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</si>
  <si>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</si>
  <si>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</si>
  <si>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</si>
  <si>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</si>
  <si>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</si>
  <si>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</si>
  <si>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</si>
  <si>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</si>
  <si>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</si>
  <si>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</si>
  <si>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</si>
  <si>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</si>
  <si>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</si>
  <si>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</si>
  <si>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</si>
  <si>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</si>
  <si>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</si>
  <si>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</si>
  <si>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</si>
  <si>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</si>
  <si>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</si>
  <si>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</si>
  <si>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</si>
  <si>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</si>
  <si>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</si>
  <si>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</si>
  <si>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</si>
  <si>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</si>
  <si>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</si>
  <si>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</si>
  <si>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</si>
  <si>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</si>
  <si>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</si>
  <si>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</si>
  <si>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</si>
  <si>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</si>
  <si>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</si>
  <si>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</si>
  <si>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</si>
  <si>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</si>
  <si>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 xml:space="preserve">Total Fuel Oil  (Liters) </t>
  </si>
  <si>
    <t>Fuel Oil  $/Liter</t>
  </si>
  <si>
    <t>Water Utility Supply (m3) m3</t>
  </si>
  <si>
    <t>Water Utility Supply (m3) $/m3</t>
  </si>
  <si>
    <t xml:space="preserve">BOH-1/ B&amp;C Block GWH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</si>
</sst>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4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9" borderId="1" xfId="1" applyNumberFormat="1" applyFill="1" applyBorder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9" borderId="1" xfId="1" applyNumberFormat="1" applyFill="1" applyBorder="1" applyAlignment="1">
      <alignment horizontal="center" vertic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0" fillId="0" borderId="7" xfId="0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-449370</c:v>
                </c:pt>
                <c:pt idx="1">
                  <c:v>-2528500</c:v>
                </c:pt>
                <c:pt idx="2">
                  <c:v>-244759.99999999997</c:v>
                </c:pt>
                <c:pt idx="3">
                  <c:v>-938450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-55314</c:v>
                </c:pt>
                <c:pt idx="1">
                  <c:v>0.17090578769789774</c:v>
                </c:pt>
                <c:pt idx="2" formatCode="_(* #,##0.00_);_(* \(#,##0.00\);_(* &quot;-&quot;??_);_(@_)">
                  <c:v>-211984</c:v>
                </c:pt>
                <c:pt idx="3">
                  <c:v>0.65497509670881071</c:v>
                </c:pt>
                <c:pt idx="4" formatCode="0.00">
                  <c:v>-27660</c:v>
                </c:pt>
                <c:pt idx="5">
                  <c:v>8.5462163064031732E-2</c:v>
                </c:pt>
                <c:pt idx="6" formatCode="0.00">
                  <c:v>-37781</c:v>
                </c:pt>
                <c:pt idx="7">
                  <c:v>0.1167334050152633</c:v>
                </c:pt>
                <c:pt idx="8" formatCode="0.00">
                  <c:v>-6604</c:v>
                </c:pt>
                <c:pt idx="9">
                  <c:v>2.0404632135750743E-2</c:v>
                </c:pt>
                <c:pt idx="10" formatCode="0.00">
                  <c:v>-913</c:v>
                </c:pt>
                <c:pt idx="11">
                  <c:v>2.8209311235524574E-3</c:v>
                </c:pt>
                <c:pt idx="12" formatCode="0.00">
                  <c:v>-66981</c:v>
                </c:pt>
                <c:pt idx="13">
                  <c:v>0.20695376515516667</c:v>
                </c:pt>
                <c:pt idx="14" formatCode="_(* #,##0.00_);_(* \(#,##0.00\);_(* &quot;-&quot;??_);_(@_)">
                  <c:v>-251513</c:v>
                </c:pt>
                <c:pt idx="15">
                  <c:v>0.77710936437902434</c:v>
                </c:pt>
                <c:pt idx="16" formatCode="0.00">
                  <c:v>-112781</c:v>
                </c:pt>
                <c:pt idx="17">
                  <c:v>0.34846378208693291</c:v>
                </c:pt>
                <c:pt idx="18" formatCode="0.00">
                  <c:v>-21005</c:v>
                </c:pt>
                <c:pt idx="19">
                  <c:v>6.4899954271872257E-2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3891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-323652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-792536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23401088"/>
        <c:axId val="223402624"/>
      </c:barChart>
      <c:catAx>
        <c:axId val="223401088"/>
        <c:scaling>
          <c:orientation val="minMax"/>
        </c:scaling>
        <c:delete val="1"/>
        <c:axPos val="b"/>
        <c:majorTickMark val="none"/>
        <c:minorTickMark val="none"/>
        <c:tickLblPos val="nextTo"/>
        <c:crossAx val="223402624"/>
        <c:crosses val="autoZero"/>
        <c:auto val="1"/>
        <c:lblAlgn val="ctr"/>
        <c:lblOffset val="100"/>
        <c:noMultiLvlLbl val="0"/>
      </c:catAx>
      <c:valAx>
        <c:axId val="223402624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223401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zoomScale="85" zoomScaleNormal="85" workbookViewId="0">
      <selection activeCell="M2" sqref="M2:O16"/>
    </sheetView>
  </sheetViews>
  <sheetFormatPr defaultRowHeight="12.75" x14ac:dyDescent="0.2"/>
  <cols>
    <col min="1" max="1" width="23" style="44" bestFit="1" customWidth="1"/>
    <col min="2" max="4" width="9.140625" style="44"/>
    <col min="5" max="5" width="11" style="44" customWidth="1"/>
    <col min="6" max="6" width="12.140625" style="44" customWidth="1"/>
    <col min="7" max="7" width="10.28515625" style="44" customWidth="1"/>
    <col min="8" max="8" width="10.42578125" style="44" customWidth="1"/>
    <col min="9" max="9" width="10.85546875" style="44" customWidth="1"/>
    <col min="10" max="11" width="9.85546875" style="44" customWidth="1"/>
    <col min="12" max="12" width="9.5703125" style="44" customWidth="1"/>
    <col min="13" max="15" width="10.28515625" style="44" bestFit="1" customWidth="1"/>
    <col min="16" max="16384" width="9.140625" style="44"/>
  </cols>
  <sheetData>
    <row r="1" spans="1:15" ht="75" x14ac:dyDescent="0.2">
      <c r="A1" s="39" t="s">
        <v>0</v>
      </c>
      <c r="B1" s="39" t="s">
        <v>1</v>
      </c>
      <c r="C1" s="40" t="s">
        <v>2</v>
      </c>
      <c r="D1" s="39" t="s">
        <v>3</v>
      </c>
      <c r="E1" s="41" t="s">
        <v>4</v>
      </c>
      <c r="F1" s="42" t="s">
        <v>5</v>
      </c>
      <c r="G1" s="41" t="s">
        <v>123</v>
      </c>
      <c r="H1" s="42" t="s">
        <v>124</v>
      </c>
      <c r="I1" s="41" t="s">
        <v>125</v>
      </c>
      <c r="J1" s="42" t="s">
        <v>126</v>
      </c>
      <c r="K1" s="41" t="s">
        <v>121</v>
      </c>
      <c r="L1" s="43" t="s">
        <v>122</v>
      </c>
      <c r="M1" s="41" t="s">
        <v>6</v>
      </c>
      <c r="N1" s="41" t="s">
        <v>7</v>
      </c>
      <c r="O1" s="41" t="s">
        <v>8</v>
      </c>
    </row>
    <row r="2" spans="1:15" ht="15" x14ac:dyDescent="0.25">
      <c r="A2" s="45" t="s">
        <v>9</v>
      </c>
      <c r="B2" s="46">
        <v>1</v>
      </c>
      <c r="C2" s="47">
        <v>9</v>
      </c>
      <c r="D2" s="46">
        <v>2021</v>
      </c>
      <c r="E2" s="107">
        <v>21730.000000000473</v>
      </c>
      <c r="F2" s="48">
        <v>0.15</v>
      </c>
      <c r="G2" s="107">
        <v>5942</v>
      </c>
      <c r="H2" s="48">
        <v>0.5927</v>
      </c>
      <c r="I2" s="65">
        <v>220</v>
      </c>
      <c r="J2" s="76">
        <v>1.133</v>
      </c>
      <c r="K2" s="108"/>
      <c r="L2" s="76"/>
      <c r="M2" s="72">
        <v>13</v>
      </c>
      <c r="N2" s="72">
        <v>28</v>
      </c>
      <c r="O2" s="72">
        <v>98</v>
      </c>
    </row>
    <row r="3" spans="1:15" ht="15" x14ac:dyDescent="0.25">
      <c r="A3" s="45" t="s">
        <v>9</v>
      </c>
      <c r="B3" s="46">
        <f>B2+1</f>
        <v>2</v>
      </c>
      <c r="C3" s="47">
        <v>9</v>
      </c>
      <c r="D3" s="46">
        <v>2021</v>
      </c>
      <c r="E3" s="107">
        <v>21189.999999998465</v>
      </c>
      <c r="F3" s="48">
        <v>0.15</v>
      </c>
      <c r="G3" s="107">
        <v>5855</v>
      </c>
      <c r="H3" s="48">
        <v>0.5927</v>
      </c>
      <c r="I3" s="65">
        <v>233</v>
      </c>
      <c r="J3" s="76">
        <v>1.133</v>
      </c>
      <c r="K3" s="108"/>
      <c r="L3" s="76"/>
      <c r="M3" s="72">
        <v>11</v>
      </c>
      <c r="N3" s="72">
        <v>27</v>
      </c>
      <c r="O3" s="72">
        <v>73</v>
      </c>
    </row>
    <row r="4" spans="1:15" ht="15" x14ac:dyDescent="0.25">
      <c r="A4" s="45" t="s">
        <v>9</v>
      </c>
      <c r="B4" s="46">
        <f t="shared" ref="B4:B32" si="0">B3+1</f>
        <v>3</v>
      </c>
      <c r="C4" s="47">
        <v>9</v>
      </c>
      <c r="D4" s="46">
        <v>2021</v>
      </c>
      <c r="E4" s="107">
        <v>21290.000000001783</v>
      </c>
      <c r="F4" s="48">
        <v>0.15</v>
      </c>
      <c r="G4" s="107">
        <v>5892</v>
      </c>
      <c r="H4" s="48">
        <v>0.5927</v>
      </c>
      <c r="I4" s="65">
        <v>232</v>
      </c>
      <c r="J4" s="76">
        <v>1.133</v>
      </c>
      <c r="K4" s="108"/>
      <c r="L4" s="76"/>
      <c r="M4" s="72">
        <v>15</v>
      </c>
      <c r="N4" s="72">
        <v>32</v>
      </c>
      <c r="O4" s="72">
        <v>94</v>
      </c>
    </row>
    <row r="5" spans="1:15" ht="15" x14ac:dyDescent="0.25">
      <c r="A5" s="45" t="s">
        <v>9</v>
      </c>
      <c r="B5" s="46">
        <f t="shared" si="0"/>
        <v>4</v>
      </c>
      <c r="C5" s="47">
        <v>9</v>
      </c>
      <c r="D5" s="46">
        <v>2021</v>
      </c>
      <c r="E5" s="107">
        <v>21480.000000000473</v>
      </c>
      <c r="F5" s="48">
        <v>0.15</v>
      </c>
      <c r="G5" s="107">
        <v>5672</v>
      </c>
      <c r="H5" s="48">
        <v>0.5927</v>
      </c>
      <c r="I5" s="65">
        <v>229</v>
      </c>
      <c r="J5" s="76">
        <v>1.133</v>
      </c>
      <c r="K5" s="108"/>
      <c r="L5" s="76"/>
      <c r="M5" s="72">
        <v>17</v>
      </c>
      <c r="N5" s="72">
        <v>36</v>
      </c>
      <c r="O5" s="72">
        <v>98</v>
      </c>
    </row>
    <row r="6" spans="1:15" ht="15" x14ac:dyDescent="0.25">
      <c r="A6" s="45" t="s">
        <v>9</v>
      </c>
      <c r="B6" s="46">
        <f t="shared" si="0"/>
        <v>5</v>
      </c>
      <c r="C6" s="47">
        <v>9</v>
      </c>
      <c r="D6" s="46">
        <v>2021</v>
      </c>
      <c r="E6" s="107">
        <v>22480.000000000247</v>
      </c>
      <c r="F6" s="48">
        <v>0.15</v>
      </c>
      <c r="G6" s="107">
        <v>6189</v>
      </c>
      <c r="H6" s="48">
        <v>0.5927</v>
      </c>
      <c r="I6" s="65">
        <v>243</v>
      </c>
      <c r="J6" s="76">
        <v>1.133</v>
      </c>
      <c r="K6" s="108"/>
      <c r="L6" s="76"/>
      <c r="M6" s="72">
        <v>16</v>
      </c>
      <c r="N6" s="72">
        <v>35</v>
      </c>
      <c r="O6" s="72">
        <v>89</v>
      </c>
    </row>
    <row r="7" spans="1:15" ht="15" x14ac:dyDescent="0.25">
      <c r="A7" s="45" t="s">
        <v>9</v>
      </c>
      <c r="B7" s="46">
        <f t="shared" si="0"/>
        <v>6</v>
      </c>
      <c r="C7" s="47">
        <v>9</v>
      </c>
      <c r="D7" s="46">
        <v>2021</v>
      </c>
      <c r="E7" s="107">
        <v>21649.999999997817</v>
      </c>
      <c r="F7" s="48">
        <v>0.15</v>
      </c>
      <c r="G7" s="107">
        <v>5954</v>
      </c>
      <c r="H7" s="48">
        <v>0.5927</v>
      </c>
      <c r="I7" s="65">
        <v>243</v>
      </c>
      <c r="J7" s="76">
        <v>1.133</v>
      </c>
      <c r="K7" s="108"/>
      <c r="L7" s="76"/>
      <c r="M7" s="72">
        <v>21</v>
      </c>
      <c r="N7" s="72">
        <v>45</v>
      </c>
      <c r="O7" s="72">
        <v>124</v>
      </c>
    </row>
    <row r="8" spans="1:15" ht="15" x14ac:dyDescent="0.25">
      <c r="A8" s="45" t="s">
        <v>9</v>
      </c>
      <c r="B8" s="46">
        <f t="shared" si="0"/>
        <v>7</v>
      </c>
      <c r="C8" s="47">
        <v>9</v>
      </c>
      <c r="D8" s="46">
        <v>2021</v>
      </c>
      <c r="E8" s="107">
        <v>22320.000000001754</v>
      </c>
      <c r="F8" s="48">
        <v>0.15</v>
      </c>
      <c r="G8" s="107">
        <v>6009</v>
      </c>
      <c r="H8" s="48">
        <v>0.5927</v>
      </c>
      <c r="I8" s="65">
        <v>229</v>
      </c>
      <c r="J8" s="76">
        <v>1.133</v>
      </c>
      <c r="K8" s="108"/>
      <c r="L8" s="76"/>
      <c r="M8" s="72">
        <v>21</v>
      </c>
      <c r="N8" s="72">
        <v>47</v>
      </c>
      <c r="O8" s="72">
        <v>123</v>
      </c>
    </row>
    <row r="9" spans="1:15" ht="15" x14ac:dyDescent="0.25">
      <c r="A9" s="45" t="s">
        <v>9</v>
      </c>
      <c r="B9" s="46">
        <f t="shared" si="0"/>
        <v>8</v>
      </c>
      <c r="C9" s="47">
        <v>9</v>
      </c>
      <c r="D9" s="46">
        <v>2021</v>
      </c>
      <c r="E9" s="107">
        <v>20830.000000000611</v>
      </c>
      <c r="F9" s="48">
        <v>0.15</v>
      </c>
      <c r="G9" s="107">
        <v>5695</v>
      </c>
      <c r="H9" s="48">
        <v>0.5927</v>
      </c>
      <c r="I9" s="65">
        <v>232</v>
      </c>
      <c r="J9" s="76">
        <v>1.133</v>
      </c>
      <c r="K9" s="108"/>
      <c r="L9" s="76"/>
      <c r="M9" s="72">
        <v>21</v>
      </c>
      <c r="N9" s="72">
        <v>46</v>
      </c>
      <c r="O9" s="72">
        <v>136</v>
      </c>
    </row>
    <row r="10" spans="1:15" ht="15" x14ac:dyDescent="0.25">
      <c r="A10" s="45" t="s">
        <v>9</v>
      </c>
      <c r="B10" s="46">
        <f t="shared" si="0"/>
        <v>9</v>
      </c>
      <c r="C10" s="47">
        <v>9</v>
      </c>
      <c r="D10" s="46">
        <v>2021</v>
      </c>
      <c r="E10" s="107">
        <v>21529.999999997472</v>
      </c>
      <c r="F10" s="48">
        <v>0.15</v>
      </c>
      <c r="G10" s="107">
        <v>5985</v>
      </c>
      <c r="H10" s="48">
        <v>0.5927</v>
      </c>
      <c r="I10" s="65">
        <v>334</v>
      </c>
      <c r="J10" s="76">
        <v>1.133</v>
      </c>
      <c r="K10" s="108"/>
      <c r="L10" s="76"/>
      <c r="M10" s="72">
        <v>23</v>
      </c>
      <c r="N10" s="72">
        <v>52</v>
      </c>
      <c r="O10" s="72">
        <v>133</v>
      </c>
    </row>
    <row r="11" spans="1:15" ht="15" x14ac:dyDescent="0.25">
      <c r="A11" s="45" t="s">
        <v>9</v>
      </c>
      <c r="B11" s="46">
        <f t="shared" si="0"/>
        <v>10</v>
      </c>
      <c r="C11" s="47">
        <v>9</v>
      </c>
      <c r="D11" s="46">
        <v>2021</v>
      </c>
      <c r="E11" s="107">
        <v>21059.999999999945</v>
      </c>
      <c r="F11" s="48">
        <v>0.15</v>
      </c>
      <c r="G11" s="107">
        <v>5802</v>
      </c>
      <c r="H11" s="48">
        <v>0.5927</v>
      </c>
      <c r="I11" s="65">
        <v>226</v>
      </c>
      <c r="J11" s="76">
        <v>1.133</v>
      </c>
      <c r="K11" s="108"/>
      <c r="L11" s="76"/>
      <c r="M11" s="72">
        <v>23</v>
      </c>
      <c r="N11" s="72">
        <v>54</v>
      </c>
      <c r="O11" s="72">
        <v>150</v>
      </c>
    </row>
    <row r="12" spans="1:15" ht="15" x14ac:dyDescent="0.25">
      <c r="A12" s="45" t="s">
        <v>9</v>
      </c>
      <c r="B12" s="46">
        <f t="shared" si="0"/>
        <v>11</v>
      </c>
      <c r="C12" s="47">
        <v>9</v>
      </c>
      <c r="D12" s="46">
        <v>2021</v>
      </c>
      <c r="E12" s="107">
        <v>21830.000000003114</v>
      </c>
      <c r="F12" s="48">
        <v>0.15</v>
      </c>
      <c r="G12" s="107">
        <v>5894</v>
      </c>
      <c r="H12" s="48">
        <v>0.5927</v>
      </c>
      <c r="I12" s="65">
        <v>231</v>
      </c>
      <c r="J12" s="76">
        <v>1.133</v>
      </c>
      <c r="K12" s="108"/>
      <c r="L12" s="76"/>
      <c r="M12" s="72">
        <v>24</v>
      </c>
      <c r="N12" s="72">
        <v>55</v>
      </c>
      <c r="O12" s="72">
        <v>156</v>
      </c>
    </row>
    <row r="13" spans="1:15" ht="15" x14ac:dyDescent="0.25">
      <c r="A13" s="45" t="s">
        <v>9</v>
      </c>
      <c r="B13" s="46">
        <f t="shared" si="0"/>
        <v>12</v>
      </c>
      <c r="C13" s="47">
        <v>9</v>
      </c>
      <c r="D13" s="46">
        <v>2021</v>
      </c>
      <c r="E13" s="107">
        <v>20779.999999999291</v>
      </c>
      <c r="F13" s="48">
        <v>0.15</v>
      </c>
      <c r="G13" s="107">
        <v>5680</v>
      </c>
      <c r="H13" s="48">
        <v>0.5927</v>
      </c>
      <c r="I13" s="65">
        <v>244</v>
      </c>
      <c r="J13" s="76">
        <v>1.133</v>
      </c>
      <c r="K13" s="108"/>
      <c r="L13" s="76"/>
      <c r="M13" s="72">
        <v>22</v>
      </c>
      <c r="N13" s="72">
        <v>49</v>
      </c>
      <c r="O13" s="72">
        <v>152</v>
      </c>
    </row>
    <row r="14" spans="1:15" ht="15" x14ac:dyDescent="0.25">
      <c r="A14" s="45" t="s">
        <v>9</v>
      </c>
      <c r="B14" s="46">
        <f t="shared" si="0"/>
        <v>13</v>
      </c>
      <c r="C14" s="47">
        <v>9</v>
      </c>
      <c r="D14" s="46">
        <v>2021</v>
      </c>
      <c r="E14" s="107">
        <v>21360.000000000131</v>
      </c>
      <c r="F14" s="48">
        <v>0.15</v>
      </c>
      <c r="G14" s="107">
        <v>6005</v>
      </c>
      <c r="H14" s="48">
        <v>0.5927</v>
      </c>
      <c r="I14" s="65">
        <v>224</v>
      </c>
      <c r="J14" s="76">
        <v>1.133</v>
      </c>
      <c r="K14" s="108"/>
      <c r="L14" s="76"/>
      <c r="M14" s="72">
        <v>16</v>
      </c>
      <c r="N14" s="72">
        <v>37</v>
      </c>
      <c r="O14" s="72">
        <v>114</v>
      </c>
    </row>
    <row r="15" spans="1:15" ht="15" x14ac:dyDescent="0.25">
      <c r="A15" s="45" t="s">
        <v>9</v>
      </c>
      <c r="B15" s="46">
        <f t="shared" si="0"/>
        <v>14</v>
      </c>
      <c r="C15" s="47">
        <v>9</v>
      </c>
      <c r="D15" s="46">
        <v>2021</v>
      </c>
      <c r="E15" s="107">
        <v>21449.999999998457</v>
      </c>
      <c r="F15" s="48">
        <v>0.15</v>
      </c>
      <c r="G15" s="107">
        <v>5853</v>
      </c>
      <c r="H15" s="48">
        <v>0.5927</v>
      </c>
      <c r="I15" s="65">
        <v>235</v>
      </c>
      <c r="J15" s="76">
        <v>1.133</v>
      </c>
      <c r="K15" s="108"/>
      <c r="L15" s="76"/>
      <c r="M15" s="72">
        <v>15</v>
      </c>
      <c r="N15" s="72">
        <v>34</v>
      </c>
      <c r="O15" s="72">
        <v>87</v>
      </c>
    </row>
    <row r="16" spans="1:15" ht="15" x14ac:dyDescent="0.25">
      <c r="A16" s="45" t="s">
        <v>9</v>
      </c>
      <c r="B16" s="46">
        <f t="shared" si="0"/>
        <v>15</v>
      </c>
      <c r="C16" s="47">
        <v>9</v>
      </c>
      <c r="D16" s="46">
        <v>2021</v>
      </c>
      <c r="E16" s="107">
        <v>18569.999999999709</v>
      </c>
      <c r="F16" s="48">
        <v>0.15</v>
      </c>
      <c r="G16" s="107">
        <v>4985</v>
      </c>
      <c r="H16" s="48">
        <v>0.5927</v>
      </c>
      <c r="I16" s="65">
        <v>287</v>
      </c>
      <c r="J16" s="76">
        <v>1.133</v>
      </c>
      <c r="K16" s="108"/>
      <c r="L16" s="76"/>
      <c r="M16" s="72">
        <v>19</v>
      </c>
      <c r="N16" s="72">
        <v>48</v>
      </c>
      <c r="O16" s="72">
        <v>98</v>
      </c>
    </row>
    <row r="17" spans="1:15" ht="15" x14ac:dyDescent="0.25">
      <c r="A17" s="45" t="s">
        <v>9</v>
      </c>
      <c r="B17" s="46">
        <f t="shared" si="0"/>
        <v>16</v>
      </c>
      <c r="C17" s="47">
        <v>9</v>
      </c>
      <c r="D17" s="46">
        <v>2021</v>
      </c>
      <c r="E17" s="107"/>
      <c r="F17" s="48">
        <v>0.15</v>
      </c>
      <c r="G17" s="107"/>
      <c r="H17" s="48">
        <v>0.5927</v>
      </c>
      <c r="I17" s="65"/>
      <c r="J17" s="76">
        <v>1.133</v>
      </c>
      <c r="K17" s="108"/>
      <c r="L17" s="76"/>
      <c r="M17" s="72"/>
      <c r="N17" s="72"/>
      <c r="O17" s="72"/>
    </row>
    <row r="18" spans="1:15" ht="15" x14ac:dyDescent="0.25">
      <c r="A18" s="45" t="s">
        <v>9</v>
      </c>
      <c r="B18" s="46">
        <f t="shared" si="0"/>
        <v>17</v>
      </c>
      <c r="C18" s="47">
        <v>9</v>
      </c>
      <c r="D18" s="46">
        <v>2021</v>
      </c>
      <c r="E18" s="107"/>
      <c r="F18" s="48">
        <v>0.15</v>
      </c>
      <c r="G18" s="107"/>
      <c r="H18" s="48">
        <v>0.5927</v>
      </c>
      <c r="I18" s="65"/>
      <c r="J18" s="76">
        <v>1.133</v>
      </c>
      <c r="K18" s="108"/>
      <c r="L18" s="76"/>
      <c r="M18" s="72"/>
      <c r="N18" s="72"/>
      <c r="O18" s="72"/>
    </row>
    <row r="19" spans="1:15" ht="15" x14ac:dyDescent="0.25">
      <c r="A19" s="45" t="s">
        <v>9</v>
      </c>
      <c r="B19" s="46">
        <f t="shared" si="0"/>
        <v>18</v>
      </c>
      <c r="C19" s="47">
        <v>9</v>
      </c>
      <c r="D19" s="46">
        <v>2021</v>
      </c>
      <c r="E19" s="107"/>
      <c r="F19" s="48">
        <v>0.15</v>
      </c>
      <c r="G19" s="107"/>
      <c r="H19" s="48">
        <v>0.5927</v>
      </c>
      <c r="I19" s="65"/>
      <c r="J19" s="76">
        <v>1.133</v>
      </c>
      <c r="K19" s="108"/>
      <c r="L19" s="76"/>
      <c r="M19" s="72"/>
      <c r="N19" s="72"/>
      <c r="O19" s="72"/>
    </row>
    <row r="20" spans="1:15" ht="15" x14ac:dyDescent="0.25">
      <c r="A20" s="45" t="s">
        <v>9</v>
      </c>
      <c r="B20" s="46">
        <f t="shared" si="0"/>
        <v>19</v>
      </c>
      <c r="C20" s="47">
        <v>9</v>
      </c>
      <c r="D20" s="46">
        <v>2021</v>
      </c>
      <c r="E20" s="107"/>
      <c r="F20" s="48">
        <v>0.15</v>
      </c>
      <c r="G20" s="107"/>
      <c r="H20" s="48">
        <v>0.5927</v>
      </c>
      <c r="I20" s="65"/>
      <c r="J20" s="76">
        <v>1.133</v>
      </c>
      <c r="K20" s="108"/>
      <c r="L20" s="76"/>
      <c r="M20" s="72"/>
      <c r="N20" s="72"/>
      <c r="O20" s="72"/>
    </row>
    <row r="21" spans="1:15" ht="15" x14ac:dyDescent="0.25">
      <c r="A21" s="45" t="s">
        <v>9</v>
      </c>
      <c r="B21" s="46">
        <f t="shared" si="0"/>
        <v>20</v>
      </c>
      <c r="C21" s="47">
        <v>9</v>
      </c>
      <c r="D21" s="46">
        <v>2021</v>
      </c>
      <c r="E21" s="107"/>
      <c r="F21" s="48">
        <v>0.15</v>
      </c>
      <c r="G21" s="107"/>
      <c r="H21" s="48">
        <v>0.5927</v>
      </c>
      <c r="I21" s="65"/>
      <c r="J21" s="76">
        <v>1.133</v>
      </c>
      <c r="K21" s="108"/>
      <c r="L21" s="76"/>
      <c r="M21" s="72"/>
      <c r="N21" s="72"/>
      <c r="O21" s="72"/>
    </row>
    <row r="22" spans="1:15" ht="15" x14ac:dyDescent="0.25">
      <c r="A22" s="45" t="s">
        <v>9</v>
      </c>
      <c r="B22" s="46">
        <f t="shared" si="0"/>
        <v>21</v>
      </c>
      <c r="C22" s="47">
        <v>9</v>
      </c>
      <c r="D22" s="46">
        <v>2021</v>
      </c>
      <c r="E22" s="107"/>
      <c r="F22" s="48">
        <v>0.15</v>
      </c>
      <c r="G22" s="107"/>
      <c r="H22" s="48">
        <v>0.5927</v>
      </c>
      <c r="I22" s="65"/>
      <c r="J22" s="76">
        <v>1.133</v>
      </c>
      <c r="K22" s="108"/>
      <c r="L22" s="76"/>
      <c r="M22" s="72"/>
      <c r="N22" s="72"/>
      <c r="O22" s="72"/>
    </row>
    <row r="23" spans="1:15" ht="15" x14ac:dyDescent="0.25">
      <c r="A23" s="45" t="s">
        <v>9</v>
      </c>
      <c r="B23" s="46">
        <f t="shared" si="0"/>
        <v>22</v>
      </c>
      <c r="C23" s="47">
        <v>9</v>
      </c>
      <c r="D23" s="46">
        <v>2021</v>
      </c>
      <c r="E23" s="107"/>
      <c r="F23" s="48">
        <v>0.15</v>
      </c>
      <c r="G23" s="107"/>
      <c r="H23" s="48">
        <v>0.5927</v>
      </c>
      <c r="I23" s="65"/>
      <c r="J23" s="76">
        <v>1.133</v>
      </c>
      <c r="K23" s="108"/>
      <c r="L23" s="76"/>
      <c r="M23" s="72"/>
      <c r="N23" s="72"/>
      <c r="O23" s="72"/>
    </row>
    <row r="24" spans="1:15" ht="15" x14ac:dyDescent="0.25">
      <c r="A24" s="45" t="s">
        <v>9</v>
      </c>
      <c r="B24" s="46">
        <f t="shared" si="0"/>
        <v>23</v>
      </c>
      <c r="C24" s="47">
        <v>9</v>
      </c>
      <c r="D24" s="46">
        <v>2021</v>
      </c>
      <c r="E24" s="107"/>
      <c r="F24" s="48">
        <v>0.15</v>
      </c>
      <c r="G24" s="107"/>
      <c r="H24" s="48">
        <v>0.5927</v>
      </c>
      <c r="I24" s="65"/>
      <c r="J24" s="76">
        <v>1.133</v>
      </c>
      <c r="K24" s="108"/>
      <c r="L24" s="76"/>
      <c r="M24" s="72"/>
      <c r="N24" s="72"/>
      <c r="O24" s="72"/>
    </row>
    <row r="25" spans="1:15" ht="15" x14ac:dyDescent="0.25">
      <c r="A25" s="45" t="s">
        <v>9</v>
      </c>
      <c r="B25" s="46">
        <f t="shared" si="0"/>
        <v>24</v>
      </c>
      <c r="C25" s="47">
        <v>9</v>
      </c>
      <c r="D25" s="46">
        <v>2021</v>
      </c>
      <c r="E25" s="107"/>
      <c r="F25" s="48">
        <v>0.15</v>
      </c>
      <c r="G25" s="107"/>
      <c r="H25" s="48">
        <v>0.5927</v>
      </c>
      <c r="I25" s="65"/>
      <c r="J25" s="76">
        <v>1.133</v>
      </c>
      <c r="K25" s="108"/>
      <c r="L25" s="76"/>
      <c r="M25" s="72"/>
      <c r="N25" s="72"/>
      <c r="O25" s="72"/>
    </row>
    <row r="26" spans="1:15" ht="15" x14ac:dyDescent="0.25">
      <c r="A26" s="45" t="s">
        <v>9</v>
      </c>
      <c r="B26" s="46">
        <f>B25+1</f>
        <v>25</v>
      </c>
      <c r="C26" s="47">
        <v>9</v>
      </c>
      <c r="D26" s="46">
        <v>2021</v>
      </c>
      <c r="E26" s="107"/>
      <c r="F26" s="48">
        <v>0.15</v>
      </c>
      <c r="G26" s="107"/>
      <c r="H26" s="48">
        <v>0.5927</v>
      </c>
      <c r="I26" s="65"/>
      <c r="J26" s="76">
        <v>1.133</v>
      </c>
      <c r="K26" s="108"/>
      <c r="L26" s="76"/>
      <c r="M26" s="72"/>
      <c r="N26" s="72"/>
      <c r="O26" s="72"/>
    </row>
    <row r="27" spans="1:15" ht="15" x14ac:dyDescent="0.25">
      <c r="A27" s="45" t="s">
        <v>9</v>
      </c>
      <c r="B27" s="46">
        <f t="shared" si="0"/>
        <v>26</v>
      </c>
      <c r="C27" s="47">
        <v>9</v>
      </c>
      <c r="D27" s="46">
        <v>2021</v>
      </c>
      <c r="E27" s="107"/>
      <c r="F27" s="48">
        <v>0.15</v>
      </c>
      <c r="G27" s="107"/>
      <c r="H27" s="48">
        <v>0.5927</v>
      </c>
      <c r="I27" s="65"/>
      <c r="J27" s="76">
        <v>1.133</v>
      </c>
      <c r="K27" s="108"/>
      <c r="L27" s="76"/>
      <c r="M27" s="72"/>
      <c r="N27" s="72"/>
      <c r="O27" s="72"/>
    </row>
    <row r="28" spans="1:15" ht="15" x14ac:dyDescent="0.25">
      <c r="A28" s="45" t="s">
        <v>9</v>
      </c>
      <c r="B28" s="46">
        <f t="shared" si="0"/>
        <v>27</v>
      </c>
      <c r="C28" s="47">
        <v>9</v>
      </c>
      <c r="D28" s="46">
        <v>2021</v>
      </c>
      <c r="E28" s="107"/>
      <c r="F28" s="48">
        <v>0.15</v>
      </c>
      <c r="G28" s="107"/>
      <c r="H28" s="48">
        <v>0.5927</v>
      </c>
      <c r="I28" s="65"/>
      <c r="J28" s="76">
        <v>1.133</v>
      </c>
      <c r="K28" s="108"/>
      <c r="L28" s="76"/>
      <c r="M28" s="72"/>
      <c r="N28" s="72"/>
      <c r="O28" s="72"/>
    </row>
    <row r="29" spans="1:15" ht="15" x14ac:dyDescent="0.25">
      <c r="A29" s="45" t="s">
        <v>9</v>
      </c>
      <c r="B29" s="46">
        <f t="shared" si="0"/>
        <v>28</v>
      </c>
      <c r="C29" s="47">
        <v>9</v>
      </c>
      <c r="D29" s="46">
        <v>2021</v>
      </c>
      <c r="E29" s="107"/>
      <c r="F29" s="48">
        <v>0.15</v>
      </c>
      <c r="G29" s="107"/>
      <c r="H29" s="48">
        <v>0.5927</v>
      </c>
      <c r="I29" s="65"/>
      <c r="J29" s="76">
        <v>1.133</v>
      </c>
      <c r="K29" s="108"/>
      <c r="L29" s="76"/>
      <c r="M29" s="72"/>
      <c r="N29" s="72"/>
      <c r="O29" s="72"/>
    </row>
    <row r="30" spans="1:15" ht="15" x14ac:dyDescent="0.25">
      <c r="A30" s="45" t="s">
        <v>9</v>
      </c>
      <c r="B30" s="46">
        <f t="shared" si="0"/>
        <v>29</v>
      </c>
      <c r="C30" s="47">
        <v>9</v>
      </c>
      <c r="D30" s="46">
        <v>2021</v>
      </c>
      <c r="E30" s="107"/>
      <c r="F30" s="48">
        <v>0.15</v>
      </c>
      <c r="G30" s="107"/>
      <c r="H30" s="48">
        <v>0.5927</v>
      </c>
      <c r="I30" s="65"/>
      <c r="J30" s="76">
        <v>1.133</v>
      </c>
      <c r="K30" s="108"/>
      <c r="L30" s="76"/>
      <c r="M30" s="72"/>
      <c r="N30" s="72"/>
      <c r="O30" s="72"/>
    </row>
    <row r="31" spans="1:15" ht="15" x14ac:dyDescent="0.25">
      <c r="A31" s="45" t="s">
        <v>9</v>
      </c>
      <c r="B31" s="46">
        <f t="shared" si="0"/>
        <v>30</v>
      </c>
      <c r="C31" s="47">
        <v>9</v>
      </c>
      <c r="D31" s="46">
        <v>2021</v>
      </c>
      <c r="E31" s="107"/>
      <c r="F31" s="48">
        <v>0.15</v>
      </c>
      <c r="G31" s="107"/>
      <c r="H31" s="48">
        <v>0.5927</v>
      </c>
      <c r="I31" s="65"/>
      <c r="J31" s="76">
        <v>1.133</v>
      </c>
      <c r="K31" s="108"/>
      <c r="L31" s="76"/>
      <c r="M31" s="72"/>
      <c r="N31" s="72"/>
      <c r="O31" s="72"/>
    </row>
    <row r="32" spans="1:15" ht="15" x14ac:dyDescent="0.25">
      <c r="A32" s="45" t="s">
        <v>9</v>
      </c>
      <c r="B32" s="46">
        <f t="shared" si="0"/>
        <v>31</v>
      </c>
      <c r="C32" s="47">
        <v>9</v>
      </c>
      <c r="D32" s="46">
        <v>2021</v>
      </c>
      <c r="E32" s="107"/>
      <c r="F32" s="48">
        <v>0.15</v>
      </c>
      <c r="G32" s="107"/>
      <c r="H32" s="48">
        <v>0.5927</v>
      </c>
      <c r="I32" s="65"/>
      <c r="J32" s="76">
        <v>1.133</v>
      </c>
      <c r="K32" s="108"/>
      <c r="L32" s="76"/>
      <c r="M32" s="72"/>
      <c r="N32" s="72"/>
      <c r="O32" s="72"/>
    </row>
    <row r="33" spans="1:15" ht="18.75" customHeight="1" x14ac:dyDescent="0.2">
      <c r="A33" s="112" t="s">
        <v>52</v>
      </c>
      <c r="B33" s="112"/>
      <c r="C33" s="112"/>
      <c r="D33" s="112"/>
      <c r="E33" s="101">
        <f>SUM(E2:E32)</f>
        <v>319549.99999999971</v>
      </c>
      <c r="F33" s="104">
        <v>0</v>
      </c>
      <c r="G33" s="101">
        <f>SUM(G2:G32)</f>
        <v>87412</v>
      </c>
      <c r="H33" s="102">
        <v>0</v>
      </c>
      <c r="I33" s="103">
        <f>SUM(I2:I32)</f>
        <v>3642</v>
      </c>
      <c r="J33" s="104">
        <v>0</v>
      </c>
      <c r="K33" s="105">
        <v>0</v>
      </c>
      <c r="L33" s="102">
        <v>0</v>
      </c>
      <c r="M33" s="106">
        <f t="shared" ref="M33:O33" si="1">SUM(M2:M32)</f>
        <v>277</v>
      </c>
      <c r="N33" s="106">
        <f t="shared" si="1"/>
        <v>625</v>
      </c>
      <c r="O33" s="106">
        <f t="shared" si="1"/>
        <v>1725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topLeftCell="B1" zoomScale="78" zoomScaleNormal="78" workbookViewId="0">
      <selection activeCell="V4" sqref="V4:X1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13" t="s">
        <v>10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77"/>
      <c r="V1" s="77"/>
    </row>
    <row r="2" spans="1:25" s="17" customFormat="1" ht="33" customHeight="1" x14ac:dyDescent="0.25">
      <c r="A2" s="29" t="s">
        <v>2</v>
      </c>
      <c r="B2" s="120" t="s">
        <v>127</v>
      </c>
      <c r="C2" s="120" t="s">
        <v>11</v>
      </c>
      <c r="D2" s="120" t="s">
        <v>12</v>
      </c>
      <c r="E2" s="120" t="s">
        <v>13</v>
      </c>
      <c r="F2" s="120" t="s">
        <v>14</v>
      </c>
      <c r="G2" s="115" t="s">
        <v>15</v>
      </c>
      <c r="H2" s="117" t="s">
        <v>16</v>
      </c>
      <c r="I2" s="120" t="s">
        <v>17</v>
      </c>
      <c r="J2" s="122" t="s">
        <v>18</v>
      </c>
      <c r="K2" s="123"/>
      <c r="L2" s="124"/>
      <c r="M2" s="115" t="s">
        <v>19</v>
      </c>
      <c r="N2" s="117" t="s">
        <v>20</v>
      </c>
      <c r="O2" s="118" t="s">
        <v>21</v>
      </c>
      <c r="P2" s="117" t="s">
        <v>22</v>
      </c>
      <c r="Q2" s="125" t="s">
        <v>23</v>
      </c>
      <c r="R2" s="120" t="s">
        <v>24</v>
      </c>
      <c r="S2" s="120" t="s">
        <v>25</v>
      </c>
      <c r="T2" s="120" t="s">
        <v>26</v>
      </c>
      <c r="V2" s="127" t="s">
        <v>6</v>
      </c>
      <c r="W2" s="127" t="s">
        <v>7</v>
      </c>
      <c r="X2" s="127" t="s">
        <v>8</v>
      </c>
    </row>
    <row r="3" spans="1:25" s="17" customFormat="1" ht="45" customHeight="1" x14ac:dyDescent="0.25">
      <c r="A3" s="30"/>
      <c r="B3" s="121"/>
      <c r="C3" s="121"/>
      <c r="D3" s="121"/>
      <c r="E3" s="121"/>
      <c r="F3" s="121"/>
      <c r="G3" s="116"/>
      <c r="H3" s="117"/>
      <c r="I3" s="121"/>
      <c r="J3" s="18" t="s">
        <v>27</v>
      </c>
      <c r="K3" s="18" t="s">
        <v>28</v>
      </c>
      <c r="L3" s="18" t="s">
        <v>29</v>
      </c>
      <c r="M3" s="116"/>
      <c r="N3" s="117"/>
      <c r="O3" s="119"/>
      <c r="P3" s="117"/>
      <c r="Q3" s="126"/>
      <c r="R3" s="121"/>
      <c r="S3" s="121"/>
      <c r="T3" s="121"/>
      <c r="V3" s="127"/>
      <c r="W3" s="127"/>
      <c r="X3" s="127"/>
    </row>
    <row r="4" spans="1:25" ht="21" customHeight="1" x14ac:dyDescent="0.25">
      <c r="A4" s="8">
        <v>44440</v>
      </c>
      <c r="B4" s="1">
        <v>1.0649999999999999</v>
      </c>
      <c r="C4" s="1">
        <v>244.76</v>
      </c>
      <c r="D4" s="1">
        <v>7626409.6399999997</v>
      </c>
      <c r="E4" s="1">
        <v>8383537.8399999999</v>
      </c>
      <c r="F4" s="1">
        <v>2.5285000000000002</v>
      </c>
      <c r="G4" s="1">
        <v>798.32</v>
      </c>
      <c r="H4" s="1">
        <v>653.78</v>
      </c>
      <c r="I4" s="1">
        <v>256.10000000000002</v>
      </c>
      <c r="J4" s="1">
        <v>333.2</v>
      </c>
      <c r="K4" s="1">
        <v>358.67</v>
      </c>
      <c r="L4" s="1">
        <v>246.58</v>
      </c>
      <c r="M4" s="1">
        <v>564.62</v>
      </c>
      <c r="N4" s="1">
        <v>517.91</v>
      </c>
      <c r="O4" s="1">
        <v>165.55</v>
      </c>
      <c r="P4" s="1">
        <v>682.28</v>
      </c>
      <c r="Q4" s="1">
        <v>503.9</v>
      </c>
      <c r="R4" s="1">
        <v>174.59</v>
      </c>
      <c r="S4" s="1">
        <v>122.74</v>
      </c>
      <c r="T4" s="1">
        <v>449.37</v>
      </c>
      <c r="V4" s="71">
        <v>13</v>
      </c>
      <c r="W4" s="71">
        <v>28</v>
      </c>
      <c r="X4" s="71">
        <v>98</v>
      </c>
      <c r="Y4" s="17"/>
    </row>
    <row r="5" spans="1:25" ht="21" customHeight="1" x14ac:dyDescent="0.25">
      <c r="A5" s="8">
        <v>44441</v>
      </c>
      <c r="B5" s="1">
        <v>1.0664</v>
      </c>
      <c r="C5" s="1">
        <v>245</v>
      </c>
      <c r="D5" s="1">
        <v>7628678.7800000003</v>
      </c>
      <c r="E5" s="1">
        <v>8386467.3300000001</v>
      </c>
      <c r="F5" s="1">
        <v>2.5308999999999999</v>
      </c>
      <c r="G5" s="1">
        <v>799.21</v>
      </c>
      <c r="H5" s="1">
        <v>654.44000000000005</v>
      </c>
      <c r="I5" s="1">
        <v>256.37</v>
      </c>
      <c r="J5" s="1">
        <v>333.41</v>
      </c>
      <c r="K5" s="1">
        <v>358.92</v>
      </c>
      <c r="L5" s="1">
        <v>246.78</v>
      </c>
      <c r="M5" s="1">
        <v>565.37</v>
      </c>
      <c r="N5" s="1">
        <v>518.91</v>
      </c>
      <c r="O5" s="1">
        <v>165.77</v>
      </c>
      <c r="P5" s="1">
        <v>683.3</v>
      </c>
      <c r="Q5" s="1">
        <v>504.56</v>
      </c>
      <c r="R5" s="1">
        <v>174.86</v>
      </c>
      <c r="S5" s="1">
        <v>122.86</v>
      </c>
      <c r="T5" s="1">
        <v>449.85</v>
      </c>
      <c r="V5" s="71">
        <v>11</v>
      </c>
      <c r="W5" s="71">
        <v>27</v>
      </c>
      <c r="X5" s="71">
        <v>73</v>
      </c>
      <c r="Y5" s="17"/>
    </row>
    <row r="6" spans="1:25" ht="21" customHeight="1" x14ac:dyDescent="0.25">
      <c r="A6" s="8">
        <v>44442</v>
      </c>
      <c r="B6" s="1">
        <v>1.0678000000000001</v>
      </c>
      <c r="C6" s="1">
        <v>245.24</v>
      </c>
      <c r="D6" s="1">
        <v>7630883.0599999996</v>
      </c>
      <c r="E6" s="1">
        <v>8388910.4299999997</v>
      </c>
      <c r="F6" s="1">
        <v>2.5331999999999999</v>
      </c>
      <c r="G6" s="1">
        <v>800.01</v>
      </c>
      <c r="H6" s="1">
        <v>655.1</v>
      </c>
      <c r="I6" s="1">
        <v>256.63</v>
      </c>
      <c r="J6" s="1">
        <v>333.62</v>
      </c>
      <c r="K6" s="1">
        <v>359.11</v>
      </c>
      <c r="L6" s="1">
        <v>246.95</v>
      </c>
      <c r="M6" s="1">
        <v>566.19000000000005</v>
      </c>
      <c r="N6" s="1">
        <v>519.08000000000004</v>
      </c>
      <c r="O6" s="1">
        <v>165.99</v>
      </c>
      <c r="P6" s="1">
        <v>684.27</v>
      </c>
      <c r="Q6" s="1">
        <v>505.23</v>
      </c>
      <c r="R6" s="1">
        <v>175.12</v>
      </c>
      <c r="S6" s="1">
        <v>122.98</v>
      </c>
      <c r="T6" s="1">
        <v>450.3</v>
      </c>
      <c r="V6" s="71">
        <v>15</v>
      </c>
      <c r="W6" s="71">
        <v>32</v>
      </c>
      <c r="X6" s="71">
        <v>94</v>
      </c>
      <c r="Y6" s="17"/>
    </row>
    <row r="7" spans="1:25" ht="21" customHeight="1" x14ac:dyDescent="0.25">
      <c r="A7" s="8">
        <v>44443</v>
      </c>
      <c r="B7" s="1">
        <v>1.0691999999999999</v>
      </c>
      <c r="C7" s="1">
        <v>245.49</v>
      </c>
      <c r="D7" s="109">
        <v>7633018.3300000001</v>
      </c>
      <c r="E7" s="1">
        <v>8391629.1500000004</v>
      </c>
      <c r="F7" s="1">
        <v>2.5356000000000001</v>
      </c>
      <c r="G7" s="1">
        <v>800.83</v>
      </c>
      <c r="H7" s="1">
        <v>655.77</v>
      </c>
      <c r="I7" s="1">
        <v>256.89</v>
      </c>
      <c r="J7" s="1">
        <v>333.8</v>
      </c>
      <c r="K7" s="1">
        <v>359.34</v>
      </c>
      <c r="L7" s="1">
        <v>247.11</v>
      </c>
      <c r="M7" s="1">
        <v>567.02</v>
      </c>
      <c r="N7" s="1">
        <v>519.64</v>
      </c>
      <c r="O7" s="1">
        <v>166.22</v>
      </c>
      <c r="P7" s="1">
        <v>685.22</v>
      </c>
      <c r="Q7" s="1">
        <v>505.9</v>
      </c>
      <c r="R7" s="1">
        <v>175.35</v>
      </c>
      <c r="S7" s="1">
        <v>123.09</v>
      </c>
      <c r="T7" s="1">
        <v>450.59</v>
      </c>
      <c r="V7" s="71">
        <v>17</v>
      </c>
      <c r="W7" s="71">
        <v>36</v>
      </c>
      <c r="X7" s="71">
        <v>98</v>
      </c>
      <c r="Y7" s="17"/>
    </row>
    <row r="8" spans="1:25" ht="21" customHeight="1" x14ac:dyDescent="0.25">
      <c r="A8" s="8">
        <v>44444</v>
      </c>
      <c r="B8" s="1">
        <v>1.0705</v>
      </c>
      <c r="C8" s="1">
        <v>245.72</v>
      </c>
      <c r="D8" s="1">
        <v>7635196.2300000004</v>
      </c>
      <c r="E8" s="1">
        <v>8394468.1300000008</v>
      </c>
      <c r="F8" s="1">
        <v>2.5379</v>
      </c>
      <c r="G8" s="1">
        <v>801.63</v>
      </c>
      <c r="H8" s="1">
        <v>656.41</v>
      </c>
      <c r="I8" s="1">
        <v>257.14999999999998</v>
      </c>
      <c r="J8" s="1">
        <v>333.95</v>
      </c>
      <c r="K8" s="1">
        <v>359.54</v>
      </c>
      <c r="L8" s="1">
        <v>247.29</v>
      </c>
      <c r="M8" s="1">
        <v>567.79999999999995</v>
      </c>
      <c r="N8" s="1">
        <v>520.19000000000005</v>
      </c>
      <c r="O8" s="1">
        <v>166.45</v>
      </c>
      <c r="P8" s="1">
        <v>686.19</v>
      </c>
      <c r="Q8" s="1">
        <v>506.61</v>
      </c>
      <c r="R8" s="1">
        <v>175.59</v>
      </c>
      <c r="S8" s="1">
        <v>123.21</v>
      </c>
      <c r="T8" s="1">
        <v>451.06</v>
      </c>
      <c r="V8" s="71">
        <v>16</v>
      </c>
      <c r="W8" s="71">
        <v>35</v>
      </c>
      <c r="X8" s="71">
        <v>89</v>
      </c>
      <c r="Y8" s="17"/>
    </row>
    <row r="9" spans="1:25" ht="21" customHeight="1" x14ac:dyDescent="0.25">
      <c r="A9" s="8">
        <v>44445</v>
      </c>
      <c r="B9" s="111">
        <v>1.0720000000000001</v>
      </c>
      <c r="C9" s="15">
        <v>245.94</v>
      </c>
      <c r="D9" s="111">
        <v>7637500.6900000004</v>
      </c>
      <c r="E9" s="111">
        <v>8397423.4499999993</v>
      </c>
      <c r="F9" s="15">
        <v>2.5402</v>
      </c>
      <c r="G9" s="111">
        <v>802.54</v>
      </c>
      <c r="H9" s="111">
        <v>657.02</v>
      </c>
      <c r="I9" s="111">
        <v>257.44</v>
      </c>
      <c r="J9" s="1">
        <v>334.08</v>
      </c>
      <c r="K9" s="1">
        <v>359.76</v>
      </c>
      <c r="L9" s="1">
        <v>247.47</v>
      </c>
      <c r="M9" s="1">
        <v>568.71</v>
      </c>
      <c r="N9" s="1">
        <v>520.77</v>
      </c>
      <c r="O9" s="1">
        <v>166.68</v>
      </c>
      <c r="P9" s="1">
        <v>687.18</v>
      </c>
      <c r="Q9" s="1">
        <v>507.39</v>
      </c>
      <c r="R9" s="1">
        <v>175.82</v>
      </c>
      <c r="S9" s="1">
        <v>123.32</v>
      </c>
      <c r="T9" s="1">
        <v>451.55</v>
      </c>
      <c r="V9" s="71">
        <v>21</v>
      </c>
      <c r="W9" s="71">
        <v>45</v>
      </c>
      <c r="X9" s="71">
        <v>124</v>
      </c>
      <c r="Y9" s="17"/>
    </row>
    <row r="10" spans="1:25" ht="21" customHeight="1" x14ac:dyDescent="0.25">
      <c r="A10" s="8">
        <v>44446</v>
      </c>
      <c r="B10" s="1">
        <v>1.0733999999999999</v>
      </c>
      <c r="C10" s="1">
        <v>246.19</v>
      </c>
      <c r="D10" s="1">
        <v>7639716.29</v>
      </c>
      <c r="E10" s="1">
        <v>8400214.1500000004</v>
      </c>
      <c r="F10" s="1">
        <v>2.5426000000000002</v>
      </c>
      <c r="G10" s="1">
        <v>803.44</v>
      </c>
      <c r="H10" s="1">
        <v>657.63</v>
      </c>
      <c r="I10" s="1">
        <v>257.70999999999998</v>
      </c>
      <c r="J10" s="1">
        <v>334.36</v>
      </c>
      <c r="K10" s="1">
        <v>359.97</v>
      </c>
      <c r="L10" s="1">
        <v>247.68</v>
      </c>
      <c r="M10" s="1">
        <v>569.54</v>
      </c>
      <c r="N10" s="1">
        <v>521.34</v>
      </c>
      <c r="O10" s="1">
        <v>166.93</v>
      </c>
      <c r="P10" s="1">
        <v>688.13</v>
      </c>
      <c r="Q10" s="1">
        <v>508.05</v>
      </c>
      <c r="R10" s="1">
        <v>176.06</v>
      </c>
      <c r="S10" s="1">
        <v>123.45</v>
      </c>
      <c r="T10" s="1">
        <v>452.01</v>
      </c>
      <c r="V10" s="71">
        <v>21</v>
      </c>
      <c r="W10" s="71">
        <v>47</v>
      </c>
      <c r="X10" s="71">
        <v>123</v>
      </c>
      <c r="Y10" s="17"/>
    </row>
    <row r="11" spans="1:25" ht="21" customHeight="1" x14ac:dyDescent="0.25">
      <c r="A11" s="8">
        <v>44447</v>
      </c>
      <c r="B11" s="1">
        <v>1.0748</v>
      </c>
      <c r="C11" s="1">
        <v>246.43</v>
      </c>
      <c r="D11" s="1">
        <v>7641974.4800000004</v>
      </c>
      <c r="E11" s="1">
        <v>8403004.0899999999</v>
      </c>
      <c r="F11" s="1">
        <v>2.5449000000000002</v>
      </c>
      <c r="G11" s="1">
        <v>804.29</v>
      </c>
      <c r="H11" s="1">
        <v>658.16</v>
      </c>
      <c r="I11" s="1">
        <v>257.98</v>
      </c>
      <c r="J11" s="1">
        <v>334.58</v>
      </c>
      <c r="K11" s="1">
        <v>360.22</v>
      </c>
      <c r="L11" s="1">
        <v>247.88</v>
      </c>
      <c r="M11" s="1">
        <v>570.35</v>
      </c>
      <c r="N11" s="1">
        <v>521.89</v>
      </c>
      <c r="O11" s="1">
        <v>167.11</v>
      </c>
      <c r="P11" s="1">
        <v>689.07</v>
      </c>
      <c r="Q11" s="1">
        <v>508.7</v>
      </c>
      <c r="R11" s="1">
        <v>176.31</v>
      </c>
      <c r="S11" s="1">
        <v>123.57</v>
      </c>
      <c r="T11" s="1">
        <v>452.48</v>
      </c>
      <c r="V11" s="71">
        <v>21</v>
      </c>
      <c r="W11" s="71">
        <v>46</v>
      </c>
      <c r="X11" s="71">
        <v>136</v>
      </c>
      <c r="Y11" s="17"/>
    </row>
    <row r="12" spans="1:25" ht="21" customHeight="1" x14ac:dyDescent="0.25">
      <c r="A12" s="8">
        <v>44448</v>
      </c>
      <c r="B12" s="1">
        <v>1.0762</v>
      </c>
      <c r="C12" s="1">
        <v>246.66</v>
      </c>
      <c r="D12" s="1">
        <v>7644181.9900000002</v>
      </c>
      <c r="E12" s="1">
        <v>8405554.1300000008</v>
      </c>
      <c r="F12" s="1">
        <v>2.5472999999999999</v>
      </c>
      <c r="G12" s="1">
        <v>805.07</v>
      </c>
      <c r="H12" s="1">
        <v>658.7</v>
      </c>
      <c r="I12" s="1">
        <v>258.26</v>
      </c>
      <c r="J12" s="1">
        <v>334.77</v>
      </c>
      <c r="K12" s="1">
        <v>360.46</v>
      </c>
      <c r="L12" s="1">
        <v>248.11</v>
      </c>
      <c r="M12" s="1">
        <v>571.16</v>
      </c>
      <c r="N12" s="1">
        <v>522.61</v>
      </c>
      <c r="O12" s="1">
        <v>167.31</v>
      </c>
      <c r="P12" s="1">
        <v>689.85</v>
      </c>
      <c r="Q12" s="1">
        <v>509.34</v>
      </c>
      <c r="R12" s="1">
        <v>176.55</v>
      </c>
      <c r="S12" s="1">
        <v>123.69</v>
      </c>
      <c r="T12" s="1">
        <v>452.94</v>
      </c>
      <c r="V12" s="71">
        <v>23</v>
      </c>
      <c r="W12" s="71">
        <v>52</v>
      </c>
      <c r="X12" s="71">
        <v>133</v>
      </c>
      <c r="Y12" s="17"/>
    </row>
    <row r="13" spans="1:25" ht="21" customHeight="1" x14ac:dyDescent="0.25">
      <c r="A13" s="8">
        <v>44449</v>
      </c>
      <c r="B13" s="1">
        <v>1.0777000000000001</v>
      </c>
      <c r="C13" s="1">
        <v>246.92</v>
      </c>
      <c r="D13" s="1">
        <v>7646468.4500000002</v>
      </c>
      <c r="E13" s="1">
        <v>8408231.3599999994</v>
      </c>
      <c r="F13" s="1">
        <v>2.5497000000000001</v>
      </c>
      <c r="G13" s="1">
        <v>805.87</v>
      </c>
      <c r="H13" s="1">
        <v>659.26</v>
      </c>
      <c r="I13" s="1">
        <v>258.52</v>
      </c>
      <c r="J13" s="1">
        <v>334.96</v>
      </c>
      <c r="K13" s="1">
        <v>360.69</v>
      </c>
      <c r="L13" s="1">
        <v>248.33</v>
      </c>
      <c r="M13" s="1">
        <v>571.95000000000005</v>
      </c>
      <c r="N13" s="1">
        <v>523.33000000000004</v>
      </c>
      <c r="O13" s="1">
        <v>167.5</v>
      </c>
      <c r="P13" s="1">
        <v>690.65</v>
      </c>
      <c r="Q13" s="1">
        <v>510.02</v>
      </c>
      <c r="R13" s="1">
        <v>176.77</v>
      </c>
      <c r="S13" s="1">
        <v>123.8</v>
      </c>
      <c r="T13" s="1">
        <v>453.44</v>
      </c>
      <c r="V13" s="71">
        <v>23</v>
      </c>
      <c r="W13" s="71">
        <v>54</v>
      </c>
      <c r="X13" s="71">
        <v>150</v>
      </c>
      <c r="Y13" s="17"/>
    </row>
    <row r="14" spans="1:25" ht="21" customHeight="1" x14ac:dyDescent="0.25">
      <c r="A14" s="8">
        <v>44450</v>
      </c>
      <c r="B14" s="1">
        <v>1.0790999999999999</v>
      </c>
      <c r="C14" s="1">
        <v>247.17</v>
      </c>
      <c r="D14" s="1">
        <v>7648859.3099999996</v>
      </c>
      <c r="E14" s="1">
        <v>8410781.4199999999</v>
      </c>
      <c r="F14" s="1">
        <v>2.5522</v>
      </c>
      <c r="G14" s="1">
        <v>806.67</v>
      </c>
      <c r="H14" s="1">
        <v>659.91</v>
      </c>
      <c r="I14" s="1">
        <v>258.79000000000002</v>
      </c>
      <c r="J14" s="1">
        <v>335.23</v>
      </c>
      <c r="K14" s="1">
        <v>360.96</v>
      </c>
      <c r="L14" s="1">
        <v>248.51</v>
      </c>
      <c r="M14" s="1">
        <v>572.75</v>
      </c>
      <c r="N14" s="1">
        <v>524.16</v>
      </c>
      <c r="O14" s="1">
        <v>167.7</v>
      </c>
      <c r="P14" s="1">
        <v>691.49</v>
      </c>
      <c r="Q14" s="1">
        <v>510.7</v>
      </c>
      <c r="R14" s="1">
        <v>177.01</v>
      </c>
      <c r="S14" s="1">
        <v>123.92</v>
      </c>
      <c r="T14" s="1">
        <v>453.76</v>
      </c>
      <c r="V14" s="71">
        <v>24</v>
      </c>
      <c r="W14" s="71">
        <v>55</v>
      </c>
      <c r="X14" s="71">
        <v>156</v>
      </c>
      <c r="Y14" s="17"/>
    </row>
    <row r="15" spans="1:25" ht="21" customHeight="1" x14ac:dyDescent="0.25">
      <c r="A15" s="8">
        <v>44451</v>
      </c>
      <c r="B15" s="1">
        <v>1.0805</v>
      </c>
      <c r="C15" s="1">
        <v>247.41</v>
      </c>
      <c r="D15" s="1">
        <v>7651139.1100000003</v>
      </c>
      <c r="E15" s="1">
        <v>8413411.3499999996</v>
      </c>
      <c r="F15" s="1">
        <v>2.5547</v>
      </c>
      <c r="G15" s="1">
        <v>807.48</v>
      </c>
      <c r="H15" s="1">
        <v>660.62</v>
      </c>
      <c r="I15" s="1">
        <v>259.08999999999997</v>
      </c>
      <c r="J15" s="1">
        <v>335.46</v>
      </c>
      <c r="K15" s="1">
        <v>361.27</v>
      </c>
      <c r="L15" s="1">
        <v>248.72</v>
      </c>
      <c r="M15" s="1">
        <v>573.61</v>
      </c>
      <c r="N15" s="1">
        <v>524.95000000000005</v>
      </c>
      <c r="O15" s="1">
        <v>167.88</v>
      </c>
      <c r="P15" s="1">
        <v>692.41</v>
      </c>
      <c r="Q15" s="1">
        <v>511.38</v>
      </c>
      <c r="R15" s="1">
        <v>177.26</v>
      </c>
      <c r="S15" s="1">
        <v>124.04</v>
      </c>
      <c r="T15" s="1">
        <v>454.25</v>
      </c>
      <c r="V15" s="71">
        <v>22</v>
      </c>
      <c r="W15" s="71">
        <v>49</v>
      </c>
      <c r="X15" s="71">
        <v>152</v>
      </c>
      <c r="Y15" s="17"/>
    </row>
    <row r="16" spans="1:25" ht="21" customHeight="1" x14ac:dyDescent="0.25">
      <c r="A16" s="8">
        <v>44452</v>
      </c>
      <c r="B16" s="1">
        <v>1.0819000000000001</v>
      </c>
      <c r="C16" s="1">
        <v>247.63</v>
      </c>
      <c r="D16" s="1">
        <v>7653347.8200000003</v>
      </c>
      <c r="E16" s="1">
        <v>8415883.4000000004</v>
      </c>
      <c r="F16" s="1">
        <v>2.5569999999999999</v>
      </c>
      <c r="G16" s="1">
        <v>808.31</v>
      </c>
      <c r="H16" s="1">
        <v>661.18</v>
      </c>
      <c r="I16" s="1">
        <v>259.36</v>
      </c>
      <c r="J16" s="1">
        <v>335.65</v>
      </c>
      <c r="K16" s="1">
        <v>361.47</v>
      </c>
      <c r="L16" s="1">
        <v>248.92</v>
      </c>
      <c r="M16" s="1">
        <v>574.41999999999996</v>
      </c>
      <c r="N16" s="1">
        <v>525.72</v>
      </c>
      <c r="O16" s="1">
        <v>168.1</v>
      </c>
      <c r="P16" s="1">
        <v>693.21</v>
      </c>
      <c r="Q16" s="1">
        <v>511.98</v>
      </c>
      <c r="R16" s="1">
        <v>177.48</v>
      </c>
      <c r="S16" s="1">
        <v>124.15</v>
      </c>
      <c r="T16" s="1">
        <v>454.75</v>
      </c>
      <c r="V16" s="71">
        <v>16</v>
      </c>
      <c r="W16" s="71">
        <v>37</v>
      </c>
      <c r="X16" s="71">
        <v>114</v>
      </c>
      <c r="Y16" s="17"/>
    </row>
    <row r="17" spans="1:25" ht="21" customHeight="1" x14ac:dyDescent="0.25">
      <c r="A17" s="8">
        <v>44453</v>
      </c>
      <c r="B17" s="1">
        <v>1.0833999999999999</v>
      </c>
      <c r="C17" s="1">
        <v>247.84</v>
      </c>
      <c r="D17" s="1">
        <v>7655623.9699999997</v>
      </c>
      <c r="E17" s="1">
        <v>8418323.8000000007</v>
      </c>
      <c r="F17" s="1">
        <v>2.5594000000000001</v>
      </c>
      <c r="G17" s="1">
        <v>809.07</v>
      </c>
      <c r="H17" s="1">
        <v>661.78</v>
      </c>
      <c r="I17" s="1">
        <v>259.63</v>
      </c>
      <c r="J17" s="1">
        <v>335.95</v>
      </c>
      <c r="K17" s="1">
        <v>361.75</v>
      </c>
      <c r="L17" s="1">
        <v>249.12</v>
      </c>
      <c r="M17" s="1">
        <v>575.29</v>
      </c>
      <c r="N17" s="1">
        <v>526.52</v>
      </c>
      <c r="O17" s="1">
        <v>168.3</v>
      </c>
      <c r="P17" s="1">
        <v>693.97</v>
      </c>
      <c r="Q17" s="1">
        <v>512.66999999999996</v>
      </c>
      <c r="R17" s="1">
        <v>177.72</v>
      </c>
      <c r="S17" s="1">
        <v>124.27</v>
      </c>
      <c r="T17" s="1">
        <v>455.24</v>
      </c>
      <c r="V17" s="71">
        <v>15</v>
      </c>
      <c r="W17" s="71">
        <v>34</v>
      </c>
      <c r="X17" s="71">
        <v>87</v>
      </c>
      <c r="Y17" s="17"/>
    </row>
    <row r="18" spans="1:25" ht="21" customHeight="1" x14ac:dyDescent="0.25">
      <c r="A18" s="8">
        <v>44454</v>
      </c>
      <c r="B18" s="1">
        <v>1.0849</v>
      </c>
      <c r="C18" s="1">
        <v>248.09</v>
      </c>
      <c r="D18" s="1">
        <v>7658014.9500000002</v>
      </c>
      <c r="E18" s="1">
        <v>8421082.3499999996</v>
      </c>
      <c r="F18" s="1">
        <v>2.5617999999999999</v>
      </c>
      <c r="G18" s="1">
        <v>809.81</v>
      </c>
      <c r="H18" s="1">
        <v>662.33</v>
      </c>
      <c r="I18" s="1">
        <v>259.92</v>
      </c>
      <c r="J18" s="1">
        <v>336.21</v>
      </c>
      <c r="K18" s="1">
        <v>362.07</v>
      </c>
      <c r="L18" s="1">
        <v>249.29</v>
      </c>
      <c r="M18" s="1">
        <v>576.08000000000004</v>
      </c>
      <c r="N18" s="1">
        <v>527.35</v>
      </c>
      <c r="O18" s="1">
        <v>168.48</v>
      </c>
      <c r="P18" s="1">
        <v>694.76</v>
      </c>
      <c r="Q18" s="1">
        <v>513.35</v>
      </c>
      <c r="R18" s="1">
        <v>177.96</v>
      </c>
      <c r="S18" s="1">
        <v>124.4</v>
      </c>
      <c r="T18" s="1">
        <v>455.75</v>
      </c>
      <c r="V18" s="71">
        <v>19</v>
      </c>
      <c r="W18" s="71">
        <v>48</v>
      </c>
      <c r="X18" s="71">
        <v>98</v>
      </c>
      <c r="Y18" s="17"/>
    </row>
    <row r="19" spans="1:25" ht="21" customHeight="1" x14ac:dyDescent="0.25">
      <c r="A19" s="8">
        <v>44455</v>
      </c>
      <c r="B19" s="1">
        <v>1.0860000000000001</v>
      </c>
      <c r="C19" s="1">
        <v>248.33</v>
      </c>
      <c r="D19" s="1">
        <v>7659904.0800000001</v>
      </c>
      <c r="E19" s="1">
        <v>8423172.3599999994</v>
      </c>
      <c r="F19" s="1">
        <v>2.5642</v>
      </c>
      <c r="G19" s="1">
        <v>810.42</v>
      </c>
      <c r="H19" s="1">
        <v>662.75</v>
      </c>
      <c r="I19" s="1">
        <v>260.16000000000003</v>
      </c>
      <c r="J19" s="1">
        <v>336.47</v>
      </c>
      <c r="K19" s="1">
        <v>362.3</v>
      </c>
      <c r="L19" s="1">
        <v>249.51</v>
      </c>
      <c r="M19" s="1">
        <v>576.67999999999995</v>
      </c>
      <c r="N19" s="1">
        <v>527.91</v>
      </c>
      <c r="O19" s="1">
        <v>168.66</v>
      </c>
      <c r="P19" s="1">
        <v>695.48</v>
      </c>
      <c r="Q19" s="1">
        <v>513.9</v>
      </c>
      <c r="R19" s="1">
        <v>178.2</v>
      </c>
      <c r="S19" s="1">
        <v>124.52</v>
      </c>
      <c r="T19" s="1">
        <v>456.25</v>
      </c>
      <c r="V19" s="71"/>
      <c r="W19" s="71"/>
      <c r="X19" s="71"/>
      <c r="Y19" s="17"/>
    </row>
    <row r="20" spans="1:25" ht="21" customHeight="1" x14ac:dyDescent="0.25">
      <c r="A20" s="8">
        <v>44456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V20" s="71"/>
      <c r="W20" s="71"/>
      <c r="X20" s="71"/>
      <c r="Y20" s="17"/>
    </row>
    <row r="21" spans="1:25" ht="21" customHeight="1" x14ac:dyDescent="0.25">
      <c r="A21" s="8">
        <v>44457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V21" s="71"/>
      <c r="W21" s="71"/>
      <c r="X21" s="71"/>
      <c r="Y21" s="17"/>
    </row>
    <row r="22" spans="1:25" ht="21" customHeight="1" x14ac:dyDescent="0.25">
      <c r="A22" s="8">
        <v>44458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28"/>
      <c r="S22" s="28"/>
      <c r="T22" s="1"/>
      <c r="V22" s="71"/>
      <c r="W22" s="71"/>
      <c r="X22" s="71"/>
      <c r="Y22" s="17"/>
    </row>
    <row r="23" spans="1:25" ht="21" customHeight="1" x14ac:dyDescent="0.25">
      <c r="A23" s="8">
        <v>44459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V23" s="71"/>
      <c r="W23" s="71"/>
      <c r="X23" s="71"/>
      <c r="Y23" s="17"/>
    </row>
    <row r="24" spans="1:25" ht="21" customHeight="1" x14ac:dyDescent="0.25">
      <c r="A24" s="8">
        <v>44460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V24" s="71"/>
      <c r="W24" s="71"/>
      <c r="X24" s="71"/>
      <c r="Y24" s="17"/>
    </row>
    <row r="25" spans="1:25" ht="21" customHeight="1" x14ac:dyDescent="0.25">
      <c r="A25" s="8">
        <v>44461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V25" s="71"/>
      <c r="W25" s="71"/>
      <c r="X25" s="71"/>
      <c r="Y25" s="17"/>
    </row>
    <row r="26" spans="1:25" ht="21" customHeight="1" x14ac:dyDescent="0.25">
      <c r="A26" s="8">
        <v>44462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V26" s="71"/>
      <c r="W26" s="71"/>
      <c r="X26" s="71"/>
      <c r="Y26" s="17"/>
    </row>
    <row r="27" spans="1:25" ht="21" customHeight="1" x14ac:dyDescent="0.25">
      <c r="A27" s="8">
        <v>44463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V27" s="71"/>
      <c r="W27" s="71"/>
      <c r="X27" s="71"/>
      <c r="Y27" s="17"/>
    </row>
    <row r="28" spans="1:25" ht="21" customHeight="1" x14ac:dyDescent="0.25">
      <c r="A28" s="8">
        <v>44464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V28" s="71"/>
      <c r="W28" s="71"/>
      <c r="X28" s="71"/>
      <c r="Y28" s="17"/>
    </row>
    <row r="29" spans="1:25" ht="21" customHeight="1" x14ac:dyDescent="0.25">
      <c r="A29" s="8">
        <v>44465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V29" s="71"/>
      <c r="W29" s="71"/>
      <c r="X29" s="71"/>
      <c r="Y29" s="17"/>
    </row>
    <row r="30" spans="1:25" ht="21" customHeight="1" x14ac:dyDescent="0.25">
      <c r="A30" s="8">
        <v>44466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V30" s="71"/>
      <c r="W30" s="71"/>
      <c r="X30" s="71"/>
      <c r="Y30" s="17"/>
    </row>
    <row r="31" spans="1:25" ht="21" customHeight="1" x14ac:dyDescent="0.25">
      <c r="A31" s="8">
        <v>44467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V31" s="71"/>
      <c r="W31" s="71"/>
      <c r="X31" s="71"/>
      <c r="Y31" s="17"/>
    </row>
    <row r="32" spans="1:25" ht="21" customHeight="1" x14ac:dyDescent="0.25">
      <c r="A32" s="8">
        <v>44468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V32" s="71"/>
      <c r="W32" s="71"/>
      <c r="X32" s="71"/>
      <c r="Y32" s="17"/>
    </row>
    <row r="33" spans="1:25" ht="19.5" customHeight="1" x14ac:dyDescent="0.25">
      <c r="A33" s="8">
        <v>44469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V33" s="71"/>
      <c r="W33" s="71"/>
      <c r="X33" s="71"/>
      <c r="Y33" s="17"/>
    </row>
    <row r="34" spans="1:25" ht="19.5" customHeight="1" x14ac:dyDescent="0.25">
      <c r="A34" s="8">
        <v>44470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71"/>
      <c r="W34" s="71"/>
      <c r="X34" s="71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8">
        <f>SUM(V4:V34)</f>
        <v>277</v>
      </c>
      <c r="W35" s="78">
        <f>SUM(W4:W34)</f>
        <v>625</v>
      </c>
      <c r="X35" s="78">
        <f>SUM(X4:X34)</f>
        <v>1725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K4" activePane="bottomRight" state="frozen"/>
      <selection pane="topRight" activeCell="C1" sqref="C1"/>
      <selection pane="bottomLeft" activeCell="A4" sqref="A4"/>
      <selection pane="bottomRight" activeCell="Q42" sqref="Q42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18" t="s">
        <v>31</v>
      </c>
      <c r="B2" s="120" t="s">
        <v>32</v>
      </c>
      <c r="C2" s="120" t="s">
        <v>33</v>
      </c>
      <c r="D2" s="120" t="s">
        <v>119</v>
      </c>
      <c r="E2" s="118" t="s">
        <v>34</v>
      </c>
      <c r="F2" s="128" t="s">
        <v>35</v>
      </c>
      <c r="G2" s="129"/>
      <c r="H2" s="130"/>
      <c r="I2" s="131" t="s">
        <v>36</v>
      </c>
      <c r="J2" s="131" t="s">
        <v>37</v>
      </c>
      <c r="K2" s="131" t="s">
        <v>38</v>
      </c>
      <c r="L2" s="131" t="s">
        <v>39</v>
      </c>
      <c r="M2" s="132" t="s">
        <v>40</v>
      </c>
      <c r="N2" s="132"/>
      <c r="O2" s="132"/>
      <c r="P2" s="132"/>
      <c r="Q2" s="132"/>
      <c r="R2" s="132"/>
      <c r="S2" s="131" t="s">
        <v>41</v>
      </c>
      <c r="T2" s="131"/>
      <c r="U2" s="133" t="s">
        <v>42</v>
      </c>
      <c r="V2" s="131" t="s">
        <v>43</v>
      </c>
    </row>
    <row r="3" spans="1:22" x14ac:dyDescent="0.25">
      <c r="A3" s="119"/>
      <c r="B3" s="121"/>
      <c r="C3" s="121"/>
      <c r="D3" s="121"/>
      <c r="E3" s="119"/>
      <c r="F3" s="6" t="s">
        <v>27</v>
      </c>
      <c r="G3" s="6" t="s">
        <v>28</v>
      </c>
      <c r="H3" s="6" t="s">
        <v>29</v>
      </c>
      <c r="I3" s="131"/>
      <c r="J3" s="131"/>
      <c r="K3" s="131"/>
      <c r="L3" s="131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33"/>
      <c r="V3" s="131"/>
    </row>
    <row r="4" spans="1:22" x14ac:dyDescent="0.25">
      <c r="A4" s="3">
        <f>'Kwh Reading'!A4</f>
        <v>44440</v>
      </c>
      <c r="B4" s="26">
        <v>25520</v>
      </c>
      <c r="C4" s="4">
        <f>('Kwh Reading'!T5-'Kwh Reading'!T4)*1000</f>
        <v>480.00000000001819</v>
      </c>
      <c r="D4" s="2">
        <f>('Kwh Reading'!F5-'Kwh Reading'!F4)*1000000</f>
        <v>2399.9999999997358</v>
      </c>
      <c r="E4" s="2">
        <f>('Kwh Reading'!C5-'Kwh Reading'!C4)*1000</f>
        <v>240.00000000000909</v>
      </c>
      <c r="F4" s="2">
        <f>('Kwh Reading'!J5-'Kwh Reading'!J4)*1000</f>
        <v>210.00000000003638</v>
      </c>
      <c r="G4" s="2">
        <f>('Kwh Reading'!K5-'Kwh Reading'!K4)*1000</f>
        <v>250</v>
      </c>
      <c r="H4" s="2">
        <f>('Kwh Reading'!L5-'Kwh Reading'!L4)*1000</f>
        <v>199.99999999998863</v>
      </c>
      <c r="I4" s="2">
        <f>('Kwh Reading'!R5-'Kwh Reading'!R4)*1000</f>
        <v>270.00000000001023</v>
      </c>
      <c r="J4" s="2">
        <f>('Kwh Reading'!S5-'Kwh Reading'!S4)*1000</f>
        <v>120.00000000000455</v>
      </c>
      <c r="K4" s="2">
        <f>('Kwh Reading'!I5-'Kwh Reading'!I4)*1000</f>
        <v>269.99999999998181</v>
      </c>
      <c r="L4" s="2">
        <f>('Kwh Reading'!B5-'Kwh Reading'!B4)*1000000</f>
        <v>1400.0000000000678</v>
      </c>
      <c r="M4" s="2">
        <f>('Kwh Reading'!M5-'Kwh Reading'!M4)*1000</f>
        <v>750</v>
      </c>
      <c r="N4" s="2">
        <f>('Kwh Reading'!H5-'Kwh Reading'!H4)*1000</f>
        <v>660.00000000008185</v>
      </c>
      <c r="O4" s="2">
        <f>('Kwh Reading'!P5-'Kwh Reading'!P4)*1000</f>
        <v>1019.9999999999818</v>
      </c>
      <c r="P4" s="2">
        <f>('Kwh Reading'!G5-'Kwh Reading'!G4)*1000</f>
        <v>889.99999999998636</v>
      </c>
      <c r="Q4" s="2">
        <f>('Kwh Reading'!Q5-'Kwh Reading'!Q4)*1000</f>
        <v>660.00000000002501</v>
      </c>
      <c r="R4" s="2">
        <f>('Kwh Reading'!N5-'Kwh Reading'!N4)*1000</f>
        <v>1000</v>
      </c>
      <c r="S4" s="2">
        <f>'Kwh Reading'!E5-'Kwh Reading'!E4</f>
        <v>2929.4900000002235</v>
      </c>
      <c r="T4" s="2">
        <f>'Kwh Reading'!D5-'Kwh Reading'!D4</f>
        <v>2269.140000000596</v>
      </c>
      <c r="U4" s="27">
        <f>('Kwh Reading'!O5-'Kwh Reading'!O4)*1000</f>
        <v>219.99999999999886</v>
      </c>
      <c r="V4" s="16">
        <f>B4-(SUM(C4:U4))</f>
        <v>9281.369999999255</v>
      </c>
    </row>
    <row r="5" spans="1:22" x14ac:dyDescent="0.25">
      <c r="A5" s="3">
        <f>'Kwh Reading'!A5</f>
        <v>44441</v>
      </c>
      <c r="B5" s="26">
        <f>TOTAL!E3</f>
        <v>21189.999999998465</v>
      </c>
      <c r="C5" s="4">
        <f>('Kwh Reading'!T6-'Kwh Reading'!T5)*1000</f>
        <v>449.99999999998863</v>
      </c>
      <c r="D5" s="2">
        <f>('Kwh Reading'!F6-'Kwh Reading'!F5)*1000000</f>
        <v>2299.9999999999686</v>
      </c>
      <c r="E5" s="2">
        <f>('Kwh Reading'!C6-'Kwh Reading'!C5)*1000</f>
        <v>240.00000000000909</v>
      </c>
      <c r="F5" s="2">
        <f>('Kwh Reading'!J6-'Kwh Reading'!J5)*1000</f>
        <v>209.99999999997954</v>
      </c>
      <c r="G5" s="2">
        <f>('Kwh Reading'!K6-'Kwh Reading'!K5)*1000</f>
        <v>189.99999999999773</v>
      </c>
      <c r="H5" s="2">
        <f>('Kwh Reading'!L6-'Kwh Reading'!L5)*1000</f>
        <v>169.99999999998749</v>
      </c>
      <c r="I5" s="2">
        <f>('Kwh Reading'!R6-'Kwh Reading'!R5)*1000</f>
        <v>259.99999999999091</v>
      </c>
      <c r="J5" s="2">
        <f>('Kwh Reading'!S6-'Kwh Reading'!S5)*1000</f>
        <v>120.00000000000455</v>
      </c>
      <c r="K5" s="2">
        <f>('Kwh Reading'!I6-'Kwh Reading'!I5)*1000</f>
        <v>259.99999999999091</v>
      </c>
      <c r="L5" s="2">
        <f>('Kwh Reading'!B6-'Kwh Reading'!B5)*1000000</f>
        <v>1400.0000000000678</v>
      </c>
      <c r="M5" s="2">
        <f>('Kwh Reading'!M6-'Kwh Reading'!M5)*1000</f>
        <v>820.00000000005002</v>
      </c>
      <c r="N5" s="2">
        <f>('Kwh Reading'!H6-'Kwh Reading'!H5)*1000</f>
        <v>659.99999999996817</v>
      </c>
      <c r="O5" s="2">
        <f>('Kwh Reading'!P6-'Kwh Reading'!P5)*1000</f>
        <v>970.00000000002728</v>
      </c>
      <c r="P5" s="2">
        <f>('Kwh Reading'!G6-'Kwh Reading'!G5)*1000</f>
        <v>799.99999999995453</v>
      </c>
      <c r="Q5" s="2">
        <f>('Kwh Reading'!Q6-'Kwh Reading'!Q5)*1000</f>
        <v>670.00000000001592</v>
      </c>
      <c r="R5" s="2">
        <f>('Kwh Reading'!N6-'Kwh Reading'!N5)*1000</f>
        <v>170.00000000007276</v>
      </c>
      <c r="S5" s="2">
        <f>'Kwh Reading'!E6-'Kwh Reading'!E5</f>
        <v>2443.0999999996275</v>
      </c>
      <c r="T5" s="2">
        <f>'Kwh Reading'!D6-'Kwh Reading'!D5</f>
        <v>2204.2799999993294</v>
      </c>
      <c r="U5" s="27">
        <f>('Kwh Reading'!O6-'Kwh Reading'!O5)*1000</f>
        <v>219.99999999999886</v>
      </c>
      <c r="V5" s="16">
        <f t="shared" ref="V5:V11" si="0">B5-(SUM(C5:U5))</f>
        <v>6632.6199999994351</v>
      </c>
    </row>
    <row r="6" spans="1:22" x14ac:dyDescent="0.25">
      <c r="A6" s="3">
        <f>'Kwh Reading'!A6</f>
        <v>44442</v>
      </c>
      <c r="B6" s="26">
        <f>TOTAL!E4</f>
        <v>21290.000000001783</v>
      </c>
      <c r="C6" s="4">
        <f>('Kwh Reading'!T7-'Kwh Reading'!T6)*1000</f>
        <v>289.99999999996362</v>
      </c>
      <c r="D6" s="2">
        <f>('Kwh Reading'!F7-'Kwh Reading'!F6)*1000000</f>
        <v>2400.0000000001796</v>
      </c>
      <c r="E6" s="2">
        <f>('Kwh Reading'!C7-'Kwh Reading'!C6)*1000</f>
        <v>250</v>
      </c>
      <c r="F6" s="2">
        <f>('Kwh Reading'!J7-'Kwh Reading'!J6)*1000</f>
        <v>180.00000000000682</v>
      </c>
      <c r="G6" s="2">
        <f>('Kwh Reading'!K7-'Kwh Reading'!K6)*1000</f>
        <v>229.99999999996135</v>
      </c>
      <c r="H6" s="2">
        <f>('Kwh Reading'!L7-'Kwh Reading'!L6)*1000</f>
        <v>160.00000000002501</v>
      </c>
      <c r="I6" s="2">
        <f>('Kwh Reading'!R7-'Kwh Reading'!R6)*1000</f>
        <v>229.99999999998977</v>
      </c>
      <c r="J6" s="2">
        <f>('Kwh Reading'!S7-'Kwh Reading'!S6)*1000</f>
        <v>109.99999999999943</v>
      </c>
      <c r="K6" s="2">
        <f>('Kwh Reading'!I7-'Kwh Reading'!I6)*1000</f>
        <v>259.99999999999091</v>
      </c>
      <c r="L6" s="2">
        <f>('Kwh Reading'!B7-'Kwh Reading'!B6)*1000000</f>
        <v>1399.9999999998458</v>
      </c>
      <c r="M6" s="2">
        <f>('Kwh Reading'!M7-'Kwh Reading'!M6)*1000</f>
        <v>829.99999999992724</v>
      </c>
      <c r="N6" s="2">
        <f>('Kwh Reading'!H7-'Kwh Reading'!H6)*1000</f>
        <v>669.99999999995907</v>
      </c>
      <c r="O6" s="2">
        <f>('Kwh Reading'!P7-'Kwh Reading'!P6)*1000</f>
        <v>950.00000000004547</v>
      </c>
      <c r="P6" s="2">
        <f>('Kwh Reading'!G7-'Kwh Reading'!G6)*1000</f>
        <v>820.00000000005002</v>
      </c>
      <c r="Q6" s="2">
        <f>('Kwh Reading'!Q7-'Kwh Reading'!Q6)*1000</f>
        <v>669.99999999995907</v>
      </c>
      <c r="R6" s="2">
        <f>('Kwh Reading'!N7-'Kwh Reading'!N6)*1000</f>
        <v>559.99999999994543</v>
      </c>
      <c r="S6" s="2">
        <f>'Kwh Reading'!E7-'Kwh Reading'!E6</f>
        <v>2718.7200000006706</v>
      </c>
      <c r="T6" s="2">
        <f>'Kwh Reading'!D7-'Kwh Reading'!D6</f>
        <v>2135.2700000004843</v>
      </c>
      <c r="U6" s="27">
        <f>('Kwh Reading'!O7-'Kwh Reading'!O6)*1000</f>
        <v>229.99999999998977</v>
      </c>
      <c r="V6" s="16">
        <f t="shared" si="0"/>
        <v>6196.0100000007915</v>
      </c>
    </row>
    <row r="7" spans="1:22" x14ac:dyDescent="0.25">
      <c r="A7" s="3">
        <f>'Kwh Reading'!A7</f>
        <v>44443</v>
      </c>
      <c r="B7" s="26">
        <f>TOTAL!E5</f>
        <v>21480.000000000473</v>
      </c>
      <c r="C7" s="4">
        <f>('Kwh Reading'!T8-'Kwh Reading'!T7)*1000</f>
        <v>470.00000000002728</v>
      </c>
      <c r="D7" s="2">
        <f>('Kwh Reading'!F8-'Kwh Reading'!F7)*1000000</f>
        <v>2299.9999999999686</v>
      </c>
      <c r="E7" s="2">
        <f>('Kwh Reading'!C8-'Kwh Reading'!C7)*1000</f>
        <v>229.99999999998977</v>
      </c>
      <c r="F7" s="2">
        <f>('Kwh Reading'!J8-'Kwh Reading'!J7)*1000</f>
        <v>149.99999999997726</v>
      </c>
      <c r="G7" s="2">
        <f>('Kwh Reading'!K8-'Kwh Reading'!K7)*1000</f>
        <v>200.00000000004547</v>
      </c>
      <c r="H7" s="2">
        <f>('Kwh Reading'!L8-'Kwh Reading'!L7)*1000</f>
        <v>179.9999999999784</v>
      </c>
      <c r="I7" s="2">
        <f>('Kwh Reading'!R8-'Kwh Reading'!R7)*1000</f>
        <v>240.00000000000909</v>
      </c>
      <c r="J7" s="2">
        <f>('Kwh Reading'!S8-'Kwh Reading'!S7)*1000</f>
        <v>119.99999999999034</v>
      </c>
      <c r="K7" s="2">
        <f>('Kwh Reading'!I8-'Kwh Reading'!I7)*1000</f>
        <v>259.99999999999091</v>
      </c>
      <c r="L7" s="2">
        <f>('Kwh Reading'!B8-'Kwh Reading'!B7)*1000000</f>
        <v>1300.0000000000789</v>
      </c>
      <c r="M7" s="2">
        <f>('Kwh Reading'!M8-'Kwh Reading'!M7)*1000</f>
        <v>779.99999999997272</v>
      </c>
      <c r="N7" s="2">
        <f>('Kwh Reading'!H8-'Kwh Reading'!H7)*1000</f>
        <v>639.99999999998636</v>
      </c>
      <c r="O7" s="2">
        <f>('Kwh Reading'!P8-'Kwh Reading'!P7)*1000</f>
        <v>970.00000000002728</v>
      </c>
      <c r="P7" s="2">
        <f>('Kwh Reading'!G8-'Kwh Reading'!G7)*1000</f>
        <v>799.99999999995453</v>
      </c>
      <c r="Q7" s="2">
        <f>('Kwh Reading'!Q8-'Kwh Reading'!Q7)*1000</f>
        <v>710.00000000003638</v>
      </c>
      <c r="R7" s="2">
        <f>('Kwh Reading'!N8-'Kwh Reading'!N7)*1000</f>
        <v>550.00000000006821</v>
      </c>
      <c r="S7" s="2">
        <f>'Kwh Reading'!E8-'Kwh Reading'!E7</f>
        <v>2838.980000000447</v>
      </c>
      <c r="T7" s="2">
        <f>'Kwh Reading'!D8-'Kwh Reading'!D7</f>
        <v>2177.9000000003725</v>
      </c>
      <c r="U7" s="27">
        <f>('Kwh Reading'!O8-'Kwh Reading'!O7)*1000</f>
        <v>229.99999999998977</v>
      </c>
      <c r="V7" s="16">
        <f t="shared" si="0"/>
        <v>6333.1199999995624</v>
      </c>
    </row>
    <row r="8" spans="1:22" x14ac:dyDescent="0.25">
      <c r="A8" s="3">
        <f>'Kwh Reading'!A8</f>
        <v>44444</v>
      </c>
      <c r="B8" s="26">
        <f>TOTAL!E6</f>
        <v>22480.000000000247</v>
      </c>
      <c r="C8" s="4">
        <f>('Kwh Reading'!T9-'Kwh Reading'!T8)*1000</f>
        <v>490.00000000000909</v>
      </c>
      <c r="D8" s="2">
        <f>('Kwh Reading'!F9-'Kwh Reading'!F8)*1000000</f>
        <v>2299.9999999999686</v>
      </c>
      <c r="E8" s="2">
        <f>('Kwh Reading'!C9-'Kwh Reading'!C8)*1000</f>
        <v>219.99999999999886</v>
      </c>
      <c r="F8" s="2">
        <f>('Kwh Reading'!J9-'Kwh Reading'!J8)*1000</f>
        <v>129.99999999999545</v>
      </c>
      <c r="G8" s="2">
        <f>('Kwh Reading'!K9-'Kwh Reading'!K8)*1000</f>
        <v>219.99999999997044</v>
      </c>
      <c r="H8" s="2">
        <f>('Kwh Reading'!L9-'Kwh Reading'!L8)*1000</f>
        <v>180.00000000000682</v>
      </c>
      <c r="I8" s="2">
        <f>('Kwh Reading'!R9-'Kwh Reading'!R8)*1000</f>
        <v>229.99999999998977</v>
      </c>
      <c r="J8" s="2">
        <f>('Kwh Reading'!S9-'Kwh Reading'!S8)*1000</f>
        <v>109.99999999999943</v>
      </c>
      <c r="K8" s="2">
        <f>('Kwh Reading'!I9-'Kwh Reading'!I8)*1000</f>
        <v>290.00000000002046</v>
      </c>
      <c r="L8" s="2">
        <f>('Kwh Reading'!B9-'Kwh Reading'!B8)*1000000</f>
        <v>1500.0000000000568</v>
      </c>
      <c r="M8" s="2">
        <f>('Kwh Reading'!M9-'Kwh Reading'!M8)*1000</f>
        <v>910.00000000008185</v>
      </c>
      <c r="N8" s="2">
        <f>('Kwh Reading'!H9-'Kwh Reading'!H8)*1000</f>
        <v>610.00000000001364</v>
      </c>
      <c r="O8" s="2">
        <f>('Kwh Reading'!P9-'Kwh Reading'!P8)*1000</f>
        <v>989.99999999989541</v>
      </c>
      <c r="P8" s="2">
        <f>('Kwh Reading'!G9-'Kwh Reading'!G8)*1000</f>
        <v>909.99999999996817</v>
      </c>
      <c r="Q8" s="2">
        <f>('Kwh Reading'!Q9-'Kwh Reading'!Q8)*1000</f>
        <v>779.99999999997272</v>
      </c>
      <c r="R8" s="2">
        <f>('Kwh Reading'!N9-'Kwh Reading'!N8)*1000</f>
        <v>579.99999999992724</v>
      </c>
      <c r="S8" s="2">
        <f>'Kwh Reading'!E9-'Kwh Reading'!E8</f>
        <v>2955.3199999984354</v>
      </c>
      <c r="T8" s="2">
        <f>'Kwh Reading'!D9-'Kwh Reading'!D8</f>
        <v>2304.4599999999627</v>
      </c>
      <c r="U8" s="27">
        <f>('Kwh Reading'!O9-'Kwh Reading'!O8)*1000</f>
        <v>230.00000000001819</v>
      </c>
      <c r="V8" s="16">
        <f t="shared" si="0"/>
        <v>6540.2200000019566</v>
      </c>
    </row>
    <row r="9" spans="1:22" x14ac:dyDescent="0.25">
      <c r="A9" s="3">
        <f>'Kwh Reading'!A9</f>
        <v>44445</v>
      </c>
      <c r="B9" s="26">
        <f>TOTAL!E7</f>
        <v>21649.999999997817</v>
      </c>
      <c r="C9" s="4">
        <f>('Kwh Reading'!T10-'Kwh Reading'!T9)*1000</f>
        <v>459.99999999997954</v>
      </c>
      <c r="D9" s="2">
        <f>('Kwh Reading'!F10-'Kwh Reading'!F9)*1000000</f>
        <v>2400.0000000001796</v>
      </c>
      <c r="E9" s="2">
        <f>('Kwh Reading'!C10-'Kwh Reading'!C9)*1000</f>
        <v>250</v>
      </c>
      <c r="F9" s="2">
        <f>('Kwh Reading'!J10-'Kwh Reading'!J9)*1000</f>
        <v>280.00000000002956</v>
      </c>
      <c r="G9" s="2">
        <f>('Kwh Reading'!K10-'Kwh Reading'!K9)*1000</f>
        <v>210.00000000003638</v>
      </c>
      <c r="H9" s="2">
        <f>('Kwh Reading'!L10-'Kwh Reading'!L9)*1000</f>
        <v>210.00000000000796</v>
      </c>
      <c r="I9" s="2">
        <f>('Kwh Reading'!R10-'Kwh Reading'!R9)*1000</f>
        <v>240.00000000000909</v>
      </c>
      <c r="J9" s="2">
        <f>('Kwh Reading'!S10-'Kwh Reading'!S9)*1000</f>
        <v>130.00000000000966</v>
      </c>
      <c r="K9" s="2">
        <f>('Kwh Reading'!I10-'Kwh Reading'!I9)*1000</f>
        <v>269.99999999998181</v>
      </c>
      <c r="L9" s="2">
        <f>('Kwh Reading'!B10-'Kwh Reading'!B9)*1000000</f>
        <v>1399.9999999998458</v>
      </c>
      <c r="M9" s="2">
        <f>('Kwh Reading'!M10-'Kwh Reading'!M9)*1000</f>
        <v>829.99999999992724</v>
      </c>
      <c r="N9" s="2">
        <f>('Kwh Reading'!H10-'Kwh Reading'!H9)*1000</f>
        <v>610.00000000001364</v>
      </c>
      <c r="O9" s="2">
        <f>('Kwh Reading'!P10-'Kwh Reading'!P9)*1000</f>
        <v>950.00000000004547</v>
      </c>
      <c r="P9" s="2">
        <f>('Kwh Reading'!G10-'Kwh Reading'!G9)*1000</f>
        <v>900.00000000009095</v>
      </c>
      <c r="Q9" s="2">
        <f>('Kwh Reading'!Q10-'Kwh Reading'!Q9)*1000</f>
        <v>660.00000000002501</v>
      </c>
      <c r="R9" s="2">
        <f>('Kwh Reading'!N10-'Kwh Reading'!N9)*1000</f>
        <v>570.00000000005002</v>
      </c>
      <c r="S9" s="2">
        <f>'Kwh Reading'!E10-'Kwh Reading'!E9</f>
        <v>2790.7000000011176</v>
      </c>
      <c r="T9" s="2">
        <f>'Kwh Reading'!D10-'Kwh Reading'!D9</f>
        <v>2215.5999999996275</v>
      </c>
      <c r="U9" s="27">
        <f>('Kwh Reading'!O10-'Kwh Reading'!O9)*1000</f>
        <v>250</v>
      </c>
      <c r="V9" s="16">
        <f t="shared" si="0"/>
        <v>6023.6999999968393</v>
      </c>
    </row>
    <row r="10" spans="1:22" x14ac:dyDescent="0.25">
      <c r="A10" s="3">
        <f>'Kwh Reading'!A10</f>
        <v>44446</v>
      </c>
      <c r="B10" s="26">
        <v>22320.000000001754</v>
      </c>
      <c r="C10" s="4">
        <f>('Kwh Reading'!T11-'Kwh Reading'!T10)*1000</f>
        <v>470.00000000002728</v>
      </c>
      <c r="D10" s="2">
        <f>('Kwh Reading'!F11-'Kwh Reading'!F10)*1000000</f>
        <v>2299.9999999999686</v>
      </c>
      <c r="E10" s="2">
        <f>('Kwh Reading'!C11-'Kwh Reading'!C10)*1000</f>
        <v>240.00000000000909</v>
      </c>
      <c r="F10" s="2">
        <f>('Kwh Reading'!J11-'Kwh Reading'!J10)*1000</f>
        <v>219.99999999997044</v>
      </c>
      <c r="G10" s="2">
        <f>('Kwh Reading'!K11-'Kwh Reading'!K10)*1000</f>
        <v>250</v>
      </c>
      <c r="H10" s="2">
        <f>('Kwh Reading'!L11-'Kwh Reading'!L10)*1000</f>
        <v>199.99999999998863</v>
      </c>
      <c r="I10" s="2">
        <f>('Kwh Reading'!R11-'Kwh Reading'!R10)*1000</f>
        <v>250</v>
      </c>
      <c r="J10" s="2">
        <f>('Kwh Reading'!S11-'Kwh Reading'!S10)*1000</f>
        <v>119.99999999999034</v>
      </c>
      <c r="K10" s="2">
        <f>('Kwh Reading'!I11-'Kwh Reading'!I10)*1000</f>
        <v>270.00000000003865</v>
      </c>
      <c r="L10" s="2">
        <f>('Kwh Reading'!B11-'Kwh Reading'!B10)*1000000</f>
        <v>1400.0000000000678</v>
      </c>
      <c r="M10" s="2">
        <f>('Kwh Reading'!M11-'Kwh Reading'!M10)*1000</f>
        <v>810.00000000005912</v>
      </c>
      <c r="N10" s="2">
        <f>('Kwh Reading'!H11-'Kwh Reading'!H10)*1000</f>
        <v>529.99999999997272</v>
      </c>
      <c r="O10" s="2">
        <f>('Kwh Reading'!P11-'Kwh Reading'!P10)*1000</f>
        <v>940.00000000005457</v>
      </c>
      <c r="P10" s="2">
        <f>('Kwh Reading'!G11-'Kwh Reading'!G10)*1000</f>
        <v>849.99999999990905</v>
      </c>
      <c r="Q10" s="2">
        <f>('Kwh Reading'!Q11-'Kwh Reading'!Q10)*1000</f>
        <v>649.99999999997726</v>
      </c>
      <c r="R10" s="2">
        <f>('Kwh Reading'!N11-'Kwh Reading'!N10)*1000</f>
        <v>549.99999999995453</v>
      </c>
      <c r="S10" s="34">
        <f>'Kwh Reading'!E11-'Kwh Reading'!E10</f>
        <v>2789.9399999994785</v>
      </c>
      <c r="T10" s="34">
        <f>'Kwh Reading'!D11-'Kwh Reading'!D10</f>
        <v>2258.1900000004098</v>
      </c>
      <c r="U10" s="27">
        <f>('Kwh Reading'!O11-'Kwh Reading'!O10)*1000</f>
        <v>180.00000000000682</v>
      </c>
      <c r="V10" s="16">
        <f t="shared" si="0"/>
        <v>7041.8700000018707</v>
      </c>
    </row>
    <row r="11" spans="1:22" x14ac:dyDescent="0.25">
      <c r="A11" s="3">
        <f>'Kwh Reading'!A11</f>
        <v>44447</v>
      </c>
      <c r="B11" s="26">
        <v>20830.000000000611</v>
      </c>
      <c r="C11" s="4">
        <f>('Kwh Reading'!T12-'Kwh Reading'!T11)*1000</f>
        <v>459.99999999997954</v>
      </c>
      <c r="D11" s="2">
        <f>('Kwh Reading'!F12-'Kwh Reading'!F11)*1000000</f>
        <v>2399.9999999997358</v>
      </c>
      <c r="E11" s="2">
        <f>('Kwh Reading'!C12-'Kwh Reading'!C11)*1000</f>
        <v>229.99999999998977</v>
      </c>
      <c r="F11" s="2">
        <f>('Kwh Reading'!J12-'Kwh Reading'!J11)*1000</f>
        <v>189.99999999999773</v>
      </c>
      <c r="G11" s="2">
        <f>('Kwh Reading'!K12-'Kwh Reading'!K11)*1000</f>
        <v>239.99999999995225</v>
      </c>
      <c r="H11" s="2">
        <f>('Kwh Reading'!L12-'Kwh Reading'!L11)*1000</f>
        <v>230.00000000001819</v>
      </c>
      <c r="I11" s="2">
        <f>('Kwh Reading'!R12-'Kwh Reading'!R11)*1000</f>
        <v>240.00000000000909</v>
      </c>
      <c r="J11" s="2">
        <f>('Kwh Reading'!S12-'Kwh Reading'!S11)*1000</f>
        <v>120.00000000000455</v>
      </c>
      <c r="K11" s="2">
        <f>('Kwh Reading'!I12-'Kwh Reading'!I11)*1000</f>
        <v>279.99999999997272</v>
      </c>
      <c r="L11" s="2">
        <f>('Kwh Reading'!B12-'Kwh Reading'!B11)*1000000</f>
        <v>1400.0000000000678</v>
      </c>
      <c r="M11" s="2">
        <f>('Kwh Reading'!M12-'Kwh Reading'!M11)*1000</f>
        <v>809.99999999994543</v>
      </c>
      <c r="N11" s="2">
        <f>('Kwh Reading'!H12-'Kwh Reading'!H11)*1000</f>
        <v>540.00000000007731</v>
      </c>
      <c r="O11" s="2">
        <f>('Kwh Reading'!P12-'Kwh Reading'!P11)*1000</f>
        <v>779.99999999997272</v>
      </c>
      <c r="P11" s="2">
        <f>('Kwh Reading'!G12-'Kwh Reading'!G11)*1000</f>
        <v>780.0000000000864</v>
      </c>
      <c r="Q11" s="2">
        <f>('Kwh Reading'!Q12-'Kwh Reading'!Q11)*1000</f>
        <v>639.99999999998636</v>
      </c>
      <c r="R11" s="2">
        <f>('Kwh Reading'!N12-'Kwh Reading'!N11)*1000</f>
        <v>720.00000000002728</v>
      </c>
      <c r="S11" s="34">
        <f>'Kwh Reading'!E12-'Kwh Reading'!E11</f>
        <v>2550.0400000009686</v>
      </c>
      <c r="T11" s="34">
        <f>'Kwh Reading'!D12-'Kwh Reading'!D11</f>
        <v>2207.5099999997765</v>
      </c>
      <c r="U11" s="27">
        <f>('Kwh Reading'!O12-'Kwh Reading'!O11)*1000</f>
        <v>199.99999999998863</v>
      </c>
      <c r="V11" s="16">
        <f t="shared" si="0"/>
        <v>5812.4500000000535</v>
      </c>
    </row>
    <row r="12" spans="1:22" x14ac:dyDescent="0.25">
      <c r="A12" s="3">
        <f>'Kwh Reading'!A12</f>
        <v>44448</v>
      </c>
      <c r="B12" s="26">
        <v>20069.999999998345</v>
      </c>
      <c r="C12" s="4">
        <f>('Kwh Reading'!T13-'Kwh Reading'!T12)*1000</f>
        <v>500</v>
      </c>
      <c r="D12" s="2">
        <f>('Kwh Reading'!F13-'Kwh Reading'!F12)*1000000</f>
        <v>2400.0000000001796</v>
      </c>
      <c r="E12" s="2">
        <f>('Kwh Reading'!C13-'Kwh Reading'!C12)*1000</f>
        <v>259.99999999999091</v>
      </c>
      <c r="F12" s="2">
        <f>('Kwh Reading'!J13-'Kwh Reading'!J12)*1000</f>
        <v>189.99999999999773</v>
      </c>
      <c r="G12" s="2">
        <f>('Kwh Reading'!K13-'Kwh Reading'!K12)*1000</f>
        <v>230.00000000001819</v>
      </c>
      <c r="H12" s="2">
        <f>('Kwh Reading'!L13-'Kwh Reading'!L12)*1000</f>
        <v>219.99999999999886</v>
      </c>
      <c r="I12" s="2">
        <f>('Kwh Reading'!R13-'Kwh Reading'!R12)*1000</f>
        <v>219.99999999999886</v>
      </c>
      <c r="J12" s="2">
        <f>('Kwh Reading'!S13-'Kwh Reading'!S12)*1000</f>
        <v>109.99999999999943</v>
      </c>
      <c r="K12" s="2">
        <f>('Kwh Reading'!I13-'Kwh Reading'!I12)*1000</f>
        <v>259.99999999999091</v>
      </c>
      <c r="L12" s="2">
        <f>('Kwh Reading'!B13-'Kwh Reading'!B12)*1000000</f>
        <v>1500.0000000000568</v>
      </c>
      <c r="M12" s="2">
        <f>('Kwh Reading'!M13-'Kwh Reading'!M12)*1000</f>
        <v>790.00000000007731</v>
      </c>
      <c r="N12" s="2">
        <f>('Kwh Reading'!H13-'Kwh Reading'!H12)*1000</f>
        <v>559.99999999994543</v>
      </c>
      <c r="O12" s="2">
        <f>('Kwh Reading'!P13-'Kwh Reading'!P12)*1000</f>
        <v>799.99999999995453</v>
      </c>
      <c r="P12" s="2">
        <f>('Kwh Reading'!G13-'Kwh Reading'!G12)*1000</f>
        <v>799.99999999995453</v>
      </c>
      <c r="Q12" s="2">
        <f>('Kwh Reading'!Q13-'Kwh Reading'!Q12)*1000</f>
        <v>680.00000000000682</v>
      </c>
      <c r="R12" s="2">
        <f>('Kwh Reading'!N13-'Kwh Reading'!N12)*1000</f>
        <v>720.00000000002728</v>
      </c>
      <c r="S12" s="34">
        <f>'Kwh Reading'!E13-'Kwh Reading'!E12</f>
        <v>2677.2299999985844</v>
      </c>
      <c r="T12" s="34">
        <f>'Kwh Reading'!D13-'Kwh Reading'!D12</f>
        <v>2286.4599999999627</v>
      </c>
      <c r="U12" s="27">
        <f>('Kwh Reading'!O13-'Kwh Reading'!O12)*1000</f>
        <v>189.99999999999773</v>
      </c>
      <c r="V12" s="16">
        <f t="shared" ref="V12:V34" si="1">B12-(SUM(C12:U12))</f>
        <v>4676.3099999996011</v>
      </c>
    </row>
    <row r="13" spans="1:22" x14ac:dyDescent="0.25">
      <c r="A13" s="3">
        <f>'Kwh Reading'!A13</f>
        <v>44449</v>
      </c>
      <c r="B13" s="26">
        <f>TOTAL!E11</f>
        <v>21059.999999999945</v>
      </c>
      <c r="C13" s="4">
        <f>('Kwh Reading'!T14-'Kwh Reading'!T13)*1000</f>
        <v>319.99999999999318</v>
      </c>
      <c r="D13" s="2">
        <f>('Kwh Reading'!F14-'Kwh Reading'!F13)*1000000</f>
        <v>2499.9999999999468</v>
      </c>
      <c r="E13" s="2">
        <f>('Kwh Reading'!C14-'Kwh Reading'!C13)*1000</f>
        <v>250</v>
      </c>
      <c r="F13" s="2">
        <f>('Kwh Reading'!J14-'Kwh Reading'!J13)*1000</f>
        <v>270.00000000003865</v>
      </c>
      <c r="G13" s="2">
        <f>('Kwh Reading'!K14-'Kwh Reading'!K13)*1000</f>
        <v>269.99999999998181</v>
      </c>
      <c r="H13" s="2">
        <f>('Kwh Reading'!L14-'Kwh Reading'!L13)*1000</f>
        <v>179.9999999999784</v>
      </c>
      <c r="I13" s="2">
        <f>('Kwh Reading'!R14-'Kwh Reading'!R13)*1000</f>
        <v>239.99999999998067</v>
      </c>
      <c r="J13" s="2">
        <f>('Kwh Reading'!S14-'Kwh Reading'!S13)*1000</f>
        <v>120.00000000000455</v>
      </c>
      <c r="K13" s="2">
        <f>('Kwh Reading'!I14-'Kwh Reading'!I13)*1000</f>
        <v>270.00000000003865</v>
      </c>
      <c r="L13" s="2">
        <f>('Kwh Reading'!B14-'Kwh Reading'!B13)*1000000</f>
        <v>1399.9999999998458</v>
      </c>
      <c r="M13" s="2">
        <f>('Kwh Reading'!M14-'Kwh Reading'!M13)*1000</f>
        <v>799.99999999995453</v>
      </c>
      <c r="N13" s="2">
        <f>('Kwh Reading'!H14-'Kwh Reading'!H13)*1000</f>
        <v>649.99999999997726</v>
      </c>
      <c r="O13" s="2">
        <f>('Kwh Reading'!P14-'Kwh Reading'!P13)*1000</f>
        <v>840.00000000003183</v>
      </c>
      <c r="P13" s="2">
        <f>('Kwh Reading'!G14-'Kwh Reading'!G13)*1000</f>
        <v>799.99999999995453</v>
      </c>
      <c r="Q13" s="2">
        <f>('Kwh Reading'!Q14-'Kwh Reading'!Q13)*1000</f>
        <v>680.00000000000682</v>
      </c>
      <c r="R13" s="2">
        <f>('Kwh Reading'!N14-'Kwh Reading'!N13)*1000</f>
        <v>829.99999999992724</v>
      </c>
      <c r="S13" s="34">
        <f>'Kwh Reading'!E14-'Kwh Reading'!E13</f>
        <v>2550.0600000005215</v>
      </c>
      <c r="T13" s="34">
        <f>'Kwh Reading'!D14-'Kwh Reading'!D13</f>
        <v>2390.859999999404</v>
      </c>
      <c r="U13" s="27">
        <f>('Kwh Reading'!O14-'Kwh Reading'!O13)*1000</f>
        <v>199.99999999998863</v>
      </c>
      <c r="V13" s="16">
        <f t="shared" si="1"/>
        <v>5499.0800000003692</v>
      </c>
    </row>
    <row r="14" spans="1:22" x14ac:dyDescent="0.25">
      <c r="A14" s="3">
        <f>'Kwh Reading'!A14</f>
        <v>44450</v>
      </c>
      <c r="B14" s="26">
        <f>TOTAL!E12</f>
        <v>21830.000000003114</v>
      </c>
      <c r="C14" s="4">
        <f>('Kwh Reading'!T15-'Kwh Reading'!T14)*1000</f>
        <v>490.00000000000909</v>
      </c>
      <c r="D14" s="2">
        <f>('Kwh Reading'!F15-'Kwh Reading'!F14)*1000000</f>
        <v>2499.9999999999468</v>
      </c>
      <c r="E14" s="2">
        <f>('Kwh Reading'!C15-'Kwh Reading'!C14)*1000</f>
        <v>240.00000000000909</v>
      </c>
      <c r="F14" s="2">
        <f>('Kwh Reading'!J15-'Kwh Reading'!J14)*1000</f>
        <v>229.99999999996135</v>
      </c>
      <c r="G14" s="2">
        <f>('Kwh Reading'!K15-'Kwh Reading'!K14)*1000</f>
        <v>310.00000000000227</v>
      </c>
      <c r="H14" s="2">
        <f>('Kwh Reading'!L15-'Kwh Reading'!L14)*1000</f>
        <v>210.00000000000796</v>
      </c>
      <c r="I14" s="2">
        <f>('Kwh Reading'!R15-'Kwh Reading'!R14)*1000</f>
        <v>250</v>
      </c>
      <c r="J14" s="2">
        <f>('Kwh Reading'!S15-'Kwh Reading'!S14)*1000</f>
        <v>120.00000000000455</v>
      </c>
      <c r="K14" s="2">
        <f>('Kwh Reading'!I15-'Kwh Reading'!I14)*1000</f>
        <v>299.99999999995453</v>
      </c>
      <c r="L14" s="2">
        <f>('Kwh Reading'!B15-'Kwh Reading'!B14)*1000000</f>
        <v>1400.0000000000678</v>
      </c>
      <c r="M14" s="2">
        <f>('Kwh Reading'!M15-'Kwh Reading'!M14)*1000</f>
        <v>860.00000000001364</v>
      </c>
      <c r="N14" s="2">
        <f>('Kwh Reading'!H15-'Kwh Reading'!H14)*1000</f>
        <v>710.00000000003638</v>
      </c>
      <c r="O14" s="2">
        <f>('Kwh Reading'!P15-'Kwh Reading'!P14)*1000</f>
        <v>919.99999999995907</v>
      </c>
      <c r="P14" s="2">
        <f>('Kwh Reading'!G15-'Kwh Reading'!G14)*1000</f>
        <v>810.00000000005912</v>
      </c>
      <c r="Q14" s="2">
        <f>('Kwh Reading'!Q15-'Kwh Reading'!Q14)*1000</f>
        <v>680.00000000000682</v>
      </c>
      <c r="R14" s="2">
        <f>('Kwh Reading'!N15-'Kwh Reading'!N14)*1000</f>
        <v>790.00000000007731</v>
      </c>
      <c r="S14" s="34">
        <f>'Kwh Reading'!E15-'Kwh Reading'!E14</f>
        <v>2629.929999999702</v>
      </c>
      <c r="T14" s="34">
        <f>'Kwh Reading'!D15-'Kwh Reading'!D14</f>
        <v>2279.8000000007451</v>
      </c>
      <c r="U14" s="27">
        <f>('Kwh Reading'!O15-'Kwh Reading'!O14)*1000</f>
        <v>180.00000000000682</v>
      </c>
      <c r="V14" s="16">
        <f t="shared" si="1"/>
        <v>5920.2700000025434</v>
      </c>
    </row>
    <row r="15" spans="1:22" x14ac:dyDescent="0.25">
      <c r="A15" s="3">
        <f>'Kwh Reading'!A15</f>
        <v>44451</v>
      </c>
      <c r="B15" s="26">
        <f>TOTAL!E13</f>
        <v>20779.999999999291</v>
      </c>
      <c r="C15" s="4">
        <f>('Kwh Reading'!T16-'Kwh Reading'!T15)*1000</f>
        <v>500</v>
      </c>
      <c r="D15" s="2">
        <f>('Kwh Reading'!F16-'Kwh Reading'!F15)*1000000</f>
        <v>2299.9999999999686</v>
      </c>
      <c r="E15" s="2">
        <f>('Kwh Reading'!C16-'Kwh Reading'!C15)*1000</f>
        <v>219.99999999999886</v>
      </c>
      <c r="F15" s="2">
        <f>('Kwh Reading'!J16-'Kwh Reading'!J15)*1000</f>
        <v>189.99999999999773</v>
      </c>
      <c r="G15" s="2">
        <f>('Kwh Reading'!K16-'Kwh Reading'!K15)*1000</f>
        <v>200.00000000004547</v>
      </c>
      <c r="H15" s="2">
        <f>('Kwh Reading'!L16-'Kwh Reading'!L15)*1000</f>
        <v>199.99999999998863</v>
      </c>
      <c r="I15" s="2">
        <f>('Kwh Reading'!R16-'Kwh Reading'!R15)*1000</f>
        <v>219.99999999999886</v>
      </c>
      <c r="J15" s="2">
        <f>('Kwh Reading'!S16-'Kwh Reading'!S15)*1000</f>
        <v>109.99999999999943</v>
      </c>
      <c r="K15" s="2">
        <f>('Kwh Reading'!I16-'Kwh Reading'!I15)*1000</f>
        <v>270.00000000003865</v>
      </c>
      <c r="L15" s="2">
        <f>('Kwh Reading'!B16-'Kwh Reading'!B15)*1000000</f>
        <v>1400.0000000000678</v>
      </c>
      <c r="M15" s="2">
        <f>('Kwh Reading'!M16-'Kwh Reading'!M15)*1000</f>
        <v>809.99999999994543</v>
      </c>
      <c r="N15" s="2">
        <f>('Kwh Reading'!H16-'Kwh Reading'!H15)*1000</f>
        <v>559.99999999994543</v>
      </c>
      <c r="O15" s="2">
        <f>('Kwh Reading'!P16-'Kwh Reading'!P15)*1000</f>
        <v>800.00000000006821</v>
      </c>
      <c r="P15" s="2">
        <f>('Kwh Reading'!G16-'Kwh Reading'!G15)*1000</f>
        <v>829.99999999992724</v>
      </c>
      <c r="Q15" s="2">
        <f>('Kwh Reading'!Q16-'Kwh Reading'!Q15)*1000</f>
        <v>600.00000000002274</v>
      </c>
      <c r="R15" s="2">
        <f>('Kwh Reading'!N16-'Kwh Reading'!N15)*1000</f>
        <v>769.99999999998181</v>
      </c>
      <c r="S15" s="34">
        <f>'Kwh Reading'!E16-'Kwh Reading'!E15</f>
        <v>2472.0500000007451</v>
      </c>
      <c r="T15" s="34">
        <f>'Kwh Reading'!D16-'Kwh Reading'!D15</f>
        <v>2208.7099999999627</v>
      </c>
      <c r="U15" s="27">
        <f>('Kwh Reading'!O16-'Kwh Reading'!O15)*1000</f>
        <v>219.99999999999886</v>
      </c>
      <c r="V15" s="16">
        <f t="shared" si="1"/>
        <v>5899.2399999985919</v>
      </c>
    </row>
    <row r="16" spans="1:22" x14ac:dyDescent="0.25">
      <c r="A16" s="3">
        <f>'Kwh Reading'!A16</f>
        <v>44452</v>
      </c>
      <c r="B16" s="26">
        <f>TOTAL!E14</f>
        <v>21360.000000000131</v>
      </c>
      <c r="C16" s="4">
        <f>('Kwh Reading'!T17-'Kwh Reading'!T16)*1000</f>
        <v>490.00000000000909</v>
      </c>
      <c r="D16" s="2">
        <f>('Kwh Reading'!F17-'Kwh Reading'!F16)*1000000</f>
        <v>2400.0000000001796</v>
      </c>
      <c r="E16" s="2">
        <f>('Kwh Reading'!C17-'Kwh Reading'!C16)*1000</f>
        <v>210.00000000000796</v>
      </c>
      <c r="F16" s="2">
        <f>('Kwh Reading'!J17-'Kwh Reading'!J16)*1000</f>
        <v>300.00000000001137</v>
      </c>
      <c r="G16" s="2">
        <f>('Kwh Reading'!K17-'Kwh Reading'!K16)*1000</f>
        <v>279.99999999997272</v>
      </c>
      <c r="H16" s="2">
        <f>('Kwh Reading'!L17-'Kwh Reading'!L16)*1000</f>
        <v>200.00000000001705</v>
      </c>
      <c r="I16" s="2">
        <f>('Kwh Reading'!R17-'Kwh Reading'!R16)*1000</f>
        <v>240.00000000000909</v>
      </c>
      <c r="J16" s="2">
        <f>('Kwh Reading'!S17-'Kwh Reading'!S16)*1000</f>
        <v>119.99999999999034</v>
      </c>
      <c r="K16" s="2">
        <f>('Kwh Reading'!I17-'Kwh Reading'!I16)*1000</f>
        <v>269.99999999998181</v>
      </c>
      <c r="L16" s="2">
        <f>('Kwh Reading'!B17-'Kwh Reading'!B16)*1000000</f>
        <v>1499.9999999998347</v>
      </c>
      <c r="M16" s="2">
        <f>('Kwh Reading'!M17-'Kwh Reading'!M16)*1000</f>
        <v>870.00000000000455</v>
      </c>
      <c r="N16" s="2">
        <f>('Kwh Reading'!H17-'Kwh Reading'!H16)*1000</f>
        <v>600.00000000002274</v>
      </c>
      <c r="O16" s="2">
        <f>('Kwh Reading'!P17-'Kwh Reading'!P16)*1000</f>
        <v>759.99999999999091</v>
      </c>
      <c r="P16" s="2">
        <f>('Kwh Reading'!G17-'Kwh Reading'!G16)*1000</f>
        <v>760.00000000010459</v>
      </c>
      <c r="Q16" s="2">
        <f>('Kwh Reading'!Q17-'Kwh Reading'!Q16)*1000</f>
        <v>689.99999999994088</v>
      </c>
      <c r="R16" s="2">
        <f>('Kwh Reading'!N17-'Kwh Reading'!N16)*1000</f>
        <v>799.99999999995453</v>
      </c>
      <c r="S16" s="34">
        <f>'Kwh Reading'!E17-'Kwh Reading'!E16</f>
        <v>2440.4000000003725</v>
      </c>
      <c r="T16" s="34">
        <f>'Kwh Reading'!D17-'Kwh Reading'!D16</f>
        <v>2276.1499999994412</v>
      </c>
      <c r="U16" s="27">
        <f>('Kwh Reading'!O17-'Kwh Reading'!O16)*1000</f>
        <v>200.00000000001705</v>
      </c>
      <c r="V16" s="16">
        <f t="shared" si="1"/>
        <v>5953.4500000002699</v>
      </c>
    </row>
    <row r="17" spans="1:22" x14ac:dyDescent="0.25">
      <c r="A17" s="3">
        <f>'Kwh Reading'!A17</f>
        <v>44453</v>
      </c>
      <c r="B17" s="26">
        <f>TOTAL!E15</f>
        <v>21449.999999998457</v>
      </c>
      <c r="C17" s="4">
        <f>('Kwh Reading'!T18-'Kwh Reading'!T17)*1000</f>
        <v>509.99999999999091</v>
      </c>
      <c r="D17" s="2">
        <f>('Kwh Reading'!F18-'Kwh Reading'!F17)*1000000</f>
        <v>2399.9999999997358</v>
      </c>
      <c r="E17" s="2">
        <f>('Kwh Reading'!C18-'Kwh Reading'!C17)*1000</f>
        <v>250</v>
      </c>
      <c r="F17" s="2">
        <f>('Kwh Reading'!J18-'Kwh Reading'!J17)*1000</f>
        <v>259.99999999999091</v>
      </c>
      <c r="G17" s="2">
        <f>('Kwh Reading'!K18-'Kwh Reading'!K17)*1000</f>
        <v>319.99999999999318</v>
      </c>
      <c r="H17" s="2">
        <f>('Kwh Reading'!L18-'Kwh Reading'!L17)*1000</f>
        <v>169.99999999998749</v>
      </c>
      <c r="I17" s="2">
        <f>('Kwh Reading'!R18-'Kwh Reading'!R17)*1000</f>
        <v>240.00000000000909</v>
      </c>
      <c r="J17" s="2">
        <f>('Kwh Reading'!S18-'Kwh Reading'!S17)*1000</f>
        <v>130.00000000000966</v>
      </c>
      <c r="K17" s="2">
        <f>('Kwh Reading'!I18-'Kwh Reading'!I17)*1000</f>
        <v>290.00000000002046</v>
      </c>
      <c r="L17" s="2">
        <f>('Kwh Reading'!B18-'Kwh Reading'!B17)*1000000</f>
        <v>1500.0000000000568</v>
      </c>
      <c r="M17" s="2">
        <f>('Kwh Reading'!M18-'Kwh Reading'!M17)*1000</f>
        <v>790.00000000007731</v>
      </c>
      <c r="N17" s="2">
        <f>('Kwh Reading'!H18-'Kwh Reading'!H17)*1000</f>
        <v>550.00000000006821</v>
      </c>
      <c r="O17" s="2">
        <f>('Kwh Reading'!P18-'Kwh Reading'!P17)*1000</f>
        <v>789.99999999996362</v>
      </c>
      <c r="P17" s="2">
        <f>('Kwh Reading'!G18-'Kwh Reading'!G17)*1000</f>
        <v>739.99999999989541</v>
      </c>
      <c r="Q17" s="2">
        <f>('Kwh Reading'!Q18-'Kwh Reading'!Q17)*1000</f>
        <v>680.00000000006366</v>
      </c>
      <c r="R17" s="2">
        <f>('Kwh Reading'!N18-'Kwh Reading'!N17)*1000</f>
        <v>830.00000000004093</v>
      </c>
      <c r="S17" s="34">
        <f>'Kwh Reading'!E18-'Kwh Reading'!E17</f>
        <v>2758.5499999988824</v>
      </c>
      <c r="T17" s="34">
        <f>'Kwh Reading'!D18-'Kwh Reading'!D17</f>
        <v>2390.980000000447</v>
      </c>
      <c r="U17" s="27">
        <f>('Kwh Reading'!O18-'Kwh Reading'!O17)*1000</f>
        <v>179.9999999999784</v>
      </c>
      <c r="V17" s="16">
        <f t="shared" si="1"/>
        <v>5670.4699999992445</v>
      </c>
    </row>
    <row r="18" spans="1:22" x14ac:dyDescent="0.25">
      <c r="A18" s="3">
        <f>'Kwh Reading'!A18</f>
        <v>44454</v>
      </c>
      <c r="B18" s="26">
        <f>TOTAL!E16</f>
        <v>18569.999999999709</v>
      </c>
      <c r="C18" s="4">
        <f>('Kwh Reading'!T19-'Kwh Reading'!T18)*1000</f>
        <v>500</v>
      </c>
      <c r="D18" s="2">
        <f>('Kwh Reading'!F19-'Kwh Reading'!F18)*1000000</f>
        <v>2400.0000000001796</v>
      </c>
      <c r="E18" s="2">
        <f>('Kwh Reading'!C19-'Kwh Reading'!C18)*1000</f>
        <v>240.00000000000909</v>
      </c>
      <c r="F18" s="2">
        <f>('Kwh Reading'!J19-'Kwh Reading'!J18)*1000</f>
        <v>260.00000000004775</v>
      </c>
      <c r="G18" s="2">
        <f>('Kwh Reading'!K19-'Kwh Reading'!K18)*1000</f>
        <v>230.00000000001819</v>
      </c>
      <c r="H18" s="2">
        <f>('Kwh Reading'!L19-'Kwh Reading'!L18)*1000</f>
        <v>219.99999999999886</v>
      </c>
      <c r="I18" s="2">
        <f>('Kwh Reading'!R19-'Kwh Reading'!R18)*1000</f>
        <v>239.99999999998067</v>
      </c>
      <c r="J18" s="2">
        <f>('Kwh Reading'!S19-'Kwh Reading'!S18)*1000</f>
        <v>119.99999999999034</v>
      </c>
      <c r="K18" s="2">
        <f>('Kwh Reading'!I19-'Kwh Reading'!I18)*1000</f>
        <v>240.00000000000909</v>
      </c>
      <c r="L18" s="2">
        <f>('Kwh Reading'!B19-'Kwh Reading'!B18)*1000000</f>
        <v>1100.000000000101</v>
      </c>
      <c r="M18" s="2">
        <f>('Kwh Reading'!M19-'Kwh Reading'!M18)*1000</f>
        <v>599.99999999990905</v>
      </c>
      <c r="N18" s="2">
        <f>('Kwh Reading'!H19-'Kwh Reading'!H18)*1000</f>
        <v>419.99999999995907</v>
      </c>
      <c r="O18" s="2">
        <f>('Kwh Reading'!P19-'Kwh Reading'!P18)*1000</f>
        <v>720.00000000002728</v>
      </c>
      <c r="P18" s="2">
        <f>('Kwh Reading'!G19-'Kwh Reading'!G18)*1000</f>
        <v>610.00000000001364</v>
      </c>
      <c r="Q18" s="2">
        <f>('Kwh Reading'!Q19-'Kwh Reading'!Q18)*1000</f>
        <v>549.99999999995453</v>
      </c>
      <c r="R18" s="2">
        <f>('Kwh Reading'!N19-'Kwh Reading'!N18)*1000</f>
        <v>559.99999999994543</v>
      </c>
      <c r="S18" s="34">
        <f>'Kwh Reading'!E19-'Kwh Reading'!E18</f>
        <v>2090.0099999997765</v>
      </c>
      <c r="T18" s="34">
        <f>'Kwh Reading'!D19-'Kwh Reading'!D18</f>
        <v>1889.1299999998882</v>
      </c>
      <c r="U18" s="27">
        <f>('Kwh Reading'!O19-'Kwh Reading'!O18)*1000</f>
        <v>180.00000000000682</v>
      </c>
      <c r="V18" s="16">
        <f t="shared" si="1"/>
        <v>5400.8599999998933</v>
      </c>
    </row>
    <row r="19" spans="1:22" x14ac:dyDescent="0.25">
      <c r="A19" s="3">
        <f>'Kwh Reading'!A19</f>
        <v>44455</v>
      </c>
      <c r="B19" s="26">
        <f>TOTAL!E17</f>
        <v>0</v>
      </c>
      <c r="C19" s="4">
        <f>('Kwh Reading'!T20-'Kwh Reading'!T19)*1000</f>
        <v>-456250</v>
      </c>
      <c r="D19" s="2">
        <f>('Kwh Reading'!F20-'Kwh Reading'!F19)*1000000</f>
        <v>-2564200</v>
      </c>
      <c r="E19" s="2">
        <f>('Kwh Reading'!C20-'Kwh Reading'!C19)*1000</f>
        <v>-248330</v>
      </c>
      <c r="F19" s="2">
        <f>('Kwh Reading'!J20-'Kwh Reading'!J19)*1000</f>
        <v>-336470</v>
      </c>
      <c r="G19" s="2">
        <f>('Kwh Reading'!K20-'Kwh Reading'!K19)*1000</f>
        <v>-362300</v>
      </c>
      <c r="H19" s="2">
        <f>('Kwh Reading'!L20-'Kwh Reading'!L19)*1000</f>
        <v>-249510</v>
      </c>
      <c r="I19" s="2">
        <f>('Kwh Reading'!R20-'Kwh Reading'!R19)*1000</f>
        <v>-178200</v>
      </c>
      <c r="J19" s="2">
        <f>('Kwh Reading'!S20-'Kwh Reading'!S19)*1000</f>
        <v>-124520</v>
      </c>
      <c r="K19" s="2">
        <f>('Kwh Reading'!I20-'Kwh Reading'!I19)*1000</f>
        <v>-260160.00000000003</v>
      </c>
      <c r="L19" s="2">
        <f>('Kwh Reading'!B20-'Kwh Reading'!B19)*1000000</f>
        <v>-1086000</v>
      </c>
      <c r="M19" s="2">
        <f>('Kwh Reading'!M20-'Kwh Reading'!M19)*1000</f>
        <v>-576680</v>
      </c>
      <c r="N19" s="2">
        <f>('Kwh Reading'!H20-'Kwh Reading'!H19)*1000</f>
        <v>-662750</v>
      </c>
      <c r="O19" s="2">
        <f>('Kwh Reading'!P20-'Kwh Reading'!P19)*1000</f>
        <v>-695480</v>
      </c>
      <c r="P19" s="2">
        <f>('Kwh Reading'!G20-'Kwh Reading'!G19)*1000</f>
        <v>-810420</v>
      </c>
      <c r="Q19" s="2">
        <f>('Kwh Reading'!Q20-'Kwh Reading'!Q19)*1000</f>
        <v>-513900</v>
      </c>
      <c r="R19" s="2">
        <f>('Kwh Reading'!N20-'Kwh Reading'!N19)*1000</f>
        <v>-527910</v>
      </c>
      <c r="S19" s="34">
        <f>'Kwh Reading'!E20-'Kwh Reading'!E19</f>
        <v>-8423172.3599999994</v>
      </c>
      <c r="T19" s="34">
        <f>'Kwh Reading'!D20-'Kwh Reading'!D19</f>
        <v>-7659904.0800000001</v>
      </c>
      <c r="U19" s="27">
        <f>('Kwh Reading'!O20-'Kwh Reading'!O19)*1000</f>
        <v>-168660</v>
      </c>
      <c r="V19" s="16">
        <f t="shared" si="1"/>
        <v>25904816.439999998</v>
      </c>
    </row>
    <row r="20" spans="1:22" x14ac:dyDescent="0.25">
      <c r="A20" s="3">
        <f>'Kwh Reading'!A20</f>
        <v>44456</v>
      </c>
      <c r="B20" s="26">
        <f>TOTAL!E18</f>
        <v>0</v>
      </c>
      <c r="C20" s="4">
        <f>('Kwh Reading'!T21-'Kwh Reading'!T20)*1000</f>
        <v>0</v>
      </c>
      <c r="D20" s="2">
        <f>('Kwh Reading'!F21-'Kwh Reading'!F20)*1000000</f>
        <v>0</v>
      </c>
      <c r="E20" s="2">
        <f>('Kwh Reading'!C21-'Kwh Reading'!C20)*1000</f>
        <v>0</v>
      </c>
      <c r="F20" s="2">
        <f>('Kwh Reading'!J21-'Kwh Reading'!J20)*1000</f>
        <v>0</v>
      </c>
      <c r="G20" s="2">
        <f>('Kwh Reading'!K21-'Kwh Reading'!K20)*1000</f>
        <v>0</v>
      </c>
      <c r="H20" s="2">
        <f>('Kwh Reading'!L21-'Kwh Reading'!L20)*1000</f>
        <v>0</v>
      </c>
      <c r="I20" s="2">
        <f>('Kwh Reading'!R21-'Kwh Reading'!R20)*1000</f>
        <v>0</v>
      </c>
      <c r="J20" s="2">
        <f>('Kwh Reading'!S21-'Kwh Reading'!S20)*1000</f>
        <v>0</v>
      </c>
      <c r="K20" s="2">
        <f>('Kwh Reading'!I21-'Kwh Reading'!I20)*1000</f>
        <v>0</v>
      </c>
      <c r="L20" s="2">
        <f>('Kwh Reading'!B21-'Kwh Reading'!B20)*1000000</f>
        <v>0</v>
      </c>
      <c r="M20" s="2">
        <f>('Kwh Reading'!M21-'Kwh Reading'!M20)*1000</f>
        <v>0</v>
      </c>
      <c r="N20" s="2">
        <f>('Kwh Reading'!H21-'Kwh Reading'!H20)*1000</f>
        <v>0</v>
      </c>
      <c r="O20" s="2">
        <f>('Kwh Reading'!P21-'Kwh Reading'!P20)*1000</f>
        <v>0</v>
      </c>
      <c r="P20" s="2">
        <f>('Kwh Reading'!G21-'Kwh Reading'!G20)*1000</f>
        <v>0</v>
      </c>
      <c r="Q20" s="2">
        <f>('Kwh Reading'!Q21-'Kwh Reading'!Q20)*1000</f>
        <v>0</v>
      </c>
      <c r="R20" s="2">
        <f>('Kwh Reading'!N21-'Kwh Reading'!N20)*1000</f>
        <v>0</v>
      </c>
      <c r="S20" s="34">
        <f>'Kwh Reading'!E21-'Kwh Reading'!E20</f>
        <v>0</v>
      </c>
      <c r="T20" s="34">
        <f>'Kwh Reading'!D21-'Kwh Reading'!D20</f>
        <v>0</v>
      </c>
      <c r="U20" s="27">
        <f>('Kwh Reading'!O21-'Kwh Reading'!O20)*1000</f>
        <v>0</v>
      </c>
      <c r="V20" s="16">
        <f t="shared" si="1"/>
        <v>0</v>
      </c>
    </row>
    <row r="21" spans="1:22" ht="16.5" customHeight="1" x14ac:dyDescent="0.25">
      <c r="A21" s="3">
        <f>'Kwh Reading'!A21</f>
        <v>44457</v>
      </c>
      <c r="B21" s="26">
        <f>TOTAL!E19</f>
        <v>0</v>
      </c>
      <c r="C21" s="4">
        <f>('Kwh Reading'!T22-'Kwh Reading'!T21)*1000</f>
        <v>0</v>
      </c>
      <c r="D21" s="2">
        <f>('Kwh Reading'!F22-'Kwh Reading'!F21)*1000000</f>
        <v>0</v>
      </c>
      <c r="E21" s="2">
        <f>('Kwh Reading'!C22-'Kwh Reading'!C21)*1000</f>
        <v>0</v>
      </c>
      <c r="F21" s="2">
        <f>('Kwh Reading'!J22-'Kwh Reading'!J21)*1000</f>
        <v>0</v>
      </c>
      <c r="G21" s="2">
        <f>('Kwh Reading'!K22-'Kwh Reading'!K21)*1000</f>
        <v>0</v>
      </c>
      <c r="H21" s="2">
        <f>('Kwh Reading'!L22-'Kwh Reading'!L21)*1000</f>
        <v>0</v>
      </c>
      <c r="I21" s="2">
        <f>('Kwh Reading'!R22-'Kwh Reading'!R21)*1000</f>
        <v>0</v>
      </c>
      <c r="J21" s="2">
        <f>('Kwh Reading'!S22-'Kwh Reading'!S21)*1000</f>
        <v>0</v>
      </c>
      <c r="K21" s="2">
        <f>('Kwh Reading'!I22-'Kwh Reading'!I21)*1000</f>
        <v>0</v>
      </c>
      <c r="L21" s="2">
        <f>('Kwh Reading'!B22-'Kwh Reading'!B21)*1000000</f>
        <v>0</v>
      </c>
      <c r="M21" s="2">
        <f>('Kwh Reading'!M22-'Kwh Reading'!M21)*1000</f>
        <v>0</v>
      </c>
      <c r="N21" s="2">
        <f>('Kwh Reading'!H22-'Kwh Reading'!H21)*1000</f>
        <v>0</v>
      </c>
      <c r="O21" s="2">
        <f>('Kwh Reading'!P22-'Kwh Reading'!P21)*1000</f>
        <v>0</v>
      </c>
      <c r="P21" s="2">
        <f>('Kwh Reading'!G22-'Kwh Reading'!G21)*1000</f>
        <v>0</v>
      </c>
      <c r="Q21" s="2">
        <f>('Kwh Reading'!Q22-'Kwh Reading'!Q21)*1000</f>
        <v>0</v>
      </c>
      <c r="R21" s="2">
        <f>('Kwh Reading'!N22-'Kwh Reading'!N21)*1000</f>
        <v>0</v>
      </c>
      <c r="S21" s="34">
        <f>'Kwh Reading'!E22-'Kwh Reading'!E21</f>
        <v>0</v>
      </c>
      <c r="T21" s="34">
        <f>'Kwh Reading'!D22-'Kwh Reading'!D21</f>
        <v>0</v>
      </c>
      <c r="U21" s="27">
        <f>('Kwh Reading'!O22-'Kwh Reading'!O21)*1000</f>
        <v>0</v>
      </c>
      <c r="V21" s="16">
        <f t="shared" si="1"/>
        <v>0</v>
      </c>
    </row>
    <row r="22" spans="1:22" x14ac:dyDescent="0.25">
      <c r="A22" s="3">
        <f>'Kwh Reading'!A22</f>
        <v>44458</v>
      </c>
      <c r="B22" s="26">
        <f>TOTAL!E20</f>
        <v>0</v>
      </c>
      <c r="C22" s="4">
        <f>('Kwh Reading'!T23-'Kwh Reading'!T22)*1000</f>
        <v>0</v>
      </c>
      <c r="D22" s="2">
        <f>('Kwh Reading'!F23-'Kwh Reading'!F22)*1000000</f>
        <v>0</v>
      </c>
      <c r="E22" s="2">
        <f>('Kwh Reading'!C23-'Kwh Reading'!C22)*1000</f>
        <v>0</v>
      </c>
      <c r="F22" s="2">
        <f>('Kwh Reading'!J23-'Kwh Reading'!J22)*1000</f>
        <v>0</v>
      </c>
      <c r="G22" s="2">
        <f>('Kwh Reading'!K23-'Kwh Reading'!K22)*1000</f>
        <v>0</v>
      </c>
      <c r="H22" s="2">
        <f>('Kwh Reading'!L23-'Kwh Reading'!L22)*1000</f>
        <v>0</v>
      </c>
      <c r="I22" s="2">
        <f>('Kwh Reading'!R23-'Kwh Reading'!R22)*1000</f>
        <v>0</v>
      </c>
      <c r="J22" s="2">
        <f>('Kwh Reading'!S23-'Kwh Reading'!S22)*1000</f>
        <v>0</v>
      </c>
      <c r="K22" s="2">
        <f>('Kwh Reading'!I23-'Kwh Reading'!I22)*1000</f>
        <v>0</v>
      </c>
      <c r="L22" s="2">
        <f>('Kwh Reading'!B23-'Kwh Reading'!B22)*1000000</f>
        <v>0</v>
      </c>
      <c r="M22" s="2">
        <f>('Kwh Reading'!M23-'Kwh Reading'!M22)*1000</f>
        <v>0</v>
      </c>
      <c r="N22" s="2">
        <f>('Kwh Reading'!H23-'Kwh Reading'!H22)*1000</f>
        <v>0</v>
      </c>
      <c r="O22" s="2">
        <f>('Kwh Reading'!P23-'Kwh Reading'!P22)*1000</f>
        <v>0</v>
      </c>
      <c r="P22" s="2">
        <f>('Kwh Reading'!G23-'Kwh Reading'!G22)*1000</f>
        <v>0</v>
      </c>
      <c r="Q22" s="2">
        <f>('Kwh Reading'!Q23-'Kwh Reading'!Q22)*1000</f>
        <v>0</v>
      </c>
      <c r="R22" s="2">
        <f>('Kwh Reading'!N23-'Kwh Reading'!N22)*1000</f>
        <v>0</v>
      </c>
      <c r="S22" s="34">
        <f>'Kwh Reading'!E23-'Kwh Reading'!E22</f>
        <v>0</v>
      </c>
      <c r="T22" s="34">
        <f>'Kwh Reading'!D23-'Kwh Reading'!D22</f>
        <v>0</v>
      </c>
      <c r="U22" s="27">
        <f>('Kwh Reading'!O23-'Kwh Reading'!O22)*1000</f>
        <v>0</v>
      </c>
      <c r="V22" s="16">
        <f t="shared" si="1"/>
        <v>0</v>
      </c>
    </row>
    <row r="23" spans="1:22" x14ac:dyDescent="0.25">
      <c r="A23" s="3">
        <f>'Kwh Reading'!A23</f>
        <v>44459</v>
      </c>
      <c r="B23" s="26">
        <f>TOTAL!E21</f>
        <v>0</v>
      </c>
      <c r="C23" s="4">
        <f>('Kwh Reading'!T24-'Kwh Reading'!T23)*1000</f>
        <v>0</v>
      </c>
      <c r="D23" s="2">
        <f>('Kwh Reading'!F24-'Kwh Reading'!F23)*1000000</f>
        <v>0</v>
      </c>
      <c r="E23" s="2">
        <f>('Kwh Reading'!C24-'Kwh Reading'!C23)*1000</f>
        <v>0</v>
      </c>
      <c r="F23" s="2">
        <f>('Kwh Reading'!J24-'Kwh Reading'!J23)*1000</f>
        <v>0</v>
      </c>
      <c r="G23" s="2">
        <f>('Kwh Reading'!K24-'Kwh Reading'!K23)*1000</f>
        <v>0</v>
      </c>
      <c r="H23" s="2">
        <f>('Kwh Reading'!L24-'Kwh Reading'!L23)*1000</f>
        <v>0</v>
      </c>
      <c r="I23" s="2">
        <f>('Kwh Reading'!R24-'Kwh Reading'!R23)*1000</f>
        <v>0</v>
      </c>
      <c r="J23" s="2">
        <f>('Kwh Reading'!S24-'Kwh Reading'!S23)*1000</f>
        <v>0</v>
      </c>
      <c r="K23" s="2">
        <f>('Kwh Reading'!I24-'Kwh Reading'!I23)*1000</f>
        <v>0</v>
      </c>
      <c r="L23" s="2">
        <f>('Kwh Reading'!B24-'Kwh Reading'!B23)*1000000</f>
        <v>0</v>
      </c>
      <c r="M23" s="2">
        <f>('Kwh Reading'!M24-'Kwh Reading'!M23)*1000</f>
        <v>0</v>
      </c>
      <c r="N23" s="2">
        <f>('Kwh Reading'!H24-'Kwh Reading'!H23)*1000</f>
        <v>0</v>
      </c>
      <c r="O23" s="2">
        <f>('Kwh Reading'!P24-'Kwh Reading'!P23)*1000</f>
        <v>0</v>
      </c>
      <c r="P23" s="2">
        <f>('Kwh Reading'!G24-'Kwh Reading'!G23)*1000</f>
        <v>0</v>
      </c>
      <c r="Q23" s="2">
        <f>('Kwh Reading'!Q24-'Kwh Reading'!Q23)*1000</f>
        <v>0</v>
      </c>
      <c r="R23" s="2">
        <f>('Kwh Reading'!N24-'Kwh Reading'!N23)*1000</f>
        <v>0</v>
      </c>
      <c r="S23" s="34">
        <f>'Kwh Reading'!E24-'Kwh Reading'!E23</f>
        <v>0</v>
      </c>
      <c r="T23" s="34">
        <f>'Kwh Reading'!D24-'Kwh Reading'!D23</f>
        <v>0</v>
      </c>
      <c r="U23" s="27">
        <f>('Kwh Reading'!O24-'Kwh Reading'!O23)*1000</f>
        <v>0</v>
      </c>
      <c r="V23" s="16">
        <f t="shared" si="1"/>
        <v>0</v>
      </c>
    </row>
    <row r="24" spans="1:22" x14ac:dyDescent="0.25">
      <c r="A24" s="3">
        <f>'Kwh Reading'!A24</f>
        <v>44460</v>
      </c>
      <c r="B24" s="26">
        <f>TOTAL!E22</f>
        <v>0</v>
      </c>
      <c r="C24" s="4">
        <f>('Kwh Reading'!T25-'Kwh Reading'!T24)*1000</f>
        <v>0</v>
      </c>
      <c r="D24" s="2">
        <f>('Kwh Reading'!F25-'Kwh Reading'!F24)*1000000</f>
        <v>0</v>
      </c>
      <c r="E24" s="2">
        <f>('Kwh Reading'!C25-'Kwh Reading'!C24)*1000</f>
        <v>0</v>
      </c>
      <c r="F24" s="2">
        <f>('Kwh Reading'!J25-'Kwh Reading'!J24)*1000</f>
        <v>0</v>
      </c>
      <c r="G24" s="2">
        <f>('Kwh Reading'!K25-'Kwh Reading'!K24)*1000</f>
        <v>0</v>
      </c>
      <c r="H24" s="2">
        <f>('Kwh Reading'!L25-'Kwh Reading'!L24)*1000</f>
        <v>0</v>
      </c>
      <c r="I24" s="2">
        <f>('Kwh Reading'!R25-'Kwh Reading'!R24)*1000</f>
        <v>0</v>
      </c>
      <c r="J24" s="2">
        <f>('Kwh Reading'!S25-'Kwh Reading'!S24)*1000</f>
        <v>0</v>
      </c>
      <c r="K24" s="2">
        <f>('Kwh Reading'!I25-'Kwh Reading'!I24)*1000</f>
        <v>0</v>
      </c>
      <c r="L24" s="2">
        <f>('Kwh Reading'!B25-'Kwh Reading'!B24)*1000000</f>
        <v>0</v>
      </c>
      <c r="M24" s="2">
        <f>('Kwh Reading'!M25-'Kwh Reading'!M24)*1000</f>
        <v>0</v>
      </c>
      <c r="N24" s="2">
        <f>('Kwh Reading'!H25-'Kwh Reading'!H24)*1000</f>
        <v>0</v>
      </c>
      <c r="O24" s="2">
        <f>('Kwh Reading'!P25-'Kwh Reading'!P24)*1000</f>
        <v>0</v>
      </c>
      <c r="P24" s="2">
        <f>('Kwh Reading'!G25-'Kwh Reading'!G24)*1000</f>
        <v>0</v>
      </c>
      <c r="Q24" s="2">
        <f>('Kwh Reading'!Q25-'Kwh Reading'!Q24)*1000</f>
        <v>0</v>
      </c>
      <c r="R24" s="2">
        <f>('Kwh Reading'!N25-'Kwh Reading'!N24)*1000</f>
        <v>0</v>
      </c>
      <c r="S24" s="2">
        <f>'Kwh Reading'!E25-'Kwh Reading'!E24</f>
        <v>0</v>
      </c>
      <c r="T24" s="2">
        <f>'Kwh Reading'!D25-'Kwh Reading'!D24</f>
        <v>0</v>
      </c>
      <c r="U24" s="27">
        <f>('Kwh Reading'!O25-'Kwh Reading'!O24)*1000</f>
        <v>0</v>
      </c>
      <c r="V24" s="16">
        <f t="shared" si="1"/>
        <v>0</v>
      </c>
    </row>
    <row r="25" spans="1:22" x14ac:dyDescent="0.25">
      <c r="A25" s="3">
        <f>'Kwh Reading'!A25</f>
        <v>44461</v>
      </c>
      <c r="B25" s="26">
        <f>TOTAL!E23</f>
        <v>0</v>
      </c>
      <c r="C25" s="4">
        <f>('Kwh Reading'!T26-'Kwh Reading'!T25)*1000</f>
        <v>0</v>
      </c>
      <c r="D25" s="2">
        <f>('Kwh Reading'!F26-'Kwh Reading'!F25)*1000000</f>
        <v>0</v>
      </c>
      <c r="E25" s="2">
        <f>('Kwh Reading'!C26-'Kwh Reading'!C25)*1000</f>
        <v>0</v>
      </c>
      <c r="F25" s="2">
        <f>('Kwh Reading'!J26-'Kwh Reading'!J25)*1000</f>
        <v>0</v>
      </c>
      <c r="G25" s="2">
        <f>('Kwh Reading'!K26-'Kwh Reading'!K25)*1000</f>
        <v>0</v>
      </c>
      <c r="H25" s="2">
        <f>('Kwh Reading'!L26-'Kwh Reading'!L25)*1000</f>
        <v>0</v>
      </c>
      <c r="I25" s="2">
        <f>('Kwh Reading'!R26-'Kwh Reading'!R25)*1000</f>
        <v>0</v>
      </c>
      <c r="J25" s="2">
        <f>('Kwh Reading'!S26-'Kwh Reading'!S25)*1000</f>
        <v>0</v>
      </c>
      <c r="K25" s="2">
        <f>('Kwh Reading'!I26-'Kwh Reading'!I25)*1000</f>
        <v>0</v>
      </c>
      <c r="L25" s="2">
        <f>('Kwh Reading'!B26-'Kwh Reading'!B25)*1000000</f>
        <v>0</v>
      </c>
      <c r="M25" s="2">
        <f>('Kwh Reading'!M26-'Kwh Reading'!M25)*1000</f>
        <v>0</v>
      </c>
      <c r="N25" s="2">
        <f>('Kwh Reading'!H26-'Kwh Reading'!H25)*1000</f>
        <v>0</v>
      </c>
      <c r="O25" s="2">
        <f>('Kwh Reading'!P26-'Kwh Reading'!P25)*1000</f>
        <v>0</v>
      </c>
      <c r="P25" s="2">
        <f>('Kwh Reading'!G26-'Kwh Reading'!G25)*1000</f>
        <v>0</v>
      </c>
      <c r="Q25" s="2">
        <f>('Kwh Reading'!Q26-'Kwh Reading'!Q25)*1000</f>
        <v>0</v>
      </c>
      <c r="R25" s="2">
        <f>('Kwh Reading'!N26-'Kwh Reading'!N25)*1000</f>
        <v>0</v>
      </c>
      <c r="S25" s="2">
        <f>'Kwh Reading'!E26-'Kwh Reading'!E25</f>
        <v>0</v>
      </c>
      <c r="T25" s="2">
        <f>'Kwh Reading'!D26-'Kwh Reading'!D25</f>
        <v>0</v>
      </c>
      <c r="U25" s="27">
        <f>('Kwh Reading'!O26-'Kwh Reading'!O25)*1000</f>
        <v>0</v>
      </c>
      <c r="V25" s="16">
        <f t="shared" si="1"/>
        <v>0</v>
      </c>
    </row>
    <row r="26" spans="1:22" x14ac:dyDescent="0.25">
      <c r="A26" s="3">
        <f>'Kwh Reading'!A26</f>
        <v>44462</v>
      </c>
      <c r="B26" s="26">
        <f>TOTAL!E24</f>
        <v>0</v>
      </c>
      <c r="C26" s="4">
        <f>('Kwh Reading'!T27-'Kwh Reading'!T26)*1000</f>
        <v>0</v>
      </c>
      <c r="D26" s="2">
        <f>('Kwh Reading'!F27-'Kwh Reading'!F26)*1000000</f>
        <v>0</v>
      </c>
      <c r="E26" s="2">
        <f>('Kwh Reading'!C27-'Kwh Reading'!C26)*1000</f>
        <v>0</v>
      </c>
      <c r="F26" s="2">
        <f>('Kwh Reading'!J27-'Kwh Reading'!J26)*1000</f>
        <v>0</v>
      </c>
      <c r="G26" s="2">
        <f>('Kwh Reading'!K27-'Kwh Reading'!K26)*1000</f>
        <v>0</v>
      </c>
      <c r="H26" s="2">
        <f>('Kwh Reading'!L27-'Kwh Reading'!L26)*1000</f>
        <v>0</v>
      </c>
      <c r="I26" s="2">
        <f>('Kwh Reading'!R27-'Kwh Reading'!R26)*1000</f>
        <v>0</v>
      </c>
      <c r="J26" s="2">
        <f>('Kwh Reading'!S27-'Kwh Reading'!S26)*1000</f>
        <v>0</v>
      </c>
      <c r="K26" s="2">
        <f>('Kwh Reading'!I27-'Kwh Reading'!I26)*1000</f>
        <v>0</v>
      </c>
      <c r="L26" s="2">
        <f>('Kwh Reading'!B27-'Kwh Reading'!B26)*1000000</f>
        <v>0</v>
      </c>
      <c r="M26" s="2">
        <f>('Kwh Reading'!M27-'Kwh Reading'!M26)*1000</f>
        <v>0</v>
      </c>
      <c r="N26" s="2">
        <f>('Kwh Reading'!H27-'Kwh Reading'!H26)*1000</f>
        <v>0</v>
      </c>
      <c r="O26" s="2">
        <f>('Kwh Reading'!P27-'Kwh Reading'!P26)*1000</f>
        <v>0</v>
      </c>
      <c r="P26" s="2">
        <f>('Kwh Reading'!G27-'Kwh Reading'!G26)*1000</f>
        <v>0</v>
      </c>
      <c r="Q26" s="2">
        <f>('Kwh Reading'!Q27-'Kwh Reading'!Q26)*1000</f>
        <v>0</v>
      </c>
      <c r="R26" s="2">
        <f>('Kwh Reading'!N27-'Kwh Reading'!N26)*1000</f>
        <v>0</v>
      </c>
      <c r="S26" s="2">
        <f>'Kwh Reading'!E27-'Kwh Reading'!E26</f>
        <v>0</v>
      </c>
      <c r="T26" s="2">
        <f>'Kwh Reading'!D27-'Kwh Reading'!D26</f>
        <v>0</v>
      </c>
      <c r="U26" s="27">
        <f>('Kwh Reading'!O27-'Kwh Reading'!O26)*1000</f>
        <v>0</v>
      </c>
      <c r="V26" s="16">
        <f t="shared" si="1"/>
        <v>0</v>
      </c>
    </row>
    <row r="27" spans="1:22" x14ac:dyDescent="0.25">
      <c r="A27" s="3">
        <f>'Kwh Reading'!A27</f>
        <v>44463</v>
      </c>
      <c r="B27" s="26">
        <f>TOTAL!E25</f>
        <v>0</v>
      </c>
      <c r="C27" s="4">
        <f>('Kwh Reading'!T28-'Kwh Reading'!T27)*1000</f>
        <v>0</v>
      </c>
      <c r="D27" s="2">
        <f>('Kwh Reading'!F28-'Kwh Reading'!F27)*1000000</f>
        <v>0</v>
      </c>
      <c r="E27" s="2">
        <f>('Kwh Reading'!C28-'Kwh Reading'!C27)*1000</f>
        <v>0</v>
      </c>
      <c r="F27" s="2">
        <f>('Kwh Reading'!J28-'Kwh Reading'!J27)*1000</f>
        <v>0</v>
      </c>
      <c r="G27" s="2">
        <f>('Kwh Reading'!K28-'Kwh Reading'!K27)*1000</f>
        <v>0</v>
      </c>
      <c r="H27" s="2">
        <f>('Kwh Reading'!L28-'Kwh Reading'!L27)*1000</f>
        <v>0</v>
      </c>
      <c r="I27" s="2">
        <f>('Kwh Reading'!R28-'Kwh Reading'!R27)*1000</f>
        <v>0</v>
      </c>
      <c r="J27" s="2">
        <f>('Kwh Reading'!S28-'Kwh Reading'!S27)*1000</f>
        <v>0</v>
      </c>
      <c r="K27" s="2">
        <f>('Kwh Reading'!I28-'Kwh Reading'!I27)*1000</f>
        <v>0</v>
      </c>
      <c r="L27" s="2">
        <f>('Kwh Reading'!B28-'Kwh Reading'!B27)*1000000</f>
        <v>0</v>
      </c>
      <c r="M27" s="2">
        <f>('Kwh Reading'!M28-'Kwh Reading'!M27)*1000</f>
        <v>0</v>
      </c>
      <c r="N27" s="2">
        <f>('Kwh Reading'!H28-'Kwh Reading'!H27)*1000</f>
        <v>0</v>
      </c>
      <c r="O27" s="2">
        <f>('Kwh Reading'!P28-'Kwh Reading'!P27)*1000</f>
        <v>0</v>
      </c>
      <c r="P27" s="2">
        <f>('Kwh Reading'!G28-'Kwh Reading'!G27)*1000</f>
        <v>0</v>
      </c>
      <c r="Q27" s="2">
        <f>('Kwh Reading'!Q28-'Kwh Reading'!Q27)*1000</f>
        <v>0</v>
      </c>
      <c r="R27" s="2">
        <f>('Kwh Reading'!N28-'Kwh Reading'!N27)*1000</f>
        <v>0</v>
      </c>
      <c r="S27" s="2">
        <f>'Kwh Reading'!E28-'Kwh Reading'!E27</f>
        <v>0</v>
      </c>
      <c r="T27" s="2">
        <f>'Kwh Reading'!D28-'Kwh Reading'!D27</f>
        <v>0</v>
      </c>
      <c r="U27" s="27">
        <f>('Kwh Reading'!O28-'Kwh Reading'!O27)*1000</f>
        <v>0</v>
      </c>
      <c r="V27" s="16">
        <f t="shared" si="1"/>
        <v>0</v>
      </c>
    </row>
    <row r="28" spans="1:22" x14ac:dyDescent="0.25">
      <c r="A28" s="3">
        <f>'Kwh Reading'!A28</f>
        <v>44464</v>
      </c>
      <c r="B28" s="26">
        <f>TOTAL!E26</f>
        <v>0</v>
      </c>
      <c r="C28" s="4">
        <f>('Kwh Reading'!T29-'Kwh Reading'!T28)*1000</f>
        <v>0</v>
      </c>
      <c r="D28" s="2">
        <f>('Kwh Reading'!F29-'Kwh Reading'!F28)*1000000</f>
        <v>0</v>
      </c>
      <c r="E28" s="2">
        <f>('Kwh Reading'!C29-'Kwh Reading'!C28)*1000</f>
        <v>0</v>
      </c>
      <c r="F28" s="2">
        <f>('Kwh Reading'!J29-'Kwh Reading'!J28)*1000</f>
        <v>0</v>
      </c>
      <c r="G28" s="2">
        <f>('Kwh Reading'!K29-'Kwh Reading'!K28)*1000</f>
        <v>0</v>
      </c>
      <c r="H28" s="2">
        <f>('Kwh Reading'!L29-'Kwh Reading'!L28)*1000</f>
        <v>0</v>
      </c>
      <c r="I28" s="2">
        <f>('Kwh Reading'!R29-'Kwh Reading'!R28)*1000</f>
        <v>0</v>
      </c>
      <c r="J28" s="2">
        <f>('Kwh Reading'!S29-'Kwh Reading'!S28)*1000</f>
        <v>0</v>
      </c>
      <c r="K28" s="2">
        <f>('Kwh Reading'!I29-'Kwh Reading'!I28)*1000</f>
        <v>0</v>
      </c>
      <c r="L28" s="2">
        <f>('Kwh Reading'!B29-'Kwh Reading'!B28)*1000000</f>
        <v>0</v>
      </c>
      <c r="M28" s="2">
        <f>('Kwh Reading'!M29-'Kwh Reading'!M28)*1000</f>
        <v>0</v>
      </c>
      <c r="N28" s="2">
        <f>('Kwh Reading'!H29-'Kwh Reading'!H28)*1000</f>
        <v>0</v>
      </c>
      <c r="O28" s="2">
        <f>('Kwh Reading'!P29-'Kwh Reading'!P28)*1000</f>
        <v>0</v>
      </c>
      <c r="P28" s="2">
        <f>('Kwh Reading'!G29-'Kwh Reading'!G28)*1000</f>
        <v>0</v>
      </c>
      <c r="Q28" s="2">
        <f>('Kwh Reading'!Q29-'Kwh Reading'!Q28)*1000</f>
        <v>0</v>
      </c>
      <c r="R28" s="2">
        <f>('Kwh Reading'!N29-'Kwh Reading'!N28)*1000</f>
        <v>0</v>
      </c>
      <c r="S28" s="2">
        <f>'Kwh Reading'!E29-'Kwh Reading'!E28</f>
        <v>0</v>
      </c>
      <c r="T28" s="2">
        <f>'Kwh Reading'!D29-'Kwh Reading'!D28</f>
        <v>0</v>
      </c>
      <c r="U28" s="27">
        <f>('Kwh Reading'!O29-'Kwh Reading'!O28)*1000</f>
        <v>0</v>
      </c>
      <c r="V28" s="16">
        <f t="shared" si="1"/>
        <v>0</v>
      </c>
    </row>
    <row r="29" spans="1:22" x14ac:dyDescent="0.25">
      <c r="A29" s="3">
        <f>'Kwh Reading'!A29</f>
        <v>44465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44466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44467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44468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44469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44470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80" t="s">
        <v>52</v>
      </c>
      <c r="B35" s="79">
        <f>SUM(B4:B34)</f>
        <v>321880.00000000017</v>
      </c>
      <c r="C35" s="75">
        <f t="shared" ref="C35" si="2">SUM(C4:C34)</f>
        <v>-449370</v>
      </c>
      <c r="D35" s="75">
        <f t="shared" ref="D35" si="3">SUM(D4:D34)</f>
        <v>-2528500</v>
      </c>
      <c r="E35" s="75">
        <f t="shared" ref="E35" si="4">SUM(E4:E34)</f>
        <v>-244759.99999999997</v>
      </c>
      <c r="F35" s="75">
        <f t="shared" ref="F35" si="5">SUM(F4:F34)</f>
        <v>-333199.99999999994</v>
      </c>
      <c r="G35" s="75">
        <f t="shared" ref="G35:U35" si="6">SUM(G4:G34)</f>
        <v>-358670</v>
      </c>
      <c r="H35" s="75">
        <f t="shared" si="6"/>
        <v>-246580.00000000003</v>
      </c>
      <c r="I35" s="75">
        <f t="shared" si="6"/>
        <v>-174590</v>
      </c>
      <c r="J35" s="75">
        <f t="shared" si="6"/>
        <v>-122740</v>
      </c>
      <c r="K35" s="75">
        <f t="shared" si="6"/>
        <v>-256100.00000000003</v>
      </c>
      <c r="L35" s="75">
        <f t="shared" si="6"/>
        <v>-1064999.9999999998</v>
      </c>
      <c r="M35" s="75">
        <f t="shared" si="6"/>
        <v>-564620</v>
      </c>
      <c r="N35" s="75">
        <f t="shared" si="6"/>
        <v>-653780</v>
      </c>
      <c r="O35" s="75">
        <f t="shared" si="6"/>
        <v>-682280</v>
      </c>
      <c r="P35" s="75">
        <f t="shared" si="6"/>
        <v>-798320.00000000012</v>
      </c>
      <c r="Q35" s="75">
        <f t="shared" si="6"/>
        <v>-503900</v>
      </c>
      <c r="R35" s="75">
        <f t="shared" si="6"/>
        <v>-517910</v>
      </c>
      <c r="S35" s="75">
        <f t="shared" si="6"/>
        <v>-8383537.8399999999</v>
      </c>
      <c r="T35" s="75">
        <f t="shared" si="6"/>
        <v>-7626409.6399999997</v>
      </c>
      <c r="U35" s="75">
        <f t="shared" si="6"/>
        <v>-165550.00000000003</v>
      </c>
      <c r="V35" s="75">
        <f>SUM(V4:V34)</f>
        <v>25997697.479999997</v>
      </c>
    </row>
    <row r="40" spans="1:22" x14ac:dyDescent="0.25">
      <c r="S40" s="81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16" sqref="D16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5" t="s">
        <v>53</v>
      </c>
      <c r="D2" s="35" t="s">
        <v>54</v>
      </c>
      <c r="E2" s="35" t="s">
        <v>55</v>
      </c>
      <c r="F2" s="35" t="s">
        <v>56</v>
      </c>
      <c r="G2" s="20" t="s">
        <v>57</v>
      </c>
      <c r="H2" s="73" t="s">
        <v>58</v>
      </c>
      <c r="I2" s="23" t="s">
        <v>40</v>
      </c>
      <c r="J2" s="23" t="s">
        <v>59</v>
      </c>
      <c r="K2" s="23" t="s">
        <v>60</v>
      </c>
      <c r="L2" s="38" t="s">
        <v>61</v>
      </c>
    </row>
    <row r="3" spans="1:12" x14ac:dyDescent="0.25">
      <c r="A3" s="14">
        <f>'Kwh Reading'!A4</f>
        <v>44440</v>
      </c>
      <c r="B3" s="83">
        <f>TOTAL!E2</f>
        <v>21730.000000000473</v>
      </c>
      <c r="C3" s="1">
        <f>'Kwh Consumption'!C4</f>
        <v>480.00000000001819</v>
      </c>
      <c r="D3" s="1">
        <f>'Kwh Consumption'!D4</f>
        <v>2399.9999999997358</v>
      </c>
      <c r="E3" s="1">
        <f>'Kwh Consumption'!E4</f>
        <v>240.00000000000909</v>
      </c>
      <c r="F3" s="1">
        <f>('Kwh Consumption'!F4+'Kwh Consumption'!G4+'Kwh Consumption'!H4)</f>
        <v>660.00000000002501</v>
      </c>
      <c r="G3" s="16">
        <f>('Kwh Consumption'!I4+'Kwh Consumption'!J4)</f>
        <v>390.00000000001478</v>
      </c>
      <c r="H3" s="1">
        <f>('Kwh Consumption'!K4+'Kwh Consumption'!L4)</f>
        <v>1670.0000000000496</v>
      </c>
      <c r="I3" s="1">
        <f>('Kwh Consumption'!M4+'Kwh Consumption'!N4+'Kwh Consumption'!O4+'Kwh Consumption'!P4+'Kwh Consumption'!Q4+'Kwh Consumption'!R4)</f>
        <v>4980.0000000000746</v>
      </c>
      <c r="J3" s="1">
        <f>('Kwh Consumption'!S4+'Kwh Consumption'!T4)</f>
        <v>5198.6300000008196</v>
      </c>
      <c r="K3" s="1">
        <f>'Kwh Consumption'!U4</f>
        <v>219.99999999999886</v>
      </c>
      <c r="L3" s="32">
        <f t="shared" ref="L3:L33" si="0">B3-C3-D3-E3-F3-G3-H3-I3-J3-K3</f>
        <v>5491.3699999997307</v>
      </c>
    </row>
    <row r="4" spans="1:12" x14ac:dyDescent="0.25">
      <c r="A4" s="14">
        <f>'Kwh Reading'!A5</f>
        <v>44441</v>
      </c>
      <c r="B4" s="83">
        <f>TOTAL!E3</f>
        <v>21189.999999998465</v>
      </c>
      <c r="C4" s="1">
        <f>'Kwh Consumption'!C5</f>
        <v>449.99999999998863</v>
      </c>
      <c r="D4" s="1">
        <f>'Kwh Consumption'!D5</f>
        <v>2299.9999999999686</v>
      </c>
      <c r="E4" s="1">
        <f>'Kwh Consumption'!E5</f>
        <v>240.00000000000909</v>
      </c>
      <c r="F4" s="1">
        <f>('Kwh Consumption'!F5+'Kwh Consumption'!G5+'Kwh Consumption'!H5)</f>
        <v>569.99999999996476</v>
      </c>
      <c r="G4" s="16">
        <f>('Kwh Consumption'!I5+'Kwh Consumption'!J5)</f>
        <v>379.99999999999545</v>
      </c>
      <c r="H4" s="1">
        <f>('Kwh Consumption'!K5+'Kwh Consumption'!L5)</f>
        <v>1660.0000000000587</v>
      </c>
      <c r="I4" s="1">
        <f>('Kwh Consumption'!M5+'Kwh Consumption'!N5+'Kwh Consumption'!O5+'Kwh Consumption'!P5+'Kwh Consumption'!Q5+'Kwh Consumption'!R5)</f>
        <v>4090.0000000000887</v>
      </c>
      <c r="J4" s="1">
        <f>('Kwh Consumption'!S5+'Kwh Consumption'!T5)</f>
        <v>4647.3799999989569</v>
      </c>
      <c r="K4" s="1">
        <f>'Kwh Consumption'!U5</f>
        <v>219.99999999999886</v>
      </c>
      <c r="L4" s="32">
        <f t="shared" si="0"/>
        <v>6632.6199999994378</v>
      </c>
    </row>
    <row r="5" spans="1:12" x14ac:dyDescent="0.25">
      <c r="A5" s="14">
        <f>'Kwh Reading'!A6</f>
        <v>44442</v>
      </c>
      <c r="B5" s="83">
        <f>TOTAL!E4</f>
        <v>21290.000000001783</v>
      </c>
      <c r="C5" s="1">
        <f>'Kwh Consumption'!C6</f>
        <v>289.99999999996362</v>
      </c>
      <c r="D5" s="1">
        <f>'Kwh Consumption'!D6</f>
        <v>2400.0000000001796</v>
      </c>
      <c r="E5" s="1">
        <f>'Kwh Consumption'!E6</f>
        <v>250</v>
      </c>
      <c r="F5" s="1">
        <f>('Kwh Consumption'!F6+'Kwh Consumption'!G6+'Kwh Consumption'!H6)</f>
        <v>569.99999999999318</v>
      </c>
      <c r="G5" s="16">
        <f>('Kwh Consumption'!I6+'Kwh Consumption'!J6)</f>
        <v>339.9999999999892</v>
      </c>
      <c r="H5" s="1">
        <f>('Kwh Consumption'!K6+'Kwh Consumption'!L6)</f>
        <v>1659.9999999998367</v>
      </c>
      <c r="I5" s="1">
        <f>('Kwh Consumption'!M6+'Kwh Consumption'!N6+'Kwh Consumption'!O6+'Kwh Consumption'!P6+'Kwh Consumption'!Q6+'Kwh Consumption'!R6)</f>
        <v>4499.9999999998863</v>
      </c>
      <c r="J5" s="1">
        <f>('Kwh Consumption'!S6+'Kwh Consumption'!T6)</f>
        <v>4853.9900000011548</v>
      </c>
      <c r="K5" s="1">
        <f>'Kwh Consumption'!U6</f>
        <v>229.99999999998977</v>
      </c>
      <c r="L5" s="32">
        <f t="shared" si="0"/>
        <v>6196.0100000007906</v>
      </c>
    </row>
    <row r="6" spans="1:12" x14ac:dyDescent="0.25">
      <c r="A6" s="14">
        <f>'Kwh Reading'!A7</f>
        <v>44443</v>
      </c>
      <c r="B6" s="83">
        <f>TOTAL!E5</f>
        <v>21480.000000000473</v>
      </c>
      <c r="C6" s="1">
        <f>'Kwh Consumption'!C7</f>
        <v>470.00000000002728</v>
      </c>
      <c r="D6" s="1">
        <f>'Kwh Consumption'!D7</f>
        <v>2299.9999999999686</v>
      </c>
      <c r="E6" s="1">
        <f>'Kwh Consumption'!E7</f>
        <v>229.99999999998977</v>
      </c>
      <c r="F6" s="1">
        <f>('Kwh Consumption'!F7+'Kwh Consumption'!G7+'Kwh Consumption'!H7)</f>
        <v>530.00000000000114</v>
      </c>
      <c r="G6" s="16">
        <f>('Kwh Consumption'!I7+'Kwh Consumption'!J7)</f>
        <v>359.99999999999943</v>
      </c>
      <c r="H6" s="1">
        <f>('Kwh Consumption'!K7+'Kwh Consumption'!L7)</f>
        <v>1560.0000000000698</v>
      </c>
      <c r="I6" s="1">
        <f>('Kwh Consumption'!M7+'Kwh Consumption'!N7+'Kwh Consumption'!O7+'Kwh Consumption'!P7+'Kwh Consumption'!Q7+'Kwh Consumption'!R7)</f>
        <v>4450.0000000000455</v>
      </c>
      <c r="J6" s="1">
        <f>('Kwh Consumption'!S7+'Kwh Consumption'!T7)</f>
        <v>5016.8800000008196</v>
      </c>
      <c r="K6" s="1">
        <f>'Kwh Consumption'!U7</f>
        <v>229.99999999998977</v>
      </c>
      <c r="L6" s="32">
        <f t="shared" si="0"/>
        <v>6333.1199999995633</v>
      </c>
    </row>
    <row r="7" spans="1:12" x14ac:dyDescent="0.25">
      <c r="A7" s="14">
        <f>'Kwh Reading'!A8</f>
        <v>44444</v>
      </c>
      <c r="B7" s="83">
        <f>TOTAL!E6</f>
        <v>22480.000000000247</v>
      </c>
      <c r="C7" s="1">
        <f>'Kwh Consumption'!C8</f>
        <v>490.00000000000909</v>
      </c>
      <c r="D7" s="1">
        <f>'Kwh Consumption'!D8</f>
        <v>2299.9999999999686</v>
      </c>
      <c r="E7" s="1">
        <f>'Kwh Consumption'!E8</f>
        <v>219.99999999999886</v>
      </c>
      <c r="F7" s="1">
        <f>('Kwh Consumption'!F8+'Kwh Consumption'!G8+'Kwh Consumption'!H8)</f>
        <v>529.99999999997272</v>
      </c>
      <c r="G7" s="16">
        <f>('Kwh Consumption'!I8+'Kwh Consumption'!J8)</f>
        <v>339.9999999999892</v>
      </c>
      <c r="H7" s="1">
        <f>('Kwh Consumption'!K8+'Kwh Consumption'!L8)</f>
        <v>1790.0000000000773</v>
      </c>
      <c r="I7" s="1">
        <f>('Kwh Consumption'!M8+'Kwh Consumption'!N8+'Kwh Consumption'!O8+'Kwh Consumption'!P8+'Kwh Consumption'!Q8+'Kwh Consumption'!R8)</f>
        <v>4779.999999999859</v>
      </c>
      <c r="J7" s="1">
        <f>('Kwh Consumption'!S8+'Kwh Consumption'!T8)</f>
        <v>5259.7799999983981</v>
      </c>
      <c r="K7" s="1">
        <f>'Kwh Consumption'!U8</f>
        <v>230.00000000001819</v>
      </c>
      <c r="L7" s="32">
        <f t="shared" si="0"/>
        <v>6540.2200000019584</v>
      </c>
    </row>
    <row r="8" spans="1:12" x14ac:dyDescent="0.25">
      <c r="A8" s="14">
        <f>'Kwh Reading'!A9</f>
        <v>44445</v>
      </c>
      <c r="B8" s="83">
        <f>TOTAL!E7</f>
        <v>21649.999999997817</v>
      </c>
      <c r="C8" s="1">
        <f>'Kwh Consumption'!C9</f>
        <v>459.99999999997954</v>
      </c>
      <c r="D8" s="1">
        <f>'Kwh Consumption'!D9</f>
        <v>2400.0000000001796</v>
      </c>
      <c r="E8" s="1">
        <f>'Kwh Consumption'!E9</f>
        <v>250</v>
      </c>
      <c r="F8" s="1">
        <f>('Kwh Consumption'!F9+'Kwh Consumption'!G9+'Kwh Consumption'!H9)</f>
        <v>700.0000000000739</v>
      </c>
      <c r="G8" s="16">
        <f>('Kwh Consumption'!I9+'Kwh Consumption'!J9)</f>
        <v>370.00000000001876</v>
      </c>
      <c r="H8" s="1">
        <f>('Kwh Consumption'!K9+'Kwh Consumption'!L9)</f>
        <v>1669.9999999998277</v>
      </c>
      <c r="I8" s="1">
        <f>('Kwh Consumption'!M9+'Kwh Consumption'!N9+'Kwh Consumption'!O9+'Kwh Consumption'!P9+'Kwh Consumption'!Q9+'Kwh Consumption'!R9)</f>
        <v>4520.0000000001528</v>
      </c>
      <c r="J8" s="1">
        <f>('Kwh Consumption'!S9+'Kwh Consumption'!T9)</f>
        <v>5006.3000000007451</v>
      </c>
      <c r="K8" s="1">
        <f>'Kwh Consumption'!U9</f>
        <v>250</v>
      </c>
      <c r="L8" s="32">
        <f t="shared" si="0"/>
        <v>6023.6999999968448</v>
      </c>
    </row>
    <row r="9" spans="1:12" x14ac:dyDescent="0.25">
      <c r="A9" s="14">
        <f>'Kwh Reading'!A10</f>
        <v>44446</v>
      </c>
      <c r="B9" s="83">
        <f>TOTAL!E8</f>
        <v>22320.000000001754</v>
      </c>
      <c r="C9" s="1">
        <f>'Kwh Consumption'!C10</f>
        <v>470.00000000002728</v>
      </c>
      <c r="D9" s="1">
        <f>'Kwh Consumption'!D10</f>
        <v>2299.9999999999686</v>
      </c>
      <c r="E9" s="1">
        <f>'Kwh Consumption'!E10</f>
        <v>240.00000000000909</v>
      </c>
      <c r="F9" s="1">
        <f>('Kwh Consumption'!F10+'Kwh Consumption'!G10+'Kwh Consumption'!H10)</f>
        <v>669.99999999995907</v>
      </c>
      <c r="G9" s="16">
        <f>('Kwh Consumption'!I10+'Kwh Consumption'!J10)</f>
        <v>369.99999999999034</v>
      </c>
      <c r="H9" s="1">
        <f>('Kwh Consumption'!K10+'Kwh Consumption'!L10)</f>
        <v>1670.0000000001064</v>
      </c>
      <c r="I9" s="1">
        <f>('Kwh Consumption'!M10+'Kwh Consumption'!N10+'Kwh Consumption'!O10+'Kwh Consumption'!P10+'Kwh Consumption'!Q10+'Kwh Consumption'!R10)</f>
        <v>4329.9999999999272</v>
      </c>
      <c r="J9" s="1">
        <f>('Kwh Consumption'!S10+'Kwh Consumption'!T10)</f>
        <v>5048.1299999998882</v>
      </c>
      <c r="K9" s="1">
        <f>'Kwh Consumption'!U10</f>
        <v>180.00000000000682</v>
      </c>
      <c r="L9" s="32">
        <f t="shared" si="0"/>
        <v>7041.8700000018689</v>
      </c>
    </row>
    <row r="10" spans="1:12" x14ac:dyDescent="0.25">
      <c r="A10" s="14">
        <f>'Kwh Reading'!A11</f>
        <v>44447</v>
      </c>
      <c r="B10" s="83">
        <f>TOTAL!E9</f>
        <v>20830.000000000611</v>
      </c>
      <c r="C10" s="1">
        <f>'Kwh Consumption'!C11</f>
        <v>459.99999999997954</v>
      </c>
      <c r="D10" s="1">
        <f>'Kwh Consumption'!D11</f>
        <v>2399.9999999997358</v>
      </c>
      <c r="E10" s="1">
        <f>'Kwh Consumption'!E11</f>
        <v>229.99999999998977</v>
      </c>
      <c r="F10" s="1">
        <f>('Kwh Consumption'!F11+'Kwh Consumption'!G11+'Kwh Consumption'!H11)</f>
        <v>659.99999999996817</v>
      </c>
      <c r="G10" s="16">
        <f>('Kwh Consumption'!I11+'Kwh Consumption'!J11)</f>
        <v>360.00000000001364</v>
      </c>
      <c r="H10" s="1">
        <f>('Kwh Consumption'!K11+'Kwh Consumption'!L11)</f>
        <v>1680.0000000000405</v>
      </c>
      <c r="I10" s="1">
        <f>('Kwh Consumption'!M11+'Kwh Consumption'!N11+'Kwh Consumption'!O11+'Kwh Consumption'!P11+'Kwh Consumption'!Q11+'Kwh Consumption'!R11)</f>
        <v>4270.0000000000955</v>
      </c>
      <c r="J10" s="1">
        <f>('Kwh Consumption'!S11+'Kwh Consumption'!T11)</f>
        <v>4757.5500000007451</v>
      </c>
      <c r="K10" s="1">
        <f>'Kwh Consumption'!U11</f>
        <v>199.99999999998863</v>
      </c>
      <c r="L10" s="32">
        <f t="shared" si="0"/>
        <v>5812.4500000000589</v>
      </c>
    </row>
    <row r="11" spans="1:12" x14ac:dyDescent="0.25">
      <c r="A11" s="14">
        <f>'Kwh Reading'!A12</f>
        <v>44448</v>
      </c>
      <c r="B11" s="83">
        <f>TOTAL!E10</f>
        <v>21529.999999997472</v>
      </c>
      <c r="C11" s="1">
        <f>'Kwh Consumption'!C12</f>
        <v>500</v>
      </c>
      <c r="D11" s="1">
        <f>'Kwh Consumption'!D12</f>
        <v>2400.0000000001796</v>
      </c>
      <c r="E11" s="1">
        <f>'Kwh Consumption'!E12</f>
        <v>259.99999999999091</v>
      </c>
      <c r="F11" s="1">
        <f>('Kwh Consumption'!F12+'Kwh Consumption'!G12+'Kwh Consumption'!H12)</f>
        <v>640.00000000001478</v>
      </c>
      <c r="G11" s="16">
        <f>('Kwh Consumption'!I12+'Kwh Consumption'!J12)</f>
        <v>329.99999999999829</v>
      </c>
      <c r="H11" s="1">
        <f>('Kwh Consumption'!K12+'Kwh Consumption'!L12)</f>
        <v>1760.0000000000477</v>
      </c>
      <c r="I11" s="1">
        <f>('Kwh Consumption'!M12+'Kwh Consumption'!N12+'Kwh Consumption'!O12+'Kwh Consumption'!P12+'Kwh Consumption'!Q12+'Kwh Consumption'!R12)</f>
        <v>4349.9999999999654</v>
      </c>
      <c r="J11" s="1">
        <f>('Kwh Consumption'!S12+'Kwh Consumption'!T12)</f>
        <v>4963.6899999985471</v>
      </c>
      <c r="K11" s="1">
        <f>'Kwh Consumption'!U12</f>
        <v>189.99999999999773</v>
      </c>
      <c r="L11" s="32">
        <f t="shared" si="0"/>
        <v>6136.309999998728</v>
      </c>
    </row>
    <row r="12" spans="1:12" x14ac:dyDescent="0.25">
      <c r="A12" s="14">
        <f>'Kwh Reading'!A13</f>
        <v>44449</v>
      </c>
      <c r="B12" s="83">
        <f>TOTAL!E11</f>
        <v>21059.999999999945</v>
      </c>
      <c r="C12" s="1">
        <f>'Kwh Consumption'!C13</f>
        <v>319.99999999999318</v>
      </c>
      <c r="D12" s="1">
        <f>'Kwh Consumption'!D13</f>
        <v>2499.9999999999468</v>
      </c>
      <c r="E12" s="1">
        <f>'Kwh Consumption'!E13</f>
        <v>250</v>
      </c>
      <c r="F12" s="1">
        <f>('Kwh Consumption'!F13+'Kwh Consumption'!G13+'Kwh Consumption'!H13)</f>
        <v>719.99999999999886</v>
      </c>
      <c r="G12" s="16">
        <f>('Kwh Consumption'!I13+'Kwh Consumption'!J13)</f>
        <v>359.99999999998522</v>
      </c>
      <c r="H12" s="1">
        <f>('Kwh Consumption'!K13+'Kwh Consumption'!L13)</f>
        <v>1669.9999999998845</v>
      </c>
      <c r="I12" s="1">
        <f>('Kwh Consumption'!M13+'Kwh Consumption'!N13+'Kwh Consumption'!O13+'Kwh Consumption'!P13+'Kwh Consumption'!Q13+'Kwh Consumption'!R13)</f>
        <v>4599.9999999998527</v>
      </c>
      <c r="J12" s="1">
        <f>('Kwh Consumption'!S13+'Kwh Consumption'!T13)</f>
        <v>4940.9199999999255</v>
      </c>
      <c r="K12" s="1">
        <f>'Kwh Consumption'!U13</f>
        <v>199.99999999998863</v>
      </c>
      <c r="L12" s="32">
        <f t="shared" si="0"/>
        <v>5499.080000000371</v>
      </c>
    </row>
    <row r="13" spans="1:12" x14ac:dyDescent="0.25">
      <c r="A13" s="14">
        <f>'Kwh Reading'!A14</f>
        <v>44450</v>
      </c>
      <c r="B13" s="83">
        <f>TOTAL!E12</f>
        <v>21830.000000003114</v>
      </c>
      <c r="C13" s="1">
        <f>'Kwh Consumption'!C14</f>
        <v>490.00000000000909</v>
      </c>
      <c r="D13" s="1">
        <f>'Kwh Consumption'!D14</f>
        <v>2499.9999999999468</v>
      </c>
      <c r="E13" s="1">
        <f>'Kwh Consumption'!E14</f>
        <v>240.00000000000909</v>
      </c>
      <c r="F13" s="1">
        <f>('Kwh Consumption'!F14+'Kwh Consumption'!G14+'Kwh Consumption'!H14)</f>
        <v>749.99999999997158</v>
      </c>
      <c r="G13" s="16">
        <f>('Kwh Consumption'!I14+'Kwh Consumption'!J14)</f>
        <v>370.00000000000455</v>
      </c>
      <c r="H13" s="1">
        <f>('Kwh Consumption'!K14+'Kwh Consumption'!L14)</f>
        <v>1700.0000000000223</v>
      </c>
      <c r="I13" s="1">
        <f>('Kwh Consumption'!M14+'Kwh Consumption'!N14+'Kwh Consumption'!O14+'Kwh Consumption'!P14+'Kwh Consumption'!Q14+'Kwh Consumption'!R14)</f>
        <v>4770.0000000001528</v>
      </c>
      <c r="J13" s="1">
        <f>('Kwh Consumption'!S14+'Kwh Consumption'!T14)</f>
        <v>4909.730000000447</v>
      </c>
      <c r="K13" s="1">
        <f>'Kwh Consumption'!U14</f>
        <v>180.00000000000682</v>
      </c>
      <c r="L13" s="32">
        <f t="shared" si="0"/>
        <v>5920.270000002547</v>
      </c>
    </row>
    <row r="14" spans="1:12" x14ac:dyDescent="0.25">
      <c r="A14" s="14">
        <f>'Kwh Reading'!A15</f>
        <v>44451</v>
      </c>
      <c r="B14" s="83">
        <f>TOTAL!E13</f>
        <v>20779.999999999291</v>
      </c>
      <c r="C14" s="1">
        <f>'Kwh Consumption'!C15</f>
        <v>500</v>
      </c>
      <c r="D14" s="1">
        <f>'Kwh Consumption'!D15</f>
        <v>2299.9999999999686</v>
      </c>
      <c r="E14" s="1">
        <f>'Kwh Consumption'!E15</f>
        <v>219.99999999999886</v>
      </c>
      <c r="F14" s="1">
        <f>('Kwh Consumption'!F15+'Kwh Consumption'!G15+'Kwh Consumption'!H15)</f>
        <v>590.00000000003183</v>
      </c>
      <c r="G14" s="16">
        <f>('Kwh Consumption'!I15+'Kwh Consumption'!J15)</f>
        <v>329.99999999999829</v>
      </c>
      <c r="H14" s="1">
        <f>('Kwh Consumption'!K15+'Kwh Consumption'!L15)</f>
        <v>1670.0000000001064</v>
      </c>
      <c r="I14" s="1">
        <f>('Kwh Consumption'!M15+'Kwh Consumption'!N15+'Kwh Consumption'!O15+'Kwh Consumption'!P15+'Kwh Consumption'!Q15+'Kwh Consumption'!R15)</f>
        <v>4369.9999999998909</v>
      </c>
      <c r="J14" s="1">
        <f>('Kwh Consumption'!S15+'Kwh Consumption'!T15)</f>
        <v>4680.7600000007078</v>
      </c>
      <c r="K14" s="1">
        <f>'Kwh Consumption'!U15</f>
        <v>219.99999999999886</v>
      </c>
      <c r="L14" s="32">
        <f t="shared" si="0"/>
        <v>5899.2399999985873</v>
      </c>
    </row>
    <row r="15" spans="1:12" x14ac:dyDescent="0.25">
      <c r="A15" s="14">
        <f>'Kwh Reading'!A16</f>
        <v>44452</v>
      </c>
      <c r="B15" s="83">
        <f>TOTAL!E14</f>
        <v>21360.000000000131</v>
      </c>
      <c r="C15" s="1">
        <f>'Kwh Consumption'!C16</f>
        <v>490.00000000000909</v>
      </c>
      <c r="D15" s="1">
        <f>'Kwh Consumption'!D16</f>
        <v>2400.0000000001796</v>
      </c>
      <c r="E15" s="1">
        <f>'Kwh Consumption'!E16</f>
        <v>210.00000000000796</v>
      </c>
      <c r="F15" s="1">
        <f>('Kwh Consumption'!F16+'Kwh Consumption'!G16+'Kwh Consumption'!H16)</f>
        <v>780.00000000000114</v>
      </c>
      <c r="G15" s="16">
        <f>('Kwh Consumption'!I16+'Kwh Consumption'!J16)</f>
        <v>359.99999999999943</v>
      </c>
      <c r="H15" s="1">
        <f>('Kwh Consumption'!K16+'Kwh Consumption'!L16)</f>
        <v>1769.9999999998165</v>
      </c>
      <c r="I15" s="1">
        <f>('Kwh Consumption'!M16+'Kwh Consumption'!N16+'Kwh Consumption'!O16+'Kwh Consumption'!P16+'Kwh Consumption'!Q16+'Kwh Consumption'!R16)</f>
        <v>4480.0000000000182</v>
      </c>
      <c r="J15" s="1">
        <f>('Kwh Consumption'!S16+'Kwh Consumption'!T16)</f>
        <v>4716.5499999998137</v>
      </c>
      <c r="K15" s="1">
        <f>'Kwh Consumption'!U16</f>
        <v>200.00000000001705</v>
      </c>
      <c r="L15" s="32">
        <f t="shared" si="0"/>
        <v>5953.4500000002727</v>
      </c>
    </row>
    <row r="16" spans="1:12" x14ac:dyDescent="0.25">
      <c r="A16" s="14">
        <f>'Kwh Reading'!A17</f>
        <v>44453</v>
      </c>
      <c r="B16" s="83">
        <f>TOTAL!E15</f>
        <v>21449.999999998457</v>
      </c>
      <c r="C16" s="1">
        <f>'Kwh Consumption'!C17</f>
        <v>509.99999999999091</v>
      </c>
      <c r="D16" s="1">
        <f>'Kwh Consumption'!D17</f>
        <v>2399.9999999997358</v>
      </c>
      <c r="E16" s="1">
        <f>'Kwh Consumption'!E17</f>
        <v>250</v>
      </c>
      <c r="F16" s="1">
        <f>('Kwh Consumption'!F17+'Kwh Consumption'!G17+'Kwh Consumption'!H17)</f>
        <v>749.99999999997158</v>
      </c>
      <c r="G16" s="16">
        <f>('Kwh Consumption'!I17+'Kwh Consumption'!J17)</f>
        <v>370.00000000001876</v>
      </c>
      <c r="H16" s="1">
        <f>('Kwh Consumption'!K17+'Kwh Consumption'!L17)</f>
        <v>1790.0000000000773</v>
      </c>
      <c r="I16" s="1">
        <f>('Kwh Consumption'!M17+'Kwh Consumption'!N17+'Kwh Consumption'!O17+'Kwh Consumption'!P17+'Kwh Consumption'!Q17+'Kwh Consumption'!R17)</f>
        <v>4380.0000000001091</v>
      </c>
      <c r="J16" s="1">
        <f>('Kwh Consumption'!S17+'Kwh Consumption'!T17)</f>
        <v>5149.5299999993294</v>
      </c>
      <c r="K16" s="1">
        <f>'Kwh Consumption'!U17</f>
        <v>179.9999999999784</v>
      </c>
      <c r="L16" s="32">
        <f t="shared" si="0"/>
        <v>5670.4699999992481</v>
      </c>
    </row>
    <row r="17" spans="1:12" x14ac:dyDescent="0.25">
      <c r="A17" s="14">
        <f>'Kwh Reading'!A18</f>
        <v>44454</v>
      </c>
      <c r="B17" s="83">
        <f>TOTAL!E16</f>
        <v>18569.999999999709</v>
      </c>
      <c r="C17" s="1">
        <f>'Kwh Consumption'!C18</f>
        <v>500</v>
      </c>
      <c r="D17" s="1">
        <f>'Kwh Consumption'!D18</f>
        <v>2400.0000000001796</v>
      </c>
      <c r="E17" s="1">
        <f>'Kwh Consumption'!E18</f>
        <v>240.00000000000909</v>
      </c>
      <c r="F17" s="1">
        <f>('Kwh Consumption'!F18+'Kwh Consumption'!G18+'Kwh Consumption'!H18)</f>
        <v>710.0000000000648</v>
      </c>
      <c r="G17" s="16">
        <f>('Kwh Consumption'!I18+'Kwh Consumption'!J18)</f>
        <v>359.99999999997101</v>
      </c>
      <c r="H17" s="1">
        <f>('Kwh Consumption'!K18+'Kwh Consumption'!L18)</f>
        <v>1340.00000000011</v>
      </c>
      <c r="I17" s="1">
        <f>('Kwh Consumption'!M18+'Kwh Consumption'!N18+'Kwh Consumption'!O18+'Kwh Consumption'!P18+'Kwh Consumption'!Q18+'Kwh Consumption'!R18)</f>
        <v>3459.999999999809</v>
      </c>
      <c r="J17" s="1">
        <f>('Kwh Consumption'!S18+'Kwh Consumption'!T18)</f>
        <v>3979.1399999996647</v>
      </c>
      <c r="K17" s="31">
        <f>'Kwh Consumption'!U18</f>
        <v>180.00000000000682</v>
      </c>
      <c r="L17" s="32">
        <f t="shared" si="0"/>
        <v>5400.8599999998933</v>
      </c>
    </row>
    <row r="18" spans="1:12" x14ac:dyDescent="0.25">
      <c r="A18" s="14">
        <f>'Kwh Reading'!A19</f>
        <v>44455</v>
      </c>
      <c r="B18" s="83">
        <f>TOTAL!E17</f>
        <v>0</v>
      </c>
      <c r="C18" s="1">
        <f>'Kwh Consumption'!C19</f>
        <v>-456250</v>
      </c>
      <c r="D18" s="1">
        <f>'Kwh Consumption'!D19</f>
        <v>-2564200</v>
      </c>
      <c r="E18" s="1">
        <f>'Kwh Consumption'!E19</f>
        <v>-248330</v>
      </c>
      <c r="F18" s="1">
        <f>('Kwh Consumption'!F19+'Kwh Consumption'!G19+'Kwh Consumption'!H19)</f>
        <v>-948280</v>
      </c>
      <c r="G18" s="16">
        <f>('Kwh Consumption'!I19+'Kwh Consumption'!J19)</f>
        <v>-302720</v>
      </c>
      <c r="H18" s="1">
        <f>('Kwh Consumption'!K19+'Kwh Consumption'!L19)</f>
        <v>-1346160</v>
      </c>
      <c r="I18" s="1">
        <f>('Kwh Consumption'!M19+'Kwh Consumption'!N19+'Kwh Consumption'!O19+'Kwh Consumption'!P19+'Kwh Consumption'!Q19+'Kwh Consumption'!R19)</f>
        <v>-3787140</v>
      </c>
      <c r="J18" s="1">
        <f>('Kwh Consumption'!S19+'Kwh Consumption'!T19)</f>
        <v>-16083076.439999999</v>
      </c>
      <c r="K18" s="31">
        <f>'Kwh Consumption'!U19</f>
        <v>-168660</v>
      </c>
      <c r="L18" s="32">
        <f t="shared" si="0"/>
        <v>25904816.439999998</v>
      </c>
    </row>
    <row r="19" spans="1:12" x14ac:dyDescent="0.25">
      <c r="A19" s="14">
        <f>'Kwh Reading'!A20</f>
        <v>44456</v>
      </c>
      <c r="B19" s="83">
        <f>TOTAL!E18</f>
        <v>0</v>
      </c>
      <c r="C19" s="1">
        <f>'Kwh Consumption'!C20</f>
        <v>0</v>
      </c>
      <c r="D19" s="1">
        <f>'Kwh Consumption'!D20</f>
        <v>0</v>
      </c>
      <c r="E19" s="1">
        <f>'Kwh Consumption'!E20</f>
        <v>0</v>
      </c>
      <c r="F19" s="1">
        <f>('Kwh Consumption'!F20+'Kwh Consumption'!G20+'Kwh Consumption'!H20)</f>
        <v>0</v>
      </c>
      <c r="G19" s="16">
        <f>('Kwh Consumption'!I20+'Kwh Consumption'!J20)</f>
        <v>0</v>
      </c>
      <c r="H19" s="1">
        <f>('Kwh Consumption'!K20+'Kwh Consumption'!L20)</f>
        <v>0</v>
      </c>
      <c r="I19" s="1">
        <f>('Kwh Consumption'!M20+'Kwh Consumption'!N20+'Kwh Consumption'!O20+'Kwh Consumption'!P20+'Kwh Consumption'!Q20+'Kwh Consumption'!R20)</f>
        <v>0</v>
      </c>
      <c r="J19" s="1">
        <f>('Kwh Consumption'!S20+'Kwh Consumption'!T20)</f>
        <v>0</v>
      </c>
      <c r="K19" s="1">
        <f>'Kwh Consumption'!U20</f>
        <v>0</v>
      </c>
      <c r="L19" s="32">
        <f t="shared" si="0"/>
        <v>0</v>
      </c>
    </row>
    <row r="20" spans="1:12" x14ac:dyDescent="0.25">
      <c r="A20" s="14">
        <f>'Kwh Reading'!A21</f>
        <v>44457</v>
      </c>
      <c r="B20" s="83">
        <f>TOTAL!E19</f>
        <v>0</v>
      </c>
      <c r="C20" s="1">
        <f>'Kwh Consumption'!C21</f>
        <v>0</v>
      </c>
      <c r="D20" s="1">
        <f>'Kwh Consumption'!D21</f>
        <v>0</v>
      </c>
      <c r="E20" s="1">
        <f>'Kwh Consumption'!E21</f>
        <v>0</v>
      </c>
      <c r="F20" s="1">
        <f>('Kwh Consumption'!F21+'Kwh Consumption'!G21+'Kwh Consumption'!H21)</f>
        <v>0</v>
      </c>
      <c r="G20" s="16">
        <f>('Kwh Consumption'!I21+'Kwh Consumption'!J21)</f>
        <v>0</v>
      </c>
      <c r="H20" s="1">
        <f>('Kwh Consumption'!K21+'Kwh Consumption'!L21)</f>
        <v>0</v>
      </c>
      <c r="I20" s="1">
        <f>('Kwh Consumption'!M21+'Kwh Consumption'!N21+'Kwh Consumption'!O21+'Kwh Consumption'!P21+'Kwh Consumption'!Q21+'Kwh Consumption'!R21)</f>
        <v>0</v>
      </c>
      <c r="J20" s="1">
        <f>('Kwh Consumption'!S21+'Kwh Consumption'!T21)</f>
        <v>0</v>
      </c>
      <c r="K20" s="1">
        <f>'Kwh Consumption'!U21</f>
        <v>0</v>
      </c>
      <c r="L20" s="32">
        <f t="shared" si="0"/>
        <v>0</v>
      </c>
    </row>
    <row r="21" spans="1:12" x14ac:dyDescent="0.25">
      <c r="A21" s="14">
        <f>'Kwh Reading'!A22</f>
        <v>44458</v>
      </c>
      <c r="B21" s="83">
        <f>TOTAL!E20</f>
        <v>0</v>
      </c>
      <c r="C21" s="1">
        <f>'Kwh Consumption'!C22</f>
        <v>0</v>
      </c>
      <c r="D21" s="1">
        <f>'Kwh Consumption'!D22</f>
        <v>0</v>
      </c>
      <c r="E21" s="1">
        <f>'Kwh Consumption'!E22</f>
        <v>0</v>
      </c>
      <c r="F21" s="1">
        <f>('Kwh Consumption'!F22+'Kwh Consumption'!G22+'Kwh Consumption'!H22)</f>
        <v>0</v>
      </c>
      <c r="G21" s="16">
        <f>('Kwh Consumption'!I22+'Kwh Consumption'!J22)</f>
        <v>0</v>
      </c>
      <c r="H21" s="1">
        <f>('Kwh Consumption'!K22+'Kwh Consumption'!L22)</f>
        <v>0</v>
      </c>
      <c r="I21" s="1">
        <f>('Kwh Consumption'!M22+'Kwh Consumption'!N22+'Kwh Consumption'!O22+'Kwh Consumption'!P22+'Kwh Consumption'!Q22+'Kwh Consumption'!R22)</f>
        <v>0</v>
      </c>
      <c r="J21" s="1">
        <f>('Kwh Consumption'!S22+'Kwh Consumption'!T22)</f>
        <v>0</v>
      </c>
      <c r="K21" s="1">
        <f>'Kwh Consumption'!U22</f>
        <v>0</v>
      </c>
      <c r="L21" s="32">
        <f t="shared" si="0"/>
        <v>0</v>
      </c>
    </row>
    <row r="22" spans="1:12" x14ac:dyDescent="0.25">
      <c r="A22" s="14">
        <f>'Kwh Reading'!A23</f>
        <v>44459</v>
      </c>
      <c r="B22" s="83">
        <f>TOTAL!E21</f>
        <v>0</v>
      </c>
      <c r="C22" s="1">
        <f>'Kwh Consumption'!C23</f>
        <v>0</v>
      </c>
      <c r="D22" s="1">
        <f>'Kwh Consumption'!D23</f>
        <v>0</v>
      </c>
      <c r="E22" s="1">
        <f>'Kwh Consumption'!E23</f>
        <v>0</v>
      </c>
      <c r="F22" s="1">
        <f>('Kwh Consumption'!F23+'Kwh Consumption'!G23+'Kwh Consumption'!H23)</f>
        <v>0</v>
      </c>
      <c r="G22" s="16">
        <f>('Kwh Consumption'!I23+'Kwh Consumption'!J23)</f>
        <v>0</v>
      </c>
      <c r="H22" s="1">
        <f>('Kwh Consumption'!K23+'Kwh Consumption'!L23)</f>
        <v>0</v>
      </c>
      <c r="I22" s="1">
        <f>('Kwh Consumption'!M23+'Kwh Consumption'!N23+'Kwh Consumption'!O23+'Kwh Consumption'!P23+'Kwh Consumption'!Q23+'Kwh Consumption'!R23)</f>
        <v>0</v>
      </c>
      <c r="J22" s="1">
        <f>('Kwh Consumption'!S23+'Kwh Consumption'!T23)</f>
        <v>0</v>
      </c>
      <c r="K22" s="1">
        <f>'Kwh Consumption'!U23</f>
        <v>0</v>
      </c>
      <c r="L22" s="32">
        <f t="shared" si="0"/>
        <v>0</v>
      </c>
    </row>
    <row r="23" spans="1:12" x14ac:dyDescent="0.25">
      <c r="A23" s="14">
        <f>'Kwh Reading'!A24</f>
        <v>44460</v>
      </c>
      <c r="B23" s="83">
        <f>TOTAL!E22</f>
        <v>0</v>
      </c>
      <c r="C23" s="1">
        <f>'Kwh Consumption'!C24</f>
        <v>0</v>
      </c>
      <c r="D23" s="1">
        <f>'Kwh Consumption'!D24</f>
        <v>0</v>
      </c>
      <c r="E23" s="1">
        <f>'Kwh Consumption'!E24</f>
        <v>0</v>
      </c>
      <c r="F23" s="1">
        <f>('Kwh Consumption'!F24+'Kwh Consumption'!G24+'Kwh Consumption'!H24)</f>
        <v>0</v>
      </c>
      <c r="G23" s="16">
        <f>('Kwh Consumption'!I24+'Kwh Consumption'!J24)</f>
        <v>0</v>
      </c>
      <c r="H23" s="1">
        <f>('Kwh Consumption'!K24+'Kwh Consumption'!L24)</f>
        <v>0</v>
      </c>
      <c r="I23" s="1">
        <f>('Kwh Consumption'!M24+'Kwh Consumption'!N24+'Kwh Consumption'!O24+'Kwh Consumption'!P24+'Kwh Consumption'!Q24+'Kwh Consumption'!R24)</f>
        <v>0</v>
      </c>
      <c r="J23" s="1">
        <f>('Kwh Consumption'!S24+'Kwh Consumption'!T24)</f>
        <v>0</v>
      </c>
      <c r="K23" s="1">
        <f>'Kwh Consumption'!U24</f>
        <v>0</v>
      </c>
      <c r="L23" s="32">
        <f t="shared" si="0"/>
        <v>0</v>
      </c>
    </row>
    <row r="24" spans="1:12" x14ac:dyDescent="0.25">
      <c r="A24" s="14">
        <f>'Kwh Reading'!A25</f>
        <v>44461</v>
      </c>
      <c r="B24" s="83">
        <f>TOTAL!E23</f>
        <v>0</v>
      </c>
      <c r="C24" s="1">
        <f>'Kwh Consumption'!C25</f>
        <v>0</v>
      </c>
      <c r="D24" s="1">
        <f>'Kwh Consumption'!D25</f>
        <v>0</v>
      </c>
      <c r="E24" s="1">
        <f>'Kwh Consumption'!E25</f>
        <v>0</v>
      </c>
      <c r="F24" s="1">
        <f>('Kwh Consumption'!F25+'Kwh Consumption'!G25+'Kwh Consumption'!H25)</f>
        <v>0</v>
      </c>
      <c r="G24" s="16">
        <f>('Kwh Consumption'!I25+'Kwh Consumption'!J25)</f>
        <v>0</v>
      </c>
      <c r="H24" s="1">
        <f>('Kwh Consumption'!K25+'Kwh Consumption'!L25)</f>
        <v>0</v>
      </c>
      <c r="I24" s="1">
        <f>('Kwh Consumption'!M25+'Kwh Consumption'!N25+'Kwh Consumption'!O25+'Kwh Consumption'!P25+'Kwh Consumption'!Q25+'Kwh Consumption'!R25)</f>
        <v>0</v>
      </c>
      <c r="J24" s="1">
        <f>('Kwh Consumption'!S25+'Kwh Consumption'!T25)</f>
        <v>0</v>
      </c>
      <c r="K24" s="1">
        <f>'Kwh Consumption'!U25</f>
        <v>0</v>
      </c>
      <c r="L24" s="32">
        <f t="shared" si="0"/>
        <v>0</v>
      </c>
    </row>
    <row r="25" spans="1:12" x14ac:dyDescent="0.25">
      <c r="A25" s="14">
        <f>'Kwh Reading'!A26</f>
        <v>44462</v>
      </c>
      <c r="B25" s="83">
        <f>TOTAL!E24</f>
        <v>0</v>
      </c>
      <c r="C25" s="1">
        <f>'Kwh Consumption'!C26</f>
        <v>0</v>
      </c>
      <c r="D25" s="1">
        <f>'Kwh Consumption'!D26</f>
        <v>0</v>
      </c>
      <c r="E25" s="1">
        <f>'Kwh Consumption'!E26</f>
        <v>0</v>
      </c>
      <c r="F25" s="1">
        <f>('Kwh Consumption'!F26+'Kwh Consumption'!G26+'Kwh Consumption'!H26)</f>
        <v>0</v>
      </c>
      <c r="G25" s="16">
        <f>('Kwh Consumption'!I26+'Kwh Consumption'!J26)</f>
        <v>0</v>
      </c>
      <c r="H25" s="1">
        <f>('Kwh Consumption'!K26+'Kwh Consumption'!L26)</f>
        <v>0</v>
      </c>
      <c r="I25" s="1">
        <f>('Kwh Consumption'!M26+'Kwh Consumption'!N26+'Kwh Consumption'!O26+'Kwh Consumption'!P26+'Kwh Consumption'!Q26+'Kwh Consumption'!R26)</f>
        <v>0</v>
      </c>
      <c r="J25" s="1">
        <f>('Kwh Consumption'!S26+'Kwh Consumption'!T26)</f>
        <v>0</v>
      </c>
      <c r="K25" s="1">
        <f>'Kwh Consumption'!U26</f>
        <v>0</v>
      </c>
      <c r="L25" s="32">
        <f t="shared" si="0"/>
        <v>0</v>
      </c>
    </row>
    <row r="26" spans="1:12" x14ac:dyDescent="0.25">
      <c r="A26" s="14">
        <f>'Kwh Reading'!A27</f>
        <v>44463</v>
      </c>
      <c r="B26" s="83">
        <f>TOTAL!E25</f>
        <v>0</v>
      </c>
      <c r="C26" s="1">
        <f>'Kwh Consumption'!C27</f>
        <v>0</v>
      </c>
      <c r="D26" s="1">
        <f>'Kwh Consumption'!D27</f>
        <v>0</v>
      </c>
      <c r="E26" s="1">
        <f>'Kwh Consumption'!E27</f>
        <v>0</v>
      </c>
      <c r="F26" s="1">
        <f>('Kwh Consumption'!F27+'Kwh Consumption'!G27+'Kwh Consumption'!H27)</f>
        <v>0</v>
      </c>
      <c r="G26" s="16">
        <f>('Kwh Consumption'!I27+'Kwh Consumption'!J27)</f>
        <v>0</v>
      </c>
      <c r="H26" s="1">
        <f>('Kwh Consumption'!K27+'Kwh Consumption'!L27)</f>
        <v>0</v>
      </c>
      <c r="I26" s="1">
        <f>('Kwh Consumption'!M27+'Kwh Consumption'!N27+'Kwh Consumption'!O27+'Kwh Consumption'!P27+'Kwh Consumption'!Q27+'Kwh Consumption'!R27)</f>
        <v>0</v>
      </c>
      <c r="J26" s="1">
        <f>('Kwh Consumption'!S27+'Kwh Consumption'!T27)</f>
        <v>0</v>
      </c>
      <c r="K26" s="1">
        <f>'Kwh Consumption'!U27</f>
        <v>0</v>
      </c>
      <c r="L26" s="32">
        <f t="shared" si="0"/>
        <v>0</v>
      </c>
    </row>
    <row r="27" spans="1:12" x14ac:dyDescent="0.25">
      <c r="A27" s="14">
        <f>'Kwh Reading'!A28</f>
        <v>44464</v>
      </c>
      <c r="B27" s="83">
        <f>TOTAL!E26</f>
        <v>0</v>
      </c>
      <c r="C27" s="1">
        <f>'Kwh Consumption'!C28</f>
        <v>0</v>
      </c>
      <c r="D27" s="1">
        <f>'Kwh Consumption'!D28</f>
        <v>0</v>
      </c>
      <c r="E27" s="1">
        <f>'Kwh Consumption'!E28</f>
        <v>0</v>
      </c>
      <c r="F27" s="1">
        <f>('Kwh Consumption'!F28+'Kwh Consumption'!G28+'Kwh Consumption'!H28)</f>
        <v>0</v>
      </c>
      <c r="G27" s="16">
        <f>('Kwh Consumption'!I28+'Kwh Consumption'!J28)</f>
        <v>0</v>
      </c>
      <c r="H27" s="1">
        <f>('Kwh Consumption'!K28+'Kwh Consumption'!L28)</f>
        <v>0</v>
      </c>
      <c r="I27" s="1">
        <f>('Kwh Consumption'!M28+'Kwh Consumption'!N28+'Kwh Consumption'!O28+'Kwh Consumption'!P28+'Kwh Consumption'!Q28+'Kwh Consumption'!R28)</f>
        <v>0</v>
      </c>
      <c r="J27" s="1">
        <f>('Kwh Consumption'!S28+'Kwh Consumption'!T28)</f>
        <v>0</v>
      </c>
      <c r="K27" s="1">
        <f>'Kwh Consumption'!U28</f>
        <v>0</v>
      </c>
      <c r="L27" s="32">
        <f t="shared" si="0"/>
        <v>0</v>
      </c>
    </row>
    <row r="28" spans="1:12" x14ac:dyDescent="0.25">
      <c r="A28" s="14">
        <f>'Kwh Reading'!A29</f>
        <v>44465</v>
      </c>
      <c r="B28" s="83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2">
        <f t="shared" si="0"/>
        <v>0</v>
      </c>
    </row>
    <row r="29" spans="1:12" x14ac:dyDescent="0.25">
      <c r="A29" s="14">
        <f>'Kwh Reading'!A30</f>
        <v>44466</v>
      </c>
      <c r="B29" s="83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2">
        <f t="shared" si="0"/>
        <v>0</v>
      </c>
    </row>
    <row r="30" spans="1:12" x14ac:dyDescent="0.25">
      <c r="A30" s="14">
        <f>'Kwh Reading'!A31</f>
        <v>44467</v>
      </c>
      <c r="B30" s="83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2">
        <f t="shared" si="0"/>
        <v>0</v>
      </c>
    </row>
    <row r="31" spans="1:12" x14ac:dyDescent="0.25">
      <c r="A31" s="14">
        <f>'Kwh Reading'!A32</f>
        <v>44468</v>
      </c>
      <c r="B31" s="83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2">
        <f t="shared" si="0"/>
        <v>0</v>
      </c>
    </row>
    <row r="32" spans="1:12" x14ac:dyDescent="0.25">
      <c r="A32" s="14">
        <f>'Kwh Reading'!A33</f>
        <v>44469</v>
      </c>
      <c r="B32" s="83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2">
        <f t="shared" si="0"/>
        <v>0</v>
      </c>
    </row>
    <row r="33" spans="1:13" x14ac:dyDescent="0.25">
      <c r="A33" s="14">
        <f>'Kwh Reading'!A34</f>
        <v>44470</v>
      </c>
      <c r="B33" s="83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2">
        <f t="shared" si="0"/>
        <v>0</v>
      </c>
    </row>
    <row r="34" spans="1:13" ht="15.75" x14ac:dyDescent="0.25">
      <c r="A34" s="85" t="s">
        <v>120</v>
      </c>
      <c r="B34" s="75">
        <f>SUM(B3:B33)</f>
        <v>319549.99999999971</v>
      </c>
      <c r="C34" s="75">
        <f>SUM(C3:C33)</f>
        <v>-449370</v>
      </c>
      <c r="D34" s="75">
        <f t="shared" ref="D34:L34" si="1">SUM(D3:D33)</f>
        <v>-2528500</v>
      </c>
      <c r="E34" s="75">
        <f t="shared" si="1"/>
        <v>-244759.99999999997</v>
      </c>
      <c r="F34" s="75">
        <f t="shared" si="1"/>
        <v>-938450</v>
      </c>
      <c r="G34" s="75">
        <f t="shared" si="1"/>
        <v>-297330</v>
      </c>
      <c r="H34" s="75">
        <f t="shared" si="1"/>
        <v>-1321099.9999999998</v>
      </c>
      <c r="I34" s="75">
        <f t="shared" si="1"/>
        <v>-3720810</v>
      </c>
      <c r="J34" s="75">
        <f t="shared" si="1"/>
        <v>-16009947.48</v>
      </c>
      <c r="K34" s="75">
        <f t="shared" si="1"/>
        <v>-165550.00000000003</v>
      </c>
      <c r="L34" s="75">
        <f t="shared" si="1"/>
        <v>25995367.479999997</v>
      </c>
      <c r="M34" s="84">
        <f>C34+D34+E34+F34+G34+H34+I34+J34+K34+L34</f>
        <v>319549.99999999627</v>
      </c>
    </row>
    <row r="36" spans="1:13" ht="15.75" x14ac:dyDescent="0.25">
      <c r="A36" s="85" t="s">
        <v>63</v>
      </c>
      <c r="B36" s="86">
        <f>TOTAL!F2</f>
        <v>0.15</v>
      </c>
      <c r="C36" s="75">
        <f>C34*B36</f>
        <v>-67405.5</v>
      </c>
      <c r="D36" s="75">
        <f>D34*B36</f>
        <v>-379275</v>
      </c>
      <c r="E36" s="75">
        <f>E34*B36</f>
        <v>-36713.999999999993</v>
      </c>
      <c r="F36" s="75">
        <f>F34*B36</f>
        <v>-140767.5</v>
      </c>
      <c r="G36" s="75">
        <f>G34*B36</f>
        <v>-44599.5</v>
      </c>
      <c r="H36" s="75">
        <f>H34*B36</f>
        <v>-198164.99999999997</v>
      </c>
      <c r="I36" s="75">
        <f>I34*B36</f>
        <v>-558121.5</v>
      </c>
      <c r="J36" s="75">
        <f>J34*B36</f>
        <v>-2401492.122</v>
      </c>
      <c r="K36" s="75">
        <f>K34*B36</f>
        <v>-24832.500000000004</v>
      </c>
      <c r="L36" s="75">
        <f>L34*B36</f>
        <v>3899305.1219999995</v>
      </c>
      <c r="M36" s="84">
        <f>C36+D36+E36+F36+G36+H36+I36+J36+K36+L36</f>
        <v>47932.499999999534</v>
      </c>
    </row>
    <row r="37" spans="1:13" x14ac:dyDescent="0.25">
      <c r="J37" s="82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7" t="s">
        <v>62</v>
      </c>
      <c r="C2" s="36" t="s">
        <v>63</v>
      </c>
      <c r="D2" s="35" t="s">
        <v>64</v>
      </c>
      <c r="E2" s="35" t="s">
        <v>65</v>
      </c>
      <c r="F2" s="36" t="s">
        <v>66</v>
      </c>
      <c r="G2" s="35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44440</v>
      </c>
      <c r="B3" s="11">
        <f>TOTAL!F2</f>
        <v>0.15</v>
      </c>
      <c r="C3" s="11">
        <f>'Kwh Consumption'!B4*' Kwh area wise $ '!B3</f>
        <v>3828</v>
      </c>
      <c r="D3" s="1">
        <f>'Kwh Consumption'!C4*' Kwh area wise $ '!B3</f>
        <v>72.000000000002728</v>
      </c>
      <c r="E3" s="1">
        <f>'Kwh Consumption'!D4*' Kwh area wise $ '!B3</f>
        <v>359.99999999996038</v>
      </c>
      <c r="F3" s="1">
        <f>'Kwh Consumption'!E4*' Kwh area wise $ '!B3</f>
        <v>36.000000000001364</v>
      </c>
      <c r="G3" s="1">
        <f>('Kwh Consumption'!F4+'Kwh Consumption'!G4+'Kwh Consumption'!H4)*' Kwh area wise $ '!B3</f>
        <v>99.000000000003752</v>
      </c>
      <c r="H3" s="16">
        <f>('Kwh Consumption'!I4+'Kwh Consumption'!J4)*' Kwh area wise $ '!B3</f>
        <v>58.500000000002217</v>
      </c>
      <c r="I3" s="1">
        <f>('Kwh Consumption'!K4+'Kwh Consumption'!L4)*' Kwh area wise $ '!B3</f>
        <v>250.50000000000742</v>
      </c>
      <c r="J3" s="1">
        <f>('Kwh Consumption'!M4+'Kwh Consumption'!N4+'Kwh Consumption'!O4+'Kwh Consumption'!P4+'Kwh Consumption'!Q4+'Kwh Consumption'!R4)*' Kwh area wise $ '!B3</f>
        <v>747.00000000001114</v>
      </c>
      <c r="K3" s="1">
        <f>('Kwh Consumption'!S4+'Kwh Consumption'!T4)*' Kwh area wise $ '!B3</f>
        <v>779.79450000012287</v>
      </c>
      <c r="L3" s="1">
        <f>'Kwh Consumption'!U4*' Kwh area wise $ '!B3</f>
        <v>32.999999999999829</v>
      </c>
      <c r="M3" s="1">
        <f>'Kwh Consumption'!V4*' Kwh area wise $ '!B3</f>
        <v>1392.2054999998882</v>
      </c>
    </row>
    <row r="4" spans="1:13" x14ac:dyDescent="0.25">
      <c r="A4" s="14">
        <f>'Kwh Reading'!A5</f>
        <v>44441</v>
      </c>
      <c r="B4" s="11">
        <f>TOTAL!F3</f>
        <v>0.15</v>
      </c>
      <c r="C4" s="11">
        <f>'Kwh Consumption'!B5*' Kwh area wise $ '!B4</f>
        <v>3178.4999999997694</v>
      </c>
      <c r="D4" s="1">
        <f>'Kwh Consumption'!C5*' Kwh area wise $ '!B4</f>
        <v>67.499999999998295</v>
      </c>
      <c r="E4" s="1">
        <f>'Kwh Consumption'!D5*' Kwh area wise $ '!B4</f>
        <v>344.99999999999528</v>
      </c>
      <c r="F4" s="1">
        <f>'Kwh Consumption'!E5*' Kwh area wise $ '!B4</f>
        <v>36.000000000001364</v>
      </c>
      <c r="G4" s="1">
        <f>('Kwh Consumption'!F5+'Kwh Consumption'!G5+'Kwh Consumption'!H5)*' Kwh area wise $ '!B4</f>
        <v>85.499999999994714</v>
      </c>
      <c r="H4" s="16">
        <f>('Kwh Consumption'!I5+'Kwh Consumption'!J5)*' Kwh area wise $ '!B4</f>
        <v>56.999999999999318</v>
      </c>
      <c r="I4" s="1">
        <f>('Kwh Consumption'!K5+'Kwh Consumption'!L5)*' Kwh area wise $ '!B4</f>
        <v>249.00000000000878</v>
      </c>
      <c r="J4" s="1">
        <f>('Kwh Consumption'!M5+'Kwh Consumption'!N5+'Kwh Consumption'!O5+'Kwh Consumption'!P5+'Kwh Consumption'!Q5+'Kwh Consumption'!R5)*' Kwh area wise $ '!B4</f>
        <v>613.5000000000133</v>
      </c>
      <c r="K4" s="1">
        <f>('Kwh Consumption'!S5+'Kwh Consumption'!T5)*' Kwh area wise $ '!B4</f>
        <v>697.10699999984354</v>
      </c>
      <c r="L4" s="1">
        <f>'Kwh Consumption'!U5*' Kwh area wise $ '!B4</f>
        <v>32.999999999999829</v>
      </c>
      <c r="M4" s="1">
        <f>'Kwh Consumption'!V5*' Kwh area wise $ '!B4</f>
        <v>994.89299999991522</v>
      </c>
    </row>
    <row r="5" spans="1:13" x14ac:dyDescent="0.25">
      <c r="A5" s="14">
        <f>'Kwh Reading'!A6</f>
        <v>44442</v>
      </c>
      <c r="B5" s="11">
        <f>TOTAL!F4</f>
        <v>0.15</v>
      </c>
      <c r="C5" s="11">
        <f>'Kwh Consumption'!B6*' Kwh area wise $ '!B5</f>
        <v>3193.5000000002674</v>
      </c>
      <c r="D5" s="1">
        <f>'Kwh Consumption'!C6*' Kwh area wise $ '!B5</f>
        <v>43.499999999994543</v>
      </c>
      <c r="E5" s="1">
        <f>'Kwh Consumption'!D6*' Kwh area wise $ '!B5</f>
        <v>360.00000000002694</v>
      </c>
      <c r="F5" s="1">
        <f>'Kwh Consumption'!E6*' Kwh area wise $ '!B5</f>
        <v>37.5</v>
      </c>
      <c r="G5" s="1">
        <f>('Kwh Consumption'!F6+'Kwh Consumption'!G6+'Kwh Consumption'!H6)*' Kwh area wise $ '!B5</f>
        <v>85.499999999998977</v>
      </c>
      <c r="H5" s="16">
        <f>('Kwh Consumption'!I6+'Kwh Consumption'!J6)*' Kwh area wise $ '!B5</f>
        <v>50.99999999999838</v>
      </c>
      <c r="I5" s="1">
        <f>('Kwh Consumption'!K6+'Kwh Consumption'!L6)*' Kwh area wise $ '!B5</f>
        <v>248.9999999999755</v>
      </c>
      <c r="J5" s="1">
        <f>('Kwh Consumption'!M6+'Kwh Consumption'!N6+'Kwh Consumption'!O6+'Kwh Consumption'!P6+'Kwh Consumption'!Q6+'Kwh Consumption'!R6)*' Kwh area wise $ '!B5</f>
        <v>674.99999999998295</v>
      </c>
      <c r="K5" s="1">
        <f>('Kwh Consumption'!S6+'Kwh Consumption'!T6)*' Kwh area wise $ '!B5</f>
        <v>728.0985000001732</v>
      </c>
      <c r="L5" s="1">
        <f>'Kwh Consumption'!U6*' Kwh area wise $ '!B5</f>
        <v>34.499999999998465</v>
      </c>
      <c r="M5" s="1">
        <f>'Kwh Consumption'!V6*' Kwh area wise $ '!B5</f>
        <v>929.40150000011863</v>
      </c>
    </row>
    <row r="6" spans="1:13" x14ac:dyDescent="0.25">
      <c r="A6" s="14">
        <f>'Kwh Reading'!A7</f>
        <v>44443</v>
      </c>
      <c r="B6" s="11">
        <f>TOTAL!F5</f>
        <v>0.15</v>
      </c>
      <c r="C6" s="11">
        <f>'Kwh Consumption'!B7*' Kwh area wise $ '!B6</f>
        <v>3222.0000000000709</v>
      </c>
      <c r="D6" s="1">
        <f>'Kwh Consumption'!C7*' Kwh area wise $ '!B6</f>
        <v>70.500000000004093</v>
      </c>
      <c r="E6" s="1">
        <f>'Kwh Consumption'!D7*' Kwh area wise $ '!B6</f>
        <v>344.99999999999528</v>
      </c>
      <c r="F6" s="1">
        <f>'Kwh Consumption'!E7*' Kwh area wise $ '!B6</f>
        <v>34.499999999998465</v>
      </c>
      <c r="G6" s="1">
        <f>('Kwh Consumption'!F7+'Kwh Consumption'!G7+'Kwh Consumption'!H7)*' Kwh area wise $ '!B6</f>
        <v>79.500000000000171</v>
      </c>
      <c r="H6" s="16">
        <f>('Kwh Consumption'!I7+'Kwh Consumption'!J7)*' Kwh area wise $ '!B6</f>
        <v>53.999999999999915</v>
      </c>
      <c r="I6" s="1">
        <f>('Kwh Consumption'!K7+'Kwh Consumption'!L7)*' Kwh area wise $ '!B6</f>
        <v>234.00000000001046</v>
      </c>
      <c r="J6" s="1">
        <f>('Kwh Consumption'!M7+'Kwh Consumption'!N7+'Kwh Consumption'!O7+'Kwh Consumption'!P7+'Kwh Consumption'!Q7+'Kwh Consumption'!R7)*' Kwh area wise $ '!B6</f>
        <v>667.50000000000682</v>
      </c>
      <c r="K6" s="1">
        <f>('Kwh Consumption'!S7+'Kwh Consumption'!T7)*' Kwh area wise $ '!B6</f>
        <v>752.53200000012293</v>
      </c>
      <c r="L6" s="1">
        <f>'Kwh Consumption'!U7*' Kwh area wise $ '!B6</f>
        <v>34.499999999998465</v>
      </c>
      <c r="M6" s="1">
        <f>'Kwh Consumption'!V7*' Kwh area wise $ '!B6</f>
        <v>949.96799999993436</v>
      </c>
    </row>
    <row r="7" spans="1:13" x14ac:dyDescent="0.25">
      <c r="A7" s="14">
        <f>'Kwh Reading'!A8</f>
        <v>44444</v>
      </c>
      <c r="B7" s="11">
        <f>TOTAL!F6</f>
        <v>0.15</v>
      </c>
      <c r="C7" s="11">
        <f>'Kwh Consumption'!B8*' Kwh area wise $ '!B7</f>
        <v>3372.0000000000368</v>
      </c>
      <c r="D7" s="1">
        <f>'Kwh Consumption'!C8*' Kwh area wise $ '!B7</f>
        <v>73.500000000001364</v>
      </c>
      <c r="E7" s="1">
        <f>'Kwh Consumption'!D8*' Kwh area wise $ '!B7</f>
        <v>344.99999999999528</v>
      </c>
      <c r="F7" s="1">
        <f>'Kwh Consumption'!E8*' Kwh area wise $ '!B7</f>
        <v>32.999999999999829</v>
      </c>
      <c r="G7" s="1">
        <f>('Kwh Consumption'!F8+'Kwh Consumption'!G8+'Kwh Consumption'!H8)*' Kwh area wise $ '!B7</f>
        <v>79.499999999995907</v>
      </c>
      <c r="H7" s="16">
        <f>('Kwh Consumption'!I8+'Kwh Consumption'!J8)*' Kwh area wise $ '!B7</f>
        <v>50.99999999999838</v>
      </c>
      <c r="I7" s="1">
        <f>('Kwh Consumption'!K8+'Kwh Consumption'!L8)*' Kwh area wise $ '!B7</f>
        <v>268.5000000000116</v>
      </c>
      <c r="J7" s="1">
        <f>('Kwh Consumption'!M8+'Kwh Consumption'!N8+'Kwh Consumption'!O8+'Kwh Consumption'!P8+'Kwh Consumption'!Q8+'Kwh Consumption'!R8)*' Kwh area wise $ '!B7</f>
        <v>716.99999999997885</v>
      </c>
      <c r="K7" s="1">
        <f>('Kwh Consumption'!S8+'Kwh Consumption'!T8)*' Kwh area wise $ '!B7</f>
        <v>788.96699999975965</v>
      </c>
      <c r="L7" s="1">
        <f>'Kwh Consumption'!U8*' Kwh area wise $ '!B7</f>
        <v>34.500000000002728</v>
      </c>
      <c r="M7" s="1">
        <f>'Kwh Consumption'!V8*' Kwh area wise $ '!B7</f>
        <v>981.03300000029344</v>
      </c>
    </row>
    <row r="8" spans="1:13" x14ac:dyDescent="0.25">
      <c r="A8" s="14">
        <f>'Kwh Reading'!A9</f>
        <v>44445</v>
      </c>
      <c r="B8" s="11">
        <f>TOTAL!F7</f>
        <v>0.15</v>
      </c>
      <c r="C8" s="11">
        <f>'Kwh Consumption'!B9*' Kwh area wise $ '!B8</f>
        <v>3247.4999999996726</v>
      </c>
      <c r="D8" s="1">
        <f>'Kwh Consumption'!C9*' Kwh area wise $ '!B8</f>
        <v>68.99999999999693</v>
      </c>
      <c r="E8" s="1">
        <f>'Kwh Consumption'!D9*' Kwh area wise $ '!B8</f>
        <v>360.00000000002694</v>
      </c>
      <c r="F8" s="1">
        <f>'Kwh Consumption'!E9*' Kwh area wise $ '!B8</f>
        <v>37.5</v>
      </c>
      <c r="G8" s="1">
        <f>('Kwh Consumption'!F9+'Kwh Consumption'!G9+'Kwh Consumption'!H9)*' Kwh area wise $ '!B8</f>
        <v>105.00000000001108</v>
      </c>
      <c r="H8" s="16">
        <f>('Kwh Consumption'!I9+'Kwh Consumption'!J9)*' Kwh area wise $ '!B8</f>
        <v>55.500000000002814</v>
      </c>
      <c r="I8" s="1">
        <f>('Kwh Consumption'!K9+'Kwh Consumption'!L9)*' Kwh area wise $ '!B8</f>
        <v>250.49999999997414</v>
      </c>
      <c r="J8" s="1">
        <f>('Kwh Consumption'!M9+'Kwh Consumption'!N9+'Kwh Consumption'!O9+'Kwh Consumption'!P9+'Kwh Consumption'!Q9+'Kwh Consumption'!R9)*' Kwh area wise $ '!B8</f>
        <v>678.00000000002285</v>
      </c>
      <c r="K8" s="1">
        <f>('Kwh Consumption'!S9+'Kwh Consumption'!T9)*' Kwh area wise $ '!B8</f>
        <v>750.94500000011169</v>
      </c>
      <c r="L8" s="1">
        <f>'Kwh Consumption'!U9*' Kwh area wise $ '!B8</f>
        <v>37.5</v>
      </c>
      <c r="M8" s="1">
        <f>'Kwh Consumption'!V9*' Kwh area wise $ '!B8</f>
        <v>903.55499999952588</v>
      </c>
    </row>
    <row r="9" spans="1:13" x14ac:dyDescent="0.25">
      <c r="A9" s="14">
        <f>'Kwh Reading'!A10</f>
        <v>44446</v>
      </c>
      <c r="B9" s="11">
        <f>TOTAL!F8</f>
        <v>0.15</v>
      </c>
      <c r="C9" s="11">
        <f>'Kwh Consumption'!B10*' Kwh area wise $ '!B9</f>
        <v>3348.0000000002628</v>
      </c>
      <c r="D9" s="1">
        <f>'Kwh Consumption'!C10*' Kwh area wise $ '!B9</f>
        <v>70.500000000004093</v>
      </c>
      <c r="E9" s="1">
        <f>'Kwh Consumption'!D10*' Kwh area wise $ '!B9</f>
        <v>344.99999999999528</v>
      </c>
      <c r="F9" s="1">
        <f>'Kwh Consumption'!E10*' Kwh area wise $ '!B9</f>
        <v>36.000000000001364</v>
      </c>
      <c r="G9" s="1">
        <f>('Kwh Consumption'!F10+'Kwh Consumption'!G10+'Kwh Consumption'!H10)*' Kwh area wise $ '!B9</f>
        <v>100.49999999999386</v>
      </c>
      <c r="H9" s="16">
        <f>('Kwh Consumption'!I10+'Kwh Consumption'!J10)*' Kwh area wise $ '!B9</f>
        <v>55.49999999999855</v>
      </c>
      <c r="I9" s="1">
        <f>('Kwh Consumption'!K10+'Kwh Consumption'!L10)*' Kwh area wise $ '!B9</f>
        <v>250.50000000001594</v>
      </c>
      <c r="J9" s="1">
        <f>('Kwh Consumption'!M10+'Kwh Consumption'!N10+'Kwh Consumption'!O10+'Kwh Consumption'!P10+'Kwh Consumption'!Q10+'Kwh Consumption'!R10)*' Kwh area wise $ '!B9</f>
        <v>649.49999999998909</v>
      </c>
      <c r="K9" s="1">
        <f>('Kwh Consumption'!S10+'Kwh Consumption'!T10)*' Kwh area wise $ '!B9</f>
        <v>757.21949999998321</v>
      </c>
      <c r="L9" s="1">
        <f>'Kwh Consumption'!U10*' Kwh area wise $ '!B9</f>
        <v>27.000000000001023</v>
      </c>
      <c r="M9" s="1">
        <f>'Kwh Consumption'!V10*' Kwh area wise $ '!B9</f>
        <v>1056.2805000002807</v>
      </c>
    </row>
    <row r="10" spans="1:13" x14ac:dyDescent="0.25">
      <c r="A10" s="14">
        <f>'Kwh Reading'!A11</f>
        <v>44447</v>
      </c>
      <c r="B10" s="11">
        <f>TOTAL!F9</f>
        <v>0.15</v>
      </c>
      <c r="C10" s="11">
        <f>'Kwh Consumption'!B11*' Kwh area wise $ '!B10</f>
        <v>3124.5000000000914</v>
      </c>
      <c r="D10" s="1">
        <f>'Kwh Consumption'!C11*' Kwh area wise $ '!B10</f>
        <v>68.99999999999693</v>
      </c>
      <c r="E10" s="1">
        <f>'Kwh Consumption'!D11*' Kwh area wise $ '!B10</f>
        <v>359.99999999996038</v>
      </c>
      <c r="F10" s="1">
        <f>'Kwh Consumption'!E11*' Kwh area wise $ '!B10</f>
        <v>34.499999999998465</v>
      </c>
      <c r="G10" s="1">
        <f>('Kwh Consumption'!F11+'Kwh Consumption'!G11+'Kwh Consumption'!H11)*' Kwh area wise $ '!B10</f>
        <v>98.999999999995225</v>
      </c>
      <c r="H10" s="16">
        <f>('Kwh Consumption'!I11+'Kwh Consumption'!J11)*' Kwh area wise $ '!B10</f>
        <v>54.000000000002046</v>
      </c>
      <c r="I10" s="1">
        <f>('Kwh Consumption'!K11+'Kwh Consumption'!L11)*' Kwh area wise $ '!B10</f>
        <v>252.00000000000605</v>
      </c>
      <c r="J10" s="1">
        <f>('Kwh Consumption'!M11+'Kwh Consumption'!N11+'Kwh Consumption'!O11+'Kwh Consumption'!P11+'Kwh Consumption'!Q11+'Kwh Consumption'!R11)*' Kwh area wise $ '!B10</f>
        <v>640.50000000001432</v>
      </c>
      <c r="K10" s="1">
        <f>('Kwh Consumption'!S11+'Kwh Consumption'!T11)*' Kwh area wise $ '!B10</f>
        <v>713.63250000011169</v>
      </c>
      <c r="L10" s="1">
        <f>'Kwh Consumption'!U11*' Kwh area wise $ '!B10</f>
        <v>29.999999999998295</v>
      </c>
      <c r="M10" s="1">
        <f>'Kwh Consumption'!V11*' Kwh area wise $ '!B10</f>
        <v>871.86750000000802</v>
      </c>
    </row>
    <row r="11" spans="1:13" x14ac:dyDescent="0.25">
      <c r="A11" s="14">
        <f>'Kwh Reading'!A12</f>
        <v>44448</v>
      </c>
      <c r="B11" s="11">
        <f>TOTAL!F10</f>
        <v>0.15</v>
      </c>
      <c r="C11" s="11">
        <f>'Kwh Consumption'!B12*' Kwh area wise $ '!B11</f>
        <v>3010.4999999997517</v>
      </c>
      <c r="D11" s="1">
        <f>'Kwh Consumption'!C12*' Kwh area wise $ '!B11</f>
        <v>75</v>
      </c>
      <c r="E11" s="1">
        <f>'Kwh Consumption'!D12*' Kwh area wise $ '!B11</f>
        <v>360.00000000002694</v>
      </c>
      <c r="F11" s="1">
        <f>'Kwh Consumption'!E12*' Kwh area wise $ '!B11</f>
        <v>38.999999999998636</v>
      </c>
      <c r="G11" s="1">
        <f>('Kwh Consumption'!F12+'Kwh Consumption'!G12+'Kwh Consumption'!H12)*' Kwh area wise $ '!B11</f>
        <v>96.000000000002217</v>
      </c>
      <c r="H11" s="16">
        <f>('Kwh Consumption'!I12+'Kwh Consumption'!J12)*' Kwh area wise $ '!B11</f>
        <v>49.499999999999744</v>
      </c>
      <c r="I11" s="1">
        <f>('Kwh Consumption'!K12+'Kwh Consumption'!L12)*' Kwh area wise $ '!B11</f>
        <v>264.00000000000716</v>
      </c>
      <c r="J11" s="1">
        <f>('Kwh Consumption'!M12+'Kwh Consumption'!N12+'Kwh Consumption'!O12+'Kwh Consumption'!P12+'Kwh Consumption'!Q12+'Kwh Consumption'!R12)*' Kwh area wise $ '!B11</f>
        <v>652.49999999999477</v>
      </c>
      <c r="K11" s="1">
        <f>('Kwh Consumption'!S12+'Kwh Consumption'!T12)*' Kwh area wise $ '!B11</f>
        <v>744.55349999978205</v>
      </c>
      <c r="L11" s="1">
        <f>'Kwh Consumption'!U12*' Kwh area wise $ '!B11</f>
        <v>28.499999999999659</v>
      </c>
      <c r="M11" s="1">
        <f>'Kwh Consumption'!V12*' Kwh area wise $ '!B11</f>
        <v>701.4464999999401</v>
      </c>
    </row>
    <row r="12" spans="1:13" x14ac:dyDescent="0.25">
      <c r="A12" s="14">
        <f>'Kwh Reading'!A13</f>
        <v>44449</v>
      </c>
      <c r="B12" s="11">
        <f>TOTAL!F11</f>
        <v>0.15</v>
      </c>
      <c r="C12" s="11">
        <f>'Kwh Consumption'!B13*' Kwh area wise $ '!B12</f>
        <v>3158.9999999999918</v>
      </c>
      <c r="D12" s="1">
        <f>'Kwh Consumption'!C13*' Kwh area wise $ '!B12</f>
        <v>47.999999999998977</v>
      </c>
      <c r="E12" s="1">
        <f>'Kwh Consumption'!D13*' Kwh area wise $ '!B12</f>
        <v>374.99999999999199</v>
      </c>
      <c r="F12" s="1">
        <f>'Kwh Consumption'!E13*' Kwh area wise $ '!B12</f>
        <v>37.5</v>
      </c>
      <c r="G12" s="1">
        <f>('Kwh Consumption'!F13+'Kwh Consumption'!G13+'Kwh Consumption'!H13)*' Kwh area wise $ '!B12</f>
        <v>107.99999999999983</v>
      </c>
      <c r="H12" s="16">
        <f>('Kwh Consumption'!I13+'Kwh Consumption'!J13)*' Kwh area wise $ '!B12</f>
        <v>53.999999999997783</v>
      </c>
      <c r="I12" s="1">
        <f>('Kwh Consumption'!K13+'Kwh Consumption'!L13)*' Kwh area wise $ '!B12</f>
        <v>250.49999999998266</v>
      </c>
      <c r="J12" s="1">
        <f>('Kwh Consumption'!M13+'Kwh Consumption'!N13+'Kwh Consumption'!O13+'Kwh Consumption'!P13+'Kwh Consumption'!Q13+'Kwh Consumption'!R13)*' Kwh area wise $ '!B12</f>
        <v>689.99999999997783</v>
      </c>
      <c r="K12" s="1">
        <f>('Kwh Consumption'!S13+'Kwh Consumption'!T13)*' Kwh area wise $ '!B12</f>
        <v>741.13799999998878</v>
      </c>
      <c r="L12" s="1">
        <f>'Kwh Consumption'!U13*' Kwh area wise $ '!B12</f>
        <v>29.999999999998295</v>
      </c>
      <c r="M12" s="1">
        <f>'Kwh Consumption'!V13*' Kwh area wise $ '!B12</f>
        <v>824.86200000005533</v>
      </c>
    </row>
    <row r="13" spans="1:13" x14ac:dyDescent="0.25">
      <c r="A13" s="14">
        <f>'Kwh Reading'!A14</f>
        <v>44450</v>
      </c>
      <c r="B13" s="11">
        <f>TOTAL!F12</f>
        <v>0.15</v>
      </c>
      <c r="C13" s="11">
        <f>'Kwh Consumption'!B14*' Kwh area wise $ '!B13</f>
        <v>3274.500000000467</v>
      </c>
      <c r="D13" s="1">
        <f>'Kwh Consumption'!C14*' Kwh area wise $ '!B13</f>
        <v>73.500000000001364</v>
      </c>
      <c r="E13" s="1">
        <f>'Kwh Consumption'!D14*' Kwh area wise $ '!B13</f>
        <v>374.99999999999199</v>
      </c>
      <c r="F13" s="1">
        <f>'Kwh Consumption'!E14*' Kwh area wise $ '!B13</f>
        <v>36.000000000001364</v>
      </c>
      <c r="G13" s="1">
        <f>('Kwh Consumption'!F14+'Kwh Consumption'!G14+'Kwh Consumption'!H14)*' Kwh area wise $ '!B13</f>
        <v>112.49999999999574</v>
      </c>
      <c r="H13" s="16">
        <f>('Kwh Consumption'!I14+'Kwh Consumption'!J14)*' Kwh area wise $ '!B13</f>
        <v>55.500000000000682</v>
      </c>
      <c r="I13" s="1">
        <f>('Kwh Consumption'!K14+'Kwh Consumption'!L14)*' Kwh area wise $ '!B13</f>
        <v>255.00000000000333</v>
      </c>
      <c r="J13" s="1">
        <f>('Kwh Consumption'!M14+'Kwh Consumption'!N14+'Kwh Consumption'!O14+'Kwh Consumption'!P14+'Kwh Consumption'!Q14+'Kwh Consumption'!R14)*' Kwh area wise $ '!B13</f>
        <v>715.50000000002285</v>
      </c>
      <c r="K13" s="1">
        <f>('Kwh Consumption'!S14+'Kwh Consumption'!T14)*' Kwh area wise $ '!B13</f>
        <v>736.45950000006701</v>
      </c>
      <c r="L13" s="1">
        <f>'Kwh Consumption'!U14*' Kwh area wise $ '!B13</f>
        <v>27.000000000001023</v>
      </c>
      <c r="M13" s="1">
        <f>'Kwh Consumption'!V14*' Kwh area wise $ '!B13</f>
        <v>888.04050000038148</v>
      </c>
    </row>
    <row r="14" spans="1:13" x14ac:dyDescent="0.25">
      <c r="A14" s="14">
        <f>'Kwh Reading'!A15</f>
        <v>44451</v>
      </c>
      <c r="B14" s="11">
        <f>TOTAL!F13</f>
        <v>0.15</v>
      </c>
      <c r="C14" s="11">
        <f>'Kwh Consumption'!B15*' Kwh area wise $ '!B14</f>
        <v>3116.9999999998936</v>
      </c>
      <c r="D14" s="1">
        <f>'Kwh Consumption'!C15*' Kwh area wise $ '!B14</f>
        <v>75</v>
      </c>
      <c r="E14" s="1">
        <f>'Kwh Consumption'!D15*' Kwh area wise $ '!B14</f>
        <v>344.99999999999528</v>
      </c>
      <c r="F14" s="1">
        <f>'Kwh Consumption'!E15*' Kwh area wise $ '!B14</f>
        <v>32.999999999999829</v>
      </c>
      <c r="G14" s="1">
        <f>('Kwh Consumption'!F15+'Kwh Consumption'!G15+'Kwh Consumption'!H15)*' Kwh area wise $ '!B14</f>
        <v>88.500000000004775</v>
      </c>
      <c r="H14" s="16">
        <f>('Kwh Consumption'!I15+'Kwh Consumption'!J15)*' Kwh area wise $ '!B14</f>
        <v>49.499999999999744</v>
      </c>
      <c r="I14" s="1">
        <f>('Kwh Consumption'!K15+'Kwh Consumption'!L15)*' Kwh area wise $ '!B14</f>
        <v>250.50000000001594</v>
      </c>
      <c r="J14" s="1">
        <f>('Kwh Consumption'!M15+'Kwh Consumption'!N15+'Kwh Consumption'!O15+'Kwh Consumption'!P15+'Kwh Consumption'!Q15+'Kwh Consumption'!R15)*' Kwh area wise $ '!B14</f>
        <v>655.49999999998363</v>
      </c>
      <c r="K14" s="1">
        <f>('Kwh Consumption'!S15+'Kwh Consumption'!T15)*' Kwh area wise $ '!B14</f>
        <v>702.1140000001061</v>
      </c>
      <c r="L14" s="1">
        <f>'Kwh Consumption'!U15*' Kwh area wise $ '!B14</f>
        <v>32.999999999999829</v>
      </c>
      <c r="M14" s="1">
        <f>'Kwh Consumption'!V15*' Kwh area wise $ '!B14</f>
        <v>884.88599999978874</v>
      </c>
    </row>
    <row r="15" spans="1:13" x14ac:dyDescent="0.25">
      <c r="A15" s="14">
        <f>'Kwh Reading'!A16</f>
        <v>44452</v>
      </c>
      <c r="B15" s="11">
        <f>TOTAL!F14</f>
        <v>0.15</v>
      </c>
      <c r="C15" s="11">
        <f>'Kwh Consumption'!B16*' Kwh area wise $ '!B15</f>
        <v>3204.0000000000196</v>
      </c>
      <c r="D15" s="1">
        <f>'Kwh Consumption'!C16*' Kwh area wise $ '!B15</f>
        <v>73.500000000001364</v>
      </c>
      <c r="E15" s="1">
        <f>'Kwh Consumption'!D16*' Kwh area wise $ '!B15</f>
        <v>360.00000000002694</v>
      </c>
      <c r="F15" s="1">
        <f>'Kwh Consumption'!E16*' Kwh area wise $ '!B15</f>
        <v>31.500000000001194</v>
      </c>
      <c r="G15" s="1">
        <f>('Kwh Consumption'!F16+'Kwh Consumption'!G16+'Kwh Consumption'!H16)*' Kwh area wise $ '!B15</f>
        <v>117.00000000000017</v>
      </c>
      <c r="H15" s="16">
        <f>('Kwh Consumption'!I16+'Kwh Consumption'!J16)*' Kwh area wise $ '!B15</f>
        <v>53.999999999999915</v>
      </c>
      <c r="I15" s="1">
        <f>('Kwh Consumption'!K16+'Kwh Consumption'!L16)*' Kwh area wise $ '!B15</f>
        <v>265.49999999997249</v>
      </c>
      <c r="J15" s="1">
        <f>('Kwh Consumption'!M16+'Kwh Consumption'!N16+'Kwh Consumption'!O16+'Kwh Consumption'!P16+'Kwh Consumption'!Q16+'Kwh Consumption'!R16)*' Kwh area wise $ '!B15</f>
        <v>672.00000000000273</v>
      </c>
      <c r="K15" s="1">
        <f>('Kwh Consumption'!S16+'Kwh Consumption'!T16)*' Kwh area wise $ '!B15</f>
        <v>707.48249999997199</v>
      </c>
      <c r="L15" s="1">
        <f>'Kwh Consumption'!U16*' Kwh area wise $ '!B15</f>
        <v>30.000000000002558</v>
      </c>
      <c r="M15" s="1">
        <f>'Kwh Consumption'!V16*' Kwh area wise $ '!B15</f>
        <v>893.01750000004051</v>
      </c>
    </row>
    <row r="16" spans="1:13" x14ac:dyDescent="0.25">
      <c r="A16" s="14">
        <f>'Kwh Reading'!A17</f>
        <v>44453</v>
      </c>
      <c r="B16" s="11">
        <f>TOTAL!F15</f>
        <v>0.15</v>
      </c>
      <c r="C16" s="11">
        <f>'Kwh Consumption'!B17*' Kwh area wise $ '!B16</f>
        <v>3217.4999999997685</v>
      </c>
      <c r="D16" s="1">
        <f>'Kwh Consumption'!C17*' Kwh area wise $ '!B16</f>
        <v>76.499999999998636</v>
      </c>
      <c r="E16" s="1">
        <f>'Kwh Consumption'!D17*' Kwh area wise $ '!B16</f>
        <v>359.99999999996038</v>
      </c>
      <c r="F16" s="1">
        <f>'Kwh Consumption'!E17*' Kwh area wise $ '!B16</f>
        <v>37.5</v>
      </c>
      <c r="G16" s="1">
        <f>('Kwh Consumption'!F17+'Kwh Consumption'!G17+'Kwh Consumption'!H17)*' Kwh area wise $ '!B16</f>
        <v>112.49999999999574</v>
      </c>
      <c r="H16" s="16">
        <f>('Kwh Consumption'!I17+'Kwh Consumption'!J17)*' Kwh area wise $ '!B16</f>
        <v>55.500000000002814</v>
      </c>
      <c r="I16" s="1">
        <f>('Kwh Consumption'!K17+'Kwh Consumption'!L17)*' Kwh area wise $ '!B16</f>
        <v>268.5000000000116</v>
      </c>
      <c r="J16" s="1">
        <f>('Kwh Consumption'!M17+'Kwh Consumption'!N17+'Kwh Consumption'!O17+'Kwh Consumption'!P17+'Kwh Consumption'!Q17+'Kwh Consumption'!R17)*' Kwh area wise $ '!B16</f>
        <v>657.00000000001637</v>
      </c>
      <c r="K16" s="1">
        <f>('Kwh Consumption'!S17+'Kwh Consumption'!T17)*' Kwh area wise $ '!B16</f>
        <v>772.42949999989935</v>
      </c>
      <c r="L16" s="1">
        <f>'Kwh Consumption'!U17*' Kwh area wise $ '!B16</f>
        <v>26.99999999999676</v>
      </c>
      <c r="M16" s="1">
        <f>'Kwh Consumption'!V17*' Kwh area wise $ '!B16</f>
        <v>850.57049999988669</v>
      </c>
    </row>
    <row r="17" spans="1:13" x14ac:dyDescent="0.25">
      <c r="A17" s="14">
        <f>'Kwh Reading'!A18</f>
        <v>44454</v>
      </c>
      <c r="B17" s="11">
        <f>TOTAL!F16</f>
        <v>0.15</v>
      </c>
      <c r="C17" s="11">
        <f>'Kwh Consumption'!B18*' Kwh area wise $ '!B17</f>
        <v>2785.4999999999563</v>
      </c>
      <c r="D17" s="1">
        <f>'Kwh Consumption'!C18*' Kwh area wise $ '!B17</f>
        <v>75</v>
      </c>
      <c r="E17" s="1">
        <f>'Kwh Consumption'!D18*' Kwh area wise $ '!B17</f>
        <v>360.00000000002694</v>
      </c>
      <c r="F17" s="1">
        <f>'Kwh Consumption'!E18*' Kwh area wise $ '!B17</f>
        <v>36.000000000001364</v>
      </c>
      <c r="G17" s="1">
        <f>('Kwh Consumption'!F18+'Kwh Consumption'!G18+'Kwh Consumption'!H18)*' Kwh area wise $ '!B17</f>
        <v>106.50000000000972</v>
      </c>
      <c r="H17" s="16">
        <f>('Kwh Consumption'!I18+'Kwh Consumption'!J18)*' Kwh area wise $ '!B17</f>
        <v>53.999999999995651</v>
      </c>
      <c r="I17" s="1">
        <f>('Kwh Consumption'!K18+'Kwh Consumption'!L18)*' Kwh area wise $ '!B17</f>
        <v>201.00000000001651</v>
      </c>
      <c r="J17" s="1">
        <f>('Kwh Consumption'!M18+'Kwh Consumption'!N18+'Kwh Consumption'!O18+'Kwh Consumption'!P18+'Kwh Consumption'!Q18+'Kwh Consumption'!R18)*' Kwh area wise $ '!B17</f>
        <v>518.99999999997135</v>
      </c>
      <c r="K17" s="1">
        <f>('Kwh Consumption'!S18+'Kwh Consumption'!T18)*' Kwh area wise $ '!B17</f>
        <v>596.87099999994973</v>
      </c>
      <c r="L17" s="1">
        <f>'Kwh Consumption'!U18*' Kwh area wise $ '!B17</f>
        <v>27.000000000001023</v>
      </c>
      <c r="M17" s="1">
        <f>'Kwh Consumption'!V18*' Kwh area wise $ '!B17</f>
        <v>810.12899999998399</v>
      </c>
    </row>
    <row r="18" spans="1:13" x14ac:dyDescent="0.25">
      <c r="A18" s="14">
        <f>'Kwh Reading'!A19</f>
        <v>44455</v>
      </c>
      <c r="B18" s="11">
        <f>TOTAL!F17</f>
        <v>0.15</v>
      </c>
      <c r="C18" s="11">
        <f>'Kwh Consumption'!B19*' Kwh area wise $ '!B18</f>
        <v>0</v>
      </c>
      <c r="D18" s="1">
        <f>'Kwh Consumption'!C19*' Kwh area wise $ '!B18</f>
        <v>-68437.5</v>
      </c>
      <c r="E18" s="1">
        <f>'Kwh Consumption'!D19*' Kwh area wise $ '!B18</f>
        <v>-384630</v>
      </c>
      <c r="F18" s="1">
        <f>'Kwh Consumption'!E19*' Kwh area wise $ '!B18</f>
        <v>-37249.5</v>
      </c>
      <c r="G18" s="1">
        <f>('Kwh Consumption'!F19+'Kwh Consumption'!G19+'Kwh Consumption'!H19)*' Kwh area wise $ '!B18</f>
        <v>-142242</v>
      </c>
      <c r="H18" s="16">
        <f>('Kwh Consumption'!I19+'Kwh Consumption'!J19)*' Kwh area wise $ '!B18</f>
        <v>-45408</v>
      </c>
      <c r="I18" s="1">
        <f>('Kwh Consumption'!K19+'Kwh Consumption'!L19)*' Kwh area wise $ '!B18</f>
        <v>-201924</v>
      </c>
      <c r="J18" s="1">
        <f>('Kwh Consumption'!M19+'Kwh Consumption'!N19+'Kwh Consumption'!O19+'Kwh Consumption'!P19+'Kwh Consumption'!Q19+'Kwh Consumption'!R19)*' Kwh area wise $ '!B18</f>
        <v>-568071</v>
      </c>
      <c r="K18" s="1">
        <f>('Kwh Consumption'!S19+'Kwh Consumption'!T19)*' Kwh area wise $ '!B18</f>
        <v>-2412461.466</v>
      </c>
      <c r="L18" s="1">
        <f>'Kwh Consumption'!U19*' Kwh area wise $ '!B18</f>
        <v>-25299</v>
      </c>
      <c r="M18" s="1">
        <f>'Kwh Consumption'!V19*' Kwh area wise $ '!B18</f>
        <v>3885722.4659999995</v>
      </c>
    </row>
    <row r="19" spans="1:13" x14ac:dyDescent="0.25">
      <c r="A19" s="14">
        <f>'Kwh Reading'!A20</f>
        <v>44456</v>
      </c>
      <c r="B19" s="11">
        <f>TOTAL!F18</f>
        <v>0.15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1">
        <f>('Kwh Consumption'!S20+'Kwh Consumption'!T20)*' Kwh area wise $ '!B19</f>
        <v>0</v>
      </c>
      <c r="L19" s="1">
        <f>'Kwh Consumption'!U20*' Kwh area wise $ '!B19</f>
        <v>0</v>
      </c>
      <c r="M19" s="1">
        <f>'Kwh Consumption'!V20*' Kwh area wise $ '!B19</f>
        <v>0</v>
      </c>
    </row>
    <row r="20" spans="1:13" x14ac:dyDescent="0.25">
      <c r="A20" s="14">
        <f>'Kwh Reading'!A21</f>
        <v>44457</v>
      </c>
      <c r="B20" s="11">
        <f>TOTAL!F19</f>
        <v>0.15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1">
        <f>('Kwh Consumption'!S21+'Kwh Consumption'!T21)*' Kwh area wise $ '!B20</f>
        <v>0</v>
      </c>
      <c r="L20" s="1">
        <f>'Kwh Consumption'!U21*' Kwh area wise $ '!B20</f>
        <v>0</v>
      </c>
      <c r="M20" s="1">
        <f>'Kwh Consumption'!V21*' Kwh area wise $ '!B20</f>
        <v>0</v>
      </c>
    </row>
    <row r="21" spans="1:13" x14ac:dyDescent="0.25">
      <c r="A21" s="14">
        <f>'Kwh Reading'!A22</f>
        <v>44458</v>
      </c>
      <c r="B21" s="11">
        <f>TOTAL!F20</f>
        <v>0.15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1">
        <f>('Kwh Consumption'!S22+'Kwh Consumption'!T22)*' Kwh area wise $ '!B21</f>
        <v>0</v>
      </c>
      <c r="L21" s="1">
        <f>'Kwh Consumption'!U22*' Kwh area wise $ '!B21</f>
        <v>0</v>
      </c>
      <c r="M21" s="1">
        <f>'Kwh Consumption'!V22*' Kwh area wise $ '!B21</f>
        <v>0</v>
      </c>
    </row>
    <row r="22" spans="1:13" x14ac:dyDescent="0.25">
      <c r="A22" s="14">
        <f>'Kwh Reading'!A23</f>
        <v>44459</v>
      </c>
      <c r="B22" s="11">
        <f>TOTAL!F21</f>
        <v>0.15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1">
        <f>('Kwh Consumption'!S23+'Kwh Consumption'!T23)*' Kwh area wise $ '!B22</f>
        <v>0</v>
      </c>
      <c r="L22" s="1">
        <f>'Kwh Consumption'!U23*' Kwh area wise $ '!B22</f>
        <v>0</v>
      </c>
      <c r="M22" s="1">
        <f>'Kwh Consumption'!V23*' Kwh area wise $ '!B22</f>
        <v>0</v>
      </c>
    </row>
    <row r="23" spans="1:13" x14ac:dyDescent="0.25">
      <c r="A23" s="14">
        <f>'Kwh Reading'!A24</f>
        <v>44460</v>
      </c>
      <c r="B23" s="11">
        <f>TOTAL!F22</f>
        <v>0.15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1">
        <f>('Kwh Consumption'!S24+'Kwh Consumption'!T24)*' Kwh area wise $ '!B23</f>
        <v>0</v>
      </c>
      <c r="L23" s="1">
        <f>'Kwh Consumption'!U24*' Kwh area wise $ '!B23</f>
        <v>0</v>
      </c>
      <c r="M23" s="1">
        <f>'Kwh Consumption'!V24*' Kwh area wise $ '!B23</f>
        <v>0</v>
      </c>
    </row>
    <row r="24" spans="1:13" x14ac:dyDescent="0.25">
      <c r="A24" s="14">
        <f>'Kwh Reading'!A25</f>
        <v>44461</v>
      </c>
      <c r="B24" s="11">
        <f>TOTAL!F23</f>
        <v>0.15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1">
        <f>('Kwh Consumption'!S25+'Kwh Consumption'!T25)*' Kwh area wise $ '!B24</f>
        <v>0</v>
      </c>
      <c r="L24" s="1">
        <f>'Kwh Consumption'!U25*' Kwh area wise $ '!B24</f>
        <v>0</v>
      </c>
      <c r="M24" s="1">
        <f>'Kwh Consumption'!V25*' Kwh area wise $ '!B24</f>
        <v>0</v>
      </c>
    </row>
    <row r="25" spans="1:13" x14ac:dyDescent="0.25">
      <c r="A25" s="14">
        <f>'Kwh Reading'!A26</f>
        <v>44462</v>
      </c>
      <c r="B25" s="11">
        <f>TOTAL!F24</f>
        <v>0.15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1">
        <f>('Kwh Consumption'!S26+'Kwh Consumption'!T26)*' Kwh area wise $ '!B25</f>
        <v>0</v>
      </c>
      <c r="L25" s="1">
        <f>'Kwh Consumption'!U26*' Kwh area wise $ '!B25</f>
        <v>0</v>
      </c>
      <c r="M25" s="1">
        <f>'Kwh Consumption'!V26*' Kwh area wise $ '!B25</f>
        <v>0</v>
      </c>
    </row>
    <row r="26" spans="1:13" x14ac:dyDescent="0.25">
      <c r="A26" s="14">
        <f>'Kwh Reading'!A27</f>
        <v>44463</v>
      </c>
      <c r="B26" s="11">
        <f>TOTAL!F25</f>
        <v>0.15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1">
        <f>('Kwh Consumption'!S27+'Kwh Consumption'!T27)*' Kwh area wise $ '!B26</f>
        <v>0</v>
      </c>
      <c r="L26" s="1">
        <f>'Kwh Consumption'!U27*' Kwh area wise $ '!B26</f>
        <v>0</v>
      </c>
      <c r="M26" s="1">
        <f>'Kwh Consumption'!V27*' Kwh area wise $ '!B26</f>
        <v>0</v>
      </c>
    </row>
    <row r="27" spans="1:13" x14ac:dyDescent="0.25">
      <c r="A27" s="14">
        <f>'Kwh Reading'!A28</f>
        <v>44464</v>
      </c>
      <c r="B27" s="11">
        <f>TOTAL!F26</f>
        <v>0.15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1">
        <f>('Kwh Consumption'!S28+'Kwh Consumption'!T28)*' Kwh area wise $ '!B27</f>
        <v>0</v>
      </c>
      <c r="L27" s="1">
        <f>'Kwh Consumption'!U28*' Kwh area wise $ '!B27</f>
        <v>0</v>
      </c>
      <c r="M27" s="1">
        <f>'Kwh Consumption'!V28*' Kwh area wise $ '!B27</f>
        <v>0</v>
      </c>
    </row>
    <row r="28" spans="1:13" x14ac:dyDescent="0.25">
      <c r="A28" s="14">
        <f>'Kwh Reading'!A29</f>
        <v>44465</v>
      </c>
      <c r="B28" s="11">
        <f>TOTAL!F27</f>
        <v>0.15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44466</v>
      </c>
      <c r="B29" s="11">
        <f>TOTAL!F28</f>
        <v>0.15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44467</v>
      </c>
      <c r="B30" s="11">
        <f>TOTAL!F29</f>
        <v>0.15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44468</v>
      </c>
      <c r="B31" s="11">
        <f>TOTAL!F30</f>
        <v>0.15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44469</v>
      </c>
      <c r="B32" s="11">
        <f>TOTAL!F31</f>
        <v>0.15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44470</v>
      </c>
      <c r="B33" s="11">
        <f>TOTAL!F32</f>
        <v>0.15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34" t="s">
        <v>52</v>
      </c>
      <c r="B34" s="134"/>
      <c r="C34" s="75">
        <f t="shared" ref="C34:L34" si="0">SUM(C3:C33)</f>
        <v>48282.000000000022</v>
      </c>
      <c r="D34" s="75">
        <f t="shared" si="0"/>
        <v>-67405.5</v>
      </c>
      <c r="E34" s="75">
        <f t="shared" si="0"/>
        <v>-379275</v>
      </c>
      <c r="F34" s="75">
        <f t="shared" si="0"/>
        <v>-36714</v>
      </c>
      <c r="G34" s="75">
        <f t="shared" si="0"/>
        <v>-140767.5</v>
      </c>
      <c r="H34" s="75">
        <f t="shared" si="0"/>
        <v>-44599.5</v>
      </c>
      <c r="I34" s="75">
        <f t="shared" si="0"/>
        <v>-198164.99999999997</v>
      </c>
      <c r="J34" s="75">
        <f t="shared" si="0"/>
        <v>-558121.5</v>
      </c>
      <c r="K34" s="75">
        <f t="shared" si="0"/>
        <v>-2401492.122</v>
      </c>
      <c r="L34" s="75">
        <f t="shared" si="0"/>
        <v>-24832.500000000004</v>
      </c>
      <c r="M34" s="75">
        <f>SUM(M3:M33)</f>
        <v>3899654.6219999995</v>
      </c>
      <c r="N34" s="84">
        <f>D34+E34+F34+G34+H34+I34+J34+K34+L34+M34</f>
        <v>48281.999999999534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D22" sqref="D2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9" t="s">
        <v>74</v>
      </c>
      <c r="C1" s="49" t="s">
        <v>75</v>
      </c>
      <c r="D1" s="49" t="s">
        <v>76</v>
      </c>
      <c r="E1" s="49" t="s">
        <v>77</v>
      </c>
      <c r="F1" s="49" t="s">
        <v>78</v>
      </c>
      <c r="G1" s="49" t="s">
        <v>79</v>
      </c>
      <c r="H1" s="49" t="s">
        <v>80</v>
      </c>
      <c r="I1" s="49" t="s">
        <v>81</v>
      </c>
      <c r="J1" s="49" t="s">
        <v>82</v>
      </c>
      <c r="K1" s="49" t="s">
        <v>83</v>
      </c>
      <c r="L1" s="49" t="s">
        <v>84</v>
      </c>
      <c r="M1" s="49" t="s">
        <v>85</v>
      </c>
      <c r="N1" s="49" t="s">
        <v>86</v>
      </c>
      <c r="O1" s="49" t="s">
        <v>87</v>
      </c>
      <c r="P1" s="49" t="s">
        <v>88</v>
      </c>
      <c r="Q1" s="49" t="s">
        <v>89</v>
      </c>
      <c r="R1" s="49" t="s">
        <v>90</v>
      </c>
    </row>
    <row r="2" spans="1:21" s="53" customFormat="1" ht="30.75" thickTop="1" x14ac:dyDescent="0.25">
      <c r="A2" s="50" t="s">
        <v>31</v>
      </c>
      <c r="B2" s="51" t="s">
        <v>91</v>
      </c>
      <c r="C2" s="51" t="s">
        <v>92</v>
      </c>
      <c r="D2" s="52" t="s">
        <v>93</v>
      </c>
      <c r="E2" s="52" t="s">
        <v>94</v>
      </c>
      <c r="F2" s="52" t="s">
        <v>95</v>
      </c>
      <c r="G2" s="52" t="s">
        <v>96</v>
      </c>
      <c r="H2" s="52" t="s">
        <v>97</v>
      </c>
      <c r="I2" s="52" t="s">
        <v>98</v>
      </c>
      <c r="J2" s="52" t="s">
        <v>99</v>
      </c>
      <c r="K2" s="52" t="s">
        <v>100</v>
      </c>
      <c r="L2" s="52" t="s">
        <v>101</v>
      </c>
      <c r="M2" s="52" t="s">
        <v>102</v>
      </c>
      <c r="N2" s="52" t="s">
        <v>103</v>
      </c>
      <c r="O2" s="52" t="s">
        <v>104</v>
      </c>
      <c r="P2" s="52" t="s">
        <v>105</v>
      </c>
      <c r="Q2" s="52" t="s">
        <v>106</v>
      </c>
      <c r="R2" s="52" t="s">
        <v>107</v>
      </c>
    </row>
    <row r="3" spans="1:21" x14ac:dyDescent="0.25">
      <c r="A3" s="54">
        <v>44440</v>
      </c>
      <c r="B3" s="33">
        <v>180874</v>
      </c>
      <c r="C3" s="56">
        <v>142133</v>
      </c>
      <c r="D3" s="33">
        <v>219501</v>
      </c>
      <c r="E3" s="33">
        <v>251513</v>
      </c>
      <c r="F3" s="33">
        <v>66981</v>
      </c>
      <c r="G3" s="33">
        <v>112781</v>
      </c>
      <c r="H3" s="33">
        <v>55314</v>
      </c>
      <c r="I3" s="33">
        <v>65441</v>
      </c>
      <c r="J3" s="33">
        <v>21005</v>
      </c>
      <c r="K3" s="33">
        <v>1024</v>
      </c>
      <c r="L3" s="33">
        <v>17705</v>
      </c>
      <c r="M3" s="33">
        <v>25154</v>
      </c>
      <c r="N3" s="33">
        <v>7590</v>
      </c>
      <c r="O3" s="33">
        <v>1735</v>
      </c>
      <c r="P3" s="33">
        <v>27660</v>
      </c>
      <c r="Q3" s="33">
        <v>913</v>
      </c>
      <c r="R3" s="33">
        <v>6604</v>
      </c>
    </row>
    <row r="4" spans="1:21" x14ac:dyDescent="0.25">
      <c r="A4" s="54">
        <v>44441</v>
      </c>
      <c r="B4" s="56">
        <v>181081</v>
      </c>
      <c r="C4" s="56">
        <v>142227</v>
      </c>
      <c r="D4" s="55">
        <v>219628</v>
      </c>
      <c r="E4" s="55">
        <v>251570</v>
      </c>
      <c r="F4" s="55">
        <v>66982</v>
      </c>
      <c r="G4" s="55">
        <v>112795</v>
      </c>
      <c r="H4" s="33">
        <v>55339</v>
      </c>
      <c r="I4" s="55">
        <v>65477</v>
      </c>
      <c r="J4" s="55">
        <v>21015</v>
      </c>
      <c r="K4" s="55">
        <v>1024</v>
      </c>
      <c r="L4" s="55">
        <v>17713</v>
      </c>
      <c r="M4" s="55">
        <v>25169</v>
      </c>
      <c r="N4" s="55">
        <v>7593</v>
      </c>
      <c r="O4" s="55">
        <v>1737</v>
      </c>
      <c r="P4" s="55">
        <v>27677</v>
      </c>
      <c r="Q4" s="33">
        <v>913</v>
      </c>
      <c r="R4" s="55">
        <v>6608</v>
      </c>
    </row>
    <row r="5" spans="1:21" x14ac:dyDescent="0.25">
      <c r="A5" s="54">
        <v>44442</v>
      </c>
      <c r="B5" s="55">
        <v>181233</v>
      </c>
      <c r="C5" s="33">
        <v>143105</v>
      </c>
      <c r="D5" s="55">
        <v>219729</v>
      </c>
      <c r="E5" s="55">
        <v>251630</v>
      </c>
      <c r="F5" s="55">
        <v>66982</v>
      </c>
      <c r="G5" s="55">
        <v>112809</v>
      </c>
      <c r="H5" s="33">
        <v>55363</v>
      </c>
      <c r="I5" s="55">
        <v>65511</v>
      </c>
      <c r="J5" s="55">
        <v>21025</v>
      </c>
      <c r="K5" s="55">
        <v>1024</v>
      </c>
      <c r="L5" s="55">
        <v>17738</v>
      </c>
      <c r="M5" s="55">
        <v>25196</v>
      </c>
      <c r="N5" s="55">
        <v>7597</v>
      </c>
      <c r="O5" s="55">
        <v>1738</v>
      </c>
      <c r="P5" s="55">
        <v>27693</v>
      </c>
      <c r="Q5" s="33">
        <v>913</v>
      </c>
      <c r="R5" s="55">
        <v>6612</v>
      </c>
    </row>
    <row r="6" spans="1:21" x14ac:dyDescent="0.25">
      <c r="A6" s="54">
        <v>44443</v>
      </c>
      <c r="B6" s="56">
        <v>181348</v>
      </c>
      <c r="C6" s="56">
        <v>143406</v>
      </c>
      <c r="D6" s="55">
        <v>219873</v>
      </c>
      <c r="E6" s="55">
        <v>251697</v>
      </c>
      <c r="F6" s="55">
        <v>66983</v>
      </c>
      <c r="G6" s="55">
        <v>112823</v>
      </c>
      <c r="H6" s="33">
        <v>55389</v>
      </c>
      <c r="I6" s="55">
        <v>65525</v>
      </c>
      <c r="J6" s="55">
        <v>21036</v>
      </c>
      <c r="K6" s="55">
        <v>1024</v>
      </c>
      <c r="L6" s="55">
        <v>17729</v>
      </c>
      <c r="M6" s="55">
        <v>25197</v>
      </c>
      <c r="N6" s="55">
        <v>7602</v>
      </c>
      <c r="O6" s="55">
        <v>1739</v>
      </c>
      <c r="P6" s="55">
        <v>27693</v>
      </c>
      <c r="Q6" s="33">
        <v>913</v>
      </c>
      <c r="R6" s="55">
        <v>6614</v>
      </c>
    </row>
    <row r="7" spans="1:21" x14ac:dyDescent="0.25">
      <c r="A7" s="54">
        <v>44444</v>
      </c>
      <c r="B7" s="56">
        <v>181475</v>
      </c>
      <c r="C7" s="33">
        <v>143528</v>
      </c>
      <c r="D7" s="55">
        <v>220028</v>
      </c>
      <c r="E7" s="55">
        <v>251752</v>
      </c>
      <c r="F7" s="55">
        <v>66984</v>
      </c>
      <c r="G7" s="55">
        <v>112835</v>
      </c>
      <c r="H7" s="33">
        <v>55425</v>
      </c>
      <c r="I7" s="55">
        <v>65555</v>
      </c>
      <c r="J7" s="55">
        <v>21046</v>
      </c>
      <c r="K7" s="55">
        <v>1024</v>
      </c>
      <c r="L7" s="55">
        <v>17736</v>
      </c>
      <c r="M7" s="55">
        <v>25211</v>
      </c>
      <c r="N7" s="55">
        <v>7605</v>
      </c>
      <c r="O7" s="55">
        <v>1740</v>
      </c>
      <c r="P7" s="55">
        <v>27708</v>
      </c>
      <c r="Q7" s="33">
        <v>913</v>
      </c>
      <c r="R7" s="55">
        <v>6618</v>
      </c>
    </row>
    <row r="8" spans="1:21" x14ac:dyDescent="0.25">
      <c r="A8" s="54">
        <v>44445</v>
      </c>
      <c r="B8" s="33">
        <v>181545</v>
      </c>
      <c r="C8" s="56">
        <v>143708</v>
      </c>
      <c r="D8" s="55">
        <v>220114</v>
      </c>
      <c r="E8" s="55">
        <v>251810</v>
      </c>
      <c r="F8" s="55">
        <v>66984</v>
      </c>
      <c r="G8" s="55">
        <v>112848</v>
      </c>
      <c r="H8" s="33">
        <v>55466</v>
      </c>
      <c r="I8" s="55">
        <v>65589</v>
      </c>
      <c r="J8" s="55">
        <v>21057</v>
      </c>
      <c r="K8" s="55">
        <v>1024</v>
      </c>
      <c r="L8" s="55">
        <v>17744</v>
      </c>
      <c r="M8" s="55">
        <v>25224</v>
      </c>
      <c r="N8" s="55">
        <v>7608</v>
      </c>
      <c r="O8" s="55">
        <v>1741</v>
      </c>
      <c r="P8" s="55">
        <v>27722</v>
      </c>
      <c r="Q8" s="33">
        <v>913</v>
      </c>
      <c r="R8" s="55">
        <v>6622</v>
      </c>
    </row>
    <row r="9" spans="1:21" x14ac:dyDescent="0.25">
      <c r="A9" s="54">
        <v>44446</v>
      </c>
      <c r="B9" s="56">
        <v>181663</v>
      </c>
      <c r="C9" s="33">
        <v>143812</v>
      </c>
      <c r="D9" s="55">
        <v>220275</v>
      </c>
      <c r="E9" s="55">
        <v>251866</v>
      </c>
      <c r="F9" s="55">
        <v>66984</v>
      </c>
      <c r="G9" s="55">
        <v>112864</v>
      </c>
      <c r="H9" s="33">
        <v>55472</v>
      </c>
      <c r="I9" s="55">
        <v>65614</v>
      </c>
      <c r="J9" s="55">
        <v>21068</v>
      </c>
      <c r="K9" s="55">
        <v>1024</v>
      </c>
      <c r="L9" s="55">
        <v>17752</v>
      </c>
      <c r="M9" s="55">
        <v>24240</v>
      </c>
      <c r="N9" s="55">
        <v>7611</v>
      </c>
      <c r="O9" s="55">
        <v>1742</v>
      </c>
      <c r="P9" s="55">
        <v>27732</v>
      </c>
      <c r="Q9" s="33">
        <v>938</v>
      </c>
      <c r="R9" s="55">
        <v>6626</v>
      </c>
    </row>
    <row r="10" spans="1:21" x14ac:dyDescent="0.25">
      <c r="A10" s="54">
        <v>44447</v>
      </c>
      <c r="B10" s="33">
        <v>181771</v>
      </c>
      <c r="C10" s="56">
        <v>144102</v>
      </c>
      <c r="D10" s="55">
        <v>220397</v>
      </c>
      <c r="E10" s="55">
        <v>251922</v>
      </c>
      <c r="F10" s="55">
        <v>66985</v>
      </c>
      <c r="G10" s="55">
        <v>112881</v>
      </c>
      <c r="H10" s="33">
        <v>55487</v>
      </c>
      <c r="I10" s="55">
        <v>65645</v>
      </c>
      <c r="J10" s="55">
        <v>21078</v>
      </c>
      <c r="K10" s="55">
        <v>1024</v>
      </c>
      <c r="L10" s="55">
        <v>17759</v>
      </c>
      <c r="M10" s="55">
        <v>25258</v>
      </c>
      <c r="N10" s="55">
        <v>7618</v>
      </c>
      <c r="O10" s="55">
        <v>1743</v>
      </c>
      <c r="P10" s="55">
        <v>27748</v>
      </c>
      <c r="Q10" s="33">
        <v>943</v>
      </c>
      <c r="R10" s="55">
        <v>6630</v>
      </c>
    </row>
    <row r="11" spans="1:21" x14ac:dyDescent="0.25">
      <c r="A11" s="54">
        <v>44448</v>
      </c>
      <c r="B11" s="56">
        <v>181869</v>
      </c>
      <c r="C11" s="33">
        <v>144276</v>
      </c>
      <c r="D11" s="55">
        <v>220485</v>
      </c>
      <c r="E11" s="55">
        <v>251980</v>
      </c>
      <c r="F11" s="55">
        <v>66985</v>
      </c>
      <c r="G11" s="55">
        <v>112898</v>
      </c>
      <c r="H11" s="33">
        <v>55507</v>
      </c>
      <c r="I11" s="55">
        <v>65682</v>
      </c>
      <c r="J11" s="55">
        <v>21088</v>
      </c>
      <c r="K11" s="55">
        <v>1024</v>
      </c>
      <c r="L11" s="55">
        <v>17766</v>
      </c>
      <c r="M11" s="55">
        <v>25273</v>
      </c>
      <c r="N11" s="55">
        <v>7618</v>
      </c>
      <c r="O11" s="55">
        <v>1744</v>
      </c>
      <c r="P11" s="55">
        <v>27763</v>
      </c>
      <c r="Q11" s="33">
        <v>951</v>
      </c>
      <c r="R11" s="55">
        <v>6634</v>
      </c>
    </row>
    <row r="12" spans="1:21" x14ac:dyDescent="0.25">
      <c r="A12" s="54">
        <v>44449</v>
      </c>
      <c r="B12" s="33">
        <v>181655</v>
      </c>
      <c r="C12" s="56">
        <v>144376</v>
      </c>
      <c r="D12" s="55">
        <v>220574</v>
      </c>
      <c r="E12" s="55">
        <v>252035</v>
      </c>
      <c r="F12" s="55">
        <v>66986</v>
      </c>
      <c r="G12" s="55">
        <v>112913</v>
      </c>
      <c r="H12" s="33">
        <v>55532</v>
      </c>
      <c r="I12" s="55">
        <v>65714</v>
      </c>
      <c r="J12" s="55">
        <v>21099</v>
      </c>
      <c r="K12" s="55">
        <v>1024</v>
      </c>
      <c r="L12" s="55">
        <v>17772</v>
      </c>
      <c r="M12" s="55">
        <v>25287</v>
      </c>
      <c r="N12" s="55">
        <v>7625</v>
      </c>
      <c r="O12" s="55">
        <v>1744</v>
      </c>
      <c r="P12" s="55">
        <v>27779</v>
      </c>
      <c r="Q12" s="33">
        <v>953</v>
      </c>
      <c r="R12" s="55">
        <v>6640</v>
      </c>
    </row>
    <row r="13" spans="1:21" x14ac:dyDescent="0.25">
      <c r="A13" s="54">
        <v>44450</v>
      </c>
      <c r="B13" s="56">
        <v>181756</v>
      </c>
      <c r="C13" s="33">
        <v>144476</v>
      </c>
      <c r="D13" s="55">
        <v>220674</v>
      </c>
      <c r="E13" s="55">
        <v>252092</v>
      </c>
      <c r="F13" s="55">
        <v>66986</v>
      </c>
      <c r="G13" s="55">
        <v>112932</v>
      </c>
      <c r="H13" s="33">
        <v>55576</v>
      </c>
      <c r="I13" s="55">
        <v>65733</v>
      </c>
      <c r="J13" s="55">
        <v>21110</v>
      </c>
      <c r="K13" s="55">
        <v>1024</v>
      </c>
      <c r="L13" s="55">
        <v>17780</v>
      </c>
      <c r="M13" s="55">
        <v>25303</v>
      </c>
      <c r="N13" s="55">
        <v>7630</v>
      </c>
      <c r="O13" s="55">
        <v>1747</v>
      </c>
      <c r="P13" s="55">
        <v>27779</v>
      </c>
      <c r="Q13" s="33">
        <v>953</v>
      </c>
      <c r="R13" s="55">
        <v>6643</v>
      </c>
    </row>
    <row r="14" spans="1:21" x14ac:dyDescent="0.25">
      <c r="A14" s="54">
        <v>44451</v>
      </c>
      <c r="B14" s="33">
        <v>181855</v>
      </c>
      <c r="C14" s="56">
        <v>144514</v>
      </c>
      <c r="D14" s="55">
        <v>220769</v>
      </c>
      <c r="E14" s="55">
        <v>252153</v>
      </c>
      <c r="F14" s="55">
        <v>66987</v>
      </c>
      <c r="G14" s="55">
        <v>112947</v>
      </c>
      <c r="H14" s="33">
        <v>55624</v>
      </c>
      <c r="I14" s="55">
        <v>65767</v>
      </c>
      <c r="J14" s="55">
        <v>21120</v>
      </c>
      <c r="K14" s="55">
        <v>1024</v>
      </c>
      <c r="L14" s="55">
        <v>17788</v>
      </c>
      <c r="M14" s="55">
        <v>25317</v>
      </c>
      <c r="N14" s="55">
        <v>7634</v>
      </c>
      <c r="O14" s="55">
        <v>1748</v>
      </c>
      <c r="P14" s="55">
        <v>27790</v>
      </c>
      <c r="Q14" s="33">
        <v>960</v>
      </c>
      <c r="R14" s="55">
        <v>6648</v>
      </c>
    </row>
    <row r="15" spans="1:21" x14ac:dyDescent="0.25">
      <c r="A15" s="54">
        <v>44452</v>
      </c>
      <c r="B15" s="33">
        <v>181952</v>
      </c>
      <c r="C15" s="33">
        <v>144606</v>
      </c>
      <c r="D15" s="55">
        <v>220881</v>
      </c>
      <c r="E15" s="55">
        <v>252205</v>
      </c>
      <c r="F15" s="55">
        <v>66987</v>
      </c>
      <c r="G15" s="55">
        <v>112965</v>
      </c>
      <c r="H15" s="33">
        <v>55662</v>
      </c>
      <c r="I15" s="55">
        <v>65804</v>
      </c>
      <c r="J15" s="55">
        <v>21131</v>
      </c>
      <c r="K15" s="55">
        <v>1024</v>
      </c>
      <c r="L15" s="55">
        <v>17795</v>
      </c>
      <c r="M15" s="55">
        <v>25331</v>
      </c>
      <c r="N15" s="55">
        <v>7637</v>
      </c>
      <c r="O15" s="55">
        <v>1748</v>
      </c>
      <c r="P15" s="55">
        <v>27809</v>
      </c>
      <c r="Q15" s="33">
        <v>964</v>
      </c>
      <c r="R15" s="55">
        <v>6653</v>
      </c>
      <c r="T15" s="110"/>
      <c r="U15" s="110"/>
    </row>
    <row r="16" spans="1:21" x14ac:dyDescent="0.25">
      <c r="A16" s="54">
        <v>44453</v>
      </c>
      <c r="B16" s="33">
        <v>182047</v>
      </c>
      <c r="C16" s="56">
        <v>144790</v>
      </c>
      <c r="D16" s="55">
        <v>220984</v>
      </c>
      <c r="E16" s="55">
        <v>252265</v>
      </c>
      <c r="F16" s="55">
        <v>66987</v>
      </c>
      <c r="G16" s="55">
        <v>112983</v>
      </c>
      <c r="H16" s="33">
        <v>55697</v>
      </c>
      <c r="I16" s="55">
        <v>65838</v>
      </c>
      <c r="J16" s="55">
        <v>21142</v>
      </c>
      <c r="K16" s="55">
        <v>1024</v>
      </c>
      <c r="L16" s="55">
        <v>17802</v>
      </c>
      <c r="M16" s="55">
        <v>25345</v>
      </c>
      <c r="N16" s="55">
        <v>7639</v>
      </c>
      <c r="O16" s="55">
        <v>1750</v>
      </c>
      <c r="P16" s="55">
        <v>27822</v>
      </c>
      <c r="Q16" s="33">
        <v>968</v>
      </c>
      <c r="R16" s="55">
        <v>6659</v>
      </c>
    </row>
    <row r="17" spans="1:22" x14ac:dyDescent="0.25">
      <c r="A17" s="54">
        <v>44454</v>
      </c>
      <c r="B17" s="33">
        <v>182295</v>
      </c>
      <c r="C17" s="33">
        <v>145389</v>
      </c>
      <c r="D17" s="55">
        <v>221120</v>
      </c>
      <c r="E17" s="55">
        <v>252322</v>
      </c>
      <c r="F17" s="55">
        <v>66988</v>
      </c>
      <c r="G17" s="55">
        <v>112999</v>
      </c>
      <c r="H17" s="33">
        <v>55724</v>
      </c>
      <c r="I17" s="55">
        <v>65868</v>
      </c>
      <c r="J17" s="55">
        <v>21152</v>
      </c>
      <c r="K17" s="55">
        <v>1024</v>
      </c>
      <c r="L17" s="55">
        <v>17811</v>
      </c>
      <c r="M17" s="55">
        <v>25363</v>
      </c>
      <c r="N17" s="55">
        <v>7644</v>
      </c>
      <c r="O17" s="55">
        <v>1751</v>
      </c>
      <c r="P17" s="55">
        <v>27835</v>
      </c>
      <c r="Q17" s="33">
        <v>970</v>
      </c>
      <c r="R17" s="55">
        <v>6666</v>
      </c>
    </row>
    <row r="18" spans="1:22" x14ac:dyDescent="0.25">
      <c r="A18" s="54">
        <v>44455</v>
      </c>
      <c r="B18" s="33">
        <v>182713</v>
      </c>
      <c r="C18" s="56">
        <v>145420</v>
      </c>
      <c r="D18" s="55">
        <v>221290</v>
      </c>
      <c r="E18" s="55">
        <v>252380</v>
      </c>
      <c r="F18" s="55">
        <v>66988</v>
      </c>
      <c r="G18" s="55">
        <v>113015</v>
      </c>
      <c r="H18" s="33">
        <v>55758</v>
      </c>
      <c r="I18" s="55">
        <v>65897</v>
      </c>
      <c r="J18" s="33">
        <v>21163</v>
      </c>
      <c r="K18" s="55">
        <v>1024</v>
      </c>
      <c r="L18" s="55">
        <v>17819</v>
      </c>
      <c r="M18" s="55">
        <v>25381</v>
      </c>
      <c r="N18" s="55">
        <v>7645</v>
      </c>
      <c r="O18" s="55">
        <v>1751</v>
      </c>
      <c r="P18" s="55">
        <v>27843</v>
      </c>
      <c r="Q18" s="33">
        <v>972</v>
      </c>
      <c r="R18" s="55">
        <v>6672</v>
      </c>
      <c r="U18" s="110"/>
    </row>
    <row r="19" spans="1:22" x14ac:dyDescent="0.25">
      <c r="A19" s="54">
        <v>44456</v>
      </c>
      <c r="B19" s="33"/>
      <c r="C19" s="33"/>
      <c r="D19" s="55"/>
      <c r="E19" s="55"/>
      <c r="F19" s="55"/>
      <c r="G19" s="55"/>
      <c r="H19" s="33"/>
      <c r="I19" s="55"/>
      <c r="J19" s="55"/>
      <c r="K19" s="55"/>
      <c r="L19" s="55"/>
      <c r="M19" s="55"/>
      <c r="N19" s="55"/>
      <c r="O19" s="55"/>
      <c r="P19" s="55"/>
      <c r="Q19" s="33"/>
      <c r="R19" s="55"/>
    </row>
    <row r="20" spans="1:22" x14ac:dyDescent="0.25">
      <c r="A20" s="54">
        <v>44457</v>
      </c>
      <c r="B20" s="33"/>
      <c r="C20" s="56"/>
      <c r="E20" s="55"/>
      <c r="F20" s="55"/>
      <c r="G20" s="55"/>
      <c r="H20" s="33"/>
      <c r="I20" s="55"/>
      <c r="J20" s="55"/>
      <c r="K20" s="55"/>
      <c r="L20" s="55"/>
      <c r="M20" s="55"/>
      <c r="N20" s="55"/>
      <c r="O20" s="55"/>
      <c r="P20" s="55"/>
      <c r="Q20" s="33"/>
      <c r="R20" s="55"/>
    </row>
    <row r="21" spans="1:22" x14ac:dyDescent="0.25">
      <c r="A21" s="54">
        <v>44458</v>
      </c>
      <c r="B21" s="33"/>
      <c r="C21" s="33"/>
      <c r="D21" s="55"/>
      <c r="E21" s="55"/>
      <c r="F21" s="55"/>
      <c r="G21" s="55"/>
      <c r="H21" s="33"/>
      <c r="I21" s="55"/>
      <c r="J21" s="55"/>
      <c r="K21" s="55"/>
      <c r="L21" s="55"/>
      <c r="M21" s="55"/>
      <c r="N21" s="55"/>
      <c r="O21" s="55"/>
      <c r="P21" s="55"/>
      <c r="Q21" s="33"/>
      <c r="R21" s="55"/>
    </row>
    <row r="22" spans="1:22" x14ac:dyDescent="0.25">
      <c r="A22" s="54">
        <v>44459</v>
      </c>
      <c r="B22" s="33"/>
      <c r="C22" s="56"/>
      <c r="D22" s="55"/>
      <c r="E22" s="55"/>
      <c r="F22" s="55"/>
      <c r="G22" s="55"/>
      <c r="H22" s="33"/>
      <c r="I22" s="55"/>
      <c r="J22" s="55"/>
      <c r="K22" s="55"/>
      <c r="L22" s="55"/>
      <c r="M22" s="55"/>
      <c r="N22" s="55"/>
      <c r="O22" s="55"/>
      <c r="P22" s="55"/>
      <c r="Q22" s="33"/>
      <c r="R22" s="55"/>
    </row>
    <row r="23" spans="1:22" x14ac:dyDescent="0.25">
      <c r="A23" s="54">
        <v>44460</v>
      </c>
      <c r="B23" s="33"/>
      <c r="C23" s="33"/>
      <c r="D23" s="55"/>
      <c r="E23" s="55"/>
      <c r="F23" s="55"/>
      <c r="G23" s="55"/>
      <c r="H23" s="33"/>
      <c r="I23" s="55"/>
      <c r="J23" s="55"/>
      <c r="K23" s="55"/>
      <c r="L23" s="55"/>
      <c r="M23" s="55"/>
      <c r="N23" s="55"/>
      <c r="O23" s="55"/>
      <c r="P23" s="55"/>
      <c r="Q23" s="33"/>
      <c r="R23" s="55"/>
    </row>
    <row r="24" spans="1:22" x14ac:dyDescent="0.25">
      <c r="A24" s="54">
        <v>44461</v>
      </c>
      <c r="B24" s="33"/>
      <c r="C24" s="56"/>
      <c r="D24" s="55"/>
      <c r="E24" s="55"/>
      <c r="F24" s="55"/>
      <c r="G24" s="55"/>
      <c r="H24" s="33"/>
      <c r="I24" s="55"/>
      <c r="J24" s="55"/>
      <c r="K24" s="55"/>
      <c r="L24" s="55"/>
      <c r="M24" s="55"/>
      <c r="N24" s="55"/>
      <c r="O24" s="55"/>
      <c r="P24" s="55"/>
      <c r="Q24" s="33"/>
      <c r="R24" s="55"/>
    </row>
    <row r="25" spans="1:22" x14ac:dyDescent="0.25">
      <c r="A25" s="54">
        <v>44462</v>
      </c>
      <c r="B25" s="33"/>
      <c r="C25" s="33"/>
      <c r="D25" s="55"/>
      <c r="E25" s="55"/>
      <c r="F25" s="55"/>
      <c r="G25" s="55"/>
      <c r="H25" s="33"/>
      <c r="I25" s="55"/>
      <c r="J25" s="55"/>
      <c r="K25" s="55"/>
      <c r="L25" s="55"/>
      <c r="M25" s="55"/>
      <c r="N25" s="55"/>
      <c r="O25" s="55"/>
      <c r="P25" s="55"/>
      <c r="Q25" s="33"/>
      <c r="R25" s="55"/>
    </row>
    <row r="26" spans="1:22" x14ac:dyDescent="0.25">
      <c r="A26" s="54">
        <v>44463</v>
      </c>
      <c r="B26" s="33"/>
      <c r="C26" s="56"/>
      <c r="D26" s="55"/>
      <c r="E26" s="55"/>
      <c r="F26" s="55"/>
      <c r="G26" s="55"/>
      <c r="H26" s="33"/>
      <c r="I26" s="55"/>
      <c r="J26" s="55"/>
      <c r="K26" s="55"/>
      <c r="L26" s="55"/>
      <c r="M26" s="55"/>
      <c r="N26" s="55"/>
      <c r="O26" s="55"/>
      <c r="P26" s="55"/>
      <c r="Q26" s="33"/>
      <c r="R26" s="55"/>
    </row>
    <row r="27" spans="1:22" x14ac:dyDescent="0.25">
      <c r="A27" s="54">
        <v>44464</v>
      </c>
      <c r="B27" s="33"/>
      <c r="C27" s="33"/>
      <c r="D27" s="55"/>
      <c r="E27" s="55"/>
      <c r="F27" s="55"/>
      <c r="G27" s="55"/>
      <c r="H27" s="33"/>
      <c r="I27" s="55"/>
      <c r="J27" s="55"/>
      <c r="K27" s="55"/>
      <c r="L27" s="55"/>
      <c r="M27" s="55"/>
      <c r="N27" s="55"/>
      <c r="O27" s="55"/>
      <c r="P27" s="55"/>
      <c r="Q27" s="33"/>
      <c r="R27" s="55"/>
    </row>
    <row r="28" spans="1:22" x14ac:dyDescent="0.25">
      <c r="A28" s="54">
        <v>44465</v>
      </c>
      <c r="B28" s="33"/>
      <c r="C28" s="56"/>
      <c r="D28" s="55"/>
      <c r="E28" s="55"/>
      <c r="F28" s="55"/>
      <c r="G28" s="55"/>
      <c r="H28" s="33"/>
      <c r="I28" s="55"/>
      <c r="J28" s="55"/>
      <c r="K28" s="55"/>
      <c r="L28" s="55"/>
      <c r="M28" s="55"/>
      <c r="N28" s="55"/>
      <c r="O28" s="55"/>
      <c r="P28" s="55"/>
      <c r="Q28" s="33"/>
      <c r="R28" s="55"/>
    </row>
    <row r="29" spans="1:22" x14ac:dyDescent="0.25">
      <c r="A29" s="54">
        <v>44466</v>
      </c>
      <c r="B29" s="33"/>
      <c r="C29" s="33"/>
      <c r="D29" s="55"/>
      <c r="E29" s="55"/>
      <c r="F29" s="55"/>
      <c r="G29" s="55"/>
      <c r="H29" s="33"/>
      <c r="J29" s="55"/>
      <c r="K29" s="55"/>
      <c r="L29" s="55"/>
      <c r="M29" s="55"/>
      <c r="N29" s="55"/>
      <c r="O29" s="55"/>
      <c r="P29" s="55"/>
      <c r="Q29" s="55"/>
      <c r="R29" s="55"/>
    </row>
    <row r="30" spans="1:22" x14ac:dyDescent="0.25">
      <c r="A30" s="54">
        <v>44467</v>
      </c>
      <c r="B30" s="33"/>
      <c r="C30" s="56"/>
      <c r="D30" s="55"/>
      <c r="E30" s="55"/>
      <c r="F30" s="55"/>
      <c r="G30" s="55"/>
      <c r="H30" s="33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22" x14ac:dyDescent="0.25">
      <c r="A31" s="54">
        <v>44468</v>
      </c>
      <c r="B31" s="33"/>
      <c r="C31" s="33"/>
      <c r="D31" s="55"/>
      <c r="F31" s="55"/>
      <c r="G31" s="55"/>
      <c r="H31" s="33"/>
      <c r="I31" s="55"/>
      <c r="K31" s="55"/>
      <c r="L31" s="55"/>
      <c r="M31" s="55"/>
      <c r="N31" s="55"/>
      <c r="O31" s="55"/>
      <c r="P31" s="55"/>
      <c r="Q31" s="55"/>
      <c r="R31" s="55"/>
      <c r="S31" s="57"/>
      <c r="T31" s="57"/>
      <c r="U31" s="57"/>
      <c r="V31" s="57"/>
    </row>
    <row r="32" spans="1:22" x14ac:dyDescent="0.25">
      <c r="A32" s="54">
        <v>44469</v>
      </c>
      <c r="B32" s="33"/>
      <c r="C32" s="56"/>
      <c r="D32" s="55"/>
      <c r="E32" s="55"/>
      <c r="F32" s="55"/>
      <c r="G32" s="55"/>
      <c r="H32" s="56"/>
      <c r="I32" s="33"/>
      <c r="J32" s="55"/>
      <c r="K32" s="55"/>
      <c r="L32" s="55"/>
      <c r="M32" s="55"/>
      <c r="N32" s="55"/>
      <c r="O32" s="55"/>
      <c r="P32" s="55"/>
      <c r="Q32" s="55"/>
      <c r="R32" s="55"/>
      <c r="S32" s="58"/>
      <c r="T32" s="57"/>
      <c r="U32" s="57"/>
      <c r="V32" s="57"/>
    </row>
    <row r="33" spans="1:22" x14ac:dyDescent="0.25">
      <c r="A33" s="54">
        <v>44470</v>
      </c>
      <c r="B33" s="33"/>
      <c r="C33" s="33"/>
      <c r="D33" s="55"/>
      <c r="E33" s="55"/>
      <c r="F33" s="55"/>
      <c r="G33" s="55"/>
      <c r="H33" s="56"/>
      <c r="I33" s="33"/>
      <c r="J33" s="55"/>
      <c r="K33" s="55"/>
      <c r="L33" s="55"/>
      <c r="M33" s="55"/>
      <c r="N33" s="55"/>
      <c r="O33" s="55"/>
      <c r="P33" s="55"/>
      <c r="Q33" s="55"/>
      <c r="R33" s="55"/>
      <c r="S33" s="58"/>
      <c r="T33" s="57"/>
      <c r="U33" s="57"/>
      <c r="V33" s="57"/>
    </row>
    <row r="34" spans="1:22" x14ac:dyDescent="0.25">
      <c r="A34" s="54"/>
      <c r="B34" s="33"/>
      <c r="C34" s="56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</row>
    <row r="37" spans="1:22" x14ac:dyDescent="0.25">
      <c r="B37" s="110"/>
      <c r="C37" s="110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70" zoomScaleNormal="70" workbookViewId="0">
      <pane ySplit="3" topLeftCell="A4" activePane="bottomLeft" state="frozen"/>
      <selection activeCell="C25" sqref="C25"/>
      <selection pane="bottomLeft" activeCell="H50" sqref="H50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9" customFormat="1" ht="45" customHeight="1" thickTop="1" x14ac:dyDescent="0.25">
      <c r="A2" s="135" t="s">
        <v>31</v>
      </c>
      <c r="B2" s="136" t="s">
        <v>108</v>
      </c>
      <c r="C2" s="136" t="s">
        <v>109</v>
      </c>
      <c r="D2" s="136"/>
      <c r="E2" s="137" t="s">
        <v>97</v>
      </c>
      <c r="F2" s="138"/>
      <c r="G2" s="139" t="s">
        <v>112</v>
      </c>
      <c r="H2" s="138"/>
      <c r="I2" s="139" t="s">
        <v>110</v>
      </c>
      <c r="J2" s="138"/>
      <c r="K2" s="139" t="s">
        <v>111</v>
      </c>
      <c r="L2" s="138"/>
      <c r="M2" s="139" t="s">
        <v>107</v>
      </c>
      <c r="N2" s="138"/>
      <c r="O2" s="139" t="s">
        <v>106</v>
      </c>
      <c r="P2" s="138"/>
      <c r="Q2" s="139" t="s">
        <v>113</v>
      </c>
      <c r="R2" s="138"/>
      <c r="S2" s="139" t="s">
        <v>114</v>
      </c>
      <c r="T2" s="138"/>
      <c r="U2" s="139" t="s">
        <v>115</v>
      </c>
      <c r="V2" s="138"/>
      <c r="W2" s="139" t="s">
        <v>99</v>
      </c>
      <c r="X2" s="140"/>
      <c r="Y2" s="141" t="s">
        <v>52</v>
      </c>
      <c r="Z2" s="141"/>
    </row>
    <row r="3" spans="1:26" ht="30" x14ac:dyDescent="0.35">
      <c r="A3" s="135"/>
      <c r="B3" s="136"/>
      <c r="C3" s="60" t="s">
        <v>116</v>
      </c>
      <c r="D3" s="60" t="s">
        <v>117</v>
      </c>
      <c r="E3" s="74" t="s">
        <v>116</v>
      </c>
      <c r="F3" s="62" t="s">
        <v>118</v>
      </c>
      <c r="G3" s="61" t="s">
        <v>116</v>
      </c>
      <c r="H3" s="62" t="s">
        <v>118</v>
      </c>
      <c r="I3" s="61" t="s">
        <v>116</v>
      </c>
      <c r="J3" s="62" t="s">
        <v>118</v>
      </c>
      <c r="K3" s="61" t="s">
        <v>116</v>
      </c>
      <c r="L3" s="62" t="s">
        <v>118</v>
      </c>
      <c r="M3" s="61" t="s">
        <v>116</v>
      </c>
      <c r="N3" s="62" t="s">
        <v>118</v>
      </c>
      <c r="O3" s="61" t="s">
        <v>116</v>
      </c>
      <c r="P3" s="62" t="s">
        <v>118</v>
      </c>
      <c r="Q3" s="61" t="s">
        <v>116</v>
      </c>
      <c r="R3" s="62" t="s">
        <v>118</v>
      </c>
      <c r="S3" s="61" t="s">
        <v>116</v>
      </c>
      <c r="T3" s="62" t="s">
        <v>118</v>
      </c>
      <c r="U3" s="61" t="s">
        <v>116</v>
      </c>
      <c r="V3" s="62" t="s">
        <v>118</v>
      </c>
      <c r="W3" s="61" t="s">
        <v>116</v>
      </c>
      <c r="X3" s="63" t="s">
        <v>118</v>
      </c>
      <c r="Y3" s="64" t="s">
        <v>116</v>
      </c>
      <c r="Z3" s="64" t="s">
        <v>118</v>
      </c>
    </row>
    <row r="4" spans="1:26" x14ac:dyDescent="0.25">
      <c r="A4" s="8">
        <f>'Water Reading'!A3</f>
        <v>44440</v>
      </c>
      <c r="B4" s="65">
        <v>469</v>
      </c>
      <c r="C4" s="66">
        <f>('Water Reading'!B4-'Water Reading'!B3)+('Water Reading'!C4-'Water Reading'!C3)</f>
        <v>301</v>
      </c>
      <c r="D4" s="67">
        <f>C4/B4</f>
        <v>0.64179104477611937</v>
      </c>
      <c r="E4" s="88">
        <f>'Water Reading'!H4-'Water Reading'!H3</f>
        <v>25</v>
      </c>
      <c r="F4" s="89">
        <f>E4/C4</f>
        <v>8.3056478405315617E-2</v>
      </c>
      <c r="G4" s="93">
        <f>('Water Reading'!D4-'Water Reading'!D3)-('Water Reading'!R4-'Water Reading'!R3)-('Water Reading'!Q4-'Water Reading'!Q3)</f>
        <v>123</v>
      </c>
      <c r="H4" s="89">
        <f>G4/C4</f>
        <v>0.40863787375415284</v>
      </c>
      <c r="I4" s="90">
        <f>'Water Reading'!P4-'Water Reading'!P3</f>
        <v>17</v>
      </c>
      <c r="J4" s="68">
        <f>I4/C4</f>
        <v>5.647840531561462E-2</v>
      </c>
      <c r="K4" s="91">
        <f>('Water Reading'!I4-'Water Reading'!I3)-('Water Reading'!P4-'Water Reading'!P3)</f>
        <v>19</v>
      </c>
      <c r="L4" s="68">
        <f>K4/C4</f>
        <v>6.3122923588039864E-2</v>
      </c>
      <c r="M4" s="90">
        <f>'Water Reading'!R4-'Water Reading'!R3</f>
        <v>4</v>
      </c>
      <c r="N4" s="92">
        <f>M4/C4</f>
        <v>1.3289036544850499E-2</v>
      </c>
      <c r="O4" s="90">
        <f>'Water Reading'!Q4-'Water Reading'!Q3</f>
        <v>0</v>
      </c>
      <c r="P4" s="99">
        <f>O4/C4</f>
        <v>0</v>
      </c>
      <c r="Q4" s="91">
        <f>'Water Reading'!F4-'Water Reading'!F3</f>
        <v>1</v>
      </c>
      <c r="R4" s="100">
        <f>Q4/C4</f>
        <v>3.3222591362126247E-3</v>
      </c>
      <c r="S4" s="90">
        <f>'Water Reading'!E4-'Water Reading'!E3</f>
        <v>57</v>
      </c>
      <c r="T4" s="100">
        <f>S4/C4</f>
        <v>0.18936877076411959</v>
      </c>
      <c r="U4" s="90">
        <f>'Water Reading'!G4-'Water Reading'!G3</f>
        <v>14</v>
      </c>
      <c r="V4" s="100">
        <f>U4/C4</f>
        <v>4.6511627906976744E-2</v>
      </c>
      <c r="W4" s="90">
        <f>'Water Reading'!J4-'Water Reading'!J3</f>
        <v>10</v>
      </c>
      <c r="X4" s="100">
        <f>W4/C4</f>
        <v>3.3222591362126248E-2</v>
      </c>
      <c r="Y4" s="66">
        <f t="shared" ref="Y4:Y34" si="0">E4+I4+K4+M4+O4+G4+Q4+S4+U4+W4</f>
        <v>270</v>
      </c>
      <c r="Z4" s="67">
        <f t="shared" ref="Z4:Z35" si="1">Y4/B4</f>
        <v>0.57569296375266521</v>
      </c>
    </row>
    <row r="5" spans="1:26" x14ac:dyDescent="0.25">
      <c r="A5" s="8">
        <f>'Water Reading'!A4</f>
        <v>44441</v>
      </c>
      <c r="B5" s="65">
        <f>TOTAL!I3</f>
        <v>233</v>
      </c>
      <c r="C5" s="66">
        <v>385</v>
      </c>
      <c r="D5" s="67">
        <f t="shared" ref="D5:D34" si="2">C5/B5</f>
        <v>1.6523605150214593</v>
      </c>
      <c r="E5" s="88">
        <f>'Water Reading'!H5-'Water Reading'!H4</f>
        <v>24</v>
      </c>
      <c r="F5" s="89">
        <f t="shared" ref="F5:F34" si="3">E5/C5</f>
        <v>6.2337662337662338E-2</v>
      </c>
      <c r="G5" s="93">
        <f>('Water Reading'!D5-'Water Reading'!D4)-('Water Reading'!R5-'Water Reading'!R4)-('Water Reading'!Q5-'Water Reading'!Q4)</f>
        <v>97</v>
      </c>
      <c r="H5" s="89">
        <f t="shared" ref="H5:H34" si="4">G5/C5</f>
        <v>0.25194805194805192</v>
      </c>
      <c r="I5" s="90">
        <f>'Water Reading'!P5-'Water Reading'!P4</f>
        <v>16</v>
      </c>
      <c r="J5" s="68">
        <f t="shared" ref="J5:J34" si="5">I5/C5</f>
        <v>4.1558441558441558E-2</v>
      </c>
      <c r="K5" s="91">
        <f>('Water Reading'!I5-'Water Reading'!I4)-('Water Reading'!P5-'Water Reading'!P4)</f>
        <v>18</v>
      </c>
      <c r="L5" s="68">
        <f t="shared" ref="L5:L34" si="6">K5/C5</f>
        <v>4.6753246753246755E-2</v>
      </c>
      <c r="M5" s="90">
        <f>'Water Reading'!R5-'Water Reading'!R4</f>
        <v>4</v>
      </c>
      <c r="N5" s="92">
        <f t="shared" ref="N5:N34" si="7">M5/C5</f>
        <v>1.038961038961039E-2</v>
      </c>
      <c r="O5" s="90">
        <f>'Water Reading'!Q5-'Water Reading'!Q4</f>
        <v>0</v>
      </c>
      <c r="P5" s="99">
        <f t="shared" ref="P5:P34" si="8">O5/C5</f>
        <v>0</v>
      </c>
      <c r="Q5" s="91">
        <f>'Water Reading'!F5-'Water Reading'!F4</f>
        <v>0</v>
      </c>
      <c r="R5" s="100">
        <f t="shared" ref="R5:R34" si="9">Q5/C5</f>
        <v>0</v>
      </c>
      <c r="S5" s="90">
        <f>'Water Reading'!E5-'Water Reading'!E4</f>
        <v>60</v>
      </c>
      <c r="T5" s="100">
        <f t="shared" ref="T5:T34" si="10">S5/C5</f>
        <v>0.15584415584415584</v>
      </c>
      <c r="U5" s="90">
        <f>'Water Reading'!G5-'Water Reading'!G4</f>
        <v>14</v>
      </c>
      <c r="V5" s="100">
        <f t="shared" ref="V5:V34" si="11">U5/C5</f>
        <v>3.6363636363636362E-2</v>
      </c>
      <c r="W5" s="90">
        <f>'Water Reading'!J5-'Water Reading'!J4</f>
        <v>10</v>
      </c>
      <c r="X5" s="100">
        <f t="shared" ref="X5:X34" si="12">W5/C5</f>
        <v>2.5974025974025976E-2</v>
      </c>
      <c r="Y5" s="66">
        <f t="shared" si="0"/>
        <v>243</v>
      </c>
      <c r="Z5" s="67">
        <f t="shared" si="1"/>
        <v>1.0429184549356223</v>
      </c>
    </row>
    <row r="6" spans="1:26" x14ac:dyDescent="0.25">
      <c r="A6" s="8">
        <f>'Water Reading'!A5</f>
        <v>44442</v>
      </c>
      <c r="B6" s="65">
        <f>TOTAL!I4</f>
        <v>232</v>
      </c>
      <c r="C6" s="66">
        <f>('Water Reading'!B6-'Water Reading'!B5)+('Water Reading'!C6-'Water Reading'!C5)</f>
        <v>416</v>
      </c>
      <c r="D6" s="67">
        <f t="shared" si="2"/>
        <v>1.7931034482758621</v>
      </c>
      <c r="E6" s="88">
        <f>'Water Reading'!H6-'Water Reading'!H5</f>
        <v>26</v>
      </c>
      <c r="F6" s="89">
        <f t="shared" si="3"/>
        <v>6.25E-2</v>
      </c>
      <c r="G6" s="93">
        <f>('Water Reading'!D6-'Water Reading'!D5)-('Water Reading'!R6-'Water Reading'!R5)-('Water Reading'!Q6-'Water Reading'!Q5)</f>
        <v>142</v>
      </c>
      <c r="H6" s="89">
        <f t="shared" si="4"/>
        <v>0.34134615384615385</v>
      </c>
      <c r="I6" s="90">
        <f>'Water Reading'!P6-'Water Reading'!P5</f>
        <v>0</v>
      </c>
      <c r="J6" s="68">
        <f t="shared" si="5"/>
        <v>0</v>
      </c>
      <c r="K6" s="91">
        <f>('Water Reading'!I6-'Water Reading'!I5)-('Water Reading'!P6-'Water Reading'!P5)</f>
        <v>14</v>
      </c>
      <c r="L6" s="68">
        <f t="shared" si="6"/>
        <v>3.3653846153846152E-2</v>
      </c>
      <c r="M6" s="90">
        <f>'Water Reading'!R6-'Water Reading'!R5</f>
        <v>2</v>
      </c>
      <c r="N6" s="92">
        <f t="shared" si="7"/>
        <v>4.807692307692308E-3</v>
      </c>
      <c r="O6" s="90">
        <f>'Water Reading'!Q6-'Water Reading'!Q5</f>
        <v>0</v>
      </c>
      <c r="P6" s="99">
        <f t="shared" si="8"/>
        <v>0</v>
      </c>
      <c r="Q6" s="91">
        <f>'Water Reading'!F6-'Water Reading'!F5</f>
        <v>1</v>
      </c>
      <c r="R6" s="100">
        <f t="shared" si="9"/>
        <v>2.403846153846154E-3</v>
      </c>
      <c r="S6" s="90">
        <f>'Water Reading'!E6-'Water Reading'!E5</f>
        <v>67</v>
      </c>
      <c r="T6" s="100">
        <f t="shared" si="10"/>
        <v>0.16105769230769232</v>
      </c>
      <c r="U6" s="90">
        <f>'Water Reading'!G6-'Water Reading'!G5</f>
        <v>14</v>
      </c>
      <c r="V6" s="100">
        <f t="shared" si="11"/>
        <v>3.3653846153846152E-2</v>
      </c>
      <c r="W6" s="90">
        <f>'Water Reading'!J6-'Water Reading'!J5</f>
        <v>11</v>
      </c>
      <c r="X6" s="100">
        <f t="shared" si="12"/>
        <v>2.6442307692307692E-2</v>
      </c>
      <c r="Y6" s="66">
        <f t="shared" si="0"/>
        <v>277</v>
      </c>
      <c r="Z6" s="67">
        <f t="shared" si="1"/>
        <v>1.1939655172413792</v>
      </c>
    </row>
    <row r="7" spans="1:26" x14ac:dyDescent="0.25">
      <c r="A7" s="8">
        <f>'Water Reading'!A6</f>
        <v>44443</v>
      </c>
      <c r="B7" s="65">
        <f>TOTAL!I5</f>
        <v>229</v>
      </c>
      <c r="C7" s="66">
        <f>('Water Reading'!B7-'Water Reading'!B6)+('Water Reading'!C7-'Water Reading'!C6)</f>
        <v>249</v>
      </c>
      <c r="D7" s="67">
        <f t="shared" si="2"/>
        <v>1.0873362445414847</v>
      </c>
      <c r="E7" s="88">
        <f>'Water Reading'!H7-'Water Reading'!H6</f>
        <v>36</v>
      </c>
      <c r="F7" s="89">
        <f t="shared" si="3"/>
        <v>0.14457831325301204</v>
      </c>
      <c r="G7" s="93">
        <f>('Water Reading'!D7-'Water Reading'!D6)-('Water Reading'!R7-'Water Reading'!R6)-('Water Reading'!Q7-'Water Reading'!Q6)</f>
        <v>151</v>
      </c>
      <c r="H7" s="89">
        <f t="shared" si="4"/>
        <v>0.60642570281124497</v>
      </c>
      <c r="I7" s="90">
        <f>'Water Reading'!P7-'Water Reading'!P6</f>
        <v>15</v>
      </c>
      <c r="J7" s="68">
        <f t="shared" si="5"/>
        <v>6.0240963855421686E-2</v>
      </c>
      <c r="K7" s="91">
        <f>('Water Reading'!I7-'Water Reading'!I6)-('Water Reading'!P7-'Water Reading'!P6)</f>
        <v>15</v>
      </c>
      <c r="L7" s="68">
        <f t="shared" si="6"/>
        <v>6.0240963855421686E-2</v>
      </c>
      <c r="M7" s="90">
        <f>'Water Reading'!R7-'Water Reading'!R6</f>
        <v>4</v>
      </c>
      <c r="N7" s="92">
        <f t="shared" si="7"/>
        <v>1.6064257028112448E-2</v>
      </c>
      <c r="O7" s="90">
        <f>'Water Reading'!Q7-'Water Reading'!Q6</f>
        <v>0</v>
      </c>
      <c r="P7" s="99">
        <f t="shared" si="8"/>
        <v>0</v>
      </c>
      <c r="Q7" s="91">
        <f>'Water Reading'!F7-'Water Reading'!F6</f>
        <v>1</v>
      </c>
      <c r="R7" s="100">
        <f t="shared" si="9"/>
        <v>4.0160642570281121E-3</v>
      </c>
      <c r="S7" s="90">
        <f>'Water Reading'!E7-'Water Reading'!E6</f>
        <v>55</v>
      </c>
      <c r="T7" s="100">
        <f t="shared" si="10"/>
        <v>0.22088353413654618</v>
      </c>
      <c r="U7" s="90">
        <f>'Water Reading'!G7-'Water Reading'!G6</f>
        <v>12</v>
      </c>
      <c r="V7" s="100">
        <f t="shared" si="11"/>
        <v>4.8192771084337352E-2</v>
      </c>
      <c r="W7" s="90">
        <f>'Water Reading'!J7-'Water Reading'!J6</f>
        <v>10</v>
      </c>
      <c r="X7" s="100">
        <f t="shared" si="12"/>
        <v>4.0160642570281124E-2</v>
      </c>
      <c r="Y7" s="66">
        <f t="shared" si="0"/>
        <v>299</v>
      </c>
      <c r="Z7" s="67">
        <f t="shared" si="1"/>
        <v>1.3056768558951966</v>
      </c>
    </row>
    <row r="8" spans="1:26" x14ac:dyDescent="0.25">
      <c r="A8" s="8">
        <f>'Water Reading'!A7</f>
        <v>44444</v>
      </c>
      <c r="B8" s="65">
        <f>TOTAL!I6</f>
        <v>243</v>
      </c>
      <c r="C8" s="66">
        <f>('Water Reading'!B8-'Water Reading'!B7)+('Water Reading'!C8-'Water Reading'!C7)</f>
        <v>250</v>
      </c>
      <c r="D8" s="67">
        <f t="shared" si="2"/>
        <v>1.0288065843621399</v>
      </c>
      <c r="E8" s="88">
        <f>'Water Reading'!H8-'Water Reading'!H7</f>
        <v>41</v>
      </c>
      <c r="F8" s="89">
        <f t="shared" si="3"/>
        <v>0.16400000000000001</v>
      </c>
      <c r="G8" s="93">
        <f>('Water Reading'!D8-'Water Reading'!D7)-('Water Reading'!R8-'Water Reading'!R7)-('Water Reading'!Q8-'Water Reading'!Q7)</f>
        <v>82</v>
      </c>
      <c r="H8" s="89">
        <f t="shared" si="4"/>
        <v>0.32800000000000001</v>
      </c>
      <c r="I8" s="90">
        <f>'Water Reading'!P8-'Water Reading'!P7</f>
        <v>14</v>
      </c>
      <c r="J8" s="68">
        <f t="shared" si="5"/>
        <v>5.6000000000000001E-2</v>
      </c>
      <c r="K8" s="91">
        <f>('Water Reading'!I8-'Water Reading'!I7)-('Water Reading'!P8-'Water Reading'!P7)</f>
        <v>20</v>
      </c>
      <c r="L8" s="68">
        <f t="shared" si="6"/>
        <v>0.08</v>
      </c>
      <c r="M8" s="90">
        <f>'Water Reading'!R8-'Water Reading'!R7</f>
        <v>4</v>
      </c>
      <c r="N8" s="92">
        <f t="shared" si="7"/>
        <v>1.6E-2</v>
      </c>
      <c r="O8" s="90">
        <f>'Water Reading'!Q8-'Water Reading'!Q7</f>
        <v>0</v>
      </c>
      <c r="P8" s="99">
        <f t="shared" si="8"/>
        <v>0</v>
      </c>
      <c r="Q8" s="91">
        <f>'Water Reading'!F8-'Water Reading'!F7</f>
        <v>0</v>
      </c>
      <c r="R8" s="100">
        <f t="shared" si="9"/>
        <v>0</v>
      </c>
      <c r="S8" s="90">
        <f>'Water Reading'!E8-'Water Reading'!E7</f>
        <v>58</v>
      </c>
      <c r="T8" s="100">
        <f t="shared" si="10"/>
        <v>0.23200000000000001</v>
      </c>
      <c r="U8" s="90">
        <f>'Water Reading'!G8-'Water Reading'!G7</f>
        <v>13</v>
      </c>
      <c r="V8" s="100">
        <f t="shared" si="11"/>
        <v>5.1999999999999998E-2</v>
      </c>
      <c r="W8" s="90">
        <f>'Water Reading'!J8-'Water Reading'!J7</f>
        <v>11</v>
      </c>
      <c r="X8" s="100">
        <f t="shared" si="12"/>
        <v>4.3999999999999997E-2</v>
      </c>
      <c r="Y8" s="66">
        <f t="shared" si="0"/>
        <v>243</v>
      </c>
      <c r="Z8" s="67">
        <f t="shared" si="1"/>
        <v>1</v>
      </c>
    </row>
    <row r="9" spans="1:26" x14ac:dyDescent="0.25">
      <c r="A9" s="8">
        <f>'Water Reading'!A8</f>
        <v>44445</v>
      </c>
      <c r="B9" s="65">
        <f>TOTAL!I7</f>
        <v>243</v>
      </c>
      <c r="C9" s="66">
        <f>('Water Reading'!B9-'Water Reading'!B8)+('Water Reading'!C9-'Water Reading'!C8)</f>
        <v>222</v>
      </c>
      <c r="D9" s="67">
        <f t="shared" si="2"/>
        <v>0.9135802469135802</v>
      </c>
      <c r="E9" s="88">
        <f>'Water Reading'!H9-'Water Reading'!H8</f>
        <v>6</v>
      </c>
      <c r="F9" s="89">
        <f t="shared" si="3"/>
        <v>2.7027027027027029E-2</v>
      </c>
      <c r="G9" s="93">
        <f>('Water Reading'!D9-'Water Reading'!D8)-('Water Reading'!R9-'Water Reading'!R8)-('Water Reading'!Q9-'Water Reading'!Q8)</f>
        <v>132</v>
      </c>
      <c r="H9" s="89">
        <f t="shared" si="4"/>
        <v>0.59459459459459463</v>
      </c>
      <c r="I9" s="90">
        <f>'Water Reading'!P9-'Water Reading'!P8</f>
        <v>10</v>
      </c>
      <c r="J9" s="68">
        <f t="shared" si="5"/>
        <v>4.5045045045045043E-2</v>
      </c>
      <c r="K9" s="91">
        <f>('Water Reading'!I9-'Water Reading'!I8)-('Water Reading'!P9-'Water Reading'!P8)</f>
        <v>15</v>
      </c>
      <c r="L9" s="68">
        <f t="shared" si="6"/>
        <v>6.7567567567567571E-2</v>
      </c>
      <c r="M9" s="90">
        <f>'Water Reading'!R9-'Water Reading'!R8</f>
        <v>4</v>
      </c>
      <c r="N9" s="92">
        <f t="shared" si="7"/>
        <v>1.8018018018018018E-2</v>
      </c>
      <c r="O9" s="90">
        <f>'Water Reading'!Q9-'Water Reading'!Q8</f>
        <v>25</v>
      </c>
      <c r="P9" s="99">
        <f t="shared" si="8"/>
        <v>0.11261261261261261</v>
      </c>
      <c r="Q9" s="91">
        <f>'Water Reading'!F9-'Water Reading'!F8</f>
        <v>0</v>
      </c>
      <c r="R9" s="100">
        <f t="shared" si="9"/>
        <v>0</v>
      </c>
      <c r="S9" s="90">
        <f>'Water Reading'!E9-'Water Reading'!E8</f>
        <v>56</v>
      </c>
      <c r="T9" s="100">
        <f t="shared" si="10"/>
        <v>0.25225225225225223</v>
      </c>
      <c r="U9" s="90">
        <f>'Water Reading'!G9-'Water Reading'!G8</f>
        <v>16</v>
      </c>
      <c r="V9" s="100">
        <f t="shared" si="11"/>
        <v>7.2072072072072071E-2</v>
      </c>
      <c r="W9" s="90">
        <f>'Water Reading'!J9-'Water Reading'!J8</f>
        <v>11</v>
      </c>
      <c r="X9" s="100">
        <f t="shared" si="12"/>
        <v>4.954954954954955E-2</v>
      </c>
      <c r="Y9" s="66">
        <f t="shared" si="0"/>
        <v>275</v>
      </c>
      <c r="Z9" s="67">
        <f t="shared" si="1"/>
        <v>1.131687242798354</v>
      </c>
    </row>
    <row r="10" spans="1:26" x14ac:dyDescent="0.25">
      <c r="A10" s="8">
        <f>'Water Reading'!A9</f>
        <v>44446</v>
      </c>
      <c r="B10" s="65">
        <f>TOTAL!I8</f>
        <v>229</v>
      </c>
      <c r="C10" s="66">
        <f>('Water Reading'!B10-'Water Reading'!B9)+('Water Reading'!C10-'Water Reading'!C9)</f>
        <v>398</v>
      </c>
      <c r="D10" s="67">
        <f t="shared" si="2"/>
        <v>1.7379912663755459</v>
      </c>
      <c r="E10" s="88">
        <f>'Water Reading'!H10-'Water Reading'!H9</f>
        <v>15</v>
      </c>
      <c r="F10" s="89">
        <f t="shared" si="3"/>
        <v>3.7688442211055273E-2</v>
      </c>
      <c r="G10" s="93">
        <f>('Water Reading'!D10-'Water Reading'!D9)-('Water Reading'!R10-'Water Reading'!R9)-('Water Reading'!Q10-'Water Reading'!Q9)</f>
        <v>113</v>
      </c>
      <c r="H10" s="89">
        <f t="shared" si="4"/>
        <v>0.28391959798994976</v>
      </c>
      <c r="I10" s="90">
        <f>'Water Reading'!P10-'Water Reading'!P9</f>
        <v>16</v>
      </c>
      <c r="J10" s="68">
        <f t="shared" si="5"/>
        <v>4.0201005025125629E-2</v>
      </c>
      <c r="K10" s="91">
        <f>('Water Reading'!I10-'Water Reading'!I9)-('Water Reading'!P10-'Water Reading'!P9)</f>
        <v>15</v>
      </c>
      <c r="L10" s="68">
        <f t="shared" si="6"/>
        <v>3.7688442211055273E-2</v>
      </c>
      <c r="M10" s="90">
        <f>'Water Reading'!R10-'Water Reading'!R9</f>
        <v>4</v>
      </c>
      <c r="N10" s="92">
        <f t="shared" si="7"/>
        <v>1.0050251256281407E-2</v>
      </c>
      <c r="O10" s="90">
        <f>'Water Reading'!Q10-'Water Reading'!Q9</f>
        <v>5</v>
      </c>
      <c r="P10" s="99">
        <f t="shared" si="8"/>
        <v>1.2562814070351759E-2</v>
      </c>
      <c r="Q10" s="91">
        <f>'Water Reading'!F10-'Water Reading'!F9</f>
        <v>1</v>
      </c>
      <c r="R10" s="100">
        <f t="shared" si="9"/>
        <v>2.5125628140703518E-3</v>
      </c>
      <c r="S10" s="90">
        <f>'Water Reading'!E10-'Water Reading'!E9</f>
        <v>56</v>
      </c>
      <c r="T10" s="100">
        <f t="shared" si="10"/>
        <v>0.1407035175879397</v>
      </c>
      <c r="U10" s="90">
        <f>'Water Reading'!G10-'Water Reading'!G9</f>
        <v>17</v>
      </c>
      <c r="V10" s="100">
        <f t="shared" si="11"/>
        <v>4.2713567839195977E-2</v>
      </c>
      <c r="W10" s="90">
        <f>'Water Reading'!J10-'Water Reading'!J9</f>
        <v>10</v>
      </c>
      <c r="X10" s="100">
        <f t="shared" si="12"/>
        <v>2.5125628140703519E-2</v>
      </c>
      <c r="Y10" s="66">
        <f t="shared" si="0"/>
        <v>252</v>
      </c>
      <c r="Z10" s="67">
        <f t="shared" si="1"/>
        <v>1.1004366812227073</v>
      </c>
    </row>
    <row r="11" spans="1:26" x14ac:dyDescent="0.25">
      <c r="A11" s="8">
        <f>'Water Reading'!A10</f>
        <v>44447</v>
      </c>
      <c r="B11" s="65">
        <f>TOTAL!I9</f>
        <v>232</v>
      </c>
      <c r="C11" s="66">
        <f>('Water Reading'!B11-'Water Reading'!B10)+('Water Reading'!C11-'Water Reading'!C10)</f>
        <v>272</v>
      </c>
      <c r="D11" s="67">
        <f t="shared" si="2"/>
        <v>1.1724137931034482</v>
      </c>
      <c r="E11" s="88">
        <f>'Water Reading'!H11-'Water Reading'!H10</f>
        <v>20</v>
      </c>
      <c r="F11" s="89">
        <f t="shared" si="3"/>
        <v>7.3529411764705885E-2</v>
      </c>
      <c r="G11" s="93">
        <f>('Water Reading'!D11-'Water Reading'!D10)-('Water Reading'!R11-'Water Reading'!R10)-('Water Reading'!Q11-'Water Reading'!Q10)</f>
        <v>76</v>
      </c>
      <c r="H11" s="89">
        <f t="shared" si="4"/>
        <v>0.27941176470588236</v>
      </c>
      <c r="I11" s="90">
        <f>'Water Reading'!P11-'Water Reading'!P10</f>
        <v>15</v>
      </c>
      <c r="J11" s="68">
        <f t="shared" si="5"/>
        <v>5.514705882352941E-2</v>
      </c>
      <c r="K11" s="91">
        <f>('Water Reading'!I11-'Water Reading'!I10)-('Water Reading'!P11-'Water Reading'!P10)</f>
        <v>22</v>
      </c>
      <c r="L11" s="68">
        <f t="shared" si="6"/>
        <v>8.0882352941176475E-2</v>
      </c>
      <c r="M11" s="90">
        <f>'Water Reading'!R11-'Water Reading'!R10</f>
        <v>4</v>
      </c>
      <c r="N11" s="92">
        <f t="shared" si="7"/>
        <v>1.4705882352941176E-2</v>
      </c>
      <c r="O11" s="98">
        <f>'Water Reading'!Q11-'Water Reading'!Q10</f>
        <v>8</v>
      </c>
      <c r="P11" s="99">
        <f t="shared" si="8"/>
        <v>2.9411764705882353E-2</v>
      </c>
      <c r="Q11" s="91">
        <f>'Water Reading'!F11-'Water Reading'!F10</f>
        <v>0</v>
      </c>
      <c r="R11" s="100">
        <f t="shared" si="9"/>
        <v>0</v>
      </c>
      <c r="S11" s="90">
        <f>'Water Reading'!E11-'Water Reading'!E10</f>
        <v>58</v>
      </c>
      <c r="T11" s="100">
        <f t="shared" si="10"/>
        <v>0.21323529411764705</v>
      </c>
      <c r="U11" s="90">
        <f>'Water Reading'!G11-'Water Reading'!G10</f>
        <v>17</v>
      </c>
      <c r="V11" s="100">
        <f t="shared" si="11"/>
        <v>6.25E-2</v>
      </c>
      <c r="W11" s="90">
        <f>'Water Reading'!J11-'Water Reading'!J10</f>
        <v>10</v>
      </c>
      <c r="X11" s="100">
        <f t="shared" si="12"/>
        <v>3.6764705882352942E-2</v>
      </c>
      <c r="Y11" s="66">
        <f t="shared" si="0"/>
        <v>230</v>
      </c>
      <c r="Z11" s="67">
        <f t="shared" si="1"/>
        <v>0.99137931034482762</v>
      </c>
    </row>
    <row r="12" spans="1:26" x14ac:dyDescent="0.25">
      <c r="A12" s="8">
        <f>'Water Reading'!A11</f>
        <v>44448</v>
      </c>
      <c r="B12" s="65">
        <f>TOTAL!I10</f>
        <v>334</v>
      </c>
      <c r="C12" s="66">
        <f>('Water Reading'!B12-'Water Reading'!B11)+('Water Reading'!C12-'Water Reading'!C11)</f>
        <v>-114</v>
      </c>
      <c r="D12" s="67">
        <f t="shared" si="2"/>
        <v>-0.3413173652694611</v>
      </c>
      <c r="E12" s="88">
        <f>'Water Reading'!H12-'Water Reading'!H11</f>
        <v>25</v>
      </c>
      <c r="F12" s="89">
        <f t="shared" si="3"/>
        <v>-0.21929824561403508</v>
      </c>
      <c r="G12" s="93">
        <f>('Water Reading'!D12-'Water Reading'!D11)-('Water Reading'!R12-'Water Reading'!R11)-('Water Reading'!Q12-'Water Reading'!Q11)</f>
        <v>81</v>
      </c>
      <c r="H12" s="89">
        <f t="shared" si="4"/>
        <v>-0.71052631578947367</v>
      </c>
      <c r="I12" s="90">
        <f>'Water Reading'!P12-'Water Reading'!P11</f>
        <v>16</v>
      </c>
      <c r="J12" s="68">
        <f t="shared" si="5"/>
        <v>-0.14035087719298245</v>
      </c>
      <c r="K12" s="91">
        <f>('Water Reading'!I12-'Water Reading'!I11)-('Water Reading'!P12-'Water Reading'!P11)</f>
        <v>16</v>
      </c>
      <c r="L12" s="68">
        <f t="shared" si="6"/>
        <v>-0.14035087719298245</v>
      </c>
      <c r="M12" s="90">
        <f>'Water Reading'!R12-'Water Reading'!R11</f>
        <v>6</v>
      </c>
      <c r="N12" s="92">
        <f t="shared" si="7"/>
        <v>-5.2631578947368418E-2</v>
      </c>
      <c r="O12" s="98">
        <f>'Water Reading'!Q12-'Water Reading'!Q11</f>
        <v>2</v>
      </c>
      <c r="P12" s="99">
        <f t="shared" si="8"/>
        <v>-1.7543859649122806E-2</v>
      </c>
      <c r="Q12" s="91">
        <f>'Water Reading'!F12-'Water Reading'!F11</f>
        <v>1</v>
      </c>
      <c r="R12" s="100">
        <f t="shared" si="9"/>
        <v>-8.771929824561403E-3</v>
      </c>
      <c r="S12" s="90">
        <f>'Water Reading'!E12-'Water Reading'!E11</f>
        <v>55</v>
      </c>
      <c r="T12" s="100">
        <f t="shared" si="10"/>
        <v>-0.48245614035087719</v>
      </c>
      <c r="U12" s="90">
        <f>'Water Reading'!G12-'Water Reading'!G11</f>
        <v>15</v>
      </c>
      <c r="V12" s="100">
        <f t="shared" si="11"/>
        <v>-0.13157894736842105</v>
      </c>
      <c r="W12" s="90">
        <f>'Water Reading'!J12-'Water Reading'!J11</f>
        <v>11</v>
      </c>
      <c r="X12" s="100">
        <f t="shared" si="12"/>
        <v>-9.6491228070175433E-2</v>
      </c>
      <c r="Y12" s="66">
        <f t="shared" si="0"/>
        <v>228</v>
      </c>
      <c r="Z12" s="67">
        <f t="shared" si="1"/>
        <v>0.68263473053892221</v>
      </c>
    </row>
    <row r="13" spans="1:26" x14ac:dyDescent="0.25">
      <c r="A13" s="8">
        <f>'Water Reading'!A12</f>
        <v>44449</v>
      </c>
      <c r="B13" s="65">
        <f>TOTAL!I11</f>
        <v>226</v>
      </c>
      <c r="C13" s="66">
        <f>('Water Reading'!B13-'Water Reading'!B12)+('Water Reading'!C13-'Water Reading'!C12)</f>
        <v>201</v>
      </c>
      <c r="D13" s="67">
        <f t="shared" si="2"/>
        <v>0.88938053097345138</v>
      </c>
      <c r="E13" s="87">
        <f>'Water Reading'!H13-'Water Reading'!H12</f>
        <v>44</v>
      </c>
      <c r="F13" s="89">
        <f t="shared" si="3"/>
        <v>0.21890547263681592</v>
      </c>
      <c r="G13" s="93">
        <f>('Water Reading'!D13-'Water Reading'!D12)-('Water Reading'!R13-'Water Reading'!R12)-('Water Reading'!Q13-'Water Reading'!Q12)</f>
        <v>97</v>
      </c>
      <c r="H13" s="89">
        <f t="shared" si="4"/>
        <v>0.48258706467661694</v>
      </c>
      <c r="I13" s="90">
        <f>'Water Reading'!P13-'Water Reading'!P12</f>
        <v>0</v>
      </c>
      <c r="J13" s="68">
        <f t="shared" si="5"/>
        <v>0</v>
      </c>
      <c r="K13" s="91">
        <f>('Water Reading'!I13-'Water Reading'!I12)-('Water Reading'!P13-'Water Reading'!P12)</f>
        <v>19</v>
      </c>
      <c r="L13" s="68">
        <f t="shared" si="6"/>
        <v>9.4527363184079602E-2</v>
      </c>
      <c r="M13" s="90">
        <f>'Water Reading'!R13-'Water Reading'!R12</f>
        <v>3</v>
      </c>
      <c r="N13" s="92">
        <f t="shared" si="7"/>
        <v>1.4925373134328358E-2</v>
      </c>
      <c r="O13" s="90">
        <f>'Water Reading'!Q13-'Water Reading'!Q12</f>
        <v>0</v>
      </c>
      <c r="P13" s="99">
        <f t="shared" si="8"/>
        <v>0</v>
      </c>
      <c r="Q13" s="91">
        <f>'Water Reading'!F13-'Water Reading'!F12</f>
        <v>0</v>
      </c>
      <c r="R13" s="100">
        <f t="shared" si="9"/>
        <v>0</v>
      </c>
      <c r="S13" s="94">
        <f>'Water Reading'!E13-'Water Reading'!E12</f>
        <v>57</v>
      </c>
      <c r="T13" s="100">
        <f t="shared" si="10"/>
        <v>0.28358208955223879</v>
      </c>
      <c r="U13" s="90">
        <f>'Water Reading'!G13-'Water Reading'!G12</f>
        <v>19</v>
      </c>
      <c r="V13" s="100">
        <f t="shared" si="11"/>
        <v>9.4527363184079602E-2</v>
      </c>
      <c r="W13" s="90">
        <f>'Water Reading'!J13-'Water Reading'!J12</f>
        <v>11</v>
      </c>
      <c r="X13" s="100">
        <f t="shared" si="12"/>
        <v>5.4726368159203981E-2</v>
      </c>
      <c r="Y13" s="66">
        <f t="shared" si="0"/>
        <v>250</v>
      </c>
      <c r="Z13" s="67">
        <f t="shared" si="1"/>
        <v>1.1061946902654867</v>
      </c>
    </row>
    <row r="14" spans="1:26" x14ac:dyDescent="0.25">
      <c r="A14" s="8">
        <f>'Water Reading'!A13</f>
        <v>44450</v>
      </c>
      <c r="B14" s="65">
        <f>TOTAL!I12</f>
        <v>231</v>
      </c>
      <c r="C14" s="66">
        <f>('Water Reading'!B14-'Water Reading'!B13)+('Water Reading'!C14-'Water Reading'!C13)</f>
        <v>137</v>
      </c>
      <c r="D14" s="67">
        <f t="shared" si="2"/>
        <v>0.59307359307359309</v>
      </c>
      <c r="E14" s="88">
        <f>'Water Reading'!H14-'Water Reading'!H13</f>
        <v>48</v>
      </c>
      <c r="F14" s="89">
        <f t="shared" si="3"/>
        <v>0.35036496350364965</v>
      </c>
      <c r="G14" s="93">
        <f>('Water Reading'!D14-'Water Reading'!D13)-('Water Reading'!R14-'Water Reading'!R13)-('Water Reading'!Q14-'Water Reading'!Q13)</f>
        <v>83</v>
      </c>
      <c r="H14" s="89">
        <f t="shared" si="4"/>
        <v>0.6058394160583942</v>
      </c>
      <c r="I14" s="90">
        <f>'Water Reading'!P14-'Water Reading'!P13</f>
        <v>11</v>
      </c>
      <c r="J14" s="68">
        <f t="shared" si="5"/>
        <v>8.0291970802919707E-2</v>
      </c>
      <c r="K14" s="91">
        <f>('Water Reading'!I14-'Water Reading'!I13)-('Water Reading'!P14-'Water Reading'!P13)</f>
        <v>23</v>
      </c>
      <c r="L14" s="68">
        <f t="shared" si="6"/>
        <v>0.16788321167883211</v>
      </c>
      <c r="M14" s="90">
        <f>'Water Reading'!R14-'Water Reading'!R13</f>
        <v>5</v>
      </c>
      <c r="N14" s="92">
        <f t="shared" si="7"/>
        <v>3.6496350364963501E-2</v>
      </c>
      <c r="O14" s="90">
        <f>'Water Reading'!Q14-'Water Reading'!Q13</f>
        <v>7</v>
      </c>
      <c r="P14" s="99">
        <f t="shared" si="8"/>
        <v>5.1094890510948905E-2</v>
      </c>
      <c r="Q14" s="91">
        <f>'Water Reading'!F14-'Water Reading'!F13</f>
        <v>1</v>
      </c>
      <c r="R14" s="100">
        <f t="shared" si="9"/>
        <v>7.2992700729927005E-3</v>
      </c>
      <c r="S14" s="94">
        <f>'Water Reading'!E14-'Water Reading'!E13</f>
        <v>61</v>
      </c>
      <c r="T14" s="100">
        <f t="shared" si="10"/>
        <v>0.44525547445255476</v>
      </c>
      <c r="U14" s="90">
        <f>'Water Reading'!G14-'Water Reading'!G13</f>
        <v>15</v>
      </c>
      <c r="V14" s="100">
        <f t="shared" si="11"/>
        <v>0.10948905109489052</v>
      </c>
      <c r="W14" s="90">
        <f>'Water Reading'!J14-'Water Reading'!J13</f>
        <v>10</v>
      </c>
      <c r="X14" s="100">
        <f t="shared" si="12"/>
        <v>7.2992700729927001E-2</v>
      </c>
      <c r="Y14" s="66">
        <f t="shared" si="0"/>
        <v>264</v>
      </c>
      <c r="Z14" s="67">
        <f t="shared" si="1"/>
        <v>1.1428571428571428</v>
      </c>
    </row>
    <row r="15" spans="1:26" x14ac:dyDescent="0.25">
      <c r="A15" s="8">
        <f>'Water Reading'!A14</f>
        <v>44451</v>
      </c>
      <c r="B15" s="65">
        <f>TOTAL!I13</f>
        <v>244</v>
      </c>
      <c r="C15" s="66">
        <f>('Water Reading'!B15-'Water Reading'!B14)+('Water Reading'!C15-'Water Reading'!C14)</f>
        <v>189</v>
      </c>
      <c r="D15" s="67">
        <f t="shared" si="2"/>
        <v>0.77459016393442626</v>
      </c>
      <c r="E15" s="87">
        <f>'Water Reading'!H15-'Water Reading'!H14</f>
        <v>38</v>
      </c>
      <c r="F15" s="89">
        <f t="shared" si="3"/>
        <v>0.20105820105820105</v>
      </c>
      <c r="G15" s="93">
        <f>('Water Reading'!D15-'Water Reading'!D14)-('Water Reading'!R15-'Water Reading'!R14)-('Water Reading'!Q15-'Water Reading'!Q14)</f>
        <v>103</v>
      </c>
      <c r="H15" s="89">
        <f t="shared" si="4"/>
        <v>0.544973544973545</v>
      </c>
      <c r="I15" s="90">
        <f>'Water Reading'!P15-'Water Reading'!P14</f>
        <v>19</v>
      </c>
      <c r="J15" s="68">
        <f t="shared" si="5"/>
        <v>0.10052910052910052</v>
      </c>
      <c r="K15" s="91">
        <f>('Water Reading'!I15-'Water Reading'!I14)-('Water Reading'!P15-'Water Reading'!P14)</f>
        <v>18</v>
      </c>
      <c r="L15" s="68">
        <f t="shared" si="6"/>
        <v>9.5238095238095233E-2</v>
      </c>
      <c r="M15" s="90">
        <f>'Water Reading'!R15-'Water Reading'!R14</f>
        <v>5</v>
      </c>
      <c r="N15" s="92">
        <f t="shared" si="7"/>
        <v>2.6455026455026454E-2</v>
      </c>
      <c r="O15" s="90">
        <f>'Water Reading'!Q15-'Water Reading'!Q14</f>
        <v>4</v>
      </c>
      <c r="P15" s="99">
        <f t="shared" si="8"/>
        <v>2.1164021164021163E-2</v>
      </c>
      <c r="Q15" s="91">
        <f>'Water Reading'!F15-'Water Reading'!F14</f>
        <v>0</v>
      </c>
      <c r="R15" s="100">
        <f t="shared" si="9"/>
        <v>0</v>
      </c>
      <c r="S15" s="94">
        <f>'Water Reading'!E15-'Water Reading'!E14</f>
        <v>52</v>
      </c>
      <c r="T15" s="100">
        <f t="shared" si="10"/>
        <v>0.27513227513227512</v>
      </c>
      <c r="U15" s="90">
        <f>'Water Reading'!G15-'Water Reading'!G14</f>
        <v>18</v>
      </c>
      <c r="V15" s="100">
        <f t="shared" si="11"/>
        <v>9.5238095238095233E-2</v>
      </c>
      <c r="W15" s="90">
        <f>'Water Reading'!J15-'Water Reading'!J14</f>
        <v>11</v>
      </c>
      <c r="X15" s="100">
        <f t="shared" si="12"/>
        <v>5.8201058201058198E-2</v>
      </c>
      <c r="Y15" s="66">
        <f t="shared" si="0"/>
        <v>268</v>
      </c>
      <c r="Z15" s="67">
        <f t="shared" si="1"/>
        <v>1.098360655737705</v>
      </c>
    </row>
    <row r="16" spans="1:26" x14ac:dyDescent="0.25">
      <c r="A16" s="8">
        <f>'Water Reading'!A15</f>
        <v>44452</v>
      </c>
      <c r="B16" s="65">
        <f>TOTAL!I14</f>
        <v>224</v>
      </c>
      <c r="C16" s="66">
        <f>('Water Reading'!B16-'Water Reading'!B15)+('Water Reading'!C16-'Water Reading'!C15)</f>
        <v>279</v>
      </c>
      <c r="D16" s="67">
        <f t="shared" si="2"/>
        <v>1.2455357142857142</v>
      </c>
      <c r="E16" s="87">
        <f>'Water Reading'!H16-'Water Reading'!H15</f>
        <v>35</v>
      </c>
      <c r="F16" s="89">
        <f t="shared" si="3"/>
        <v>0.12544802867383512</v>
      </c>
      <c r="G16" s="93">
        <f>('Water Reading'!D16-'Water Reading'!D15)-('Water Reading'!R16-'Water Reading'!R15)-('Water Reading'!Q16-'Water Reading'!Q15)</f>
        <v>93</v>
      </c>
      <c r="H16" s="89">
        <f t="shared" si="4"/>
        <v>0.33333333333333331</v>
      </c>
      <c r="I16" s="90">
        <f>'Water Reading'!P16-'Water Reading'!P15</f>
        <v>13</v>
      </c>
      <c r="J16" s="68">
        <f t="shared" si="5"/>
        <v>4.6594982078853049E-2</v>
      </c>
      <c r="K16" s="91">
        <f>('Water Reading'!I16-'Water Reading'!I15)-('Water Reading'!P16-'Water Reading'!P15)</f>
        <v>21</v>
      </c>
      <c r="L16" s="68">
        <f t="shared" si="6"/>
        <v>7.5268817204301078E-2</v>
      </c>
      <c r="M16" s="90">
        <f>'Water Reading'!R16-'Water Reading'!R15</f>
        <v>6</v>
      </c>
      <c r="N16" s="92">
        <f t="shared" si="7"/>
        <v>2.1505376344086023E-2</v>
      </c>
      <c r="O16" s="90">
        <f>'Water Reading'!Q16-'Water Reading'!Q15</f>
        <v>4</v>
      </c>
      <c r="P16" s="99">
        <f t="shared" si="8"/>
        <v>1.4336917562724014E-2</v>
      </c>
      <c r="Q16" s="91">
        <f>'Water Reading'!F16-'Water Reading'!F15</f>
        <v>0</v>
      </c>
      <c r="R16" s="100">
        <f t="shared" si="9"/>
        <v>0</v>
      </c>
      <c r="S16" s="94">
        <f>'Water Reading'!E16-'Water Reading'!E15</f>
        <v>60</v>
      </c>
      <c r="T16" s="100">
        <f t="shared" si="10"/>
        <v>0.21505376344086022</v>
      </c>
      <c r="U16" s="90">
        <f>'Water Reading'!G16-'Water Reading'!G15</f>
        <v>18</v>
      </c>
      <c r="V16" s="100">
        <f t="shared" si="11"/>
        <v>6.4516129032258063E-2</v>
      </c>
      <c r="W16" s="90">
        <f>'Water Reading'!J16-'Water Reading'!J15</f>
        <v>11</v>
      </c>
      <c r="X16" s="100">
        <f t="shared" si="12"/>
        <v>3.9426523297491037E-2</v>
      </c>
      <c r="Y16" s="66">
        <f t="shared" si="0"/>
        <v>261</v>
      </c>
      <c r="Z16" s="67">
        <f t="shared" si="1"/>
        <v>1.1651785714285714</v>
      </c>
    </row>
    <row r="17" spans="1:26" x14ac:dyDescent="0.25">
      <c r="A17" s="8">
        <f>'Water Reading'!A16</f>
        <v>44453</v>
      </c>
      <c r="B17" s="65">
        <f>TOTAL!I15</f>
        <v>235</v>
      </c>
      <c r="C17" s="66">
        <f>('Water Reading'!B17-'Water Reading'!B16)+('Water Reading'!C17-'Water Reading'!C16)</f>
        <v>847</v>
      </c>
      <c r="D17" s="67">
        <f t="shared" si="2"/>
        <v>3.6042553191489364</v>
      </c>
      <c r="E17" s="87">
        <f>'Water Reading'!H17-'Water Reading'!H16</f>
        <v>27</v>
      </c>
      <c r="F17" s="89">
        <f t="shared" si="3"/>
        <v>3.1877213695395513E-2</v>
      </c>
      <c r="G17" s="93">
        <f>('Water Reading'!D17-'Water Reading'!D16)-('Water Reading'!R17-'Water Reading'!R16)-('Water Reading'!Q17-'Water Reading'!Q16)</f>
        <v>127</v>
      </c>
      <c r="H17" s="89">
        <f t="shared" si="4"/>
        <v>0.14994096812278632</v>
      </c>
      <c r="I17" s="90">
        <f>'Water Reading'!P17-'Water Reading'!P16</f>
        <v>13</v>
      </c>
      <c r="J17" s="68">
        <f t="shared" si="5"/>
        <v>1.5348288075560802E-2</v>
      </c>
      <c r="K17" s="91">
        <f>('Water Reading'!I17-'Water Reading'!I16)-('Water Reading'!P17-'Water Reading'!P16)</f>
        <v>17</v>
      </c>
      <c r="L17" s="68">
        <f t="shared" si="6"/>
        <v>2.0070838252656435E-2</v>
      </c>
      <c r="M17" s="90">
        <f>'Water Reading'!R17-'Water Reading'!R16</f>
        <v>7</v>
      </c>
      <c r="N17" s="92">
        <f t="shared" si="7"/>
        <v>8.2644628099173556E-3</v>
      </c>
      <c r="O17" s="90">
        <f>'Water Reading'!Q17-'Water Reading'!Q16</f>
        <v>2</v>
      </c>
      <c r="P17" s="99">
        <f t="shared" si="8"/>
        <v>2.3612750885478157E-3</v>
      </c>
      <c r="Q17" s="91">
        <f>'Water Reading'!F17-'Water Reading'!F16</f>
        <v>1</v>
      </c>
      <c r="R17" s="100">
        <f t="shared" si="9"/>
        <v>1.1806375442739079E-3</v>
      </c>
      <c r="S17" s="94">
        <f>'Water Reading'!E17-'Water Reading'!E16</f>
        <v>57</v>
      </c>
      <c r="T17" s="100">
        <f t="shared" si="10"/>
        <v>6.7296340023612747E-2</v>
      </c>
      <c r="U17" s="90">
        <f>'Water Reading'!G17-'Water Reading'!G16</f>
        <v>16</v>
      </c>
      <c r="V17" s="100">
        <f t="shared" si="11"/>
        <v>1.8890200708382526E-2</v>
      </c>
      <c r="W17" s="90">
        <f>'Water Reading'!J17-'Water Reading'!J16</f>
        <v>10</v>
      </c>
      <c r="X17" s="100">
        <f t="shared" si="12"/>
        <v>1.1806375442739079E-2</v>
      </c>
      <c r="Y17" s="66">
        <f t="shared" si="0"/>
        <v>277</v>
      </c>
      <c r="Z17" s="67">
        <f t="shared" si="1"/>
        <v>1.1787234042553192</v>
      </c>
    </row>
    <row r="18" spans="1:26" x14ac:dyDescent="0.25">
      <c r="A18" s="8">
        <f>'Water Reading'!A17</f>
        <v>44454</v>
      </c>
      <c r="B18" s="65">
        <f>TOTAL!I16</f>
        <v>287</v>
      </c>
      <c r="C18" s="66">
        <f>('Water Reading'!B18-'Water Reading'!B17)+('Water Reading'!C18-'Water Reading'!C17)</f>
        <v>449</v>
      </c>
      <c r="D18" s="67">
        <f t="shared" si="2"/>
        <v>1.5644599303135889</v>
      </c>
      <c r="E18" s="87">
        <f>'Water Reading'!H18-'Water Reading'!H17</f>
        <v>34</v>
      </c>
      <c r="F18" s="89">
        <f t="shared" si="3"/>
        <v>7.5723830734966593E-2</v>
      </c>
      <c r="G18" s="93">
        <f>('Water Reading'!D18-'Water Reading'!D17)-('Water Reading'!R18-'Water Reading'!R17)-('Water Reading'!Q18-'Water Reading'!Q17)</f>
        <v>162</v>
      </c>
      <c r="H18" s="89">
        <f t="shared" si="4"/>
        <v>0.36080178173719374</v>
      </c>
      <c r="I18" s="90">
        <f>'Water Reading'!P18-'Water Reading'!P17</f>
        <v>8</v>
      </c>
      <c r="J18" s="68">
        <f t="shared" si="5"/>
        <v>1.7817371937639197E-2</v>
      </c>
      <c r="K18" s="91">
        <f>('Water Reading'!I18-'Water Reading'!I17)-('Water Reading'!P18-'Water Reading'!P17)</f>
        <v>21</v>
      </c>
      <c r="L18" s="68">
        <f t="shared" si="6"/>
        <v>4.6770601336302897E-2</v>
      </c>
      <c r="M18" s="90">
        <f>'Water Reading'!R18-'Water Reading'!R17</f>
        <v>6</v>
      </c>
      <c r="N18" s="92">
        <f t="shared" si="7"/>
        <v>1.3363028953229399E-2</v>
      </c>
      <c r="O18" s="90">
        <f>'Water Reading'!Q18-'Water Reading'!Q17</f>
        <v>2</v>
      </c>
      <c r="P18" s="99">
        <f t="shared" si="8"/>
        <v>4.4543429844097994E-3</v>
      </c>
      <c r="Q18" s="91">
        <f>'Water Reading'!F18-'Water Reading'!F17</f>
        <v>0</v>
      </c>
      <c r="R18" s="100">
        <f t="shared" si="9"/>
        <v>0</v>
      </c>
      <c r="S18" s="94">
        <f>'Water Reading'!E18-'Water Reading'!E17</f>
        <v>58</v>
      </c>
      <c r="T18" s="100">
        <f t="shared" si="10"/>
        <v>0.1291759465478842</v>
      </c>
      <c r="U18" s="90">
        <f>'Water Reading'!G18-'Water Reading'!G17</f>
        <v>16</v>
      </c>
      <c r="V18" s="100">
        <f t="shared" si="11"/>
        <v>3.5634743875278395E-2</v>
      </c>
      <c r="W18" s="90">
        <f>'Water Reading'!J18-'Water Reading'!J17</f>
        <v>11</v>
      </c>
      <c r="X18" s="100">
        <f t="shared" si="12"/>
        <v>2.4498886414253896E-2</v>
      </c>
      <c r="Y18" s="66">
        <f t="shared" si="0"/>
        <v>318</v>
      </c>
      <c r="Z18" s="67">
        <f t="shared" si="1"/>
        <v>1.10801393728223</v>
      </c>
    </row>
    <row r="19" spans="1:26" x14ac:dyDescent="0.25">
      <c r="A19" s="8">
        <f>'Water Reading'!A18</f>
        <v>44455</v>
      </c>
      <c r="B19" s="65">
        <f>TOTAL!I17</f>
        <v>0</v>
      </c>
      <c r="C19" s="66">
        <f>('Water Reading'!B19-'Water Reading'!B18)+('Water Reading'!C19-'Water Reading'!C18)</f>
        <v>-328133</v>
      </c>
      <c r="D19" s="67" t="e">
        <f t="shared" si="2"/>
        <v>#DIV/0!</v>
      </c>
      <c r="E19" s="87">
        <f>'Water Reading'!H19-'Water Reading'!H18</f>
        <v>-55758</v>
      </c>
      <c r="F19" s="89">
        <f t="shared" si="3"/>
        <v>0.16992499992381138</v>
      </c>
      <c r="G19" s="93">
        <f>('Water Reading'!D19-'Water Reading'!D18)-('Water Reading'!R19-'Water Reading'!R18)-('Water Reading'!Q19-'Water Reading'!Q18)</f>
        <v>-213646</v>
      </c>
      <c r="H19" s="89">
        <f t="shared" si="4"/>
        <v>0.65109574471327181</v>
      </c>
      <c r="I19" s="90">
        <f>'Water Reading'!P19-'Water Reading'!P18</f>
        <v>-27843</v>
      </c>
      <c r="J19" s="68">
        <f t="shared" si="5"/>
        <v>8.4852788351064967E-2</v>
      </c>
      <c r="K19" s="91">
        <f>('Water Reading'!I19-'Water Reading'!I18)-('Water Reading'!P19-'Water Reading'!P18)</f>
        <v>-38054</v>
      </c>
      <c r="L19" s="68">
        <f t="shared" si="6"/>
        <v>0.11597126774813871</v>
      </c>
      <c r="M19" s="90">
        <f>'Water Reading'!R19-'Water Reading'!R18</f>
        <v>-6672</v>
      </c>
      <c r="N19" s="92">
        <f t="shared" si="7"/>
        <v>2.0333218542481251E-2</v>
      </c>
      <c r="O19" s="90">
        <f>'Water Reading'!Q19-'Water Reading'!Q18</f>
        <v>-972</v>
      </c>
      <c r="P19" s="99">
        <f t="shared" si="8"/>
        <v>2.9622134926996064E-3</v>
      </c>
      <c r="Q19" s="91">
        <f>'Water Reading'!F19-'Water Reading'!F18</f>
        <v>-66988</v>
      </c>
      <c r="R19" s="100">
        <f t="shared" si="9"/>
        <v>0.2041489274166268</v>
      </c>
      <c r="S19" s="94">
        <f>'Water Reading'!E19-'Water Reading'!E18</f>
        <v>-252380</v>
      </c>
      <c r="T19" s="100">
        <f t="shared" si="10"/>
        <v>0.76913934288840191</v>
      </c>
      <c r="U19" s="90">
        <f>'Water Reading'!G19-'Water Reading'!G18</f>
        <v>-113015</v>
      </c>
      <c r="V19" s="100">
        <f t="shared" si="11"/>
        <v>0.34441826942124076</v>
      </c>
      <c r="W19" s="90">
        <f>'Water Reading'!J19-'Water Reading'!J18</f>
        <v>-21163</v>
      </c>
      <c r="X19" s="100">
        <f t="shared" si="12"/>
        <v>6.4495189450619106E-2</v>
      </c>
      <c r="Y19" s="66">
        <f t="shared" si="0"/>
        <v>-796491</v>
      </c>
      <c r="Z19" s="67" t="e">
        <f t="shared" si="1"/>
        <v>#DIV/0!</v>
      </c>
    </row>
    <row r="20" spans="1:26" x14ac:dyDescent="0.25">
      <c r="A20" s="8">
        <f>'Water Reading'!A19</f>
        <v>44456</v>
      </c>
      <c r="B20" s="65">
        <f>TOTAL!I18</f>
        <v>0</v>
      </c>
      <c r="C20" s="66">
        <f>('Water Reading'!B20-'Water Reading'!B19)+('Water Reading'!C20-'Water Reading'!C19)</f>
        <v>0</v>
      </c>
      <c r="D20" s="67" t="e">
        <f t="shared" si="2"/>
        <v>#DIV/0!</v>
      </c>
      <c r="E20" s="87">
        <f>'Water Reading'!H20-'Water Reading'!H19</f>
        <v>0</v>
      </c>
      <c r="F20" s="89" t="e">
        <f t="shared" si="3"/>
        <v>#DIV/0!</v>
      </c>
      <c r="G20" s="93">
        <f>('Water Reading'!D20-'Water Reading'!D19)-('Water Reading'!R20-'Water Reading'!R19)-('Water Reading'!Q20-'Water Reading'!Q19)</f>
        <v>0</v>
      </c>
      <c r="H20" s="89" t="e">
        <f t="shared" si="4"/>
        <v>#DIV/0!</v>
      </c>
      <c r="I20" s="90">
        <f>'Water Reading'!P20-'Water Reading'!P19</f>
        <v>0</v>
      </c>
      <c r="J20" s="68" t="e">
        <f t="shared" si="5"/>
        <v>#DIV/0!</v>
      </c>
      <c r="K20" s="91">
        <f>('Water Reading'!I20-'Water Reading'!I19)-('Water Reading'!P20-'Water Reading'!P19)</f>
        <v>0</v>
      </c>
      <c r="L20" s="68" t="e">
        <f t="shared" si="6"/>
        <v>#DIV/0!</v>
      </c>
      <c r="M20" s="90">
        <f>'Water Reading'!R20-'Water Reading'!R19</f>
        <v>0</v>
      </c>
      <c r="N20" s="92" t="e">
        <f t="shared" si="7"/>
        <v>#DIV/0!</v>
      </c>
      <c r="O20" s="90">
        <f>'Water Reading'!Q20-'Water Reading'!Q19</f>
        <v>0</v>
      </c>
      <c r="P20" s="99" t="e">
        <f t="shared" si="8"/>
        <v>#DIV/0!</v>
      </c>
      <c r="Q20" s="91">
        <f>'Water Reading'!F20-'Water Reading'!F19</f>
        <v>0</v>
      </c>
      <c r="R20" s="100" t="e">
        <f t="shared" si="9"/>
        <v>#DIV/0!</v>
      </c>
      <c r="S20" s="94">
        <f>'Water Reading'!E20-'Water Reading'!E19</f>
        <v>0</v>
      </c>
      <c r="T20" s="100" t="e">
        <f t="shared" si="10"/>
        <v>#DIV/0!</v>
      </c>
      <c r="U20" s="90">
        <f>'Water Reading'!G20-'Water Reading'!G19</f>
        <v>0</v>
      </c>
      <c r="V20" s="100" t="e">
        <f t="shared" si="11"/>
        <v>#DIV/0!</v>
      </c>
      <c r="W20" s="90">
        <f>'Water Reading'!J20-'Water Reading'!J19</f>
        <v>0</v>
      </c>
      <c r="X20" s="100" t="e">
        <f t="shared" si="12"/>
        <v>#DIV/0!</v>
      </c>
      <c r="Y20" s="66">
        <f t="shared" si="0"/>
        <v>0</v>
      </c>
      <c r="Z20" s="67" t="e">
        <f t="shared" si="1"/>
        <v>#DIV/0!</v>
      </c>
    </row>
    <row r="21" spans="1:26" x14ac:dyDescent="0.25">
      <c r="A21" s="8">
        <f>'Water Reading'!A20</f>
        <v>44457</v>
      </c>
      <c r="B21" s="65">
        <f>TOTAL!I19</f>
        <v>0</v>
      </c>
      <c r="C21" s="66">
        <f>('Water Reading'!B21-'Water Reading'!B20)+('Water Reading'!C21-'Water Reading'!C20)</f>
        <v>0</v>
      </c>
      <c r="D21" s="67" t="e">
        <f t="shared" si="2"/>
        <v>#DIV/0!</v>
      </c>
      <c r="E21" s="87">
        <f>'Water Reading'!H21-'Water Reading'!H20</f>
        <v>0</v>
      </c>
      <c r="F21" s="89" t="e">
        <f t="shared" si="3"/>
        <v>#DIV/0!</v>
      </c>
      <c r="G21" s="93">
        <f>('Water Reading'!D21-'Water Reading'!D20)-('Water Reading'!R21-'Water Reading'!R20)-('Water Reading'!Q21-'Water Reading'!Q20)</f>
        <v>0</v>
      </c>
      <c r="H21" s="89" t="e">
        <f t="shared" si="4"/>
        <v>#DIV/0!</v>
      </c>
      <c r="I21" s="90">
        <f>'Water Reading'!P21-'Water Reading'!P20</f>
        <v>0</v>
      </c>
      <c r="J21" s="68" t="e">
        <f t="shared" si="5"/>
        <v>#DIV/0!</v>
      </c>
      <c r="K21" s="91">
        <f>('Water Reading'!I21-'Water Reading'!I20)-('Water Reading'!P21-'Water Reading'!P20)</f>
        <v>0</v>
      </c>
      <c r="L21" s="68" t="e">
        <f t="shared" si="6"/>
        <v>#DIV/0!</v>
      </c>
      <c r="M21" s="90">
        <f>'Water Reading'!R21-'Water Reading'!R20</f>
        <v>0</v>
      </c>
      <c r="N21" s="92" t="e">
        <f t="shared" si="7"/>
        <v>#DIV/0!</v>
      </c>
      <c r="O21" s="90">
        <f>'Water Reading'!Q21-'Water Reading'!Q20</f>
        <v>0</v>
      </c>
      <c r="P21" s="99" t="e">
        <f t="shared" si="8"/>
        <v>#DIV/0!</v>
      </c>
      <c r="Q21" s="91">
        <f>'Water Reading'!F21-'Water Reading'!F20</f>
        <v>0</v>
      </c>
      <c r="R21" s="100" t="e">
        <f t="shared" si="9"/>
        <v>#DIV/0!</v>
      </c>
      <c r="S21" s="94">
        <f>'Water Reading'!E21-'Water Reading'!E20</f>
        <v>0</v>
      </c>
      <c r="T21" s="100" t="e">
        <f t="shared" si="10"/>
        <v>#DIV/0!</v>
      </c>
      <c r="U21" s="90">
        <f>'Water Reading'!G21-'Water Reading'!G20</f>
        <v>0</v>
      </c>
      <c r="V21" s="100" t="e">
        <f t="shared" si="11"/>
        <v>#DIV/0!</v>
      </c>
      <c r="W21" s="90">
        <f>'Water Reading'!J21-'Water Reading'!J20</f>
        <v>0</v>
      </c>
      <c r="X21" s="100" t="e">
        <f t="shared" si="12"/>
        <v>#DIV/0!</v>
      </c>
      <c r="Y21" s="66">
        <f t="shared" si="0"/>
        <v>0</v>
      </c>
      <c r="Z21" s="67" t="e">
        <f t="shared" si="1"/>
        <v>#DIV/0!</v>
      </c>
    </row>
    <row r="22" spans="1:26" x14ac:dyDescent="0.25">
      <c r="A22" s="8">
        <f>'Water Reading'!A21</f>
        <v>44458</v>
      </c>
      <c r="B22" s="65">
        <f>TOTAL!I20</f>
        <v>0</v>
      </c>
      <c r="C22" s="66">
        <f>('Water Reading'!B22-'Water Reading'!B21)+('Water Reading'!C22-'Water Reading'!C21)</f>
        <v>0</v>
      </c>
      <c r="D22" s="67" t="e">
        <f t="shared" si="2"/>
        <v>#DIV/0!</v>
      </c>
      <c r="E22" s="87">
        <f>'Water Reading'!H22-'Water Reading'!H21</f>
        <v>0</v>
      </c>
      <c r="F22" s="89" t="e">
        <f t="shared" si="3"/>
        <v>#DIV/0!</v>
      </c>
      <c r="G22" s="93">
        <f>('Water Reading'!D22-'Water Reading'!D21)-('Water Reading'!R22-'Water Reading'!R21)-('Water Reading'!Q22-'Water Reading'!Q21)</f>
        <v>0</v>
      </c>
      <c r="H22" s="89" t="e">
        <f t="shared" si="4"/>
        <v>#DIV/0!</v>
      </c>
      <c r="I22" s="90">
        <f>'Water Reading'!P22-'Water Reading'!P21</f>
        <v>0</v>
      </c>
      <c r="J22" s="68" t="e">
        <f t="shared" si="5"/>
        <v>#DIV/0!</v>
      </c>
      <c r="K22" s="91">
        <f>('Water Reading'!I22-'Water Reading'!I21)-('Water Reading'!P22-'Water Reading'!P21)</f>
        <v>0</v>
      </c>
      <c r="L22" s="68" t="e">
        <f t="shared" si="6"/>
        <v>#DIV/0!</v>
      </c>
      <c r="M22" s="90">
        <f>'Water Reading'!R22-'Water Reading'!R21</f>
        <v>0</v>
      </c>
      <c r="N22" s="92" t="e">
        <f t="shared" si="7"/>
        <v>#DIV/0!</v>
      </c>
      <c r="O22" s="90">
        <f>'Water Reading'!Q22-'Water Reading'!Q21</f>
        <v>0</v>
      </c>
      <c r="P22" s="99" t="e">
        <f t="shared" si="8"/>
        <v>#DIV/0!</v>
      </c>
      <c r="Q22" s="91">
        <f>'Water Reading'!F22-'Water Reading'!F21</f>
        <v>0</v>
      </c>
      <c r="R22" s="100" t="e">
        <f t="shared" si="9"/>
        <v>#DIV/0!</v>
      </c>
      <c r="S22" s="94">
        <f>'Water Reading'!E22-'Water Reading'!E21</f>
        <v>0</v>
      </c>
      <c r="T22" s="100" t="e">
        <f t="shared" si="10"/>
        <v>#DIV/0!</v>
      </c>
      <c r="U22" s="90">
        <f>'Water Reading'!G22-'Water Reading'!G21</f>
        <v>0</v>
      </c>
      <c r="V22" s="100" t="e">
        <f t="shared" si="11"/>
        <v>#DIV/0!</v>
      </c>
      <c r="W22" s="90">
        <f>'Water Reading'!J22-'Water Reading'!J21</f>
        <v>0</v>
      </c>
      <c r="X22" s="100" t="e">
        <f t="shared" si="12"/>
        <v>#DIV/0!</v>
      </c>
      <c r="Y22" s="66">
        <f t="shared" si="0"/>
        <v>0</v>
      </c>
      <c r="Z22" s="67" t="e">
        <f t="shared" si="1"/>
        <v>#DIV/0!</v>
      </c>
    </row>
    <row r="23" spans="1:26" x14ac:dyDescent="0.25">
      <c r="A23" s="8">
        <f>'Water Reading'!A22</f>
        <v>44459</v>
      </c>
      <c r="B23" s="65">
        <f>TOTAL!I21</f>
        <v>0</v>
      </c>
      <c r="C23" s="66">
        <f>('Water Reading'!B23-'Water Reading'!B22)+('Water Reading'!C23-'Water Reading'!C22)</f>
        <v>0</v>
      </c>
      <c r="D23" s="67" t="e">
        <f t="shared" si="2"/>
        <v>#DIV/0!</v>
      </c>
      <c r="E23" s="87">
        <f>'Water Reading'!H23-'Water Reading'!H22</f>
        <v>0</v>
      </c>
      <c r="F23" s="89" t="e">
        <f t="shared" si="3"/>
        <v>#DIV/0!</v>
      </c>
      <c r="G23" s="93">
        <f>('Water Reading'!D23-'Water Reading'!D22)-('Water Reading'!R23-'Water Reading'!R22)-('Water Reading'!Q23-'Water Reading'!Q22)</f>
        <v>0</v>
      </c>
      <c r="H23" s="89" t="e">
        <f t="shared" si="4"/>
        <v>#DIV/0!</v>
      </c>
      <c r="I23" s="90">
        <f>'Water Reading'!P23-'Water Reading'!P22</f>
        <v>0</v>
      </c>
      <c r="J23" s="68" t="e">
        <f t="shared" si="5"/>
        <v>#DIV/0!</v>
      </c>
      <c r="K23" s="91">
        <f>('Water Reading'!I23-'Water Reading'!I22)-('Water Reading'!P23-'Water Reading'!P22)</f>
        <v>0</v>
      </c>
      <c r="L23" s="68" t="e">
        <f t="shared" si="6"/>
        <v>#DIV/0!</v>
      </c>
      <c r="M23" s="90">
        <f>'Water Reading'!R23-'Water Reading'!R22</f>
        <v>0</v>
      </c>
      <c r="N23" s="92" t="e">
        <f t="shared" si="7"/>
        <v>#DIV/0!</v>
      </c>
      <c r="O23" s="90">
        <f>'Water Reading'!Q23-'Water Reading'!Q22</f>
        <v>0</v>
      </c>
      <c r="P23" s="99" t="e">
        <f t="shared" si="8"/>
        <v>#DIV/0!</v>
      </c>
      <c r="Q23" s="91">
        <f>'Water Reading'!F23-'Water Reading'!F22</f>
        <v>0</v>
      </c>
      <c r="R23" s="100" t="e">
        <f t="shared" si="9"/>
        <v>#DIV/0!</v>
      </c>
      <c r="S23" s="94">
        <f>'Water Reading'!E23-'Water Reading'!E22</f>
        <v>0</v>
      </c>
      <c r="T23" s="100" t="e">
        <f t="shared" si="10"/>
        <v>#DIV/0!</v>
      </c>
      <c r="U23" s="90">
        <f>'Water Reading'!G23-'Water Reading'!G22</f>
        <v>0</v>
      </c>
      <c r="V23" s="100" t="e">
        <f t="shared" si="11"/>
        <v>#DIV/0!</v>
      </c>
      <c r="W23" s="90">
        <f>'Water Reading'!J23-'Water Reading'!J22</f>
        <v>0</v>
      </c>
      <c r="X23" s="100" t="e">
        <f t="shared" si="12"/>
        <v>#DIV/0!</v>
      </c>
      <c r="Y23" s="66">
        <f t="shared" si="0"/>
        <v>0</v>
      </c>
      <c r="Z23" s="67" t="e">
        <f t="shared" si="1"/>
        <v>#DIV/0!</v>
      </c>
    </row>
    <row r="24" spans="1:26" x14ac:dyDescent="0.25">
      <c r="A24" s="8">
        <f>'Water Reading'!A23</f>
        <v>44460</v>
      </c>
      <c r="B24" s="65">
        <f>TOTAL!I22</f>
        <v>0</v>
      </c>
      <c r="C24" s="66">
        <f>('Water Reading'!B24-'Water Reading'!B23)+('Water Reading'!C24-'Water Reading'!C23)</f>
        <v>0</v>
      </c>
      <c r="D24" s="67" t="e">
        <f t="shared" si="2"/>
        <v>#DIV/0!</v>
      </c>
      <c r="E24" s="87">
        <f>'Water Reading'!H24-'Water Reading'!H23</f>
        <v>0</v>
      </c>
      <c r="F24" s="89" t="e">
        <f t="shared" si="3"/>
        <v>#DIV/0!</v>
      </c>
      <c r="G24" s="93">
        <f>('Water Reading'!D24-'Water Reading'!D23)-('Water Reading'!R24-'Water Reading'!R23)-('Water Reading'!Q24-'Water Reading'!Q23)</f>
        <v>0</v>
      </c>
      <c r="H24" s="89" t="e">
        <f t="shared" si="4"/>
        <v>#DIV/0!</v>
      </c>
      <c r="I24" s="90">
        <f>'Water Reading'!P24-'Water Reading'!P23</f>
        <v>0</v>
      </c>
      <c r="J24" s="68" t="e">
        <f t="shared" si="5"/>
        <v>#DIV/0!</v>
      </c>
      <c r="K24" s="91">
        <f>('Water Reading'!I24-'Water Reading'!I23)-('Water Reading'!P24-'Water Reading'!P23)</f>
        <v>0</v>
      </c>
      <c r="L24" s="68" t="e">
        <f t="shared" si="6"/>
        <v>#DIV/0!</v>
      </c>
      <c r="M24" s="90">
        <f>'Water Reading'!R24-'Water Reading'!R23</f>
        <v>0</v>
      </c>
      <c r="N24" s="92" t="e">
        <f t="shared" si="7"/>
        <v>#DIV/0!</v>
      </c>
      <c r="O24" s="90">
        <f>'Water Reading'!Q24-'Water Reading'!Q23</f>
        <v>0</v>
      </c>
      <c r="P24" s="99" t="e">
        <f t="shared" si="8"/>
        <v>#DIV/0!</v>
      </c>
      <c r="Q24" s="91">
        <f>'Water Reading'!F24-'Water Reading'!F23</f>
        <v>0</v>
      </c>
      <c r="R24" s="100" t="e">
        <f t="shared" si="9"/>
        <v>#DIV/0!</v>
      </c>
      <c r="S24" s="94">
        <f>'Water Reading'!E24-'Water Reading'!E23</f>
        <v>0</v>
      </c>
      <c r="T24" s="100" t="e">
        <f t="shared" si="10"/>
        <v>#DIV/0!</v>
      </c>
      <c r="U24" s="90">
        <f>'Water Reading'!G24-'Water Reading'!G23</f>
        <v>0</v>
      </c>
      <c r="V24" s="100" t="e">
        <f t="shared" si="11"/>
        <v>#DIV/0!</v>
      </c>
      <c r="W24" s="90">
        <f>'Water Reading'!J24-'Water Reading'!J23</f>
        <v>0</v>
      </c>
      <c r="X24" s="100" t="e">
        <f t="shared" si="12"/>
        <v>#DIV/0!</v>
      </c>
      <c r="Y24" s="66">
        <f t="shared" si="0"/>
        <v>0</v>
      </c>
      <c r="Z24" s="67" t="e">
        <f t="shared" si="1"/>
        <v>#DIV/0!</v>
      </c>
    </row>
    <row r="25" spans="1:26" x14ac:dyDescent="0.25">
      <c r="A25" s="8">
        <f>'Water Reading'!A24</f>
        <v>44461</v>
      </c>
      <c r="B25" s="65">
        <f>TOTAL!I23</f>
        <v>0</v>
      </c>
      <c r="C25" s="66">
        <f>('Water Reading'!B25-'Water Reading'!B24)+('Water Reading'!C25-'Water Reading'!C24)</f>
        <v>0</v>
      </c>
      <c r="D25" s="67" t="e">
        <f t="shared" si="2"/>
        <v>#DIV/0!</v>
      </c>
      <c r="E25" s="87">
        <f>'Water Reading'!H25-'Water Reading'!H24</f>
        <v>0</v>
      </c>
      <c r="F25" s="89" t="e">
        <f t="shared" si="3"/>
        <v>#DIV/0!</v>
      </c>
      <c r="G25" s="93">
        <f>('Water Reading'!D25-'Water Reading'!D24)-('Water Reading'!R25-'Water Reading'!R24)-('Water Reading'!Q25-'Water Reading'!Q24)</f>
        <v>0</v>
      </c>
      <c r="H25" s="89" t="e">
        <f t="shared" si="4"/>
        <v>#DIV/0!</v>
      </c>
      <c r="I25" s="90">
        <f>'Water Reading'!P25-'Water Reading'!P24</f>
        <v>0</v>
      </c>
      <c r="J25" s="68" t="e">
        <f t="shared" si="5"/>
        <v>#DIV/0!</v>
      </c>
      <c r="K25" s="91">
        <f>('Water Reading'!I25-'Water Reading'!I24)-('Water Reading'!P25-'Water Reading'!P24)</f>
        <v>0</v>
      </c>
      <c r="L25" s="68" t="e">
        <f t="shared" si="6"/>
        <v>#DIV/0!</v>
      </c>
      <c r="M25" s="90">
        <f>'Water Reading'!R25-'Water Reading'!R24</f>
        <v>0</v>
      </c>
      <c r="N25" s="92" t="e">
        <f t="shared" si="7"/>
        <v>#DIV/0!</v>
      </c>
      <c r="O25" s="90">
        <f>'Water Reading'!Q25-'Water Reading'!Q24</f>
        <v>0</v>
      </c>
      <c r="P25" s="99" t="e">
        <f t="shared" si="8"/>
        <v>#DIV/0!</v>
      </c>
      <c r="Q25" s="91">
        <f>'Water Reading'!F25-'Water Reading'!F24</f>
        <v>0</v>
      </c>
      <c r="R25" s="100" t="e">
        <f t="shared" si="9"/>
        <v>#DIV/0!</v>
      </c>
      <c r="S25" s="94">
        <f>'Water Reading'!E25-'Water Reading'!E24</f>
        <v>0</v>
      </c>
      <c r="T25" s="100" t="e">
        <f t="shared" si="10"/>
        <v>#DIV/0!</v>
      </c>
      <c r="U25" s="90">
        <f>'Water Reading'!G25-'Water Reading'!G24</f>
        <v>0</v>
      </c>
      <c r="V25" s="100" t="e">
        <f t="shared" si="11"/>
        <v>#DIV/0!</v>
      </c>
      <c r="W25" s="90">
        <f>'Water Reading'!J25-'Water Reading'!J24</f>
        <v>0</v>
      </c>
      <c r="X25" s="100" t="e">
        <f t="shared" si="12"/>
        <v>#DIV/0!</v>
      </c>
      <c r="Y25" s="66">
        <f t="shared" si="0"/>
        <v>0</v>
      </c>
      <c r="Z25" s="67" t="e">
        <f t="shared" si="1"/>
        <v>#DIV/0!</v>
      </c>
    </row>
    <row r="26" spans="1:26" x14ac:dyDescent="0.25">
      <c r="A26" s="8">
        <f>'Water Reading'!A25</f>
        <v>44462</v>
      </c>
      <c r="B26" s="65">
        <f>TOTAL!I24</f>
        <v>0</v>
      </c>
      <c r="C26" s="66">
        <f>('Water Reading'!B26-'Water Reading'!B25)+('Water Reading'!C26-'Water Reading'!C25)</f>
        <v>0</v>
      </c>
      <c r="D26" s="67" t="e">
        <f t="shared" si="2"/>
        <v>#DIV/0!</v>
      </c>
      <c r="E26" s="87">
        <f>'Water Reading'!H26-'Water Reading'!H25</f>
        <v>0</v>
      </c>
      <c r="F26" s="89" t="e">
        <f t="shared" si="3"/>
        <v>#DIV/0!</v>
      </c>
      <c r="G26" s="93">
        <f>('Water Reading'!D26-'Water Reading'!D25)-('Water Reading'!R26-'Water Reading'!R25)-('Water Reading'!Q26-'Water Reading'!Q25)</f>
        <v>0</v>
      </c>
      <c r="H26" s="89" t="e">
        <f t="shared" si="4"/>
        <v>#DIV/0!</v>
      </c>
      <c r="I26" s="90">
        <f>'Water Reading'!P26-'Water Reading'!P25</f>
        <v>0</v>
      </c>
      <c r="J26" s="68" t="e">
        <f t="shared" si="5"/>
        <v>#DIV/0!</v>
      </c>
      <c r="K26" s="91">
        <f>('Water Reading'!I26-'Water Reading'!I25)-('Water Reading'!P26-'Water Reading'!P25)</f>
        <v>0</v>
      </c>
      <c r="L26" s="68" t="e">
        <f t="shared" si="6"/>
        <v>#DIV/0!</v>
      </c>
      <c r="M26" s="90">
        <f>'Water Reading'!R26-'Water Reading'!R25</f>
        <v>0</v>
      </c>
      <c r="N26" s="92" t="e">
        <f t="shared" si="7"/>
        <v>#DIV/0!</v>
      </c>
      <c r="O26" s="90">
        <f>'Water Reading'!Q26-'Water Reading'!Q25</f>
        <v>0</v>
      </c>
      <c r="P26" s="99" t="e">
        <f t="shared" si="8"/>
        <v>#DIV/0!</v>
      </c>
      <c r="Q26" s="91">
        <f>'Water Reading'!F26-'Water Reading'!F25</f>
        <v>0</v>
      </c>
      <c r="R26" s="100" t="e">
        <f t="shared" si="9"/>
        <v>#DIV/0!</v>
      </c>
      <c r="S26" s="94">
        <f>'Water Reading'!E26-'Water Reading'!E25</f>
        <v>0</v>
      </c>
      <c r="T26" s="100" t="e">
        <f t="shared" si="10"/>
        <v>#DIV/0!</v>
      </c>
      <c r="U26" s="90">
        <f>'Water Reading'!G26-'Water Reading'!G25</f>
        <v>0</v>
      </c>
      <c r="V26" s="100" t="e">
        <f t="shared" si="11"/>
        <v>#DIV/0!</v>
      </c>
      <c r="W26" s="90">
        <f>'Water Reading'!J26-'Water Reading'!J25</f>
        <v>0</v>
      </c>
      <c r="X26" s="100" t="e">
        <f t="shared" si="12"/>
        <v>#DIV/0!</v>
      </c>
      <c r="Y26" s="66">
        <f t="shared" si="0"/>
        <v>0</v>
      </c>
      <c r="Z26" s="67" t="e">
        <f t="shared" si="1"/>
        <v>#DIV/0!</v>
      </c>
    </row>
    <row r="27" spans="1:26" x14ac:dyDescent="0.25">
      <c r="A27" s="8">
        <f>'Water Reading'!A26</f>
        <v>44463</v>
      </c>
      <c r="B27" s="65">
        <f>TOTAL!I25</f>
        <v>0</v>
      </c>
      <c r="C27" s="66">
        <f>('Water Reading'!B27-'Water Reading'!B26)+('Water Reading'!C27-'Water Reading'!C26)</f>
        <v>0</v>
      </c>
      <c r="D27" s="67" t="e">
        <f t="shared" si="2"/>
        <v>#DIV/0!</v>
      </c>
      <c r="E27" s="87">
        <f>'Water Reading'!H27-'Water Reading'!H26</f>
        <v>0</v>
      </c>
      <c r="F27" s="89" t="e">
        <f t="shared" si="3"/>
        <v>#DIV/0!</v>
      </c>
      <c r="G27" s="93">
        <f>('Water Reading'!D27-'Water Reading'!D26)-('Water Reading'!R27-'Water Reading'!R26)-('Water Reading'!Q27-'Water Reading'!Q26)</f>
        <v>0</v>
      </c>
      <c r="H27" s="89" t="e">
        <f t="shared" si="4"/>
        <v>#DIV/0!</v>
      </c>
      <c r="I27" s="90">
        <f>'Water Reading'!P27-'Water Reading'!P26</f>
        <v>0</v>
      </c>
      <c r="J27" s="68" t="e">
        <f t="shared" si="5"/>
        <v>#DIV/0!</v>
      </c>
      <c r="K27" s="91">
        <f>('Water Reading'!I27-'Water Reading'!I26)-('Water Reading'!P27-'Water Reading'!P26)</f>
        <v>0</v>
      </c>
      <c r="L27" s="68" t="e">
        <f t="shared" si="6"/>
        <v>#DIV/0!</v>
      </c>
      <c r="M27" s="90">
        <f>'Water Reading'!R27-'Water Reading'!R26</f>
        <v>0</v>
      </c>
      <c r="N27" s="92" t="e">
        <f t="shared" si="7"/>
        <v>#DIV/0!</v>
      </c>
      <c r="O27" s="90">
        <f>'Water Reading'!Q27-'Water Reading'!Q26</f>
        <v>0</v>
      </c>
      <c r="P27" s="99" t="e">
        <f t="shared" si="8"/>
        <v>#DIV/0!</v>
      </c>
      <c r="Q27" s="91">
        <f>'Water Reading'!F27-'Water Reading'!F26</f>
        <v>0</v>
      </c>
      <c r="R27" s="100" t="e">
        <f t="shared" si="9"/>
        <v>#DIV/0!</v>
      </c>
      <c r="S27" s="94">
        <f>'Water Reading'!E27-'Water Reading'!E26</f>
        <v>0</v>
      </c>
      <c r="T27" s="100" t="e">
        <f t="shared" si="10"/>
        <v>#DIV/0!</v>
      </c>
      <c r="U27" s="90">
        <f>'Water Reading'!G27-'Water Reading'!G26</f>
        <v>0</v>
      </c>
      <c r="V27" s="100" t="e">
        <f t="shared" si="11"/>
        <v>#DIV/0!</v>
      </c>
      <c r="W27" s="90">
        <f>'Water Reading'!J27-'Water Reading'!J26</f>
        <v>0</v>
      </c>
      <c r="X27" s="100" t="e">
        <f t="shared" si="12"/>
        <v>#DIV/0!</v>
      </c>
      <c r="Y27" s="66">
        <f t="shared" si="0"/>
        <v>0</v>
      </c>
      <c r="Z27" s="67" t="e">
        <f t="shared" si="1"/>
        <v>#DIV/0!</v>
      </c>
    </row>
    <row r="28" spans="1:26" x14ac:dyDescent="0.25">
      <c r="A28" s="8">
        <f>'Water Reading'!A27</f>
        <v>44464</v>
      </c>
      <c r="B28" s="65">
        <f>TOTAL!I26</f>
        <v>0</v>
      </c>
      <c r="C28" s="66">
        <f>('Water Reading'!B28-'Water Reading'!B27)+('Water Reading'!C28-'Water Reading'!C27)</f>
        <v>0</v>
      </c>
      <c r="D28" s="67" t="e">
        <f t="shared" si="2"/>
        <v>#DIV/0!</v>
      </c>
      <c r="E28" s="87">
        <f>'Water Reading'!H28-'Water Reading'!H27</f>
        <v>0</v>
      </c>
      <c r="F28" s="89" t="e">
        <f t="shared" si="3"/>
        <v>#DIV/0!</v>
      </c>
      <c r="G28" s="93">
        <f>('Water Reading'!D28-'Water Reading'!D27)-('Water Reading'!R28-'Water Reading'!R27)-('Water Reading'!Q28-'Water Reading'!Q27)</f>
        <v>0</v>
      </c>
      <c r="H28" s="89" t="e">
        <f t="shared" si="4"/>
        <v>#DIV/0!</v>
      </c>
      <c r="I28" s="90">
        <f>'Water Reading'!P28-'Water Reading'!P27</f>
        <v>0</v>
      </c>
      <c r="J28" s="68" t="e">
        <f t="shared" si="5"/>
        <v>#DIV/0!</v>
      </c>
      <c r="K28" s="91">
        <f>('Water Reading'!I28-'Water Reading'!I27)-('Water Reading'!P28-'Water Reading'!P27)</f>
        <v>0</v>
      </c>
      <c r="L28" s="68" t="e">
        <f t="shared" si="6"/>
        <v>#DIV/0!</v>
      </c>
      <c r="M28" s="90">
        <f>'Water Reading'!R28-'Water Reading'!R27</f>
        <v>0</v>
      </c>
      <c r="N28" s="92" t="e">
        <f t="shared" si="7"/>
        <v>#DIV/0!</v>
      </c>
      <c r="O28" s="90">
        <f>'Water Reading'!Q28-'Water Reading'!Q27</f>
        <v>0</v>
      </c>
      <c r="P28" s="99" t="e">
        <f t="shared" si="8"/>
        <v>#DIV/0!</v>
      </c>
      <c r="Q28" s="91">
        <f>'Water Reading'!F28-'Water Reading'!F27</f>
        <v>0</v>
      </c>
      <c r="R28" s="100" t="e">
        <f t="shared" si="9"/>
        <v>#DIV/0!</v>
      </c>
      <c r="S28" s="94">
        <f>'Water Reading'!E28-'Water Reading'!E27</f>
        <v>0</v>
      </c>
      <c r="T28" s="100" t="e">
        <f t="shared" si="10"/>
        <v>#DIV/0!</v>
      </c>
      <c r="U28" s="90">
        <f>'Water Reading'!G28-'Water Reading'!G27</f>
        <v>0</v>
      </c>
      <c r="V28" s="100" t="e">
        <f t="shared" si="11"/>
        <v>#DIV/0!</v>
      </c>
      <c r="W28" s="90">
        <f>'Water Reading'!J28-'Water Reading'!J27</f>
        <v>0</v>
      </c>
      <c r="X28" s="100" t="e">
        <f t="shared" si="12"/>
        <v>#DIV/0!</v>
      </c>
      <c r="Y28" s="66">
        <f t="shared" si="0"/>
        <v>0</v>
      </c>
      <c r="Z28" s="67" t="e">
        <f t="shared" si="1"/>
        <v>#DIV/0!</v>
      </c>
    </row>
    <row r="29" spans="1:26" x14ac:dyDescent="0.25">
      <c r="A29" s="8">
        <f>'Water Reading'!A28</f>
        <v>44465</v>
      </c>
      <c r="B29" s="65">
        <f>TOTAL!I27</f>
        <v>0</v>
      </c>
      <c r="C29" s="66">
        <f>('Water Reading'!B29-'Water Reading'!B28)+('Water Reading'!C29-'Water Reading'!C28)</f>
        <v>0</v>
      </c>
      <c r="D29" s="67" t="e">
        <f t="shared" si="2"/>
        <v>#DIV/0!</v>
      </c>
      <c r="E29" s="87">
        <f>'Water Reading'!H29-'Water Reading'!H28</f>
        <v>0</v>
      </c>
      <c r="F29" s="89" t="e">
        <f t="shared" si="3"/>
        <v>#DIV/0!</v>
      </c>
      <c r="G29" s="93">
        <f>('Water Reading'!D29-'Water Reading'!D28)-('Water Reading'!R29-'Water Reading'!R28)-('Water Reading'!Q29-'Water Reading'!Q28)</f>
        <v>0</v>
      </c>
      <c r="H29" s="89" t="e">
        <f t="shared" si="4"/>
        <v>#DIV/0!</v>
      </c>
      <c r="I29" s="90">
        <f>'Water Reading'!P29-'Water Reading'!P28</f>
        <v>0</v>
      </c>
      <c r="J29" s="68" t="e">
        <f t="shared" si="5"/>
        <v>#DIV/0!</v>
      </c>
      <c r="K29" s="91">
        <f>('Water Reading'!I29-'Water Reading'!I28)-('Water Reading'!P29-'Water Reading'!P28)</f>
        <v>0</v>
      </c>
      <c r="L29" s="68" t="e">
        <f t="shared" si="6"/>
        <v>#DIV/0!</v>
      </c>
      <c r="M29" s="90">
        <f>'Water Reading'!R29-'Water Reading'!R28</f>
        <v>0</v>
      </c>
      <c r="N29" s="92" t="e">
        <f t="shared" si="7"/>
        <v>#DIV/0!</v>
      </c>
      <c r="O29" s="90">
        <f>'Water Reading'!Q29-'Water Reading'!Q28</f>
        <v>0</v>
      </c>
      <c r="P29" s="99" t="e">
        <f t="shared" si="8"/>
        <v>#DIV/0!</v>
      </c>
      <c r="Q29" s="91">
        <f>'Water Reading'!F29-'Water Reading'!F28</f>
        <v>0</v>
      </c>
      <c r="R29" s="100" t="e">
        <f t="shared" si="9"/>
        <v>#DIV/0!</v>
      </c>
      <c r="S29" s="94">
        <f>'Water Reading'!E29-'Water Reading'!E28</f>
        <v>0</v>
      </c>
      <c r="T29" s="100" t="e">
        <f t="shared" si="10"/>
        <v>#DIV/0!</v>
      </c>
      <c r="U29" s="90">
        <f>'Water Reading'!G29-'Water Reading'!G28</f>
        <v>0</v>
      </c>
      <c r="V29" s="100" t="e">
        <f t="shared" si="11"/>
        <v>#DIV/0!</v>
      </c>
      <c r="W29" s="90">
        <f>'Water Reading'!J29-'Water Reading'!J28</f>
        <v>0</v>
      </c>
      <c r="X29" s="100" t="e">
        <f t="shared" si="12"/>
        <v>#DIV/0!</v>
      </c>
      <c r="Y29" s="66">
        <f t="shared" si="0"/>
        <v>0</v>
      </c>
      <c r="Z29" s="67" t="e">
        <f t="shared" si="1"/>
        <v>#DIV/0!</v>
      </c>
    </row>
    <row r="30" spans="1:26" x14ac:dyDescent="0.25">
      <c r="A30" s="8">
        <f>'Water Reading'!A29</f>
        <v>44466</v>
      </c>
      <c r="B30" s="65">
        <f>TOTAL!I28</f>
        <v>0</v>
      </c>
      <c r="C30" s="66">
        <f>('Water Reading'!B30-'Water Reading'!B29)+('Water Reading'!C30-'Water Reading'!C29)</f>
        <v>0</v>
      </c>
      <c r="D30" s="67" t="e">
        <f t="shared" si="2"/>
        <v>#DIV/0!</v>
      </c>
      <c r="E30" s="87">
        <f>'Water Reading'!H30-'Water Reading'!H29</f>
        <v>0</v>
      </c>
      <c r="F30" s="89" t="e">
        <f t="shared" si="3"/>
        <v>#DIV/0!</v>
      </c>
      <c r="G30" s="93">
        <f>('Water Reading'!D30-'Water Reading'!D29)-('Water Reading'!R30-'Water Reading'!R29)-('Water Reading'!Q30-'Water Reading'!Q29)</f>
        <v>0</v>
      </c>
      <c r="H30" s="89" t="e">
        <f t="shared" si="4"/>
        <v>#DIV/0!</v>
      </c>
      <c r="I30" s="90">
        <f>'Water Reading'!P30-'Water Reading'!P29</f>
        <v>0</v>
      </c>
      <c r="J30" s="68" t="e">
        <f t="shared" si="5"/>
        <v>#DIV/0!</v>
      </c>
      <c r="K30" s="91">
        <f>('Water Reading'!I30-'Water Reading'!I29)-('Water Reading'!P30-'Water Reading'!P29)</f>
        <v>0</v>
      </c>
      <c r="L30" s="68" t="e">
        <f t="shared" si="6"/>
        <v>#DIV/0!</v>
      </c>
      <c r="M30" s="90">
        <f>'Water Reading'!R30-'Water Reading'!R29</f>
        <v>0</v>
      </c>
      <c r="N30" s="92" t="e">
        <f t="shared" si="7"/>
        <v>#DIV/0!</v>
      </c>
      <c r="O30" s="90">
        <f>'Water Reading'!Q30-'Water Reading'!Q29</f>
        <v>0</v>
      </c>
      <c r="P30" s="99" t="e">
        <f t="shared" si="8"/>
        <v>#DIV/0!</v>
      </c>
      <c r="Q30" s="91">
        <f>'Water Reading'!F30-'Water Reading'!F29</f>
        <v>0</v>
      </c>
      <c r="R30" s="100" t="e">
        <f t="shared" si="9"/>
        <v>#DIV/0!</v>
      </c>
      <c r="S30" s="94">
        <f>'Water Reading'!E30-'Water Reading'!E29</f>
        <v>0</v>
      </c>
      <c r="T30" s="100" t="e">
        <f t="shared" si="10"/>
        <v>#DIV/0!</v>
      </c>
      <c r="U30" s="90">
        <f>'Water Reading'!G30-'Water Reading'!G29</f>
        <v>0</v>
      </c>
      <c r="V30" s="100" t="e">
        <f t="shared" si="11"/>
        <v>#DIV/0!</v>
      </c>
      <c r="W30" s="90">
        <f>'Water Reading'!J30-'Water Reading'!J29</f>
        <v>0</v>
      </c>
      <c r="X30" s="100" t="e">
        <f t="shared" si="12"/>
        <v>#DIV/0!</v>
      </c>
      <c r="Y30" s="66">
        <f t="shared" si="0"/>
        <v>0</v>
      </c>
      <c r="Z30" s="67" t="e">
        <f t="shared" si="1"/>
        <v>#DIV/0!</v>
      </c>
    </row>
    <row r="31" spans="1:26" x14ac:dyDescent="0.25">
      <c r="A31" s="8">
        <f>'Water Reading'!A30</f>
        <v>44467</v>
      </c>
      <c r="B31" s="65">
        <f>TOTAL!I29</f>
        <v>0</v>
      </c>
      <c r="C31" s="66">
        <f>('Water Reading'!B31-'Water Reading'!B30)+('Water Reading'!C31-'Water Reading'!C30)</f>
        <v>0</v>
      </c>
      <c r="D31" s="67" t="e">
        <f t="shared" si="2"/>
        <v>#DIV/0!</v>
      </c>
      <c r="E31" s="87">
        <f>'Water Reading'!H31-'Water Reading'!H30</f>
        <v>0</v>
      </c>
      <c r="F31" s="89" t="e">
        <f t="shared" si="3"/>
        <v>#DIV/0!</v>
      </c>
      <c r="G31" s="93">
        <f>('Water Reading'!D31-'Water Reading'!D30)-('Water Reading'!R31-'Water Reading'!R30)-('Water Reading'!Q31-'Water Reading'!Q30)</f>
        <v>0</v>
      </c>
      <c r="H31" s="89" t="e">
        <f t="shared" si="4"/>
        <v>#DIV/0!</v>
      </c>
      <c r="I31" s="90">
        <f>'Water Reading'!P31-'Water Reading'!P30</f>
        <v>0</v>
      </c>
      <c r="J31" s="68" t="e">
        <f t="shared" si="5"/>
        <v>#DIV/0!</v>
      </c>
      <c r="K31" s="91">
        <f>('Water Reading'!I31-'Water Reading'!I30)-('Water Reading'!P31-'Water Reading'!P30)</f>
        <v>0</v>
      </c>
      <c r="L31" s="68" t="e">
        <f t="shared" si="6"/>
        <v>#DIV/0!</v>
      </c>
      <c r="M31" s="90">
        <f>'Water Reading'!R31-'Water Reading'!R30</f>
        <v>0</v>
      </c>
      <c r="N31" s="92" t="e">
        <f t="shared" si="7"/>
        <v>#DIV/0!</v>
      </c>
      <c r="O31" s="90">
        <f>'Water Reading'!Q31-'Water Reading'!Q30</f>
        <v>0</v>
      </c>
      <c r="P31" s="99" t="e">
        <f t="shared" si="8"/>
        <v>#DIV/0!</v>
      </c>
      <c r="Q31" s="91">
        <f>'Water Reading'!F31-'Water Reading'!F30</f>
        <v>0</v>
      </c>
      <c r="R31" s="100" t="e">
        <f t="shared" si="9"/>
        <v>#DIV/0!</v>
      </c>
      <c r="S31" s="94">
        <f>'Water Reading'!E31-'Water Reading'!E30</f>
        <v>0</v>
      </c>
      <c r="T31" s="100" t="e">
        <f t="shared" si="10"/>
        <v>#DIV/0!</v>
      </c>
      <c r="U31" s="90">
        <f>'Water Reading'!G31-'Water Reading'!G30</f>
        <v>0</v>
      </c>
      <c r="V31" s="100" t="e">
        <f t="shared" si="11"/>
        <v>#DIV/0!</v>
      </c>
      <c r="W31" s="90">
        <f>'Water Reading'!J31-'Water Reading'!J30</f>
        <v>0</v>
      </c>
      <c r="X31" s="100" t="e">
        <f t="shared" si="12"/>
        <v>#DIV/0!</v>
      </c>
      <c r="Y31" s="66">
        <f t="shared" si="0"/>
        <v>0</v>
      </c>
      <c r="Z31" s="67" t="e">
        <f t="shared" si="1"/>
        <v>#DIV/0!</v>
      </c>
    </row>
    <row r="32" spans="1:26" x14ac:dyDescent="0.25">
      <c r="A32" s="8">
        <f>'Water Reading'!A31</f>
        <v>44468</v>
      </c>
      <c r="B32" s="65">
        <f>TOTAL!I30</f>
        <v>0</v>
      </c>
      <c r="C32" s="66">
        <f>('Water Reading'!B32-'Water Reading'!B31)+('Water Reading'!C32-'Water Reading'!C31)</f>
        <v>0</v>
      </c>
      <c r="D32" s="67" t="e">
        <f t="shared" si="2"/>
        <v>#DIV/0!</v>
      </c>
      <c r="E32" s="87">
        <f>'Water Reading'!H32-'Water Reading'!H31</f>
        <v>0</v>
      </c>
      <c r="F32" s="89" t="e">
        <f t="shared" si="3"/>
        <v>#DIV/0!</v>
      </c>
      <c r="G32" s="93">
        <f>('Water Reading'!D32-'Water Reading'!D31)-('Water Reading'!R32-'Water Reading'!R31)-('Water Reading'!Q32-'Water Reading'!Q31)</f>
        <v>0</v>
      </c>
      <c r="H32" s="89" t="e">
        <f t="shared" si="4"/>
        <v>#DIV/0!</v>
      </c>
      <c r="I32" s="90">
        <f>'Water Reading'!P32-'Water Reading'!P31</f>
        <v>0</v>
      </c>
      <c r="J32" s="68" t="e">
        <f t="shared" si="5"/>
        <v>#DIV/0!</v>
      </c>
      <c r="K32" s="91">
        <f>('Water Reading'!I32-'Water Reading'!I31)-('Water Reading'!P32-'Water Reading'!P31)</f>
        <v>0</v>
      </c>
      <c r="L32" s="68" t="e">
        <f t="shared" si="6"/>
        <v>#DIV/0!</v>
      </c>
      <c r="M32" s="90">
        <f>'Water Reading'!R32-'Water Reading'!R31</f>
        <v>0</v>
      </c>
      <c r="N32" s="92" t="e">
        <f t="shared" si="7"/>
        <v>#DIV/0!</v>
      </c>
      <c r="O32" s="90">
        <f>'Water Reading'!Q32-'Water Reading'!Q31</f>
        <v>0</v>
      </c>
      <c r="P32" s="99" t="e">
        <f t="shared" si="8"/>
        <v>#DIV/0!</v>
      </c>
      <c r="Q32" s="91">
        <f>'Water Reading'!F32-'Water Reading'!F31</f>
        <v>0</v>
      </c>
      <c r="R32" s="100" t="e">
        <f t="shared" si="9"/>
        <v>#DIV/0!</v>
      </c>
      <c r="S32" s="94">
        <f>'Water Reading'!E32-'Water Reading'!E31</f>
        <v>0</v>
      </c>
      <c r="T32" s="100" t="e">
        <f t="shared" si="10"/>
        <v>#DIV/0!</v>
      </c>
      <c r="U32" s="90">
        <f>'Water Reading'!G32-'Water Reading'!G31</f>
        <v>0</v>
      </c>
      <c r="V32" s="100" t="e">
        <f t="shared" si="11"/>
        <v>#DIV/0!</v>
      </c>
      <c r="W32" s="90">
        <f>'Water Reading'!J32-'Water Reading'!J31</f>
        <v>0</v>
      </c>
      <c r="X32" s="100" t="e">
        <f t="shared" si="12"/>
        <v>#DIV/0!</v>
      </c>
      <c r="Y32" s="66">
        <f t="shared" si="0"/>
        <v>0</v>
      </c>
      <c r="Z32" s="67" t="e">
        <f t="shared" si="1"/>
        <v>#DIV/0!</v>
      </c>
    </row>
    <row r="33" spans="1:26" x14ac:dyDescent="0.25">
      <c r="A33" s="8">
        <f>'Water Reading'!A32</f>
        <v>44469</v>
      </c>
      <c r="B33" s="65">
        <f>TOTAL!I31</f>
        <v>0</v>
      </c>
      <c r="C33" s="66">
        <f>('Water Reading'!B33-'Water Reading'!B32)+('Water Reading'!C33-'Water Reading'!C32)</f>
        <v>0</v>
      </c>
      <c r="D33" s="67" t="e">
        <f t="shared" si="2"/>
        <v>#DIV/0!</v>
      </c>
      <c r="E33" s="87">
        <f>'Water Reading'!H33-'Water Reading'!H32</f>
        <v>0</v>
      </c>
      <c r="F33" s="89" t="e">
        <f t="shared" si="3"/>
        <v>#DIV/0!</v>
      </c>
      <c r="G33" s="93">
        <f>('Water Reading'!D33-'Water Reading'!D32)-('Water Reading'!R33-'Water Reading'!R32)-('Water Reading'!Q33-'Water Reading'!Q32)</f>
        <v>0</v>
      </c>
      <c r="H33" s="89" t="e">
        <f t="shared" si="4"/>
        <v>#DIV/0!</v>
      </c>
      <c r="I33" s="90">
        <f>'Water Reading'!P33-'Water Reading'!P32</f>
        <v>0</v>
      </c>
      <c r="J33" s="68" t="e">
        <f t="shared" si="5"/>
        <v>#DIV/0!</v>
      </c>
      <c r="K33" s="91">
        <f>('Water Reading'!I33-'Water Reading'!I32)-('Water Reading'!P33-'Water Reading'!P32)</f>
        <v>0</v>
      </c>
      <c r="L33" s="68" t="e">
        <f t="shared" si="6"/>
        <v>#DIV/0!</v>
      </c>
      <c r="M33" s="90">
        <f>'Water Reading'!R33-'Water Reading'!R32</f>
        <v>0</v>
      </c>
      <c r="N33" s="92" t="e">
        <f t="shared" si="7"/>
        <v>#DIV/0!</v>
      </c>
      <c r="O33" s="90">
        <f>'Water Reading'!Q33-'Water Reading'!Q32</f>
        <v>0</v>
      </c>
      <c r="P33" s="99" t="e">
        <f t="shared" si="8"/>
        <v>#DIV/0!</v>
      </c>
      <c r="Q33" s="91">
        <f>'Water Reading'!F33-'Water Reading'!F32</f>
        <v>0</v>
      </c>
      <c r="R33" s="100" t="e">
        <f t="shared" si="9"/>
        <v>#DIV/0!</v>
      </c>
      <c r="S33" s="94">
        <f>'Water Reading'!E33-'Water Reading'!E32</f>
        <v>0</v>
      </c>
      <c r="T33" s="100" t="e">
        <f t="shared" si="10"/>
        <v>#DIV/0!</v>
      </c>
      <c r="U33" s="90">
        <f>'Water Reading'!G33-'Water Reading'!G32</f>
        <v>0</v>
      </c>
      <c r="V33" s="100" t="e">
        <f t="shared" si="11"/>
        <v>#DIV/0!</v>
      </c>
      <c r="W33" s="90">
        <f>'Water Reading'!J33-'Water Reading'!J32</f>
        <v>0</v>
      </c>
      <c r="X33" s="100" t="e">
        <f t="shared" si="12"/>
        <v>#DIV/0!</v>
      </c>
      <c r="Y33" s="66">
        <f t="shared" si="0"/>
        <v>0</v>
      </c>
      <c r="Z33" s="67" t="e">
        <f t="shared" si="1"/>
        <v>#DIV/0!</v>
      </c>
    </row>
    <row r="34" spans="1:26" x14ac:dyDescent="0.25">
      <c r="A34" s="8">
        <f>'Water Reading'!A33</f>
        <v>44470</v>
      </c>
      <c r="B34" s="65">
        <f>TOTAL!I32</f>
        <v>0</v>
      </c>
      <c r="C34" s="66">
        <f>('Water Reading'!B34-'Water Reading'!B33)+('Water Reading'!C34-'Water Reading'!C33)</f>
        <v>0</v>
      </c>
      <c r="D34" s="67" t="e">
        <f t="shared" si="2"/>
        <v>#DIV/0!</v>
      </c>
      <c r="E34" s="87">
        <f>'Water Reading'!H34-'Water Reading'!H33</f>
        <v>0</v>
      </c>
      <c r="F34" s="89" t="e">
        <f t="shared" si="3"/>
        <v>#DIV/0!</v>
      </c>
      <c r="G34" s="93">
        <f>('Water Reading'!D34-'Water Reading'!D33)-('Water Reading'!R34-'Water Reading'!R33)-('Water Reading'!Q34-'Water Reading'!Q33)</f>
        <v>0</v>
      </c>
      <c r="H34" s="89" t="e">
        <f t="shared" si="4"/>
        <v>#DIV/0!</v>
      </c>
      <c r="I34" s="90">
        <f>'Water Reading'!P34-'Water Reading'!P33</f>
        <v>0</v>
      </c>
      <c r="J34" s="68" t="e">
        <f t="shared" si="5"/>
        <v>#DIV/0!</v>
      </c>
      <c r="K34" s="91">
        <f>('Water Reading'!I34-'Water Reading'!I33)-('Water Reading'!P34-'Water Reading'!P33)</f>
        <v>0</v>
      </c>
      <c r="L34" s="68" t="e">
        <f t="shared" si="6"/>
        <v>#DIV/0!</v>
      </c>
      <c r="M34" s="90">
        <f>'Water Reading'!R34-'Water Reading'!R33</f>
        <v>0</v>
      </c>
      <c r="N34" s="92" t="e">
        <f t="shared" si="7"/>
        <v>#DIV/0!</v>
      </c>
      <c r="O34" s="90">
        <f>'Water Reading'!Q34-'Water Reading'!Q33</f>
        <v>0</v>
      </c>
      <c r="P34" s="99" t="e">
        <f t="shared" si="8"/>
        <v>#DIV/0!</v>
      </c>
      <c r="Q34" s="91">
        <f>'Water Reading'!F34-'Water Reading'!F33</f>
        <v>0</v>
      </c>
      <c r="R34" s="100" t="e">
        <f t="shared" si="9"/>
        <v>#DIV/0!</v>
      </c>
      <c r="S34" s="94">
        <f>'Water Reading'!E34-'Water Reading'!E33</f>
        <v>0</v>
      </c>
      <c r="T34" s="100" t="e">
        <f t="shared" si="10"/>
        <v>#DIV/0!</v>
      </c>
      <c r="U34" s="90">
        <f>'Water Reading'!G34-'Water Reading'!G33</f>
        <v>0</v>
      </c>
      <c r="V34" s="100" t="e">
        <f t="shared" si="11"/>
        <v>#DIV/0!</v>
      </c>
      <c r="W34" s="90">
        <f>'Water Reading'!J34-'Water Reading'!J33</f>
        <v>0</v>
      </c>
      <c r="X34" s="100" t="e">
        <f t="shared" si="12"/>
        <v>#DIV/0!</v>
      </c>
      <c r="Y34" s="66">
        <f t="shared" si="0"/>
        <v>0</v>
      </c>
      <c r="Z34" s="67" t="e">
        <f t="shared" si="1"/>
        <v>#DIV/0!</v>
      </c>
    </row>
    <row r="35" spans="1:26" ht="24" customHeight="1" x14ac:dyDescent="0.25">
      <c r="A35" s="69" t="s">
        <v>52</v>
      </c>
      <c r="B35" s="97">
        <f>SUM(B4:B34)</f>
        <v>3891</v>
      </c>
      <c r="C35" s="75">
        <f>SUM(C4:C34)</f>
        <v>-323652</v>
      </c>
      <c r="D35" s="96">
        <f>C35/B35</f>
        <v>-83.179645335389367</v>
      </c>
      <c r="E35" s="7">
        <f>SUM(E4:E34)</f>
        <v>-55314</v>
      </c>
      <c r="F35" s="95">
        <f>E35/C35</f>
        <v>0.17090578769789774</v>
      </c>
      <c r="G35" s="75">
        <f>SUM(G4:G34)</f>
        <v>-211984</v>
      </c>
      <c r="H35" s="95">
        <f>G35/C35</f>
        <v>0.65497509670881071</v>
      </c>
      <c r="I35" s="7">
        <f>SUM(I4:I34)</f>
        <v>-27660</v>
      </c>
      <c r="J35" s="95">
        <f>I35/C35</f>
        <v>8.5462163064031732E-2</v>
      </c>
      <c r="K35" s="7">
        <f>SUM(K4:K34)</f>
        <v>-37781</v>
      </c>
      <c r="L35" s="95">
        <f>K35/C35</f>
        <v>0.1167334050152633</v>
      </c>
      <c r="M35" s="7">
        <f>SUM(M4:M34)</f>
        <v>-6604</v>
      </c>
      <c r="N35" s="95">
        <f>M35/C35</f>
        <v>2.0404632135750743E-2</v>
      </c>
      <c r="O35" s="7">
        <f>SUM(O4:O34)</f>
        <v>-913</v>
      </c>
      <c r="P35" s="95">
        <f>O35/C35</f>
        <v>2.8209311235524574E-3</v>
      </c>
      <c r="Q35" s="7">
        <f>SUM(Q4:Q34)</f>
        <v>-66981</v>
      </c>
      <c r="R35" s="95">
        <f>Q35/C35</f>
        <v>0.20695376515516667</v>
      </c>
      <c r="S35" s="75">
        <f>SUM(S4:S34)</f>
        <v>-251513</v>
      </c>
      <c r="T35" s="95">
        <f>S35/C35</f>
        <v>0.77710936437902434</v>
      </c>
      <c r="U35" s="7">
        <f>SUM(U4:U34)</f>
        <v>-112781</v>
      </c>
      <c r="V35" s="95">
        <f>U35/C35</f>
        <v>0.34846378208693291</v>
      </c>
      <c r="W35" s="7">
        <f>SUM(W4:W34)</f>
        <v>-21005</v>
      </c>
      <c r="X35" s="95">
        <f>W35/C35</f>
        <v>6.4899954271872257E-2</v>
      </c>
      <c r="Y35" s="75">
        <f>SUM(Y4:Y34)</f>
        <v>-792536</v>
      </c>
      <c r="Z35" s="95">
        <f t="shared" si="1"/>
        <v>-203.68439989719866</v>
      </c>
    </row>
    <row r="64" spans="4:4" x14ac:dyDescent="0.25">
      <c r="D64" s="70"/>
    </row>
    <row r="65" spans="4:4" x14ac:dyDescent="0.25">
      <c r="D65" s="70"/>
    </row>
    <row r="66" spans="4:4" x14ac:dyDescent="0.25">
      <c r="D66" s="70"/>
    </row>
    <row r="67" spans="4:4" x14ac:dyDescent="0.25">
      <c r="D67" s="70"/>
    </row>
    <row r="68" spans="4:4" x14ac:dyDescent="0.25">
      <c r="D68" s="70"/>
    </row>
    <row r="69" spans="4:4" x14ac:dyDescent="0.25">
      <c r="D69" s="70"/>
    </row>
    <row r="70" spans="4:4" x14ac:dyDescent="0.25">
      <c r="D70" s="70"/>
    </row>
    <row r="71" spans="4:4" x14ac:dyDescent="0.25">
      <c r="D71" s="70"/>
    </row>
    <row r="72" spans="4:4" x14ac:dyDescent="0.25">
      <c r="D72" s="70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2021-09-16T06:40:44Z</dcterms:modified>
  <cp:category/>
  <cp:contentStatus/>
</cp:coreProperties>
</file>