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R3" i="9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/>
  <c r="AV28" i="7"/>
  <c r="AW28" i="7"/>
  <c r="AV29" i="7"/>
  <c r="R24" i="9"/>
  <c r="G24" i="5"/>
  <c r="AV30" i="7"/>
  <c r="R25" i="9" s="1"/>
  <c r="G25" i="5" s="1"/>
  <c r="AV31" i="7"/>
  <c r="AW31" i="7" s="1"/>
  <c r="AV32" i="7"/>
  <c r="AW32" i="7"/>
  <c r="AV33" i="7"/>
  <c r="AW33" i="7" s="1"/>
  <c r="AV34" i="7"/>
  <c r="AW34" i="7"/>
  <c r="AV35" i="7"/>
  <c r="AW35" i="7" s="1"/>
  <c r="AV10" i="7"/>
  <c r="R5" i="9"/>
  <c r="G5" i="5"/>
  <c r="AV11" i="7"/>
  <c r="AW11" i="7" s="1"/>
  <c r="AV12" i="7"/>
  <c r="AW12" i="7"/>
  <c r="AV13" i="7"/>
  <c r="R8" i="9" s="1"/>
  <c r="G8" i="5" s="1"/>
  <c r="AV14" i="7"/>
  <c r="AW14" i="7" s="1"/>
  <c r="AV15" i="7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/>
  <c r="AV23" i="7"/>
  <c r="AW23" i="7"/>
  <c r="R18" i="9"/>
  <c r="G18" i="5"/>
  <c r="AV24" i="7"/>
  <c r="AW24" i="7"/>
  <c r="AV25" i="7"/>
  <c r="R20" i="9"/>
  <c r="G20" i="5" s="1"/>
  <c r="AV26" i="7"/>
  <c r="AW26" i="7"/>
  <c r="AV9" i="7"/>
  <c r="AW9" i="7" s="1"/>
  <c r="S31" i="9"/>
  <c r="S7" i="7"/>
  <c r="AC36" i="7"/>
  <c r="Q31" i="9"/>
  <c r="AB36" i="7"/>
  <c r="AQ36" i="7" s="1"/>
  <c r="AA36" i="7"/>
  <c r="O31" i="9"/>
  <c r="Z36" i="7"/>
  <c r="N31" i="9" s="1"/>
  <c r="Y36" i="7"/>
  <c r="M31" i="9"/>
  <c r="X36" i="7"/>
  <c r="W36" i="7"/>
  <c r="K31" i="9"/>
  <c r="AL36" i="7"/>
  <c r="V36" i="7"/>
  <c r="AK36" i="7" s="1"/>
  <c r="U36" i="7"/>
  <c r="I31" i="9"/>
  <c r="T36" i="7"/>
  <c r="S36" i="7"/>
  <c r="AH36" i="7"/>
  <c r="R36" i="7"/>
  <c r="AG36" i="7" s="1"/>
  <c r="Q36" i="7"/>
  <c r="AF36" i="7"/>
  <c r="S8" i="7"/>
  <c r="G3" i="9"/>
  <c r="S9" i="7"/>
  <c r="AH9" i="7"/>
  <c r="S10" i="7"/>
  <c r="AH10" i="7"/>
  <c r="S11" i="7"/>
  <c r="AH11" i="7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T9" i="7"/>
  <c r="H4" i="9" s="1"/>
  <c r="U9" i="7"/>
  <c r="I4" i="9"/>
  <c r="AJ9" i="7"/>
  <c r="V9" i="7"/>
  <c r="AK9" i="7" s="1"/>
  <c r="W9" i="7"/>
  <c r="K4" i="9"/>
  <c r="X9" i="7"/>
  <c r="AM9" i="7" s="1"/>
  <c r="Y9" i="7"/>
  <c r="M4" i="9"/>
  <c r="Z9" i="7"/>
  <c r="AO9" i="7" s="1"/>
  <c r="AA9" i="7"/>
  <c r="O4" i="9"/>
  <c r="AB9" i="7"/>
  <c r="P4" i="9" s="1"/>
  <c r="AC9" i="7"/>
  <c r="Q4" i="9"/>
  <c r="R10" i="7"/>
  <c r="F5" i="9" s="1"/>
  <c r="T10" i="7"/>
  <c r="AI10" i="7"/>
  <c r="U10" i="7"/>
  <c r="AJ10" i="7" s="1"/>
  <c r="V10" i="7"/>
  <c r="AK10" i="7"/>
  <c r="W10" i="7"/>
  <c r="K5" i="9" s="1"/>
  <c r="X10" i="7"/>
  <c r="AM10" i="7"/>
  <c r="Y10" i="7"/>
  <c r="AN10" i="7" s="1"/>
  <c r="Z10" i="7"/>
  <c r="N5" i="9"/>
  <c r="AA10" i="7"/>
  <c r="O5" i="9" s="1"/>
  <c r="AB10" i="7"/>
  <c r="AQ10" i="7"/>
  <c r="AC10" i="7"/>
  <c r="Q5" i="9" s="1"/>
  <c r="R11" i="7"/>
  <c r="AG11" i="7"/>
  <c r="T11" i="7"/>
  <c r="H6" i="9" s="1"/>
  <c r="U11" i="7"/>
  <c r="AJ11" i="7"/>
  <c r="V11" i="7"/>
  <c r="AK11" i="7" s="1"/>
  <c r="W11" i="7"/>
  <c r="K6" i="9"/>
  <c r="X11" i="7"/>
  <c r="AM11" i="7" s="1"/>
  <c r="Y11" i="7"/>
  <c r="M6" i="9"/>
  <c r="Z11" i="7"/>
  <c r="N6" i="9" s="1"/>
  <c r="AA11" i="7"/>
  <c r="AP11" i="7"/>
  <c r="AB11" i="7"/>
  <c r="P6" i="9" s="1"/>
  <c r="AC11" i="7"/>
  <c r="Q6" i="9"/>
  <c r="R12" i="7"/>
  <c r="AG12" i="7" s="1"/>
  <c r="T12" i="7"/>
  <c r="H7" i="9" s="1"/>
  <c r="U12" i="7"/>
  <c r="I7" i="9" s="1"/>
  <c r="V12" i="7"/>
  <c r="AK12" i="7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N8" i="9"/>
  <c r="AA13" i="7"/>
  <c r="O8" i="9" s="1"/>
  <c r="AB13" i="7"/>
  <c r="AQ13" i="7" s="1"/>
  <c r="AC13" i="7"/>
  <c r="AR13" i="7" s="1"/>
  <c r="R14" i="7"/>
  <c r="F9" i="9" s="1"/>
  <c r="S14" i="7"/>
  <c r="G9" i="9" s="1"/>
  <c r="T14" i="7"/>
  <c r="U14" i="7"/>
  <c r="AJ14" i="7" s="1"/>
  <c r="V14" i="7"/>
  <c r="AK14" i="7" s="1"/>
  <c r="W14" i="7"/>
  <c r="K9" i="9" s="1"/>
  <c r="X14" i="7"/>
  <c r="L9" i="9" s="1"/>
  <c r="Y14" i="7"/>
  <c r="M9" i="9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X16" i="7"/>
  <c r="AM16" i="7" s="1"/>
  <c r="Y16" i="7"/>
  <c r="AN16" i="7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H12" i="9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AM19" i="7" s="1"/>
  <c r="Y19" i="7"/>
  <c r="AN19" i="7" s="1"/>
  <c r="Z19" i="7"/>
  <c r="N14" i="9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/>
  <c r="Z20" i="7"/>
  <c r="AO20" i="7" s="1"/>
  <c r="AA20" i="7"/>
  <c r="O15" i="9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/>
  <c r="Z22" i="7"/>
  <c r="AA22" i="7"/>
  <c r="O17" i="9" s="1"/>
  <c r="AB22" i="7"/>
  <c r="AQ22" i="7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/>
  <c r="T24" i="7"/>
  <c r="AI24" i="7" s="1"/>
  <c r="U24" i="7"/>
  <c r="I19" i="9"/>
  <c r="V24" i="7"/>
  <c r="W24" i="7"/>
  <c r="K19" i="9"/>
  <c r="X24" i="7"/>
  <c r="AM24" i="7" s="1"/>
  <c r="Y24" i="7"/>
  <c r="AN24" i="7"/>
  <c r="Z24" i="7"/>
  <c r="AA24" i="7"/>
  <c r="AB24" i="7"/>
  <c r="P19" i="9"/>
  <c r="AC24" i="7"/>
  <c r="AR24" i="7" s="1"/>
  <c r="R25" i="7"/>
  <c r="S25" i="7"/>
  <c r="AH25" i="7"/>
  <c r="T25" i="7"/>
  <c r="H20" i="9" s="1"/>
  <c r="U25" i="7"/>
  <c r="AJ25" i="7"/>
  <c r="V25" i="7"/>
  <c r="J20" i="9" s="1"/>
  <c r="W25" i="7"/>
  <c r="AL25" i="7"/>
  <c r="X25" i="7"/>
  <c r="Y25" i="7"/>
  <c r="M20" i="9"/>
  <c r="Z25" i="7"/>
  <c r="AA25" i="7"/>
  <c r="AP25" i="7"/>
  <c r="AB25" i="7"/>
  <c r="AQ25" i="7"/>
  <c r="AC25" i="7"/>
  <c r="AR25" i="7"/>
  <c r="R26" i="7"/>
  <c r="AG26" i="7"/>
  <c r="S26" i="7"/>
  <c r="AH26" i="7"/>
  <c r="T26" i="7"/>
  <c r="U26" i="7"/>
  <c r="I21" i="9" s="1"/>
  <c r="V26" i="7"/>
  <c r="J21" i="9"/>
  <c r="W26" i="7"/>
  <c r="AL26" i="7" s="1"/>
  <c r="X26" i="7"/>
  <c r="L21" i="9"/>
  <c r="Y26" i="7"/>
  <c r="M21" i="9" s="1"/>
  <c r="Z26" i="7"/>
  <c r="AO26" i="7"/>
  <c r="AA26" i="7"/>
  <c r="O21" i="9" s="1"/>
  <c r="AB26" i="7"/>
  <c r="AQ26" i="7"/>
  <c r="AC26" i="7"/>
  <c r="AR26" i="7" s="1"/>
  <c r="R27" i="7"/>
  <c r="AG27" i="7"/>
  <c r="S27" i="7"/>
  <c r="AH27" i="7" s="1"/>
  <c r="T27" i="7"/>
  <c r="H22" i="9"/>
  <c r="U27" i="7"/>
  <c r="I22" i="9" s="1"/>
  <c r="V27" i="7"/>
  <c r="W27" i="7"/>
  <c r="K22" i="9" s="1"/>
  <c r="AL27" i="7"/>
  <c r="X27" i="7"/>
  <c r="Y27" i="7"/>
  <c r="M22" i="9"/>
  <c r="Z27" i="7"/>
  <c r="AO27" i="7" s="1"/>
  <c r="AA27" i="7"/>
  <c r="O22" i="9"/>
  <c r="AB27" i="7"/>
  <c r="AQ27" i="7" s="1"/>
  <c r="AC27" i="7"/>
  <c r="Q22" i="9" s="1"/>
  <c r="R28" i="7"/>
  <c r="F23" i="9"/>
  <c r="S28" i="7"/>
  <c r="G23" i="9" s="1"/>
  <c r="T28" i="7"/>
  <c r="U28" i="7"/>
  <c r="AJ28" i="7"/>
  <c r="V28" i="7"/>
  <c r="W28" i="7"/>
  <c r="K23" i="9"/>
  <c r="X28" i="7"/>
  <c r="L23" i="9"/>
  <c r="Y28" i="7"/>
  <c r="AN28" i="7"/>
  <c r="Z28" i="7"/>
  <c r="AO28" i="7"/>
  <c r="AA28" i="7"/>
  <c r="AB28" i="7"/>
  <c r="AC28" i="7"/>
  <c r="AR28" i="7"/>
  <c r="R29" i="7"/>
  <c r="AG29" i="7"/>
  <c r="S29" i="7"/>
  <c r="G24" i="9"/>
  <c r="T29" i="7"/>
  <c r="AI29" i="7"/>
  <c r="U29" i="7"/>
  <c r="I24" i="9"/>
  <c r="V29" i="7"/>
  <c r="AK29" i="7"/>
  <c r="W29" i="7"/>
  <c r="K24" i="9"/>
  <c r="X29" i="7"/>
  <c r="AM29" i="7"/>
  <c r="Y29" i="7"/>
  <c r="M24" i="9"/>
  <c r="Z29" i="7"/>
  <c r="AA29" i="7"/>
  <c r="AB29" i="7"/>
  <c r="P24" i="9"/>
  <c r="AC29" i="7"/>
  <c r="AR29" i="7"/>
  <c r="R30" i="7"/>
  <c r="AG30" i="7"/>
  <c r="AS30" i="7" s="1"/>
  <c r="S30" i="7"/>
  <c r="G25" i="9"/>
  <c r="T30" i="7"/>
  <c r="AI30" i="7"/>
  <c r="U30" i="7"/>
  <c r="I25" i="9"/>
  <c r="V30" i="7"/>
  <c r="J25" i="9"/>
  <c r="W30" i="7"/>
  <c r="AL30" i="7"/>
  <c r="X30" i="7"/>
  <c r="L25" i="9"/>
  <c r="Y30" i="7"/>
  <c r="Z30" i="7"/>
  <c r="AO30" i="7"/>
  <c r="AA30" i="7"/>
  <c r="AD30" i="7" s="1"/>
  <c r="AB30" i="7"/>
  <c r="AQ30" i="7"/>
  <c r="AC30" i="7"/>
  <c r="Q25" i="9" s="1"/>
  <c r="AR30" i="7"/>
  <c r="R31" i="7"/>
  <c r="F26" i="9"/>
  <c r="S31" i="7"/>
  <c r="AH31" i="7" s="1"/>
  <c r="T31" i="7"/>
  <c r="U31" i="7"/>
  <c r="V31" i="7"/>
  <c r="AK31" i="7"/>
  <c r="W31" i="7"/>
  <c r="X31" i="7"/>
  <c r="L26" i="9"/>
  <c r="Y31" i="7"/>
  <c r="M26" i="9" s="1"/>
  <c r="Z31" i="7"/>
  <c r="N26" i="9"/>
  <c r="AA31" i="7"/>
  <c r="AB31" i="7"/>
  <c r="AQ31" i="7"/>
  <c r="AC31" i="7"/>
  <c r="Q26" i="9" s="1"/>
  <c r="R32" i="7"/>
  <c r="AG32" i="7"/>
  <c r="S32" i="7"/>
  <c r="G27" i="9" s="1"/>
  <c r="T32" i="7"/>
  <c r="AI32" i="7"/>
  <c r="U32" i="7"/>
  <c r="V32" i="7"/>
  <c r="J27" i="9"/>
  <c r="W32" i="7"/>
  <c r="K27" i="9"/>
  <c r="X32" i="7"/>
  <c r="L27" i="9"/>
  <c r="Y32" i="7"/>
  <c r="AN32" i="7" s="1"/>
  <c r="M27" i="9"/>
  <c r="Z32" i="7"/>
  <c r="AO32" i="7"/>
  <c r="AA32" i="7"/>
  <c r="O27" i="9" s="1"/>
  <c r="AP32" i="7"/>
  <c r="AB32" i="7"/>
  <c r="AQ32" i="7"/>
  <c r="AC32" i="7"/>
  <c r="AR32" i="7"/>
  <c r="R33" i="7"/>
  <c r="F28" i="9"/>
  <c r="S33" i="7"/>
  <c r="G28" i="9" s="1"/>
  <c r="T33" i="7"/>
  <c r="U33" i="7"/>
  <c r="I28" i="9"/>
  <c r="V33" i="7"/>
  <c r="J28" i="9" s="1"/>
  <c r="W33" i="7"/>
  <c r="K28" i="9"/>
  <c r="X33" i="7"/>
  <c r="AM33" i="7" s="1"/>
  <c r="Y33" i="7"/>
  <c r="AN33" i="7"/>
  <c r="Z33" i="7"/>
  <c r="AO33" i="7" s="1"/>
  <c r="AA33" i="7"/>
  <c r="AP33" i="7"/>
  <c r="AB33" i="7"/>
  <c r="P28" i="9" s="1"/>
  <c r="AC33" i="7"/>
  <c r="AR33" i="7"/>
  <c r="R34" i="7"/>
  <c r="F29" i="9" s="1"/>
  <c r="E29" i="5" s="1"/>
  <c r="S34" i="7"/>
  <c r="AH34" i="7"/>
  <c r="T34" i="7"/>
  <c r="AI34" i="7"/>
  <c r="U34" i="7"/>
  <c r="AJ34" i="7"/>
  <c r="V34" i="7"/>
  <c r="AK34" i="7"/>
  <c r="W34" i="7"/>
  <c r="AL34" i="7"/>
  <c r="X34" i="7"/>
  <c r="AM34" i="7"/>
  <c r="Y34" i="7"/>
  <c r="M29" i="9"/>
  <c r="Z34" i="7"/>
  <c r="AO34" i="7"/>
  <c r="AA34" i="7"/>
  <c r="O29" i="9" s="1"/>
  <c r="AB34" i="7"/>
  <c r="P29" i="9"/>
  <c r="AC34" i="7"/>
  <c r="R35" i="7"/>
  <c r="AG35" i="7"/>
  <c r="S35" i="7"/>
  <c r="G30" i="9" s="1"/>
  <c r="T35" i="7"/>
  <c r="H30" i="9"/>
  <c r="U35" i="7"/>
  <c r="I30" i="9" s="1"/>
  <c r="V35" i="7"/>
  <c r="J30" i="9"/>
  <c r="W35" i="7"/>
  <c r="K30" i="9"/>
  <c r="X35" i="7"/>
  <c r="AM35" i="7"/>
  <c r="Y35" i="7"/>
  <c r="AN35" i="7"/>
  <c r="Z35" i="7"/>
  <c r="N30" i="9"/>
  <c r="AA35" i="7"/>
  <c r="O30" i="9"/>
  <c r="AB35" i="7"/>
  <c r="P30" i="9"/>
  <c r="AC35" i="7"/>
  <c r="AR35" i="7"/>
  <c r="R8" i="7"/>
  <c r="AG8" i="7"/>
  <c r="T8" i="7"/>
  <c r="AI8" i="7"/>
  <c r="U8" i="7"/>
  <c r="I3" i="9"/>
  <c r="V8" i="7"/>
  <c r="AK8" i="7"/>
  <c r="W8" i="7"/>
  <c r="K3" i="9" s="1"/>
  <c r="X8" i="7"/>
  <c r="L3" i="9"/>
  <c r="Y8" i="7"/>
  <c r="M3" i="9"/>
  <c r="Z8" i="7"/>
  <c r="AO8" i="7"/>
  <c r="AA8" i="7"/>
  <c r="AP8" i="7"/>
  <c r="AB8" i="7"/>
  <c r="AQ8" i="7"/>
  <c r="AC8" i="7"/>
  <c r="AR8" i="7"/>
  <c r="Q3" i="9"/>
  <c r="R7" i="7"/>
  <c r="AG7" i="7" s="1"/>
  <c r="T7" i="7"/>
  <c r="H2" i="9"/>
  <c r="U7" i="7"/>
  <c r="I2" i="9" s="1"/>
  <c r="V7" i="7"/>
  <c r="J2" i="9"/>
  <c r="W7" i="7"/>
  <c r="AL7" i="7" s="1"/>
  <c r="X7" i="7"/>
  <c r="L2" i="9"/>
  <c r="Y7" i="7"/>
  <c r="M2" i="9" s="1"/>
  <c r="Z7" i="7"/>
  <c r="AO7" i="7"/>
  <c r="AA7" i="7"/>
  <c r="AP7" i="7" s="1"/>
  <c r="AB7" i="7"/>
  <c r="P2" i="9"/>
  <c r="AC7" i="7"/>
  <c r="AR7" i="7" s="1"/>
  <c r="Q9" i="7"/>
  <c r="Q10" i="7"/>
  <c r="AF10" i="7" s="1"/>
  <c r="AS10" i="7" s="1"/>
  <c r="Q11" i="7"/>
  <c r="E6" i="9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AF24" i="7"/>
  <c r="AS24" i="7"/>
  <c r="Q25" i="7"/>
  <c r="E20" i="9"/>
  <c r="Q26" i="7"/>
  <c r="E21" i="9" s="1"/>
  <c r="E21" i="5" s="1"/>
  <c r="AF26" i="7"/>
  <c r="Q27" i="7"/>
  <c r="E22" i="9"/>
  <c r="Q28" i="7"/>
  <c r="AF28" i="7" s="1"/>
  <c r="Q29" i="7"/>
  <c r="AF29" i="7"/>
  <c r="Q30" i="7"/>
  <c r="E25" i="9"/>
  <c r="Q31" i="7"/>
  <c r="E26" i="9"/>
  <c r="Q32" i="7"/>
  <c r="Q33" i="7"/>
  <c r="AF33" i="7"/>
  <c r="Q34" i="7"/>
  <c r="E29" i="9"/>
  <c r="Q35" i="7"/>
  <c r="Q8" i="7"/>
  <c r="E3" i="9" s="1"/>
  <c r="E3" i="5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AN22" i="7"/>
  <c r="X23" i="7"/>
  <c r="AM23" i="7" s="1"/>
  <c r="AH32" i="7"/>
  <c r="AC22" i="7"/>
  <c r="Q17" i="9"/>
  <c r="AC23" i="7"/>
  <c r="Q18" i="9" s="1"/>
  <c r="X22" i="7"/>
  <c r="L17" i="9"/>
  <c r="AK20" i="7"/>
  <c r="AH22" i="7"/>
  <c r="P27" i="9"/>
  <c r="AI25" i="7"/>
  <c r="AG23" i="7"/>
  <c r="R28" i="9"/>
  <c r="G28" i="5"/>
  <c r="F20" i="9"/>
  <c r="AG25" i="7"/>
  <c r="N23" i="9"/>
  <c r="N28" i="9"/>
  <c r="AO36" i="7"/>
  <c r="T20" i="7"/>
  <c r="T21" i="7"/>
  <c r="AI21" i="7" s="1"/>
  <c r="F22" i="9"/>
  <c r="G21" i="9"/>
  <c r="AP27" i="7"/>
  <c r="AW17" i="7"/>
  <c r="G18" i="9"/>
  <c r="M19" i="9"/>
  <c r="AR22" i="7"/>
  <c r="F25" i="9"/>
  <c r="AG21" i="7"/>
  <c r="AN20" i="7"/>
  <c r="L4" i="9"/>
  <c r="K21" i="9"/>
  <c r="AG19" i="7"/>
  <c r="I27" i="9"/>
  <c r="AG31" i="7"/>
  <c r="K29" i="9"/>
  <c r="J29" i="9"/>
  <c r="Q30" i="9"/>
  <c r="O6" i="9"/>
  <c r="AP20" i="7"/>
  <c r="AW25" i="7"/>
  <c r="J24" i="9"/>
  <c r="AK26" i="7"/>
  <c r="O20" i="9"/>
  <c r="H29" i="9"/>
  <c r="AJ35" i="7"/>
  <c r="AO31" i="7"/>
  <c r="AH21" i="7"/>
  <c r="AO11" i="7"/>
  <c r="AL10" i="7"/>
  <c r="H26" i="9"/>
  <c r="AI31" i="7"/>
  <c r="G22" i="9"/>
  <c r="AK25" i="7"/>
  <c r="N19" i="9"/>
  <c r="AO24" i="7"/>
  <c r="AL21" i="7"/>
  <c r="M23" i="9"/>
  <c r="F21" i="9"/>
  <c r="AQ24" i="7"/>
  <c r="R19" i="9"/>
  <c r="G19" i="5"/>
  <c r="K26" i="9"/>
  <c r="AL31" i="7"/>
  <c r="AJ30" i="7"/>
  <c r="I15" i="9"/>
  <c r="K7" i="9"/>
  <c r="AN27" i="7"/>
  <c r="AM7" i="7"/>
  <c r="R27" i="9"/>
  <c r="G27" i="5"/>
  <c r="R22" i="9"/>
  <c r="G22" i="5"/>
  <c r="R29" i="9"/>
  <c r="G29" i="5"/>
  <c r="N25" i="9"/>
  <c r="L19" i="9"/>
  <c r="L29" i="9"/>
  <c r="AG15" i="7"/>
  <c r="AL19" i="7"/>
  <c r="AF30" i="7"/>
  <c r="F14" i="9"/>
  <c r="O28" i="9"/>
  <c r="AM22" i="7"/>
  <c r="AL28" i="7"/>
  <c r="F19" i="9"/>
  <c r="AN9" i="7"/>
  <c r="AN36" i="7"/>
  <c r="AN25" i="7"/>
  <c r="F31" i="9"/>
  <c r="I29" i="9"/>
  <c r="AO29" i="7"/>
  <c r="AN21" i="7"/>
  <c r="AI14" i="7"/>
  <c r="L5" i="9"/>
  <c r="AP10" i="7"/>
  <c r="AR12" i="7"/>
  <c r="AN14" i="7"/>
  <c r="H9" i="9"/>
  <c r="N12" i="9"/>
  <c r="K12" i="9"/>
  <c r="AK17" i="7"/>
  <c r="AR34" i="7"/>
  <c r="Q29" i="9"/>
  <c r="P17" i="9"/>
  <c r="AH28" i="7"/>
  <c r="R10" i="9"/>
  <c r="G10" i="5" s="1"/>
  <c r="AW15" i="7"/>
  <c r="AK30" i="7"/>
  <c r="AL29" i="7"/>
  <c r="J22" i="9"/>
  <c r="AK27" i="7"/>
  <c r="K20" i="9"/>
  <c r="K11" i="9"/>
  <c r="AL16" i="7"/>
  <c r="AP13" i="7"/>
  <c r="H23" i="9"/>
  <c r="AI28" i="7"/>
  <c r="N22" i="9"/>
  <c r="AH30" i="7"/>
  <c r="AN30" i="7"/>
  <c r="M25" i="9"/>
  <c r="H21" i="9"/>
  <c r="AP36" i="7"/>
  <c r="AH15" i="7"/>
  <c r="AN11" i="7"/>
  <c r="L28" i="9"/>
  <c r="AP35" i="7"/>
  <c r="O19" i="9"/>
  <c r="AG34" i="7"/>
  <c r="AS34" i="7" s="1"/>
  <c r="L22" i="9"/>
  <c r="AM27" i="7"/>
  <c r="AJ27" i="7"/>
  <c r="I17" i="9"/>
  <c r="I9" i="9"/>
  <c r="H5" i="9"/>
  <c r="AQ9" i="7"/>
  <c r="J13" i="9"/>
  <c r="AO19" i="7"/>
  <c r="K14" i="9"/>
  <c r="AI19" i="7"/>
  <c r="AR20" i="7"/>
  <c r="AK19" i="7"/>
  <c r="AQ21" i="7"/>
  <c r="N15" i="9"/>
  <c r="F15" i="9"/>
  <c r="R17" i="9"/>
  <c r="G17" i="5"/>
  <c r="L16" i="9"/>
  <c r="P18" i="9"/>
  <c r="AP23" i="7"/>
  <c r="H18" i="9"/>
  <c r="F17" i="9"/>
  <c r="AN23" i="7"/>
  <c r="E19" i="9"/>
  <c r="Q20" i="9"/>
  <c r="Q19" i="9"/>
  <c r="AP24" i="7"/>
  <c r="AL24" i="7"/>
  <c r="AK24" i="7"/>
  <c r="J19" i="9"/>
  <c r="AD24" i="7"/>
  <c r="AJ24" i="7"/>
  <c r="G19" i="9"/>
  <c r="Q21" i="9"/>
  <c r="P20" i="9"/>
  <c r="AN26" i="7"/>
  <c r="AM26" i="7"/>
  <c r="AJ26" i="7"/>
  <c r="AI26" i="7"/>
  <c r="G20" i="9"/>
  <c r="AF25" i="7"/>
  <c r="P21" i="9"/>
  <c r="N21" i="9"/>
  <c r="Q23" i="9"/>
  <c r="AM28" i="7"/>
  <c r="AI27" i="7"/>
  <c r="AF27" i="7"/>
  <c r="R23" i="9"/>
  <c r="G23" i="5"/>
  <c r="Q24" i="9"/>
  <c r="O23" i="9"/>
  <c r="AP28" i="7"/>
  <c r="O24" i="9"/>
  <c r="AJ29" i="7"/>
  <c r="H24" i="9"/>
  <c r="AH29" i="7"/>
  <c r="AS29" i="7" s="1"/>
  <c r="E24" i="9"/>
  <c r="E23" i="9"/>
  <c r="AQ29" i="7"/>
  <c r="AP29" i="7"/>
  <c r="N24" i="9"/>
  <c r="AN29" i="7"/>
  <c r="H25" i="9"/>
  <c r="F24" i="9"/>
  <c r="AD29" i="7"/>
  <c r="R26" i="9"/>
  <c r="G26" i="5" s="1"/>
  <c r="Q27" i="9"/>
  <c r="AR31" i="7"/>
  <c r="AP30" i="7"/>
  <c r="N27" i="9"/>
  <c r="AM32" i="7"/>
  <c r="AM30" i="7"/>
  <c r="AK32" i="7"/>
  <c r="J26" i="9"/>
  <c r="AJ32" i="7"/>
  <c r="G26" i="9"/>
  <c r="AF31" i="7"/>
  <c r="Q28" i="9"/>
  <c r="AL32" i="7"/>
  <c r="AS32" i="7" s="1"/>
  <c r="AL33" i="7"/>
  <c r="AK33" i="7"/>
  <c r="AG33" i="7"/>
  <c r="F27" i="9"/>
  <c r="E27" i="5" s="1"/>
  <c r="E27" i="9"/>
  <c r="AF32" i="7"/>
  <c r="AQ34" i="7"/>
  <c r="AQ33" i="7"/>
  <c r="M28" i="9"/>
  <c r="AJ33" i="7"/>
  <c r="E28" i="9"/>
  <c r="AP34" i="7"/>
  <c r="AO35" i="7"/>
  <c r="N29" i="9"/>
  <c r="L30" i="9"/>
  <c r="AH35" i="7"/>
  <c r="G29" i="9"/>
  <c r="F30" i="9"/>
  <c r="R30" i="9"/>
  <c r="G30" i="5" s="1"/>
  <c r="AR36" i="7"/>
  <c r="M30" i="9"/>
  <c r="AL35" i="7"/>
  <c r="AK35" i="7"/>
  <c r="J31" i="9"/>
  <c r="E31" i="9"/>
  <c r="P31" i="9"/>
  <c r="G31" i="9"/>
  <c r="AW29" i="7"/>
  <c r="AW10" i="7"/>
  <c r="R21" i="9"/>
  <c r="G21" i="5" s="1"/>
  <c r="AG28" i="7"/>
  <c r="AO18" i="7"/>
  <c r="AJ36" i="7"/>
  <c r="AQ35" i="7"/>
  <c r="P26" i="9"/>
  <c r="AN34" i="7"/>
  <c r="K25" i="9"/>
  <c r="AG10" i="7"/>
  <c r="I23" i="9"/>
  <c r="G5" i="9"/>
  <c r="P22" i="9"/>
  <c r="E22" i="5"/>
  <c r="AQ28" i="7"/>
  <c r="P23" i="9"/>
  <c r="AD34" i="7"/>
  <c r="I20" i="9"/>
  <c r="AI35" i="7"/>
  <c r="AF34" i="7"/>
  <c r="AD32" i="7"/>
  <c r="AM31" i="7"/>
  <c r="AN8" i="7"/>
  <c r="L24" i="9"/>
  <c r="E24" i="5"/>
  <c r="P25" i="9"/>
  <c r="H27" i="9"/>
  <c r="M10" i="9"/>
  <c r="H19" i="9"/>
  <c r="E19" i="5" s="1"/>
  <c r="AR9" i="7"/>
  <c r="AM8" i="7"/>
  <c r="AI9" i="7"/>
  <c r="AR10" i="7"/>
  <c r="I5" i="9"/>
  <c r="M5" i="9"/>
  <c r="R7" i="9"/>
  <c r="G7" i="5"/>
  <c r="AL11" i="7"/>
  <c r="J7" i="9"/>
  <c r="AF11" i="7"/>
  <c r="AW13" i="7"/>
  <c r="P8" i="9"/>
  <c r="AO12" i="7"/>
  <c r="AJ12" i="7"/>
  <c r="AL14" i="7"/>
  <c r="J8" i="9"/>
  <c r="G13" i="9"/>
  <c r="M11" i="9"/>
  <c r="G12" i="9"/>
  <c r="Q10" i="9"/>
  <c r="Q11" i="9"/>
  <c r="AJ15" i="7"/>
  <c r="R11" i="9"/>
  <c r="G11" i="5" s="1"/>
  <c r="P9" i="9"/>
  <c r="O9" i="9"/>
  <c r="AK15" i="7"/>
  <c r="J10" i="9"/>
  <c r="E9" i="9"/>
  <c r="Q2" i="9"/>
  <c r="AI7" i="7"/>
  <c r="R6" i="9"/>
  <c r="G6" i="5"/>
  <c r="AW19" i="7"/>
  <c r="L11" i="9"/>
  <c r="AP9" i="7"/>
  <c r="O2" i="9"/>
  <c r="J5" i="9"/>
  <c r="F11" i="9"/>
  <c r="G4" i="9"/>
  <c r="F4" i="9"/>
  <c r="E4" i="5" s="1"/>
  <c r="AG9" i="7"/>
  <c r="J4" i="9"/>
  <c r="AQ19" i="7"/>
  <c r="K2" i="9"/>
  <c r="AG18" i="7"/>
  <c r="AM12" i="7"/>
  <c r="AQ17" i="7"/>
  <c r="P10" i="9"/>
  <c r="AN7" i="7"/>
  <c r="AL9" i="7"/>
  <c r="AR18" i="7"/>
  <c r="N2" i="9"/>
  <c r="AK7" i="7"/>
  <c r="J3" i="9"/>
  <c r="AJ7" i="7"/>
  <c r="H3" i="9"/>
  <c r="AH8" i="7"/>
  <c r="F3" i="9"/>
  <c r="AD7" i="7"/>
  <c r="AQ7" i="7"/>
  <c r="R4" i="9"/>
  <c r="G4" i="5"/>
  <c r="P3" i="9"/>
  <c r="O3" i="9"/>
  <c r="N3" i="9"/>
  <c r="AL8" i="7"/>
  <c r="AF8" i="7"/>
  <c r="AS8" i="7" s="1"/>
  <c r="AF9" i="7"/>
  <c r="AS9" i="7" s="1"/>
  <c r="E4" i="9"/>
  <c r="AJ8" i="7"/>
  <c r="AR11" i="7"/>
  <c r="AN12" i="7"/>
  <c r="AI11" i="7"/>
  <c r="AS11" i="7" s="1"/>
  <c r="AH12" i="7"/>
  <c r="P5" i="9"/>
  <c r="AQ11" i="7"/>
  <c r="L6" i="9"/>
  <c r="I6" i="9"/>
  <c r="G6" i="9"/>
  <c r="F6" i="9"/>
  <c r="AD11" i="7"/>
  <c r="N4" i="9"/>
  <c r="AO10" i="7"/>
  <c r="AD9" i="7"/>
  <c r="AD10" i="7"/>
  <c r="AI12" i="7"/>
  <c r="AI13" i="7"/>
  <c r="AR23" i="7" l="1"/>
  <c r="AS23" i="7" s="1"/>
  <c r="AO23" i="7"/>
  <c r="L18" i="9"/>
  <c r="AL23" i="7"/>
  <c r="J18" i="9"/>
  <c r="I18" i="9"/>
  <c r="E17" i="9"/>
  <c r="E18" i="9"/>
  <c r="E18" i="5" s="1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AS21" i="7" s="1"/>
  <c r="H16" i="9"/>
  <c r="AD21" i="7"/>
  <c r="E15" i="9"/>
  <c r="E16" i="9"/>
  <c r="L14" i="9"/>
  <c r="K15" i="9"/>
  <c r="AQ18" i="7"/>
  <c r="O13" i="9"/>
  <c r="AP19" i="7"/>
  <c r="M14" i="9"/>
  <c r="AJ19" i="7"/>
  <c r="AJ38" i="7" s="1"/>
  <c r="AJ18" i="7"/>
  <c r="E14" i="5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E9" i="5"/>
  <c r="R9" i="9"/>
  <c r="G9" i="5" s="1"/>
  <c r="AC38" i="7"/>
  <c r="Q8" i="9"/>
  <c r="AQ12" i="7"/>
  <c r="M8" i="9"/>
  <c r="AM13" i="7"/>
  <c r="AS12" i="7"/>
  <c r="AG13" i="7"/>
  <c r="AG38" i="7" s="1"/>
  <c r="F7" i="9"/>
  <c r="AS13" i="7"/>
  <c r="E8" i="9"/>
  <c r="E8" i="5" s="1"/>
  <c r="AD13" i="7"/>
  <c r="AN38" i="7"/>
  <c r="AS31" i="7"/>
  <c r="E2" i="5"/>
  <c r="AS26" i="7"/>
  <c r="AS14" i="7"/>
  <c r="AJ31" i="7"/>
  <c r="I26" i="9"/>
  <c r="AM25" i="7"/>
  <c r="L20" i="9"/>
  <c r="E20" i="5" s="1"/>
  <c r="H10" i="9"/>
  <c r="AI15" i="7"/>
  <c r="H31" i="9"/>
  <c r="AI36" i="7"/>
  <c r="AS36" i="7" s="1"/>
  <c r="U38" i="7"/>
  <c r="AA38" i="7"/>
  <c r="Y38" i="7"/>
  <c r="AD23" i="7"/>
  <c r="AD36" i="7"/>
  <c r="AP26" i="7"/>
  <c r="AP38" i="7" s="1"/>
  <c r="AI33" i="7"/>
  <c r="H28" i="9"/>
  <c r="E28" i="5" s="1"/>
  <c r="J23" i="9"/>
  <c r="E23" i="5" s="1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W36" i="7"/>
  <c r="AR19" i="7"/>
  <c r="H15" i="9"/>
  <c r="AI20" i="7"/>
  <c r="AF35" i="7"/>
  <c r="AS35" i="7" s="1"/>
  <c r="E30" i="9"/>
  <c r="E30" i="5" s="1"/>
  <c r="AD35" i="7"/>
  <c r="O26" i="9"/>
  <c r="AP31" i="7"/>
  <c r="AO22" i="7"/>
  <c r="AS22" i="7" s="1"/>
  <c r="N17" i="9"/>
  <c r="K13" i="9"/>
  <c r="E13" i="5" s="1"/>
  <c r="AL18" i="7"/>
  <c r="AL38" i="7" s="1"/>
  <c r="AO16" i="7"/>
  <c r="N11" i="9"/>
  <c r="AR17" i="7"/>
  <c r="Q12" i="9"/>
  <c r="AH7" i="7"/>
  <c r="G2" i="9"/>
  <c r="AW18" i="7"/>
  <c r="AW38" i="7" s="1"/>
  <c r="R13" i="9"/>
  <c r="G13" i="5" s="1"/>
  <c r="S38" i="7"/>
  <c r="AV38" i="7"/>
  <c r="Z38" i="7"/>
  <c r="AD19" i="7"/>
  <c r="AO25" i="7"/>
  <c r="N20" i="9"/>
  <c r="AH20" i="7"/>
  <c r="G15" i="9"/>
  <c r="Q38" i="7"/>
  <c r="E5" i="9"/>
  <c r="E5" i="5" s="1"/>
  <c r="AD18" i="7"/>
  <c r="AF7" i="7"/>
  <c r="AO14" i="7"/>
  <c r="AD25" i="7"/>
  <c r="AD20" i="7"/>
  <c r="AD28" i="7"/>
  <c r="AD33" i="7"/>
  <c r="O25" i="9"/>
  <c r="E25" i="5" s="1"/>
  <c r="AW30" i="7"/>
  <c r="AD26" i="7"/>
  <c r="AR27" i="7"/>
  <c r="AS27" i="7" s="1"/>
  <c r="AH33" i="7"/>
  <c r="AS33" i="7" s="1"/>
  <c r="F12" i="9"/>
  <c r="E12" i="5" s="1"/>
  <c r="AM14" i="7"/>
  <c r="AN31" i="7"/>
  <c r="E10" i="9"/>
  <c r="AF15" i="7"/>
  <c r="L15" i="9"/>
  <c r="AM20" i="7"/>
  <c r="L31" i="9"/>
  <c r="AM36" i="7"/>
  <c r="AH19" i="7"/>
  <c r="O7" i="9"/>
  <c r="L10" i="9"/>
  <c r="J6" i="9"/>
  <c r="E6" i="5" s="1"/>
  <c r="E17" i="5" l="1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<sst xmlns="http://schemas.openxmlformats.org/spreadsheetml/2006/main" count="127" uniqueCount="49">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</sst>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7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6" fillId="0" borderId="0" xfId="0" applyFont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1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80260</v>
      </c>
      <c r="F2" s="11">
        <v>5.0000000000000001E-3</v>
      </c>
      <c r="G2" s="12">
        <f>Submetering!R2</f>
        <v>1027.7388149999999</v>
      </c>
      <c r="H2" s="11">
        <v>0.52800000000000002</v>
      </c>
      <c r="I2" s="12">
        <f>Hotel!B7</f>
        <v>144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80770</v>
      </c>
      <c r="F3" s="11">
        <v>5.0000000000000001E-3</v>
      </c>
      <c r="G3" s="12">
        <f>Submetering!R3</f>
        <v>1041.3662909999998</v>
      </c>
      <c r="H3" s="11">
        <v>0.52800000000000002</v>
      </c>
      <c r="I3" s="12">
        <f>Hotel!B8</f>
        <v>166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10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87160</v>
      </c>
      <c r="F4" s="11">
        <v>5.0000000000000001E-3</v>
      </c>
      <c r="G4" s="12">
        <f>Submetering!R4</f>
        <v>1141.301115</v>
      </c>
      <c r="H4" s="11">
        <v>0.52800000000000002</v>
      </c>
      <c r="I4" s="12">
        <f>Hotel!B9</f>
        <v>166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84050</v>
      </c>
      <c r="F5" s="11">
        <v>5.0000000000000001E-3</v>
      </c>
      <c r="G5" s="12">
        <f>Submetering!R5</f>
        <v>842.63226600000007</v>
      </c>
      <c r="H5" s="11">
        <v>0.52800000000000002</v>
      </c>
      <c r="I5" s="12">
        <f>Hotel!B10</f>
        <v>214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82630</v>
      </c>
      <c r="F6" s="11">
        <v>5.0000000000000001E-3</v>
      </c>
      <c r="G6" s="12">
        <f>Submetering!R6</f>
        <v>1036.445258</v>
      </c>
      <c r="H6" s="11">
        <v>0.52800000000000002</v>
      </c>
      <c r="I6" s="12">
        <f>Hotel!B11</f>
        <v>118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79860</v>
      </c>
      <c r="F7" s="11">
        <v>5.0000000000000001E-3</v>
      </c>
      <c r="G7" s="12">
        <f>Submetering!R7</f>
        <v>983.07097700000008</v>
      </c>
      <c r="H7" s="11">
        <v>0.52800000000000002</v>
      </c>
      <c r="I7" s="12">
        <f>Hotel!B12</f>
        <v>119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84170</v>
      </c>
      <c r="F8" s="11">
        <v>5.0000000000000001E-3</v>
      </c>
      <c r="G8" s="12">
        <f>Submetering!R8</f>
        <v>512.16597300000001</v>
      </c>
      <c r="H8" s="11">
        <v>0.52800000000000002</v>
      </c>
      <c r="I8" s="12">
        <f>Hotel!B13</f>
        <v>107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87300</v>
      </c>
      <c r="F9" s="11">
        <v>5.0000000000000001E-3</v>
      </c>
      <c r="G9" s="12">
        <f>Submetering!R9</f>
        <v>1200.7320520000001</v>
      </c>
      <c r="H9" s="11">
        <v>0.52800000000000002</v>
      </c>
      <c r="I9" s="12">
        <f>Hotel!B14</f>
        <v>117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80550</v>
      </c>
      <c r="F10" s="11">
        <v>5.0000000000000001E-3</v>
      </c>
      <c r="G10" s="12">
        <f>Submetering!R10</f>
        <v>904.71298999999999</v>
      </c>
      <c r="H10" s="11">
        <v>0.52800000000000002</v>
      </c>
      <c r="I10" s="12">
        <f>Hotel!B15</f>
        <v>148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84190</v>
      </c>
      <c r="F11" s="11">
        <v>5.0000000000000001E-3</v>
      </c>
      <c r="G11" s="12">
        <f>Submetering!R11</f>
        <v>1179.9122969999999</v>
      </c>
      <c r="H11" s="11">
        <v>0.52800000000000002</v>
      </c>
      <c r="I11" s="12">
        <f>Hotel!B16</f>
        <v>279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83780</v>
      </c>
      <c r="F12" s="11">
        <v>5.0000000000000001E-3</v>
      </c>
      <c r="G12" s="12">
        <f>Submetering!R12</f>
        <v>677.20984899999996</v>
      </c>
      <c r="H12" s="11">
        <v>0.52800000000000002</v>
      </c>
      <c r="I12" s="12">
        <f>Hotel!B17</f>
        <v>280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85830</v>
      </c>
      <c r="F13" s="11">
        <v>5.0000000000000001E-3</v>
      </c>
      <c r="G13" s="12">
        <f>Submetering!R13</f>
        <v>1257.5132020000001</v>
      </c>
      <c r="H13" s="11">
        <v>0.52800000000000002</v>
      </c>
      <c r="I13" s="12">
        <f>Hotel!B18</f>
        <v>139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80510</v>
      </c>
      <c r="F14" s="11">
        <v>5.0000000000000001E-3</v>
      </c>
      <c r="G14" s="12">
        <f>Submetering!R14</f>
        <v>917.96192499999995</v>
      </c>
      <c r="H14" s="11">
        <v>0.52800000000000002</v>
      </c>
      <c r="I14" s="12">
        <f>Hotel!B19</f>
        <v>122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75340</v>
      </c>
      <c r="F15" s="11">
        <v>5.0000000000000001E-3</v>
      </c>
      <c r="G15" s="12">
        <f>Submetering!R15</f>
        <v>853.6099549999999</v>
      </c>
      <c r="H15" s="11">
        <v>0.52800000000000002</v>
      </c>
      <c r="I15" s="12">
        <f>Hotel!B20</f>
        <v>168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80340</v>
      </c>
      <c r="F16" s="11">
        <v>5.0000000000000001E-3</v>
      </c>
      <c r="G16" s="12">
        <f>Submetering!R16</f>
        <v>1082.62726</v>
      </c>
      <c r="H16" s="11">
        <v>0.52800000000000002</v>
      </c>
      <c r="I16" s="12">
        <f>Hotel!B21</f>
        <v>176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78540</v>
      </c>
      <c r="F17" s="11">
        <v>5.0000000000000001E-3</v>
      </c>
      <c r="G17" s="12">
        <f>Submetering!R17</f>
        <v>945.97395900000004</v>
      </c>
      <c r="H17" s="11">
        <v>0.52800000000000002</v>
      </c>
      <c r="I17" s="12">
        <f>Hotel!B22</f>
        <v>190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1.0049999999999999</v>
      </c>
      <c r="G31" s="12">
        <f>Submetering!R31</f>
        <v>0</v>
      </c>
      <c r="H31" s="11">
        <v>1.528</v>
      </c>
      <c r="I31" s="12">
        <f>Hotel!B36</f>
        <v>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10480</v>
      </c>
      <c r="F2" s="4">
        <f>Hotel!R7</f>
        <v>13910</v>
      </c>
      <c r="G2" s="4">
        <f>Hotel!S7</f>
        <v>1250</v>
      </c>
      <c r="H2" s="4">
        <f>Hotel!T7</f>
        <v>5840</v>
      </c>
      <c r="I2" s="4">
        <f>Hotel!U7</f>
        <v>4950</v>
      </c>
      <c r="J2" s="4">
        <f>Hotel!V7</f>
        <v>4380</v>
      </c>
      <c r="K2" s="4">
        <f>Hotel!W7</f>
        <v>3110</v>
      </c>
      <c r="L2" s="4">
        <f>Hotel!X7</f>
        <v>4980</v>
      </c>
      <c r="M2" s="4">
        <f>Hotel!Y7</f>
        <v>5660</v>
      </c>
      <c r="N2" s="4">
        <f>Hotel!Z7</f>
        <v>2950</v>
      </c>
      <c r="O2" s="4">
        <f>Hotel!AA7</f>
        <v>3090</v>
      </c>
      <c r="P2" s="4">
        <f>Hotel!AB7</f>
        <v>7610</v>
      </c>
      <c r="Q2" s="4">
        <f>Hotel!AC7</f>
        <v>12050</v>
      </c>
      <c r="R2" s="4">
        <f>Hotel!AV7*0.00378541*100</f>
        <v>1027.7388149999999</v>
      </c>
      <c r="S2" s="4">
        <f>Hotel!B7</f>
        <v>144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11090</v>
      </c>
      <c r="F3" s="4">
        <f>Hotel!R8</f>
        <v>15200</v>
      </c>
      <c r="G3" s="4">
        <f>Hotel!S8</f>
        <v>330</v>
      </c>
      <c r="H3" s="4">
        <f>Hotel!T8</f>
        <v>5530</v>
      </c>
      <c r="I3" s="4">
        <f>Hotel!U8</f>
        <v>4880</v>
      </c>
      <c r="J3" s="4">
        <f>Hotel!V8</f>
        <v>4340</v>
      </c>
      <c r="K3" s="4">
        <f>Hotel!W8</f>
        <v>3270</v>
      </c>
      <c r="L3" s="4">
        <f>Hotel!X8</f>
        <v>4870</v>
      </c>
      <c r="M3" s="4">
        <f>Hotel!Y8</f>
        <v>6020</v>
      </c>
      <c r="N3" s="4">
        <f>Hotel!Z8</f>
        <v>2930</v>
      </c>
      <c r="O3" s="4">
        <f>Hotel!AA8</f>
        <v>3160</v>
      </c>
      <c r="P3" s="4">
        <f>Hotel!AB8</f>
        <v>7400</v>
      </c>
      <c r="Q3" s="4">
        <f>Hotel!AC8</f>
        <v>11750</v>
      </c>
      <c r="R3" s="4">
        <f>Hotel!AV8*0.00378541*100</f>
        <v>1041.3662909999998</v>
      </c>
      <c r="S3" s="4">
        <f>Hotel!B8</f>
        <v>166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11840</v>
      </c>
      <c r="F4" s="4">
        <f>Hotel!R9</f>
        <v>16050</v>
      </c>
      <c r="G4" s="4">
        <f>Hotel!S9</f>
        <v>280</v>
      </c>
      <c r="H4" s="4">
        <f>Hotel!T9</f>
        <v>5700</v>
      </c>
      <c r="I4" s="4">
        <f>Hotel!U9</f>
        <v>5470</v>
      </c>
      <c r="J4" s="4">
        <f>Hotel!V9</f>
        <v>4500</v>
      </c>
      <c r="K4" s="4">
        <f>Hotel!W9</f>
        <v>3880</v>
      </c>
      <c r="L4" s="4">
        <f>Hotel!X9</f>
        <v>4990</v>
      </c>
      <c r="M4" s="4">
        <f>Hotel!Y9</f>
        <v>6380</v>
      </c>
      <c r="N4" s="4">
        <f>Hotel!Z9</f>
        <v>3160</v>
      </c>
      <c r="O4" s="4">
        <f>Hotel!AA9</f>
        <v>3610</v>
      </c>
      <c r="P4" s="4">
        <f>Hotel!AB9</f>
        <v>7730</v>
      </c>
      <c r="Q4" s="4">
        <f>Hotel!AC9</f>
        <v>13570</v>
      </c>
      <c r="R4" s="4">
        <f>Hotel!AV9*0.00378541*100</f>
        <v>1141.301115</v>
      </c>
      <c r="S4" s="4">
        <f>Hotel!B9</f>
        <v>166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10950</v>
      </c>
      <c r="F5" s="4">
        <f>Hotel!R10</f>
        <v>14980</v>
      </c>
      <c r="G5" s="4">
        <f>Hotel!S10</f>
        <v>2320</v>
      </c>
      <c r="H5" s="4">
        <f>Hotel!T10</f>
        <v>5830</v>
      </c>
      <c r="I5" s="4">
        <f>Hotel!U10</f>
        <v>5480</v>
      </c>
      <c r="J5" s="4">
        <f>Hotel!V10</f>
        <v>4310</v>
      </c>
      <c r="K5" s="4">
        <f>Hotel!W10</f>
        <v>3310</v>
      </c>
      <c r="L5" s="4">
        <f>Hotel!X10</f>
        <v>4820</v>
      </c>
      <c r="M5" s="4">
        <f>Hotel!Y10</f>
        <v>6250</v>
      </c>
      <c r="N5" s="4">
        <f>Hotel!Z10</f>
        <v>3060</v>
      </c>
      <c r="O5" s="4">
        <f>Hotel!AA10</f>
        <v>3440</v>
      </c>
      <c r="P5" s="4">
        <f>Hotel!AB10</f>
        <v>7390</v>
      </c>
      <c r="Q5" s="4">
        <f>Hotel!AC10</f>
        <v>11910</v>
      </c>
      <c r="R5" s="4">
        <f>Hotel!AV10*0.00378541*100</f>
        <v>842.63226600000007</v>
      </c>
      <c r="S5" s="4">
        <f>Hotel!B10</f>
        <v>214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10430</v>
      </c>
      <c r="F6" s="4">
        <f>Hotel!R11</f>
        <v>14530</v>
      </c>
      <c r="G6" s="4">
        <f>Hotel!S11</f>
        <v>540</v>
      </c>
      <c r="H6" s="4">
        <f>Hotel!T11</f>
        <v>4940</v>
      </c>
      <c r="I6" s="4">
        <f>Hotel!U11</f>
        <v>5290</v>
      </c>
      <c r="J6" s="4">
        <f>Hotel!V11</f>
        <v>4320</v>
      </c>
      <c r="K6" s="4">
        <f>Hotel!W11</f>
        <v>3350</v>
      </c>
      <c r="L6" s="4">
        <f>Hotel!X11</f>
        <v>4790</v>
      </c>
      <c r="M6" s="4">
        <f>Hotel!Y11</f>
        <v>6350</v>
      </c>
      <c r="N6" s="4">
        <f>Hotel!Z11</f>
        <v>2980</v>
      </c>
      <c r="O6" s="4">
        <f>Hotel!AA11</f>
        <v>3510</v>
      </c>
      <c r="P6" s="4">
        <f>Hotel!AB11</f>
        <v>7450</v>
      </c>
      <c r="Q6" s="4">
        <f>Hotel!AC11</f>
        <v>14150</v>
      </c>
      <c r="R6" s="4">
        <f>Hotel!AV11*0.00378541*100</f>
        <v>1036.445258</v>
      </c>
      <c r="S6" s="4">
        <f>Hotel!B11</f>
        <v>118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10320</v>
      </c>
      <c r="F7" s="4">
        <f>Hotel!R12</f>
        <v>14590</v>
      </c>
      <c r="G7" s="4">
        <f>Hotel!S12</f>
        <v>180</v>
      </c>
      <c r="H7" s="4">
        <f>Hotel!T12</f>
        <v>5100</v>
      </c>
      <c r="I7" s="4">
        <f>Hotel!U12</f>
        <v>5130</v>
      </c>
      <c r="J7" s="4">
        <f>Hotel!V12</f>
        <v>4220</v>
      </c>
      <c r="K7" s="4">
        <f>Hotel!W12</f>
        <v>2990</v>
      </c>
      <c r="L7" s="4">
        <f>Hotel!X12</f>
        <v>4890</v>
      </c>
      <c r="M7" s="4">
        <f>Hotel!Y12</f>
        <v>6060</v>
      </c>
      <c r="N7" s="4">
        <f>Hotel!Z12</f>
        <v>2800</v>
      </c>
      <c r="O7" s="4">
        <f>Hotel!AA12</f>
        <v>3320</v>
      </c>
      <c r="P7" s="4">
        <f>Hotel!AB12</f>
        <v>7370</v>
      </c>
      <c r="Q7" s="4">
        <f>Hotel!AC12</f>
        <v>12890</v>
      </c>
      <c r="R7" s="4">
        <f>Hotel!AV12*0.00378541*100</f>
        <v>983.07097700000008</v>
      </c>
      <c r="S7" s="4">
        <f>Hotel!B12</f>
        <v>119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11800</v>
      </c>
      <c r="F8" s="4">
        <f>Hotel!R13</f>
        <v>16240</v>
      </c>
      <c r="G8" s="4">
        <f>Hotel!S13</f>
        <v>380</v>
      </c>
      <c r="H8" s="4">
        <f>Hotel!T13</f>
        <v>5820</v>
      </c>
      <c r="I8" s="4">
        <f>Hotel!U13</f>
        <v>5130</v>
      </c>
      <c r="J8" s="4">
        <f>Hotel!V13</f>
        <v>4240</v>
      </c>
      <c r="K8" s="4">
        <f>Hotel!W13</f>
        <v>3180</v>
      </c>
      <c r="L8" s="4">
        <f>Hotel!X13</f>
        <v>4840</v>
      </c>
      <c r="M8" s="4">
        <f>Hotel!Y13</f>
        <v>6050</v>
      </c>
      <c r="N8" s="4">
        <f>Hotel!Z13</f>
        <v>2840</v>
      </c>
      <c r="O8" s="4">
        <f>Hotel!AA13</f>
        <v>3300</v>
      </c>
      <c r="P8" s="4">
        <f>Hotel!AB13</f>
        <v>7630</v>
      </c>
      <c r="Q8" s="4">
        <f>Hotel!AC13</f>
        <v>12720</v>
      </c>
      <c r="R8" s="4">
        <f>Hotel!AV13*0.00378541*100</f>
        <v>512.16597300000001</v>
      </c>
      <c r="S8" s="4">
        <f>Hotel!B13</f>
        <v>107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12350</v>
      </c>
      <c r="F9" s="4">
        <f>Hotel!R14</f>
        <v>16310</v>
      </c>
      <c r="G9" s="4">
        <f>Hotel!S14</f>
        <v>2680</v>
      </c>
      <c r="H9" s="4">
        <f>Hotel!T14</f>
        <v>6740</v>
      </c>
      <c r="I9" s="4">
        <f>Hotel!U14</f>
        <v>5160</v>
      </c>
      <c r="J9" s="4">
        <f>Hotel!V14</f>
        <v>4340</v>
      </c>
      <c r="K9" s="4">
        <f>Hotel!W14</f>
        <v>3200</v>
      </c>
      <c r="L9" s="4">
        <f>Hotel!X14</f>
        <v>4900</v>
      </c>
      <c r="M9" s="4">
        <f>Hotel!Y14</f>
        <v>6010</v>
      </c>
      <c r="N9" s="4">
        <f>Hotel!Z14</f>
        <v>2680</v>
      </c>
      <c r="O9" s="4">
        <f>Hotel!AA14</f>
        <v>3130</v>
      </c>
      <c r="P9" s="4">
        <f>Hotel!AB14</f>
        <v>7790</v>
      </c>
      <c r="Q9" s="4">
        <f>Hotel!AC14</f>
        <v>12010</v>
      </c>
      <c r="R9" s="4">
        <f>Hotel!AV14*0.00378541*100</f>
        <v>1200.7320520000001</v>
      </c>
      <c r="S9" s="4">
        <f>Hotel!B14</f>
        <v>117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9640</v>
      </c>
      <c r="F10" s="4">
        <f>Hotel!R15</f>
        <v>13700</v>
      </c>
      <c r="G10" s="4">
        <f>Hotel!S15</f>
        <v>2760</v>
      </c>
      <c r="H10" s="4">
        <f>Hotel!T15</f>
        <v>5640</v>
      </c>
      <c r="I10" s="4">
        <f>Hotel!U15</f>
        <v>4880</v>
      </c>
      <c r="J10" s="4">
        <f>Hotel!V15</f>
        <v>4270</v>
      </c>
      <c r="K10" s="4">
        <f>Hotel!W15</f>
        <v>3120</v>
      </c>
      <c r="L10" s="4">
        <f>Hotel!X15</f>
        <v>4840</v>
      </c>
      <c r="M10" s="4">
        <f>Hotel!Y15</f>
        <v>6000</v>
      </c>
      <c r="N10" s="4">
        <f>Hotel!Z15</f>
        <v>2790</v>
      </c>
      <c r="O10" s="4">
        <f>Hotel!AA15</f>
        <v>3180</v>
      </c>
      <c r="P10" s="4">
        <f>Hotel!AB15</f>
        <v>7660</v>
      </c>
      <c r="Q10" s="4">
        <f>Hotel!AC15</f>
        <v>12070</v>
      </c>
      <c r="R10" s="4">
        <f>Hotel!AV15*0.00378541*100</f>
        <v>904.71298999999999</v>
      </c>
      <c r="S10" s="4">
        <f>Hotel!B15</f>
        <v>148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>
        <f>Hotel!Q16</f>
        <v>11510</v>
      </c>
      <c r="F11" s="4">
        <f>Hotel!R16</f>
        <v>15720</v>
      </c>
      <c r="G11" s="4">
        <f>Hotel!S16</f>
        <v>260</v>
      </c>
      <c r="H11" s="4">
        <f>Hotel!T16</f>
        <v>5290</v>
      </c>
      <c r="I11" s="4">
        <f>Hotel!U16</f>
        <v>5470</v>
      </c>
      <c r="J11" s="4">
        <f>Hotel!V16</f>
        <v>4350</v>
      </c>
      <c r="K11" s="4">
        <f>Hotel!W16</f>
        <v>3700</v>
      </c>
      <c r="L11" s="4">
        <f>Hotel!X16</f>
        <v>4900</v>
      </c>
      <c r="M11" s="4">
        <f>Hotel!Y16</f>
        <v>6240</v>
      </c>
      <c r="N11" s="4">
        <f>Hotel!Z16</f>
        <v>3110</v>
      </c>
      <c r="O11" s="4">
        <f>Hotel!AA16</f>
        <v>3580</v>
      </c>
      <c r="P11" s="4">
        <f>Hotel!AB16</f>
        <v>7350</v>
      </c>
      <c r="Q11" s="4">
        <f>Hotel!AC16</f>
        <v>12710</v>
      </c>
      <c r="R11" s="4">
        <f>Hotel!AV16*0.00378541*100</f>
        <v>1179.9122969999999</v>
      </c>
      <c r="S11" s="4">
        <f>Hotel!B16</f>
        <v>279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10820</v>
      </c>
      <c r="F12" s="4">
        <f>Hotel!R17</f>
        <v>15100</v>
      </c>
      <c r="G12" s="4">
        <f>Hotel!S17</f>
        <v>1710</v>
      </c>
      <c r="H12" s="4">
        <f>Hotel!T17</f>
        <v>5460</v>
      </c>
      <c r="I12" s="4">
        <f>Hotel!U17</f>
        <v>5570</v>
      </c>
      <c r="J12" s="4">
        <f>Hotel!V17</f>
        <v>4410</v>
      </c>
      <c r="K12" s="4">
        <f>Hotel!W17</f>
        <v>3700</v>
      </c>
      <c r="L12" s="4">
        <f>Hotel!X17</f>
        <v>4910</v>
      </c>
      <c r="M12" s="4">
        <f>Hotel!Y17</f>
        <v>6430</v>
      </c>
      <c r="N12" s="4">
        <f>Hotel!Z17</f>
        <v>3120</v>
      </c>
      <c r="O12" s="4">
        <f>Hotel!AA17</f>
        <v>3520</v>
      </c>
      <c r="P12" s="4">
        <f>Hotel!AB17</f>
        <v>7240</v>
      </c>
      <c r="Q12" s="4">
        <f>Hotel!AC17</f>
        <v>11790</v>
      </c>
      <c r="R12" s="4">
        <f>Hotel!AV17*0.00378541*100</f>
        <v>677.20984899999996</v>
      </c>
      <c r="S12" s="4">
        <f>Hotel!B17</f>
        <v>280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10510</v>
      </c>
      <c r="F13" s="4">
        <f>Hotel!R18</f>
        <v>14720</v>
      </c>
      <c r="G13" s="4">
        <f>Hotel!S18</f>
        <v>3560</v>
      </c>
      <c r="H13" s="4">
        <f>Hotel!T18</f>
        <v>5770</v>
      </c>
      <c r="I13" s="4">
        <f>Hotel!U18</f>
        <v>5580</v>
      </c>
      <c r="J13" s="4">
        <f>Hotel!V18</f>
        <v>4410</v>
      </c>
      <c r="K13" s="4">
        <f>Hotel!W18</f>
        <v>3760</v>
      </c>
      <c r="L13" s="4">
        <f>Hotel!X18</f>
        <v>5090</v>
      </c>
      <c r="M13" s="4">
        <f>Hotel!Y18</f>
        <v>6460</v>
      </c>
      <c r="N13" s="4">
        <f>Hotel!Z18</f>
        <v>3010</v>
      </c>
      <c r="O13" s="4">
        <f>Hotel!AA18</f>
        <v>3720</v>
      </c>
      <c r="P13" s="4">
        <f>Hotel!AB18</f>
        <v>7490</v>
      </c>
      <c r="Q13" s="4">
        <f>Hotel!AC18</f>
        <v>11750</v>
      </c>
      <c r="R13" s="4">
        <f>Hotel!AV18*0.00378541*100</f>
        <v>1257.5132020000001</v>
      </c>
      <c r="S13" s="4">
        <f>Hotel!B18</f>
        <v>139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10180</v>
      </c>
      <c r="F14" s="4">
        <f>Hotel!R19</f>
        <v>14340</v>
      </c>
      <c r="G14" s="4">
        <f>Hotel!S19</f>
        <v>3400</v>
      </c>
      <c r="H14" s="4">
        <f>Hotel!T19</f>
        <v>3590</v>
      </c>
      <c r="I14" s="4">
        <f>Hotel!U19</f>
        <v>5200</v>
      </c>
      <c r="J14" s="4">
        <f>Hotel!V19</f>
        <v>4320</v>
      </c>
      <c r="K14" s="4">
        <f>Hotel!W19</f>
        <v>3760</v>
      </c>
      <c r="L14" s="4">
        <f>Hotel!X19</f>
        <v>4990</v>
      </c>
      <c r="M14" s="4">
        <f>Hotel!Y19</f>
        <v>5980</v>
      </c>
      <c r="N14" s="4">
        <f>Hotel!Z19</f>
        <v>2720</v>
      </c>
      <c r="O14" s="4">
        <f>Hotel!AA19</f>
        <v>3460</v>
      </c>
      <c r="P14" s="4">
        <f>Hotel!AB19</f>
        <v>7500</v>
      </c>
      <c r="Q14" s="4">
        <f>Hotel!AC19</f>
        <v>11070</v>
      </c>
      <c r="R14" s="4">
        <f>Hotel!AV19*0.00378541*100</f>
        <v>917.96192499999995</v>
      </c>
      <c r="S14" s="4">
        <f>Hotel!B19</f>
        <v>122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8990</v>
      </c>
      <c r="F15" s="4">
        <f>Hotel!R20</f>
        <v>14790</v>
      </c>
      <c r="G15" s="4">
        <f>Hotel!S20</f>
        <v>560</v>
      </c>
      <c r="H15" s="4">
        <f>Hotel!T20</f>
        <v>1730</v>
      </c>
      <c r="I15" s="4">
        <f>Hotel!U20</f>
        <v>5180</v>
      </c>
      <c r="J15" s="4">
        <f>Hotel!V20</f>
        <v>4220</v>
      </c>
      <c r="K15" s="4">
        <f>Hotel!W20</f>
        <v>3500</v>
      </c>
      <c r="L15" s="4">
        <f>Hotel!X20</f>
        <v>5060</v>
      </c>
      <c r="M15" s="4">
        <f>Hotel!Y20</f>
        <v>6090</v>
      </c>
      <c r="N15" s="4">
        <f>Hotel!Z20</f>
        <v>2840</v>
      </c>
      <c r="O15" s="4">
        <f>Hotel!AA20</f>
        <v>3390</v>
      </c>
      <c r="P15" s="4">
        <f>Hotel!AB20</f>
        <v>7460</v>
      </c>
      <c r="Q15" s="4">
        <f>Hotel!AC20</f>
        <v>11530</v>
      </c>
      <c r="R15" s="4">
        <f>Hotel!AV20*0.00378541*100</f>
        <v>853.6099549999999</v>
      </c>
      <c r="S15" s="4">
        <f>Hotel!B20</f>
        <v>168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>
        <f>Hotel!Q21</f>
        <v>13010</v>
      </c>
      <c r="F16" s="4">
        <f>Hotel!R21</f>
        <v>15450</v>
      </c>
      <c r="G16" s="4">
        <f>Hotel!S21</f>
        <v>230</v>
      </c>
      <c r="H16" s="4">
        <f>Hotel!T21</f>
        <v>1760</v>
      </c>
      <c r="I16" s="4">
        <f>Hotel!U21</f>
        <v>5100</v>
      </c>
      <c r="J16" s="4">
        <f>Hotel!V21</f>
        <v>4280</v>
      </c>
      <c r="K16" s="4">
        <f>Hotel!W21</f>
        <v>3390</v>
      </c>
      <c r="L16" s="4">
        <f>Hotel!X21</f>
        <v>5140</v>
      </c>
      <c r="M16" s="4">
        <f>Hotel!Y21</f>
        <v>6400</v>
      </c>
      <c r="N16" s="4">
        <f>Hotel!Z21</f>
        <v>2910</v>
      </c>
      <c r="O16" s="4">
        <f>Hotel!AA21</f>
        <v>3380</v>
      </c>
      <c r="P16" s="4">
        <f>Hotel!AB21</f>
        <v>7560</v>
      </c>
      <c r="Q16" s="4">
        <f>Hotel!AC21</f>
        <v>11730</v>
      </c>
      <c r="R16" s="4">
        <f>Hotel!AV21*0.00378541*100</f>
        <v>1082.62726</v>
      </c>
      <c r="S16" s="4">
        <f>Hotel!B21</f>
        <v>176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10380</v>
      </c>
      <c r="F17" s="4">
        <f>Hotel!R22</f>
        <v>14870</v>
      </c>
      <c r="G17" s="4">
        <f>Hotel!S22</f>
        <v>190</v>
      </c>
      <c r="H17" s="4">
        <f>Hotel!T22</f>
        <v>1700</v>
      </c>
      <c r="I17" s="4">
        <f>Hotel!U22</f>
        <v>5420</v>
      </c>
      <c r="J17" s="4">
        <f>Hotel!V22</f>
        <v>4410</v>
      </c>
      <c r="K17" s="4">
        <f>Hotel!W22</f>
        <v>4010</v>
      </c>
      <c r="L17" s="4">
        <f>Hotel!X22</f>
        <v>5240</v>
      </c>
      <c r="M17" s="4">
        <f>Hotel!Y22</f>
        <v>6530</v>
      </c>
      <c r="N17" s="4">
        <f>Hotel!Z22</f>
        <v>2910</v>
      </c>
      <c r="O17" s="4">
        <f>Hotel!AA22</f>
        <v>3500</v>
      </c>
      <c r="P17" s="4">
        <f>Hotel!AB22</f>
        <v>7480</v>
      </c>
      <c r="Q17" s="4">
        <f>Hotel!AC22</f>
        <v>11900</v>
      </c>
      <c r="R17" s="4">
        <f>Hotel!AV22*0.00378541*100</f>
        <v>945.97395900000004</v>
      </c>
      <c r="S17" s="4">
        <f>Hotel!B22</f>
        <v>190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 t="str">
        <f>Hotel!Q23</f>
        <v>0</v>
      </c>
      <c r="F18" s="4" t="str">
        <f>Hotel!R23</f>
        <v>0</v>
      </c>
      <c r="G18" s="4" t="str">
        <f>Hotel!S23</f>
        <v>0</v>
      </c>
      <c r="H18" s="4" t="str">
        <f>Hotel!T23</f>
        <v>0</v>
      </c>
      <c r="I18" s="4" t="str">
        <f>Hotel!U23</f>
        <v>0</v>
      </c>
      <c r="J18" s="4" t="str">
        <f>Hotel!V23</f>
        <v>0</v>
      </c>
      <c r="K18" s="4" t="str">
        <f>Hotel!W23</f>
        <v>0</v>
      </c>
      <c r="L18" s="4" t="str">
        <f>Hotel!X23</f>
        <v>0</v>
      </c>
      <c r="M18" s="4" t="str">
        <f>Hotel!Y23</f>
        <v>0</v>
      </c>
      <c r="N18" s="4" t="str">
        <f>Hotel!Z23</f>
        <v>0</v>
      </c>
      <c r="O18" s="4" t="str">
        <f>Hotel!AA23</f>
        <v>0</v>
      </c>
      <c r="P18" s="4" t="str">
        <f>Hotel!AB23</f>
        <v>0</v>
      </c>
      <c r="Q18" s="4" t="str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P1" zoomScale="93" zoomScaleNormal="93" workbookViewId="0">
      <selection activeCell="AU22" sqref="AU2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43738</v>
      </c>
      <c r="B2" s="40">
        <v>127</v>
      </c>
      <c r="C2" s="24">
        <v>5441530</v>
      </c>
      <c r="D2" s="24">
        <v>11405610</v>
      </c>
      <c r="E2" s="24">
        <v>1391990</v>
      </c>
      <c r="F2" s="24">
        <v>2451190</v>
      </c>
      <c r="G2" s="24">
        <v>7548400</v>
      </c>
      <c r="H2" s="24">
        <v>3465110</v>
      </c>
      <c r="I2" s="24">
        <v>3520060</v>
      </c>
      <c r="J2" s="24">
        <v>3915850</v>
      </c>
      <c r="K2" s="24">
        <v>6468250</v>
      </c>
      <c r="L2" s="24">
        <v>2251590</v>
      </c>
      <c r="M2" s="24">
        <v>6093400</v>
      </c>
      <c r="N2" s="24">
        <v>8142110</v>
      </c>
      <c r="O2" s="24">
        <v>10434160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6">
        <v>533940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5" t="s">
        <v>23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Q4" s="57" t="s">
        <v>24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28" t="s">
        <v>25</v>
      </c>
      <c r="AF4" s="60" t="s">
        <v>26</v>
      </c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29" t="s">
        <v>27</v>
      </c>
      <c r="AU4" s="52" t="s">
        <v>28</v>
      </c>
      <c r="AV4" s="53" t="s">
        <v>29</v>
      </c>
      <c r="AW4" s="54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2"/>
      <c r="AV5" s="53"/>
      <c r="AW5" s="54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1">
        <v>533940</v>
      </c>
    </row>
    <row r="7" spans="1:49" x14ac:dyDescent="0.25">
      <c r="A7" s="23">
        <v>43739</v>
      </c>
      <c r="B7" s="40">
        <v>144</v>
      </c>
      <c r="C7" s="24">
        <v>5452010</v>
      </c>
      <c r="D7" s="24">
        <v>11419520</v>
      </c>
      <c r="E7" s="24">
        <v>1393240</v>
      </c>
      <c r="F7" s="24">
        <v>2457030</v>
      </c>
      <c r="G7" s="24">
        <v>7553350</v>
      </c>
      <c r="H7" s="24">
        <v>3469490</v>
      </c>
      <c r="I7" s="24">
        <v>3523170</v>
      </c>
      <c r="J7" s="24">
        <v>3920830</v>
      </c>
      <c r="K7" s="24">
        <v>6473910</v>
      </c>
      <c r="L7" s="24">
        <v>2254540</v>
      </c>
      <c r="M7" s="24">
        <v>6096490</v>
      </c>
      <c r="N7" s="24">
        <v>8149720</v>
      </c>
      <c r="O7" s="24">
        <v>10446210</v>
      </c>
      <c r="Q7" s="37">
        <f>IF((C7-C2&lt;0), "0",C7-C2)</f>
        <v>10480</v>
      </c>
      <c r="R7" s="37">
        <f t="shared" ref="R7:AC7" si="0">IF((D7-D2&lt;0), "0",D7-D2)</f>
        <v>13910</v>
      </c>
      <c r="S7" s="37">
        <f>IF((E7-E2&lt;0), "0",E7-E2)</f>
        <v>1250</v>
      </c>
      <c r="T7" s="37">
        <f t="shared" si="0"/>
        <v>5840</v>
      </c>
      <c r="U7" s="37">
        <f t="shared" si="0"/>
        <v>4950</v>
      </c>
      <c r="V7" s="37">
        <f t="shared" si="0"/>
        <v>4380</v>
      </c>
      <c r="W7" s="37">
        <f t="shared" si="0"/>
        <v>3110</v>
      </c>
      <c r="X7" s="37">
        <f t="shared" si="0"/>
        <v>4980</v>
      </c>
      <c r="Y7" s="37">
        <f t="shared" si="0"/>
        <v>5660</v>
      </c>
      <c r="Z7" s="37">
        <f t="shared" si="0"/>
        <v>2950</v>
      </c>
      <c r="AA7" s="37">
        <f t="shared" si="0"/>
        <v>3090</v>
      </c>
      <c r="AB7" s="37">
        <f t="shared" si="0"/>
        <v>7610</v>
      </c>
      <c r="AC7" s="37">
        <f t="shared" si="0"/>
        <v>12050</v>
      </c>
      <c r="AD7" s="34">
        <f>SUM(Q7:AC7)</f>
        <v>80260</v>
      </c>
      <c r="AF7" s="20">
        <f t="shared" ref="AF7:AF36" si="1">Q7*$D$39</f>
        <v>52.4</v>
      </c>
      <c r="AG7" s="20">
        <f t="shared" ref="AG7:AG36" si="2">R7*$D$39</f>
        <v>69.55</v>
      </c>
      <c r="AH7" s="20">
        <f t="shared" ref="AH7:AH36" si="3">S7*$D$39</f>
        <v>6.25</v>
      </c>
      <c r="AI7" s="20">
        <f t="shared" ref="AI7:AI36" si="4">T7*$D$39</f>
        <v>29.2</v>
      </c>
      <c r="AJ7" s="20">
        <f t="shared" ref="AJ7:AJ36" si="5">U7*$D$39</f>
        <v>24.75</v>
      </c>
      <c r="AK7" s="20">
        <f t="shared" ref="AK7:AK36" si="6">V7*$D$39</f>
        <v>21.900000000000002</v>
      </c>
      <c r="AL7" s="20">
        <f t="shared" ref="AL7:AL36" si="7">W7*$D$39</f>
        <v>15.55</v>
      </c>
      <c r="AM7" s="20">
        <f t="shared" ref="AM7:AM36" si="8">X7*$D$39</f>
        <v>24.900000000000002</v>
      </c>
      <c r="AN7" s="20">
        <f t="shared" ref="AN7:AN36" si="9">Y7*$D$39</f>
        <v>28.3</v>
      </c>
      <c r="AO7" s="20">
        <f t="shared" ref="AO7:AO36" si="10">Z7*$D$39</f>
        <v>14.75</v>
      </c>
      <c r="AP7" s="20">
        <f t="shared" ref="AP7:AP36" si="11">AA7*$D$39</f>
        <v>15.450000000000001</v>
      </c>
      <c r="AQ7" s="20">
        <f t="shared" ref="AQ7:AQ36" si="12">AB7*$D$39</f>
        <v>38.050000000000004</v>
      </c>
      <c r="AR7" s="20">
        <f t="shared" ref="AR7:AR36" si="13">AC7*$D$39</f>
        <v>60.25</v>
      </c>
      <c r="AS7" s="35">
        <f>SUM(AF7:AR7)</f>
        <v>401.3</v>
      </c>
      <c r="AU7" s="47">
        <v>536655</v>
      </c>
      <c r="AV7" s="37">
        <f>IF((AU7-AU6&lt;0),"0",AU7-AU6)</f>
        <v>2715</v>
      </c>
      <c r="AW7" s="50">
        <v>0</v>
      </c>
    </row>
    <row r="8" spans="1:49" x14ac:dyDescent="0.25">
      <c r="A8" s="23">
        <v>43740</v>
      </c>
      <c r="B8" s="40">
        <v>166</v>
      </c>
      <c r="C8" s="24">
        <v>5463100</v>
      </c>
      <c r="D8" s="24">
        <v>11434720</v>
      </c>
      <c r="E8" s="24">
        <v>1393570</v>
      </c>
      <c r="F8" s="24">
        <v>2462560</v>
      </c>
      <c r="G8" s="24">
        <v>7558230</v>
      </c>
      <c r="H8" s="24">
        <v>3473830</v>
      </c>
      <c r="I8" s="24">
        <v>3526440</v>
      </c>
      <c r="J8" s="24">
        <v>3925700</v>
      </c>
      <c r="K8" s="24">
        <v>6479930</v>
      </c>
      <c r="L8" s="24">
        <v>2257470</v>
      </c>
      <c r="M8" s="24">
        <v>6099650</v>
      </c>
      <c r="N8" s="24">
        <v>8157120</v>
      </c>
      <c r="O8" s="24">
        <v>10457960</v>
      </c>
      <c r="Q8" s="37">
        <f>IF((C8-C7&lt;0), "0",C8-C7)</f>
        <v>11090</v>
      </c>
      <c r="R8" s="37">
        <f t="shared" ref="R8:AC8" si="14">IF((D8-D7&lt;0), "0",D8-D7)</f>
        <v>15200</v>
      </c>
      <c r="S8" s="37">
        <f t="shared" ref="S8:S35" si="15">IF((E8-E7&lt;0), "0",E8-E7)</f>
        <v>330</v>
      </c>
      <c r="T8" s="37">
        <f t="shared" si="14"/>
        <v>5530</v>
      </c>
      <c r="U8" s="37">
        <f t="shared" si="14"/>
        <v>4880</v>
      </c>
      <c r="V8" s="37">
        <f t="shared" si="14"/>
        <v>4340</v>
      </c>
      <c r="W8" s="37">
        <f t="shared" si="14"/>
        <v>3270</v>
      </c>
      <c r="X8" s="37">
        <f t="shared" si="14"/>
        <v>4870</v>
      </c>
      <c r="Y8" s="37">
        <f t="shared" si="14"/>
        <v>6020</v>
      </c>
      <c r="Z8" s="37">
        <f t="shared" si="14"/>
        <v>2930</v>
      </c>
      <c r="AA8" s="37">
        <f t="shared" si="14"/>
        <v>3160</v>
      </c>
      <c r="AB8" s="37">
        <f t="shared" si="14"/>
        <v>7400</v>
      </c>
      <c r="AC8" s="37">
        <f t="shared" si="14"/>
        <v>11750</v>
      </c>
      <c r="AD8" s="35">
        <f>SUM(Q8:AC8)</f>
        <v>80770</v>
      </c>
      <c r="AF8" s="20">
        <f t="shared" si="1"/>
        <v>55.45</v>
      </c>
      <c r="AG8" s="20">
        <f t="shared" si="2"/>
        <v>76</v>
      </c>
      <c r="AH8" s="20">
        <f t="shared" si="3"/>
        <v>1.6500000000000001</v>
      </c>
      <c r="AI8" s="20">
        <f t="shared" si="4"/>
        <v>27.650000000000002</v>
      </c>
      <c r="AJ8" s="20">
        <f t="shared" si="5"/>
        <v>24.400000000000002</v>
      </c>
      <c r="AK8" s="20">
        <f t="shared" si="6"/>
        <v>21.7</v>
      </c>
      <c r="AL8" s="20">
        <f t="shared" si="7"/>
        <v>16.350000000000001</v>
      </c>
      <c r="AM8" s="20">
        <f t="shared" si="8"/>
        <v>24.35</v>
      </c>
      <c r="AN8" s="20">
        <f t="shared" si="9"/>
        <v>30.1</v>
      </c>
      <c r="AO8" s="20">
        <f t="shared" si="10"/>
        <v>14.65</v>
      </c>
      <c r="AP8" s="20">
        <f t="shared" si="11"/>
        <v>15.8</v>
      </c>
      <c r="AQ8" s="20">
        <f t="shared" si="12"/>
        <v>37</v>
      </c>
      <c r="AR8" s="20">
        <f t="shared" si="13"/>
        <v>58.75</v>
      </c>
      <c r="AS8" s="35">
        <f>SUM(AF8:AR8)</f>
        <v>403.84999999999997</v>
      </c>
      <c r="AU8" s="47">
        <v>539406</v>
      </c>
      <c r="AV8" s="37">
        <f>IF((AU8-AU7&lt;0),"0",AU8-AU7)</f>
        <v>2751</v>
      </c>
      <c r="AW8" s="35">
        <v>0</v>
      </c>
    </row>
    <row r="9" spans="1:49" x14ac:dyDescent="0.25">
      <c r="A9" s="23">
        <v>43741</v>
      </c>
      <c r="B9" s="40">
        <v>166</v>
      </c>
      <c r="C9" s="24">
        <v>5474940</v>
      </c>
      <c r="D9" s="24">
        <v>11450770</v>
      </c>
      <c r="E9" s="24">
        <v>1393850</v>
      </c>
      <c r="F9" s="24">
        <v>2468260</v>
      </c>
      <c r="G9" s="24">
        <v>7563700</v>
      </c>
      <c r="H9" s="24">
        <v>3478330</v>
      </c>
      <c r="I9" s="24">
        <v>3530320</v>
      </c>
      <c r="J9" s="24">
        <v>3930690</v>
      </c>
      <c r="K9" s="24">
        <v>6486310</v>
      </c>
      <c r="L9" s="24">
        <v>2260630</v>
      </c>
      <c r="M9" s="24">
        <v>6103260</v>
      </c>
      <c r="N9" s="24">
        <v>8164850</v>
      </c>
      <c r="O9" s="24">
        <v>10471530</v>
      </c>
      <c r="Q9" s="37">
        <f t="shared" ref="Q9:Q35" si="16">IF((C9-C8&lt;0), "0",C9-C8)</f>
        <v>11840</v>
      </c>
      <c r="R9" s="37">
        <f t="shared" ref="R9:R35" si="17">IF((D9-D8&lt;0), "0",D9-D8)</f>
        <v>16050</v>
      </c>
      <c r="S9" s="37">
        <f t="shared" si="15"/>
        <v>280</v>
      </c>
      <c r="T9" s="37">
        <f t="shared" ref="T9:T35" si="18">IF((F9-F8&lt;0), "0",F9-F8)</f>
        <v>5700</v>
      </c>
      <c r="U9" s="37">
        <f t="shared" ref="U9:U35" si="19">IF((G9-G8&lt;0), "0",G9-G8)</f>
        <v>5470</v>
      </c>
      <c r="V9" s="37">
        <f t="shared" ref="V9:V35" si="20">IF((H9-H8&lt;0), "0",H9-H8)</f>
        <v>4500</v>
      </c>
      <c r="W9" s="37">
        <f t="shared" ref="W9:W35" si="21">IF((I9-I8&lt;0), "0",I9-I8)</f>
        <v>3880</v>
      </c>
      <c r="X9" s="37">
        <f t="shared" ref="X9:X35" si="22">IF((J9-J8&lt;0), "0",J9-J8)</f>
        <v>4990</v>
      </c>
      <c r="Y9" s="37">
        <f t="shared" ref="Y9:Y35" si="23">IF((K9-K8&lt;0), "0",K9-K8)</f>
        <v>6380</v>
      </c>
      <c r="Z9" s="37">
        <f t="shared" ref="Z9:Z35" si="24">IF((L9-L8&lt;0), "0",L9-L8)</f>
        <v>3160</v>
      </c>
      <c r="AA9" s="37">
        <f t="shared" ref="AA9:AA35" si="25">IF((M9-M8&lt;0), "0",M9-M8)</f>
        <v>3610</v>
      </c>
      <c r="AB9" s="37">
        <f t="shared" ref="AB9:AB35" si="26">IF((N9-N8&lt;0), "0",N9-N8)</f>
        <v>7730</v>
      </c>
      <c r="AC9" s="37">
        <f t="shared" ref="AC9:AC35" si="27">IF((O9-O8&lt;0), "0",O9-O8)</f>
        <v>13570</v>
      </c>
      <c r="AD9" s="35">
        <f t="shared" ref="AD9:AD34" si="28">SUM(Q9:AC9)</f>
        <v>87160</v>
      </c>
      <c r="AF9" s="20">
        <f t="shared" si="1"/>
        <v>59.2</v>
      </c>
      <c r="AG9" s="20">
        <f t="shared" si="2"/>
        <v>80.25</v>
      </c>
      <c r="AH9" s="20">
        <f t="shared" si="3"/>
        <v>1.4000000000000001</v>
      </c>
      <c r="AI9" s="20">
        <f t="shared" si="4"/>
        <v>28.5</v>
      </c>
      <c r="AJ9" s="20">
        <f t="shared" si="5"/>
        <v>27.35</v>
      </c>
      <c r="AK9" s="20">
        <f t="shared" si="6"/>
        <v>22.5</v>
      </c>
      <c r="AL9" s="20">
        <f t="shared" si="7"/>
        <v>19.400000000000002</v>
      </c>
      <c r="AM9" s="20">
        <f t="shared" si="8"/>
        <v>24.95</v>
      </c>
      <c r="AN9" s="20">
        <f t="shared" si="9"/>
        <v>31.900000000000002</v>
      </c>
      <c r="AO9" s="20">
        <f t="shared" si="10"/>
        <v>15.8</v>
      </c>
      <c r="AP9" s="20">
        <f t="shared" si="11"/>
        <v>18.05</v>
      </c>
      <c r="AQ9" s="20">
        <f t="shared" si="12"/>
        <v>38.65</v>
      </c>
      <c r="AR9" s="20">
        <f t="shared" si="13"/>
        <v>67.849999999999994</v>
      </c>
      <c r="AS9" s="35">
        <f t="shared" ref="AS9:AS34" si="29">SUM(AF9:AR9)</f>
        <v>435.79999999999995</v>
      </c>
      <c r="AU9" s="47">
        <v>542421</v>
      </c>
      <c r="AV9" s="37">
        <f>IF((AU9-AU8&lt;0),"0",AU9-AU8)</f>
        <v>3015</v>
      </c>
      <c r="AW9" s="35">
        <f t="shared" ref="AW9:AW36" si="30">AV9*$D$40</f>
        <v>6.03</v>
      </c>
    </row>
    <row r="10" spans="1:49" x14ac:dyDescent="0.25">
      <c r="A10" s="23">
        <v>43742</v>
      </c>
      <c r="B10" s="40">
        <v>214</v>
      </c>
      <c r="C10" s="24">
        <v>5485890</v>
      </c>
      <c r="D10" s="24">
        <v>11465750</v>
      </c>
      <c r="E10" s="24">
        <v>1396170</v>
      </c>
      <c r="F10" s="24">
        <v>2474090</v>
      </c>
      <c r="G10" s="24">
        <v>7569180</v>
      </c>
      <c r="H10" s="24">
        <v>3482640</v>
      </c>
      <c r="I10" s="24">
        <v>3533630</v>
      </c>
      <c r="J10" s="24">
        <v>3935510</v>
      </c>
      <c r="K10" s="24">
        <v>6492560</v>
      </c>
      <c r="L10" s="24">
        <v>2263690</v>
      </c>
      <c r="M10" s="24">
        <v>6106700</v>
      </c>
      <c r="N10" s="24">
        <v>8172240</v>
      </c>
      <c r="O10" s="24">
        <v>10483440</v>
      </c>
      <c r="Q10" s="37">
        <f t="shared" si="16"/>
        <v>10950</v>
      </c>
      <c r="R10" s="37">
        <f t="shared" si="17"/>
        <v>14980</v>
      </c>
      <c r="S10" s="37">
        <f t="shared" si="15"/>
        <v>2320</v>
      </c>
      <c r="T10" s="37">
        <f t="shared" si="18"/>
        <v>5830</v>
      </c>
      <c r="U10" s="37">
        <f t="shared" si="19"/>
        <v>5480</v>
      </c>
      <c r="V10" s="37">
        <f t="shared" si="20"/>
        <v>4310</v>
      </c>
      <c r="W10" s="37">
        <f t="shared" si="21"/>
        <v>3310</v>
      </c>
      <c r="X10" s="37">
        <f t="shared" si="22"/>
        <v>4820</v>
      </c>
      <c r="Y10" s="37">
        <f t="shared" si="23"/>
        <v>6250</v>
      </c>
      <c r="Z10" s="37">
        <f t="shared" si="24"/>
        <v>3060</v>
      </c>
      <c r="AA10" s="37">
        <f t="shared" si="25"/>
        <v>3440</v>
      </c>
      <c r="AB10" s="37">
        <f t="shared" si="26"/>
        <v>7390</v>
      </c>
      <c r="AC10" s="37">
        <f t="shared" si="27"/>
        <v>11910</v>
      </c>
      <c r="AD10" s="35">
        <f t="shared" si="28"/>
        <v>84050</v>
      </c>
      <c r="AF10" s="20">
        <f t="shared" si="1"/>
        <v>54.75</v>
      </c>
      <c r="AG10" s="20">
        <f t="shared" si="2"/>
        <v>74.900000000000006</v>
      </c>
      <c r="AH10" s="20">
        <f t="shared" si="3"/>
        <v>11.6</v>
      </c>
      <c r="AI10" s="20">
        <f t="shared" si="4"/>
        <v>29.150000000000002</v>
      </c>
      <c r="AJ10" s="20">
        <f t="shared" si="5"/>
        <v>27.400000000000002</v>
      </c>
      <c r="AK10" s="20">
        <f t="shared" si="6"/>
        <v>21.55</v>
      </c>
      <c r="AL10" s="20">
        <f t="shared" si="7"/>
        <v>16.55</v>
      </c>
      <c r="AM10" s="20">
        <f t="shared" si="8"/>
        <v>24.1</v>
      </c>
      <c r="AN10" s="20">
        <f t="shared" si="9"/>
        <v>31.25</v>
      </c>
      <c r="AO10" s="20">
        <f t="shared" si="10"/>
        <v>15.3</v>
      </c>
      <c r="AP10" s="20">
        <f t="shared" si="11"/>
        <v>17.2</v>
      </c>
      <c r="AQ10" s="20">
        <f t="shared" si="12"/>
        <v>36.950000000000003</v>
      </c>
      <c r="AR10" s="20">
        <f t="shared" si="13"/>
        <v>59.550000000000004</v>
      </c>
      <c r="AS10" s="35">
        <f t="shared" si="29"/>
        <v>420.25000000000006</v>
      </c>
      <c r="AU10" s="47">
        <v>544647</v>
      </c>
      <c r="AV10" s="37">
        <f t="shared" ref="AV10:AV26" si="31">IF((AU10-AU9&lt;0),"0",AU10-AU9)</f>
        <v>2226</v>
      </c>
      <c r="AW10" s="35">
        <f t="shared" si="30"/>
        <v>4.452</v>
      </c>
    </row>
    <row r="11" spans="1:49" x14ac:dyDescent="0.25">
      <c r="A11" s="23">
        <v>43743</v>
      </c>
      <c r="B11" s="40">
        <v>118</v>
      </c>
      <c r="C11" s="24">
        <v>5496320</v>
      </c>
      <c r="D11" s="24">
        <v>11480280</v>
      </c>
      <c r="E11" s="24">
        <v>1396710</v>
      </c>
      <c r="F11" s="24">
        <v>2479030</v>
      </c>
      <c r="G11" s="24">
        <v>7574470</v>
      </c>
      <c r="H11" s="24">
        <v>3486960</v>
      </c>
      <c r="I11" s="24">
        <v>3536980</v>
      </c>
      <c r="J11" s="24">
        <v>3940300</v>
      </c>
      <c r="K11" s="24">
        <v>6498910</v>
      </c>
      <c r="L11" s="24">
        <v>2266670</v>
      </c>
      <c r="M11" s="24">
        <v>6110210</v>
      </c>
      <c r="N11" s="24">
        <v>8179690</v>
      </c>
      <c r="O11" s="24">
        <v>10497590</v>
      </c>
      <c r="Q11" s="37">
        <f t="shared" si="16"/>
        <v>10430</v>
      </c>
      <c r="R11" s="37">
        <f t="shared" si="17"/>
        <v>14530</v>
      </c>
      <c r="S11" s="37">
        <f t="shared" si="15"/>
        <v>540</v>
      </c>
      <c r="T11" s="37">
        <f t="shared" si="18"/>
        <v>4940</v>
      </c>
      <c r="U11" s="37">
        <f t="shared" si="19"/>
        <v>5290</v>
      </c>
      <c r="V11" s="37">
        <f t="shared" si="20"/>
        <v>4320</v>
      </c>
      <c r="W11" s="37">
        <f t="shared" si="21"/>
        <v>3350</v>
      </c>
      <c r="X11" s="37">
        <f t="shared" si="22"/>
        <v>4790</v>
      </c>
      <c r="Y11" s="37">
        <f t="shared" si="23"/>
        <v>6350</v>
      </c>
      <c r="Z11" s="37">
        <f t="shared" si="24"/>
        <v>2980</v>
      </c>
      <c r="AA11" s="37">
        <f t="shared" si="25"/>
        <v>3510</v>
      </c>
      <c r="AB11" s="37">
        <f t="shared" si="26"/>
        <v>7450</v>
      </c>
      <c r="AC11" s="37">
        <f t="shared" si="27"/>
        <v>14150</v>
      </c>
      <c r="AD11" s="35">
        <f t="shared" si="28"/>
        <v>82630</v>
      </c>
      <c r="AF11" s="20">
        <f t="shared" si="1"/>
        <v>52.15</v>
      </c>
      <c r="AG11" s="20">
        <f t="shared" si="2"/>
        <v>72.650000000000006</v>
      </c>
      <c r="AH11" s="20">
        <f t="shared" si="3"/>
        <v>2.7</v>
      </c>
      <c r="AI11" s="20">
        <f t="shared" si="4"/>
        <v>24.7</v>
      </c>
      <c r="AJ11" s="20">
        <f t="shared" si="5"/>
        <v>26.45</v>
      </c>
      <c r="AK11" s="20">
        <f t="shared" si="6"/>
        <v>21.6</v>
      </c>
      <c r="AL11" s="20">
        <f t="shared" si="7"/>
        <v>16.75</v>
      </c>
      <c r="AM11" s="20">
        <f t="shared" si="8"/>
        <v>23.95</v>
      </c>
      <c r="AN11" s="20">
        <f t="shared" si="9"/>
        <v>31.75</v>
      </c>
      <c r="AO11" s="20">
        <f t="shared" si="10"/>
        <v>14.9</v>
      </c>
      <c r="AP11" s="20">
        <f t="shared" si="11"/>
        <v>17.55</v>
      </c>
      <c r="AQ11" s="20">
        <f t="shared" si="12"/>
        <v>37.25</v>
      </c>
      <c r="AR11" s="20">
        <f t="shared" si="13"/>
        <v>70.75</v>
      </c>
      <c r="AS11" s="35">
        <f t="shared" si="29"/>
        <v>413.15</v>
      </c>
      <c r="AU11" s="47">
        <v>547385</v>
      </c>
      <c r="AV11" s="37">
        <f t="shared" si="31"/>
        <v>2738</v>
      </c>
      <c r="AW11" s="35">
        <f t="shared" si="30"/>
        <v>5.476</v>
      </c>
    </row>
    <row r="12" spans="1:49" x14ac:dyDescent="0.25">
      <c r="A12" s="23">
        <v>43744</v>
      </c>
      <c r="B12" s="40">
        <v>119</v>
      </c>
      <c r="C12" s="49">
        <v>5506640</v>
      </c>
      <c r="D12" s="24">
        <v>11494870</v>
      </c>
      <c r="E12" s="24">
        <v>1396890</v>
      </c>
      <c r="F12" s="24">
        <v>2484130</v>
      </c>
      <c r="G12" s="24">
        <v>7579600</v>
      </c>
      <c r="H12" s="24">
        <v>3491180</v>
      </c>
      <c r="I12" s="24">
        <v>3539970</v>
      </c>
      <c r="J12" s="24">
        <v>3945190</v>
      </c>
      <c r="K12" s="24">
        <v>6504970</v>
      </c>
      <c r="L12" s="24">
        <v>2269470</v>
      </c>
      <c r="M12" s="24">
        <v>6113530</v>
      </c>
      <c r="N12" s="24">
        <v>8187060</v>
      </c>
      <c r="O12" s="24">
        <v>10510480</v>
      </c>
      <c r="Q12" s="37">
        <f t="shared" si="16"/>
        <v>10320</v>
      </c>
      <c r="R12" s="37">
        <f t="shared" si="17"/>
        <v>14590</v>
      </c>
      <c r="S12" s="37">
        <f t="shared" si="15"/>
        <v>180</v>
      </c>
      <c r="T12" s="37">
        <f t="shared" si="18"/>
        <v>5100</v>
      </c>
      <c r="U12" s="37">
        <f t="shared" si="19"/>
        <v>5130</v>
      </c>
      <c r="V12" s="37">
        <f t="shared" si="20"/>
        <v>4220</v>
      </c>
      <c r="W12" s="37">
        <f t="shared" si="21"/>
        <v>2990</v>
      </c>
      <c r="X12" s="37">
        <f t="shared" si="22"/>
        <v>4890</v>
      </c>
      <c r="Y12" s="37">
        <f t="shared" si="23"/>
        <v>6060</v>
      </c>
      <c r="Z12" s="37">
        <f t="shared" si="24"/>
        <v>2800</v>
      </c>
      <c r="AA12" s="37">
        <f t="shared" si="25"/>
        <v>3320</v>
      </c>
      <c r="AB12" s="37">
        <f t="shared" si="26"/>
        <v>7370</v>
      </c>
      <c r="AC12" s="37">
        <f t="shared" si="27"/>
        <v>12890</v>
      </c>
      <c r="AD12" s="35">
        <f t="shared" si="28"/>
        <v>79860</v>
      </c>
      <c r="AF12" s="20">
        <f t="shared" si="1"/>
        <v>51.6</v>
      </c>
      <c r="AG12" s="20">
        <f t="shared" si="2"/>
        <v>72.95</v>
      </c>
      <c r="AH12" s="20">
        <f t="shared" si="3"/>
        <v>0.9</v>
      </c>
      <c r="AI12" s="20">
        <f t="shared" si="4"/>
        <v>25.5</v>
      </c>
      <c r="AJ12" s="20">
        <f t="shared" si="5"/>
        <v>25.650000000000002</v>
      </c>
      <c r="AK12" s="20">
        <f t="shared" si="6"/>
        <v>21.1</v>
      </c>
      <c r="AL12" s="20">
        <f t="shared" si="7"/>
        <v>14.950000000000001</v>
      </c>
      <c r="AM12" s="20">
        <f t="shared" si="8"/>
        <v>24.45</v>
      </c>
      <c r="AN12" s="20">
        <f t="shared" si="9"/>
        <v>30.3</v>
      </c>
      <c r="AO12" s="20">
        <f t="shared" si="10"/>
        <v>14</v>
      </c>
      <c r="AP12" s="20">
        <f t="shared" si="11"/>
        <v>16.600000000000001</v>
      </c>
      <c r="AQ12" s="20">
        <f t="shared" si="12"/>
        <v>36.85</v>
      </c>
      <c r="AR12" s="20">
        <f t="shared" si="13"/>
        <v>64.45</v>
      </c>
      <c r="AS12" s="35">
        <f t="shared" si="29"/>
        <v>399.3</v>
      </c>
      <c r="AU12" s="47">
        <v>549982</v>
      </c>
      <c r="AV12" s="37">
        <f t="shared" si="31"/>
        <v>2597</v>
      </c>
      <c r="AW12" s="35">
        <f t="shared" si="30"/>
        <v>5.194</v>
      </c>
    </row>
    <row r="13" spans="1:49" x14ac:dyDescent="0.25">
      <c r="A13" s="23">
        <v>43745</v>
      </c>
      <c r="B13" s="40">
        <v>107</v>
      </c>
      <c r="C13" s="24">
        <v>5518440</v>
      </c>
      <c r="D13" s="24">
        <v>11511110</v>
      </c>
      <c r="E13" s="24">
        <v>1397270</v>
      </c>
      <c r="F13" s="24">
        <v>2489950</v>
      </c>
      <c r="G13" s="24">
        <v>7584730</v>
      </c>
      <c r="H13" s="24">
        <v>3495420</v>
      </c>
      <c r="I13" s="24">
        <v>3543150</v>
      </c>
      <c r="J13" s="24">
        <v>3950030</v>
      </c>
      <c r="K13" s="24">
        <v>6511020</v>
      </c>
      <c r="L13" s="24">
        <v>2272310</v>
      </c>
      <c r="M13" s="24">
        <v>6116830</v>
      </c>
      <c r="N13" s="24">
        <v>8194690</v>
      </c>
      <c r="O13" s="24">
        <v>10523200</v>
      </c>
      <c r="Q13" s="37">
        <f t="shared" si="16"/>
        <v>11800</v>
      </c>
      <c r="R13" s="37">
        <f t="shared" si="17"/>
        <v>16240</v>
      </c>
      <c r="S13" s="37">
        <f t="shared" si="15"/>
        <v>380</v>
      </c>
      <c r="T13" s="37">
        <f t="shared" si="18"/>
        <v>5820</v>
      </c>
      <c r="U13" s="37">
        <f t="shared" si="19"/>
        <v>5130</v>
      </c>
      <c r="V13" s="37">
        <f t="shared" si="20"/>
        <v>4240</v>
      </c>
      <c r="W13" s="37">
        <f t="shared" si="21"/>
        <v>3180</v>
      </c>
      <c r="X13" s="37">
        <f t="shared" si="22"/>
        <v>4840</v>
      </c>
      <c r="Y13" s="37">
        <f t="shared" si="23"/>
        <v>6050</v>
      </c>
      <c r="Z13" s="37">
        <f t="shared" si="24"/>
        <v>2840</v>
      </c>
      <c r="AA13" s="37">
        <f t="shared" si="25"/>
        <v>3300</v>
      </c>
      <c r="AB13" s="37">
        <f t="shared" si="26"/>
        <v>7630</v>
      </c>
      <c r="AC13" s="37">
        <f t="shared" si="27"/>
        <v>12720</v>
      </c>
      <c r="AD13" s="35">
        <f t="shared" si="28"/>
        <v>84170</v>
      </c>
      <c r="AF13" s="20">
        <f t="shared" si="1"/>
        <v>59</v>
      </c>
      <c r="AG13" s="20">
        <f t="shared" si="2"/>
        <v>81.2</v>
      </c>
      <c r="AH13" s="20">
        <f t="shared" si="3"/>
        <v>1.9000000000000001</v>
      </c>
      <c r="AI13" s="20">
        <f t="shared" si="4"/>
        <v>29.1</v>
      </c>
      <c r="AJ13" s="20">
        <f t="shared" si="5"/>
        <v>25.650000000000002</v>
      </c>
      <c r="AK13" s="20">
        <f t="shared" si="6"/>
        <v>21.2</v>
      </c>
      <c r="AL13" s="20">
        <f t="shared" si="7"/>
        <v>15.9</v>
      </c>
      <c r="AM13" s="20">
        <f t="shared" si="8"/>
        <v>24.2</v>
      </c>
      <c r="AN13" s="20">
        <f t="shared" si="9"/>
        <v>30.25</v>
      </c>
      <c r="AO13" s="20">
        <f t="shared" si="10"/>
        <v>14.200000000000001</v>
      </c>
      <c r="AP13" s="20">
        <f t="shared" si="11"/>
        <v>16.5</v>
      </c>
      <c r="AQ13" s="20">
        <f t="shared" si="12"/>
        <v>38.15</v>
      </c>
      <c r="AR13" s="20">
        <f t="shared" si="13"/>
        <v>63.6</v>
      </c>
      <c r="AS13" s="35">
        <f t="shared" si="29"/>
        <v>420.84999999999997</v>
      </c>
      <c r="AU13" s="47">
        <v>551335</v>
      </c>
      <c r="AV13" s="37">
        <f t="shared" si="31"/>
        <v>1353</v>
      </c>
      <c r="AW13" s="35">
        <f t="shared" si="30"/>
        <v>2.706</v>
      </c>
    </row>
    <row r="14" spans="1:49" x14ac:dyDescent="0.25">
      <c r="A14" s="23">
        <v>43746</v>
      </c>
      <c r="B14" s="40">
        <v>117</v>
      </c>
      <c r="C14" s="24">
        <v>5530790</v>
      </c>
      <c r="D14" s="24">
        <v>11527420</v>
      </c>
      <c r="E14" s="24">
        <v>1399950</v>
      </c>
      <c r="F14" s="24">
        <v>2496690</v>
      </c>
      <c r="G14" s="24">
        <v>7589890</v>
      </c>
      <c r="H14" s="24">
        <v>3499760</v>
      </c>
      <c r="I14" s="24">
        <v>3546350</v>
      </c>
      <c r="J14" s="24">
        <v>3954930</v>
      </c>
      <c r="K14" s="24">
        <v>6517030</v>
      </c>
      <c r="L14" s="24">
        <v>2274990</v>
      </c>
      <c r="M14" s="24">
        <v>6119960</v>
      </c>
      <c r="N14" s="24">
        <v>8202480</v>
      </c>
      <c r="O14" s="24">
        <v>10535210</v>
      </c>
      <c r="Q14" s="37">
        <f t="shared" si="16"/>
        <v>12350</v>
      </c>
      <c r="R14" s="37">
        <f t="shared" si="17"/>
        <v>16310</v>
      </c>
      <c r="S14" s="37">
        <f t="shared" si="15"/>
        <v>2680</v>
      </c>
      <c r="T14" s="37">
        <f t="shared" si="18"/>
        <v>6740</v>
      </c>
      <c r="U14" s="37">
        <f t="shared" si="19"/>
        <v>5160</v>
      </c>
      <c r="V14" s="37">
        <f t="shared" si="20"/>
        <v>4340</v>
      </c>
      <c r="W14" s="37">
        <f t="shared" si="21"/>
        <v>3200</v>
      </c>
      <c r="X14" s="37">
        <f t="shared" si="22"/>
        <v>4900</v>
      </c>
      <c r="Y14" s="37">
        <f t="shared" si="23"/>
        <v>6010</v>
      </c>
      <c r="Z14" s="37">
        <f t="shared" si="24"/>
        <v>2680</v>
      </c>
      <c r="AA14" s="37">
        <f t="shared" si="25"/>
        <v>3130</v>
      </c>
      <c r="AB14" s="37">
        <f t="shared" si="26"/>
        <v>7790</v>
      </c>
      <c r="AC14" s="37">
        <f t="shared" si="27"/>
        <v>12010</v>
      </c>
      <c r="AD14" s="35">
        <f t="shared" si="28"/>
        <v>87300</v>
      </c>
      <c r="AF14" s="20">
        <f t="shared" si="1"/>
        <v>61.75</v>
      </c>
      <c r="AG14" s="20">
        <f t="shared" si="2"/>
        <v>81.55</v>
      </c>
      <c r="AH14" s="20">
        <f t="shared" si="3"/>
        <v>13.4</v>
      </c>
      <c r="AI14" s="20">
        <f t="shared" si="4"/>
        <v>33.700000000000003</v>
      </c>
      <c r="AJ14" s="20">
        <f t="shared" si="5"/>
        <v>25.8</v>
      </c>
      <c r="AK14" s="20">
        <f t="shared" si="6"/>
        <v>21.7</v>
      </c>
      <c r="AL14" s="20">
        <f t="shared" si="7"/>
        <v>16</v>
      </c>
      <c r="AM14" s="20">
        <f t="shared" si="8"/>
        <v>24.5</v>
      </c>
      <c r="AN14" s="20">
        <f t="shared" si="9"/>
        <v>30.05</v>
      </c>
      <c r="AO14" s="20">
        <f t="shared" si="10"/>
        <v>13.4</v>
      </c>
      <c r="AP14" s="20">
        <f t="shared" si="11"/>
        <v>15.65</v>
      </c>
      <c r="AQ14" s="20">
        <f t="shared" si="12"/>
        <v>38.950000000000003</v>
      </c>
      <c r="AR14" s="20">
        <f t="shared" si="13"/>
        <v>60.050000000000004</v>
      </c>
      <c r="AS14" s="35">
        <f t="shared" si="29"/>
        <v>436.5</v>
      </c>
      <c r="AU14" s="47">
        <v>554507</v>
      </c>
      <c r="AV14" s="37">
        <f t="shared" si="31"/>
        <v>3172</v>
      </c>
      <c r="AW14" s="35">
        <f t="shared" si="30"/>
        <v>6.3440000000000003</v>
      </c>
    </row>
    <row r="15" spans="1:49" x14ac:dyDescent="0.25">
      <c r="A15" s="23">
        <v>43747</v>
      </c>
      <c r="B15" s="40">
        <v>148</v>
      </c>
      <c r="C15" s="24">
        <v>5540430</v>
      </c>
      <c r="D15" s="24">
        <v>11541120</v>
      </c>
      <c r="E15" s="24">
        <v>1402710</v>
      </c>
      <c r="F15" s="24">
        <v>2502330</v>
      </c>
      <c r="G15" s="24">
        <v>7594770</v>
      </c>
      <c r="H15" s="24">
        <v>3504030</v>
      </c>
      <c r="I15" s="24">
        <v>3549470</v>
      </c>
      <c r="J15" s="24">
        <v>3959770</v>
      </c>
      <c r="K15" s="24">
        <v>6523030</v>
      </c>
      <c r="L15" s="24">
        <v>2277780</v>
      </c>
      <c r="M15" s="24">
        <v>6123140</v>
      </c>
      <c r="N15" s="24">
        <v>8210140</v>
      </c>
      <c r="O15" s="24">
        <v>10547280</v>
      </c>
      <c r="Q15" s="37">
        <f t="shared" si="16"/>
        <v>9640</v>
      </c>
      <c r="R15" s="37">
        <f t="shared" si="17"/>
        <v>13700</v>
      </c>
      <c r="S15" s="37">
        <f t="shared" si="15"/>
        <v>2760</v>
      </c>
      <c r="T15" s="37">
        <f t="shared" si="18"/>
        <v>5640</v>
      </c>
      <c r="U15" s="37">
        <f t="shared" si="19"/>
        <v>4880</v>
      </c>
      <c r="V15" s="37">
        <f t="shared" si="20"/>
        <v>4270</v>
      </c>
      <c r="W15" s="37">
        <f t="shared" si="21"/>
        <v>3120</v>
      </c>
      <c r="X15" s="37">
        <f t="shared" si="22"/>
        <v>4840</v>
      </c>
      <c r="Y15" s="37">
        <f t="shared" si="23"/>
        <v>6000</v>
      </c>
      <c r="Z15" s="37">
        <f t="shared" si="24"/>
        <v>2790</v>
      </c>
      <c r="AA15" s="37">
        <f t="shared" si="25"/>
        <v>3180</v>
      </c>
      <c r="AB15" s="37">
        <f t="shared" si="26"/>
        <v>7660</v>
      </c>
      <c r="AC15" s="37">
        <f t="shared" si="27"/>
        <v>12070</v>
      </c>
      <c r="AD15" s="35">
        <f t="shared" si="28"/>
        <v>80550</v>
      </c>
      <c r="AF15" s="20">
        <f t="shared" si="1"/>
        <v>48.2</v>
      </c>
      <c r="AG15" s="20">
        <f t="shared" si="2"/>
        <v>68.5</v>
      </c>
      <c r="AH15" s="20">
        <f t="shared" si="3"/>
        <v>13.8</v>
      </c>
      <c r="AI15" s="20">
        <f t="shared" si="4"/>
        <v>28.2</v>
      </c>
      <c r="AJ15" s="20">
        <f t="shared" si="5"/>
        <v>24.400000000000002</v>
      </c>
      <c r="AK15" s="20">
        <f t="shared" si="6"/>
        <v>21.35</v>
      </c>
      <c r="AL15" s="20">
        <f t="shared" si="7"/>
        <v>15.6</v>
      </c>
      <c r="AM15" s="20">
        <f t="shared" si="8"/>
        <v>24.2</v>
      </c>
      <c r="AN15" s="20">
        <f t="shared" si="9"/>
        <v>30</v>
      </c>
      <c r="AO15" s="20">
        <f t="shared" si="10"/>
        <v>13.950000000000001</v>
      </c>
      <c r="AP15" s="20">
        <f t="shared" si="11"/>
        <v>15.9</v>
      </c>
      <c r="AQ15" s="20">
        <f t="shared" si="12"/>
        <v>38.300000000000004</v>
      </c>
      <c r="AR15" s="20">
        <f t="shared" si="13"/>
        <v>60.35</v>
      </c>
      <c r="AS15" s="35">
        <f t="shared" si="29"/>
        <v>402.75</v>
      </c>
      <c r="AU15" s="47">
        <v>556897</v>
      </c>
      <c r="AV15" s="37">
        <f t="shared" si="31"/>
        <v>2390</v>
      </c>
      <c r="AW15" s="35">
        <f t="shared" si="30"/>
        <v>4.78</v>
      </c>
    </row>
    <row r="16" spans="1:49" x14ac:dyDescent="0.25">
      <c r="A16" s="23">
        <v>43748</v>
      </c>
      <c r="B16" s="40">
        <v>279</v>
      </c>
      <c r="C16" s="24">
        <v>5551940</v>
      </c>
      <c r="D16" s="24">
        <v>11556840</v>
      </c>
      <c r="E16" s="24">
        <v>1402970</v>
      </c>
      <c r="F16" s="24">
        <v>2507620</v>
      </c>
      <c r="G16" s="24">
        <v>7600240</v>
      </c>
      <c r="H16" s="24">
        <v>3508380</v>
      </c>
      <c r="I16" s="24">
        <v>3553170</v>
      </c>
      <c r="J16" s="24">
        <v>3964670</v>
      </c>
      <c r="K16" s="24">
        <v>6529270</v>
      </c>
      <c r="L16" s="24">
        <v>2280890</v>
      </c>
      <c r="M16" s="24">
        <v>6126720</v>
      </c>
      <c r="N16" s="24">
        <v>8217490</v>
      </c>
      <c r="O16" s="24">
        <v>10559990</v>
      </c>
      <c r="Q16" s="37">
        <f t="shared" si="16"/>
        <v>11510</v>
      </c>
      <c r="R16" s="37">
        <f t="shared" si="17"/>
        <v>15720</v>
      </c>
      <c r="S16" s="37">
        <f t="shared" si="15"/>
        <v>260</v>
      </c>
      <c r="T16" s="37">
        <f t="shared" si="18"/>
        <v>5290</v>
      </c>
      <c r="U16" s="37">
        <f t="shared" si="19"/>
        <v>5470</v>
      </c>
      <c r="V16" s="37">
        <f t="shared" si="20"/>
        <v>4350</v>
      </c>
      <c r="W16" s="37">
        <f t="shared" si="21"/>
        <v>3700</v>
      </c>
      <c r="X16" s="37">
        <f t="shared" si="22"/>
        <v>4900</v>
      </c>
      <c r="Y16" s="37">
        <f t="shared" si="23"/>
        <v>6240</v>
      </c>
      <c r="Z16" s="37">
        <f t="shared" si="24"/>
        <v>3110</v>
      </c>
      <c r="AA16" s="37">
        <f t="shared" si="25"/>
        <v>3580</v>
      </c>
      <c r="AB16" s="37">
        <f t="shared" si="26"/>
        <v>7350</v>
      </c>
      <c r="AC16" s="37">
        <f t="shared" si="27"/>
        <v>12710</v>
      </c>
      <c r="AD16" s="35">
        <f t="shared" si="28"/>
        <v>84190</v>
      </c>
      <c r="AF16" s="20">
        <f t="shared" si="1"/>
        <v>57.550000000000004</v>
      </c>
      <c r="AG16" s="20">
        <f t="shared" si="2"/>
        <v>78.600000000000009</v>
      </c>
      <c r="AH16" s="20">
        <f t="shared" si="3"/>
        <v>1.3</v>
      </c>
      <c r="AI16" s="20">
        <f t="shared" si="4"/>
        <v>26.45</v>
      </c>
      <c r="AJ16" s="20">
        <f t="shared" si="5"/>
        <v>27.35</v>
      </c>
      <c r="AK16" s="20">
        <f t="shared" si="6"/>
        <v>21.75</v>
      </c>
      <c r="AL16" s="20">
        <f t="shared" si="7"/>
        <v>18.5</v>
      </c>
      <c r="AM16" s="20">
        <f t="shared" si="8"/>
        <v>24.5</v>
      </c>
      <c r="AN16" s="20">
        <f t="shared" si="9"/>
        <v>31.2</v>
      </c>
      <c r="AO16" s="20">
        <f t="shared" si="10"/>
        <v>15.55</v>
      </c>
      <c r="AP16" s="20">
        <f t="shared" si="11"/>
        <v>17.900000000000002</v>
      </c>
      <c r="AQ16" s="20">
        <f t="shared" si="12"/>
        <v>36.75</v>
      </c>
      <c r="AR16" s="20">
        <f t="shared" si="13"/>
        <v>63.550000000000004</v>
      </c>
      <c r="AS16" s="35">
        <f t="shared" si="29"/>
        <v>420.95</v>
      </c>
      <c r="AU16" s="47">
        <v>560014</v>
      </c>
      <c r="AV16" s="37">
        <f t="shared" si="31"/>
        <v>3117</v>
      </c>
      <c r="AW16" s="35">
        <f t="shared" si="30"/>
        <v>6.234</v>
      </c>
    </row>
    <row r="17" spans="1:49" x14ac:dyDescent="0.25">
      <c r="A17" s="23">
        <v>43749</v>
      </c>
      <c r="B17" s="40">
        <v>280</v>
      </c>
      <c r="C17" s="24">
        <v>5562760</v>
      </c>
      <c r="D17" s="24">
        <v>11571940</v>
      </c>
      <c r="E17" s="24">
        <v>1404680</v>
      </c>
      <c r="F17" s="24">
        <v>2513080</v>
      </c>
      <c r="G17" s="24">
        <v>7605810</v>
      </c>
      <c r="H17" s="24">
        <v>3512790</v>
      </c>
      <c r="I17" s="24">
        <v>3556870</v>
      </c>
      <c r="J17" s="24">
        <v>3969580</v>
      </c>
      <c r="K17" s="24">
        <v>6535700</v>
      </c>
      <c r="L17" s="24">
        <v>2284010</v>
      </c>
      <c r="M17" s="24">
        <v>6130240</v>
      </c>
      <c r="N17" s="24">
        <v>8224730</v>
      </c>
      <c r="O17" s="24">
        <v>10571780</v>
      </c>
      <c r="Q17" s="37">
        <f t="shared" si="16"/>
        <v>10820</v>
      </c>
      <c r="R17" s="37">
        <f t="shared" si="17"/>
        <v>15100</v>
      </c>
      <c r="S17" s="37">
        <f t="shared" si="15"/>
        <v>1710</v>
      </c>
      <c r="T17" s="37">
        <f t="shared" si="18"/>
        <v>5460</v>
      </c>
      <c r="U17" s="37">
        <f t="shared" si="19"/>
        <v>5570</v>
      </c>
      <c r="V17" s="37">
        <f t="shared" si="20"/>
        <v>4410</v>
      </c>
      <c r="W17" s="37">
        <f t="shared" si="21"/>
        <v>3700</v>
      </c>
      <c r="X17" s="37">
        <f t="shared" si="22"/>
        <v>4910</v>
      </c>
      <c r="Y17" s="37">
        <f t="shared" si="23"/>
        <v>6430</v>
      </c>
      <c r="Z17" s="37">
        <f t="shared" si="24"/>
        <v>3120</v>
      </c>
      <c r="AA17" s="37">
        <f t="shared" si="25"/>
        <v>3520</v>
      </c>
      <c r="AB17" s="37">
        <f t="shared" si="26"/>
        <v>7240</v>
      </c>
      <c r="AC17" s="37">
        <f t="shared" si="27"/>
        <v>11790</v>
      </c>
      <c r="AD17" s="35">
        <f t="shared" si="28"/>
        <v>83780</v>
      </c>
      <c r="AF17" s="20">
        <f t="shared" si="1"/>
        <v>54.1</v>
      </c>
      <c r="AG17" s="20">
        <f t="shared" si="2"/>
        <v>75.5</v>
      </c>
      <c r="AH17" s="20">
        <f t="shared" si="3"/>
        <v>8.5500000000000007</v>
      </c>
      <c r="AI17" s="20">
        <f t="shared" si="4"/>
        <v>27.3</v>
      </c>
      <c r="AJ17" s="20">
        <f t="shared" si="5"/>
        <v>27.85</v>
      </c>
      <c r="AK17" s="20">
        <f t="shared" si="6"/>
        <v>22.05</v>
      </c>
      <c r="AL17" s="20">
        <f t="shared" si="7"/>
        <v>18.5</v>
      </c>
      <c r="AM17" s="20">
        <f t="shared" si="8"/>
        <v>24.55</v>
      </c>
      <c r="AN17" s="20">
        <f t="shared" si="9"/>
        <v>32.15</v>
      </c>
      <c r="AO17" s="20">
        <f t="shared" si="10"/>
        <v>15.6</v>
      </c>
      <c r="AP17" s="20">
        <f t="shared" si="11"/>
        <v>17.600000000000001</v>
      </c>
      <c r="AQ17" s="20">
        <f t="shared" si="12"/>
        <v>36.200000000000003</v>
      </c>
      <c r="AR17" s="20">
        <f t="shared" si="13"/>
        <v>58.95</v>
      </c>
      <c r="AS17" s="35">
        <f t="shared" si="29"/>
        <v>418.90000000000003</v>
      </c>
      <c r="AU17" s="47">
        <v>561803</v>
      </c>
      <c r="AV17" s="37">
        <f t="shared" si="31"/>
        <v>1789</v>
      </c>
      <c r="AW17" s="35">
        <f t="shared" si="30"/>
        <v>3.5780000000000003</v>
      </c>
    </row>
    <row r="18" spans="1:49" x14ac:dyDescent="0.25">
      <c r="A18" s="23">
        <v>43750</v>
      </c>
      <c r="B18" s="40">
        <v>139</v>
      </c>
      <c r="C18" s="24">
        <v>5573270</v>
      </c>
      <c r="D18" s="24">
        <v>11586660</v>
      </c>
      <c r="E18" s="24">
        <v>1408240</v>
      </c>
      <c r="F18" s="24">
        <v>2518850</v>
      </c>
      <c r="G18" s="24">
        <v>7611390</v>
      </c>
      <c r="H18" s="24">
        <v>3517200</v>
      </c>
      <c r="I18" s="24">
        <v>3560630</v>
      </c>
      <c r="J18" s="24">
        <v>3974670</v>
      </c>
      <c r="K18" s="24">
        <v>6542160</v>
      </c>
      <c r="L18" s="24">
        <v>2287020</v>
      </c>
      <c r="M18" s="24">
        <v>6133960</v>
      </c>
      <c r="N18" s="24">
        <v>8232220</v>
      </c>
      <c r="O18" s="24">
        <v>10583530</v>
      </c>
      <c r="Q18" s="37">
        <f t="shared" si="16"/>
        <v>10510</v>
      </c>
      <c r="R18" s="37">
        <f t="shared" si="17"/>
        <v>14720</v>
      </c>
      <c r="S18" s="37">
        <f t="shared" si="15"/>
        <v>3560</v>
      </c>
      <c r="T18" s="37">
        <f t="shared" si="18"/>
        <v>5770</v>
      </c>
      <c r="U18" s="37">
        <f t="shared" si="19"/>
        <v>5580</v>
      </c>
      <c r="V18" s="37">
        <f t="shared" si="20"/>
        <v>4410</v>
      </c>
      <c r="W18" s="37">
        <f t="shared" si="21"/>
        <v>3760</v>
      </c>
      <c r="X18" s="37">
        <f t="shared" si="22"/>
        <v>5090</v>
      </c>
      <c r="Y18" s="37">
        <f t="shared" si="23"/>
        <v>6460</v>
      </c>
      <c r="Z18" s="37">
        <f t="shared" si="24"/>
        <v>3010</v>
      </c>
      <c r="AA18" s="37">
        <f t="shared" si="25"/>
        <v>3720</v>
      </c>
      <c r="AB18" s="37">
        <f t="shared" si="26"/>
        <v>7490</v>
      </c>
      <c r="AC18" s="37">
        <f t="shared" si="27"/>
        <v>11750</v>
      </c>
      <c r="AD18" s="35">
        <f t="shared" si="28"/>
        <v>85830</v>
      </c>
      <c r="AF18" s="20">
        <f t="shared" si="1"/>
        <v>52.550000000000004</v>
      </c>
      <c r="AG18" s="20">
        <f t="shared" si="2"/>
        <v>73.600000000000009</v>
      </c>
      <c r="AH18" s="20">
        <f t="shared" si="3"/>
        <v>17.8</v>
      </c>
      <c r="AI18" s="20">
        <f t="shared" si="4"/>
        <v>28.85</v>
      </c>
      <c r="AJ18" s="20">
        <f t="shared" si="5"/>
        <v>27.900000000000002</v>
      </c>
      <c r="AK18" s="20">
        <f t="shared" si="6"/>
        <v>22.05</v>
      </c>
      <c r="AL18" s="20">
        <f t="shared" si="7"/>
        <v>18.8</v>
      </c>
      <c r="AM18" s="20">
        <f t="shared" si="8"/>
        <v>25.45</v>
      </c>
      <c r="AN18" s="20">
        <f t="shared" si="9"/>
        <v>32.299999999999997</v>
      </c>
      <c r="AO18" s="20">
        <f t="shared" si="10"/>
        <v>15.05</v>
      </c>
      <c r="AP18" s="20">
        <f t="shared" si="11"/>
        <v>18.600000000000001</v>
      </c>
      <c r="AQ18" s="20">
        <f t="shared" si="12"/>
        <v>37.450000000000003</v>
      </c>
      <c r="AR18" s="20">
        <f t="shared" si="13"/>
        <v>58.75</v>
      </c>
      <c r="AS18" s="35">
        <f t="shared" si="29"/>
        <v>429.15000000000009</v>
      </c>
      <c r="AU18" s="47">
        <v>565125</v>
      </c>
      <c r="AV18" s="37">
        <f t="shared" si="31"/>
        <v>3322</v>
      </c>
      <c r="AW18" s="35">
        <f t="shared" si="30"/>
        <v>6.6440000000000001</v>
      </c>
    </row>
    <row r="19" spans="1:49" x14ac:dyDescent="0.25">
      <c r="A19" s="23">
        <v>43751</v>
      </c>
      <c r="B19" s="40">
        <v>122</v>
      </c>
      <c r="C19" s="24">
        <v>5583450</v>
      </c>
      <c r="D19" s="24">
        <v>11601000</v>
      </c>
      <c r="E19" s="24">
        <v>1411640</v>
      </c>
      <c r="F19" s="24">
        <v>2522440</v>
      </c>
      <c r="G19" s="24">
        <v>7616590</v>
      </c>
      <c r="H19" s="24">
        <v>3521520</v>
      </c>
      <c r="I19" s="24">
        <v>3564390</v>
      </c>
      <c r="J19" s="24">
        <v>3979660</v>
      </c>
      <c r="K19" s="24">
        <v>6548140</v>
      </c>
      <c r="L19" s="24">
        <v>2289740</v>
      </c>
      <c r="M19" s="24">
        <v>6137420</v>
      </c>
      <c r="N19" s="24">
        <v>8239720</v>
      </c>
      <c r="O19" s="24">
        <v>10594600</v>
      </c>
      <c r="Q19" s="37">
        <f t="shared" si="16"/>
        <v>10180</v>
      </c>
      <c r="R19" s="37">
        <f t="shared" si="17"/>
        <v>14340</v>
      </c>
      <c r="S19" s="37">
        <f t="shared" si="15"/>
        <v>3400</v>
      </c>
      <c r="T19" s="37">
        <f t="shared" si="18"/>
        <v>3590</v>
      </c>
      <c r="U19" s="37">
        <f t="shared" si="19"/>
        <v>5200</v>
      </c>
      <c r="V19" s="37">
        <f t="shared" si="20"/>
        <v>4320</v>
      </c>
      <c r="W19" s="37">
        <f t="shared" si="21"/>
        <v>3760</v>
      </c>
      <c r="X19" s="37">
        <f t="shared" si="22"/>
        <v>4990</v>
      </c>
      <c r="Y19" s="37">
        <f t="shared" si="23"/>
        <v>5980</v>
      </c>
      <c r="Z19" s="37">
        <f t="shared" si="24"/>
        <v>2720</v>
      </c>
      <c r="AA19" s="37">
        <f t="shared" si="25"/>
        <v>3460</v>
      </c>
      <c r="AB19" s="37">
        <f t="shared" si="26"/>
        <v>7500</v>
      </c>
      <c r="AC19" s="37">
        <f t="shared" si="27"/>
        <v>11070</v>
      </c>
      <c r="AD19" s="35">
        <f t="shared" si="28"/>
        <v>80510</v>
      </c>
      <c r="AF19" s="20">
        <f t="shared" si="1"/>
        <v>50.9</v>
      </c>
      <c r="AG19" s="20">
        <f t="shared" si="2"/>
        <v>71.7</v>
      </c>
      <c r="AH19" s="20">
        <f t="shared" si="3"/>
        <v>17</v>
      </c>
      <c r="AI19" s="20">
        <f t="shared" si="4"/>
        <v>17.95</v>
      </c>
      <c r="AJ19" s="20">
        <f t="shared" si="5"/>
        <v>26</v>
      </c>
      <c r="AK19" s="20">
        <f t="shared" si="6"/>
        <v>21.6</v>
      </c>
      <c r="AL19" s="20">
        <f t="shared" si="7"/>
        <v>18.8</v>
      </c>
      <c r="AM19" s="20">
        <f t="shared" si="8"/>
        <v>24.95</v>
      </c>
      <c r="AN19" s="20">
        <f t="shared" si="9"/>
        <v>29.900000000000002</v>
      </c>
      <c r="AO19" s="20">
        <f t="shared" si="10"/>
        <v>13.6</v>
      </c>
      <c r="AP19" s="20">
        <f t="shared" si="11"/>
        <v>17.3</v>
      </c>
      <c r="AQ19" s="20">
        <f t="shared" si="12"/>
        <v>37.5</v>
      </c>
      <c r="AR19" s="20">
        <f t="shared" si="13"/>
        <v>55.35</v>
      </c>
      <c r="AS19" s="35">
        <f t="shared" si="29"/>
        <v>402.55</v>
      </c>
      <c r="AU19" s="47">
        <v>567550</v>
      </c>
      <c r="AV19" s="37">
        <f t="shared" si="31"/>
        <v>2425</v>
      </c>
      <c r="AW19" s="35">
        <f t="shared" si="30"/>
        <v>4.8500000000000005</v>
      </c>
    </row>
    <row r="20" spans="1:49" x14ac:dyDescent="0.25">
      <c r="A20" s="23">
        <v>43752</v>
      </c>
      <c r="B20" s="40">
        <v>168</v>
      </c>
      <c r="C20" s="24">
        <v>5592440</v>
      </c>
      <c r="D20" s="24">
        <v>11615790</v>
      </c>
      <c r="E20" s="24">
        <v>1412200</v>
      </c>
      <c r="F20" s="24">
        <v>2524170</v>
      </c>
      <c r="G20" s="24">
        <v>7621770</v>
      </c>
      <c r="H20" s="24">
        <v>3525740</v>
      </c>
      <c r="I20" s="24">
        <v>3567890</v>
      </c>
      <c r="J20" s="24">
        <v>3984720</v>
      </c>
      <c r="K20" s="24">
        <v>6554230</v>
      </c>
      <c r="L20" s="24">
        <v>2292580</v>
      </c>
      <c r="M20" s="24">
        <v>6140810</v>
      </c>
      <c r="N20" s="24">
        <v>8247180</v>
      </c>
      <c r="O20" s="24">
        <v>10606130</v>
      </c>
      <c r="Q20" s="37">
        <f t="shared" si="16"/>
        <v>8990</v>
      </c>
      <c r="R20" s="37">
        <f t="shared" si="17"/>
        <v>14790</v>
      </c>
      <c r="S20" s="37">
        <f t="shared" si="15"/>
        <v>560</v>
      </c>
      <c r="T20" s="37">
        <f t="shared" si="18"/>
        <v>1730</v>
      </c>
      <c r="U20" s="37">
        <f t="shared" si="19"/>
        <v>5180</v>
      </c>
      <c r="V20" s="37">
        <f t="shared" si="20"/>
        <v>4220</v>
      </c>
      <c r="W20" s="37">
        <f t="shared" si="21"/>
        <v>3500</v>
      </c>
      <c r="X20" s="37">
        <f t="shared" si="22"/>
        <v>5060</v>
      </c>
      <c r="Y20" s="37">
        <f t="shared" si="23"/>
        <v>6090</v>
      </c>
      <c r="Z20" s="37">
        <f t="shared" si="24"/>
        <v>2840</v>
      </c>
      <c r="AA20" s="37">
        <f t="shared" si="25"/>
        <v>3390</v>
      </c>
      <c r="AB20" s="37">
        <f t="shared" si="26"/>
        <v>7460</v>
      </c>
      <c r="AC20" s="37">
        <f t="shared" si="27"/>
        <v>11530</v>
      </c>
      <c r="AD20" s="35">
        <f t="shared" si="28"/>
        <v>75340</v>
      </c>
      <c r="AF20" s="20">
        <f t="shared" si="1"/>
        <v>44.95</v>
      </c>
      <c r="AG20" s="20">
        <f t="shared" si="2"/>
        <v>73.95</v>
      </c>
      <c r="AH20" s="20">
        <f t="shared" si="3"/>
        <v>2.8000000000000003</v>
      </c>
      <c r="AI20" s="20">
        <f t="shared" si="4"/>
        <v>8.65</v>
      </c>
      <c r="AJ20" s="20">
        <f t="shared" si="5"/>
        <v>25.900000000000002</v>
      </c>
      <c r="AK20" s="20">
        <f t="shared" si="6"/>
        <v>21.1</v>
      </c>
      <c r="AL20" s="20">
        <f t="shared" si="7"/>
        <v>17.5</v>
      </c>
      <c r="AM20" s="20">
        <f t="shared" si="8"/>
        <v>25.3</v>
      </c>
      <c r="AN20" s="20">
        <f t="shared" si="9"/>
        <v>30.45</v>
      </c>
      <c r="AO20" s="20">
        <f t="shared" si="10"/>
        <v>14.200000000000001</v>
      </c>
      <c r="AP20" s="20">
        <f t="shared" si="11"/>
        <v>16.95</v>
      </c>
      <c r="AQ20" s="20">
        <f t="shared" si="12"/>
        <v>37.300000000000004</v>
      </c>
      <c r="AR20" s="20">
        <f t="shared" si="13"/>
        <v>57.65</v>
      </c>
      <c r="AS20" s="35">
        <f t="shared" si="29"/>
        <v>376.7</v>
      </c>
      <c r="AU20" s="47">
        <v>569805</v>
      </c>
      <c r="AV20" s="37">
        <f t="shared" si="31"/>
        <v>2255</v>
      </c>
      <c r="AW20" s="35">
        <f t="shared" si="30"/>
        <v>4.51</v>
      </c>
    </row>
    <row r="21" spans="1:49" x14ac:dyDescent="0.25">
      <c r="A21" s="23">
        <v>43753</v>
      </c>
      <c r="B21" s="40">
        <v>176</v>
      </c>
      <c r="C21" s="24">
        <v>5605450</v>
      </c>
      <c r="D21" s="24">
        <v>11631240</v>
      </c>
      <c r="E21" s="24">
        <v>1412430</v>
      </c>
      <c r="F21" s="24">
        <v>2525930</v>
      </c>
      <c r="G21" s="24">
        <v>7626870</v>
      </c>
      <c r="H21" s="24">
        <v>3530020</v>
      </c>
      <c r="I21" s="24">
        <v>3571280</v>
      </c>
      <c r="J21" s="24">
        <v>3989860</v>
      </c>
      <c r="K21" s="24">
        <v>6560630</v>
      </c>
      <c r="L21" s="24">
        <v>2295490</v>
      </c>
      <c r="M21" s="24">
        <v>6144190</v>
      </c>
      <c r="N21" s="24">
        <v>8254740</v>
      </c>
      <c r="O21" s="24">
        <v>10617860</v>
      </c>
      <c r="Q21" s="37">
        <f t="shared" si="16"/>
        <v>13010</v>
      </c>
      <c r="R21" s="37">
        <f t="shared" si="17"/>
        <v>15450</v>
      </c>
      <c r="S21" s="37">
        <f t="shared" si="15"/>
        <v>230</v>
      </c>
      <c r="T21" s="37">
        <f t="shared" si="18"/>
        <v>1760</v>
      </c>
      <c r="U21" s="37">
        <f t="shared" si="19"/>
        <v>5100</v>
      </c>
      <c r="V21" s="37">
        <f t="shared" si="20"/>
        <v>4280</v>
      </c>
      <c r="W21" s="37">
        <f t="shared" si="21"/>
        <v>3390</v>
      </c>
      <c r="X21" s="37">
        <f t="shared" si="22"/>
        <v>5140</v>
      </c>
      <c r="Y21" s="37">
        <f t="shared" si="23"/>
        <v>6400</v>
      </c>
      <c r="Z21" s="37">
        <f t="shared" si="24"/>
        <v>2910</v>
      </c>
      <c r="AA21" s="37">
        <f t="shared" si="25"/>
        <v>3380</v>
      </c>
      <c r="AB21" s="37">
        <f t="shared" si="26"/>
        <v>7560</v>
      </c>
      <c r="AC21" s="37">
        <f t="shared" si="27"/>
        <v>11730</v>
      </c>
      <c r="AD21" s="35">
        <f t="shared" si="28"/>
        <v>80340</v>
      </c>
      <c r="AF21" s="20">
        <f t="shared" si="1"/>
        <v>65.05</v>
      </c>
      <c r="AG21" s="20">
        <f t="shared" si="2"/>
        <v>77.25</v>
      </c>
      <c r="AH21" s="20">
        <f t="shared" si="3"/>
        <v>1.1500000000000001</v>
      </c>
      <c r="AI21" s="20">
        <f t="shared" si="4"/>
        <v>8.8000000000000007</v>
      </c>
      <c r="AJ21" s="20">
        <f t="shared" si="5"/>
        <v>25.5</v>
      </c>
      <c r="AK21" s="20">
        <f t="shared" si="6"/>
        <v>21.400000000000002</v>
      </c>
      <c r="AL21" s="20">
        <f t="shared" si="7"/>
        <v>16.95</v>
      </c>
      <c r="AM21" s="20">
        <f t="shared" si="8"/>
        <v>25.7</v>
      </c>
      <c r="AN21" s="20">
        <f t="shared" si="9"/>
        <v>32</v>
      </c>
      <c r="AO21" s="20">
        <f t="shared" si="10"/>
        <v>14.55</v>
      </c>
      <c r="AP21" s="20">
        <f t="shared" si="11"/>
        <v>16.899999999999999</v>
      </c>
      <c r="AQ21" s="20">
        <f t="shared" si="12"/>
        <v>37.800000000000004</v>
      </c>
      <c r="AR21" s="20">
        <f t="shared" si="13"/>
        <v>58.65</v>
      </c>
      <c r="AS21" s="35">
        <f t="shared" si="29"/>
        <v>401.7</v>
      </c>
      <c r="AU21" s="47">
        <v>572665</v>
      </c>
      <c r="AV21" s="37">
        <f t="shared" si="31"/>
        <v>2860</v>
      </c>
      <c r="AW21" s="35">
        <f t="shared" si="30"/>
        <v>5.72</v>
      </c>
    </row>
    <row r="22" spans="1:49" x14ac:dyDescent="0.25">
      <c r="A22" s="23">
        <v>43754</v>
      </c>
      <c r="B22" s="40">
        <v>190</v>
      </c>
      <c r="C22" s="24">
        <v>5615830</v>
      </c>
      <c r="D22" s="24">
        <v>11646110</v>
      </c>
      <c r="E22" s="24">
        <v>1412620</v>
      </c>
      <c r="F22" s="24">
        <v>2527630</v>
      </c>
      <c r="G22" s="24">
        <v>7632290</v>
      </c>
      <c r="H22" s="24">
        <v>3534430</v>
      </c>
      <c r="I22" s="24">
        <v>3575290</v>
      </c>
      <c r="J22" s="44">
        <v>3995100</v>
      </c>
      <c r="K22" s="24">
        <v>6567160</v>
      </c>
      <c r="L22" s="24">
        <v>2298400</v>
      </c>
      <c r="M22" s="24">
        <v>6147690</v>
      </c>
      <c r="N22" s="24">
        <v>8262220</v>
      </c>
      <c r="O22" s="44">
        <v>10629760</v>
      </c>
      <c r="Q22" s="37">
        <f t="shared" si="16"/>
        <v>10380</v>
      </c>
      <c r="R22" s="37">
        <f t="shared" si="17"/>
        <v>14870</v>
      </c>
      <c r="S22" s="37">
        <f t="shared" si="15"/>
        <v>190</v>
      </c>
      <c r="T22" s="37">
        <f t="shared" si="18"/>
        <v>1700</v>
      </c>
      <c r="U22" s="37">
        <f t="shared" si="19"/>
        <v>5420</v>
      </c>
      <c r="V22" s="37">
        <f t="shared" si="20"/>
        <v>4410</v>
      </c>
      <c r="W22" s="37">
        <f t="shared" si="21"/>
        <v>4010</v>
      </c>
      <c r="X22" s="37">
        <f t="shared" si="22"/>
        <v>5240</v>
      </c>
      <c r="Y22" s="37">
        <f t="shared" si="23"/>
        <v>6530</v>
      </c>
      <c r="Z22" s="37">
        <f t="shared" si="24"/>
        <v>2910</v>
      </c>
      <c r="AA22" s="37">
        <f t="shared" si="25"/>
        <v>3500</v>
      </c>
      <c r="AB22" s="37">
        <f t="shared" si="26"/>
        <v>7480</v>
      </c>
      <c r="AC22" s="37">
        <f t="shared" si="27"/>
        <v>11900</v>
      </c>
      <c r="AD22" s="35">
        <f t="shared" si="28"/>
        <v>78540</v>
      </c>
      <c r="AF22" s="20">
        <f t="shared" si="1"/>
        <v>51.9</v>
      </c>
      <c r="AG22" s="20">
        <f t="shared" si="2"/>
        <v>74.350000000000009</v>
      </c>
      <c r="AH22" s="20">
        <f t="shared" si="3"/>
        <v>0.95000000000000007</v>
      </c>
      <c r="AI22" s="20">
        <f t="shared" si="4"/>
        <v>8.5</v>
      </c>
      <c r="AJ22" s="20">
        <f t="shared" si="5"/>
        <v>27.1</v>
      </c>
      <c r="AK22" s="20">
        <f t="shared" si="6"/>
        <v>22.05</v>
      </c>
      <c r="AL22" s="20">
        <f t="shared" si="7"/>
        <v>20.05</v>
      </c>
      <c r="AM22" s="20">
        <f t="shared" si="8"/>
        <v>26.2</v>
      </c>
      <c r="AN22" s="20">
        <f t="shared" si="9"/>
        <v>32.65</v>
      </c>
      <c r="AO22" s="20">
        <f t="shared" si="10"/>
        <v>14.55</v>
      </c>
      <c r="AP22" s="20">
        <f t="shared" si="11"/>
        <v>17.5</v>
      </c>
      <c r="AQ22" s="20">
        <f t="shared" si="12"/>
        <v>37.4</v>
      </c>
      <c r="AR22" s="20">
        <f t="shared" si="13"/>
        <v>59.5</v>
      </c>
      <c r="AS22" s="35">
        <f t="shared" si="29"/>
        <v>392.7</v>
      </c>
      <c r="AU22" s="47">
        <v>575164</v>
      </c>
      <c r="AV22" s="37">
        <f t="shared" si="31"/>
        <v>2499</v>
      </c>
      <c r="AW22" s="35">
        <f t="shared" si="30"/>
        <v>4.9980000000000002</v>
      </c>
    </row>
    <row r="23" spans="1:49" x14ac:dyDescent="0.25">
      <c r="A23" s="23">
        <v>43755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 t="str">
        <f t="shared" si="16"/>
        <v>0</v>
      </c>
      <c r="R23" s="37" t="str">
        <f t="shared" si="17"/>
        <v>0</v>
      </c>
      <c r="S23" s="37" t="str">
        <f t="shared" si="15"/>
        <v>0</v>
      </c>
      <c r="T23" s="37" t="str">
        <f t="shared" si="18"/>
        <v>0</v>
      </c>
      <c r="U23" s="37" t="str">
        <f t="shared" si="19"/>
        <v>0</v>
      </c>
      <c r="V23" s="37" t="str">
        <f t="shared" si="20"/>
        <v>0</v>
      </c>
      <c r="W23" s="37" t="str">
        <f t="shared" si="21"/>
        <v>0</v>
      </c>
      <c r="X23" s="37" t="str">
        <f t="shared" si="22"/>
        <v>0</v>
      </c>
      <c r="Y23" s="37" t="str">
        <f t="shared" si="23"/>
        <v>0</v>
      </c>
      <c r="Z23" s="37" t="str">
        <f t="shared" si="24"/>
        <v>0</v>
      </c>
      <c r="AA23" s="37" t="str">
        <f t="shared" si="25"/>
        <v>0</v>
      </c>
      <c r="AB23" s="37" t="str">
        <f t="shared" si="26"/>
        <v>0</v>
      </c>
      <c r="AC23" s="37" t="str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 t="str">
        <f t="shared" si="31"/>
        <v>0</v>
      </c>
      <c r="AW23" s="35">
        <f t="shared" si="30"/>
        <v>0</v>
      </c>
    </row>
    <row r="24" spans="1:49" x14ac:dyDescent="0.25">
      <c r="A24" s="23">
        <v>43756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43757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2">IF((C25-C24&lt;0), "0",C25-C24)</f>
        <v>0</v>
      </c>
      <c r="R25" s="37">
        <f t="shared" si="32"/>
        <v>0</v>
      </c>
      <c r="S25" s="37">
        <f t="shared" si="32"/>
        <v>0</v>
      </c>
      <c r="T25" s="37">
        <f t="shared" si="32"/>
        <v>0</v>
      </c>
      <c r="U25" s="37">
        <f t="shared" si="32"/>
        <v>0</v>
      </c>
      <c r="V25" s="37">
        <f t="shared" si="32"/>
        <v>0</v>
      </c>
      <c r="W25" s="37">
        <f t="shared" si="32"/>
        <v>0</v>
      </c>
      <c r="X25" s="37">
        <f t="shared" si="32"/>
        <v>0</v>
      </c>
      <c r="Y25" s="37">
        <f t="shared" si="32"/>
        <v>0</v>
      </c>
      <c r="Z25" s="37">
        <f t="shared" si="32"/>
        <v>0</v>
      </c>
      <c r="AA25" s="37">
        <f t="shared" si="32"/>
        <v>0</v>
      </c>
      <c r="AB25" s="37">
        <f t="shared" si="32"/>
        <v>0</v>
      </c>
      <c r="AC25" s="37">
        <f t="shared" si="32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43758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2"/>
        <v>0</v>
      </c>
      <c r="R26" s="37">
        <f t="shared" si="32"/>
        <v>0</v>
      </c>
      <c r="S26" s="37">
        <f t="shared" si="32"/>
        <v>0</v>
      </c>
      <c r="T26" s="37">
        <f t="shared" si="32"/>
        <v>0</v>
      </c>
      <c r="U26" s="37">
        <f t="shared" si="32"/>
        <v>0</v>
      </c>
      <c r="V26" s="37">
        <f t="shared" si="32"/>
        <v>0</v>
      </c>
      <c r="W26" s="37">
        <f t="shared" si="32"/>
        <v>0</v>
      </c>
      <c r="X26" s="37">
        <f t="shared" si="32"/>
        <v>0</v>
      </c>
      <c r="Y26" s="37">
        <f t="shared" si="32"/>
        <v>0</v>
      </c>
      <c r="Z26" s="37">
        <f t="shared" si="32"/>
        <v>0</v>
      </c>
      <c r="AA26" s="37">
        <f t="shared" si="32"/>
        <v>0</v>
      </c>
      <c r="AB26" s="37">
        <f t="shared" si="32"/>
        <v>0</v>
      </c>
      <c r="AC26" s="37">
        <f t="shared" si="32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43759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2"/>
        <v>0</v>
      </c>
      <c r="R27" s="37">
        <f t="shared" si="32"/>
        <v>0</v>
      </c>
      <c r="S27" s="37">
        <f t="shared" si="32"/>
        <v>0</v>
      </c>
      <c r="T27" s="37">
        <f t="shared" si="32"/>
        <v>0</v>
      </c>
      <c r="U27" s="37">
        <f t="shared" si="32"/>
        <v>0</v>
      </c>
      <c r="V27" s="37">
        <f t="shared" si="32"/>
        <v>0</v>
      </c>
      <c r="W27" s="37">
        <f t="shared" si="32"/>
        <v>0</v>
      </c>
      <c r="X27" s="37">
        <f t="shared" si="32"/>
        <v>0</v>
      </c>
      <c r="Y27" s="37">
        <f t="shared" si="32"/>
        <v>0</v>
      </c>
      <c r="Z27" s="37">
        <f t="shared" si="32"/>
        <v>0</v>
      </c>
      <c r="AA27" s="37">
        <f t="shared" si="32"/>
        <v>0</v>
      </c>
      <c r="AB27" s="37">
        <f t="shared" si="32"/>
        <v>0</v>
      </c>
      <c r="AC27" s="37">
        <f t="shared" si="32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43760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43761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6" si="33">IF((AU29-AU28&lt;0),"0",AU29-AU28)</f>
        <v>0</v>
      </c>
      <c r="AW29" s="35">
        <f t="shared" si="30"/>
        <v>0</v>
      </c>
    </row>
    <row r="30" spans="1:49" x14ac:dyDescent="0.25">
      <c r="A30" s="23">
        <v>43762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3"/>
        <v>0</v>
      </c>
      <c r="AW30" s="35">
        <f t="shared" si="30"/>
        <v>0</v>
      </c>
    </row>
    <row r="31" spans="1:49" x14ac:dyDescent="0.25">
      <c r="A31" s="23">
        <v>43763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3"/>
        <v>0</v>
      </c>
      <c r="AW31" s="35">
        <f t="shared" si="30"/>
        <v>0</v>
      </c>
    </row>
    <row r="32" spans="1:49" x14ac:dyDescent="0.25">
      <c r="A32" s="23">
        <v>43764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3"/>
        <v>0</v>
      </c>
      <c r="AW32" s="35">
        <f t="shared" si="30"/>
        <v>0</v>
      </c>
    </row>
    <row r="33" spans="1:49" x14ac:dyDescent="0.25">
      <c r="A33" s="23">
        <v>43765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3"/>
        <v>0</v>
      </c>
      <c r="AW33" s="35">
        <f t="shared" si="30"/>
        <v>0</v>
      </c>
    </row>
    <row r="34" spans="1:49" x14ac:dyDescent="0.25">
      <c r="A34" s="23">
        <v>43766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3"/>
        <v>0</v>
      </c>
      <c r="AW34" s="35">
        <f t="shared" si="30"/>
        <v>0</v>
      </c>
    </row>
    <row r="35" spans="1:49" x14ac:dyDescent="0.25">
      <c r="A35" s="23">
        <v>43767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3"/>
        <v>0</v>
      </c>
      <c r="AW35" s="35">
        <f t="shared" si="30"/>
        <v>0</v>
      </c>
    </row>
    <row r="36" spans="1:49" x14ac:dyDescent="0.25">
      <c r="A36" s="23">
        <v>43768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4">IF((C36-C35&lt;0), "0",C36-C35)</f>
        <v>0</v>
      </c>
      <c r="R36" s="37">
        <f t="shared" si="34"/>
        <v>0</v>
      </c>
      <c r="S36" s="37">
        <f t="shared" si="34"/>
        <v>0</v>
      </c>
      <c r="T36" s="37">
        <f t="shared" si="34"/>
        <v>0</v>
      </c>
      <c r="U36" s="37">
        <f t="shared" si="34"/>
        <v>0</v>
      </c>
      <c r="V36" s="37">
        <f t="shared" si="34"/>
        <v>0</v>
      </c>
      <c r="W36" s="37">
        <f t="shared" si="34"/>
        <v>0</v>
      </c>
      <c r="X36" s="37">
        <f t="shared" si="34"/>
        <v>0</v>
      </c>
      <c r="Y36" s="37">
        <f t="shared" si="34"/>
        <v>0</v>
      </c>
      <c r="Z36" s="37">
        <f t="shared" si="34"/>
        <v>0</v>
      </c>
      <c r="AA36" s="37">
        <f t="shared" si="34"/>
        <v>0</v>
      </c>
      <c r="AB36" s="37">
        <f t="shared" si="34"/>
        <v>0</v>
      </c>
      <c r="AC36" s="37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V36" s="37">
        <f t="shared" si="33"/>
        <v>0</v>
      </c>
      <c r="AW36" s="35">
        <f t="shared" si="30"/>
        <v>0</v>
      </c>
    </row>
    <row r="37" spans="1:49" x14ac:dyDescent="0.25">
      <c r="A37" s="23">
        <v>43769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174300</v>
      </c>
      <c r="R38" s="30">
        <f t="shared" si="35"/>
        <v>240500</v>
      </c>
      <c r="S38" s="30">
        <f t="shared" si="35"/>
        <v>20630</v>
      </c>
      <c r="T38" s="30">
        <f t="shared" si="35"/>
        <v>76440</v>
      </c>
      <c r="U38" s="30">
        <f t="shared" si="35"/>
        <v>83890</v>
      </c>
      <c r="V38" s="30">
        <f t="shared" si="35"/>
        <v>69320</v>
      </c>
      <c r="W38" s="30">
        <f t="shared" si="35"/>
        <v>55230</v>
      </c>
      <c r="X38" s="30">
        <f t="shared" si="35"/>
        <v>79250</v>
      </c>
      <c r="Y38" s="30">
        <f t="shared" si="35"/>
        <v>98910</v>
      </c>
      <c r="Z38" s="30">
        <f t="shared" si="35"/>
        <v>46810</v>
      </c>
      <c r="AA38" s="30">
        <f t="shared" si="35"/>
        <v>54290</v>
      </c>
      <c r="AB38" s="30">
        <f t="shared" si="35"/>
        <v>120110</v>
      </c>
      <c r="AC38" s="30">
        <f t="shared" si="35"/>
        <v>195600</v>
      </c>
      <c r="AD38" s="35">
        <f t="shared" si="35"/>
        <v>1315280</v>
      </c>
      <c r="AF38" s="35">
        <f t="shared" ref="AF38:AS38" si="36">SUM(AF7:AF34)</f>
        <v>871.49999999999989</v>
      </c>
      <c r="AG38" s="35">
        <f t="shared" si="36"/>
        <v>1202.5</v>
      </c>
      <c r="AH38" s="35">
        <f t="shared" si="36"/>
        <v>103.14999999999999</v>
      </c>
      <c r="AI38" s="35">
        <f t="shared" si="36"/>
        <v>382.2</v>
      </c>
      <c r="AJ38" s="35">
        <f t="shared" si="36"/>
        <v>419.45000000000005</v>
      </c>
      <c r="AK38" s="35">
        <f t="shared" si="36"/>
        <v>346.6</v>
      </c>
      <c r="AL38" s="35">
        <f t="shared" si="36"/>
        <v>276.15000000000003</v>
      </c>
      <c r="AM38" s="35">
        <f t="shared" si="36"/>
        <v>396.24999999999994</v>
      </c>
      <c r="AN38" s="35">
        <f t="shared" si="36"/>
        <v>494.54999999999995</v>
      </c>
      <c r="AO38" s="35">
        <f t="shared" si="36"/>
        <v>234.05000000000004</v>
      </c>
      <c r="AP38" s="35">
        <f t="shared" si="36"/>
        <v>271.45000000000005</v>
      </c>
      <c r="AQ38" s="35">
        <f t="shared" si="36"/>
        <v>600.54999999999995</v>
      </c>
      <c r="AR38" s="35">
        <f t="shared" si="36"/>
        <v>978</v>
      </c>
      <c r="AS38" s="35">
        <f t="shared" si="36"/>
        <v>6576.4</v>
      </c>
      <c r="AU38" s="48"/>
      <c r="AV38" s="35">
        <f>SUM(AV7:AV34)</f>
        <v>41224</v>
      </c>
      <c r="AW38" s="35">
        <f>SUM(AW7:AW34)</f>
        <v>71.516000000000005</v>
      </c>
    </row>
    <row r="39" spans="1:49" x14ac:dyDescent="0.25">
      <c r="D39">
        <v>5.0000000000000001E-3</v>
      </c>
      <c r="AV39" s="36">
        <f>AV38*0.00378541*1000</f>
        <v>156049.74184</v>
      </c>
    </row>
    <row r="40" spans="1:49" x14ac:dyDescent="0.25">
      <c r="D40">
        <v>2E-3</v>
      </c>
      <c r="AV40">
        <f>AV39/31</f>
        <v>5033.8626400000003</v>
      </c>
    </row>
    <row r="41" spans="1:49" x14ac:dyDescent="0.25">
      <c r="AV41">
        <f>AV38*0.00378541</f>
        <v>156.04974184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2019-10-17T12:18:27Z</dcterms:modified>
</cp:coreProperties>
</file>