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<sst xmlns="http://schemas.openxmlformats.org/spreadsheetml/2006/main" count="313" uniqueCount="148">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</sst>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10000.000000000009</v>
      </c>
      <c r="F33" s="17">
        <f t="shared" ref="F33:BC33" si="1">SUM(F2:F32)</f>
        <v>5600.000000000271</v>
      </c>
      <c r="G33" s="17">
        <f t="shared" si="1"/>
        <v>12999.9999999999</v>
      </c>
      <c r="H33" s="17">
        <f t="shared" si="1"/>
        <v>7599.9999999998281</v>
      </c>
      <c r="I33" s="17">
        <f t="shared" si="1"/>
        <v>14800.000000000146</v>
      </c>
      <c r="J33" s="17">
        <f t="shared" si="1"/>
        <v>5000.0000000001155</v>
      </c>
      <c r="K33" s="17">
        <f t="shared" si="1"/>
        <v>6</v>
      </c>
      <c r="L33" s="17">
        <f t="shared" si="1"/>
        <v>43</v>
      </c>
      <c r="M33" s="17">
        <f t="shared" si="1"/>
        <v>1291</v>
      </c>
      <c r="N33" s="17">
        <f t="shared" si="1"/>
        <v>777.59999999997672</v>
      </c>
      <c r="O33" s="17">
        <f t="shared" si="1"/>
        <v>790.00000000002046</v>
      </c>
      <c r="P33" s="17">
        <f t="shared" si="1"/>
        <v>4000.0000000000032</v>
      </c>
      <c r="Q33" s="17">
        <f t="shared" si="1"/>
        <v>780.00000000002956</v>
      </c>
      <c r="R33" s="17">
        <f t="shared" si="1"/>
        <v>1259.9999999999909</v>
      </c>
      <c r="S33" s="17">
        <f t="shared" si="1"/>
        <v>2030.0000000000296</v>
      </c>
      <c r="T33" s="17">
        <f t="shared" si="1"/>
        <v>11.199999999999818</v>
      </c>
      <c r="U33" s="35">
        <f t="shared" si="1"/>
        <v>2129.9999999999955</v>
      </c>
      <c r="V33" s="35">
        <f t="shared" si="1"/>
        <v>1329.9999999999841</v>
      </c>
      <c r="W33" s="35">
        <f t="shared" si="1"/>
        <v>1150.0000000000057</v>
      </c>
      <c r="X33" s="35">
        <f t="shared" si="1"/>
        <v>1260.0000000000193</v>
      </c>
      <c r="Y33" s="35">
        <f t="shared" si="1"/>
        <v>300.00000000001137</v>
      </c>
      <c r="Z33" s="35">
        <f t="shared" si="1"/>
        <v>319.99999999999318</v>
      </c>
      <c r="AA33" s="35">
        <f t="shared" si="1"/>
        <v>319.99999999999318</v>
      </c>
      <c r="AB33" s="35">
        <f t="shared" si="1"/>
        <v>279.99999999997272</v>
      </c>
      <c r="AC33" s="35">
        <f t="shared" si="1"/>
        <v>230.00000000001819</v>
      </c>
      <c r="AD33" s="35">
        <f t="shared" si="1"/>
        <v>240.00000000000909</v>
      </c>
      <c r="AE33" s="35">
        <f t="shared" si="1"/>
        <v>179.9999999999784</v>
      </c>
      <c r="AF33" s="17">
        <f t="shared" si="1"/>
        <v>249</v>
      </c>
      <c r="AG33" s="32">
        <f t="shared" si="1"/>
        <v>79.999999999984084</v>
      </c>
      <c r="AH33" s="32">
        <f t="shared" si="1"/>
        <v>99.999999999965894</v>
      </c>
      <c r="AI33" s="32">
        <f t="shared" si="1"/>
        <v>60.000000000002274</v>
      </c>
      <c r="AJ33" s="32">
        <f t="shared" si="1"/>
        <v>270.00000000001023</v>
      </c>
      <c r="AK33" s="32">
        <f t="shared" si="1"/>
        <v>199.99999999998863</v>
      </c>
      <c r="AL33" s="32">
        <f t="shared" si="1"/>
        <v>97</v>
      </c>
      <c r="AM33" s="32">
        <f t="shared" si="1"/>
        <v>180.00000000000682</v>
      </c>
      <c r="AN33" s="32">
        <f t="shared" si="1"/>
        <v>272</v>
      </c>
      <c r="AO33" s="32">
        <f t="shared" si="1"/>
        <v>219.99999999999886</v>
      </c>
      <c r="AP33" s="32">
        <f t="shared" si="1"/>
        <v>208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177</v>
      </c>
      <c r="AU33" s="17">
        <f t="shared" si="1"/>
        <v>1786</v>
      </c>
      <c r="AV33" s="17">
        <f t="shared" si="1"/>
        <v>3210.0000000000364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42.124499999999998</v>
      </c>
      <c r="BC33" s="17">
        <f t="shared" si="1"/>
        <v>0</v>
      </c>
    </row>
    <row r="35" spans="5:55" x14ac:dyDescent="0.25">
      <c r="E35" s="38">
        <f>E33/E37</f>
        <v>0.30923371884470191</v>
      </c>
      <c r="G35" s="29">
        <f>G33-M36</f>
        <v>10931.399999999923</v>
      </c>
      <c r="AE35" s="35">
        <f>SUM(U33:AE33)</f>
        <v>7739.99999999998</v>
      </c>
      <c r="AG35" s="32">
        <f>SUM(AG33:AP33)</f>
        <v>1686.9999999999568</v>
      </c>
    </row>
    <row r="36" spans="5:55" x14ac:dyDescent="0.25">
      <c r="G36" s="29">
        <f>G35-633*14</f>
        <v>2069.3999999999232</v>
      </c>
      <c r="M36" s="29">
        <f>M33+N33</f>
        <v>2068.5999999999767</v>
      </c>
    </row>
    <row r="37" spans="5:55" x14ac:dyDescent="0.25">
      <c r="E37" s="17">
        <f>E33+F33+G33+H33+J33-633*14</f>
        <v>32338.000000000124</v>
      </c>
      <c r="G37" s="37">
        <f>M36/E37</f>
        <v>6.3968087080214259E-2</v>
      </c>
      <c r="M37" s="35">
        <f>AE35</f>
        <v>7739.99999999998</v>
      </c>
    </row>
    <row r="38" spans="5:55" x14ac:dyDescent="0.25">
      <c r="L38" s="27">
        <f>M38/E37</f>
        <v>5.2167728369099831E-2</v>
      </c>
      <c r="M38" s="29">
        <f>AG35</f>
        <v>1686.9999999999568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5" activePane="bottomLeft" state="frozen"/>
      <selection pane="bottomLeft" activeCell="BI18" sqref="BI1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43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39"/>
        <v/>
      </c>
      <c r="BG13" s="60"/>
      <c r="BH13" s="65" t="str">
        <f t="shared" si="23"/>
        <v/>
      </c>
      <c r="BI13" s="60"/>
      <c r="BJ13" s="65" t="str">
        <f t="shared" si="40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2"/>
        <v/>
      </c>
      <c r="BU13" s="60"/>
      <c r="BV13" s="65" t="str">
        <f t="shared" si="29"/>
        <v/>
      </c>
      <c r="BW13" s="60"/>
      <c r="BX13" s="65" t="str">
        <f t="shared" si="30"/>
        <v/>
      </c>
      <c r="BY13" s="60"/>
      <c r="BZ13" s="67" t="str">
        <f t="shared" si="31"/>
        <v/>
      </c>
      <c r="CA13" s="60"/>
      <c r="CB13" s="67" t="str">
        <f t="shared" si="32"/>
        <v/>
      </c>
      <c r="CC13" s="60"/>
      <c r="CD13" s="67" t="str">
        <f t="shared" si="33"/>
        <v/>
      </c>
      <c r="CE13" s="60"/>
      <c r="CF13" s="67" t="str">
        <f t="shared" si="34"/>
        <v/>
      </c>
      <c r="CG13" s="60"/>
      <c r="CH13" s="67" t="str">
        <f t="shared" si="35"/>
        <v/>
      </c>
      <c r="CI13" s="60"/>
      <c r="CJ13" s="67" t="str">
        <f t="shared" si="36"/>
        <v/>
      </c>
      <c r="CK13" s="60"/>
      <c r="CL13" s="64" t="str">
        <f t="shared" si="37"/>
        <v/>
      </c>
      <c r="CM13" s="65" t="e">
        <f t="shared" si="41"/>
        <v>#VALUE!</v>
      </c>
      <c r="CN13" s="62">
        <v>0</v>
      </c>
      <c r="CO13" s="62">
        <v>0</v>
      </c>
      <c r="CP13" s="68"/>
      <c r="CQ13" s="67" t="str">
        <f>IF((CP13-CP12&lt;0), "",CP13-CP12)</f>
        <v/>
      </c>
      <c r="CR13" s="68"/>
      <c r="CS13" s="67" t="str">
        <f t="shared" si="38"/>
        <v/>
      </c>
      <c r="CT13" s="75"/>
      <c r="CU13" s="67" t="str">
        <f t="shared" si="38"/>
        <v/>
      </c>
      <c r="CV13" s="68"/>
      <c r="CW13" s="67" t="str">
        <f t="shared" si="38"/>
        <v/>
      </c>
    </row>
    <row r="14" spans="1:102" ht="25.5" customHeight="1" thickBot="1" x14ac:dyDescent="0.45">
      <c r="A14" s="63">
        <v>44115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ref="P14:P34" si="44">IF((O14-O13&lt;0), "",O14-O13)</f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44116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44117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44118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44119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44120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44121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44122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44123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2" zoomScaleNormal="100" workbookViewId="0">
      <selection activeCell="S19" sqref="S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-196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2020-10-10T12:45:16Z</dcterms:modified>
</cp:coreProperties>
</file>