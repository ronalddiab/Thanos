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4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8" i="1"/>
  <c r="S17"/>
  <c r="S19"/>
  <c r="S20"/>
  <c r="S21"/>
  <c r="S22"/>
  <c r="S23"/>
  <c r="S24"/>
  <c r="S25"/>
  <c r="S26"/>
  <c r="S27"/>
  <c r="S16"/>
  <c r="S15"/>
  <c r="S14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28" i="1" l="1"/>
  <c r="S29"/>
  <c r="S30"/>
  <c r="S31"/>
  <c r="S32"/>
  <c r="S33"/>
  <c r="S34"/>
  <c r="S35"/>
  <c r="S36"/>
  <c r="S37"/>
  <c r="S38"/>
  <c r="S39"/>
  <c r="S40"/>
  <c r="S41"/>
  <c r="AD11" i="3"/>
  <c r="AD12"/>
  <c r="AD13"/>
  <c r="AD14"/>
  <c r="AD15"/>
  <c r="AD16"/>
  <c r="K9" i="12"/>
  <c r="AJ15" i="1"/>
  <c r="AJ16"/>
  <c r="AJ13"/>
  <c r="AJ14"/>
  <c r="S13" l="1"/>
  <c r="G12" i="15"/>
  <c r="G13"/>
  <c r="G14"/>
  <c r="G10"/>
  <c r="G11"/>
  <c r="S42" i="1"/>
  <c r="E34" i="24" s="1"/>
  <c r="S12" i="1"/>
  <c r="S11"/>
  <c r="S43"/>
  <c r="S44"/>
  <c r="B34" i="24"/>
  <c r="C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F9" s="1"/>
  <c r="B9"/>
  <c r="G8"/>
  <c r="I8" s="1"/>
  <c r="K8" s="1"/>
  <c r="E8"/>
  <c r="B8"/>
  <c r="D8" s="1"/>
  <c r="F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L23" i="22" l="1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S9"/>
  <c r="AR9" s="1"/>
  <c r="T9"/>
  <c r="S10"/>
  <c r="U10" s="1"/>
  <c r="T10"/>
  <c r="AJ10"/>
  <c r="T11"/>
  <c r="U11" s="1"/>
  <c r="AJ11"/>
  <c r="T12"/>
  <c r="U12" s="1"/>
  <c r="AJ12"/>
  <c r="AR12" s="1"/>
  <c r="AS12" s="1"/>
  <c r="T13"/>
  <c r="U13" s="1"/>
  <c r="AR13"/>
  <c r="AS13" s="1"/>
  <c r="T14"/>
  <c r="U14" s="1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U33"/>
  <c r="T33"/>
  <c r="AJ33"/>
  <c r="U34"/>
  <c r="T34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F34" i="24" s="1"/>
  <c r="AJ42" i="1"/>
  <c r="I34" i="24" s="1"/>
  <c r="T43" i="1"/>
  <c r="AJ43"/>
  <c r="AJ44"/>
  <c r="V45"/>
  <c r="W45"/>
  <c r="X45"/>
  <c r="Y45"/>
  <c r="Z45"/>
  <c r="AA45"/>
  <c r="AB45"/>
  <c r="AC45"/>
  <c r="AD45"/>
  <c r="AE45"/>
  <c r="AF45"/>
  <c r="AG45"/>
  <c r="AH45"/>
  <c r="AI45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5"/>
  <c r="AR10"/>
  <c r="U25"/>
  <c r="U45" l="1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J24" l="1"/>
  <c r="J20"/>
  <c r="J18"/>
  <c r="J27"/>
  <c r="I29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G19"/>
  <c r="J19" s="1"/>
  <c r="G20"/>
  <c r="G21"/>
  <c r="J21" s="1"/>
  <c r="G22"/>
  <c r="J22" s="1"/>
  <c r="G23"/>
  <c r="J23" s="1"/>
  <c r="G24"/>
  <c r="G25"/>
  <c r="J25" s="1"/>
  <c r="G26"/>
  <c r="J26" s="1"/>
  <c r="G27"/>
  <c r="G28"/>
  <c r="J28" s="1"/>
  <c r="G29"/>
  <c r="G30"/>
  <c r="G31"/>
  <c r="G32"/>
  <c r="G33"/>
  <c r="G34"/>
  <c r="G35"/>
  <c r="G36"/>
  <c r="G37"/>
  <c r="G38"/>
  <c r="G39"/>
  <c r="G40"/>
  <c r="J26" i="23" l="1"/>
  <c r="J27"/>
  <c r="J28"/>
  <c r="J29"/>
  <c r="J30"/>
  <c r="J31"/>
  <c r="J32"/>
  <c r="J33"/>
  <c r="J34"/>
  <c r="J35"/>
  <c r="J36"/>
  <c r="I26"/>
  <c r="I27"/>
  <c r="I28"/>
  <c r="I29"/>
  <c r="I30"/>
  <c r="I31"/>
  <c r="I32"/>
  <c r="I33"/>
  <c r="I34"/>
  <c r="I35"/>
  <c r="F26"/>
  <c r="F27"/>
  <c r="F28"/>
  <c r="F29"/>
  <c r="F30"/>
  <c r="F31"/>
  <c r="F32"/>
  <c r="F33"/>
  <c r="F34"/>
  <c r="F35"/>
  <c r="F36"/>
  <c r="G27"/>
  <c r="G28"/>
  <c r="G29"/>
  <c r="G30"/>
  <c r="G31"/>
  <c r="G32"/>
  <c r="G33"/>
  <c r="G34"/>
  <c r="G35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5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Z27" i="12"/>
  <c r="Z28"/>
  <c r="Z29"/>
  <c r="Z30"/>
  <c r="Z31"/>
  <c r="Z32"/>
  <c r="Z33"/>
  <c r="Z34"/>
  <c r="Z35"/>
  <c r="Z36"/>
  <c r="Z37"/>
  <c r="Y27"/>
  <c r="Y28"/>
  <c r="Y29"/>
  <c r="Y30"/>
  <c r="Y31"/>
  <c r="Y32"/>
  <c r="Y33"/>
  <c r="Y34"/>
  <c r="Y35"/>
  <c r="Y36"/>
  <c r="Y37"/>
  <c r="V27"/>
  <c r="V28"/>
  <c r="V29"/>
  <c r="V30"/>
  <c r="V31"/>
  <c r="V32"/>
  <c r="V33"/>
  <c r="V34"/>
  <c r="V35"/>
  <c r="V36"/>
  <c r="V37"/>
  <c r="S27"/>
  <c r="S28"/>
  <c r="S29"/>
  <c r="S30"/>
  <c r="S31"/>
  <c r="S32"/>
  <c r="S33"/>
  <c r="S34"/>
  <c r="S35"/>
  <c r="S36"/>
  <c r="S37"/>
  <c r="P27"/>
  <c r="P28"/>
  <c r="P29"/>
  <c r="P30"/>
  <c r="P31"/>
  <c r="P32"/>
  <c r="P33"/>
  <c r="P34"/>
  <c r="P35"/>
  <c r="P36"/>
  <c r="P37"/>
  <c r="M27"/>
  <c r="M28"/>
  <c r="M29"/>
  <c r="M30"/>
  <c r="M31"/>
  <c r="M32"/>
  <c r="M33"/>
  <c r="M34"/>
  <c r="M35"/>
  <c r="M36"/>
  <c r="M37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W28"/>
  <c r="W29"/>
  <c r="W30"/>
  <c r="W31"/>
  <c r="W32"/>
  <c r="W33"/>
  <c r="W34"/>
  <c r="W35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T28"/>
  <c r="T29"/>
  <c r="T30"/>
  <c r="T31"/>
  <c r="T32"/>
  <c r="T33"/>
  <c r="T34"/>
  <c r="T35"/>
  <c r="T36"/>
  <c r="T37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Q28"/>
  <c r="Q29"/>
  <c r="Q30"/>
  <c r="Q31"/>
  <c r="Q32"/>
  <c r="Q33"/>
  <c r="Q34"/>
  <c r="Q35"/>
  <c r="Q36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N30"/>
  <c r="N31"/>
  <c r="N32"/>
  <c r="N33"/>
  <c r="N34"/>
  <c r="N35"/>
  <c r="N36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K28"/>
  <c r="K29"/>
  <c r="K30"/>
  <c r="K31"/>
  <c r="K32"/>
  <c r="K33"/>
  <c r="K34"/>
  <c r="K35"/>
  <c r="K36"/>
  <c r="K37"/>
  <c r="W6"/>
  <c r="Y6" s="1"/>
  <c r="T6"/>
  <c r="V6" s="1"/>
  <c r="Q6"/>
  <c r="S6" s="1"/>
  <c r="N6"/>
  <c r="P6" s="1"/>
  <c r="K6"/>
  <c r="M6" s="1"/>
  <c r="Z26" l="1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/>
  <c r="Y28"/>
  <c r="Z28" s="1"/>
  <c r="AA28" s="1"/>
  <c r="AC28"/>
  <c r="H27" i="23" s="1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/>
  <c r="E29"/>
  <c r="E30"/>
  <c r="E31"/>
  <c r="E32"/>
  <c r="E33"/>
  <c r="E34"/>
  <c r="E35"/>
  <c r="E36"/>
  <c r="E37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P34"/>
  <c r="O35" s="1"/>
  <c r="D34"/>
  <c r="F34" s="1"/>
  <c r="S34" s="1"/>
  <c r="H34"/>
  <c r="M34" s="1"/>
  <c r="T34" s="1"/>
  <c r="Y34" s="1"/>
  <c r="AB33"/>
  <c r="AA34" s="1"/>
  <c r="V33"/>
  <c r="X33" s="1"/>
  <c r="P33"/>
  <c r="O34" s="1"/>
  <c r="D33"/>
  <c r="F33" s="1"/>
  <c r="S33" s="1"/>
  <c r="H33"/>
  <c r="M33" s="1"/>
  <c r="T33" s="1"/>
  <c r="Y33" s="1"/>
  <c r="AB32"/>
  <c r="AA33" s="1"/>
  <c r="V32"/>
  <c r="X32" s="1"/>
  <c r="P32"/>
  <c r="D32"/>
  <c r="F32" s="1"/>
  <c r="S32" s="1"/>
  <c r="H32"/>
  <c r="M32" s="1"/>
  <c r="T32" s="1"/>
  <c r="Y32" s="1"/>
  <c r="AB31"/>
  <c r="V31"/>
  <c r="X31" s="1"/>
  <c r="P31"/>
  <c r="O32" s="1"/>
  <c r="D31"/>
  <c r="F31" s="1"/>
  <c r="AB30"/>
  <c r="AA31" s="1"/>
  <c r="V30"/>
  <c r="X30" s="1"/>
  <c r="P30"/>
  <c r="O31" s="1"/>
  <c r="D30"/>
  <c r="F30" s="1"/>
  <c r="S30" s="1"/>
  <c r="AB29"/>
  <c r="V29"/>
  <c r="X29" s="1"/>
  <c r="P29"/>
  <c r="O30" s="1"/>
  <c r="D29"/>
  <c r="F29" s="1"/>
  <c r="AB28"/>
  <c r="AA29" s="1"/>
  <c r="V28"/>
  <c r="X28" s="1"/>
  <c r="P28"/>
  <c r="O29" s="1"/>
  <c r="D28"/>
  <c r="F28" s="1"/>
  <c r="S28" s="1"/>
  <c r="H28"/>
  <c r="M28" s="1"/>
  <c r="T28" s="1"/>
  <c r="Y28" s="1"/>
  <c r="AB27"/>
  <c r="V27"/>
  <c r="X27" s="1"/>
  <c r="P27"/>
  <c r="O28" s="1"/>
  <c r="D27"/>
  <c r="F27" s="1"/>
  <c r="AB26"/>
  <c r="AA27" s="1"/>
  <c r="X26"/>
  <c r="V26"/>
  <c r="P26"/>
  <c r="O27" s="1"/>
  <c r="D26"/>
  <c r="F26" s="1"/>
  <c r="S26" s="1"/>
  <c r="AB25"/>
  <c r="AA26" s="1"/>
  <c r="V25"/>
  <c r="X25" s="1"/>
  <c r="P25"/>
  <c r="O26" s="1"/>
  <c r="F25"/>
  <c r="S25" s="1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AC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Q14" s="1"/>
  <c r="R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W32" i="25" s="1"/>
  <c r="S36" i="3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W31" i="25" s="1"/>
  <c r="S35" i="3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W30" i="25" s="1"/>
  <c r="S34" i="3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W29" i="25" s="1"/>
  <c r="S33" i="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W28" i="25" s="1"/>
  <c r="S32" i="3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W27" i="25" s="1"/>
  <c r="S31" i="3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W26" i="25" s="1"/>
  <c r="S30" i="3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W25" i="25" s="1"/>
  <c r="S29" i="3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W24" i="25" s="1"/>
  <c r="S28" i="3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G45" i="1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16" i="13" l="1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V6" s="1"/>
  <c r="W6" s="1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AJ16" s="1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G39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19" i="1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J17" s="1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S8"/>
  <c r="Z8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I27" i="11" l="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3" s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<sst xmlns="http://schemas.openxmlformats.org/spreadsheetml/2006/main" count="539" uniqueCount="327">
  <si>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</si>
  <si>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</si>
  <si>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</si>
  <si>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</si>
  <si>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</si>
  <si>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</si>
  <si>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</si>
  <si>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</si>
  <si>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</si>
  <si>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</si>
  <si>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</si>
  <si>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</si>
  <si>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</si>
  <si>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</si>
  <si>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</si>
  <si>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</si>
  <si>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</si>
  <si>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</si>
  <si>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</si>
  <si>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</si>
  <si>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</si>
  <si>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</si>
  <si>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</si>
  <si>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</si>
  <si>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</si>
  <si>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</si>
  <si>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</si>
  <si>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</si>
  <si>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</si>
  <si>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</si>
  <si>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</si>
  <si>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</si>
  <si>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</si>
  <si>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</si>
  <si>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</si>
  <si>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</si>
  <si>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</si>
  <si>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</si>
  <si>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</si>
  <si>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</si>
  <si>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</si>
  <si>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</si>
  <si>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</si>
  <si>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</si>
  <si>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</si>
  <si>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</si>
  <si>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</si>
  <si>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</si>
  <si>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</si>
  <si>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</si>
  <si>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</si>
  <si>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</si>
  <si>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</si>
  <si>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</si>
  <si>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</si>
  <si>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</si>
  <si>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</si>
  <si>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</si>
  <si>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</si>
  <si>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</si>
  <si>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</si>
  <si>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</si>
  <si>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</si>
  <si>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</si>
  <si>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</si>
  <si>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</si>
  <si>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</si>
  <si>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</si>
  <si>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</si>
  <si>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</si>
  <si>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</si>
  <si>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</si>
  <si>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</si>
  <si>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</si>
  <si>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</si>
  <si>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</si>
  <si>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</si>
  <si>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</si>
  <si>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</si>
  <si>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</si>
  <si>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</si>
  <si>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</si>
  <si>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</si>
  <si>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</si>
  <si>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</si>
  <si>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</si>
  <si>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</si>
  <si>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</si>
  <si>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</si>
  <si>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</si>
  <si>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</si>
  <si>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</si>
  <si>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</si>
  <si>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</si>
  <si>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</si>
  <si>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</si>
  <si>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</si>
  <si>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</si>
  <si>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</si>
  <si>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</si>
  <si>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</si>
  <si>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</si>
  <si>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</si>
  <si>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</si>
  <si>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</si>
  <si>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</si>
  <si>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</si>
  <si>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</si>
  <si>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</si>
  <si>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</si>
  <si>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</si>
  <si>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</si>
  <si>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</si>
  <si>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</si>
  <si>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</si>
  <si>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</si>
  <si>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</si>
  <si>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</si>
  <si>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</si>
  <si>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</si>
  <si>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</si>
  <si>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</si>
  <si>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</si>
  <si>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</si>
  <si>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</si>
  <si>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</si>
  <si>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</si>
  <si>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</si>
  <si>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</si>
  <si>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</si>
  <si>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</si>
  <si>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</si>
  <si>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</si>
  <si>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</si>
  <si>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</si>
  <si>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</si>
  <si>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</si>
  <si>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</si>
  <si>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</si>
  <si>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</si>
  <si>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</si>
  <si>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</si>
  <si>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</si>
  <si>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</si>
  <si>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</si>
  <si>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</si>
  <si>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</si>
  <si>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</si>
  <si>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</si>
  <si>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</si>
  <si>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</si>
  <si>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</si>
  <si>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</si>
  <si>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</si>
  <si>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</si>
  <si>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</si>
  <si>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</si>
  <si>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</si>
  <si>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</si>
  <si>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</si>
  <si>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</si>
  <si>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</si>
  <si>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</si>
  <si>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</si>
  <si>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</si>
  <si>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</si>
  <si>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</si>
  <si>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</si>
  <si>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</si>
  <si>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</si>
  <si>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</si>
  <si>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</si>
  <si>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</si>
  <si>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</si>
  <si>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</si>
  <si>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</si>
  <si>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</si>
  <si>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</si>
  <si>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</si>
  <si>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</si>
  <si>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</si>
  <si>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</si>
  <si>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</si>
  <si>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</si>
  <si>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</si>
  <si>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</si>
  <si>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</si>
  <si>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</si>
  <si>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</si>
  <si>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</si>
  <si>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</si>
  <si>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</si>
  <si>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</si>
  <si>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</si>
  <si>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</si>
  <si>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</si>
  <si>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</si>
  <si>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</si>
  <si>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</si>
  <si>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</si>
  <si>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</si>
  <si>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</si>
  <si>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</si>
  <si>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</si>
  <si>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</si>
  <si>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</si>
  <si>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</si>
  <si>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</si>
  <si>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</si>
  <si>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</si>
  <si>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</si>
  <si>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</si>
  <si>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</si>
  <si>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</si>
  <si>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</si>
  <si>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</si>
  <si>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</si>
  <si>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</si>
  <si>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</si>
  <si>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</si>
  <si>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</si>
  <si>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</si>
  <si>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</si>
  <si>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</si>
  <si>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</si>
  <si>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</si>
  <si>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</si>
  <si>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</si>
  <si>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</si>
  <si>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</si>
  <si>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</si>
  <si>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</si>
  <si>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</si>
  <si>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</si>
  <si>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</si>
  <si>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</si>
  <si>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</si>
  <si>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</si>
  <si>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</si>
  <si>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</si>
  <si>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</si>
  <si>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</si>
  <si>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</si>
  <si>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</si>
  <si>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</si>
  <si>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</si>
  <si>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</si>
  <si>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</si>
  <si>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</si>
  <si>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</si>
  <si>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</si>
  <si>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</si>
  <si>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</si>
  <si>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</si>
  <si>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</si>
  <si>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</si>
  <si>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</si>
  <si>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</si>
  <si>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</si>
  <si>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</si>
  <si>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</si>
  <si>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</si>
  <si>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</si>
  <si>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</si>
  <si>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</si>
  <si>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</si>
  <si>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</si>
  <si>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</si>
  <si>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</si>
  <si>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</si>
  <si>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</si>
  <si>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</si>
  <si>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</si>
  <si>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</si>
  <si>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</si>
  <si>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</si>
  <si>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</si>
  <si>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</si>
  <si>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</si>
  <si>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</si>
  <si>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</si>
  <si>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</si>
  <si>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</si>
  <si>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</si>
  <si>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</si>
  <si>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</si>
  <si>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</si>
  <si>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</si>
  <si>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</si>
  <si>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</si>
  <si>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</si>
  <si>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</si>
  <si>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</si>
  <si>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</si>
  <si>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</si>
  <si>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</si>
  <si>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</si>
  <si>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</si>
  <si>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</si>
  <si>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</si>
  <si>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</si>
  <si>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</si>
  <si>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</si>
  <si>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</si>
  <si>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</si>
  <si>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</si>
  <si>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</si>
  <si>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</si>
  <si>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</si>
  <si>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</si>
  <si>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</si>
  <si>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</si>
  <si>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</si>
  <si>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Generator and Diseal Summry Report  January 2020</t>
  </si>
  <si>
    <t>READING HOURS METER</t>
  </si>
  <si>
    <t>HLP REPORT FEBRUARY 2020</t>
  </si>
  <si>
    <t>DAILY UTILITY REPORT FEBRUARY 2020</t>
  </si>
  <si>
    <t xml:space="preserve">Four Seasons Safari Lodge Serengeti February 2020- Water Report </t>
  </si>
  <si>
    <t>Authority manager</t>
  </si>
  <si>
    <t>GREEN LAND VEHICLES</t>
  </si>
  <si>
    <t>T880DKQ</t>
  </si>
  <si>
    <t>Andrew</t>
  </si>
  <si>
    <t>huruma</t>
  </si>
  <si>
    <t>T740DCS</t>
  </si>
  <si>
    <t>Alphonse</t>
  </si>
  <si>
    <t>T106CWQ</t>
  </si>
  <si>
    <t>Richard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</si>
</sst>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Arial"/>
      <family val="2"/>
    </font>
    <font>
      <sz val="14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7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4" xfId="0" applyFont="1" applyBorder="1" applyAlignment="1">
      <alignment horizontal="center" wrapText="1"/>
    </xf>
    <xf numFmtId="0" fontId="24" fillId="0" borderId="54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4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1" xfId="0" applyFont="1" applyBorder="1"/>
    <xf numFmtId="0" fontId="26" fillId="0" borderId="71" xfId="0" applyFont="1" applyBorder="1"/>
    <xf numFmtId="0" fontId="25" fillId="0" borderId="0" xfId="0" applyFont="1" applyBorder="1"/>
    <xf numFmtId="18" fontId="25" fillId="0" borderId="71" xfId="0" applyNumberFormat="1" applyFont="1" applyBorder="1"/>
    <xf numFmtId="0" fontId="0" fillId="0" borderId="72" xfId="0" applyBorder="1"/>
    <xf numFmtId="173" fontId="0" fillId="0" borderId="0" xfId="0" applyNumberFormat="1"/>
    <xf numFmtId="174" fontId="0" fillId="0" borderId="0" xfId="0" applyNumberFormat="1"/>
    <xf numFmtId="0" fontId="25" fillId="0" borderId="73" xfId="0" applyFont="1" applyBorder="1"/>
    <xf numFmtId="0" fontId="25" fillId="0" borderId="74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5" xfId="0" applyFont="1" applyFill="1" applyBorder="1" applyAlignment="1">
      <alignment horizontal="center" vertical="center" wrapText="1"/>
    </xf>
    <xf numFmtId="0" fontId="25" fillId="0" borderId="76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7" xfId="0" applyFont="1" applyBorder="1"/>
    <xf numFmtId="0" fontId="0" fillId="12" borderId="27" xfId="0" applyFill="1" applyBorder="1"/>
    <xf numFmtId="0" fontId="19" fillId="0" borderId="59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7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5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6" xfId="0" applyNumberFormat="1" applyBorder="1" applyAlignment="1">
      <alignment horizontal="center"/>
    </xf>
    <xf numFmtId="0" fontId="0" fillId="0" borderId="54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5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5" xfId="0" applyNumberFormat="1" applyBorder="1" applyAlignment="1">
      <alignment horizontal="center"/>
    </xf>
    <xf numFmtId="14" fontId="0" fillId="0" borderId="87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97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4" xfId="0" applyFont="1" applyFill="1" applyBorder="1" applyAlignment="1">
      <alignment horizontal="center"/>
    </xf>
    <xf numFmtId="0" fontId="4" fillId="8" borderId="90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4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4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7" borderId="90" xfId="0" applyFont="1" applyFill="1" applyBorder="1" applyAlignment="1">
      <alignment horizontal="center" wrapText="1"/>
    </xf>
    <xf numFmtId="0" fontId="4" fillId="7" borderId="64" xfId="0" applyFont="1" applyFill="1" applyBorder="1" applyAlignment="1">
      <alignment horizontal="center" wrapText="1"/>
    </xf>
    <xf numFmtId="0" fontId="4" fillId="34" borderId="61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4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4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4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4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4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26" fillId="0" borderId="99" xfId="0" applyFont="1" applyBorder="1" applyAlignment="1">
      <alignment horizontal="center"/>
    </xf>
    <xf numFmtId="3" fontId="1" fillId="0" borderId="73" xfId="0" applyNumberFormat="1" applyFont="1" applyBorder="1"/>
    <xf numFmtId="0" fontId="25" fillId="0" borderId="100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4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4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7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3" xfId="1" applyNumberFormat="1" applyFont="1" applyFill="1" applyBorder="1"/>
    <xf numFmtId="166" fontId="2" fillId="12" borderId="57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1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2" xfId="0" applyFont="1" applyBorder="1"/>
    <xf numFmtId="0" fontId="26" fillId="0" borderId="103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0" xfId="0" applyFont="1" applyBorder="1" applyAlignment="1">
      <alignment wrapText="1"/>
    </xf>
    <xf numFmtId="0" fontId="0" fillId="0" borderId="52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4" fontId="0" fillId="0" borderId="88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4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22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66" xfId="0" applyNumberFormat="1" applyFont="1" applyBorder="1" applyAlignment="1"/>
    <xf numFmtId="0" fontId="10" fillId="0" borderId="34" xfId="1" applyNumberFormat="1" applyFont="1" applyFill="1" applyBorder="1" applyAlignment="1">
      <alignment horizontal="center" vertical="center" wrapText="1"/>
    </xf>
    <xf numFmtId="165" fontId="16" fillId="0" borderId="15" xfId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65" fontId="10" fillId="8" borderId="22" xfId="0" applyNumberFormat="1" applyFont="1" applyFill="1" applyBorder="1" applyAlignment="1">
      <alignment horizontal="center"/>
    </xf>
    <xf numFmtId="0" fontId="31" fillId="0" borderId="59" xfId="0" applyFont="1" applyBorder="1" applyAlignment="1">
      <alignment horizontal="center"/>
    </xf>
    <xf numFmtId="165" fontId="16" fillId="0" borderId="49" xfId="1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169" fontId="11" fillId="0" borderId="16" xfId="0" applyNumberFormat="1" applyFont="1" applyFill="1" applyBorder="1" applyAlignment="1">
      <alignment horizontal="center"/>
    </xf>
    <xf numFmtId="166" fontId="16" fillId="0" borderId="8" xfId="1" applyNumberFormat="1" applyFont="1" applyFill="1" applyBorder="1" applyAlignment="1">
      <alignment horizontal="center"/>
    </xf>
    <xf numFmtId="166" fontId="16" fillId="7" borderId="8" xfId="1" applyNumberFormat="1" applyFont="1" applyFill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11" borderId="8" xfId="1" applyNumberFormat="1" applyFont="1" applyFill="1" applyBorder="1" applyAlignment="1">
      <alignment horizontal="center"/>
    </xf>
    <xf numFmtId="0" fontId="10" fillId="8" borderId="66" xfId="0" applyFont="1" applyFill="1" applyBorder="1" applyAlignment="1">
      <alignment horizontal="center"/>
    </xf>
    <xf numFmtId="0" fontId="4" fillId="8" borderId="59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65" fontId="16" fillId="0" borderId="19" xfId="1" applyFont="1" applyBorder="1" applyAlignment="1">
      <alignment horizontal="center"/>
    </xf>
    <xf numFmtId="14" fontId="4" fillId="0" borderId="104" xfId="0" applyNumberFormat="1" applyFont="1" applyBorder="1" applyAlignment="1"/>
    <xf numFmtId="0" fontId="4" fillId="7" borderId="54" xfId="0" applyFont="1" applyFill="1" applyBorder="1" applyAlignment="1"/>
    <xf numFmtId="0" fontId="4" fillId="7" borderId="90" xfId="0" applyFont="1" applyFill="1" applyBorder="1" applyAlignment="1"/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4" xfId="0" applyFont="1" applyFill="1" applyBorder="1" applyAlignment="1">
      <alignment wrapText="1"/>
    </xf>
    <xf numFmtId="14" fontId="4" fillId="0" borderId="27" xfId="0" applyNumberFormat="1" applyFont="1" applyBorder="1" applyAlignment="1"/>
    <xf numFmtId="14" fontId="4" fillId="0" borderId="5" xfId="0" applyNumberFormat="1" applyFont="1" applyBorder="1" applyAlignment="1"/>
    <xf numFmtId="14" fontId="4" fillId="0" borderId="52" xfId="0" applyNumberFormat="1" applyFont="1" applyBorder="1" applyAlignment="1"/>
    <xf numFmtId="0" fontId="4" fillId="0" borderId="9" xfId="0" applyFont="1" applyBorder="1" applyAlignment="1"/>
    <xf numFmtId="0" fontId="4" fillId="7" borderId="32" xfId="0" applyFont="1" applyFill="1" applyBorder="1" applyAlignment="1"/>
    <xf numFmtId="0" fontId="4" fillId="7" borderId="33" xfId="0" applyFont="1" applyFill="1" applyBorder="1" applyAlignment="1">
      <alignment horizontal="center" wrapText="1"/>
    </xf>
    <xf numFmtId="0" fontId="10" fillId="16" borderId="23" xfId="0" applyFont="1" applyFill="1" applyBorder="1" applyAlignment="1"/>
    <xf numFmtId="0" fontId="4" fillId="16" borderId="23" xfId="0" applyFont="1" applyFill="1" applyBorder="1" applyAlignment="1"/>
    <xf numFmtId="14" fontId="4" fillId="0" borderId="55" xfId="0" applyNumberFormat="1" applyFont="1" applyBorder="1" applyAlignment="1"/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16" borderId="23" xfId="0" applyFont="1" applyFill="1" applyBorder="1" applyAlignment="1">
      <alignment horizontal="center"/>
    </xf>
    <xf numFmtId="14" fontId="4" fillId="0" borderId="23" xfId="0" applyNumberFormat="1" applyFont="1" applyBorder="1" applyAlignment="1"/>
    <xf numFmtId="0" fontId="4" fillId="0" borderId="17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5" xfId="0" applyFont="1" applyBorder="1" applyAlignment="1">
      <alignment horizontal="center"/>
    </xf>
    <xf numFmtId="0" fontId="64" fillId="0" borderId="1" xfId="4" applyFont="1" applyBorder="1" applyAlignment="1">
      <alignment horizontal="center"/>
    </xf>
    <xf numFmtId="0" fontId="37" fillId="0" borderId="1" xfId="0" applyFont="1" applyBorder="1"/>
    <xf numFmtId="14" fontId="4" fillId="0" borderId="40" xfId="0" applyNumberFormat="1" applyFont="1" applyBorder="1" applyAlignment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6" xfId="0" applyFont="1" applyFill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4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4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4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8" xfId="0" applyFont="1" applyBorder="1" applyAlignment="1">
      <alignment horizontal="center"/>
    </xf>
    <xf numFmtId="0" fontId="2" fillId="0" borderId="9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4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3" fillId="31" borderId="54" xfId="0" applyFont="1" applyFill="1" applyBorder="1" applyAlignment="1">
      <alignment horizontal="center"/>
    </xf>
    <xf numFmtId="0" fontId="63" fillId="31" borderId="30" xfId="0" applyFont="1" applyFill="1" applyBorder="1" applyAlignment="1">
      <alignment horizontal="center"/>
    </xf>
    <xf numFmtId="0" fontId="63" fillId="31" borderId="31" xfId="0" applyFont="1" applyFill="1" applyBorder="1" applyAlignment="1">
      <alignment horizontal="center"/>
    </xf>
    <xf numFmtId="0" fontId="10" fillId="27" borderId="54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4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4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4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7" xfId="0" applyFont="1" applyFill="1" applyBorder="1" applyAlignment="1">
      <alignment horizontal="center" wrapText="1"/>
    </xf>
    <xf numFmtId="0" fontId="2" fillId="28" borderId="97" xfId="0" applyFont="1" applyFill="1" applyBorder="1" applyAlignment="1">
      <alignment horizontal="center" wrapText="1"/>
    </xf>
    <xf numFmtId="0" fontId="37" fillId="11" borderId="54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8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1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8" xfId="4" applyFont="1" applyFill="1" applyBorder="1" applyAlignment="1">
      <alignment horizontal="center" vertical="center" wrapText="1"/>
    </xf>
    <xf numFmtId="0" fontId="19" fillId="7" borderId="79" xfId="4" applyFont="1" applyFill="1" applyBorder="1" applyAlignment="1">
      <alignment horizontal="center" vertic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92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6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4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8" xfId="0" applyFont="1" applyFill="1" applyBorder="1" applyAlignment="1">
      <alignment horizontal="center" vertical="center"/>
    </xf>
    <xf numFmtId="0" fontId="19" fillId="14" borderId="87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4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1802.8500000000001</c:v>
                </c:pt>
                <c:pt idx="1">
                  <c:v>1920.92</c:v>
                </c:pt>
                <c:pt idx="2">
                  <c:v>2359.12</c:v>
                </c:pt>
                <c:pt idx="3">
                  <c:v>2256.73</c:v>
                </c:pt>
                <c:pt idx="4">
                  <c:v>2491.5099999999998</c:v>
                </c:pt>
                <c:pt idx="5">
                  <c:v>2244.7399999999998</c:v>
                </c:pt>
                <c:pt idx="6">
                  <c:v>2569.4499999999998</c:v>
                </c:pt>
                <c:pt idx="7">
                  <c:v>2039.82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1811840"/>
        <c:axId val="918133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18</c:v>
                </c:pt>
                <c:pt idx="1">
                  <c:v>8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13</c:v>
                </c:pt>
                <c:pt idx="7">
                  <c:v>16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1814912"/>
        <c:axId val="91833088"/>
      </c:lineChart>
      <c:catAx>
        <c:axId val="9181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13376"/>
        <c:crosses val="autoZero"/>
        <c:auto val="1"/>
        <c:lblAlgn val="ctr"/>
        <c:lblOffset val="100"/>
      </c:catAx>
      <c:valAx>
        <c:axId val="9181337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11840"/>
        <c:crosses val="autoZero"/>
        <c:crossBetween val="between"/>
        <c:majorUnit val="200"/>
      </c:valAx>
      <c:catAx>
        <c:axId val="91814912"/>
        <c:scaling>
          <c:orientation val="minMax"/>
        </c:scaling>
        <c:delete val="1"/>
        <c:axPos val="b"/>
        <c:tickLblPos val="none"/>
        <c:crossAx val="91833088"/>
        <c:crosses val="autoZero"/>
        <c:auto val="1"/>
        <c:lblAlgn val="ctr"/>
        <c:lblOffset val="100"/>
      </c:catAx>
      <c:valAx>
        <c:axId val="918330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14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91858816"/>
        <c:axId val="918603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1870336"/>
        <c:axId val="91871872"/>
      </c:lineChart>
      <c:catAx>
        <c:axId val="9185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60352"/>
        <c:crosses val="autoZero"/>
        <c:auto val="1"/>
        <c:lblAlgn val="ctr"/>
        <c:lblOffset val="100"/>
      </c:catAx>
      <c:valAx>
        <c:axId val="9186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58816"/>
        <c:crosses val="autoZero"/>
        <c:crossBetween val="between"/>
        <c:majorUnit val="200"/>
      </c:valAx>
      <c:catAx>
        <c:axId val="91870336"/>
        <c:scaling>
          <c:orientation val="minMax"/>
        </c:scaling>
        <c:delete val="1"/>
        <c:axPos val="b"/>
        <c:tickLblPos val="none"/>
        <c:crossAx val="91871872"/>
        <c:crosses val="autoZero"/>
        <c:auto val="1"/>
        <c:lblAlgn val="ctr"/>
        <c:lblOffset val="100"/>
      </c:catAx>
      <c:valAx>
        <c:axId val="918718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70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3314432"/>
        <c:axId val="93316224"/>
      </c:lineChart>
      <c:catAx>
        <c:axId val="93314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16224"/>
        <c:crosses val="autoZero"/>
        <c:auto val="1"/>
        <c:lblAlgn val="ctr"/>
        <c:lblOffset val="200"/>
        <c:tickLblSkip val="1"/>
      </c:catAx>
      <c:valAx>
        <c:axId val="93316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14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3348992"/>
        <c:axId val="93350528"/>
      </c:lineChart>
      <c:catAx>
        <c:axId val="93348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50528"/>
        <c:crosses val="autoZero"/>
        <c:auto val="1"/>
        <c:lblAlgn val="ctr"/>
        <c:lblOffset val="100"/>
      </c:catAx>
      <c:valAx>
        <c:axId val="933505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8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3366912"/>
        <c:axId val="94126848"/>
      </c:lineChart>
      <c:catAx>
        <c:axId val="93366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26848"/>
        <c:crosses val="autoZero"/>
        <c:auto val="1"/>
        <c:lblAlgn val="ctr"/>
        <c:lblOffset val="100"/>
      </c:catAx>
      <c:valAx>
        <c:axId val="94126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66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4160000"/>
        <c:axId val="94161920"/>
      </c:lineChart>
      <c:catAx>
        <c:axId val="94160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61920"/>
        <c:crosses val="autoZero"/>
        <c:auto val="1"/>
        <c:lblAlgn val="ctr"/>
        <c:lblOffset val="100"/>
      </c:catAx>
      <c:valAx>
        <c:axId val="94161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60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-307317.16399999999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3670784"/>
        <c:axId val="93693056"/>
      </c:lineChart>
      <c:catAx>
        <c:axId val="9367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93056"/>
        <c:crosses val="autoZero"/>
        <c:auto val="1"/>
        <c:lblAlgn val="ctr"/>
        <c:lblOffset val="100"/>
      </c:catAx>
      <c:valAx>
        <c:axId val="936930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7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95172480"/>
        <c:axId val="95174016"/>
      </c:lineChart>
      <c:catAx>
        <c:axId val="9517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74016"/>
        <c:crosses val="autoZero"/>
        <c:auto val="1"/>
        <c:lblAlgn val="ctr"/>
        <c:lblOffset val="100"/>
      </c:catAx>
      <c:valAx>
        <c:axId val="95174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7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1824.75</c:v>
                </c:pt>
                <c:pt idx="3">
                  <c:v>1802.8500000000001</c:v>
                </c:pt>
                <c:pt idx="4">
                  <c:v>1920.92</c:v>
                </c:pt>
                <c:pt idx="5">
                  <c:v>2359.12</c:v>
                </c:pt>
                <c:pt idx="6">
                  <c:v>2256.73</c:v>
                </c:pt>
                <c:pt idx="7">
                  <c:v>2491.5099999999998</c:v>
                </c:pt>
                <c:pt idx="8">
                  <c:v>2244.7399999999998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5218688"/>
        <c:axId val="94700288"/>
      </c:lineChart>
      <c:catAx>
        <c:axId val="9521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00288"/>
        <c:crosses val="autoZero"/>
        <c:auto val="1"/>
        <c:lblAlgn val="ctr"/>
        <c:lblOffset val="100"/>
      </c:catAx>
      <c:valAx>
        <c:axId val="9470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1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6801"/>
          <c:y val="7.471324705110314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4737152"/>
        <c:axId val="94738688"/>
      </c:lineChart>
      <c:catAx>
        <c:axId val="9473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38688"/>
        <c:crosses val="autoZero"/>
        <c:auto val="1"/>
        <c:lblAlgn val="ctr"/>
        <c:lblOffset val="200"/>
        <c:tickLblSkip val="1"/>
      </c:catAx>
      <c:valAx>
        <c:axId val="947386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3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693056"/>
        <c:axId val="95707136"/>
      </c:lineChart>
      <c:catAx>
        <c:axId val="956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7136"/>
        <c:crosses val="autoZero"/>
        <c:auto val="1"/>
        <c:lblAlgn val="ctr"/>
        <c:lblOffset val="100"/>
      </c:catAx>
      <c:valAx>
        <c:axId val="9570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5895552"/>
        <c:axId val="95897472"/>
      </c:lineChart>
      <c:catAx>
        <c:axId val="958955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7472"/>
        <c:crosses val="autoZero"/>
        <c:auto val="1"/>
        <c:lblAlgn val="ctr"/>
        <c:lblOffset val="100"/>
      </c:catAx>
      <c:valAx>
        <c:axId val="958974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55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95918336"/>
        <c:axId val="95932800"/>
      </c:lineChart>
      <c:catAx>
        <c:axId val="95918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32800"/>
        <c:crosses val="autoZero"/>
        <c:auto val="1"/>
        <c:lblAlgn val="ctr"/>
        <c:lblOffset val="100"/>
      </c:catAx>
      <c:valAx>
        <c:axId val="959328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83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507200"/>
        <c:axId val="95508736"/>
      </c:lineChart>
      <c:catAx>
        <c:axId val="95507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08736"/>
        <c:crosses val="autoZero"/>
        <c:auto val="1"/>
        <c:lblAlgn val="ctr"/>
        <c:lblOffset val="100"/>
      </c:catAx>
      <c:valAx>
        <c:axId val="9550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0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95534080"/>
        <c:axId val="95548160"/>
      </c:lineChart>
      <c:catAx>
        <c:axId val="9553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48160"/>
        <c:crosses val="autoZero"/>
        <c:auto val="1"/>
        <c:lblAlgn val="ctr"/>
        <c:lblOffset val="100"/>
      </c:catAx>
      <c:valAx>
        <c:axId val="9554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3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6231808"/>
        <c:axId val="96233344"/>
      </c:lineChart>
      <c:catAx>
        <c:axId val="9623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33344"/>
        <c:crosses val="autoZero"/>
        <c:auto val="1"/>
        <c:lblAlgn val="ctr"/>
        <c:lblOffset val="100"/>
      </c:catAx>
      <c:valAx>
        <c:axId val="9623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3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699"/>
          <c:y val="7.471324705110356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6594560"/>
        <c:axId val="9693222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6933760"/>
        <c:axId val="96935296"/>
      </c:lineChart>
      <c:catAx>
        <c:axId val="965945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32224"/>
        <c:crosses val="autoZero"/>
        <c:lblAlgn val="ctr"/>
        <c:lblOffset val="100"/>
        <c:tickMarkSkip val="1"/>
      </c:catAx>
      <c:valAx>
        <c:axId val="969322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94560"/>
        <c:crosses val="autoZero"/>
        <c:crossBetween val="between"/>
      </c:valAx>
      <c:catAx>
        <c:axId val="96933760"/>
        <c:scaling>
          <c:orientation val="minMax"/>
        </c:scaling>
        <c:delete val="1"/>
        <c:axPos val="b"/>
        <c:numFmt formatCode="[$-409]d\-mmm\-yy;@" sourceLinked="1"/>
        <c:tickLblPos val="none"/>
        <c:crossAx val="96935296"/>
        <c:crosses val="autoZero"/>
        <c:lblAlgn val="ctr"/>
        <c:lblOffset val="100"/>
      </c:catAx>
      <c:valAx>
        <c:axId val="9693529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33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6972160"/>
        <c:axId val="96973952"/>
      </c:lineChart>
      <c:catAx>
        <c:axId val="96972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3952"/>
        <c:crosses val="autoZero"/>
        <c:auto val="1"/>
        <c:lblAlgn val="ctr"/>
        <c:lblOffset val="100"/>
      </c:catAx>
      <c:valAx>
        <c:axId val="969739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972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05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7963520"/>
        <c:axId val="107965056"/>
      </c:lineChart>
      <c:catAx>
        <c:axId val="10796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65056"/>
        <c:crosses val="autoZero"/>
        <c:auto val="1"/>
        <c:lblAlgn val="ctr"/>
        <c:lblOffset val="100"/>
      </c:catAx>
      <c:valAx>
        <c:axId val="1079650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6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008576"/>
        <c:axId val="1080101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028288"/>
        <c:axId val="108029824"/>
      </c:lineChart>
      <c:catAx>
        <c:axId val="1080085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10112"/>
        <c:crosses val="autoZero"/>
        <c:lblAlgn val="ctr"/>
        <c:lblOffset val="100"/>
        <c:tickMarkSkip val="1"/>
      </c:catAx>
      <c:valAx>
        <c:axId val="10801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08576"/>
        <c:crosses val="autoZero"/>
        <c:crossBetween val="between"/>
      </c:valAx>
      <c:catAx>
        <c:axId val="108028288"/>
        <c:scaling>
          <c:orientation val="minMax"/>
        </c:scaling>
        <c:delete val="1"/>
        <c:axPos val="b"/>
        <c:numFmt formatCode="General" sourceLinked="1"/>
        <c:tickLblPos val="none"/>
        <c:crossAx val="108029824"/>
        <c:crosses val="autoZero"/>
        <c:lblAlgn val="ctr"/>
        <c:lblOffset val="100"/>
      </c:catAx>
      <c:valAx>
        <c:axId val="108029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28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066304"/>
        <c:axId val="108067840"/>
      </c:lineChart>
      <c:catAx>
        <c:axId val="108066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67840"/>
        <c:crosses val="autoZero"/>
        <c:auto val="1"/>
        <c:lblAlgn val="ctr"/>
        <c:lblOffset val="100"/>
      </c:catAx>
      <c:valAx>
        <c:axId val="108067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66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14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547072"/>
        <c:axId val="108569344"/>
      </c:lineChart>
      <c:catAx>
        <c:axId val="10854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69344"/>
        <c:crosses val="autoZero"/>
        <c:auto val="1"/>
        <c:lblAlgn val="ctr"/>
        <c:lblOffset val="100"/>
      </c:catAx>
      <c:valAx>
        <c:axId val="108569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4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3097984"/>
        <c:axId val="9309952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3101056"/>
        <c:axId val="93111040"/>
      </c:lineChart>
      <c:catAx>
        <c:axId val="930979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99520"/>
        <c:crosses val="autoZero"/>
        <c:lblAlgn val="ctr"/>
        <c:lblOffset val="100"/>
        <c:tickMarkSkip val="1"/>
      </c:catAx>
      <c:valAx>
        <c:axId val="93099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97984"/>
        <c:crosses val="autoZero"/>
        <c:crossBetween val="between"/>
      </c:valAx>
      <c:catAx>
        <c:axId val="93101056"/>
        <c:scaling>
          <c:orientation val="minMax"/>
        </c:scaling>
        <c:delete val="1"/>
        <c:axPos val="b"/>
        <c:numFmt formatCode="[$-409]d\-mmm\-yy;@" sourceLinked="1"/>
        <c:tickLblPos val="none"/>
        <c:crossAx val="93111040"/>
        <c:crosses val="autoZero"/>
        <c:lblAlgn val="ctr"/>
        <c:lblOffset val="100"/>
      </c:catAx>
      <c:valAx>
        <c:axId val="9311104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01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5817472"/>
        <c:axId val="13582745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35828992"/>
        <c:axId val="135830528"/>
      </c:lineChart>
      <c:catAx>
        <c:axId val="1358174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27456"/>
        <c:crosses val="autoZero"/>
        <c:lblAlgn val="ctr"/>
        <c:lblOffset val="100"/>
        <c:tickMarkSkip val="1"/>
      </c:catAx>
      <c:valAx>
        <c:axId val="13582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17472"/>
        <c:crosses val="autoZero"/>
        <c:crossBetween val="between"/>
      </c:valAx>
      <c:catAx>
        <c:axId val="135828992"/>
        <c:scaling>
          <c:orientation val="minMax"/>
        </c:scaling>
        <c:delete val="1"/>
        <c:axPos val="b"/>
        <c:numFmt formatCode="General" sourceLinked="1"/>
        <c:tickLblPos val="none"/>
        <c:crossAx val="135830528"/>
        <c:crosses val="autoZero"/>
        <c:lblAlgn val="ctr"/>
        <c:lblOffset val="100"/>
      </c:catAx>
      <c:valAx>
        <c:axId val="1358305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289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9905280"/>
        <c:axId val="15990681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0170752"/>
        <c:axId val="160172288"/>
      </c:lineChart>
      <c:catAx>
        <c:axId val="1599052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06816"/>
        <c:crosses val="autoZero"/>
        <c:lblAlgn val="ctr"/>
        <c:lblOffset val="100"/>
        <c:tickMarkSkip val="1"/>
      </c:catAx>
      <c:valAx>
        <c:axId val="1599068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905280"/>
        <c:crosses val="autoZero"/>
        <c:crossBetween val="between"/>
      </c:valAx>
      <c:catAx>
        <c:axId val="160170752"/>
        <c:scaling>
          <c:orientation val="minMax"/>
        </c:scaling>
        <c:delete val="1"/>
        <c:axPos val="b"/>
        <c:numFmt formatCode="[$-409]d\-mmm\-yy;@" sourceLinked="1"/>
        <c:tickLblPos val="none"/>
        <c:crossAx val="160172288"/>
        <c:crosses val="autoZero"/>
        <c:lblAlgn val="ctr"/>
        <c:lblOffset val="100"/>
      </c:catAx>
      <c:valAx>
        <c:axId val="16017228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70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206848"/>
        <c:axId val="16020838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0209920"/>
        <c:axId val="160224000"/>
      </c:lineChart>
      <c:catAx>
        <c:axId val="16020684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08384"/>
        <c:crosses val="autoZero"/>
        <c:lblAlgn val="ctr"/>
        <c:lblOffset val="100"/>
        <c:tickMarkSkip val="1"/>
      </c:catAx>
      <c:valAx>
        <c:axId val="16020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06848"/>
        <c:crosses val="autoZero"/>
        <c:crossBetween val="between"/>
      </c:valAx>
      <c:catAx>
        <c:axId val="160209920"/>
        <c:scaling>
          <c:orientation val="minMax"/>
        </c:scaling>
        <c:delete val="1"/>
        <c:axPos val="b"/>
        <c:numFmt formatCode="General" sourceLinked="1"/>
        <c:tickLblPos val="none"/>
        <c:crossAx val="160224000"/>
        <c:crosses val="autoZero"/>
        <c:lblAlgn val="ctr"/>
        <c:lblOffset val="100"/>
      </c:catAx>
      <c:valAx>
        <c:axId val="160224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209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1305728"/>
        <c:axId val="161307648"/>
      </c:lineChart>
      <c:catAx>
        <c:axId val="161305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07648"/>
        <c:crosses val="autoZero"/>
        <c:auto val="1"/>
        <c:lblAlgn val="ctr"/>
        <c:lblOffset val="100"/>
      </c:catAx>
      <c:valAx>
        <c:axId val="1613076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057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1332608"/>
        <c:axId val="161494528"/>
      </c:lineChart>
      <c:catAx>
        <c:axId val="161332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494528"/>
        <c:crosses val="autoZero"/>
        <c:auto val="1"/>
        <c:lblAlgn val="ctr"/>
        <c:lblOffset val="100"/>
      </c:catAx>
      <c:valAx>
        <c:axId val="1614945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326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1527680"/>
        <c:axId val="161529216"/>
      </c:lineChart>
      <c:catAx>
        <c:axId val="16152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9216"/>
        <c:crosses val="autoZero"/>
        <c:auto val="1"/>
        <c:lblAlgn val="ctr"/>
        <c:lblOffset val="200"/>
        <c:tickLblSkip val="1"/>
      </c:catAx>
      <c:valAx>
        <c:axId val="1615292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2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2086272"/>
        <c:axId val="162092160"/>
      </c:lineChart>
      <c:catAx>
        <c:axId val="16208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92160"/>
        <c:crosses val="autoZero"/>
        <c:auto val="1"/>
        <c:lblAlgn val="ctr"/>
        <c:lblOffset val="100"/>
      </c:catAx>
      <c:valAx>
        <c:axId val="162092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8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95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-307317.16399999999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2595968"/>
        <c:axId val="162597504"/>
      </c:lineChart>
      <c:catAx>
        <c:axId val="162595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7504"/>
        <c:crosses val="autoZero"/>
        <c:auto val="1"/>
        <c:lblAlgn val="ctr"/>
        <c:lblOffset val="100"/>
      </c:catAx>
      <c:valAx>
        <c:axId val="1625975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5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4580</c:v>
                </c:pt>
                <c:pt idx="3">
                  <c:v>4303</c:v>
                </c:pt>
                <c:pt idx="4">
                  <c:v>4514</c:v>
                </c:pt>
                <c:pt idx="5">
                  <c:v>5690</c:v>
                </c:pt>
                <c:pt idx="6">
                  <c:v>5866</c:v>
                </c:pt>
                <c:pt idx="7">
                  <c:v>5875</c:v>
                </c:pt>
                <c:pt idx="8">
                  <c:v>5952</c:v>
                </c:pt>
                <c:pt idx="9">
                  <c:v>5988</c:v>
                </c:pt>
                <c:pt idx="10">
                  <c:v>5209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2626176"/>
        <c:axId val="162652928"/>
      </c:lineChart>
      <c:catAx>
        <c:axId val="162626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52928"/>
        <c:crosses val="autoZero"/>
        <c:auto val="1"/>
        <c:lblAlgn val="ctr"/>
        <c:lblOffset val="100"/>
      </c:catAx>
      <c:valAx>
        <c:axId val="1626529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26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113</c:v>
                </c:pt>
                <c:pt idx="1">
                  <c:v>97</c:v>
                </c:pt>
                <c:pt idx="2">
                  <c:v>107</c:v>
                </c:pt>
                <c:pt idx="3">
                  <c:v>139</c:v>
                </c:pt>
                <c:pt idx="4">
                  <c:v>141</c:v>
                </c:pt>
                <c:pt idx="5">
                  <c:v>129</c:v>
                </c:pt>
                <c:pt idx="6">
                  <c:v>129</c:v>
                </c:pt>
                <c:pt idx="7">
                  <c:v>128</c:v>
                </c:pt>
                <c:pt idx="8">
                  <c:v>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3218560"/>
        <c:axId val="163220480"/>
      </c:lineChart>
      <c:catAx>
        <c:axId val="163218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20480"/>
        <c:crosses val="autoZero"/>
        <c:auto val="1"/>
        <c:lblAlgn val="ctr"/>
        <c:lblOffset val="100"/>
      </c:catAx>
      <c:valAx>
        <c:axId val="1632204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18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83.21</c:v>
                </c:pt>
                <c:pt idx="1">
                  <c:v>130.38999999999999</c:v>
                </c:pt>
                <c:pt idx="2">
                  <c:v>2003.5</c:v>
                </c:pt>
                <c:pt idx="3">
                  <c:v>1892.5000000000002</c:v>
                </c:pt>
                <c:pt idx="4">
                  <c:v>2050.19</c:v>
                </c:pt>
                <c:pt idx="5">
                  <c:v>2546.7599999999998</c:v>
                </c:pt>
                <c:pt idx="6">
                  <c:v>2459.88</c:v>
                </c:pt>
                <c:pt idx="7">
                  <c:v>2548.2499999999995</c:v>
                </c:pt>
                <c:pt idx="8">
                  <c:v>2407.4199999999996</c:v>
                </c:pt>
                <c:pt idx="9">
                  <c:v>2569.4499999999998</c:v>
                </c:pt>
                <c:pt idx="10">
                  <c:v>2039.82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3245440"/>
        <c:axId val="163644544"/>
      </c:lineChart>
      <c:catAx>
        <c:axId val="16324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44544"/>
        <c:crosses val="autoZero"/>
        <c:auto val="1"/>
        <c:lblAlgn val="ctr"/>
        <c:lblOffset val="200"/>
        <c:tickLblSkip val="1"/>
      </c:catAx>
      <c:valAx>
        <c:axId val="1636445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45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0.23380000000000001</c:v>
                </c:pt>
                <c:pt idx="1">
                  <c:v>0.23400000000000001</c:v>
                </c:pt>
                <c:pt idx="2">
                  <c:v>0.104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0.1429</c:v>
                </c:pt>
                <c:pt idx="8">
                  <c:v>0.19500000000000001</c:v>
                </c:pt>
                <c:pt idx="9">
                  <c:v>0.18179999999999999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3689600"/>
        <c:axId val="163691136"/>
      </c:lineChart>
      <c:catAx>
        <c:axId val="16368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91136"/>
        <c:crosses val="autoZero"/>
        <c:auto val="1"/>
        <c:lblAlgn val="ctr"/>
        <c:lblOffset val="100"/>
      </c:catAx>
      <c:valAx>
        <c:axId val="163691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95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94.511999999982081</c:v>
                </c:pt>
                <c:pt idx="1">
                  <c:v>104.63199999999489</c:v>
                </c:pt>
                <c:pt idx="2">
                  <c:v>-783.94799999999236</c:v>
                </c:pt>
                <c:pt idx="3">
                  <c:v>112.72800000004355</c:v>
                </c:pt>
                <c:pt idx="4">
                  <c:v>106.91999999994879</c:v>
                </c:pt>
                <c:pt idx="5">
                  <c:v>102.12400000002818</c:v>
                </c:pt>
                <c:pt idx="6">
                  <c:v>108.19599999998464</c:v>
                </c:pt>
                <c:pt idx="7">
                  <c:v>112.15600000002306</c:v>
                </c:pt>
                <c:pt idx="8">
                  <c:v>103.44399999997695</c:v>
                </c:pt>
                <c:pt idx="9">
                  <c:v>-307317.16399999999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3707520"/>
        <c:axId val="164327808"/>
      </c:lineChart>
      <c:catAx>
        <c:axId val="16370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27808"/>
        <c:crosses val="autoZero"/>
        <c:auto val="1"/>
        <c:lblAlgn val="ctr"/>
        <c:lblOffset val="100"/>
      </c:catAx>
      <c:valAx>
        <c:axId val="164327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0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4766080"/>
        <c:axId val="164768000"/>
      </c:lineChart>
      <c:catAx>
        <c:axId val="164766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68000"/>
        <c:crosses val="autoZero"/>
        <c:auto val="1"/>
        <c:lblAlgn val="ctr"/>
        <c:lblOffset val="100"/>
      </c:catAx>
      <c:valAx>
        <c:axId val="1647680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766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4813440"/>
        <c:axId val="165090048"/>
      </c:lineChart>
      <c:catAx>
        <c:axId val="164813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090048"/>
        <c:crosses val="autoZero"/>
        <c:auto val="1"/>
        <c:lblAlgn val="ctr"/>
        <c:lblOffset val="100"/>
      </c:catAx>
      <c:valAx>
        <c:axId val="165090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13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110912"/>
        <c:axId val="165112448"/>
      </c:lineChart>
      <c:catAx>
        <c:axId val="16511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12448"/>
        <c:crosses val="autoZero"/>
        <c:auto val="1"/>
        <c:lblAlgn val="ctr"/>
        <c:lblOffset val="200"/>
        <c:tickLblSkip val="1"/>
      </c:catAx>
      <c:valAx>
        <c:axId val="1651124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1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128832"/>
        <c:axId val="165134720"/>
      </c:lineChart>
      <c:catAx>
        <c:axId val="16512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34720"/>
        <c:crosses val="autoZero"/>
        <c:auto val="1"/>
        <c:lblAlgn val="ctr"/>
        <c:lblOffset val="100"/>
      </c:catAx>
      <c:valAx>
        <c:axId val="16513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2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446016"/>
        <c:axId val="165447552"/>
      </c:lineChart>
      <c:catAx>
        <c:axId val="165446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47552"/>
        <c:crosses val="autoZero"/>
        <c:auto val="1"/>
        <c:lblAlgn val="ctr"/>
        <c:lblOffset val="100"/>
      </c:catAx>
      <c:valAx>
        <c:axId val="165447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4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5611392"/>
        <c:axId val="165629952"/>
      </c:lineChart>
      <c:catAx>
        <c:axId val="1656113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29952"/>
        <c:crosses val="autoZero"/>
        <c:auto val="1"/>
        <c:lblAlgn val="ctr"/>
        <c:lblOffset val="100"/>
      </c:catAx>
      <c:valAx>
        <c:axId val="165629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1139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65806464"/>
        <c:axId val="165808384"/>
      </c:lineChart>
      <c:catAx>
        <c:axId val="1658064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08384"/>
        <c:crosses val="autoZero"/>
        <c:auto val="1"/>
        <c:lblAlgn val="ctr"/>
        <c:lblOffset val="100"/>
      </c:catAx>
      <c:valAx>
        <c:axId val="165808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06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837440"/>
        <c:axId val="165859712"/>
      </c:lineChart>
      <c:catAx>
        <c:axId val="16583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59712"/>
        <c:crosses val="autoZero"/>
        <c:auto val="1"/>
        <c:lblAlgn val="ctr"/>
        <c:lblOffset val="200"/>
        <c:tickLblSkip val="1"/>
      </c:catAx>
      <c:valAx>
        <c:axId val="1658597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83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150528"/>
        <c:axId val="166152064"/>
      </c:lineChart>
      <c:catAx>
        <c:axId val="16615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2064"/>
        <c:crosses val="autoZero"/>
        <c:auto val="1"/>
        <c:lblAlgn val="ctr"/>
        <c:lblOffset val="100"/>
      </c:catAx>
      <c:valAx>
        <c:axId val="166152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6176640"/>
        <c:axId val="166178176"/>
      </c:lineChart>
      <c:catAx>
        <c:axId val="166176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78176"/>
        <c:crosses val="autoZero"/>
        <c:auto val="1"/>
        <c:lblAlgn val="ctr"/>
        <c:lblOffset val="100"/>
      </c:catAx>
      <c:valAx>
        <c:axId val="166178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76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3" sqref="C33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5" width="12.5703125" style="555" customWidth="1"/>
    <col min="6" max="6" width="12.5703125" style="12" customWidth="1"/>
    <col min="7" max="7" width="11.5703125" style="12"/>
    <col min="8" max="8" width="11.5703125" style="568"/>
    <col min="9" max="9" width="11.5703125" style="12"/>
    <col min="10" max="10" width="11.5703125" style="568"/>
    <col min="11" max="11" width="11.5703125" style="55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51" customFormat="1" ht="60.75" thickBot="1">
      <c r="A1" s="545" t="s">
        <v>274</v>
      </c>
      <c r="B1" s="546" t="s">
        <v>275</v>
      </c>
      <c r="C1" s="546" t="s">
        <v>276</v>
      </c>
      <c r="D1" s="547" t="s">
        <v>277</v>
      </c>
      <c r="E1" s="548" t="s">
        <v>278</v>
      </c>
      <c r="F1" s="549" t="s">
        <v>279</v>
      </c>
      <c r="G1" s="549" t="s">
        <v>280</v>
      </c>
      <c r="H1" s="566" t="s">
        <v>281</v>
      </c>
      <c r="I1" s="549" t="s">
        <v>282</v>
      </c>
      <c r="J1" s="566" t="s">
        <v>283</v>
      </c>
      <c r="K1" s="548" t="s">
        <v>284</v>
      </c>
      <c r="L1" s="550" t="s">
        <v>285</v>
      </c>
    </row>
    <row r="2" spans="1:12">
      <c r="A2" s="552" t="s">
        <v>286</v>
      </c>
      <c r="B2" s="553">
        <v>1</v>
      </c>
      <c r="C2" s="553">
        <v>2</v>
      </c>
      <c r="D2" s="554">
        <v>2020</v>
      </c>
      <c r="E2" s="555">
        <f>'UTILITY REPORT 1'!F3</f>
        <v>4580</v>
      </c>
      <c r="F2" s="556">
        <f>('UTILITY REPORT 1'!E3*'UTILITY REPORT 1'!D3)/'UTILITY REPORT 1'!F3</f>
        <v>0.39841703056768557</v>
      </c>
      <c r="G2" s="556">
        <f>IF('Utility summery'!M6&lt;0,"0",'Utility summery'!M6)</f>
        <v>94.511999999982081</v>
      </c>
      <c r="H2" s="567">
        <v>0</v>
      </c>
      <c r="I2" s="556">
        <f>IF('UTILITY REPORT 1'!G3&lt;0,"0",'UTILITY REPORT 1'!G3)</f>
        <v>113</v>
      </c>
      <c r="J2" s="567">
        <v>0</v>
      </c>
      <c r="K2" s="555">
        <f>'UTILITY REPORT 1'!C3</f>
        <v>18</v>
      </c>
      <c r="L2" s="557" t="e">
        <f>E2*F2+G2*H2+#REF!*#REF!+I2*J2</f>
        <v>#REF!</v>
      </c>
    </row>
    <row r="3" spans="1:12">
      <c r="A3" s="552" t="s">
        <v>286</v>
      </c>
      <c r="B3" s="553">
        <f>B2+1</f>
        <v>2</v>
      </c>
      <c r="C3" s="553">
        <v>2</v>
      </c>
      <c r="D3" s="554">
        <v>2020</v>
      </c>
      <c r="E3" s="555">
        <f>'UTILITY REPORT 1'!F4</f>
        <v>4303</v>
      </c>
      <c r="F3" s="556">
        <f>('UTILITY REPORT 1'!E4*'UTILITY REPORT 1'!D4)/'UTILITY REPORT 1'!F4</f>
        <v>0.41897513362770161</v>
      </c>
      <c r="G3" s="556">
        <f>IF('Utility summery'!M7&lt;0,"0",'Utility summery'!M7)</f>
        <v>104.63199999999489</v>
      </c>
      <c r="H3" s="567">
        <v>0</v>
      </c>
      <c r="I3" s="556">
        <f>IF('UTILITY REPORT 1'!G4&lt;0,"0",'UTILITY REPORT 1'!G4)</f>
        <v>97</v>
      </c>
      <c r="J3" s="567">
        <v>0</v>
      </c>
      <c r="K3" s="555">
        <f>'UTILITY REPORT 1'!C4</f>
        <v>18</v>
      </c>
      <c r="L3" s="557" t="e">
        <f>E3*F3+G3*H3+#REF!*#REF!+I3*J3</f>
        <v>#REF!</v>
      </c>
    </row>
    <row r="4" spans="1:12">
      <c r="A4" s="552" t="s">
        <v>286</v>
      </c>
      <c r="B4" s="553">
        <f t="shared" ref="B4:B30" si="0">B3+1</f>
        <v>3</v>
      </c>
      <c r="C4" s="553">
        <v>2</v>
      </c>
      <c r="D4" s="554">
        <v>2020</v>
      </c>
      <c r="E4" s="555">
        <f>'UTILITY REPORT 1'!F5</f>
        <v>4514</v>
      </c>
      <c r="F4" s="556">
        <f>('UTILITY REPORT 1'!E5*'UTILITY REPORT 1'!D5)/'UTILITY REPORT 1'!F5</f>
        <v>0.4255471865307931</v>
      </c>
      <c r="G4" s="556" t="str">
        <f>IF('Utility summery'!M8&lt;0,"0",'Utility summery'!M8)</f>
        <v>0</v>
      </c>
      <c r="H4" s="567">
        <v>0</v>
      </c>
      <c r="I4" s="556">
        <f>IF('UTILITY REPORT 1'!G5&lt;0,"0",'UTILITY REPORT 1'!G5)</f>
        <v>107</v>
      </c>
      <c r="J4" s="567">
        <v>0</v>
      </c>
      <c r="K4" s="555">
        <f>'UTILITY REPORT 1'!C5</f>
        <v>8</v>
      </c>
      <c r="L4" s="557" t="e">
        <f>E4*F4+G4*H4+#REF!*#REF!+I4*J4</f>
        <v>#REF!</v>
      </c>
    </row>
    <row r="5" spans="1:12">
      <c r="A5" s="552" t="s">
        <v>286</v>
      </c>
      <c r="B5" s="553">
        <f t="shared" si="0"/>
        <v>4</v>
      </c>
      <c r="C5" s="553">
        <v>2</v>
      </c>
      <c r="D5" s="554">
        <v>2020</v>
      </c>
      <c r="E5" s="555">
        <f>'UTILITY REPORT 1'!F6</f>
        <v>5690</v>
      </c>
      <c r="F5" s="556">
        <f>('UTILITY REPORT 1'!E6*'UTILITY REPORT 1'!D6)/'UTILITY REPORT 1'!F6</f>
        <v>0.4146080843585237</v>
      </c>
      <c r="G5" s="556">
        <f>IF('Utility summery'!M9&lt;0,"0",'Utility summery'!M9)</f>
        <v>112.72800000004355</v>
      </c>
      <c r="H5" s="567">
        <v>0</v>
      </c>
      <c r="I5" s="556">
        <f>IF('UTILITY REPORT 1'!G6&lt;0,"0",'UTILITY REPORT 1'!G6)</f>
        <v>139</v>
      </c>
      <c r="J5" s="567">
        <v>0</v>
      </c>
      <c r="K5" s="555">
        <f>'UTILITY REPORT 1'!C6</f>
        <v>77</v>
      </c>
      <c r="L5" s="557" t="e">
        <f>E5*F5+G5*H5+#REF!*#REF!+I5*J5</f>
        <v>#REF!</v>
      </c>
    </row>
    <row r="6" spans="1:12">
      <c r="A6" s="552" t="s">
        <v>286</v>
      </c>
      <c r="B6" s="553">
        <f t="shared" si="0"/>
        <v>5</v>
      </c>
      <c r="C6" s="553">
        <v>2</v>
      </c>
      <c r="D6" s="554">
        <v>2020</v>
      </c>
      <c r="E6" s="555">
        <f>'UTILITY REPORT 1'!F7</f>
        <v>5866</v>
      </c>
      <c r="F6" s="556">
        <f>('UTILITY REPORT 1'!E7*'UTILITY REPORT 1'!D7)/'UTILITY REPORT 1'!F7</f>
        <v>0.38471360381861575</v>
      </c>
      <c r="G6" s="556">
        <f>IF('Utility summery'!M10&lt;0,"0",'Utility summery'!M10)</f>
        <v>106.91999999994879</v>
      </c>
      <c r="H6" s="567">
        <v>0</v>
      </c>
      <c r="I6" s="556">
        <f>IF('UTILITY REPORT 1'!G7&lt;0,"0",'UTILITY REPORT 1'!G7)</f>
        <v>141</v>
      </c>
      <c r="J6" s="567">
        <v>0</v>
      </c>
      <c r="K6" s="555">
        <f>'UTILITY REPORT 1'!C7</f>
        <v>77</v>
      </c>
      <c r="L6" s="557" t="e">
        <f>E6*F6+G6*H6+#REF!*#REF!+I6*J6</f>
        <v>#REF!</v>
      </c>
    </row>
    <row r="7" spans="1:12">
      <c r="A7" s="552" t="s">
        <v>286</v>
      </c>
      <c r="B7" s="553">
        <f t="shared" si="0"/>
        <v>6</v>
      </c>
      <c r="C7" s="553">
        <v>2</v>
      </c>
      <c r="D7" s="554">
        <v>2020</v>
      </c>
      <c r="E7" s="555">
        <f>'UTILITY REPORT 1'!F8</f>
        <v>5875</v>
      </c>
      <c r="F7" s="556">
        <f>('UTILITY REPORT 1'!E8*'UTILITY REPORT 1'!D8)/'UTILITY REPORT 1'!F8</f>
        <v>0.42408680851063824</v>
      </c>
      <c r="G7" s="556">
        <f>IF('Utility summery'!M11&lt;0,"0",'Utility summery'!M11)</f>
        <v>102.12400000002818</v>
      </c>
      <c r="H7" s="567">
        <v>0</v>
      </c>
      <c r="I7" s="556">
        <f>IF('UTILITY REPORT 1'!G8&lt;0,"0",'UTILITY REPORT 1'!G8)</f>
        <v>129</v>
      </c>
      <c r="J7" s="567">
        <v>0</v>
      </c>
      <c r="K7" s="555">
        <f>'UTILITY REPORT 1'!C8</f>
        <v>77</v>
      </c>
      <c r="L7" s="557" t="e">
        <f>E7*F7+G7*H7+#REF!*#REF!+I7*J7</f>
        <v>#REF!</v>
      </c>
    </row>
    <row r="8" spans="1:12">
      <c r="A8" s="552" t="s">
        <v>286</v>
      </c>
      <c r="B8" s="553">
        <f t="shared" si="0"/>
        <v>7</v>
      </c>
      <c r="C8" s="553">
        <v>2</v>
      </c>
      <c r="D8" s="554">
        <v>2020</v>
      </c>
      <c r="E8" s="555">
        <f>'UTILITY REPORT 1'!F9</f>
        <v>5952</v>
      </c>
      <c r="F8" s="556">
        <f>('UTILITY REPORT 1'!E9*'UTILITY REPORT 1'!D9)/'UTILITY REPORT 1'!F9</f>
        <v>0.37714045698924725</v>
      </c>
      <c r="G8" s="556">
        <f>IF('Utility summery'!M12&lt;0,"0",'Utility summery'!M12)</f>
        <v>108.19599999998464</v>
      </c>
      <c r="H8" s="567">
        <v>0</v>
      </c>
      <c r="I8" s="556">
        <f>IF('UTILITY REPORT 1'!G9&lt;0,"0",'UTILITY REPORT 1'!G9)</f>
        <v>129</v>
      </c>
      <c r="J8" s="567">
        <v>0</v>
      </c>
      <c r="K8" s="555">
        <f>'UTILITY REPORT 1'!C9</f>
        <v>77</v>
      </c>
      <c r="L8" s="557" t="e">
        <f>E8*F8+G8*H8+#REF!*#REF!+I8*J8</f>
        <v>#REF!</v>
      </c>
    </row>
    <row r="9" spans="1:12">
      <c r="A9" s="552" t="s">
        <v>286</v>
      </c>
      <c r="B9" s="553">
        <f t="shared" si="0"/>
        <v>8</v>
      </c>
      <c r="C9" s="553">
        <v>2</v>
      </c>
      <c r="D9" s="554">
        <v>2020</v>
      </c>
      <c r="E9" s="555">
        <f>'UTILITY REPORT 1'!F10</f>
        <v>5988</v>
      </c>
      <c r="F9" s="556">
        <f>('UTILITY REPORT 1'!E10*'UTILITY REPORT 1'!D10)/'UTILITY REPORT 1'!F10</f>
        <v>0.42909986639946557</v>
      </c>
      <c r="G9" s="556">
        <f>IF('Utility summery'!M13&lt;0,"0",'Utility summery'!M13)</f>
        <v>112.15600000002306</v>
      </c>
      <c r="H9" s="567">
        <v>0</v>
      </c>
      <c r="I9" s="556">
        <f>IF('UTILITY REPORT 1'!G10&lt;0,"0",'UTILITY REPORT 1'!G10)</f>
        <v>128</v>
      </c>
      <c r="J9" s="567">
        <v>0</v>
      </c>
      <c r="K9" s="555">
        <f>'UTILITY REPORT 1'!C10</f>
        <v>13</v>
      </c>
      <c r="L9" s="557" t="e">
        <f>E9*F9+G9*H9+#REF!*#REF!+I9*J9</f>
        <v>#REF!</v>
      </c>
    </row>
    <row r="10" spans="1:12">
      <c r="A10" s="552" t="s">
        <v>286</v>
      </c>
      <c r="B10" s="553">
        <f t="shared" si="0"/>
        <v>9</v>
      </c>
      <c r="C10" s="553">
        <v>2</v>
      </c>
      <c r="D10" s="554">
        <v>2020</v>
      </c>
      <c r="E10" s="555">
        <f>'UTILITY REPORT 1'!F11</f>
        <v>5209</v>
      </c>
      <c r="F10" s="556">
        <f>('UTILITY REPORT 1'!E11*'UTILITY REPORT 1'!D11)/'UTILITY REPORT 1'!F11</f>
        <v>0.39159531579957763</v>
      </c>
      <c r="G10" s="556">
        <f>IF('Utility summery'!M14&lt;0,"0",'Utility summery'!M14)</f>
        <v>103.44399999997695</v>
      </c>
      <c r="H10" s="567">
        <v>0</v>
      </c>
      <c r="I10" s="556">
        <f>IF('UTILITY REPORT 1'!G11&lt;0,"0",'UTILITY REPORT 1'!G11)</f>
        <v>96</v>
      </c>
      <c r="J10" s="567">
        <v>0</v>
      </c>
      <c r="K10" s="555">
        <f>'UTILITY REPORT 1'!C11</f>
        <v>16</v>
      </c>
      <c r="L10" s="557" t="e">
        <f>E10*F10+G10*H10+#REF!*#REF!+I10*J10</f>
        <v>#REF!</v>
      </c>
    </row>
    <row r="11" spans="1:12">
      <c r="A11" s="552" t="s">
        <v>286</v>
      </c>
      <c r="B11" s="553">
        <f t="shared" si="0"/>
        <v>10</v>
      </c>
      <c r="C11" s="553">
        <v>2</v>
      </c>
      <c r="D11" s="554">
        <v>2020</v>
      </c>
      <c r="E11" s="555">
        <f>'UTILITY REPORT 1'!F12</f>
        <v>0</v>
      </c>
      <c r="F11" s="556" t="e">
        <f>('UTILITY REPORT 1'!E12*'UTILITY REPORT 1'!D12)/'UTILITY REPORT 1'!F12</f>
        <v>#DIV/0!</v>
      </c>
      <c r="G11" s="556" t="str">
        <f>IF('Utility summery'!M15&lt;0,"0",'Utility summery'!M15)</f>
        <v>0</v>
      </c>
      <c r="H11" s="567">
        <v>0</v>
      </c>
      <c r="I11" s="556" t="str">
        <f>IF('UTILITY REPORT 1'!G12&lt;0,"0",'UTILITY REPORT 1'!G12)</f>
        <v>0</v>
      </c>
      <c r="J11" s="567">
        <v>0</v>
      </c>
      <c r="K11" s="555">
        <f>'UTILITY REPORT 1'!C12</f>
        <v>15</v>
      </c>
      <c r="L11" s="557" t="e">
        <f>E11*F11+G11*H11+#REF!*#REF!+I11*J11</f>
        <v>#DIV/0!</v>
      </c>
    </row>
    <row r="12" spans="1:12">
      <c r="A12" s="552" t="s">
        <v>286</v>
      </c>
      <c r="B12" s="553">
        <f t="shared" si="0"/>
        <v>11</v>
      </c>
      <c r="C12" s="553">
        <v>2</v>
      </c>
      <c r="D12" s="554">
        <v>2020</v>
      </c>
      <c r="E12" s="555">
        <f>'UTILITY REPORT 1'!F13</f>
        <v>0</v>
      </c>
      <c r="F12" s="556" t="e">
        <f>('UTILITY REPORT 1'!E13*'UTILITY REPORT 1'!D13)/'UTILITY REPORT 1'!F13</f>
        <v>#DIV/0!</v>
      </c>
      <c r="G12" s="556">
        <f>IF('Utility summery'!M16&lt;0,"0",'Utility summery'!M16)</f>
        <v>0</v>
      </c>
      <c r="H12" s="567">
        <v>0</v>
      </c>
      <c r="I12" s="556">
        <f>IF('UTILITY REPORT 1'!G13&lt;0,"0",'UTILITY REPORT 1'!G13)</f>
        <v>0</v>
      </c>
      <c r="J12" s="567">
        <v>0</v>
      </c>
      <c r="K12" s="555">
        <f>'UTILITY REPORT 1'!C13</f>
        <v>0</v>
      </c>
      <c r="L12" s="557" t="e">
        <f>E12*F12+G12*H12+#REF!*#REF!+I12*J12</f>
        <v>#DIV/0!</v>
      </c>
    </row>
    <row r="13" spans="1:12">
      <c r="A13" s="552" t="s">
        <v>286</v>
      </c>
      <c r="B13" s="553">
        <f t="shared" si="0"/>
        <v>12</v>
      </c>
      <c r="C13" s="553">
        <v>2</v>
      </c>
      <c r="D13" s="554">
        <v>2020</v>
      </c>
      <c r="E13" s="555">
        <f>'UTILITY REPORT 1'!F14</f>
        <v>0</v>
      </c>
      <c r="F13" s="556" t="e">
        <f>('UTILITY REPORT 1'!E14*'UTILITY REPORT 1'!D14)/'UTILITY REPORT 1'!F14</f>
        <v>#DIV/0!</v>
      </c>
      <c r="G13" s="556">
        <f>IF('Utility summery'!M17&lt;0,"0",'Utility summery'!M17)</f>
        <v>0</v>
      </c>
      <c r="H13" s="567">
        <v>0</v>
      </c>
      <c r="I13" s="556">
        <f>IF('UTILITY REPORT 1'!G14&lt;0,"0",'UTILITY REPORT 1'!G14)</f>
        <v>0</v>
      </c>
      <c r="J13" s="567">
        <v>0</v>
      </c>
      <c r="K13" s="555">
        <f>'UTILITY REPORT 1'!C14</f>
        <v>0</v>
      </c>
      <c r="L13" s="557" t="e">
        <f>E13*F13+G13*H13+#REF!*#REF!+I13*J13</f>
        <v>#DIV/0!</v>
      </c>
    </row>
    <row r="14" spans="1:12">
      <c r="A14" s="552" t="s">
        <v>286</v>
      </c>
      <c r="B14" s="553">
        <f t="shared" si="0"/>
        <v>13</v>
      </c>
      <c r="C14" s="553">
        <v>2</v>
      </c>
      <c r="D14" s="554">
        <v>2020</v>
      </c>
      <c r="E14" s="555">
        <f>'UTILITY REPORT 1'!F15</f>
        <v>0</v>
      </c>
      <c r="F14" s="556" t="e">
        <f>('UTILITY REPORT 1'!E15*'UTILITY REPORT 1'!D15)/'UTILITY REPORT 1'!F15</f>
        <v>#DIV/0!</v>
      </c>
      <c r="G14" s="556">
        <f>IF('Utility summery'!M18&lt;0,"0",'Utility summery'!M18)</f>
        <v>0</v>
      </c>
      <c r="H14" s="567">
        <v>0</v>
      </c>
      <c r="I14" s="556">
        <f>IF('UTILITY REPORT 1'!G15&lt;0,"0",'UTILITY REPORT 1'!G15)</f>
        <v>0</v>
      </c>
      <c r="J14" s="567">
        <v>0</v>
      </c>
      <c r="K14" s="555">
        <f>'UTILITY REPORT 1'!C15</f>
        <v>0</v>
      </c>
      <c r="L14" s="557" t="e">
        <f>E14*F14+G14*H14+#REF!*#REF!+I14*J14</f>
        <v>#DIV/0!</v>
      </c>
    </row>
    <row r="15" spans="1:12">
      <c r="A15" s="552" t="s">
        <v>286</v>
      </c>
      <c r="B15" s="553">
        <f t="shared" si="0"/>
        <v>14</v>
      </c>
      <c r="C15" s="553">
        <v>2</v>
      </c>
      <c r="D15" s="554">
        <v>2020</v>
      </c>
      <c r="E15" s="555">
        <f>'UTILITY REPORT 1'!F16</f>
        <v>0</v>
      </c>
      <c r="F15" s="556" t="e">
        <f>('UTILITY REPORT 1'!E16*'UTILITY REPORT 1'!D16)/'UTILITY REPORT 1'!F16</f>
        <v>#DIV/0!</v>
      </c>
      <c r="G15" s="556">
        <f>IF('Utility summery'!M19&lt;0,"0",'Utility summery'!M19)</f>
        <v>0</v>
      </c>
      <c r="H15" s="567">
        <v>0</v>
      </c>
      <c r="I15" s="556">
        <f>IF('UTILITY REPORT 1'!G16&lt;0,"0",'UTILITY REPORT 1'!G16)</f>
        <v>0</v>
      </c>
      <c r="J15" s="567">
        <v>0</v>
      </c>
      <c r="K15" s="555">
        <f>'UTILITY REPORT 1'!C16</f>
        <v>0</v>
      </c>
      <c r="L15" s="557" t="e">
        <f>E15*F15+G15*H15+#REF!*#REF!+I15*J15</f>
        <v>#DIV/0!</v>
      </c>
    </row>
    <row r="16" spans="1:12">
      <c r="A16" s="552" t="s">
        <v>286</v>
      </c>
      <c r="B16" s="553">
        <f t="shared" si="0"/>
        <v>15</v>
      </c>
      <c r="C16" s="553">
        <v>2</v>
      </c>
      <c r="D16" s="554">
        <v>2020</v>
      </c>
      <c r="E16" s="555">
        <f>'UTILITY REPORT 1'!F17</f>
        <v>0</v>
      </c>
      <c r="F16" s="556" t="e">
        <f>('UTILITY REPORT 1'!E17*'UTILITY REPORT 1'!D17)/'UTILITY REPORT 1'!F17</f>
        <v>#DIV/0!</v>
      </c>
      <c r="G16" s="556">
        <f>IF('Utility summery'!M20&lt;0,"0",'Utility summery'!M20)</f>
        <v>0</v>
      </c>
      <c r="H16" s="567">
        <v>0</v>
      </c>
      <c r="I16" s="556">
        <f>IF('UTILITY REPORT 1'!G17&lt;0,"0",'UTILITY REPORT 1'!G17)</f>
        <v>0</v>
      </c>
      <c r="J16" s="567">
        <v>0</v>
      </c>
      <c r="K16" s="555">
        <f>'UTILITY REPORT 1'!C17</f>
        <v>0</v>
      </c>
      <c r="L16" s="557" t="e">
        <f>E16*F16+G16*H16+#REF!*#REF!+I16*J16</f>
        <v>#DIV/0!</v>
      </c>
    </row>
    <row r="17" spans="1:12">
      <c r="A17" s="552" t="s">
        <v>286</v>
      </c>
      <c r="B17" s="553">
        <f t="shared" si="0"/>
        <v>16</v>
      </c>
      <c r="C17" s="553">
        <v>2</v>
      </c>
      <c r="D17" s="554">
        <v>2020</v>
      </c>
      <c r="E17" s="555">
        <f>'UTILITY REPORT 1'!F18</f>
        <v>0</v>
      </c>
      <c r="F17" s="556" t="e">
        <f>('UTILITY REPORT 1'!E18*'UTILITY REPORT 1'!D18)/'UTILITY REPORT 1'!F18</f>
        <v>#DIV/0!</v>
      </c>
      <c r="G17" s="556">
        <f>IF('Utility summery'!M21&lt;0,"0",'Utility summery'!M21)</f>
        <v>0</v>
      </c>
      <c r="H17" s="567">
        <v>0</v>
      </c>
      <c r="I17" s="556">
        <f>IF('UTILITY REPORT 1'!G18&lt;0,"0",'UTILITY REPORT 1'!G18)</f>
        <v>0</v>
      </c>
      <c r="J17" s="567">
        <v>0</v>
      </c>
      <c r="K17" s="555">
        <f>'UTILITY REPORT 1'!C18</f>
        <v>0</v>
      </c>
      <c r="L17" s="557" t="e">
        <f>E17*F17+G17*H17+#REF!*#REF!+I17*J17</f>
        <v>#DIV/0!</v>
      </c>
    </row>
    <row r="18" spans="1:12">
      <c r="A18" s="552" t="s">
        <v>286</v>
      </c>
      <c r="B18" s="553">
        <f t="shared" si="0"/>
        <v>17</v>
      </c>
      <c r="C18" s="553">
        <v>2</v>
      </c>
      <c r="D18" s="554">
        <v>2020</v>
      </c>
      <c r="E18" s="555">
        <f>'UTILITY REPORT 1'!F19</f>
        <v>0</v>
      </c>
      <c r="F18" s="556" t="e">
        <f>('UTILITY REPORT 1'!E19*'UTILITY REPORT 1'!D19)/'UTILITY REPORT 1'!F19</f>
        <v>#DIV/0!</v>
      </c>
      <c r="G18" s="556">
        <f>IF('Utility summery'!M22&lt;0,"0",'Utility summery'!M22)</f>
        <v>0</v>
      </c>
      <c r="H18" s="567">
        <v>0</v>
      </c>
      <c r="I18" s="556">
        <f>IF('UTILITY REPORT 1'!G19&lt;0,"0",'UTILITY REPORT 1'!G19)</f>
        <v>0</v>
      </c>
      <c r="J18" s="567">
        <v>0</v>
      </c>
      <c r="K18" s="555">
        <f>'UTILITY REPORT 1'!C19</f>
        <v>0</v>
      </c>
      <c r="L18" s="557" t="e">
        <f>E18*F18+G18*H18+#REF!*#REF!+I18*J18</f>
        <v>#DIV/0!</v>
      </c>
    </row>
    <row r="19" spans="1:12">
      <c r="A19" s="552" t="s">
        <v>286</v>
      </c>
      <c r="B19" s="553">
        <f t="shared" si="0"/>
        <v>18</v>
      </c>
      <c r="C19" s="553">
        <v>2</v>
      </c>
      <c r="D19" s="554">
        <v>2020</v>
      </c>
      <c r="E19" s="555">
        <f>'UTILITY REPORT 1'!F20</f>
        <v>0</v>
      </c>
      <c r="F19" s="556" t="e">
        <f>('UTILITY REPORT 1'!E20*'UTILITY REPORT 1'!D20)/'UTILITY REPORT 1'!F20</f>
        <v>#DIV/0!</v>
      </c>
      <c r="G19" s="556">
        <f>IF('Utility summery'!M23&lt;0,"0",'Utility summery'!M23)</f>
        <v>0</v>
      </c>
      <c r="H19" s="567">
        <v>0</v>
      </c>
      <c r="I19" s="556">
        <f>IF('UTILITY REPORT 1'!G20&lt;0,"0",'UTILITY REPORT 1'!G20)</f>
        <v>0</v>
      </c>
      <c r="J19" s="567">
        <v>0</v>
      </c>
      <c r="K19" s="555">
        <f>'UTILITY REPORT 1'!C20</f>
        <v>0</v>
      </c>
      <c r="L19" s="557" t="e">
        <f>E19*F19+G19*H19+#REF!*#REF!+I19*J19</f>
        <v>#DIV/0!</v>
      </c>
    </row>
    <row r="20" spans="1:12">
      <c r="A20" s="552" t="s">
        <v>286</v>
      </c>
      <c r="B20" s="553">
        <f t="shared" si="0"/>
        <v>19</v>
      </c>
      <c r="C20" s="553">
        <v>2</v>
      </c>
      <c r="D20" s="554">
        <v>2020</v>
      </c>
      <c r="E20" s="555">
        <f>'UTILITY REPORT 1'!F21</f>
        <v>0</v>
      </c>
      <c r="F20" s="556" t="e">
        <f>('UTILITY REPORT 1'!E21*'UTILITY REPORT 1'!D21)/'UTILITY REPORT 1'!F21</f>
        <v>#DIV/0!</v>
      </c>
      <c r="G20" s="556">
        <f>IF('Utility summery'!M24&lt;0,"0",'Utility summery'!M24)</f>
        <v>0</v>
      </c>
      <c r="H20" s="567">
        <v>0</v>
      </c>
      <c r="I20" s="556">
        <f>IF('UTILITY REPORT 1'!G21&lt;0,"0",'UTILITY REPORT 1'!G21)</f>
        <v>0</v>
      </c>
      <c r="J20" s="567">
        <v>0</v>
      </c>
      <c r="K20" s="555">
        <f>'UTILITY REPORT 1'!C21</f>
        <v>0</v>
      </c>
      <c r="L20" s="557" t="e">
        <f>E20*F20+G20*H20+#REF!*#REF!+I20*J20</f>
        <v>#DIV/0!</v>
      </c>
    </row>
    <row r="21" spans="1:12">
      <c r="A21" s="552" t="s">
        <v>286</v>
      </c>
      <c r="B21" s="553">
        <f t="shared" si="0"/>
        <v>20</v>
      </c>
      <c r="C21" s="553">
        <v>2</v>
      </c>
      <c r="D21" s="554">
        <v>2020</v>
      </c>
      <c r="E21" s="555">
        <f>'UTILITY REPORT 1'!F22</f>
        <v>0</v>
      </c>
      <c r="F21" s="556" t="e">
        <f>('UTILITY REPORT 1'!E22*'UTILITY REPORT 1'!D22)/'UTILITY REPORT 1'!F22</f>
        <v>#DIV/0!</v>
      </c>
      <c r="G21" s="556">
        <f>IF('Utility summery'!M25&lt;0,"0",'Utility summery'!M25)</f>
        <v>0</v>
      </c>
      <c r="H21" s="567">
        <v>0</v>
      </c>
      <c r="I21" s="556">
        <f>IF('UTILITY REPORT 1'!G22&lt;0,"0",'UTILITY REPORT 1'!G22)</f>
        <v>0</v>
      </c>
      <c r="J21" s="567">
        <v>0</v>
      </c>
      <c r="K21" s="555">
        <f>'UTILITY REPORT 1'!C22</f>
        <v>0</v>
      </c>
      <c r="L21" s="557" t="e">
        <f>E21*F21+G21*H21+#REF!*#REF!+I21*J21</f>
        <v>#DIV/0!</v>
      </c>
    </row>
    <row r="22" spans="1:12">
      <c r="A22" s="552" t="s">
        <v>286</v>
      </c>
      <c r="B22" s="553">
        <f t="shared" si="0"/>
        <v>21</v>
      </c>
      <c r="C22" s="553">
        <v>2</v>
      </c>
      <c r="D22" s="554">
        <v>2020</v>
      </c>
      <c r="E22" s="555">
        <f>'UTILITY REPORT 1'!F23</f>
        <v>0</v>
      </c>
      <c r="F22" s="556" t="e">
        <f>('UTILITY REPORT 1'!E23*'UTILITY REPORT 1'!D23)/'UTILITY REPORT 1'!F23</f>
        <v>#DIV/0!</v>
      </c>
      <c r="G22" s="556">
        <f>IF('Utility summery'!M26&lt;0,"0",'Utility summery'!M26)</f>
        <v>0</v>
      </c>
      <c r="H22" s="567">
        <v>0</v>
      </c>
      <c r="I22" s="556">
        <f>IF('UTILITY REPORT 1'!G23&lt;0,"0",'UTILITY REPORT 1'!G23)</f>
        <v>0</v>
      </c>
      <c r="J22" s="567">
        <v>0</v>
      </c>
      <c r="K22" s="555">
        <f>'UTILITY REPORT 1'!C23</f>
        <v>0</v>
      </c>
      <c r="L22" s="557" t="e">
        <f>E22*F22+G22*H22+#REF!*#REF!+I22*J22</f>
        <v>#DIV/0!</v>
      </c>
    </row>
    <row r="23" spans="1:12">
      <c r="A23" s="552" t="s">
        <v>286</v>
      </c>
      <c r="B23" s="553">
        <f t="shared" si="0"/>
        <v>22</v>
      </c>
      <c r="C23" s="553">
        <v>2</v>
      </c>
      <c r="D23" s="554">
        <v>2020</v>
      </c>
      <c r="E23" s="555">
        <f>'UTILITY REPORT 1'!F24</f>
        <v>0</v>
      </c>
      <c r="F23" s="556" t="e">
        <f>('UTILITY REPORT 1'!E24*'UTILITY REPORT 1'!D24)/'UTILITY REPORT 1'!F24</f>
        <v>#DIV/0!</v>
      </c>
      <c r="G23" s="556">
        <f>IF('Utility summery'!M27&lt;0,"0",'Utility summery'!M27)</f>
        <v>0</v>
      </c>
      <c r="H23" s="567">
        <v>0</v>
      </c>
      <c r="I23" s="556">
        <f>IF('UTILITY REPORT 1'!G24&lt;0,"0",'UTILITY REPORT 1'!G24)</f>
        <v>0</v>
      </c>
      <c r="J23" s="567">
        <v>0</v>
      </c>
      <c r="K23" s="555">
        <f>'UTILITY REPORT 1'!C24</f>
        <v>0</v>
      </c>
      <c r="L23" s="557" t="e">
        <f>E23*F23+G23*H23+#REF!*#REF!+I23*J23</f>
        <v>#DIV/0!</v>
      </c>
    </row>
    <row r="24" spans="1:12">
      <c r="A24" s="552" t="s">
        <v>286</v>
      </c>
      <c r="B24" s="553">
        <f t="shared" si="0"/>
        <v>23</v>
      </c>
      <c r="C24" s="553">
        <v>2</v>
      </c>
      <c r="D24" s="554">
        <v>2020</v>
      </c>
      <c r="E24" s="555">
        <f>'UTILITY REPORT 1'!F25</f>
        <v>0</v>
      </c>
      <c r="F24" s="556" t="e">
        <f>('UTILITY REPORT 1'!E25*'UTILITY REPORT 1'!D25)/'UTILITY REPORT 1'!F25</f>
        <v>#DIV/0!</v>
      </c>
      <c r="G24" s="556">
        <f>IF('Utility summery'!M28&lt;0,"0",'Utility summery'!M28)</f>
        <v>0</v>
      </c>
      <c r="H24" s="567">
        <v>0</v>
      </c>
      <c r="I24" s="556">
        <f>IF('UTILITY REPORT 1'!G25&lt;0,"0",'UTILITY REPORT 1'!G25)</f>
        <v>0</v>
      </c>
      <c r="J24" s="567">
        <v>0</v>
      </c>
      <c r="K24" s="555">
        <f>'UTILITY REPORT 1'!C25</f>
        <v>0</v>
      </c>
      <c r="L24" s="557" t="e">
        <f>E24*F24+G24*H24+#REF!*#REF!+I24*J24</f>
        <v>#DIV/0!</v>
      </c>
    </row>
    <row r="25" spans="1:12">
      <c r="A25" s="552" t="s">
        <v>286</v>
      </c>
      <c r="B25" s="553">
        <f t="shared" si="0"/>
        <v>24</v>
      </c>
      <c r="C25" s="553">
        <v>2</v>
      </c>
      <c r="D25" s="554">
        <v>2020</v>
      </c>
      <c r="E25" s="555">
        <f>'UTILITY REPORT 1'!F26</f>
        <v>0</v>
      </c>
      <c r="F25" s="556" t="e">
        <f>('UTILITY REPORT 1'!E26*'UTILITY REPORT 1'!D26)/'UTILITY REPORT 1'!F26</f>
        <v>#DIV/0!</v>
      </c>
      <c r="G25" s="556">
        <f>IF('Utility summery'!M29&lt;0,"0",'Utility summery'!M29)</f>
        <v>0</v>
      </c>
      <c r="H25" s="567">
        <v>0</v>
      </c>
      <c r="I25" s="556">
        <f>IF('UTILITY REPORT 1'!G26&lt;0,"0",'UTILITY REPORT 1'!G26)</f>
        <v>0</v>
      </c>
      <c r="J25" s="567">
        <v>0</v>
      </c>
      <c r="K25" s="555">
        <f>'UTILITY REPORT 1'!C26</f>
        <v>0</v>
      </c>
      <c r="L25" s="557" t="e">
        <f>E25*F25+G25*H25+#REF!*#REF!+I25*J25</f>
        <v>#DIV/0!</v>
      </c>
    </row>
    <row r="26" spans="1:12">
      <c r="A26" s="552" t="s">
        <v>286</v>
      </c>
      <c r="B26" s="553">
        <f>B25+1</f>
        <v>25</v>
      </c>
      <c r="C26" s="553">
        <v>2</v>
      </c>
      <c r="D26" s="554">
        <v>2020</v>
      </c>
      <c r="E26" s="555">
        <f>'UTILITY REPORT 1'!F27</f>
        <v>0</v>
      </c>
      <c r="F26" s="556" t="e">
        <f>('UTILITY REPORT 1'!E27*'UTILITY REPORT 1'!D27)/'UTILITY REPORT 1'!F27</f>
        <v>#DIV/0!</v>
      </c>
      <c r="G26" s="556">
        <f>IF('Utility summery'!M30&lt;0,"0",'Utility summery'!M30)</f>
        <v>0</v>
      </c>
      <c r="H26" s="567">
        <v>0</v>
      </c>
      <c r="I26" s="556">
        <f>IF('UTILITY REPORT 1'!G27&lt;0,"0",'UTILITY REPORT 1'!G27)</f>
        <v>0</v>
      </c>
      <c r="J26" s="567">
        <v>0</v>
      </c>
      <c r="K26" s="555">
        <f>'UTILITY REPORT 1'!C27</f>
        <v>0</v>
      </c>
      <c r="L26" s="557" t="e">
        <f>E26*F26+G26*H26+#REF!*#REF!+I26*J26</f>
        <v>#DIV/0!</v>
      </c>
    </row>
    <row r="27" spans="1:12">
      <c r="A27" s="552" t="s">
        <v>286</v>
      </c>
      <c r="B27" s="553">
        <f t="shared" si="0"/>
        <v>26</v>
      </c>
      <c r="C27" s="553">
        <v>2</v>
      </c>
      <c r="D27" s="554">
        <v>2020</v>
      </c>
      <c r="E27" s="555">
        <f>'UTILITY REPORT 1'!F28</f>
        <v>0</v>
      </c>
      <c r="F27" s="556" t="e">
        <f>('UTILITY REPORT 1'!E28*'UTILITY REPORT 1'!D28)/'UTILITY REPORT 1'!F28</f>
        <v>#DIV/0!</v>
      </c>
      <c r="G27" s="556">
        <f>IF('Utility summery'!M31&lt;0,"0",'Utility summery'!M31)</f>
        <v>0</v>
      </c>
      <c r="H27" s="567">
        <v>0</v>
      </c>
      <c r="I27" s="556">
        <f>IF('UTILITY REPORT 1'!G28&lt;0,"0",'UTILITY REPORT 1'!G28)</f>
        <v>0</v>
      </c>
      <c r="J27" s="567">
        <v>0</v>
      </c>
      <c r="K27" s="555">
        <f>'UTILITY REPORT 1'!C28</f>
        <v>0</v>
      </c>
      <c r="L27" s="557" t="e">
        <f>E27*F27+G27*H27+#REF!*#REF!+I27*J27</f>
        <v>#DIV/0!</v>
      </c>
    </row>
    <row r="28" spans="1:12">
      <c r="A28" s="552" t="s">
        <v>286</v>
      </c>
      <c r="B28" s="553">
        <f t="shared" si="0"/>
        <v>27</v>
      </c>
      <c r="C28" s="553">
        <v>2</v>
      </c>
      <c r="D28" s="554">
        <v>2020</v>
      </c>
      <c r="E28" s="555">
        <f>'UTILITY REPORT 1'!F29</f>
        <v>0</v>
      </c>
      <c r="F28" s="556" t="e">
        <f>('UTILITY REPORT 1'!E29*'UTILITY REPORT 1'!D29)/'UTILITY REPORT 1'!F29</f>
        <v>#DIV/0!</v>
      </c>
      <c r="G28" s="556">
        <f>IF('Utility summery'!M32&lt;0,"0",'Utility summery'!M32)</f>
        <v>0</v>
      </c>
      <c r="H28" s="567">
        <v>0</v>
      </c>
      <c r="I28" s="556">
        <f>IF('UTILITY REPORT 1'!G29&lt;0,"0",'UTILITY REPORT 1'!G29)</f>
        <v>0</v>
      </c>
      <c r="J28" s="567">
        <v>0</v>
      </c>
      <c r="K28" s="555">
        <f>'UTILITY REPORT 1'!C29</f>
        <v>0</v>
      </c>
      <c r="L28" s="557" t="e">
        <f>E28*F28+G28*H28+#REF!*#REF!+I28*J28</f>
        <v>#DIV/0!</v>
      </c>
    </row>
    <row r="29" spans="1:12">
      <c r="A29" s="552" t="s">
        <v>286</v>
      </c>
      <c r="B29" s="553">
        <f t="shared" si="0"/>
        <v>28</v>
      </c>
      <c r="C29" s="553">
        <v>2</v>
      </c>
      <c r="D29" s="554">
        <v>2020</v>
      </c>
      <c r="E29" s="555">
        <f>'UTILITY REPORT 1'!F30</f>
        <v>0</v>
      </c>
      <c r="F29" s="556" t="e">
        <f>('UTILITY REPORT 1'!E30*'UTILITY REPORT 1'!D30)/'UTILITY REPORT 1'!F30</f>
        <v>#DIV/0!</v>
      </c>
      <c r="G29" s="556">
        <f>IF('Utility summery'!M33&lt;0,"0",'Utility summery'!M33)</f>
        <v>0</v>
      </c>
      <c r="H29" s="567">
        <v>0</v>
      </c>
      <c r="I29" s="556">
        <f>IF('UTILITY REPORT 1'!G30&lt;0,"0",'UTILITY REPORT 1'!G30)</f>
        <v>0</v>
      </c>
      <c r="J29" s="567">
        <v>0</v>
      </c>
      <c r="K29" s="555">
        <f>'UTILITY REPORT 1'!C30</f>
        <v>0</v>
      </c>
      <c r="L29" s="557" t="e">
        <f>E29*F29+G29*H29+#REF!*#REF!+I29*J29</f>
        <v>#DIV/0!</v>
      </c>
    </row>
    <row r="30" spans="1:12">
      <c r="A30" s="552" t="s">
        <v>286</v>
      </c>
      <c r="B30" s="553">
        <f t="shared" si="0"/>
        <v>29</v>
      </c>
      <c r="C30" s="553">
        <v>2</v>
      </c>
      <c r="D30" s="554">
        <v>2020</v>
      </c>
      <c r="E30" s="555">
        <f>'UTILITY REPORT 1'!F31</f>
        <v>0</v>
      </c>
      <c r="F30" s="556" t="e">
        <f>('UTILITY REPORT 1'!E31*'UTILITY REPORT 1'!D31)/'UTILITY REPORT 1'!F31</f>
        <v>#DIV/0!</v>
      </c>
      <c r="G30" s="556">
        <f>IF('Utility summery'!M34&lt;0,"0",'Utility summery'!M34)</f>
        <v>0</v>
      </c>
      <c r="H30" s="567">
        <v>0</v>
      </c>
      <c r="I30" s="556">
        <f>IF('UTILITY REPORT 1'!G31&lt;0,"0",'UTILITY REPORT 1'!G31)</f>
        <v>0</v>
      </c>
      <c r="J30" s="567">
        <v>0</v>
      </c>
      <c r="K30" s="555">
        <f>'UTILITY REPORT 1'!C31</f>
        <v>0</v>
      </c>
      <c r="L30" s="557" t="e">
        <f>E30*F30+G30*H30+#REF!*#REF!+I30*J30</f>
        <v>#DIV/0!</v>
      </c>
    </row>
    <row r="31" spans="1:12">
      <c r="A31" s="552" t="s">
        <v>286</v>
      </c>
      <c r="B31" s="553">
        <v>1</v>
      </c>
      <c r="C31" s="553">
        <v>3</v>
      </c>
      <c r="D31" s="554">
        <v>2020</v>
      </c>
      <c r="E31" s="555">
        <f>'UTILITY REPORT 1'!F32</f>
        <v>0</v>
      </c>
      <c r="F31" s="556" t="e">
        <f>('UTILITY REPORT 1'!E32*'UTILITY REPORT 1'!D32)/'UTILITY REPORT 1'!F32</f>
        <v>#DIV/0!</v>
      </c>
      <c r="G31" s="556">
        <f>IF('Utility summery'!M35&lt;0,"0",'Utility summery'!M35)</f>
        <v>0</v>
      </c>
      <c r="H31" s="567">
        <v>0</v>
      </c>
      <c r="I31" s="556">
        <f>IF('UTILITY REPORT 1'!G32&lt;0,"0",'UTILITY REPORT 1'!G32)</f>
        <v>0</v>
      </c>
      <c r="J31" s="567">
        <v>0</v>
      </c>
      <c r="K31" s="555">
        <f>'UTILITY REPORT 1'!C32</f>
        <v>0</v>
      </c>
      <c r="L31" s="557" t="e">
        <f>E31*F31+G31*H31+#REF!*#REF!+I31*J31</f>
        <v>#DIV/0!</v>
      </c>
    </row>
    <row r="32" spans="1:12">
      <c r="A32" s="552" t="s">
        <v>286</v>
      </c>
      <c r="B32" s="553">
        <v>2</v>
      </c>
      <c r="C32" s="553">
        <v>3</v>
      </c>
      <c r="D32" s="554">
        <v>2020</v>
      </c>
      <c r="E32" s="555">
        <f>'UTILITY REPORT 1'!F33</f>
        <v>0</v>
      </c>
      <c r="F32" s="556" t="e">
        <f>('UTILITY REPORT 1'!E33*'UTILITY REPORT 1'!D33)/'UTILITY REPORT 1'!F33</f>
        <v>#DIV/0!</v>
      </c>
      <c r="G32" s="556">
        <f>IF('Utility summery'!M36&lt;0,"0",'Utility summery'!M36)</f>
        <v>0</v>
      </c>
      <c r="H32" s="567">
        <v>0</v>
      </c>
      <c r="I32" s="556">
        <f>IF('UTILITY REPORT 1'!G33&lt;0,"0",'UTILITY REPORT 1'!G33)</f>
        <v>0</v>
      </c>
      <c r="J32" s="567">
        <v>0</v>
      </c>
      <c r="K32" s="555">
        <f>'UTILITY REPORT 1'!C33</f>
        <v>0</v>
      </c>
    </row>
    <row r="33" spans="6:10">
      <c r="F33" s="556"/>
      <c r="G33" s="556"/>
      <c r="H33" s="567"/>
      <c r="I33" s="556" t="s">
        <v>256</v>
      </c>
      <c r="J33" s="567"/>
    </row>
    <row r="34" spans="6:10">
      <c r="F34" s="556"/>
      <c r="G34" s="556"/>
      <c r="H34" s="567"/>
      <c r="I34" s="556"/>
      <c r="J34" s="567"/>
    </row>
    <row r="35" spans="6:10">
      <c r="F35" s="556"/>
      <c r="G35" s="556"/>
      <c r="H35" s="567"/>
      <c r="I35" s="556"/>
      <c r="J35" s="567"/>
    </row>
    <row r="36" spans="6:10">
      <c r="F36" s="556"/>
      <c r="G36" s="556"/>
      <c r="H36" s="567"/>
      <c r="I36" s="556"/>
      <c r="J36" s="567"/>
    </row>
    <row r="37" spans="6:10">
      <c r="F37" s="556"/>
      <c r="G37" s="556"/>
      <c r="H37" s="567"/>
      <c r="I37" s="556"/>
      <c r="J37" s="567"/>
    </row>
    <row r="38" spans="6:10">
      <c r="F38" s="556"/>
      <c r="G38" s="556"/>
      <c r="H38" s="567"/>
      <c r="I38" s="556"/>
      <c r="J38" s="567"/>
    </row>
    <row r="39" spans="6:10">
      <c r="F39" s="556"/>
      <c r="G39" s="556"/>
      <c r="H39" s="567"/>
      <c r="I39" s="556"/>
      <c r="J39" s="5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C34" sqref="C34"/>
    </sheetView>
  </sheetViews>
  <sheetFormatPr defaultColWidth="11.5703125" defaultRowHeight="12.75"/>
  <cols>
    <col min="1" max="1" width="12.42578125" style="12" customWidth="1"/>
    <col min="2" max="3" width="11.5703125" style="553"/>
    <col min="4" max="4" width="13.42578125" style="554" customWidth="1"/>
    <col min="5" max="6" width="12.5703125" style="12" customWidth="1"/>
    <col min="7" max="7" width="12.5703125" style="555" customWidth="1"/>
    <col min="8" max="10" width="11.5703125" style="12"/>
    <col min="11" max="11" width="12.5703125" style="555" customWidth="1"/>
    <col min="12" max="12" width="11.5703125" style="12"/>
    <col min="13" max="14" width="11.5703125" style="55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51" customFormat="1" ht="60.75" thickBot="1">
      <c r="A1" s="635" t="s">
        <v>274</v>
      </c>
      <c r="B1" s="636" t="s">
        <v>275</v>
      </c>
      <c r="C1" s="636" t="s">
        <v>276</v>
      </c>
      <c r="D1" s="637" t="s">
        <v>277</v>
      </c>
      <c r="E1" s="638" t="s">
        <v>290</v>
      </c>
      <c r="F1" s="638" t="s">
        <v>289</v>
      </c>
      <c r="G1" s="639" t="s">
        <v>278</v>
      </c>
      <c r="H1" s="638" t="s">
        <v>287</v>
      </c>
      <c r="I1" s="638" t="s">
        <v>288</v>
      </c>
      <c r="J1" s="638" t="s">
        <v>291</v>
      </c>
      <c r="K1" s="639" t="s">
        <v>269</v>
      </c>
      <c r="L1" s="638" t="s">
        <v>292</v>
      </c>
      <c r="M1" s="639" t="s">
        <v>293</v>
      </c>
      <c r="N1" s="639" t="s">
        <v>294</v>
      </c>
      <c r="O1" s="639" t="s">
        <v>294</v>
      </c>
      <c r="P1" s="639" t="s">
        <v>308</v>
      </c>
      <c r="Q1" s="639" t="s">
        <v>295</v>
      </c>
      <c r="R1" s="639" t="s">
        <v>296</v>
      </c>
      <c r="S1" s="639" t="s">
        <v>297</v>
      </c>
      <c r="T1" s="639" t="s">
        <v>298</v>
      </c>
      <c r="U1" s="639" t="s">
        <v>299</v>
      </c>
      <c r="V1" s="639" t="s">
        <v>300</v>
      </c>
      <c r="W1" s="642" t="s">
        <v>309</v>
      </c>
      <c r="X1" s="644" t="s">
        <v>284</v>
      </c>
    </row>
    <row r="2" spans="1:24">
      <c r="A2" s="630" t="s">
        <v>286</v>
      </c>
      <c r="B2" s="631">
        <v>1</v>
      </c>
      <c r="C2" s="631">
        <v>2</v>
      </c>
      <c r="D2" s="632">
        <v>2020</v>
      </c>
      <c r="E2" s="633">
        <f>'UTILITY REPORT 1'!I3</f>
        <v>83.21</v>
      </c>
      <c r="F2" s="633">
        <f>'UTILITY REPORT 1'!E3</f>
        <v>1824.75</v>
      </c>
      <c r="G2" s="634">
        <f>'UTILITY REPORT 1'!F3</f>
        <v>4580</v>
      </c>
      <c r="H2" s="633">
        <f>IF('Kit report'!F4&lt;0,"0",'Kit report'!F4)</f>
        <v>444.00000000008731</v>
      </c>
      <c r="I2" s="633">
        <f>IF('Kit report'!X4&lt;0,"0",'Kit report'!X4)</f>
        <v>700</v>
      </c>
      <c r="J2" s="633">
        <f>IF('Utility summery'!H6&lt;0,"0",'Utility summery'!H6)</f>
        <v>53</v>
      </c>
      <c r="K2" s="634">
        <f>IF('UTILITY REPORT 1'!H3&lt;0,"0",'UTILITY REPORT 1'!H3)</f>
        <v>115</v>
      </c>
      <c r="L2" s="633">
        <f>'Water-Meter'!K6</f>
        <v>3</v>
      </c>
      <c r="M2" s="634">
        <f>'Water-Meter'!H6</f>
        <v>0</v>
      </c>
      <c r="N2" s="634">
        <f>'Water-Meter'!Q6</f>
        <v>9</v>
      </c>
      <c r="O2" s="633" t="e">
        <f>K2*E2+H2*I2+#REF!*#REF!+J2*L2</f>
        <v>#REF!</v>
      </c>
      <c r="P2" s="633">
        <f>'Water-Meter'!E6</f>
        <v>113</v>
      </c>
      <c r="Q2" s="543">
        <f>IF('Water-Meter'!U6&lt;0,"0",'Water-Meter'!U6)</f>
        <v>49</v>
      </c>
      <c r="R2" s="543">
        <f>IF('Water-Meter'!X6&lt;0,"0",'Water-Meter'!X6)</f>
        <v>62</v>
      </c>
      <c r="S2" s="543">
        <f>IF('Water-Meter'!AA6&lt;0,"0",'Water-Meter'!AA6)</f>
        <v>50</v>
      </c>
      <c r="T2" s="543">
        <f>IF('Water-Meter'!AD6&lt;0,"0",'Water-Meter'!AD6)</f>
        <v>15</v>
      </c>
      <c r="U2" s="543">
        <f>IF('Water-Meter'!AG6&lt;0,"0",'Water-Meter'!AG6)</f>
        <v>24</v>
      </c>
      <c r="V2" s="543">
        <f>IF('Water-Meter'!AJ6&lt;0,"0",'Water-Meter'!AJ6)</f>
        <v>0</v>
      </c>
      <c r="W2" s="31">
        <f>'Water-Meter'!AN6</f>
        <v>200</v>
      </c>
      <c r="X2" s="645">
        <f>Total!K2</f>
        <v>18</v>
      </c>
    </row>
    <row r="3" spans="1:24">
      <c r="A3" s="622" t="s">
        <v>286</v>
      </c>
      <c r="B3" s="619">
        <f>B2+1</f>
        <v>2</v>
      </c>
      <c r="C3" s="631">
        <v>2</v>
      </c>
      <c r="D3" s="632">
        <v>2020</v>
      </c>
      <c r="E3" s="620">
        <f>'UTILITY REPORT 1'!I4</f>
        <v>130.38999999999999</v>
      </c>
      <c r="F3" s="620">
        <f>'UTILITY REPORT 1'!E4</f>
        <v>1802.8500000000001</v>
      </c>
      <c r="G3" s="621">
        <f>'UTILITY REPORT 1'!F4</f>
        <v>4303</v>
      </c>
      <c r="H3" s="620">
        <f>IF('Kit report'!F5&lt;0,"0",'Kit report'!F5)</f>
        <v>467.99999999995634</v>
      </c>
      <c r="I3" s="620">
        <f>IF('Kit report'!X5&lt;0,"0",'Kit report'!X5)</f>
        <v>700</v>
      </c>
      <c r="J3" s="620">
        <f>IF('Utility summery'!H7&lt;0,"0",'Utility summery'!H7)</f>
        <v>63</v>
      </c>
      <c r="K3" s="621">
        <f>IF('UTILITY REPORT 1'!H4&lt;0,"0",'UTILITY REPORT 1'!H4)</f>
        <v>101</v>
      </c>
      <c r="L3" s="620">
        <f>'Water-Meter'!K7</f>
        <v>2</v>
      </c>
      <c r="M3" s="621">
        <f>'Water-Meter'!H7</f>
        <v>0</v>
      </c>
      <c r="N3" s="621">
        <f>'Water-Meter'!Q7</f>
        <v>8</v>
      </c>
      <c r="O3" s="620" t="e">
        <f>K3*E3+H3*I3+#REF!*#REF!+J3*L3</f>
        <v>#REF!</v>
      </c>
      <c r="P3" s="633">
        <f>'Water-Meter'!E7</f>
        <v>97</v>
      </c>
      <c r="Q3" s="325">
        <f>IF('Water-Meter'!U7&lt;0,"0",'Water-Meter'!U7)</f>
        <v>19</v>
      </c>
      <c r="R3" s="325">
        <f>IF('Water-Meter'!X7&lt;0,"0",'Water-Meter'!X7)</f>
        <v>30</v>
      </c>
      <c r="S3" s="325">
        <f>IF('Water-Meter'!AA7&lt;0,"0",'Water-Meter'!AA7)</f>
        <v>50</v>
      </c>
      <c r="T3" s="325">
        <f>IF('Water-Meter'!AD7&lt;0,"0",'Water-Meter'!AD7)</f>
        <v>16</v>
      </c>
      <c r="U3" s="325">
        <f>IF('Water-Meter'!AG7&lt;0,"0",'Water-Meter'!AG7)</f>
        <v>25</v>
      </c>
      <c r="V3" s="325">
        <f>IF('Water-Meter'!AJ7&lt;0,"0",'Water-Meter'!AJ7)</f>
        <v>0</v>
      </c>
      <c r="W3" s="31">
        <f>'Water-Meter'!AN7</f>
        <v>140</v>
      </c>
      <c r="X3" s="645">
        <f>Total!K3</f>
        <v>18</v>
      </c>
    </row>
    <row r="4" spans="1:24">
      <c r="A4" s="622" t="s">
        <v>286</v>
      </c>
      <c r="B4" s="619">
        <f t="shared" ref="B4:B30" si="0">B3+1</f>
        <v>3</v>
      </c>
      <c r="C4" s="631">
        <v>2</v>
      </c>
      <c r="D4" s="632">
        <v>2020</v>
      </c>
      <c r="E4" s="620">
        <f>'UTILITY REPORT 1'!I5</f>
        <v>178.75</v>
      </c>
      <c r="F4" s="620">
        <f>'UTILITY REPORT 1'!E5</f>
        <v>1920.92</v>
      </c>
      <c r="G4" s="621">
        <f>'UTILITY REPORT 1'!F5</f>
        <v>4514</v>
      </c>
      <c r="H4" s="620">
        <f>IF('Kit report'!F6&lt;0,"0",'Kit report'!F6)</f>
        <v>516.00000000013097</v>
      </c>
      <c r="I4" s="620">
        <f>IF('Kit report'!X6&lt;0,"0",'Kit report'!X6)</f>
        <v>960.00000000003638</v>
      </c>
      <c r="J4" s="620">
        <f>IF('Utility summery'!H8&lt;0,"0",'Utility summery'!H8)</f>
        <v>60</v>
      </c>
      <c r="K4" s="621">
        <f>IF('UTILITY REPORT 1'!H5&lt;0,"0",'UTILITY REPORT 1'!H5)</f>
        <v>81</v>
      </c>
      <c r="L4" s="620">
        <f>'Water-Meter'!K8</f>
        <v>3</v>
      </c>
      <c r="M4" s="621">
        <f>'Water-Meter'!H8</f>
        <v>0</v>
      </c>
      <c r="N4" s="621">
        <f>'Water-Meter'!Q8</f>
        <v>10</v>
      </c>
      <c r="O4" s="620" t="e">
        <f>K4*E4+H4*I4+#REF!*#REF!+J4*L4</f>
        <v>#REF!</v>
      </c>
      <c r="P4" s="633">
        <f>'Water-Meter'!E8</f>
        <v>107</v>
      </c>
      <c r="Q4" s="325">
        <f>IF('Water-Meter'!U8&lt;0,"0",'Water-Meter'!U8)</f>
        <v>0</v>
      </c>
      <c r="R4" s="325">
        <f>IF('Water-Meter'!X8&lt;0,"0",'Water-Meter'!X8)</f>
        <v>0</v>
      </c>
      <c r="S4" s="325">
        <f>IF('Water-Meter'!AA8&lt;0,"0",'Water-Meter'!AA8)</f>
        <v>50</v>
      </c>
      <c r="T4" s="325">
        <f>IF('Water-Meter'!AD8&lt;0,"0",'Water-Meter'!AD8)</f>
        <v>17</v>
      </c>
      <c r="U4" s="325">
        <f>IF('Water-Meter'!AG8&lt;0,"0",'Water-Meter'!AG8)</f>
        <v>26</v>
      </c>
      <c r="V4" s="325">
        <f>IF('Water-Meter'!AJ8&lt;0,"0",'Water-Meter'!AJ8)</f>
        <v>0</v>
      </c>
      <c r="W4" s="31">
        <f>'Water-Meter'!AN8</f>
        <v>93</v>
      </c>
      <c r="X4" s="645">
        <f>Total!K4</f>
        <v>8</v>
      </c>
    </row>
    <row r="5" spans="1:24">
      <c r="A5" s="622" t="s">
        <v>286</v>
      </c>
      <c r="B5" s="619">
        <f t="shared" si="0"/>
        <v>4</v>
      </c>
      <c r="C5" s="631">
        <v>2</v>
      </c>
      <c r="D5" s="632">
        <v>2020</v>
      </c>
      <c r="E5" s="620">
        <f>'UTILITY REPORT 1'!I6</f>
        <v>89.65</v>
      </c>
      <c r="F5" s="620">
        <f>'UTILITY REPORT 1'!E6</f>
        <v>2359.12</v>
      </c>
      <c r="G5" s="621">
        <f>'UTILITY REPORT 1'!F6</f>
        <v>5690</v>
      </c>
      <c r="H5" s="620">
        <f>IF('Kit report'!F7&lt;0,"0",'Kit report'!F7)</f>
        <v>491.99999999982538</v>
      </c>
      <c r="I5" s="620">
        <f>IF('Kit report'!X7&lt;0,"0",'Kit report'!X7)</f>
        <v>1060.0000000000364</v>
      </c>
      <c r="J5" s="620">
        <f>IF('Utility summery'!H9&lt;0,"0",'Utility summery'!H9)</f>
        <v>63</v>
      </c>
      <c r="K5" s="621">
        <f>IF('UTILITY REPORT 1'!H6&lt;0,"0",'UTILITY REPORT 1'!H6)</f>
        <v>100</v>
      </c>
      <c r="L5" s="620">
        <f>'Water-Meter'!K9</f>
        <v>4</v>
      </c>
      <c r="M5" s="621">
        <f>'Water-Meter'!H9</f>
        <v>0</v>
      </c>
      <c r="N5" s="621">
        <f>'Water-Meter'!Q9</f>
        <v>5</v>
      </c>
      <c r="O5" s="620" t="e">
        <f>K5*E5+H5*I5+#REF!*#REF!+J5*L5</f>
        <v>#REF!</v>
      </c>
      <c r="P5" s="633">
        <f>'Water-Meter'!E9</f>
        <v>139</v>
      </c>
      <c r="Q5" s="325">
        <f>IF('Water-Meter'!U9&lt;0,"0",'Water-Meter'!U9)</f>
        <v>0</v>
      </c>
      <c r="R5" s="325">
        <f>IF('Water-Meter'!X9&lt;0,"0",'Water-Meter'!X9)</f>
        <v>0</v>
      </c>
      <c r="S5" s="325">
        <f>IF('Water-Meter'!AA9&lt;0,"0",'Water-Meter'!AA9)</f>
        <v>52</v>
      </c>
      <c r="T5" s="325">
        <f>IF('Water-Meter'!AD9&lt;0,"0",'Water-Meter'!AD9)</f>
        <v>17</v>
      </c>
      <c r="U5" s="325">
        <f>IF('Water-Meter'!AG9&lt;0,"0",'Water-Meter'!AG9)</f>
        <v>25</v>
      </c>
      <c r="V5" s="325">
        <f>IF('Water-Meter'!AJ9&lt;0,"0",'Water-Meter'!AJ9)</f>
        <v>0</v>
      </c>
      <c r="W5" s="31">
        <f>'Water-Meter'!AN9</f>
        <v>94</v>
      </c>
      <c r="X5" s="645">
        <f>Total!K5</f>
        <v>77</v>
      </c>
    </row>
    <row r="6" spans="1:24">
      <c r="A6" s="622" t="s">
        <v>286</v>
      </c>
      <c r="B6" s="619">
        <f t="shared" si="0"/>
        <v>5</v>
      </c>
      <c r="C6" s="631">
        <v>2</v>
      </c>
      <c r="D6" s="632">
        <v>2020</v>
      </c>
      <c r="E6" s="620">
        <f>'UTILITY REPORT 1'!I7</f>
        <v>129.26999999999998</v>
      </c>
      <c r="F6" s="620">
        <f>'UTILITY REPORT 1'!E7</f>
        <v>2256.73</v>
      </c>
      <c r="G6" s="621">
        <f>'UTILITY REPORT 1'!F7</f>
        <v>5866</v>
      </c>
      <c r="H6" s="620">
        <f>IF('Kit report'!F8&lt;0,"0",'Kit report'!F8)</f>
        <v>552.00000000004366</v>
      </c>
      <c r="I6" s="620">
        <f>IF('Kit report'!X8&lt;0,"0",'Kit report'!X8)</f>
        <v>839.99999999996362</v>
      </c>
      <c r="J6" s="620">
        <f>IF('Utility summery'!H10&lt;0,"0",'Utility summery'!H10)</f>
        <v>63</v>
      </c>
      <c r="K6" s="621">
        <f>IF('UTILITY REPORT 1'!H7&lt;0,"0",'UTILITY REPORT 1'!H7)</f>
        <v>98</v>
      </c>
      <c r="L6" s="620">
        <f>'Water-Meter'!K10</f>
        <v>5</v>
      </c>
      <c r="M6" s="621">
        <f>'Water-Meter'!H10</f>
        <v>0</v>
      </c>
      <c r="N6" s="621">
        <f>'Water-Meter'!Q10</f>
        <v>4</v>
      </c>
      <c r="O6" s="620" t="e">
        <f>K6*E6+H6*I6+#REF!*#REF!+J6*L6</f>
        <v>#REF!</v>
      </c>
      <c r="P6" s="633">
        <f>'Water-Meter'!E10</f>
        <v>141</v>
      </c>
      <c r="Q6" s="325">
        <f>IF('Water-Meter'!U10&lt;0,"0",'Water-Meter'!U10)</f>
        <v>49</v>
      </c>
      <c r="R6" s="325">
        <f>IF('Water-Meter'!X10&lt;0,"0",'Water-Meter'!X10)</f>
        <v>55</v>
      </c>
      <c r="S6" s="325">
        <f>IF('Water-Meter'!AA10&lt;0,"0",'Water-Meter'!AA10)</f>
        <v>39</v>
      </c>
      <c r="T6" s="325">
        <f>IF('Water-Meter'!AD10&lt;0,"0",'Water-Meter'!AD10)</f>
        <v>12</v>
      </c>
      <c r="U6" s="325">
        <f>IF('Water-Meter'!AG10&lt;0,"0",'Water-Meter'!AG10)</f>
        <v>23</v>
      </c>
      <c r="V6" s="325">
        <f>IF('Water-Meter'!AJ10&lt;0,"0",'Water-Meter'!AJ10)</f>
        <v>0</v>
      </c>
      <c r="W6" s="31">
        <f>'Water-Meter'!AN10</f>
        <v>178</v>
      </c>
      <c r="X6" s="645">
        <f>Total!K6</f>
        <v>77</v>
      </c>
    </row>
    <row r="7" spans="1:24">
      <c r="A7" s="622" t="s">
        <v>286</v>
      </c>
      <c r="B7" s="619">
        <f t="shared" si="0"/>
        <v>6</v>
      </c>
      <c r="C7" s="631">
        <v>2</v>
      </c>
      <c r="D7" s="632">
        <v>2020</v>
      </c>
      <c r="E7" s="620">
        <f>'UTILITY REPORT 1'!I8</f>
        <v>187.64</v>
      </c>
      <c r="F7" s="620">
        <f>'UTILITY REPORT 1'!E8</f>
        <v>2491.5099999999998</v>
      </c>
      <c r="G7" s="621">
        <f>'UTILITY REPORT 1'!F8</f>
        <v>5875</v>
      </c>
      <c r="H7" s="620">
        <f>IF('Kit report'!F9&lt;0,"0",'Kit report'!F9)</f>
        <v>540</v>
      </c>
      <c r="I7" s="620">
        <f>IF('Kit report'!X9&lt;0,"0",'Kit report'!X9)</f>
        <v>1060.0000000000364</v>
      </c>
      <c r="J7" s="620">
        <f>IF('Utility summery'!H11&lt;0,"0",'Utility summery'!H11)</f>
        <v>56</v>
      </c>
      <c r="K7" s="621">
        <f>IF('UTILITY REPORT 1'!H8&lt;0,"0",'UTILITY REPORT 1'!H8)</f>
        <v>83</v>
      </c>
      <c r="L7" s="620">
        <f>'Water-Meter'!K11</f>
        <v>4</v>
      </c>
      <c r="M7" s="621">
        <f>'Water-Meter'!H11</f>
        <v>0</v>
      </c>
      <c r="N7" s="621">
        <f>'Water-Meter'!Q11</f>
        <v>15</v>
      </c>
      <c r="O7" s="620" t="e">
        <f>K7*E7+H7*I7+#REF!*#REF!+J7*L7</f>
        <v>#REF!</v>
      </c>
      <c r="P7" s="633">
        <f>'Water-Meter'!E11</f>
        <v>129</v>
      </c>
      <c r="Q7" s="325">
        <f>IF('Water-Meter'!U11&lt;0,"0",'Water-Meter'!U11)</f>
        <v>53</v>
      </c>
      <c r="R7" s="325">
        <f>IF('Water-Meter'!X11&lt;0,"0",'Water-Meter'!X11)</f>
        <v>65</v>
      </c>
      <c r="S7" s="325">
        <f>IF('Water-Meter'!AA11&lt;0,"0",'Water-Meter'!AA11)</f>
        <v>33</v>
      </c>
      <c r="T7" s="325">
        <f>IF('Water-Meter'!AD11&lt;0,"0",'Water-Meter'!AD11)</f>
        <v>13</v>
      </c>
      <c r="U7" s="325">
        <f>IF('Water-Meter'!AG11&lt;0,"0",'Water-Meter'!AG11)</f>
        <v>24</v>
      </c>
      <c r="V7" s="325">
        <f>IF('Water-Meter'!AJ11&lt;0,"0",'Water-Meter'!AJ11)</f>
        <v>0</v>
      </c>
      <c r="W7" s="31">
        <f>'Water-Meter'!AN11</f>
        <v>188</v>
      </c>
      <c r="X7" s="645">
        <f>Total!K7</f>
        <v>77</v>
      </c>
    </row>
    <row r="8" spans="1:24">
      <c r="A8" s="622" t="s">
        <v>286</v>
      </c>
      <c r="B8" s="619">
        <f t="shared" si="0"/>
        <v>7</v>
      </c>
      <c r="C8" s="631">
        <v>2</v>
      </c>
      <c r="D8" s="632">
        <v>2020</v>
      </c>
      <c r="E8" s="620">
        <f>'UTILITY REPORT 1'!I9</f>
        <v>203.15</v>
      </c>
      <c r="F8" s="620">
        <f>'UTILITY REPORT 1'!E9</f>
        <v>2244.7399999999998</v>
      </c>
      <c r="G8" s="621">
        <f>'UTILITY REPORT 1'!F9</f>
        <v>5952</v>
      </c>
      <c r="H8" s="620">
        <f>IF('Kit report'!F10&lt;0,"0",'Kit report'!F10)</f>
        <v>564.00000000008731</v>
      </c>
      <c r="I8" s="620">
        <f>IF('Kit report'!X10&lt;0,"0",'Kit report'!X10)</f>
        <v>1200</v>
      </c>
      <c r="J8" s="620">
        <f>IF('Utility summery'!H12&lt;0,"0",'Utility summery'!H12)</f>
        <v>0</v>
      </c>
      <c r="K8" s="621">
        <f>IF('UTILITY REPORT 1'!H9&lt;0,"0",'UTILITY REPORT 1'!H9)</f>
        <v>103</v>
      </c>
      <c r="L8" s="620">
        <f>'Water-Meter'!K12</f>
        <v>4</v>
      </c>
      <c r="M8" s="621">
        <f>'Water-Meter'!H12</f>
        <v>0</v>
      </c>
      <c r="N8" s="621">
        <f>'Water-Meter'!Q12</f>
        <v>11</v>
      </c>
      <c r="O8" s="620" t="e">
        <f>K8*E8+H8*I8+#REF!*#REF!+J8*L8</f>
        <v>#REF!</v>
      </c>
      <c r="P8" s="633">
        <f>'Water-Meter'!E12</f>
        <v>129</v>
      </c>
      <c r="Q8" s="325">
        <f>IF('Water-Meter'!U12&lt;0,"0",'Water-Meter'!U12)</f>
        <v>52</v>
      </c>
      <c r="R8" s="325">
        <f>IF('Water-Meter'!X12&lt;0,"0",'Water-Meter'!X12)</f>
        <v>60</v>
      </c>
      <c r="S8" s="325">
        <f>IF('Water-Meter'!AA12&lt;0,"0",'Water-Meter'!AA12)</f>
        <v>30</v>
      </c>
      <c r="T8" s="325">
        <f>IF('Water-Meter'!AD12&lt;0,"0",'Water-Meter'!AD12)</f>
        <v>13</v>
      </c>
      <c r="U8" s="325">
        <f>IF('Water-Meter'!AG12&lt;0,"0",'Water-Meter'!AG12)</f>
        <v>23</v>
      </c>
      <c r="V8" s="325">
        <f>IF('Water-Meter'!AJ12&lt;0,"0",'Water-Meter'!AJ12)</f>
        <v>0</v>
      </c>
      <c r="W8" s="31">
        <f>'Water-Meter'!AN12</f>
        <v>178</v>
      </c>
      <c r="X8" s="645">
        <f>Total!K8</f>
        <v>77</v>
      </c>
    </row>
    <row r="9" spans="1:24">
      <c r="A9" s="622" t="s">
        <v>286</v>
      </c>
      <c r="B9" s="619">
        <f t="shared" si="0"/>
        <v>8</v>
      </c>
      <c r="C9" s="631">
        <v>2</v>
      </c>
      <c r="D9" s="632">
        <v>2020</v>
      </c>
      <c r="E9" s="620">
        <f>'UTILITY REPORT 1'!I10</f>
        <v>56.74</v>
      </c>
      <c r="F9" s="620">
        <f>'UTILITY REPORT 1'!E10</f>
        <v>2569.4499999999998</v>
      </c>
      <c r="G9" s="621">
        <f>'UTILITY REPORT 1'!F10</f>
        <v>5988</v>
      </c>
      <c r="H9" s="620">
        <f>IF('Kit report'!F11&lt;0,"0",'Kit report'!F11)</f>
        <v>563.99999999986903</v>
      </c>
      <c r="I9" s="620">
        <f>IF('Kit report'!X11&lt;0,"0",'Kit report'!X11)</f>
        <v>1219.9999999998909</v>
      </c>
      <c r="J9" s="620">
        <f>IF('Utility summery'!H13&lt;0,"0",'Utility summery'!H13)</f>
        <v>0</v>
      </c>
      <c r="K9" s="621">
        <f>IF('UTILITY REPORT 1'!H10&lt;0,"0",'UTILITY REPORT 1'!H10)</f>
        <v>105</v>
      </c>
      <c r="L9" s="620">
        <f>'Water-Meter'!K13</f>
        <v>4</v>
      </c>
      <c r="M9" s="621">
        <f>'Water-Meter'!H13</f>
        <v>0</v>
      </c>
      <c r="N9" s="621">
        <f>'Water-Meter'!Q13</f>
        <v>13</v>
      </c>
      <c r="O9" s="620" t="e">
        <f>K9*E9+H9*I9+#REF!*#REF!+J9*L9</f>
        <v>#REF!</v>
      </c>
      <c r="P9" s="633">
        <f>'Water-Meter'!E13</f>
        <v>128</v>
      </c>
      <c r="Q9" s="325">
        <f>IF('Water-Meter'!U13&lt;0,"0",'Water-Meter'!U13)</f>
        <v>53</v>
      </c>
      <c r="R9" s="325">
        <f>IF('Water-Meter'!X13&lt;0,"0",'Water-Meter'!X13)</f>
        <v>55</v>
      </c>
      <c r="S9" s="325">
        <f>IF('Water-Meter'!AA13&lt;0,"0",'Water-Meter'!AA13)</f>
        <v>40</v>
      </c>
      <c r="T9" s="325">
        <f>IF('Water-Meter'!AD13&lt;0,"0",'Water-Meter'!AD13)</f>
        <v>14</v>
      </c>
      <c r="U9" s="325">
        <f>IF('Water-Meter'!AG13&lt;0,"0",'Water-Meter'!AG13)</f>
        <v>22</v>
      </c>
      <c r="V9" s="325">
        <f>IF('Water-Meter'!AJ13&lt;0,"0",'Water-Meter'!AJ13)</f>
        <v>0</v>
      </c>
      <c r="W9" s="31">
        <f>'Water-Meter'!AN13</f>
        <v>184</v>
      </c>
      <c r="X9" s="645">
        <f>Total!K9</f>
        <v>13</v>
      </c>
    </row>
    <row r="10" spans="1:24">
      <c r="A10" s="622" t="s">
        <v>286</v>
      </c>
      <c r="B10" s="619">
        <f t="shared" si="0"/>
        <v>9</v>
      </c>
      <c r="C10" s="631">
        <v>2</v>
      </c>
      <c r="D10" s="632">
        <v>2020</v>
      </c>
      <c r="E10" s="620">
        <f>'UTILITY REPORT 1'!I11</f>
        <v>162.68</v>
      </c>
      <c r="F10" s="620">
        <f>'UTILITY REPORT 1'!E11</f>
        <v>2039.82</v>
      </c>
      <c r="G10" s="621">
        <f>'UTILITY REPORT 1'!F11</f>
        <v>5209</v>
      </c>
      <c r="H10" s="620">
        <f>IF('Kit report'!F12&lt;0,"0",'Kit report'!F12)</f>
        <v>552.00000000004366</v>
      </c>
      <c r="I10" s="620">
        <f>IF('Kit report'!X12&lt;0,"0",'Kit report'!X12)</f>
        <v>1060.0000000000364</v>
      </c>
      <c r="J10" s="620">
        <f>IF('Utility summery'!H14&lt;0,"0",'Utility summery'!H14)</f>
        <v>0</v>
      </c>
      <c r="K10" s="621">
        <f>IF('UTILITY REPORT 1'!H11&lt;0,"0",'UTILITY REPORT 1'!H11)</f>
        <v>136</v>
      </c>
      <c r="L10" s="620">
        <f>'Water-Meter'!K14</f>
        <v>3</v>
      </c>
      <c r="M10" s="621">
        <f>'Water-Meter'!H14</f>
        <v>0</v>
      </c>
      <c r="N10" s="621">
        <f>'Water-Meter'!Q14</f>
        <v>14</v>
      </c>
      <c r="O10" s="620" t="e">
        <f>K10*E10+H10*I10+#REF!*#REF!+J10*L10</f>
        <v>#REF!</v>
      </c>
      <c r="P10" s="633">
        <f>'Water-Meter'!E14</f>
        <v>96</v>
      </c>
      <c r="Q10" s="325">
        <f>IF('Water-Meter'!U14&lt;0,"0",'Water-Meter'!U14)</f>
        <v>55</v>
      </c>
      <c r="R10" s="325">
        <f>IF('Water-Meter'!X14&lt;0,"0",'Water-Meter'!X14)</f>
        <v>62</v>
      </c>
      <c r="S10" s="325">
        <f>IF('Water-Meter'!AA14&lt;0,"0",'Water-Meter'!AA14)</f>
        <v>78</v>
      </c>
      <c r="T10" s="325">
        <f>IF('Water-Meter'!AD14&lt;0,"0",'Water-Meter'!AD14)</f>
        <v>22</v>
      </c>
      <c r="U10" s="325">
        <f>IF('Water-Meter'!AG14&lt;0,"0",'Water-Meter'!AG14)</f>
        <v>22</v>
      </c>
      <c r="V10" s="325">
        <f>IF('Water-Meter'!AJ14&lt;0,"0",'Water-Meter'!AJ14)</f>
        <v>0</v>
      </c>
      <c r="W10" s="31">
        <f>'Water-Meter'!AN14</f>
        <v>239</v>
      </c>
      <c r="X10" s="645">
        <f>Total!K10</f>
        <v>16</v>
      </c>
    </row>
    <row r="11" spans="1:24">
      <c r="A11" s="622" t="s">
        <v>286</v>
      </c>
      <c r="B11" s="619">
        <f t="shared" si="0"/>
        <v>10</v>
      </c>
      <c r="C11" s="631">
        <v>2</v>
      </c>
      <c r="D11" s="632">
        <v>2020</v>
      </c>
      <c r="E11" s="620">
        <f>'UTILITY REPORT 1'!I12</f>
        <v>0</v>
      </c>
      <c r="F11" s="620">
        <f>'UTILITY REPORT 1'!E12</f>
        <v>0</v>
      </c>
      <c r="G11" s="621">
        <f>'UTILITY REPORT 1'!F12</f>
        <v>0</v>
      </c>
      <c r="H11" s="620" t="str">
        <f>IF('Kit report'!F13&lt;0,"0",'Kit report'!F13)</f>
        <v>0</v>
      </c>
      <c r="I11" s="620" t="str">
        <f>IF('Kit report'!X13&lt;0,"0",'Kit report'!X13)</f>
        <v>0</v>
      </c>
      <c r="J11" s="620">
        <f>IF('Utility summery'!H15&lt;0,"0",'Utility summery'!H15)</f>
        <v>49</v>
      </c>
      <c r="K11" s="621">
        <f>IF('UTILITY REPORT 1'!H12&lt;0,"0",'UTILITY REPORT 1'!H12)</f>
        <v>121</v>
      </c>
      <c r="L11" s="620" t="str">
        <f>'Water-Meter'!K15</f>
        <v>0</v>
      </c>
      <c r="M11" s="621" t="str">
        <f>'Water-Meter'!H15</f>
        <v>0</v>
      </c>
      <c r="N11" s="621" t="str">
        <f>'Water-Meter'!Q15</f>
        <v>0</v>
      </c>
      <c r="O11" s="620" t="e">
        <f>K11*E11+H11*I11+#REF!*#REF!+J11*L11</f>
        <v>#REF!</v>
      </c>
      <c r="P11" s="633" t="str">
        <f>'Water-Meter'!E15</f>
        <v>0</v>
      </c>
      <c r="Q11" s="325" t="str">
        <f>IF('Water-Meter'!U15&lt;0,"0",'Water-Meter'!U15)</f>
        <v>0</v>
      </c>
      <c r="R11" s="325" t="str">
        <f>IF('Water-Meter'!X15&lt;0,"0",'Water-Meter'!X15)</f>
        <v>0</v>
      </c>
      <c r="S11" s="325" t="str">
        <f>IF('Water-Meter'!AA15&lt;0,"0",'Water-Meter'!AA15)</f>
        <v>0</v>
      </c>
      <c r="T11" s="325" t="str">
        <f>IF('Water-Meter'!AD15&lt;0,"0",'Water-Meter'!AD15)</f>
        <v>0</v>
      </c>
      <c r="U11" s="325" t="str">
        <f>IF('Water-Meter'!AG15&lt;0,"0",'Water-Meter'!AG15)</f>
        <v>0</v>
      </c>
      <c r="V11" s="325" t="str">
        <f>IF('Water-Meter'!AJ15&lt;0,"0",'Water-Meter'!AJ15)</f>
        <v>0</v>
      </c>
      <c r="W11" s="31">
        <f>'Water-Meter'!AN15</f>
        <v>0</v>
      </c>
      <c r="X11" s="645">
        <f>Total!K11</f>
        <v>15</v>
      </c>
    </row>
    <row r="12" spans="1:24">
      <c r="A12" s="622" t="s">
        <v>286</v>
      </c>
      <c r="B12" s="619">
        <f t="shared" si="0"/>
        <v>11</v>
      </c>
      <c r="C12" s="631">
        <v>2</v>
      </c>
      <c r="D12" s="632">
        <v>2020</v>
      </c>
      <c r="E12" s="620">
        <f>'UTILITY REPORT 1'!I13</f>
        <v>0</v>
      </c>
      <c r="F12" s="620">
        <f>'UTILITY REPORT 1'!E13</f>
        <v>0</v>
      </c>
      <c r="G12" s="621">
        <f>'UTILITY REPORT 1'!F13</f>
        <v>0</v>
      </c>
      <c r="H12" s="620">
        <f>IF('Kit report'!F14&lt;0,"0",'Kit report'!F14)</f>
        <v>0</v>
      </c>
      <c r="I12" s="620">
        <f>IF('Kit report'!X14&lt;0,"0",'Kit report'!X14)</f>
        <v>0</v>
      </c>
      <c r="J12" s="620" t="str">
        <f>IF('Utility summery'!H16&lt;0,"0",'Utility summery'!H16)</f>
        <v>0</v>
      </c>
      <c r="K12" s="621" t="str">
        <f>IF('UTILITY REPORT 1'!H13&lt;0,"0",'UTILITY REPORT 1'!H13)</f>
        <v>0</v>
      </c>
      <c r="L12" s="620">
        <f>'Water-Meter'!K16</f>
        <v>0</v>
      </c>
      <c r="M12" s="621">
        <f>'Water-Meter'!H16</f>
        <v>0</v>
      </c>
      <c r="N12" s="621">
        <f>'Water-Meter'!Q16</f>
        <v>0</v>
      </c>
      <c r="O12" s="620" t="e">
        <f>K12*E12+H12*I12+#REF!*#REF!+J12*L12</f>
        <v>#REF!</v>
      </c>
      <c r="P12" s="633">
        <f>'Water-Meter'!E16</f>
        <v>0</v>
      </c>
      <c r="Q12" s="325">
        <f>IF('Water-Meter'!U16&lt;0,"0",'Water-Meter'!U16)</f>
        <v>0</v>
      </c>
      <c r="R12" s="325">
        <f>IF('Water-Meter'!X16&lt;0,"0",'Water-Meter'!X16)</f>
        <v>0</v>
      </c>
      <c r="S12" s="325">
        <f>IF('Water-Meter'!AA16&lt;0,"0",'Water-Meter'!AA16)</f>
        <v>0</v>
      </c>
      <c r="T12" s="325">
        <f>IF('Water-Meter'!AD16&lt;0,"0",'Water-Meter'!AD16)</f>
        <v>0</v>
      </c>
      <c r="U12" s="325">
        <f>IF('Water-Meter'!AG16&lt;0,"0",'Water-Meter'!AG16)</f>
        <v>0</v>
      </c>
      <c r="V12" s="325">
        <f>IF('Water-Meter'!AJ16&lt;0,"0",'Water-Meter'!AJ16)</f>
        <v>0</v>
      </c>
      <c r="W12" s="31">
        <f>'Water-Meter'!AN16</f>
        <v>0</v>
      </c>
      <c r="X12" s="645">
        <f>Total!K12</f>
        <v>0</v>
      </c>
    </row>
    <row r="13" spans="1:24">
      <c r="A13" s="622" t="s">
        <v>286</v>
      </c>
      <c r="B13" s="619">
        <f t="shared" si="0"/>
        <v>12</v>
      </c>
      <c r="C13" s="631">
        <v>2</v>
      </c>
      <c r="D13" s="632">
        <v>2020</v>
      </c>
      <c r="E13" s="620">
        <f>'UTILITY REPORT 1'!I14</f>
        <v>0</v>
      </c>
      <c r="F13" s="620">
        <f>'UTILITY REPORT 1'!E14</f>
        <v>0</v>
      </c>
      <c r="G13" s="621">
        <f>'UTILITY REPORT 1'!F14</f>
        <v>0</v>
      </c>
      <c r="H13" s="620">
        <f>IF('Kit report'!F15&lt;0,"0",'Kit report'!F15)</f>
        <v>0</v>
      </c>
      <c r="I13" s="620">
        <f>IF('Kit report'!X15&lt;0,"0",'Kit report'!X15)</f>
        <v>0</v>
      </c>
      <c r="J13" s="620">
        <f>IF('Utility summery'!H17&lt;0,"0",'Utility summery'!H17)</f>
        <v>0</v>
      </c>
      <c r="K13" s="621">
        <f>IF('UTILITY REPORT 1'!H14&lt;0,"0",'UTILITY REPORT 1'!H14)</f>
        <v>0</v>
      </c>
      <c r="L13" s="620">
        <f>'Water-Meter'!K17</f>
        <v>0</v>
      </c>
      <c r="M13" s="621">
        <f>'Water-Meter'!H17</f>
        <v>0</v>
      </c>
      <c r="N13" s="621">
        <f>'Water-Meter'!Q17</f>
        <v>0</v>
      </c>
      <c r="O13" s="620" t="e">
        <f>K13*E13+H13*I13+#REF!*#REF!+J13*L13</f>
        <v>#REF!</v>
      </c>
      <c r="P13" s="633">
        <f>'Water-Meter'!E17</f>
        <v>0</v>
      </c>
      <c r="Q13" s="325">
        <f>IF('Water-Meter'!U17&lt;0,"0",'Water-Meter'!U17)</f>
        <v>0</v>
      </c>
      <c r="R13" s="325">
        <f>IF('Water-Meter'!X17&lt;0,"0",'Water-Meter'!X17)</f>
        <v>0</v>
      </c>
      <c r="S13" s="325">
        <f>IF('Water-Meter'!AA17&lt;0,"0",'Water-Meter'!AA17)</f>
        <v>0</v>
      </c>
      <c r="T13" s="325">
        <f>IF('Water-Meter'!AD17&lt;0,"0",'Water-Meter'!AD17)</f>
        <v>0</v>
      </c>
      <c r="U13" s="325">
        <f>IF('Water-Meter'!AG17&lt;0,"0",'Water-Meter'!AG17)</f>
        <v>0</v>
      </c>
      <c r="V13" s="325">
        <f>IF('Water-Meter'!AJ17&lt;0,"0",'Water-Meter'!AJ17)</f>
        <v>0</v>
      </c>
      <c r="W13" s="31">
        <f>'Water-Meter'!AN17</f>
        <v>0</v>
      </c>
      <c r="X13" s="645">
        <f>Total!K13</f>
        <v>0</v>
      </c>
    </row>
    <row r="14" spans="1:24">
      <c r="A14" s="622" t="s">
        <v>286</v>
      </c>
      <c r="B14" s="619">
        <f t="shared" si="0"/>
        <v>13</v>
      </c>
      <c r="C14" s="631">
        <v>2</v>
      </c>
      <c r="D14" s="632">
        <v>2020</v>
      </c>
      <c r="E14" s="620">
        <f>'UTILITY REPORT 1'!I15</f>
        <v>0</v>
      </c>
      <c r="F14" s="620">
        <f>'UTILITY REPORT 1'!E15</f>
        <v>0</v>
      </c>
      <c r="G14" s="621">
        <f>'UTILITY REPORT 1'!F15</f>
        <v>0</v>
      </c>
      <c r="H14" s="620">
        <f>IF('Kit report'!F16&lt;0,"0",'Kit report'!F16)</f>
        <v>0</v>
      </c>
      <c r="I14" s="620">
        <f>IF('Kit report'!X16&lt;0,"0",'Kit report'!X16)</f>
        <v>0</v>
      </c>
      <c r="J14" s="620">
        <f>IF('Utility summery'!H18&lt;0,"0",'Utility summery'!H18)</f>
        <v>0</v>
      </c>
      <c r="K14" s="621">
        <f>IF('UTILITY REPORT 1'!H15&lt;0,"0",'UTILITY REPORT 1'!H15)</f>
        <v>0</v>
      </c>
      <c r="L14" s="620">
        <f>'Water-Meter'!K18</f>
        <v>0</v>
      </c>
      <c r="M14" s="621">
        <f>'Water-Meter'!H18</f>
        <v>0</v>
      </c>
      <c r="N14" s="621">
        <f>'Water-Meter'!Q18</f>
        <v>0</v>
      </c>
      <c r="O14" s="620" t="e">
        <f>K14*E14+H14*I14+#REF!*#REF!+J14*L14</f>
        <v>#REF!</v>
      </c>
      <c r="P14" s="633">
        <f>'Water-Meter'!E18</f>
        <v>0</v>
      </c>
      <c r="Q14" s="325">
        <f>IF('Water-Meter'!U18&lt;0,"0",'Water-Meter'!U18)</f>
        <v>0</v>
      </c>
      <c r="R14" s="325">
        <f>IF('Water-Meter'!X18&lt;0,"0",'Water-Meter'!X18)</f>
        <v>0</v>
      </c>
      <c r="S14" s="325">
        <f>IF('Water-Meter'!AA18&lt;0,"0",'Water-Meter'!AA18)</f>
        <v>0</v>
      </c>
      <c r="T14" s="325">
        <f>IF('Water-Meter'!AD18&lt;0,"0",'Water-Meter'!AD18)</f>
        <v>0</v>
      </c>
      <c r="U14" s="325">
        <f>IF('Water-Meter'!AG18&lt;0,"0",'Water-Meter'!AG18)</f>
        <v>0</v>
      </c>
      <c r="V14" s="325">
        <f>IF('Water-Meter'!AJ18&lt;0,"0",'Water-Meter'!AJ18)</f>
        <v>0</v>
      </c>
      <c r="W14" s="31">
        <f>'Water-Meter'!AN18</f>
        <v>0</v>
      </c>
      <c r="X14" s="645">
        <f>Total!K14</f>
        <v>0</v>
      </c>
    </row>
    <row r="15" spans="1:24">
      <c r="A15" s="622" t="s">
        <v>286</v>
      </c>
      <c r="B15" s="619">
        <f t="shared" si="0"/>
        <v>14</v>
      </c>
      <c r="C15" s="631">
        <v>2</v>
      </c>
      <c r="D15" s="632">
        <v>2020</v>
      </c>
      <c r="E15" s="620">
        <f>'UTILITY REPORT 1'!I16</f>
        <v>0</v>
      </c>
      <c r="F15" s="620">
        <f>'UTILITY REPORT 1'!E16</f>
        <v>0</v>
      </c>
      <c r="G15" s="621">
        <f>'UTILITY REPORT 1'!F16</f>
        <v>0</v>
      </c>
      <c r="H15" s="620">
        <f>IF('Kit report'!F17&lt;0,"0",'Kit report'!F17)</f>
        <v>0</v>
      </c>
      <c r="I15" s="620">
        <f>IF('Kit report'!X17&lt;0,"0",'Kit report'!X17)</f>
        <v>0</v>
      </c>
      <c r="J15" s="620">
        <f>IF('Utility summery'!H19&lt;0,"0",'Utility summery'!H19)</f>
        <v>0</v>
      </c>
      <c r="K15" s="621">
        <f>IF('UTILITY REPORT 1'!H16&lt;0,"0",'UTILITY REPORT 1'!H16)</f>
        <v>0</v>
      </c>
      <c r="L15" s="620">
        <f>'Water-Meter'!K19</f>
        <v>0</v>
      </c>
      <c r="M15" s="621">
        <f>'Water-Meter'!H19</f>
        <v>0</v>
      </c>
      <c r="N15" s="621">
        <f>'Water-Meter'!Q19</f>
        <v>0</v>
      </c>
      <c r="O15" s="620" t="e">
        <f>K15*E15+H15*I15+#REF!*#REF!+J15*L15</f>
        <v>#REF!</v>
      </c>
      <c r="P15" s="633">
        <f>'Water-Meter'!E19</f>
        <v>0</v>
      </c>
      <c r="Q15" s="325">
        <f>IF('Water-Meter'!U19&lt;0,"0",'Water-Meter'!U19)</f>
        <v>0</v>
      </c>
      <c r="R15" s="325">
        <f>IF('Water-Meter'!X19&lt;0,"0",'Water-Meter'!X19)</f>
        <v>0</v>
      </c>
      <c r="S15" s="325">
        <f>IF('Water-Meter'!AA19&lt;0,"0",'Water-Meter'!AA19)</f>
        <v>0</v>
      </c>
      <c r="T15" s="325">
        <f>IF('Water-Meter'!AD19&lt;0,"0",'Water-Meter'!AD19)</f>
        <v>0</v>
      </c>
      <c r="U15" s="325">
        <f>IF('Water-Meter'!AG19&lt;0,"0",'Water-Meter'!AG19)</f>
        <v>0</v>
      </c>
      <c r="V15" s="325">
        <f>IF('Water-Meter'!AJ19&lt;0,"0",'Water-Meter'!AJ19)</f>
        <v>0</v>
      </c>
      <c r="W15" s="31">
        <f>'Water-Meter'!AN19</f>
        <v>0</v>
      </c>
      <c r="X15" s="645">
        <f>Total!K15</f>
        <v>0</v>
      </c>
    </row>
    <row r="16" spans="1:24">
      <c r="A16" s="622" t="s">
        <v>286</v>
      </c>
      <c r="B16" s="619">
        <f t="shared" si="0"/>
        <v>15</v>
      </c>
      <c r="C16" s="631">
        <v>2</v>
      </c>
      <c r="D16" s="632">
        <v>2020</v>
      </c>
      <c r="E16" s="620">
        <f>'UTILITY REPORT 1'!I17</f>
        <v>0</v>
      </c>
      <c r="F16" s="620">
        <f>'UTILITY REPORT 1'!E17</f>
        <v>0</v>
      </c>
      <c r="G16" s="621">
        <f>'UTILITY REPORT 1'!F17</f>
        <v>0</v>
      </c>
      <c r="H16" s="620">
        <f>IF('Kit report'!F18&lt;0,"0",'Kit report'!F18)</f>
        <v>0</v>
      </c>
      <c r="I16" s="620">
        <f>IF('Kit report'!X18&lt;0,"0",'Kit report'!X18)</f>
        <v>0</v>
      </c>
      <c r="J16" s="620">
        <f>IF('Utility summery'!H20&lt;0,"0",'Utility summery'!H20)</f>
        <v>0</v>
      </c>
      <c r="K16" s="621">
        <f>IF('UTILITY REPORT 1'!H17&lt;0,"0",'UTILITY REPORT 1'!H17)</f>
        <v>0</v>
      </c>
      <c r="L16" s="620">
        <f>'Water-Meter'!K20</f>
        <v>0</v>
      </c>
      <c r="M16" s="621">
        <f>'Water-Meter'!H20</f>
        <v>0</v>
      </c>
      <c r="N16" s="621">
        <f>'Water-Meter'!Q20</f>
        <v>0</v>
      </c>
      <c r="O16" s="620" t="e">
        <f>K16*E16+H16*I16+#REF!*#REF!+J16*L16</f>
        <v>#REF!</v>
      </c>
      <c r="P16" s="633">
        <f>'Water-Meter'!E20</f>
        <v>0</v>
      </c>
      <c r="Q16" s="325">
        <f>IF('Water-Meter'!U20&lt;0,"0",'Water-Meter'!U20)</f>
        <v>0</v>
      </c>
      <c r="R16" s="325">
        <f>IF('Water-Meter'!X20&lt;0,"0",'Water-Meter'!X20)</f>
        <v>0</v>
      </c>
      <c r="S16" s="325">
        <f>IF('Water-Meter'!AA20&lt;0,"0",'Water-Meter'!AA20)</f>
        <v>0</v>
      </c>
      <c r="T16" s="325">
        <f>IF('Water-Meter'!AD20&lt;0,"0",'Water-Meter'!AD20)</f>
        <v>0</v>
      </c>
      <c r="U16" s="325">
        <f>IF('Water-Meter'!AG20&lt;0,"0",'Water-Meter'!AG20)</f>
        <v>0</v>
      </c>
      <c r="V16" s="325">
        <f>IF('Water-Meter'!AJ20&lt;0,"0",'Water-Meter'!AJ20)</f>
        <v>0</v>
      </c>
      <c r="W16" s="31">
        <f>'Water-Meter'!AN20</f>
        <v>0</v>
      </c>
      <c r="X16" s="645">
        <f>Total!K16</f>
        <v>0</v>
      </c>
    </row>
    <row r="17" spans="1:24">
      <c r="A17" s="622" t="s">
        <v>286</v>
      </c>
      <c r="B17" s="619">
        <f t="shared" si="0"/>
        <v>16</v>
      </c>
      <c r="C17" s="631">
        <v>2</v>
      </c>
      <c r="D17" s="632">
        <v>2020</v>
      </c>
      <c r="E17" s="620">
        <f>'UTILITY REPORT 1'!I18</f>
        <v>0</v>
      </c>
      <c r="F17" s="620">
        <f>'UTILITY REPORT 1'!E18</f>
        <v>0</v>
      </c>
      <c r="G17" s="621">
        <f>'UTILITY REPORT 1'!F18</f>
        <v>0</v>
      </c>
      <c r="H17" s="620">
        <f>IF('Kit report'!F19&lt;0,"0",'Kit report'!F19)</f>
        <v>0</v>
      </c>
      <c r="I17" s="620">
        <f>IF('Kit report'!X19&lt;0,"0",'Kit report'!X19)</f>
        <v>0</v>
      </c>
      <c r="J17" s="620">
        <f>IF('Utility summery'!H21&lt;0,"0",'Utility summery'!H21)</f>
        <v>0</v>
      </c>
      <c r="K17" s="621">
        <f>IF('UTILITY REPORT 1'!H18&lt;0,"0",'UTILITY REPORT 1'!H18)</f>
        <v>0</v>
      </c>
      <c r="L17" s="620">
        <f>'Water-Meter'!K21</f>
        <v>0</v>
      </c>
      <c r="M17" s="621">
        <f>'Water-Meter'!H21</f>
        <v>0</v>
      </c>
      <c r="N17" s="621">
        <f>'Water-Meter'!Q21</f>
        <v>0</v>
      </c>
      <c r="O17" s="620" t="e">
        <f>K17*E17+H17*I17+#REF!*#REF!+J17*L17</f>
        <v>#REF!</v>
      </c>
      <c r="P17" s="633">
        <f>'Water-Meter'!E21</f>
        <v>0</v>
      </c>
      <c r="Q17" s="325">
        <f>IF('Water-Meter'!U21&lt;0,"0",'Water-Meter'!U21)</f>
        <v>0</v>
      </c>
      <c r="R17" s="325">
        <f>IF('Water-Meter'!X21&lt;0,"0",'Water-Meter'!X21)</f>
        <v>0</v>
      </c>
      <c r="S17" s="325">
        <f>IF('Water-Meter'!AA21&lt;0,"0",'Water-Meter'!AA21)</f>
        <v>0</v>
      </c>
      <c r="T17" s="325">
        <f>IF('Water-Meter'!AD21&lt;0,"0",'Water-Meter'!AD21)</f>
        <v>0</v>
      </c>
      <c r="U17" s="325">
        <f>IF('Water-Meter'!AG21&lt;0,"0",'Water-Meter'!AG21)</f>
        <v>0</v>
      </c>
      <c r="V17" s="325">
        <f>IF('Water-Meter'!AJ21&lt;0,"0",'Water-Meter'!AJ21)</f>
        <v>0</v>
      </c>
      <c r="W17" s="31">
        <f>'Water-Meter'!AN21</f>
        <v>0</v>
      </c>
      <c r="X17" s="645">
        <f>Total!K17</f>
        <v>0</v>
      </c>
    </row>
    <row r="18" spans="1:24">
      <c r="A18" s="622" t="s">
        <v>286</v>
      </c>
      <c r="B18" s="619">
        <f t="shared" si="0"/>
        <v>17</v>
      </c>
      <c r="C18" s="631">
        <v>2</v>
      </c>
      <c r="D18" s="632">
        <v>2020</v>
      </c>
      <c r="E18" s="620">
        <f>'UTILITY REPORT 1'!I19</f>
        <v>0</v>
      </c>
      <c r="F18" s="620">
        <f>'UTILITY REPORT 1'!E19</f>
        <v>0</v>
      </c>
      <c r="G18" s="621">
        <f>'UTILITY REPORT 1'!F19</f>
        <v>0</v>
      </c>
      <c r="H18" s="620">
        <f>IF('Kit report'!F20&lt;0,"0",'Kit report'!F20)</f>
        <v>0</v>
      </c>
      <c r="I18" s="620">
        <f>IF('Kit report'!X20&lt;0,"0",'Kit report'!X20)</f>
        <v>0</v>
      </c>
      <c r="J18" s="620">
        <f>IF('Utility summery'!H22&lt;0,"0",'Utility summery'!H22)</f>
        <v>0</v>
      </c>
      <c r="K18" s="621">
        <f>IF('UTILITY REPORT 1'!H19&lt;0,"0",'UTILITY REPORT 1'!H19)</f>
        <v>0</v>
      </c>
      <c r="L18" s="620">
        <f>'Water-Meter'!K22</f>
        <v>0</v>
      </c>
      <c r="M18" s="621">
        <f>'Water-Meter'!H22</f>
        <v>0</v>
      </c>
      <c r="N18" s="621">
        <f>'Water-Meter'!Q22</f>
        <v>0</v>
      </c>
      <c r="O18" s="620" t="e">
        <f>K18*E18+H18*I18+#REF!*#REF!+J18*L18</f>
        <v>#REF!</v>
      </c>
      <c r="P18" s="633">
        <f>'Water-Meter'!E22</f>
        <v>0</v>
      </c>
      <c r="Q18" s="325">
        <f>IF('Water-Meter'!U22&lt;0,"0",'Water-Meter'!U22)</f>
        <v>0</v>
      </c>
      <c r="R18" s="325">
        <f>IF('Water-Meter'!X22&lt;0,"0",'Water-Meter'!X22)</f>
        <v>0</v>
      </c>
      <c r="S18" s="325">
        <f>IF('Water-Meter'!AA22&lt;0,"0",'Water-Meter'!AA22)</f>
        <v>0</v>
      </c>
      <c r="T18" s="325">
        <f>IF('Water-Meter'!AD22&lt;0,"0",'Water-Meter'!AD22)</f>
        <v>0</v>
      </c>
      <c r="U18" s="325">
        <f>IF('Water-Meter'!AG22&lt;0,"0",'Water-Meter'!AG22)</f>
        <v>0</v>
      </c>
      <c r="V18" s="325">
        <f>IF('Water-Meter'!AJ22&lt;0,"0",'Water-Meter'!AJ22)</f>
        <v>0</v>
      </c>
      <c r="W18" s="31">
        <f>'Water-Meter'!AN22</f>
        <v>0</v>
      </c>
      <c r="X18" s="645">
        <f>Total!K18</f>
        <v>0</v>
      </c>
    </row>
    <row r="19" spans="1:24">
      <c r="A19" s="622" t="s">
        <v>286</v>
      </c>
      <c r="B19" s="619">
        <f t="shared" si="0"/>
        <v>18</v>
      </c>
      <c r="C19" s="631">
        <v>2</v>
      </c>
      <c r="D19" s="632">
        <v>2020</v>
      </c>
      <c r="E19" s="620">
        <f>'UTILITY REPORT 1'!I20</f>
        <v>0</v>
      </c>
      <c r="F19" s="620">
        <f>'UTILITY REPORT 1'!E20</f>
        <v>0</v>
      </c>
      <c r="G19" s="621">
        <f>'UTILITY REPORT 1'!F20</f>
        <v>0</v>
      </c>
      <c r="H19" s="620">
        <f>IF('Kit report'!F21&lt;0,"0",'Kit report'!F21)</f>
        <v>0</v>
      </c>
      <c r="I19" s="620">
        <f>IF('Kit report'!X21&lt;0,"0",'Kit report'!X21)</f>
        <v>0</v>
      </c>
      <c r="J19" s="620">
        <f>IF('Utility summery'!H23&lt;0,"0",'Utility summery'!H23)</f>
        <v>0</v>
      </c>
      <c r="K19" s="621">
        <f>IF('UTILITY REPORT 1'!H20&lt;0,"0",'UTILITY REPORT 1'!H20)</f>
        <v>0</v>
      </c>
      <c r="L19" s="620">
        <f>'Water-Meter'!K23</f>
        <v>0</v>
      </c>
      <c r="M19" s="621">
        <f>'Water-Meter'!H23</f>
        <v>0</v>
      </c>
      <c r="N19" s="621">
        <f>'Water-Meter'!Q23</f>
        <v>0</v>
      </c>
      <c r="O19" s="620" t="e">
        <f>K19*E19+H19*I19+#REF!*#REF!+J19*L19</f>
        <v>#REF!</v>
      </c>
      <c r="P19" s="633">
        <f>'Water-Meter'!E23</f>
        <v>0</v>
      </c>
      <c r="Q19" s="325">
        <f>IF('Water-Meter'!U23&lt;0,"0",'Water-Meter'!U23)</f>
        <v>0</v>
      </c>
      <c r="R19" s="325">
        <f>IF('Water-Meter'!X23&lt;0,"0",'Water-Meter'!X23)</f>
        <v>0</v>
      </c>
      <c r="S19" s="325">
        <f>IF('Water-Meter'!AA23&lt;0,"0",'Water-Meter'!AA23)</f>
        <v>0</v>
      </c>
      <c r="T19" s="325">
        <f>IF('Water-Meter'!AD23&lt;0,"0",'Water-Meter'!AD23)</f>
        <v>0</v>
      </c>
      <c r="U19" s="325">
        <f>IF('Water-Meter'!AG23&lt;0,"0",'Water-Meter'!AG23)</f>
        <v>0</v>
      </c>
      <c r="V19" s="325">
        <f>IF('Water-Meter'!AJ23&lt;0,"0",'Water-Meter'!AJ23)</f>
        <v>0</v>
      </c>
      <c r="W19" s="31">
        <f>'Water-Meter'!AN23</f>
        <v>0</v>
      </c>
      <c r="X19" s="645">
        <f>Total!K19</f>
        <v>0</v>
      </c>
    </row>
    <row r="20" spans="1:24">
      <c r="A20" s="622" t="s">
        <v>286</v>
      </c>
      <c r="B20" s="619">
        <f t="shared" si="0"/>
        <v>19</v>
      </c>
      <c r="C20" s="631">
        <v>2</v>
      </c>
      <c r="D20" s="632">
        <v>2020</v>
      </c>
      <c r="E20" s="620">
        <f>'UTILITY REPORT 1'!I21</f>
        <v>0</v>
      </c>
      <c r="F20" s="620">
        <f>'UTILITY REPORT 1'!E21</f>
        <v>0</v>
      </c>
      <c r="G20" s="621">
        <f>'UTILITY REPORT 1'!F21</f>
        <v>0</v>
      </c>
      <c r="H20" s="620">
        <f>IF('Kit report'!F22&lt;0,"0",'Kit report'!F22)</f>
        <v>0</v>
      </c>
      <c r="I20" s="620">
        <f>IF('Kit report'!X22&lt;0,"0",'Kit report'!X22)</f>
        <v>0</v>
      </c>
      <c r="J20" s="620">
        <f>IF('Utility summery'!H24&lt;0,"0",'Utility summery'!H24)</f>
        <v>0</v>
      </c>
      <c r="K20" s="621">
        <f>IF('UTILITY REPORT 1'!H21&lt;0,"0",'UTILITY REPORT 1'!H21)</f>
        <v>0</v>
      </c>
      <c r="L20" s="620">
        <f>'Water-Meter'!K24</f>
        <v>0</v>
      </c>
      <c r="M20" s="621">
        <f>'Water-Meter'!H24</f>
        <v>0</v>
      </c>
      <c r="N20" s="621">
        <f>'Water-Meter'!Q24</f>
        <v>0</v>
      </c>
      <c r="O20" s="620" t="e">
        <f>K20*E20+H20*I20+#REF!*#REF!+J20*L20</f>
        <v>#REF!</v>
      </c>
      <c r="P20" s="633">
        <f>'Water-Meter'!E24</f>
        <v>0</v>
      </c>
      <c r="Q20" s="325">
        <f>IF('Water-Meter'!U24&lt;0,"0",'Water-Meter'!U24)</f>
        <v>0</v>
      </c>
      <c r="R20" s="325">
        <f>IF('Water-Meter'!X24&lt;0,"0",'Water-Meter'!X24)</f>
        <v>0</v>
      </c>
      <c r="S20" s="325">
        <f>IF('Water-Meter'!AA24&lt;0,"0",'Water-Meter'!AA24)</f>
        <v>0</v>
      </c>
      <c r="T20" s="325">
        <f>IF('Water-Meter'!AD24&lt;0,"0",'Water-Meter'!AD24)</f>
        <v>0</v>
      </c>
      <c r="U20" s="325">
        <f>IF('Water-Meter'!AG24&lt;0,"0",'Water-Meter'!AG24)</f>
        <v>0</v>
      </c>
      <c r="V20" s="325">
        <f>IF('Water-Meter'!AJ24&lt;0,"0",'Water-Meter'!AJ24)</f>
        <v>0</v>
      </c>
      <c r="W20" s="31">
        <f>'Water-Meter'!AN24</f>
        <v>0</v>
      </c>
      <c r="X20" s="645">
        <f>Total!K20</f>
        <v>0</v>
      </c>
    </row>
    <row r="21" spans="1:24">
      <c r="A21" s="622" t="s">
        <v>286</v>
      </c>
      <c r="B21" s="619">
        <f t="shared" si="0"/>
        <v>20</v>
      </c>
      <c r="C21" s="631">
        <v>2</v>
      </c>
      <c r="D21" s="632">
        <v>2020</v>
      </c>
      <c r="E21" s="620">
        <f>'UTILITY REPORT 1'!I22</f>
        <v>0</v>
      </c>
      <c r="F21" s="620">
        <f>'UTILITY REPORT 1'!E22</f>
        <v>0</v>
      </c>
      <c r="G21" s="621">
        <f>'UTILITY REPORT 1'!F22</f>
        <v>0</v>
      </c>
      <c r="H21" s="620">
        <f>IF('Kit report'!F23&lt;0,"0",'Kit report'!F23)</f>
        <v>0</v>
      </c>
      <c r="I21" s="620">
        <f>IF('Kit report'!X23&lt;0,"0",'Kit report'!X23)</f>
        <v>0</v>
      </c>
      <c r="J21" s="620">
        <f>IF('Utility summery'!H25&lt;0,"0",'Utility summery'!H25)</f>
        <v>0</v>
      </c>
      <c r="K21" s="621">
        <f>IF('UTILITY REPORT 1'!H22&lt;0,"0",'UTILITY REPORT 1'!H22)</f>
        <v>0</v>
      </c>
      <c r="L21" s="620">
        <f>'Water-Meter'!K25</f>
        <v>0</v>
      </c>
      <c r="M21" s="621">
        <f>'Water-Meter'!H25</f>
        <v>0</v>
      </c>
      <c r="N21" s="621">
        <f>'Water-Meter'!Q25</f>
        <v>0</v>
      </c>
      <c r="O21" s="620" t="e">
        <f>K21*E21+H21*I21+#REF!*#REF!+J21*L21</f>
        <v>#REF!</v>
      </c>
      <c r="P21" s="633">
        <f>'Water-Meter'!E25</f>
        <v>0</v>
      </c>
      <c r="Q21" s="325">
        <f>IF('Water-Meter'!U25&lt;0,"0",'Water-Meter'!U25)</f>
        <v>0</v>
      </c>
      <c r="R21" s="325">
        <f>IF('Water-Meter'!X25&lt;0,"0",'Water-Meter'!X25)</f>
        <v>0</v>
      </c>
      <c r="S21" s="325">
        <f>IF('Water-Meter'!AA25&lt;0,"0",'Water-Meter'!AA25)</f>
        <v>0</v>
      </c>
      <c r="T21" s="325">
        <f>IF('Water-Meter'!AD25&lt;0,"0",'Water-Meter'!AD25)</f>
        <v>0</v>
      </c>
      <c r="U21" s="325">
        <f>IF('Water-Meter'!AG25&lt;0,"0",'Water-Meter'!AG25)</f>
        <v>0</v>
      </c>
      <c r="V21" s="325">
        <f>IF('Water-Meter'!AJ25&lt;0,"0",'Water-Meter'!AJ25)</f>
        <v>0</v>
      </c>
      <c r="W21" s="31">
        <f>'Water-Meter'!AN25</f>
        <v>0</v>
      </c>
      <c r="X21" s="645">
        <f>Total!K21</f>
        <v>0</v>
      </c>
    </row>
    <row r="22" spans="1:24">
      <c r="A22" s="622" t="s">
        <v>286</v>
      </c>
      <c r="B22" s="619">
        <f t="shared" si="0"/>
        <v>21</v>
      </c>
      <c r="C22" s="631">
        <v>2</v>
      </c>
      <c r="D22" s="632">
        <v>2020</v>
      </c>
      <c r="E22" s="620">
        <f>'UTILITY REPORT 1'!I23</f>
        <v>0</v>
      </c>
      <c r="F22" s="620">
        <f>'UTILITY REPORT 1'!E23</f>
        <v>0</v>
      </c>
      <c r="G22" s="621">
        <f>'UTILITY REPORT 1'!F23</f>
        <v>0</v>
      </c>
      <c r="H22" s="620">
        <f>IF('Kit report'!F24&lt;0,"0",'Kit report'!F24)</f>
        <v>0</v>
      </c>
      <c r="I22" s="620">
        <f>IF('Kit report'!X24&lt;0,"0",'Kit report'!X24)</f>
        <v>0</v>
      </c>
      <c r="J22" s="620">
        <f>IF('Utility summery'!H26&lt;0,"0",'Utility summery'!H26)</f>
        <v>0</v>
      </c>
      <c r="K22" s="621">
        <f>IF('UTILITY REPORT 1'!H23&lt;0,"0",'UTILITY REPORT 1'!H23)</f>
        <v>0</v>
      </c>
      <c r="L22" s="620">
        <f>'Water-Meter'!K26</f>
        <v>0</v>
      </c>
      <c r="M22" s="621">
        <f>'Water-Meter'!H26</f>
        <v>0</v>
      </c>
      <c r="N22" s="621">
        <f>'Water-Meter'!Q26</f>
        <v>0</v>
      </c>
      <c r="O22" s="620" t="e">
        <f>K22*E22+H22*I22+#REF!*#REF!+J22*L22</f>
        <v>#REF!</v>
      </c>
      <c r="P22" s="633">
        <f>'Water-Meter'!E26</f>
        <v>0</v>
      </c>
      <c r="Q22" s="325">
        <f>IF('Water-Meter'!U26&lt;0,"0",'Water-Meter'!U26)</f>
        <v>0</v>
      </c>
      <c r="R22" s="325">
        <f>IF('Water-Meter'!X26&lt;0,"0",'Water-Meter'!X26)</f>
        <v>0</v>
      </c>
      <c r="S22" s="325">
        <f>IF('Water-Meter'!AA26&lt;0,"0",'Water-Meter'!AA26)</f>
        <v>0</v>
      </c>
      <c r="T22" s="325">
        <f>IF('Water-Meter'!AD26&lt;0,"0",'Water-Meter'!AD26)</f>
        <v>0</v>
      </c>
      <c r="U22" s="325">
        <f>IF('Water-Meter'!AG26&lt;0,"0",'Water-Meter'!AG26)</f>
        <v>0</v>
      </c>
      <c r="V22" s="325">
        <f>IF('Water-Meter'!AJ26&lt;0,"0",'Water-Meter'!AJ26)</f>
        <v>0</v>
      </c>
      <c r="W22" s="31">
        <f>'Water-Meter'!AN26</f>
        <v>0</v>
      </c>
      <c r="X22" s="645">
        <f>Total!K22</f>
        <v>0</v>
      </c>
    </row>
    <row r="23" spans="1:24">
      <c r="A23" s="622" t="s">
        <v>286</v>
      </c>
      <c r="B23" s="619">
        <f t="shared" si="0"/>
        <v>22</v>
      </c>
      <c r="C23" s="631">
        <v>2</v>
      </c>
      <c r="D23" s="632">
        <v>2020</v>
      </c>
      <c r="E23" s="620">
        <f>'UTILITY REPORT 1'!I24</f>
        <v>0</v>
      </c>
      <c r="F23" s="620">
        <f>'UTILITY REPORT 1'!E24</f>
        <v>0</v>
      </c>
      <c r="G23" s="621">
        <f>'UTILITY REPORT 1'!F24</f>
        <v>0</v>
      </c>
      <c r="H23" s="620">
        <f>IF('Kit report'!F25&lt;0,"0",'Kit report'!F25)</f>
        <v>0</v>
      </c>
      <c r="I23" s="620">
        <f>IF('Kit report'!X25&lt;0,"0",'Kit report'!X25)</f>
        <v>0</v>
      </c>
      <c r="J23" s="620">
        <f>IF('Utility summery'!H27&lt;0,"0",'Utility summery'!H27)</f>
        <v>0</v>
      </c>
      <c r="K23" s="621">
        <f>IF('UTILITY REPORT 1'!H24&lt;0,"0",'UTILITY REPORT 1'!H24)</f>
        <v>0</v>
      </c>
      <c r="L23" s="620">
        <f>'Water-Meter'!K27</f>
        <v>0</v>
      </c>
      <c r="M23" s="621">
        <f>'Water-Meter'!H27</f>
        <v>0</v>
      </c>
      <c r="N23" s="621">
        <f>'Water-Meter'!Q27</f>
        <v>0</v>
      </c>
      <c r="O23" s="620" t="e">
        <f>K23*E23+H23*I23+#REF!*#REF!+J23*L23</f>
        <v>#REF!</v>
      </c>
      <c r="P23" s="633">
        <f>'Water-Meter'!E27</f>
        <v>0</v>
      </c>
      <c r="Q23" s="325">
        <f>IF('Water-Meter'!U27&lt;0,"0",'Water-Meter'!U27)</f>
        <v>0</v>
      </c>
      <c r="R23" s="325">
        <f>IF('Water-Meter'!X27&lt;0,"0",'Water-Meter'!X27)</f>
        <v>0</v>
      </c>
      <c r="S23" s="325">
        <f>IF('Water-Meter'!AA27&lt;0,"0",'Water-Meter'!AA27)</f>
        <v>0</v>
      </c>
      <c r="T23" s="325">
        <f>IF('Water-Meter'!AD27&lt;0,"0",'Water-Meter'!AD27)</f>
        <v>0</v>
      </c>
      <c r="U23" s="325">
        <f>IF('Water-Meter'!AG27&lt;0,"0",'Water-Meter'!AG27)</f>
        <v>0</v>
      </c>
      <c r="V23" s="325">
        <f>IF('Water-Meter'!AJ27&lt;0,"0",'Water-Meter'!AJ27)</f>
        <v>0</v>
      </c>
      <c r="W23" s="31">
        <f>'Water-Meter'!AN27</f>
        <v>0</v>
      </c>
      <c r="X23" s="645">
        <f>Total!K23</f>
        <v>0</v>
      </c>
    </row>
    <row r="24" spans="1:24">
      <c r="A24" s="622" t="s">
        <v>286</v>
      </c>
      <c r="B24" s="619">
        <f t="shared" si="0"/>
        <v>23</v>
      </c>
      <c r="C24" s="631">
        <v>2</v>
      </c>
      <c r="D24" s="632">
        <v>2020</v>
      </c>
      <c r="E24" s="620">
        <f>'UTILITY REPORT 1'!I25</f>
        <v>0</v>
      </c>
      <c r="F24" s="620">
        <f>'UTILITY REPORT 1'!E25</f>
        <v>0</v>
      </c>
      <c r="G24" s="621">
        <f>'UTILITY REPORT 1'!F25</f>
        <v>0</v>
      </c>
      <c r="H24" s="620">
        <f>IF('Kit report'!F26&lt;0,"0",'Kit report'!F26)</f>
        <v>0</v>
      </c>
      <c r="I24" s="620">
        <f>IF('Kit report'!X26&lt;0,"0",'Kit report'!X26)</f>
        <v>0</v>
      </c>
      <c r="J24" s="620">
        <f>IF('Utility summery'!H28&lt;0,"0",'Utility summery'!H28)</f>
        <v>0</v>
      </c>
      <c r="K24" s="621">
        <f>IF('UTILITY REPORT 1'!H25&lt;0,"0",'UTILITY REPORT 1'!H25)</f>
        <v>0</v>
      </c>
      <c r="L24" s="620">
        <f>'Water-Meter'!K28</f>
        <v>0</v>
      </c>
      <c r="M24" s="621">
        <f>'Water-Meter'!H28</f>
        <v>0</v>
      </c>
      <c r="N24" s="621">
        <f>'Water-Meter'!Q28</f>
        <v>0</v>
      </c>
      <c r="O24" s="620" t="e">
        <f>K24*E24+H24*I24+#REF!*#REF!+J24*L24</f>
        <v>#REF!</v>
      </c>
      <c r="P24" s="633">
        <f>'Water-Meter'!E28</f>
        <v>0</v>
      </c>
      <c r="Q24" s="325">
        <f>IF('Water-Meter'!U28&lt;0,"0",'Water-Meter'!U28)</f>
        <v>0</v>
      </c>
      <c r="R24" s="325">
        <f>IF('Water-Meter'!X28&lt;0,"0",'Water-Meter'!X28)</f>
        <v>0</v>
      </c>
      <c r="S24" s="325">
        <f>IF('Water-Meter'!AA28&lt;0,"0",'Water-Meter'!AA28)</f>
        <v>0</v>
      </c>
      <c r="T24" s="325">
        <f>IF('Water-Meter'!AD28&lt;0,"0",'Water-Meter'!AD28)</f>
        <v>0</v>
      </c>
      <c r="U24" s="325">
        <f>IF('Water-Meter'!AG28&lt;0,"0",'Water-Meter'!AG28)</f>
        <v>0</v>
      </c>
      <c r="V24" s="325">
        <f>IF('Water-Meter'!AJ28&lt;0,"0",'Water-Meter'!AJ28)</f>
        <v>0</v>
      </c>
      <c r="W24" s="31">
        <f>'Water-Meter'!AN28</f>
        <v>0</v>
      </c>
      <c r="X24" s="645">
        <f>Total!K24</f>
        <v>0</v>
      </c>
    </row>
    <row r="25" spans="1:24">
      <c r="A25" s="622" t="s">
        <v>286</v>
      </c>
      <c r="B25" s="619">
        <f t="shared" si="0"/>
        <v>24</v>
      </c>
      <c r="C25" s="631">
        <v>2</v>
      </c>
      <c r="D25" s="632">
        <v>2020</v>
      </c>
      <c r="E25" s="620">
        <f>'UTILITY REPORT 1'!I26</f>
        <v>0</v>
      </c>
      <c r="F25" s="620">
        <f>'UTILITY REPORT 1'!E26</f>
        <v>0</v>
      </c>
      <c r="G25" s="621">
        <f>'UTILITY REPORT 1'!F26</f>
        <v>0</v>
      </c>
      <c r="H25" s="620">
        <f>IF('Kit report'!F27&lt;0,"0",'Kit report'!F27)</f>
        <v>0</v>
      </c>
      <c r="I25" s="620">
        <f>IF('Kit report'!X27&lt;0,"0",'Kit report'!X27)</f>
        <v>0</v>
      </c>
      <c r="J25" s="620">
        <f>IF('Utility summery'!H29&lt;0,"0",'Utility summery'!H29)</f>
        <v>0</v>
      </c>
      <c r="K25" s="621">
        <f>IF('UTILITY REPORT 1'!H26&lt;0,"0",'UTILITY REPORT 1'!H26)</f>
        <v>0</v>
      </c>
      <c r="L25" s="620">
        <f>'Water-Meter'!K29</f>
        <v>0</v>
      </c>
      <c r="M25" s="621">
        <f>'Water-Meter'!H29</f>
        <v>0</v>
      </c>
      <c r="N25" s="621">
        <f>'Water-Meter'!Q29</f>
        <v>0</v>
      </c>
      <c r="O25" s="620" t="e">
        <f>K25*E25+H25*I25+#REF!*#REF!+J25*L25</f>
        <v>#REF!</v>
      </c>
      <c r="P25" s="633">
        <f>'Water-Meter'!E29</f>
        <v>0</v>
      </c>
      <c r="Q25" s="325">
        <f>IF('Water-Meter'!U29&lt;0,"0",'Water-Meter'!U29)</f>
        <v>0</v>
      </c>
      <c r="R25" s="325">
        <f>IF('Water-Meter'!X29&lt;0,"0",'Water-Meter'!X29)</f>
        <v>0</v>
      </c>
      <c r="S25" s="325">
        <f>IF('Water-Meter'!AA29&lt;0,"0",'Water-Meter'!AA29)</f>
        <v>0</v>
      </c>
      <c r="T25" s="325">
        <f>IF('Water-Meter'!AD29&lt;0,"0",'Water-Meter'!AD29)</f>
        <v>0</v>
      </c>
      <c r="U25" s="325">
        <f>IF('Water-Meter'!AG29&lt;0,"0",'Water-Meter'!AG29)</f>
        <v>0</v>
      </c>
      <c r="V25" s="325">
        <f>IF('Water-Meter'!AJ29&lt;0,"0",'Water-Meter'!AJ29)</f>
        <v>0</v>
      </c>
      <c r="W25" s="31">
        <f>'Water-Meter'!AN29</f>
        <v>0</v>
      </c>
      <c r="X25" s="645">
        <f>Total!K25</f>
        <v>0</v>
      </c>
    </row>
    <row r="26" spans="1:24">
      <c r="A26" s="622" t="s">
        <v>286</v>
      </c>
      <c r="B26" s="619">
        <f>B25+1</f>
        <v>25</v>
      </c>
      <c r="C26" s="631">
        <v>2</v>
      </c>
      <c r="D26" s="632">
        <v>2020</v>
      </c>
      <c r="E26" s="620">
        <f>'UTILITY REPORT 1'!I27</f>
        <v>0</v>
      </c>
      <c r="F26" s="620">
        <f>'UTILITY REPORT 1'!E27</f>
        <v>0</v>
      </c>
      <c r="G26" s="621">
        <f>'UTILITY REPORT 1'!F27</f>
        <v>0</v>
      </c>
      <c r="H26" s="620">
        <f>IF('Kit report'!F28&lt;0,"0",'Kit report'!F28)</f>
        <v>0</v>
      </c>
      <c r="I26" s="620">
        <f>IF('Kit report'!X28&lt;0,"0",'Kit report'!X28)</f>
        <v>0</v>
      </c>
      <c r="J26" s="620">
        <f>IF('Utility summery'!H30&lt;0,"0",'Utility summery'!H30)</f>
        <v>0</v>
      </c>
      <c r="K26" s="621">
        <f>IF('UTILITY REPORT 1'!H27&lt;0,"0",'UTILITY REPORT 1'!H27)</f>
        <v>0</v>
      </c>
      <c r="L26" s="620">
        <f>'Water-Meter'!K30</f>
        <v>0</v>
      </c>
      <c r="M26" s="621">
        <f>'Water-Meter'!H30</f>
        <v>0</v>
      </c>
      <c r="N26" s="621">
        <f>'Water-Meter'!Q30</f>
        <v>0</v>
      </c>
      <c r="O26" s="620" t="e">
        <f>K26*E26+H26*I26+#REF!*#REF!+J26*L26</f>
        <v>#REF!</v>
      </c>
      <c r="P26" s="633">
        <f>'Water-Meter'!E30</f>
        <v>0</v>
      </c>
      <c r="Q26" s="325">
        <f>IF('Water-Meter'!U30&lt;0,"0",'Water-Meter'!U30)</f>
        <v>0</v>
      </c>
      <c r="R26" s="325">
        <f>IF('Water-Meter'!X30&lt;0,"0",'Water-Meter'!X30)</f>
        <v>0</v>
      </c>
      <c r="S26" s="325">
        <f>IF('Water-Meter'!AA30&lt;0,"0",'Water-Meter'!AA30)</f>
        <v>0</v>
      </c>
      <c r="T26" s="325">
        <f>IF('Water-Meter'!AD30&lt;0,"0",'Water-Meter'!AD30)</f>
        <v>0</v>
      </c>
      <c r="U26" s="325">
        <f>IF('Water-Meter'!AG30&lt;0,"0",'Water-Meter'!AG30)</f>
        <v>0</v>
      </c>
      <c r="V26" s="325">
        <f>IF('Water-Meter'!AJ30&lt;0,"0",'Water-Meter'!AJ30)</f>
        <v>0</v>
      </c>
      <c r="W26" s="31">
        <f>'Water-Meter'!AN30</f>
        <v>0</v>
      </c>
      <c r="X26" s="645">
        <f>Total!K26</f>
        <v>0</v>
      </c>
    </row>
    <row r="27" spans="1:24">
      <c r="A27" s="622" t="s">
        <v>286</v>
      </c>
      <c r="B27" s="619">
        <f t="shared" si="0"/>
        <v>26</v>
      </c>
      <c r="C27" s="631">
        <v>2</v>
      </c>
      <c r="D27" s="632">
        <v>2020</v>
      </c>
      <c r="E27" s="620">
        <f>'UTILITY REPORT 1'!I28</f>
        <v>0</v>
      </c>
      <c r="F27" s="620">
        <f>'UTILITY REPORT 1'!E28</f>
        <v>0</v>
      </c>
      <c r="G27" s="621">
        <f>'UTILITY REPORT 1'!F28</f>
        <v>0</v>
      </c>
      <c r="H27" s="620">
        <f>IF('Kit report'!F29&lt;0,"0",'Kit report'!F29)</f>
        <v>0</v>
      </c>
      <c r="I27" s="620">
        <f>IF('Kit report'!X29&lt;0,"0",'Kit report'!X29)</f>
        <v>0</v>
      </c>
      <c r="J27" s="620">
        <f>IF('Utility summery'!H31&lt;0,"0",'Utility summery'!H31)</f>
        <v>0</v>
      </c>
      <c r="K27" s="621">
        <f>IF('UTILITY REPORT 1'!H28&lt;0,"0",'UTILITY REPORT 1'!H28)</f>
        <v>0</v>
      </c>
      <c r="L27" s="620">
        <f>'Water-Meter'!K31</f>
        <v>0</v>
      </c>
      <c r="M27" s="621">
        <f>'Water-Meter'!H31</f>
        <v>0</v>
      </c>
      <c r="N27" s="621">
        <f>'Water-Meter'!Q31</f>
        <v>0</v>
      </c>
      <c r="O27" s="620" t="e">
        <f>K27*E27+H27*I27+#REF!*#REF!+J27*L27</f>
        <v>#REF!</v>
      </c>
      <c r="P27" s="633">
        <f>'Water-Meter'!E31</f>
        <v>0</v>
      </c>
      <c r="Q27" s="325">
        <f>IF('Water-Meter'!U31&lt;0,"0",'Water-Meter'!U31)</f>
        <v>0</v>
      </c>
      <c r="R27" s="325">
        <f>IF('Water-Meter'!X31&lt;0,"0",'Water-Meter'!X31)</f>
        <v>0</v>
      </c>
      <c r="S27" s="325">
        <f>IF('Water-Meter'!AA31&lt;0,"0",'Water-Meter'!AA31)</f>
        <v>0</v>
      </c>
      <c r="T27" s="325">
        <f>IF('Water-Meter'!AD31&lt;0,"0",'Water-Meter'!AD31)</f>
        <v>0</v>
      </c>
      <c r="U27" s="325">
        <f>IF('Water-Meter'!AG31&lt;0,"0",'Water-Meter'!AG31)</f>
        <v>0</v>
      </c>
      <c r="V27" s="325">
        <f>IF('Water-Meter'!AJ31&lt;0,"0",'Water-Meter'!AJ31)</f>
        <v>0</v>
      </c>
      <c r="W27" s="31">
        <f>'Water-Meter'!AN31</f>
        <v>0</v>
      </c>
      <c r="X27" s="645">
        <f>Total!K27</f>
        <v>0</v>
      </c>
    </row>
    <row r="28" spans="1:24">
      <c r="A28" s="622" t="s">
        <v>286</v>
      </c>
      <c r="B28" s="619">
        <f t="shared" si="0"/>
        <v>27</v>
      </c>
      <c r="C28" s="631">
        <v>2</v>
      </c>
      <c r="D28" s="632">
        <v>2020</v>
      </c>
      <c r="E28" s="620">
        <f>'UTILITY REPORT 1'!I29</f>
        <v>0</v>
      </c>
      <c r="F28" s="620">
        <f>'UTILITY REPORT 1'!E29</f>
        <v>0</v>
      </c>
      <c r="G28" s="621">
        <f>'UTILITY REPORT 1'!F29</f>
        <v>0</v>
      </c>
      <c r="H28" s="620">
        <f>IF('Kit report'!F30&lt;0,"0",'Kit report'!F30)</f>
        <v>0</v>
      </c>
      <c r="I28" s="620">
        <f>IF('Kit report'!X30&lt;0,"0",'Kit report'!X30)</f>
        <v>0</v>
      </c>
      <c r="J28" s="620">
        <f>IF('Utility summery'!H32&lt;0,"0",'Utility summery'!H32)</f>
        <v>0</v>
      </c>
      <c r="K28" s="621">
        <f>IF('UTILITY REPORT 1'!H29&lt;0,"0",'UTILITY REPORT 1'!H29)</f>
        <v>0</v>
      </c>
      <c r="L28" s="620">
        <f>'Water-Meter'!K32</f>
        <v>0</v>
      </c>
      <c r="M28" s="621">
        <f>'Water-Meter'!H32</f>
        <v>0</v>
      </c>
      <c r="N28" s="621">
        <f>'Water-Meter'!Q32</f>
        <v>0</v>
      </c>
      <c r="O28" s="620" t="e">
        <f>K28*E28+H28*I28+#REF!*#REF!+J28*L28</f>
        <v>#REF!</v>
      </c>
      <c r="P28" s="633">
        <f>'Water-Meter'!E32</f>
        <v>0</v>
      </c>
      <c r="Q28" s="325">
        <f>IF('Water-Meter'!U32&lt;0,"0",'Water-Meter'!U32)</f>
        <v>0</v>
      </c>
      <c r="R28" s="325">
        <f>IF('Water-Meter'!X32&lt;0,"0",'Water-Meter'!X32)</f>
        <v>0</v>
      </c>
      <c r="S28" s="325">
        <f>IF('Water-Meter'!AA32&lt;0,"0",'Water-Meter'!AA32)</f>
        <v>0</v>
      </c>
      <c r="T28" s="325">
        <f>IF('Water-Meter'!AD32&lt;0,"0",'Water-Meter'!AD32)</f>
        <v>0</v>
      </c>
      <c r="U28" s="325">
        <f>IF('Water-Meter'!AG32&lt;0,"0",'Water-Meter'!AG32)</f>
        <v>0</v>
      </c>
      <c r="V28" s="325">
        <f>IF('Water-Meter'!AJ32&lt;0,"0",'Water-Meter'!AJ32)</f>
        <v>0</v>
      </c>
      <c r="W28" s="31">
        <f>'Water-Meter'!AN32</f>
        <v>0</v>
      </c>
      <c r="X28" s="645">
        <f>Total!K28</f>
        <v>0</v>
      </c>
    </row>
    <row r="29" spans="1:24">
      <c r="A29" s="622" t="s">
        <v>286</v>
      </c>
      <c r="B29" s="619">
        <f t="shared" si="0"/>
        <v>28</v>
      </c>
      <c r="C29" s="631">
        <v>2</v>
      </c>
      <c r="D29" s="632">
        <v>2020</v>
      </c>
      <c r="E29" s="620">
        <f>'UTILITY REPORT 1'!I30</f>
        <v>0</v>
      </c>
      <c r="F29" s="620">
        <f>'UTILITY REPORT 1'!E30</f>
        <v>0</v>
      </c>
      <c r="G29" s="621">
        <f>'UTILITY REPORT 1'!F30</f>
        <v>0</v>
      </c>
      <c r="H29" s="620">
        <f>IF('Kit report'!F31&lt;0,"0",'Kit report'!F31)</f>
        <v>0</v>
      </c>
      <c r="I29" s="620">
        <f>IF('Kit report'!X31&lt;0,"0",'Kit report'!X31)</f>
        <v>0</v>
      </c>
      <c r="J29" s="620">
        <f>IF('Utility summery'!H33&lt;0,"0",'Utility summery'!H33)</f>
        <v>0</v>
      </c>
      <c r="K29" s="621">
        <f>IF('UTILITY REPORT 1'!H30&lt;0,"0",'UTILITY REPORT 1'!H30)</f>
        <v>0</v>
      </c>
      <c r="L29" s="620">
        <f>'Water-Meter'!K33</f>
        <v>0</v>
      </c>
      <c r="M29" s="621">
        <f>'Water-Meter'!H33</f>
        <v>0</v>
      </c>
      <c r="N29" s="621">
        <f>'Water-Meter'!Q33</f>
        <v>0</v>
      </c>
      <c r="O29" s="620" t="e">
        <f>K29*E29+H29*I29+#REF!*#REF!+J29*L29</f>
        <v>#REF!</v>
      </c>
      <c r="P29" s="633">
        <f>'Water-Meter'!E33</f>
        <v>0</v>
      </c>
      <c r="Q29" s="325">
        <f>IF('Water-Meter'!U33&lt;0,"0",'Water-Meter'!U33)</f>
        <v>0</v>
      </c>
      <c r="R29" s="325">
        <f>IF('Water-Meter'!X33&lt;0,"0",'Water-Meter'!X33)</f>
        <v>0</v>
      </c>
      <c r="S29" s="325">
        <f>IF('Water-Meter'!AA33&lt;0,"0",'Water-Meter'!AA33)</f>
        <v>0</v>
      </c>
      <c r="T29" s="325">
        <f>IF('Water-Meter'!AD33&lt;0,"0",'Water-Meter'!AD33)</f>
        <v>0</v>
      </c>
      <c r="U29" s="325">
        <f>IF('Water-Meter'!AG33&lt;0,"0",'Water-Meter'!AG33)</f>
        <v>0</v>
      </c>
      <c r="V29" s="325">
        <f>IF('Water-Meter'!AJ33&lt;0,"0",'Water-Meter'!AJ33)</f>
        <v>0</v>
      </c>
      <c r="W29" s="31">
        <f>'Water-Meter'!AN33</f>
        <v>0</v>
      </c>
      <c r="X29" s="645">
        <f>Total!K29</f>
        <v>0</v>
      </c>
    </row>
    <row r="30" spans="1:24">
      <c r="A30" s="622" t="s">
        <v>286</v>
      </c>
      <c r="B30" s="619">
        <f t="shared" si="0"/>
        <v>29</v>
      </c>
      <c r="C30" s="631">
        <v>2</v>
      </c>
      <c r="D30" s="632">
        <v>2020</v>
      </c>
      <c r="E30" s="620">
        <f>'UTILITY REPORT 1'!I31</f>
        <v>0</v>
      </c>
      <c r="F30" s="620">
        <f>'UTILITY REPORT 1'!E31</f>
        <v>0</v>
      </c>
      <c r="G30" s="621">
        <f>'UTILITY REPORT 1'!F31</f>
        <v>0</v>
      </c>
      <c r="H30" s="620">
        <f>IF('Kit report'!F32&lt;0,"0",'Kit report'!F32)</f>
        <v>0</v>
      </c>
      <c r="I30" s="620">
        <f>IF('Kit report'!X32&lt;0,"0",'Kit report'!X32)</f>
        <v>0</v>
      </c>
      <c r="J30" s="620">
        <f>IF('Utility summery'!H34&lt;0,"0",'Utility summery'!H34)</f>
        <v>0</v>
      </c>
      <c r="K30" s="621">
        <f>IF('UTILITY REPORT 1'!H31&lt;0,"0",'UTILITY REPORT 1'!H31)</f>
        <v>0</v>
      </c>
      <c r="L30" s="620">
        <f>'Water-Meter'!K34</f>
        <v>0</v>
      </c>
      <c r="M30" s="621">
        <f>'Water-Meter'!H34</f>
        <v>0</v>
      </c>
      <c r="N30" s="621">
        <f>'Water-Meter'!Q34</f>
        <v>0</v>
      </c>
      <c r="O30" s="620" t="e">
        <f>K30*E30+H30*I30+#REF!*#REF!+J30*L30</f>
        <v>#REF!</v>
      </c>
      <c r="P30" s="633">
        <f>'Water-Meter'!E34</f>
        <v>0</v>
      </c>
      <c r="Q30" s="325">
        <f>IF('Water-Meter'!U34&lt;0,"0",'Water-Meter'!U34)</f>
        <v>0</v>
      </c>
      <c r="R30" s="325">
        <f>IF('Water-Meter'!X34&lt;0,"0",'Water-Meter'!X34)</f>
        <v>0</v>
      </c>
      <c r="S30" s="325">
        <f>IF('Water-Meter'!AA34&lt;0,"0",'Water-Meter'!AA34)</f>
        <v>0</v>
      </c>
      <c r="T30" s="325">
        <f>IF('Water-Meter'!AD34&lt;0,"0",'Water-Meter'!AD34)</f>
        <v>0</v>
      </c>
      <c r="U30" s="325">
        <f>IF('Water-Meter'!AG34&lt;0,"0",'Water-Meter'!AG34)</f>
        <v>0</v>
      </c>
      <c r="V30" s="325">
        <f>IF('Water-Meter'!AJ34&lt;0,"0",'Water-Meter'!AJ34)</f>
        <v>0</v>
      </c>
      <c r="W30" s="31">
        <f>'Water-Meter'!AN34</f>
        <v>0</v>
      </c>
      <c r="X30" s="645">
        <f>Total!K30</f>
        <v>0</v>
      </c>
    </row>
    <row r="31" spans="1:24">
      <c r="A31" s="622" t="s">
        <v>286</v>
      </c>
      <c r="B31" s="619">
        <v>1</v>
      </c>
      <c r="C31" s="631">
        <v>3</v>
      </c>
      <c r="D31" s="632">
        <v>2020</v>
      </c>
      <c r="E31" s="620">
        <f>'UTILITY REPORT 1'!I32</f>
        <v>0</v>
      </c>
      <c r="F31" s="620">
        <f>'UTILITY REPORT 1'!E32</f>
        <v>0</v>
      </c>
      <c r="G31" s="621">
        <f>'UTILITY REPORT 1'!F32</f>
        <v>0</v>
      </c>
      <c r="H31" s="620">
        <f>IF('Kit report'!F33&lt;0,"0",'Kit report'!F33)</f>
        <v>0</v>
      </c>
      <c r="I31" s="620">
        <f>IF('Kit report'!X33&lt;0,"0",'Kit report'!X33)</f>
        <v>0</v>
      </c>
      <c r="J31" s="620">
        <f>IF('Utility summery'!H35&lt;0,"0",'Utility summery'!H35)</f>
        <v>0</v>
      </c>
      <c r="K31" s="621">
        <f>IF('UTILITY REPORT 1'!H32&lt;0,"0",'UTILITY REPORT 1'!H32)</f>
        <v>0</v>
      </c>
      <c r="L31" s="620">
        <f>'Water-Meter'!K35</f>
        <v>0</v>
      </c>
      <c r="M31" s="621">
        <f>'Water-Meter'!H35</f>
        <v>0</v>
      </c>
      <c r="N31" s="621">
        <f>'Water-Meter'!Q35</f>
        <v>0</v>
      </c>
      <c r="O31" s="620" t="e">
        <f>K31*E31+H31*I31+#REF!*#REF!+J31*L31</f>
        <v>#REF!</v>
      </c>
      <c r="P31" s="633">
        <f>'Water-Meter'!E35</f>
        <v>0</v>
      </c>
      <c r="Q31" s="325">
        <f>IF('Water-Meter'!U35&lt;0,"0",'Water-Meter'!U35)</f>
        <v>0</v>
      </c>
      <c r="R31" s="325">
        <f>IF('Water-Meter'!X35&lt;0,"0",'Water-Meter'!X35)</f>
        <v>0</v>
      </c>
      <c r="S31" s="325">
        <f>IF('Water-Meter'!AA35&lt;0,"0",'Water-Meter'!AA35)</f>
        <v>0</v>
      </c>
      <c r="T31" s="325">
        <f>IF('Water-Meter'!AD35&lt;0,"0",'Water-Meter'!AD35)</f>
        <v>0</v>
      </c>
      <c r="U31" s="325">
        <f>IF('Water-Meter'!AG35&lt;0,"0",'Water-Meter'!AG35)</f>
        <v>0</v>
      </c>
      <c r="V31" s="325">
        <f>IF('Water-Meter'!AJ35&lt;0,"0",'Water-Meter'!AJ35)</f>
        <v>0</v>
      </c>
      <c r="W31" s="31">
        <f>'Water-Meter'!AN35</f>
        <v>0</v>
      </c>
      <c r="X31" s="645">
        <f>Total!K31</f>
        <v>0</v>
      </c>
    </row>
    <row r="32" spans="1:24">
      <c r="A32" s="622" t="s">
        <v>286</v>
      </c>
      <c r="B32" s="619">
        <v>2</v>
      </c>
      <c r="C32" s="631">
        <v>3</v>
      </c>
      <c r="D32" s="632">
        <v>2020</v>
      </c>
      <c r="E32" s="620">
        <f>'UTILITY REPORT 1'!I33</f>
        <v>0</v>
      </c>
      <c r="F32" s="620">
        <f>'UTILITY REPORT 1'!E33</f>
        <v>0</v>
      </c>
      <c r="G32" s="621">
        <f>'UTILITY REPORT 1'!F33</f>
        <v>0</v>
      </c>
      <c r="H32" s="620">
        <f>IF('Kit report'!F34&lt;0,"0",'Kit report'!F34)</f>
        <v>0</v>
      </c>
      <c r="I32" s="620">
        <f>IF('Kit report'!X34&lt;0,"0",'Kit report'!X34)</f>
        <v>0</v>
      </c>
      <c r="J32" s="620">
        <f>IF('Utility summery'!H36&lt;0,"0",'Utility summery'!H36)</f>
        <v>0</v>
      </c>
      <c r="K32" s="621">
        <f>IF('UTILITY REPORT 1'!H33&lt;0,"0",'UTILITY REPORT 1'!H33)</f>
        <v>0</v>
      </c>
      <c r="L32" s="620">
        <f>'Water-Meter'!K36</f>
        <v>0</v>
      </c>
      <c r="M32" s="621">
        <f>'Water-Meter'!H36</f>
        <v>0</v>
      </c>
      <c r="N32" s="621">
        <f>'Water-Meter'!Q36</f>
        <v>0</v>
      </c>
      <c r="O32" s="325"/>
      <c r="P32" s="633">
        <f>'Water-Meter'!E36</f>
        <v>0</v>
      </c>
      <c r="Q32" s="325">
        <f>IF('Water-Meter'!U36&lt;0,"0",'Water-Meter'!U36)</f>
        <v>0</v>
      </c>
      <c r="R32" s="325">
        <f>IF('Water-Meter'!X36&lt;0,"0",'Water-Meter'!X36)</f>
        <v>0</v>
      </c>
      <c r="S32" s="325">
        <f>IF('Water-Meter'!AA36&lt;0,"0",'Water-Meter'!AA36)</f>
        <v>0</v>
      </c>
      <c r="T32" s="325">
        <f>IF('Water-Meter'!AD36&lt;0,"0",'Water-Meter'!AD36)</f>
        <v>0</v>
      </c>
      <c r="U32" s="325">
        <f>IF('Water-Meter'!AG36&lt;0,"0",'Water-Meter'!AG36)</f>
        <v>0</v>
      </c>
      <c r="V32" s="325">
        <f>IF('Water-Meter'!AJ36&lt;0,"0",'Water-Meter'!AJ36)</f>
        <v>0</v>
      </c>
      <c r="W32" s="31">
        <f>'Water-Meter'!AN36</f>
        <v>0</v>
      </c>
      <c r="X32" s="645">
        <f>Total!K32</f>
        <v>0</v>
      </c>
    </row>
    <row r="33" spans="1:24" ht="13.5" thickBot="1">
      <c r="A33" s="623"/>
      <c r="B33" s="624"/>
      <c r="C33" s="624"/>
      <c r="D33" s="625"/>
      <c r="E33" s="626"/>
      <c r="F33" s="626"/>
      <c r="G33" s="627"/>
      <c r="H33" s="626"/>
      <c r="I33" s="626"/>
      <c r="J33" s="626"/>
      <c r="K33" s="627"/>
      <c r="L33" s="626"/>
      <c r="M33" s="627"/>
      <c r="N33" s="627"/>
      <c r="O33" s="628"/>
      <c r="P33" s="628"/>
      <c r="Q33" s="628"/>
      <c r="R33" s="628"/>
      <c r="S33" s="628"/>
      <c r="T33" s="628"/>
      <c r="U33" s="628"/>
      <c r="V33" s="628"/>
      <c r="W33" s="643"/>
      <c r="X33" s="629"/>
    </row>
    <row r="34" spans="1:24">
      <c r="E34" s="556"/>
      <c r="F34" s="556"/>
      <c r="H34" s="556"/>
      <c r="I34" s="556"/>
      <c r="J34" s="556"/>
      <c r="L34" s="556"/>
    </row>
    <row r="35" spans="1:24">
      <c r="E35" s="556"/>
      <c r="F35" s="556"/>
      <c r="H35" s="556"/>
      <c r="I35" s="556"/>
      <c r="J35" s="556"/>
      <c r="L35" s="556"/>
    </row>
    <row r="36" spans="1:24">
      <c r="E36" s="556"/>
      <c r="F36" s="556"/>
      <c r="H36" s="556"/>
      <c r="I36" s="556"/>
      <c r="J36" s="556"/>
      <c r="L36" s="556"/>
    </row>
    <row r="37" spans="1:24">
      <c r="E37" s="556"/>
      <c r="F37" s="556"/>
      <c r="H37" s="556"/>
      <c r="I37" s="556"/>
      <c r="J37" s="556"/>
      <c r="L37" s="556"/>
    </row>
    <row r="38" spans="1:24">
      <c r="E38" s="556"/>
      <c r="F38" s="556"/>
      <c r="H38" s="556"/>
      <c r="I38" s="556"/>
      <c r="J38" s="556"/>
      <c r="L38" s="556"/>
    </row>
    <row r="39" spans="1:24">
      <c r="E39" s="556"/>
      <c r="F39" s="556"/>
      <c r="H39" s="556"/>
      <c r="I39" s="556"/>
      <c r="J39" s="556"/>
      <c r="L39" s="5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55" t="s">
        <v>307</v>
      </c>
      <c r="B1" s="755"/>
      <c r="C1" s="755"/>
      <c r="D1" s="755"/>
      <c r="E1" s="755"/>
      <c r="F1" s="755"/>
      <c r="G1" s="755"/>
      <c r="H1" s="755"/>
    </row>
    <row r="2" spans="1:9" ht="48" customHeight="1" thickBot="1">
      <c r="A2" s="324" t="s">
        <v>0</v>
      </c>
      <c r="B2" s="142" t="s">
        <v>1</v>
      </c>
      <c r="C2" s="541" t="s">
        <v>271</v>
      </c>
      <c r="D2" s="375" t="s">
        <v>272</v>
      </c>
      <c r="E2" s="539" t="s">
        <v>270</v>
      </c>
      <c r="F2" s="375" t="s">
        <v>267</v>
      </c>
      <c r="G2" s="375" t="s">
        <v>268</v>
      </c>
      <c r="H2" s="541" t="s">
        <v>269</v>
      </c>
      <c r="I2" s="375" t="s">
        <v>273</v>
      </c>
    </row>
    <row r="3" spans="1:9" ht="13.5">
      <c r="A3" s="540">
        <v>43862</v>
      </c>
      <c r="B3" s="542">
        <f>Gen!B11</f>
        <v>0.23380000000000001</v>
      </c>
      <c r="C3" s="543">
        <f>'Summery Report'!E5</f>
        <v>18</v>
      </c>
      <c r="D3" s="544">
        <v>1</v>
      </c>
      <c r="E3" s="543">
        <f>Gen!S11</f>
        <v>1824.75</v>
      </c>
      <c r="F3" s="543">
        <f>Gen!T11</f>
        <v>4580</v>
      </c>
      <c r="G3" s="543">
        <f>'Water-Meter'!E6</f>
        <v>113</v>
      </c>
      <c r="H3" s="543">
        <f>'Utility report '!AC6</f>
        <v>115</v>
      </c>
      <c r="I3" s="543">
        <f>Gen!AJ11</f>
        <v>83.21</v>
      </c>
    </row>
    <row r="4" spans="1:9" ht="13.5">
      <c r="A4" s="540">
        <v>43863</v>
      </c>
      <c r="B4" s="542">
        <f>Gen!B12</f>
        <v>0.23400000000000001</v>
      </c>
      <c r="C4" s="543">
        <f>'Summery Report'!E6</f>
        <v>18</v>
      </c>
      <c r="D4" s="544">
        <v>1</v>
      </c>
      <c r="E4" s="543">
        <f>Gen!S12</f>
        <v>1802.8500000000001</v>
      </c>
      <c r="F4" s="543">
        <f>Gen!T12</f>
        <v>4303</v>
      </c>
      <c r="G4" s="543">
        <f>'Water-Meter'!E7</f>
        <v>97</v>
      </c>
      <c r="H4" s="543">
        <f>'Utility report '!AC7</f>
        <v>101</v>
      </c>
      <c r="I4" s="543">
        <f>Gen!AJ12</f>
        <v>130.38999999999999</v>
      </c>
    </row>
    <row r="5" spans="1:9" ht="13.5">
      <c r="A5" s="540">
        <v>43864</v>
      </c>
      <c r="B5" s="542">
        <f>Gen!B13</f>
        <v>0.104</v>
      </c>
      <c r="C5" s="543">
        <f>'Summery Report'!E7</f>
        <v>8</v>
      </c>
      <c r="D5" s="544">
        <v>1</v>
      </c>
      <c r="E5" s="543">
        <f>Gen!S13</f>
        <v>1920.92</v>
      </c>
      <c r="F5" s="543">
        <f>Gen!T13</f>
        <v>4514</v>
      </c>
      <c r="G5" s="543">
        <f>'Water-Meter'!E8</f>
        <v>107</v>
      </c>
      <c r="H5" s="543">
        <f>'Utility report '!AC8</f>
        <v>81</v>
      </c>
      <c r="I5" s="543">
        <f>Gen!AJ13</f>
        <v>178.75</v>
      </c>
    </row>
    <row r="6" spans="1:9" ht="13.5">
      <c r="A6" s="540">
        <v>43865</v>
      </c>
      <c r="B6" s="542">
        <f>Gen!B14</f>
        <v>1</v>
      </c>
      <c r="C6" s="543">
        <f>'Summery Report'!E8</f>
        <v>77</v>
      </c>
      <c r="D6" s="544">
        <v>1</v>
      </c>
      <c r="E6" s="543">
        <f>Gen!S14</f>
        <v>2359.12</v>
      </c>
      <c r="F6" s="543">
        <f>Gen!T14</f>
        <v>5690</v>
      </c>
      <c r="G6" s="543">
        <f>'Water-Meter'!E9</f>
        <v>139</v>
      </c>
      <c r="H6" s="543">
        <f>'Utility report '!AC9</f>
        <v>100</v>
      </c>
      <c r="I6" s="543">
        <f>Gen!AJ14</f>
        <v>89.65</v>
      </c>
    </row>
    <row r="7" spans="1:9" ht="13.5">
      <c r="A7" s="540">
        <v>43866</v>
      </c>
      <c r="B7" s="542">
        <f>Gen!B15</f>
        <v>1</v>
      </c>
      <c r="C7" s="543">
        <f>'Summery Report'!E9</f>
        <v>77</v>
      </c>
      <c r="D7" s="544">
        <v>1</v>
      </c>
      <c r="E7" s="543">
        <f>Gen!S15</f>
        <v>2256.73</v>
      </c>
      <c r="F7" s="543">
        <f>Gen!T15</f>
        <v>5866</v>
      </c>
      <c r="G7" s="543">
        <f>'Water-Meter'!E10</f>
        <v>141</v>
      </c>
      <c r="H7" s="543">
        <f>'Utility report '!AC10</f>
        <v>98</v>
      </c>
      <c r="I7" s="543">
        <f>Gen!AJ15</f>
        <v>129.26999999999998</v>
      </c>
    </row>
    <row r="8" spans="1:9" ht="13.5">
      <c r="A8" s="540">
        <v>43867</v>
      </c>
      <c r="B8" s="542">
        <f>Gen!B16</f>
        <v>1</v>
      </c>
      <c r="C8" s="543">
        <f>'Summery Report'!E10</f>
        <v>77</v>
      </c>
      <c r="D8" s="544">
        <v>1</v>
      </c>
      <c r="E8" s="543">
        <f>Gen!S16</f>
        <v>2491.5099999999998</v>
      </c>
      <c r="F8" s="543">
        <f>Gen!T16</f>
        <v>5875</v>
      </c>
      <c r="G8" s="543">
        <f>'Water-Meter'!E11</f>
        <v>129</v>
      </c>
      <c r="H8" s="543">
        <f>'Utility report '!AC11</f>
        <v>83</v>
      </c>
      <c r="I8" s="543">
        <f>Gen!AJ16</f>
        <v>187.64</v>
      </c>
    </row>
    <row r="9" spans="1:9" ht="13.5">
      <c r="A9" s="540">
        <v>43868</v>
      </c>
      <c r="B9" s="542">
        <f>Gen!B17</f>
        <v>1</v>
      </c>
      <c r="C9" s="543">
        <f>'Summery Report'!E11</f>
        <v>77</v>
      </c>
      <c r="D9" s="544">
        <v>1</v>
      </c>
      <c r="E9" s="543">
        <f>Gen!S17</f>
        <v>2244.7399999999998</v>
      </c>
      <c r="F9" s="543">
        <f>Gen!T17</f>
        <v>5952</v>
      </c>
      <c r="G9" s="543">
        <f>'Water-Meter'!E12</f>
        <v>129</v>
      </c>
      <c r="H9" s="543">
        <f>'Utility report '!AC12</f>
        <v>103</v>
      </c>
      <c r="I9" s="543">
        <f>Gen!AJ17</f>
        <v>203.15</v>
      </c>
    </row>
    <row r="10" spans="1:9" ht="13.5">
      <c r="A10" s="540">
        <v>43869</v>
      </c>
      <c r="B10" s="542">
        <f>Gen!B18</f>
        <v>0.1429</v>
      </c>
      <c r="C10" s="543">
        <f>'Summery Report'!E12</f>
        <v>13</v>
      </c>
      <c r="D10" s="544">
        <v>1</v>
      </c>
      <c r="E10" s="543">
        <f>Gen!S18</f>
        <v>2569.4499999999998</v>
      </c>
      <c r="F10" s="543">
        <f>Gen!T18</f>
        <v>5988</v>
      </c>
      <c r="G10" s="543">
        <f>'Water-Meter'!E13</f>
        <v>128</v>
      </c>
      <c r="H10" s="543">
        <f>'Utility report '!AC13</f>
        <v>105</v>
      </c>
      <c r="I10" s="543">
        <f>Gen!AJ18</f>
        <v>56.74</v>
      </c>
    </row>
    <row r="11" spans="1:9" ht="13.5">
      <c r="A11" s="540">
        <v>43870</v>
      </c>
      <c r="B11" s="542">
        <f>Gen!B19</f>
        <v>0.19500000000000001</v>
      </c>
      <c r="C11" s="543">
        <f>'Summery Report'!E13</f>
        <v>16</v>
      </c>
      <c r="D11" s="544">
        <v>1</v>
      </c>
      <c r="E11" s="543">
        <f>Gen!S19</f>
        <v>2039.82</v>
      </c>
      <c r="F11" s="543">
        <f>Gen!T19</f>
        <v>5209</v>
      </c>
      <c r="G11" s="543">
        <f>'Water-Meter'!E14</f>
        <v>96</v>
      </c>
      <c r="H11" s="543">
        <f>'Utility report '!AC14</f>
        <v>136</v>
      </c>
      <c r="I11" s="543">
        <f>Gen!AJ19</f>
        <v>162.68</v>
      </c>
    </row>
    <row r="12" spans="1:9" ht="13.5">
      <c r="A12" s="540">
        <v>43871</v>
      </c>
      <c r="B12" s="542">
        <f>Gen!B20</f>
        <v>0.18179999999999999</v>
      </c>
      <c r="C12" s="543">
        <f>'Summery Report'!E14</f>
        <v>15</v>
      </c>
      <c r="D12" s="544">
        <v>1</v>
      </c>
      <c r="E12" s="543">
        <f>Gen!S20</f>
        <v>0</v>
      </c>
      <c r="F12" s="543">
        <f>Gen!T20</f>
        <v>0</v>
      </c>
      <c r="G12" s="543" t="str">
        <f>'Water-Meter'!E15</f>
        <v>0</v>
      </c>
      <c r="H12" s="543">
        <f>'Utility report '!AC15</f>
        <v>121</v>
      </c>
      <c r="I12" s="543">
        <f>Gen!AJ20</f>
        <v>0</v>
      </c>
    </row>
    <row r="13" spans="1:9" ht="13.5">
      <c r="A13" s="540">
        <v>43872</v>
      </c>
      <c r="B13" s="542">
        <f>Gen!B21</f>
        <v>0</v>
      </c>
      <c r="C13" s="543">
        <f>'Summery Report'!E15</f>
        <v>0</v>
      </c>
      <c r="D13" s="544">
        <v>1</v>
      </c>
      <c r="E13" s="543">
        <f>Gen!S21</f>
        <v>0</v>
      </c>
      <c r="F13" s="543">
        <f>Gen!T21</f>
        <v>0</v>
      </c>
      <c r="G13" s="543">
        <f>'Water-Meter'!E16</f>
        <v>0</v>
      </c>
      <c r="H13" s="543">
        <f>'Utility report '!AC16</f>
        <v>-24878</v>
      </c>
      <c r="I13" s="543">
        <f>Gen!AJ21</f>
        <v>0</v>
      </c>
    </row>
    <row r="14" spans="1:9" ht="13.5">
      <c r="A14" s="540">
        <v>43873</v>
      </c>
      <c r="B14" s="542">
        <f>Gen!B22</f>
        <v>0</v>
      </c>
      <c r="C14" s="543">
        <f>'Summery Report'!E16</f>
        <v>0</v>
      </c>
      <c r="D14" s="544">
        <v>1</v>
      </c>
      <c r="E14" s="543">
        <f>Gen!S22</f>
        <v>0</v>
      </c>
      <c r="F14" s="543">
        <f>Gen!T22</f>
        <v>0</v>
      </c>
      <c r="G14" s="543">
        <f>'Water-Meter'!E17</f>
        <v>0</v>
      </c>
      <c r="H14" s="543">
        <f>'Utility report '!AC17</f>
        <v>0</v>
      </c>
      <c r="I14" s="543">
        <f>Gen!AJ22</f>
        <v>0</v>
      </c>
    </row>
    <row r="15" spans="1:9" ht="13.5">
      <c r="A15" s="540">
        <v>43874</v>
      </c>
      <c r="B15" s="542">
        <f>Gen!B23</f>
        <v>0</v>
      </c>
      <c r="C15" s="543">
        <f>'Summery Report'!E17</f>
        <v>0</v>
      </c>
      <c r="D15" s="544">
        <v>1</v>
      </c>
      <c r="E15" s="543">
        <f>Gen!S23</f>
        <v>0</v>
      </c>
      <c r="F15" s="543">
        <f>Gen!T23</f>
        <v>0</v>
      </c>
      <c r="G15" s="543">
        <f>'Water-Meter'!E18</f>
        <v>0</v>
      </c>
      <c r="H15" s="543">
        <f>'Utility report '!AC18</f>
        <v>0</v>
      </c>
      <c r="I15" s="543">
        <f>Gen!AJ23</f>
        <v>0</v>
      </c>
    </row>
    <row r="16" spans="1:9" ht="13.5">
      <c r="A16" s="540">
        <v>43875</v>
      </c>
      <c r="B16" s="542">
        <f>Gen!B24</f>
        <v>0</v>
      </c>
      <c r="C16" s="543">
        <f>'Summery Report'!E18</f>
        <v>0</v>
      </c>
      <c r="D16" s="544">
        <v>1</v>
      </c>
      <c r="E16" s="543">
        <f>Gen!S24</f>
        <v>0</v>
      </c>
      <c r="F16" s="543">
        <f>Gen!T24</f>
        <v>0</v>
      </c>
      <c r="G16" s="543">
        <f>'Water-Meter'!E19</f>
        <v>0</v>
      </c>
      <c r="H16" s="543">
        <f>'Utility report '!AC19</f>
        <v>0</v>
      </c>
      <c r="I16" s="543">
        <f>Gen!AJ24</f>
        <v>0</v>
      </c>
    </row>
    <row r="17" spans="1:9" ht="13.5">
      <c r="A17" s="540">
        <v>43876</v>
      </c>
      <c r="B17" s="542">
        <f>Gen!B25</f>
        <v>0</v>
      </c>
      <c r="C17" s="543">
        <f>'Summery Report'!E19</f>
        <v>0</v>
      </c>
      <c r="D17" s="544">
        <v>1</v>
      </c>
      <c r="E17" s="543">
        <f>Gen!S25</f>
        <v>0</v>
      </c>
      <c r="F17" s="543">
        <f>Gen!T25</f>
        <v>0</v>
      </c>
      <c r="G17" s="543">
        <f>'Water-Meter'!E20</f>
        <v>0</v>
      </c>
      <c r="H17" s="543">
        <f>'Utility report '!AC20</f>
        <v>0</v>
      </c>
      <c r="I17" s="543">
        <f>Gen!AJ25</f>
        <v>0</v>
      </c>
    </row>
    <row r="18" spans="1:9" ht="13.5">
      <c r="A18" s="540">
        <v>43877</v>
      </c>
      <c r="B18" s="542">
        <f>Gen!B26</f>
        <v>0</v>
      </c>
      <c r="C18" s="543">
        <f>'Summery Report'!E20</f>
        <v>0</v>
      </c>
      <c r="D18" s="544">
        <v>1</v>
      </c>
      <c r="E18" s="543">
        <f>Gen!S26</f>
        <v>0</v>
      </c>
      <c r="F18" s="543">
        <f>Gen!T26</f>
        <v>0</v>
      </c>
      <c r="G18" s="543">
        <f>'Water-Meter'!E21</f>
        <v>0</v>
      </c>
      <c r="H18" s="543">
        <f>'Utility report '!AC21</f>
        <v>0</v>
      </c>
      <c r="I18" s="543">
        <f>Gen!AJ26</f>
        <v>0</v>
      </c>
    </row>
    <row r="19" spans="1:9" ht="13.5">
      <c r="A19" s="540">
        <v>43878</v>
      </c>
      <c r="B19" s="542">
        <f>Gen!B27</f>
        <v>0</v>
      </c>
      <c r="C19" s="543">
        <f>'Summery Report'!E21</f>
        <v>0</v>
      </c>
      <c r="D19" s="544">
        <v>1</v>
      </c>
      <c r="E19" s="543">
        <f>Gen!S27</f>
        <v>0</v>
      </c>
      <c r="F19" s="543">
        <f>Gen!T27</f>
        <v>0</v>
      </c>
      <c r="G19" s="543">
        <f>'Water-Meter'!E22</f>
        <v>0</v>
      </c>
      <c r="H19" s="543">
        <f>'Utility report '!AC22</f>
        <v>0</v>
      </c>
      <c r="I19" s="543">
        <f>Gen!AJ27</f>
        <v>0</v>
      </c>
    </row>
    <row r="20" spans="1:9" ht="13.5">
      <c r="A20" s="540">
        <v>43879</v>
      </c>
      <c r="B20" s="542">
        <f>Gen!B28</f>
        <v>0</v>
      </c>
      <c r="C20" s="543">
        <f>'Summery Report'!E22</f>
        <v>0</v>
      </c>
      <c r="D20" s="544">
        <v>1</v>
      </c>
      <c r="E20" s="543">
        <f>Gen!S28</f>
        <v>0</v>
      </c>
      <c r="F20" s="543">
        <f>Gen!T28</f>
        <v>0</v>
      </c>
      <c r="G20" s="543">
        <f>'Water-Meter'!E23</f>
        <v>0</v>
      </c>
      <c r="H20" s="543">
        <f>'Utility report '!AC23</f>
        <v>0</v>
      </c>
      <c r="I20" s="543">
        <f>Gen!AJ28</f>
        <v>0</v>
      </c>
    </row>
    <row r="21" spans="1:9" ht="13.5">
      <c r="A21" s="540">
        <v>43880</v>
      </c>
      <c r="B21" s="542">
        <f>Gen!B29</f>
        <v>0</v>
      </c>
      <c r="C21" s="543">
        <f>'Summery Report'!E23</f>
        <v>0</v>
      </c>
      <c r="D21" s="544">
        <v>1</v>
      </c>
      <c r="E21" s="543">
        <f>Gen!S29</f>
        <v>0</v>
      </c>
      <c r="F21" s="543">
        <f>Gen!T29</f>
        <v>0</v>
      </c>
      <c r="G21" s="543">
        <f>'Water-Meter'!E24</f>
        <v>0</v>
      </c>
      <c r="H21" s="543">
        <f>'Utility report '!AC24</f>
        <v>0</v>
      </c>
      <c r="I21" s="543">
        <f>Gen!AJ29</f>
        <v>0</v>
      </c>
    </row>
    <row r="22" spans="1:9" ht="13.5">
      <c r="A22" s="540">
        <v>43881</v>
      </c>
      <c r="B22" s="542">
        <f>Gen!B30</f>
        <v>0</v>
      </c>
      <c r="C22" s="543">
        <f>'Summery Report'!E24</f>
        <v>0</v>
      </c>
      <c r="D22" s="544">
        <v>1</v>
      </c>
      <c r="E22" s="543">
        <f>Gen!S30</f>
        <v>0</v>
      </c>
      <c r="F22" s="543">
        <f>Gen!T30</f>
        <v>0</v>
      </c>
      <c r="G22" s="543">
        <f>'Water-Meter'!E25</f>
        <v>0</v>
      </c>
      <c r="H22" s="543">
        <f>'Utility report '!AC25</f>
        <v>0</v>
      </c>
      <c r="I22" s="543">
        <f>Gen!AJ30</f>
        <v>0</v>
      </c>
    </row>
    <row r="23" spans="1:9" ht="13.5">
      <c r="A23" s="540">
        <v>43882</v>
      </c>
      <c r="B23" s="542">
        <f>Gen!B31</f>
        <v>0</v>
      </c>
      <c r="C23" s="543">
        <f>'Summery Report'!E25</f>
        <v>0</v>
      </c>
      <c r="D23" s="544">
        <v>1</v>
      </c>
      <c r="E23" s="543">
        <f>Gen!S31</f>
        <v>0</v>
      </c>
      <c r="F23" s="543">
        <f>Gen!T31</f>
        <v>0</v>
      </c>
      <c r="G23" s="543">
        <f>'Water-Meter'!E26</f>
        <v>0</v>
      </c>
      <c r="H23" s="543">
        <f>'Utility report '!AC26</f>
        <v>0</v>
      </c>
      <c r="I23" s="543">
        <f>Gen!AJ31</f>
        <v>0</v>
      </c>
    </row>
    <row r="24" spans="1:9" ht="13.5">
      <c r="A24" s="540">
        <v>43883</v>
      </c>
      <c r="B24" s="542">
        <f>Gen!B32</f>
        <v>0</v>
      </c>
      <c r="C24" s="543">
        <f>'Summery Report'!E26</f>
        <v>0</v>
      </c>
      <c r="D24" s="544">
        <v>1</v>
      </c>
      <c r="E24" s="543">
        <f>Gen!S32</f>
        <v>0</v>
      </c>
      <c r="F24" s="543">
        <f>Gen!T32</f>
        <v>0</v>
      </c>
      <c r="G24" s="543">
        <f>'Water-Meter'!E27</f>
        <v>0</v>
      </c>
      <c r="H24" s="543">
        <f>'Utility report '!AC27</f>
        <v>0</v>
      </c>
      <c r="I24" s="543">
        <f>Gen!AJ32</f>
        <v>0</v>
      </c>
    </row>
    <row r="25" spans="1:9" ht="13.5">
      <c r="A25" s="540">
        <v>43884</v>
      </c>
      <c r="B25" s="542">
        <f>Gen!B33</f>
        <v>0</v>
      </c>
      <c r="C25" s="543">
        <f>'Summery Report'!E27</f>
        <v>0</v>
      </c>
      <c r="D25" s="544">
        <v>1</v>
      </c>
      <c r="E25" s="543">
        <f>Gen!S33</f>
        <v>0</v>
      </c>
      <c r="F25" s="543">
        <f>Gen!T33</f>
        <v>0</v>
      </c>
      <c r="G25" s="543">
        <f>'Water-Meter'!E28</f>
        <v>0</v>
      </c>
      <c r="H25" s="543">
        <f>'Utility report '!AC28</f>
        <v>0</v>
      </c>
      <c r="I25" s="543">
        <f>Gen!AJ33</f>
        <v>0</v>
      </c>
    </row>
    <row r="26" spans="1:9" ht="13.5">
      <c r="A26" s="540">
        <v>43885</v>
      </c>
      <c r="B26" s="542">
        <f>Gen!B34</f>
        <v>0</v>
      </c>
      <c r="C26" s="543">
        <f>'Summery Report'!E28</f>
        <v>0</v>
      </c>
      <c r="D26" s="544">
        <v>1</v>
      </c>
      <c r="E26" s="543">
        <f>Gen!S34</f>
        <v>0</v>
      </c>
      <c r="F26" s="543">
        <f>Gen!T34</f>
        <v>0</v>
      </c>
      <c r="G26" s="543">
        <f>'Water-Meter'!E29</f>
        <v>0</v>
      </c>
      <c r="H26" s="543">
        <f>'Utility report '!AC29</f>
        <v>0</v>
      </c>
      <c r="I26" s="543">
        <f>Gen!AJ34</f>
        <v>0</v>
      </c>
    </row>
    <row r="27" spans="1:9" ht="13.5">
      <c r="A27" s="540">
        <v>43886</v>
      </c>
      <c r="B27" s="542">
        <f>Gen!B35</f>
        <v>0</v>
      </c>
      <c r="C27" s="543">
        <f>'Summery Report'!E29</f>
        <v>0</v>
      </c>
      <c r="D27" s="544">
        <v>1</v>
      </c>
      <c r="E27" s="543">
        <f>Gen!S35</f>
        <v>0</v>
      </c>
      <c r="F27" s="543">
        <f>Gen!T35</f>
        <v>0</v>
      </c>
      <c r="G27" s="543">
        <f>'Water-Meter'!E30</f>
        <v>0</v>
      </c>
      <c r="H27" s="543">
        <f>'Utility report '!AC30</f>
        <v>0</v>
      </c>
      <c r="I27" s="543">
        <f>Gen!AJ35</f>
        <v>0</v>
      </c>
    </row>
    <row r="28" spans="1:9" ht="13.5">
      <c r="A28" s="540">
        <v>43887</v>
      </c>
      <c r="B28" s="542">
        <f>Gen!B36</f>
        <v>0</v>
      </c>
      <c r="C28" s="543">
        <f>'Summery Report'!E30</f>
        <v>0</v>
      </c>
      <c r="D28" s="544">
        <v>1</v>
      </c>
      <c r="E28" s="543">
        <f>Gen!S36</f>
        <v>0</v>
      </c>
      <c r="F28" s="543">
        <f>Gen!T36</f>
        <v>0</v>
      </c>
      <c r="G28" s="543">
        <f>'Water-Meter'!E31</f>
        <v>0</v>
      </c>
      <c r="H28" s="543">
        <f>'Utility report '!AC31</f>
        <v>0</v>
      </c>
      <c r="I28" s="543">
        <f>Gen!AJ36</f>
        <v>0</v>
      </c>
    </row>
    <row r="29" spans="1:9" ht="13.5">
      <c r="A29" s="540">
        <v>43888</v>
      </c>
      <c r="B29" s="542">
        <f>Gen!B37</f>
        <v>0</v>
      </c>
      <c r="C29" s="543">
        <f>'Summery Report'!E31</f>
        <v>0</v>
      </c>
      <c r="D29" s="544">
        <v>1</v>
      </c>
      <c r="E29" s="543">
        <f>Gen!S37</f>
        <v>0</v>
      </c>
      <c r="F29" s="543">
        <f>Gen!T37</f>
        <v>0</v>
      </c>
      <c r="G29" s="543">
        <f>'Water-Meter'!E32</f>
        <v>0</v>
      </c>
      <c r="H29" s="543">
        <f>'Utility report '!AC32</f>
        <v>0</v>
      </c>
      <c r="I29" s="543">
        <f>Gen!AJ37</f>
        <v>0</v>
      </c>
    </row>
    <row r="30" spans="1:9" ht="13.5">
      <c r="A30" s="540">
        <v>43889</v>
      </c>
      <c r="B30" s="542">
        <f>Gen!B38</f>
        <v>0</v>
      </c>
      <c r="C30" s="543">
        <f>'Summery Report'!E32</f>
        <v>0</v>
      </c>
      <c r="D30" s="544">
        <v>1</v>
      </c>
      <c r="E30" s="543">
        <f>Gen!S38</f>
        <v>0</v>
      </c>
      <c r="F30" s="543">
        <f>Gen!T38</f>
        <v>0</v>
      </c>
      <c r="G30" s="543">
        <f>'Water-Meter'!E33</f>
        <v>0</v>
      </c>
      <c r="H30" s="543">
        <f>'Utility report '!AC33</f>
        <v>0</v>
      </c>
      <c r="I30" s="543">
        <f>Gen!AJ38</f>
        <v>0</v>
      </c>
    </row>
    <row r="31" spans="1:9" ht="13.5">
      <c r="A31" s="540">
        <v>43890</v>
      </c>
      <c r="B31" s="542">
        <f>Gen!B39</f>
        <v>0</v>
      </c>
      <c r="C31" s="543">
        <f>'Summery Report'!E33</f>
        <v>0</v>
      </c>
      <c r="D31" s="544">
        <v>1</v>
      </c>
      <c r="E31" s="543">
        <f>Gen!S39</f>
        <v>0</v>
      </c>
      <c r="F31" s="543">
        <f>Gen!T39</f>
        <v>0</v>
      </c>
      <c r="G31" s="543">
        <f>'Water-Meter'!E34</f>
        <v>0</v>
      </c>
      <c r="H31" s="543">
        <f>'Utility report '!AC34</f>
        <v>0</v>
      </c>
      <c r="I31" s="543">
        <f>Gen!AJ39</f>
        <v>0</v>
      </c>
    </row>
    <row r="32" spans="1:9" ht="13.5">
      <c r="A32" s="540">
        <v>43891</v>
      </c>
      <c r="B32" s="542">
        <f>Gen!B40</f>
        <v>0</v>
      </c>
      <c r="C32" s="543">
        <f>'Summery Report'!E34</f>
        <v>0</v>
      </c>
      <c r="D32" s="544">
        <v>1</v>
      </c>
      <c r="E32" s="543">
        <f>Gen!S40</f>
        <v>0</v>
      </c>
      <c r="F32" s="543">
        <f>Gen!T40</f>
        <v>0</v>
      </c>
      <c r="G32" s="543">
        <f>'Water-Meter'!E35</f>
        <v>0</v>
      </c>
      <c r="H32" s="543">
        <f>'Utility report '!AC35</f>
        <v>0</v>
      </c>
      <c r="I32" s="543">
        <f>Gen!AJ40</f>
        <v>0</v>
      </c>
    </row>
    <row r="33" spans="1:9" ht="13.5">
      <c r="A33" s="540">
        <v>43892</v>
      </c>
      <c r="B33" s="542">
        <f>Gen!B41</f>
        <v>0</v>
      </c>
      <c r="C33" s="543">
        <f>'Summery Report'!E35</f>
        <v>0</v>
      </c>
      <c r="D33" s="544">
        <v>1</v>
      </c>
      <c r="E33" s="543">
        <f>Gen!S41</f>
        <v>0</v>
      </c>
      <c r="F33" s="543">
        <f>Gen!T41</f>
        <v>0</v>
      </c>
      <c r="G33" s="543">
        <f>'Water-Meter'!E36</f>
        <v>0</v>
      </c>
      <c r="H33" s="543">
        <f>'Utility report '!AC36</f>
        <v>0</v>
      </c>
      <c r="I33" s="543">
        <f>Gen!AJ41</f>
        <v>0</v>
      </c>
    </row>
    <row r="34" spans="1:9" ht="13.5">
      <c r="A34" s="540">
        <v>43893</v>
      </c>
      <c r="B34" s="542">
        <f>Gen!B42</f>
        <v>0</v>
      </c>
      <c r="C34" s="543">
        <f>'Summery Report'!E36</f>
        <v>0</v>
      </c>
      <c r="D34" s="544">
        <v>2</v>
      </c>
      <c r="E34" s="543">
        <f>Gen!S42</f>
        <v>0</v>
      </c>
      <c r="F34" s="543">
        <f>Gen!T42</f>
        <v>0</v>
      </c>
      <c r="G34" s="543">
        <f>'Water-Meter'!E37</f>
        <v>0</v>
      </c>
      <c r="H34" s="543">
        <f>'Utility report '!AC37</f>
        <v>0</v>
      </c>
      <c r="I34" s="543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V27" sqref="V27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09" t="s">
        <v>0</v>
      </c>
      <c r="B4" s="610" t="s">
        <v>142</v>
      </c>
      <c r="C4" s="611" t="s">
        <v>250</v>
      </c>
      <c r="D4" s="756" t="s">
        <v>136</v>
      </c>
      <c r="E4" s="756"/>
      <c r="F4" s="756"/>
      <c r="G4" s="757" t="s">
        <v>20</v>
      </c>
      <c r="H4" s="757"/>
      <c r="I4" s="757"/>
      <c r="J4" s="758" t="s">
        <v>55</v>
      </c>
      <c r="K4" s="758"/>
      <c r="L4" s="758"/>
      <c r="M4" s="758"/>
      <c r="N4" s="759" t="s">
        <v>144</v>
      </c>
      <c r="O4" s="759"/>
      <c r="P4" s="759"/>
      <c r="Q4" s="61"/>
      <c r="R4" s="61"/>
      <c r="S4" s="62"/>
    </row>
    <row r="5" spans="1:19" ht="25.5">
      <c r="A5" s="612"/>
      <c r="B5" s="357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13" t="s">
        <v>150</v>
      </c>
    </row>
    <row r="6" spans="1:19" ht="14.25">
      <c r="A6" s="614">
        <f>Gen!A11</f>
        <v>43862</v>
      </c>
      <c r="B6" s="6">
        <f>'Summery Report'!E5</f>
        <v>18</v>
      </c>
      <c r="C6" s="6">
        <f>Gen!T11</f>
        <v>4580</v>
      </c>
      <c r="D6" s="180">
        <f>Gen!S11</f>
        <v>1824.75</v>
      </c>
      <c r="E6" s="180">
        <f>Gen!AJ11</f>
        <v>83.21</v>
      </c>
      <c r="F6" s="180">
        <f>Gen!AR11</f>
        <v>1907.96</v>
      </c>
      <c r="G6" s="183">
        <f>'Utility report '!AC6</f>
        <v>115</v>
      </c>
      <c r="H6" s="183">
        <f>'Utility report '!AE6</f>
        <v>53</v>
      </c>
      <c r="I6" s="387">
        <f>'Water-Meter'!E6</f>
        <v>113</v>
      </c>
      <c r="J6" s="185">
        <f>'Lpg (2)'!B10</f>
        <v>85</v>
      </c>
      <c r="K6" s="185">
        <f>'Lpg (2)'!C10</f>
        <v>85</v>
      </c>
      <c r="L6" s="185">
        <f>'Lpg (2)'!D10</f>
        <v>18</v>
      </c>
      <c r="M6" s="608">
        <f>'Lpg (2)'!G10</f>
        <v>94.511999999982081</v>
      </c>
      <c r="N6" s="6"/>
      <c r="O6" s="178">
        <f>E6</f>
        <v>83.21</v>
      </c>
      <c r="P6" s="177" t="e">
        <f>'[1]Lpg (2)'!#REF!</f>
        <v>#REF!</v>
      </c>
      <c r="Q6" s="178" t="e">
        <f>'[1]Summery Report'!#REF!</f>
        <v>#REF!</v>
      </c>
      <c r="R6" s="178">
        <f t="shared" ref="R6:R37" si="0">N6/B6</f>
        <v>0</v>
      </c>
      <c r="S6" s="615" t="e">
        <f t="shared" ref="S6:S37" si="1">Q6/B6</f>
        <v>#REF!</v>
      </c>
    </row>
    <row r="7" spans="1:19" ht="14.25">
      <c r="A7" s="614">
        <f>Gen!A12</f>
        <v>43863</v>
      </c>
      <c r="B7" s="6">
        <f>'Summery Report'!E6</f>
        <v>18</v>
      </c>
      <c r="C7" s="6">
        <f>Gen!T12</f>
        <v>4303</v>
      </c>
      <c r="D7" s="180">
        <f>Gen!S12</f>
        <v>1802.8500000000001</v>
      </c>
      <c r="E7" s="180">
        <f>Gen!AJ12</f>
        <v>130.38999999999999</v>
      </c>
      <c r="F7" s="180">
        <f>Gen!AR12</f>
        <v>1933.2400000000002</v>
      </c>
      <c r="G7" s="183">
        <f>'Utility report '!AC7</f>
        <v>101</v>
      </c>
      <c r="H7" s="183">
        <f>'Utility report '!AE7</f>
        <v>63</v>
      </c>
      <c r="I7" s="387">
        <f>'Water-Meter'!E7</f>
        <v>97</v>
      </c>
      <c r="J7" s="185">
        <f>'Lpg (2)'!B11</f>
        <v>85</v>
      </c>
      <c r="K7" s="185">
        <f>'Lpg (2)'!C11</f>
        <v>85</v>
      </c>
      <c r="L7" s="185">
        <f>'Lpg (2)'!D11</f>
        <v>10</v>
      </c>
      <c r="M7" s="608">
        <f>'Lpg (2)'!G11</f>
        <v>104.63199999999489</v>
      </c>
      <c r="N7" s="178">
        <f>D7*1.4</f>
        <v>2523.9900000000002</v>
      </c>
      <c r="O7" s="178">
        <f>E7*1.4</f>
        <v>182.54599999999996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140.22166666666669</v>
      </c>
      <c r="S7" s="615" t="e">
        <f t="shared" si="1"/>
        <v>#REF!</v>
      </c>
    </row>
    <row r="8" spans="1:19" ht="14.25">
      <c r="A8" s="614">
        <f>Gen!A13</f>
        <v>43864</v>
      </c>
      <c r="B8" s="6">
        <f>'Summery Report'!E7</f>
        <v>8</v>
      </c>
      <c r="C8" s="6">
        <f>Gen!T13</f>
        <v>4514</v>
      </c>
      <c r="D8" s="180">
        <f>Gen!S13</f>
        <v>1920.92</v>
      </c>
      <c r="E8" s="180">
        <f>Gen!AJ13</f>
        <v>178.75</v>
      </c>
      <c r="F8" s="180">
        <f>Gen!AR13</f>
        <v>2099.67</v>
      </c>
      <c r="G8" s="183">
        <f>'Utility report '!AC8</f>
        <v>81</v>
      </c>
      <c r="H8" s="183">
        <f>'Utility report '!AE8</f>
        <v>60</v>
      </c>
      <c r="I8" s="387">
        <f>'Water-Meter'!E8</f>
        <v>107</v>
      </c>
      <c r="J8" s="185">
        <f>'Lpg (2)'!B12</f>
        <v>85</v>
      </c>
      <c r="K8" s="185">
        <f>'Lpg (2)'!C12</f>
        <v>85</v>
      </c>
      <c r="L8" s="185">
        <f>'Lpg (2)'!D12</f>
        <v>7</v>
      </c>
      <c r="M8" s="608">
        <f>'Lpg (2)'!G12</f>
        <v>-783.94799999999236</v>
      </c>
      <c r="N8" s="178">
        <f t="shared" ref="N8:O36" si="2">D8*1.4</f>
        <v>2689.288</v>
      </c>
      <c r="O8" s="178">
        <f t="shared" si="2"/>
        <v>250.24999999999997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336.161</v>
      </c>
      <c r="S8" s="615" t="e">
        <f t="shared" si="1"/>
        <v>#REF!</v>
      </c>
    </row>
    <row r="9" spans="1:19" ht="14.25">
      <c r="A9" s="614">
        <f>Gen!A14</f>
        <v>43865</v>
      </c>
      <c r="B9" s="6">
        <f>'Summery Report'!E8</f>
        <v>77</v>
      </c>
      <c r="C9" s="6">
        <f>Gen!T14</f>
        <v>5690</v>
      </c>
      <c r="D9" s="180">
        <f>Gen!S14</f>
        <v>2359.12</v>
      </c>
      <c r="E9" s="180">
        <f>Gen!AJ14</f>
        <v>89.65</v>
      </c>
      <c r="F9" s="180">
        <f>Gen!AR14</f>
        <v>2448.77</v>
      </c>
      <c r="G9" s="183">
        <f>'Utility report '!AC9</f>
        <v>100</v>
      </c>
      <c r="H9" s="183">
        <f>'Utility report '!AE9</f>
        <v>63</v>
      </c>
      <c r="I9" s="387">
        <f>'Water-Meter'!E9</f>
        <v>139</v>
      </c>
      <c r="J9" s="185">
        <f>'Lpg (2)'!B13</f>
        <v>85</v>
      </c>
      <c r="K9" s="185">
        <f>'Lpg (2)'!C13</f>
        <v>85</v>
      </c>
      <c r="L9" s="185">
        <f>'Lpg (2)'!D13</f>
        <v>5</v>
      </c>
      <c r="M9" s="608">
        <f>'Lpg (2)'!G13</f>
        <v>112.72800000004355</v>
      </c>
      <c r="N9" s="178">
        <f t="shared" si="2"/>
        <v>3302.7679999999996</v>
      </c>
      <c r="O9" s="178">
        <f t="shared" si="2"/>
        <v>125.51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42.893090909090901</v>
      </c>
      <c r="S9" s="615" t="e">
        <f t="shared" si="1"/>
        <v>#REF!</v>
      </c>
    </row>
    <row r="10" spans="1:19" ht="14.25">
      <c r="A10" s="614">
        <f>Gen!A15</f>
        <v>43866</v>
      </c>
      <c r="B10" s="6">
        <f>'Summery Report'!E9</f>
        <v>77</v>
      </c>
      <c r="C10" s="6">
        <f>Gen!T15</f>
        <v>5866</v>
      </c>
      <c r="D10" s="180">
        <f>Gen!S15</f>
        <v>2256.73</v>
      </c>
      <c r="E10" s="180">
        <f>Gen!AJ15</f>
        <v>129.26999999999998</v>
      </c>
      <c r="F10" s="180">
        <f>Gen!AR15</f>
        <v>2386</v>
      </c>
      <c r="G10" s="183">
        <f>'Utility report '!AC10</f>
        <v>98</v>
      </c>
      <c r="H10" s="183">
        <f>'Utility report '!AE10</f>
        <v>63</v>
      </c>
      <c r="I10" s="387">
        <f>'Water-Meter'!E10</f>
        <v>141</v>
      </c>
      <c r="J10" s="185">
        <f>'Lpg (2)'!B14</f>
        <v>85</v>
      </c>
      <c r="K10" s="185">
        <f>'Lpg (2)'!C14</f>
        <v>76</v>
      </c>
      <c r="L10" s="185">
        <f>'Lpg (2)'!D14</f>
        <v>0</v>
      </c>
      <c r="M10" s="608">
        <f>'Lpg (2)'!G14</f>
        <v>106.91999999994879</v>
      </c>
      <c r="N10" s="178">
        <f t="shared" si="2"/>
        <v>3159.422</v>
      </c>
      <c r="O10" s="178">
        <f t="shared" si="2"/>
        <v>180.97799999999995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41.031454545454544</v>
      </c>
      <c r="S10" s="615" t="e">
        <f t="shared" si="1"/>
        <v>#REF!</v>
      </c>
    </row>
    <row r="11" spans="1:19" ht="14.25">
      <c r="A11" s="614">
        <f>Gen!A16</f>
        <v>43867</v>
      </c>
      <c r="B11" s="6">
        <f>'Summery Report'!E10</f>
        <v>77</v>
      </c>
      <c r="C11" s="6">
        <f>Gen!T16</f>
        <v>5875</v>
      </c>
      <c r="D11" s="180">
        <f>Gen!S16</f>
        <v>2491.5099999999998</v>
      </c>
      <c r="E11" s="180">
        <f>Gen!AJ16</f>
        <v>187.64</v>
      </c>
      <c r="F11" s="180">
        <f>Gen!AR16</f>
        <v>2679.1499999999996</v>
      </c>
      <c r="G11" s="183">
        <f>'Utility report '!AC11</f>
        <v>83</v>
      </c>
      <c r="H11" s="183">
        <f>'Utility report '!AE11</f>
        <v>56</v>
      </c>
      <c r="I11" s="387">
        <f>'Water-Meter'!E11</f>
        <v>129</v>
      </c>
      <c r="J11" s="185">
        <f>'Lpg (2)'!B15</f>
        <v>85</v>
      </c>
      <c r="K11" s="185">
        <f>'Lpg (2)'!C15</f>
        <v>70</v>
      </c>
      <c r="L11" s="185">
        <f>'Lpg (2)'!D15</f>
        <v>0</v>
      </c>
      <c r="M11" s="608">
        <f>'Lpg (2)'!G15</f>
        <v>102.12400000002818</v>
      </c>
      <c r="N11" s="178">
        <f t="shared" si="2"/>
        <v>3488.1139999999996</v>
      </c>
      <c r="O11" s="178">
        <f t="shared" si="2"/>
        <v>262.69599999999997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45.300181818181812</v>
      </c>
      <c r="S11" s="615" t="e">
        <f t="shared" si="1"/>
        <v>#REF!</v>
      </c>
    </row>
    <row r="12" spans="1:19" ht="14.25">
      <c r="A12" s="614">
        <f>Gen!A17</f>
        <v>43868</v>
      </c>
      <c r="B12" s="6">
        <f>'Summery Report'!E11</f>
        <v>77</v>
      </c>
      <c r="C12" s="6">
        <f>Gen!T17</f>
        <v>5952</v>
      </c>
      <c r="D12" s="180">
        <f>Gen!S17</f>
        <v>2244.7399999999998</v>
      </c>
      <c r="E12" s="180">
        <f>Gen!AJ17</f>
        <v>203.15</v>
      </c>
      <c r="F12" s="180">
        <f>Gen!AR17</f>
        <v>2447.89</v>
      </c>
      <c r="G12" s="183">
        <f>'Utility report '!AC12</f>
        <v>103</v>
      </c>
      <c r="H12" s="183">
        <f>'Utility report '!AE12</f>
        <v>0</v>
      </c>
      <c r="I12" s="387">
        <f>'Water-Meter'!E12</f>
        <v>129</v>
      </c>
      <c r="J12" s="185">
        <f>'Lpg (2)'!B16</f>
        <v>85</v>
      </c>
      <c r="K12" s="185">
        <f>'Lpg (2)'!C16</f>
        <v>60</v>
      </c>
      <c r="L12" s="185">
        <f>'Lpg (2)'!D16</f>
        <v>0</v>
      </c>
      <c r="M12" s="608">
        <f>'Lpg (2)'!G16</f>
        <v>108.19599999998464</v>
      </c>
      <c r="N12" s="178">
        <f t="shared" si="2"/>
        <v>3142.6359999999995</v>
      </c>
      <c r="O12" s="178">
        <f t="shared" si="2"/>
        <v>284.40999999999997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40.81345454545454</v>
      </c>
      <c r="S12" s="615" t="e">
        <f t="shared" si="1"/>
        <v>#REF!</v>
      </c>
    </row>
    <row r="13" spans="1:19" ht="14.25">
      <c r="A13" s="614">
        <f>Gen!A18</f>
        <v>43869</v>
      </c>
      <c r="B13" s="6">
        <f>'Summery Report'!E12</f>
        <v>13</v>
      </c>
      <c r="C13" s="6">
        <f>Gen!T18</f>
        <v>5988</v>
      </c>
      <c r="D13" s="180">
        <f>Gen!S18</f>
        <v>2569.4499999999998</v>
      </c>
      <c r="E13" s="180">
        <f>Gen!AJ18</f>
        <v>56.74</v>
      </c>
      <c r="F13" s="180">
        <f>Gen!AR18</f>
        <v>2626.1899999999996</v>
      </c>
      <c r="G13" s="183">
        <f>'Utility report '!AC13</f>
        <v>105</v>
      </c>
      <c r="H13" s="183">
        <f>'Utility report '!AE13</f>
        <v>0</v>
      </c>
      <c r="I13" s="387">
        <f>'Water-Meter'!E13</f>
        <v>128</v>
      </c>
      <c r="J13" s="185">
        <f>'Lpg (2)'!B17</f>
        <v>85</v>
      </c>
      <c r="K13" s="185">
        <f>'Lpg (2)'!C17</f>
        <v>55</v>
      </c>
      <c r="L13" s="185">
        <f>'Lpg (2)'!D17</f>
        <v>0</v>
      </c>
      <c r="M13" s="608">
        <f>'Lpg (2)'!G17</f>
        <v>112.15600000002306</v>
      </c>
      <c r="N13" s="178">
        <f t="shared" si="2"/>
        <v>3597.2299999999996</v>
      </c>
      <c r="O13" s="178">
        <f t="shared" si="2"/>
        <v>79.435999999999993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276.70999999999998</v>
      </c>
      <c r="S13" s="615" t="e">
        <f t="shared" si="1"/>
        <v>#REF!</v>
      </c>
    </row>
    <row r="14" spans="1:19" ht="14.25">
      <c r="A14" s="614">
        <f>Gen!A19</f>
        <v>43870</v>
      </c>
      <c r="B14" s="6">
        <f>'Summery Report'!E13</f>
        <v>16</v>
      </c>
      <c r="C14" s="6">
        <f>Gen!T19</f>
        <v>5209</v>
      </c>
      <c r="D14" s="180">
        <f>Gen!S19</f>
        <v>2039.82</v>
      </c>
      <c r="E14" s="180">
        <f>Gen!AJ19</f>
        <v>162.68</v>
      </c>
      <c r="F14" s="180">
        <f>Gen!AR19</f>
        <v>2202.5</v>
      </c>
      <c r="G14" s="183">
        <f>'Utility report '!AC14</f>
        <v>136</v>
      </c>
      <c r="H14" s="183">
        <f>'Utility report '!AE14</f>
        <v>0</v>
      </c>
      <c r="I14" s="387">
        <f>'Water-Meter'!E14</f>
        <v>96</v>
      </c>
      <c r="J14" s="185">
        <f>'Lpg (2)'!B18</f>
        <v>85</v>
      </c>
      <c r="K14" s="185">
        <f>'Lpg (2)'!C18</f>
        <v>49</v>
      </c>
      <c r="L14" s="185">
        <f>'Lpg (2)'!D18</f>
        <v>0</v>
      </c>
      <c r="M14" s="608">
        <f>'Lpg (2)'!G18</f>
        <v>103.44399999997695</v>
      </c>
      <c r="N14" s="178">
        <f t="shared" si="2"/>
        <v>2855.7479999999996</v>
      </c>
      <c r="O14" s="178">
        <f t="shared" si="2"/>
        <v>227.75199999999998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178.48424999999997</v>
      </c>
      <c r="S14" s="615" t="e">
        <f t="shared" si="1"/>
        <v>#REF!</v>
      </c>
    </row>
    <row r="15" spans="1:19" ht="14.25">
      <c r="A15" s="614">
        <f>Gen!A20</f>
        <v>43871</v>
      </c>
      <c r="B15" s="6">
        <f>'Summery Report'!E14</f>
        <v>15</v>
      </c>
      <c r="C15" s="6">
        <f>Gen!T20</f>
        <v>0</v>
      </c>
      <c r="D15" s="180">
        <f>Gen!S20</f>
        <v>0</v>
      </c>
      <c r="E15" s="180">
        <f>Gen!AJ20</f>
        <v>0</v>
      </c>
      <c r="F15" s="180">
        <f>Gen!AR20</f>
        <v>0</v>
      </c>
      <c r="G15" s="183">
        <f>'Utility report '!AC15</f>
        <v>121</v>
      </c>
      <c r="H15" s="183">
        <f>'Utility report '!AE15</f>
        <v>49</v>
      </c>
      <c r="I15" s="387" t="str">
        <f>'Water-Meter'!E15</f>
        <v>0</v>
      </c>
      <c r="J15" s="185">
        <f>'Lpg (2)'!B19</f>
        <v>0</v>
      </c>
      <c r="K15" s="185">
        <f>'Lpg (2)'!C19</f>
        <v>0</v>
      </c>
      <c r="L15" s="185">
        <f>'Lpg (2)'!D19</f>
        <v>0</v>
      </c>
      <c r="M15" s="608">
        <f>'Lpg (2)'!G19</f>
        <v>-307317.16399999999</v>
      </c>
      <c r="N15" s="178">
        <f t="shared" si="2"/>
        <v>0</v>
      </c>
      <c r="O15" s="178">
        <f t="shared" si="2"/>
        <v>0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0</v>
      </c>
      <c r="S15" s="615" t="e">
        <f t="shared" si="1"/>
        <v>#REF!</v>
      </c>
    </row>
    <row r="16" spans="1:19" ht="14.25">
      <c r="A16" s="614">
        <f>Gen!A21</f>
        <v>43872</v>
      </c>
      <c r="B16" s="6">
        <f>'Summery Report'!E15</f>
        <v>0</v>
      </c>
      <c r="C16" s="6">
        <f>Gen!T21</f>
        <v>0</v>
      </c>
      <c r="D16" s="180">
        <f>Gen!S21</f>
        <v>0</v>
      </c>
      <c r="E16" s="180">
        <f>Gen!AJ21</f>
        <v>0</v>
      </c>
      <c r="F16" s="180">
        <f>Gen!AR21</f>
        <v>0</v>
      </c>
      <c r="G16" s="183">
        <f>'Utility report '!AC16</f>
        <v>-24878</v>
      </c>
      <c r="H16" s="183">
        <f>'Utility report '!AE16</f>
        <v>-195532</v>
      </c>
      <c r="I16" s="387">
        <f>'Water-Meter'!E16</f>
        <v>0</v>
      </c>
      <c r="J16" s="185">
        <f>'Lpg (2)'!B20</f>
        <v>0</v>
      </c>
      <c r="K16" s="185">
        <f>'Lpg (2)'!C20</f>
        <v>0</v>
      </c>
      <c r="L16" s="185">
        <f>'Lpg (2)'!D20</f>
        <v>0</v>
      </c>
      <c r="M16" s="608">
        <f>'Lpg (2)'!G20</f>
        <v>0</v>
      </c>
      <c r="N16" s="178">
        <f t="shared" si="2"/>
        <v>0</v>
      </c>
      <c r="O16" s="178">
        <f t="shared" si="2"/>
        <v>0</v>
      </c>
      <c r="P16" s="177" t="e">
        <f>'[1]Lpg (2)'!#REF!</f>
        <v>#REF!</v>
      </c>
      <c r="Q16" s="178" t="e">
        <f>'[1]Summery Report'!#REF!</f>
        <v>#REF!</v>
      </c>
      <c r="R16" s="178" t="e">
        <f t="shared" si="0"/>
        <v>#DIV/0!</v>
      </c>
      <c r="S16" s="615" t="e">
        <f t="shared" si="1"/>
        <v>#REF!</v>
      </c>
    </row>
    <row r="17" spans="1:19" ht="14.25">
      <c r="A17" s="614">
        <f>Gen!A22</f>
        <v>43873</v>
      </c>
      <c r="B17" s="6">
        <f>'Summery Report'!E16</f>
        <v>0</v>
      </c>
      <c r="C17" s="6">
        <f>Gen!T22</f>
        <v>0</v>
      </c>
      <c r="D17" s="180">
        <f>Gen!S22</f>
        <v>0</v>
      </c>
      <c r="E17" s="180">
        <f>Gen!AJ22</f>
        <v>0</v>
      </c>
      <c r="F17" s="180">
        <f>Gen!AR22</f>
        <v>0</v>
      </c>
      <c r="G17" s="183">
        <f>'Utility report '!AC17</f>
        <v>0</v>
      </c>
      <c r="H17" s="183">
        <f>'Utility report '!AE17</f>
        <v>0</v>
      </c>
      <c r="I17" s="387">
        <f>'Water-Meter'!E17</f>
        <v>0</v>
      </c>
      <c r="J17" s="185">
        <f>'Lpg (2)'!B21</f>
        <v>0</v>
      </c>
      <c r="K17" s="185">
        <f>'Lpg (2)'!C21</f>
        <v>0</v>
      </c>
      <c r="L17" s="185">
        <f>'Lpg (2)'!D21</f>
        <v>0</v>
      </c>
      <c r="M17" s="608">
        <f>'Lpg (2)'!G21</f>
        <v>0</v>
      </c>
      <c r="N17" s="178">
        <f t="shared" si="2"/>
        <v>0</v>
      </c>
      <c r="O17" s="178">
        <f t="shared" si="2"/>
        <v>0</v>
      </c>
      <c r="P17" s="177" t="e">
        <f>'[1]Lpg (2)'!#REF!</f>
        <v>#REF!</v>
      </c>
      <c r="Q17" s="178" t="e">
        <f>'[1]Summery Report'!#REF!</f>
        <v>#REF!</v>
      </c>
      <c r="R17" s="178" t="e">
        <f t="shared" si="0"/>
        <v>#DIV/0!</v>
      </c>
      <c r="S17" s="615" t="e">
        <f t="shared" si="1"/>
        <v>#REF!</v>
      </c>
    </row>
    <row r="18" spans="1:19" ht="14.25">
      <c r="A18" s="614">
        <f>Gen!A23</f>
        <v>43874</v>
      </c>
      <c r="B18" s="6">
        <f>'Summery Report'!E17</f>
        <v>0</v>
      </c>
      <c r="C18" s="6">
        <f>Gen!T23</f>
        <v>0</v>
      </c>
      <c r="D18" s="180">
        <f>Gen!S23</f>
        <v>0</v>
      </c>
      <c r="E18" s="180">
        <f>Gen!AJ23</f>
        <v>0</v>
      </c>
      <c r="F18" s="180">
        <f>Gen!AR23</f>
        <v>0</v>
      </c>
      <c r="G18" s="183">
        <f>'Utility report '!AC18</f>
        <v>0</v>
      </c>
      <c r="H18" s="183">
        <f>'Utility report '!AE18</f>
        <v>0</v>
      </c>
      <c r="I18" s="387">
        <f>'Water-Meter'!E18</f>
        <v>0</v>
      </c>
      <c r="J18" s="185">
        <f>'Lpg (2)'!B22</f>
        <v>0</v>
      </c>
      <c r="K18" s="185">
        <f>'Lpg (2)'!C22</f>
        <v>0</v>
      </c>
      <c r="L18" s="185">
        <f>'Lpg (2)'!D22</f>
        <v>0</v>
      </c>
      <c r="M18" s="608">
        <f>'Lpg (2)'!G22</f>
        <v>0</v>
      </c>
      <c r="N18" s="178">
        <f t="shared" si="2"/>
        <v>0</v>
      </c>
      <c r="O18" s="178">
        <f t="shared" si="2"/>
        <v>0</v>
      </c>
      <c r="P18" s="177" t="e">
        <f>'[1]Lpg (2)'!#REF!</f>
        <v>#REF!</v>
      </c>
      <c r="Q18" s="178" t="e">
        <f>'[1]Summery Report'!#REF!</f>
        <v>#REF!</v>
      </c>
      <c r="R18" s="178" t="e">
        <f t="shared" si="0"/>
        <v>#DIV/0!</v>
      </c>
      <c r="S18" s="615" t="e">
        <f t="shared" si="1"/>
        <v>#REF!</v>
      </c>
    </row>
    <row r="19" spans="1:19" ht="14.25">
      <c r="A19" s="614">
        <f>Gen!A24</f>
        <v>43875</v>
      </c>
      <c r="B19" s="6">
        <f>'Summery Report'!E18</f>
        <v>0</v>
      </c>
      <c r="C19" s="6">
        <f>Gen!T24</f>
        <v>0</v>
      </c>
      <c r="D19" s="180">
        <f>Gen!S24</f>
        <v>0</v>
      </c>
      <c r="E19" s="180">
        <f>Gen!AJ24</f>
        <v>0</v>
      </c>
      <c r="F19" s="180">
        <f>Gen!AR24</f>
        <v>0</v>
      </c>
      <c r="G19" s="183">
        <f>'Utility report '!AC19</f>
        <v>0</v>
      </c>
      <c r="H19" s="183">
        <f>'Utility report '!AE19</f>
        <v>0</v>
      </c>
      <c r="I19" s="387">
        <f>'Water-Meter'!E19</f>
        <v>0</v>
      </c>
      <c r="J19" s="185">
        <f>'Lpg (2)'!B23</f>
        <v>0</v>
      </c>
      <c r="K19" s="185">
        <f>'Lpg (2)'!C23</f>
        <v>0</v>
      </c>
      <c r="L19" s="185">
        <f>'Lpg (2)'!D23</f>
        <v>0</v>
      </c>
      <c r="M19" s="608">
        <f>'Lpg (2)'!G23</f>
        <v>0</v>
      </c>
      <c r="N19" s="178">
        <f t="shared" si="2"/>
        <v>0</v>
      </c>
      <c r="O19" s="178">
        <f t="shared" si="2"/>
        <v>0</v>
      </c>
      <c r="P19" s="177" t="e">
        <f>'[1]Lpg (2)'!#REF!</f>
        <v>#REF!</v>
      </c>
      <c r="Q19" s="178" t="e">
        <f>'[1]Summery Report'!#REF!</f>
        <v>#REF!</v>
      </c>
      <c r="R19" s="178" t="e">
        <f t="shared" si="0"/>
        <v>#DIV/0!</v>
      </c>
      <c r="S19" s="615" t="e">
        <f t="shared" si="1"/>
        <v>#REF!</v>
      </c>
    </row>
    <row r="20" spans="1:19" ht="14.25">
      <c r="A20" s="614">
        <f>Gen!A25</f>
        <v>43876</v>
      </c>
      <c r="B20" s="6">
        <f>'Summery Report'!E19</f>
        <v>0</v>
      </c>
      <c r="C20" s="6">
        <f>Gen!T25</f>
        <v>0</v>
      </c>
      <c r="D20" s="180">
        <f>Gen!S25</f>
        <v>0</v>
      </c>
      <c r="E20" s="180">
        <f>Gen!AJ25</f>
        <v>0</v>
      </c>
      <c r="F20" s="180">
        <f>Gen!AR25</f>
        <v>0</v>
      </c>
      <c r="G20" s="183">
        <f>'Utility report '!AC20</f>
        <v>0</v>
      </c>
      <c r="H20" s="183">
        <f>'Utility report '!AE20</f>
        <v>0</v>
      </c>
      <c r="I20" s="387">
        <f>'Water-Meter'!E20</f>
        <v>0</v>
      </c>
      <c r="J20" s="185">
        <f>'Lpg (2)'!B24</f>
        <v>0</v>
      </c>
      <c r="K20" s="185">
        <f>'Lpg (2)'!C24</f>
        <v>0</v>
      </c>
      <c r="L20" s="185">
        <f>'Lpg (2)'!D24</f>
        <v>0</v>
      </c>
      <c r="M20" s="608">
        <f>'Lpg (2)'!G24</f>
        <v>0</v>
      </c>
      <c r="N20" s="178">
        <f t="shared" si="2"/>
        <v>0</v>
      </c>
      <c r="O20" s="178">
        <f t="shared" si="2"/>
        <v>0</v>
      </c>
      <c r="P20" s="177" t="e">
        <f>'[1]Lpg (2)'!#REF!</f>
        <v>#REF!</v>
      </c>
      <c r="Q20" s="178" t="e">
        <f>'[1]Summery Report'!#REF!</f>
        <v>#REF!</v>
      </c>
      <c r="R20" s="178" t="e">
        <f t="shared" si="0"/>
        <v>#DIV/0!</v>
      </c>
      <c r="S20" s="615" t="e">
        <f t="shared" si="1"/>
        <v>#REF!</v>
      </c>
    </row>
    <row r="21" spans="1:19" ht="14.25">
      <c r="A21" s="614">
        <f>Gen!A26</f>
        <v>43877</v>
      </c>
      <c r="B21" s="6">
        <f>'Summery Report'!E20</f>
        <v>0</v>
      </c>
      <c r="C21" s="6">
        <f>Gen!T26</f>
        <v>0</v>
      </c>
      <c r="D21" s="180">
        <f>Gen!S26</f>
        <v>0</v>
      </c>
      <c r="E21" s="180">
        <f>Gen!AJ26</f>
        <v>0</v>
      </c>
      <c r="F21" s="180">
        <f>Gen!AR26</f>
        <v>0</v>
      </c>
      <c r="G21" s="183">
        <f>'Utility report '!AC21</f>
        <v>0</v>
      </c>
      <c r="H21" s="183">
        <f>'Utility report '!AE21</f>
        <v>0</v>
      </c>
      <c r="I21" s="387">
        <f>'Water-Meter'!E21</f>
        <v>0</v>
      </c>
      <c r="J21" s="185">
        <f>'Lpg (2)'!B25</f>
        <v>0</v>
      </c>
      <c r="K21" s="185">
        <f>'Lpg (2)'!C25</f>
        <v>0</v>
      </c>
      <c r="L21" s="185">
        <f>'Lpg (2)'!D25</f>
        <v>0</v>
      </c>
      <c r="M21" s="608">
        <f>'Lpg (2)'!G25</f>
        <v>0</v>
      </c>
      <c r="N21" s="178">
        <f t="shared" si="2"/>
        <v>0</v>
      </c>
      <c r="O21" s="178">
        <f t="shared" si="2"/>
        <v>0</v>
      </c>
      <c r="P21" s="177" t="e">
        <f>'[1]Lpg (2)'!#REF!</f>
        <v>#REF!</v>
      </c>
      <c r="Q21" s="178" t="e">
        <f>'[1]Summery Report'!#REF!</f>
        <v>#REF!</v>
      </c>
      <c r="R21" s="178" t="e">
        <f t="shared" si="0"/>
        <v>#DIV/0!</v>
      </c>
      <c r="S21" s="615" t="e">
        <f t="shared" si="1"/>
        <v>#REF!</v>
      </c>
    </row>
    <row r="22" spans="1:19" ht="14.25">
      <c r="A22" s="614">
        <f>Gen!A27</f>
        <v>43878</v>
      </c>
      <c r="B22" s="6">
        <f>'Summery Report'!E21</f>
        <v>0</v>
      </c>
      <c r="C22" s="6">
        <f>Gen!T27</f>
        <v>0</v>
      </c>
      <c r="D22" s="180">
        <f>Gen!S27</f>
        <v>0</v>
      </c>
      <c r="E22" s="180">
        <f>Gen!AJ27</f>
        <v>0</v>
      </c>
      <c r="F22" s="180">
        <f>Gen!AR27</f>
        <v>0</v>
      </c>
      <c r="G22" s="183">
        <f>'Utility report '!AC22</f>
        <v>0</v>
      </c>
      <c r="H22" s="183">
        <f>'Utility report '!AE22</f>
        <v>0</v>
      </c>
      <c r="I22" s="387">
        <f>'Water-Meter'!E22</f>
        <v>0</v>
      </c>
      <c r="J22" s="185">
        <f>'Lpg (2)'!B26</f>
        <v>0</v>
      </c>
      <c r="K22" s="185">
        <f>'Lpg (2)'!C26</f>
        <v>0</v>
      </c>
      <c r="L22" s="185">
        <f>'Lpg (2)'!D26</f>
        <v>0</v>
      </c>
      <c r="M22" s="608">
        <f>'Lpg (2)'!G26</f>
        <v>0</v>
      </c>
      <c r="N22" s="178">
        <f t="shared" si="2"/>
        <v>0</v>
      </c>
      <c r="O22" s="178">
        <f t="shared" si="2"/>
        <v>0</v>
      </c>
      <c r="P22" s="177" t="e">
        <f>'[1]Lpg (2)'!#REF!</f>
        <v>#REF!</v>
      </c>
      <c r="Q22" s="178" t="e">
        <f>'[1]Summery Report'!#REF!</f>
        <v>#REF!</v>
      </c>
      <c r="R22" s="178" t="e">
        <f t="shared" si="0"/>
        <v>#DIV/0!</v>
      </c>
      <c r="S22" s="615" t="e">
        <f t="shared" si="1"/>
        <v>#REF!</v>
      </c>
    </row>
    <row r="23" spans="1:19" ht="14.25">
      <c r="A23" s="614">
        <f>Gen!A28</f>
        <v>43879</v>
      </c>
      <c r="B23" s="6">
        <f>'Summery Report'!E22</f>
        <v>0</v>
      </c>
      <c r="C23" s="6">
        <f>Gen!T28</f>
        <v>0</v>
      </c>
      <c r="D23" s="180">
        <f>Gen!S28</f>
        <v>0</v>
      </c>
      <c r="E23" s="180">
        <f>Gen!AJ28</f>
        <v>0</v>
      </c>
      <c r="F23" s="180">
        <f>Gen!AR28</f>
        <v>0</v>
      </c>
      <c r="G23" s="183">
        <f>'Utility report '!AC23</f>
        <v>0</v>
      </c>
      <c r="H23" s="183">
        <f>'Utility report '!AE23</f>
        <v>0</v>
      </c>
      <c r="I23" s="387">
        <f>'Water-Meter'!E23</f>
        <v>0</v>
      </c>
      <c r="J23" s="185">
        <f>'Lpg (2)'!B27</f>
        <v>0</v>
      </c>
      <c r="K23" s="185">
        <f>'Lpg (2)'!C27</f>
        <v>0</v>
      </c>
      <c r="L23" s="185">
        <f>'Lpg (2)'!D27</f>
        <v>0</v>
      </c>
      <c r="M23" s="608">
        <f>'Lpg (2)'!G27</f>
        <v>0</v>
      </c>
      <c r="N23" s="178">
        <f t="shared" si="2"/>
        <v>0</v>
      </c>
      <c r="O23" s="178">
        <f t="shared" si="2"/>
        <v>0</v>
      </c>
      <c r="P23" s="177" t="e">
        <f>'[1]Lpg (2)'!#REF!</f>
        <v>#REF!</v>
      </c>
      <c r="Q23" s="178" t="e">
        <f>'[1]Summery Report'!#REF!</f>
        <v>#REF!</v>
      </c>
      <c r="R23" s="178" t="e">
        <f t="shared" si="0"/>
        <v>#DIV/0!</v>
      </c>
      <c r="S23" s="615" t="e">
        <f t="shared" si="1"/>
        <v>#REF!</v>
      </c>
    </row>
    <row r="24" spans="1:19" ht="14.25">
      <c r="A24" s="614">
        <f>Gen!A29</f>
        <v>43880</v>
      </c>
      <c r="B24" s="6">
        <f>'Summery Report'!E23</f>
        <v>0</v>
      </c>
      <c r="C24" s="6">
        <f>Gen!T29</f>
        <v>0</v>
      </c>
      <c r="D24" s="180">
        <f>Gen!S29</f>
        <v>0</v>
      </c>
      <c r="E24" s="180">
        <f>Gen!AJ29</f>
        <v>0</v>
      </c>
      <c r="F24" s="180">
        <f>Gen!AR29</f>
        <v>0</v>
      </c>
      <c r="G24" s="183">
        <f>'Utility report '!AC24</f>
        <v>0</v>
      </c>
      <c r="H24" s="183">
        <f>'Utility report '!AE24</f>
        <v>0</v>
      </c>
      <c r="I24" s="387">
        <f>'Water-Meter'!E24</f>
        <v>0</v>
      </c>
      <c r="J24" s="185">
        <f>'Lpg (2)'!B28</f>
        <v>0</v>
      </c>
      <c r="K24" s="185">
        <f>'Lpg (2)'!C28</f>
        <v>0</v>
      </c>
      <c r="L24" s="185">
        <f>'Lpg (2)'!D28</f>
        <v>0</v>
      </c>
      <c r="M24" s="608">
        <f>'Lpg (2)'!G28</f>
        <v>0</v>
      </c>
      <c r="N24" s="178">
        <f t="shared" si="2"/>
        <v>0</v>
      </c>
      <c r="O24" s="178">
        <f t="shared" si="2"/>
        <v>0</v>
      </c>
      <c r="P24" s="177" t="e">
        <f>'[1]Lpg (2)'!#REF!</f>
        <v>#REF!</v>
      </c>
      <c r="Q24" s="178" t="e">
        <f>'[1]Summery Report'!#REF!</f>
        <v>#REF!</v>
      </c>
      <c r="R24" s="178" t="e">
        <f t="shared" si="0"/>
        <v>#DIV/0!</v>
      </c>
      <c r="S24" s="615" t="e">
        <f t="shared" si="1"/>
        <v>#REF!</v>
      </c>
    </row>
    <row r="25" spans="1:19" ht="14.25">
      <c r="A25" s="614">
        <f>Gen!A30</f>
        <v>43881</v>
      </c>
      <c r="B25" s="6">
        <f>'Summery Report'!E24</f>
        <v>0</v>
      </c>
      <c r="C25" s="6">
        <f>Gen!T30</f>
        <v>0</v>
      </c>
      <c r="D25" s="180">
        <f>Gen!S30</f>
        <v>0</v>
      </c>
      <c r="E25" s="180">
        <f>Gen!AJ30</f>
        <v>0</v>
      </c>
      <c r="F25" s="180">
        <f>Gen!AR30</f>
        <v>0</v>
      </c>
      <c r="G25" s="183">
        <f>'Utility report '!AC25</f>
        <v>0</v>
      </c>
      <c r="H25" s="183">
        <f>'Utility report '!AE25</f>
        <v>0</v>
      </c>
      <c r="I25" s="387">
        <f>'Water-Meter'!E25</f>
        <v>0</v>
      </c>
      <c r="J25" s="185">
        <f>'Lpg (2)'!B29</f>
        <v>0</v>
      </c>
      <c r="K25" s="185">
        <f>'Lpg (2)'!C29</f>
        <v>0</v>
      </c>
      <c r="L25" s="185">
        <f>'Lpg (2)'!D29</f>
        <v>0</v>
      </c>
      <c r="M25" s="608">
        <f>'Lpg (2)'!G29</f>
        <v>0</v>
      </c>
      <c r="N25" s="178">
        <f t="shared" si="2"/>
        <v>0</v>
      </c>
      <c r="O25" s="178">
        <f t="shared" si="2"/>
        <v>0</v>
      </c>
      <c r="P25" s="177" t="e">
        <f>'[1]Lpg (2)'!#REF!</f>
        <v>#REF!</v>
      </c>
      <c r="Q25" s="178" t="e">
        <f>'[1]Summery Report'!#REF!</f>
        <v>#REF!</v>
      </c>
      <c r="R25" s="178" t="e">
        <f t="shared" si="0"/>
        <v>#DIV/0!</v>
      </c>
      <c r="S25" s="615" t="e">
        <f t="shared" si="1"/>
        <v>#REF!</v>
      </c>
    </row>
    <row r="26" spans="1:19" ht="14.25">
      <c r="A26" s="614">
        <f>Gen!A31</f>
        <v>43882</v>
      </c>
      <c r="B26" s="6">
        <f>'Summery Report'!E25</f>
        <v>0</v>
      </c>
      <c r="C26" s="6">
        <f>Gen!T31</f>
        <v>0</v>
      </c>
      <c r="D26" s="180">
        <f>Gen!S31</f>
        <v>0</v>
      </c>
      <c r="E26" s="180">
        <f>Gen!AJ31</f>
        <v>0</v>
      </c>
      <c r="F26" s="180">
        <f>Gen!AR31</f>
        <v>0</v>
      </c>
      <c r="G26" s="183">
        <f>'Utility report '!AC26</f>
        <v>0</v>
      </c>
      <c r="H26" s="183">
        <f>'Utility report '!AE26</f>
        <v>0</v>
      </c>
      <c r="I26" s="387">
        <f>'Water-Meter'!E26</f>
        <v>0</v>
      </c>
      <c r="J26" s="185">
        <f>'Lpg (2)'!B30</f>
        <v>0</v>
      </c>
      <c r="K26" s="185">
        <f>'Lpg (2)'!C30</f>
        <v>0</v>
      </c>
      <c r="L26" s="185">
        <f>'Lpg (2)'!D30</f>
        <v>0</v>
      </c>
      <c r="M26" s="608">
        <f>'Lpg (2)'!G30</f>
        <v>0</v>
      </c>
      <c r="N26" s="178">
        <f t="shared" si="2"/>
        <v>0</v>
      </c>
      <c r="O26" s="178">
        <f t="shared" si="2"/>
        <v>0</v>
      </c>
      <c r="P26" s="177" t="e">
        <f>'[1]Lpg (2)'!#REF!</f>
        <v>#REF!</v>
      </c>
      <c r="Q26" s="178" t="e">
        <f>'[1]Summery Report'!#REF!</f>
        <v>#REF!</v>
      </c>
      <c r="R26" s="178" t="e">
        <f t="shared" si="0"/>
        <v>#DIV/0!</v>
      </c>
      <c r="S26" s="615" t="e">
        <f t="shared" si="1"/>
        <v>#REF!</v>
      </c>
    </row>
    <row r="27" spans="1:19" ht="14.25">
      <c r="A27" s="614">
        <f>Gen!A32</f>
        <v>43883</v>
      </c>
      <c r="B27" s="6">
        <f>'Summery Report'!E26</f>
        <v>0</v>
      </c>
      <c r="C27" s="6">
        <f>Gen!T32</f>
        <v>0</v>
      </c>
      <c r="D27" s="180">
        <f>Gen!S32</f>
        <v>0</v>
      </c>
      <c r="E27" s="180">
        <f>Gen!AJ32</f>
        <v>0</v>
      </c>
      <c r="F27" s="180">
        <f>Gen!AR32</f>
        <v>0</v>
      </c>
      <c r="G27" s="183">
        <f>'Utility report '!AC27</f>
        <v>0</v>
      </c>
      <c r="H27" s="183">
        <f>'Utility report '!AE27</f>
        <v>0</v>
      </c>
      <c r="I27" s="387">
        <f>'Water-Meter'!E27</f>
        <v>0</v>
      </c>
      <c r="J27" s="185">
        <f>'Lpg (2)'!B31</f>
        <v>0</v>
      </c>
      <c r="K27" s="185">
        <f>'Lpg (2)'!C31</f>
        <v>0</v>
      </c>
      <c r="L27" s="185">
        <f>'Lpg (2)'!D31</f>
        <v>0</v>
      </c>
      <c r="M27" s="608">
        <f>'Lpg (2)'!G31</f>
        <v>0</v>
      </c>
      <c r="N27" s="178">
        <f t="shared" si="2"/>
        <v>0</v>
      </c>
      <c r="O27" s="178">
        <f t="shared" si="2"/>
        <v>0</v>
      </c>
      <c r="P27" s="177" t="e">
        <f>'[1]Lpg (2)'!#REF!</f>
        <v>#REF!</v>
      </c>
      <c r="Q27" s="178" t="e">
        <f>'[1]Summery Report'!#REF!</f>
        <v>#REF!</v>
      </c>
      <c r="R27" s="178" t="e">
        <f t="shared" si="0"/>
        <v>#DIV/0!</v>
      </c>
      <c r="S27" s="615" t="e">
        <f t="shared" si="1"/>
        <v>#REF!</v>
      </c>
    </row>
    <row r="28" spans="1:19" ht="14.25">
      <c r="A28" s="614">
        <f>Gen!A33</f>
        <v>43884</v>
      </c>
      <c r="B28" s="6">
        <f>'Summery Report'!E27</f>
        <v>0</v>
      </c>
      <c r="C28" s="6">
        <f>Gen!T33</f>
        <v>0</v>
      </c>
      <c r="D28" s="180">
        <f>Gen!S33</f>
        <v>0</v>
      </c>
      <c r="E28" s="180">
        <f>Gen!AJ33</f>
        <v>0</v>
      </c>
      <c r="F28" s="180">
        <f>Gen!AR33</f>
        <v>0</v>
      </c>
      <c r="G28" s="183">
        <f>'Utility report '!AC28</f>
        <v>0</v>
      </c>
      <c r="H28" s="183">
        <f>'Utility report '!AE28</f>
        <v>0</v>
      </c>
      <c r="I28" s="387">
        <f>'Water-Meter'!E28</f>
        <v>0</v>
      </c>
      <c r="J28" s="185">
        <f>'Lpg (2)'!B32</f>
        <v>0</v>
      </c>
      <c r="K28" s="185">
        <f>'Lpg (2)'!C32</f>
        <v>0</v>
      </c>
      <c r="L28" s="185">
        <f>'Lpg (2)'!D32</f>
        <v>0</v>
      </c>
      <c r="M28" s="608">
        <f>'Lpg (2)'!G32</f>
        <v>0</v>
      </c>
      <c r="N28" s="178">
        <f t="shared" si="2"/>
        <v>0</v>
      </c>
      <c r="O28" s="178">
        <f t="shared" si="2"/>
        <v>0</v>
      </c>
      <c r="P28" s="177" t="e">
        <f>'[1]Lpg (2)'!#REF!</f>
        <v>#REF!</v>
      </c>
      <c r="Q28" s="178" t="e">
        <f>'[1]Summery Report'!#REF!</f>
        <v>#REF!</v>
      </c>
      <c r="R28" s="178" t="e">
        <f t="shared" si="0"/>
        <v>#DIV/0!</v>
      </c>
      <c r="S28" s="615" t="e">
        <f t="shared" si="1"/>
        <v>#REF!</v>
      </c>
    </row>
    <row r="29" spans="1:19" ht="14.25">
      <c r="A29" s="614">
        <f>Gen!A34</f>
        <v>43885</v>
      </c>
      <c r="B29" s="6">
        <f>'Summery Report'!E28</f>
        <v>0</v>
      </c>
      <c r="C29" s="6">
        <f>Gen!T34</f>
        <v>0</v>
      </c>
      <c r="D29" s="180">
        <f>Gen!S34</f>
        <v>0</v>
      </c>
      <c r="E29" s="180">
        <f>Gen!AJ34</f>
        <v>0</v>
      </c>
      <c r="F29" s="180">
        <f>Gen!AR34</f>
        <v>0</v>
      </c>
      <c r="G29" s="183">
        <f>'Utility report '!AC29</f>
        <v>0</v>
      </c>
      <c r="H29" s="183">
        <f>'Utility report '!AE29</f>
        <v>0</v>
      </c>
      <c r="I29" s="387">
        <f>'Water-Meter'!E29</f>
        <v>0</v>
      </c>
      <c r="J29" s="185">
        <f>'Lpg (2)'!B33</f>
        <v>0</v>
      </c>
      <c r="K29" s="185">
        <f>'Lpg (2)'!C33</f>
        <v>0</v>
      </c>
      <c r="L29" s="185">
        <f>'Lpg (2)'!D33</f>
        <v>0</v>
      </c>
      <c r="M29" s="608">
        <f>'Lpg (2)'!G33</f>
        <v>0</v>
      </c>
      <c r="N29" s="178">
        <f t="shared" si="2"/>
        <v>0</v>
      </c>
      <c r="O29" s="178">
        <f t="shared" si="2"/>
        <v>0</v>
      </c>
      <c r="P29" s="177" t="e">
        <f>'[1]Lpg (2)'!#REF!</f>
        <v>#REF!</v>
      </c>
      <c r="Q29" s="178" t="e">
        <f>'[1]Summery Report'!#REF!</f>
        <v>#REF!</v>
      </c>
      <c r="R29" s="178" t="e">
        <f t="shared" si="0"/>
        <v>#DIV/0!</v>
      </c>
      <c r="S29" s="615" t="e">
        <f t="shared" si="1"/>
        <v>#REF!</v>
      </c>
    </row>
    <row r="30" spans="1:19" ht="14.25">
      <c r="A30" s="614">
        <f>Gen!A35</f>
        <v>43886</v>
      </c>
      <c r="B30" s="6">
        <f>'Summery Report'!E29</f>
        <v>0</v>
      </c>
      <c r="C30" s="6">
        <f>Gen!T35</f>
        <v>0</v>
      </c>
      <c r="D30" s="180">
        <f>Gen!S35</f>
        <v>0</v>
      </c>
      <c r="E30" s="180">
        <f>Gen!AJ35</f>
        <v>0</v>
      </c>
      <c r="F30" s="180">
        <f>Gen!AR35</f>
        <v>0</v>
      </c>
      <c r="G30" s="183">
        <f>'Utility report '!AC30</f>
        <v>0</v>
      </c>
      <c r="H30" s="183">
        <f>'Utility report '!AE30</f>
        <v>0</v>
      </c>
      <c r="I30" s="387">
        <f>'Water-Meter'!E30</f>
        <v>0</v>
      </c>
      <c r="J30" s="185">
        <f>'Lpg (2)'!B34</f>
        <v>0</v>
      </c>
      <c r="K30" s="185">
        <f>'Lpg (2)'!C34</f>
        <v>0</v>
      </c>
      <c r="L30" s="185">
        <f>'Lpg (2)'!D34</f>
        <v>0</v>
      </c>
      <c r="M30" s="608">
        <f>'Lpg (2)'!G34</f>
        <v>0</v>
      </c>
      <c r="N30" s="178">
        <f t="shared" si="2"/>
        <v>0</v>
      </c>
      <c r="O30" s="178">
        <f t="shared" si="2"/>
        <v>0</v>
      </c>
      <c r="P30" s="177" t="e">
        <f>'[1]Lpg (2)'!#REF!</f>
        <v>#REF!</v>
      </c>
      <c r="Q30" s="178" t="e">
        <f>'[1]Summery Report'!#REF!</f>
        <v>#REF!</v>
      </c>
      <c r="R30" s="178" t="e">
        <f t="shared" si="0"/>
        <v>#DIV/0!</v>
      </c>
      <c r="S30" s="615" t="e">
        <f t="shared" si="1"/>
        <v>#REF!</v>
      </c>
    </row>
    <row r="31" spans="1:19" ht="14.25">
      <c r="A31" s="614">
        <f>Gen!A36</f>
        <v>43887</v>
      </c>
      <c r="B31" s="6">
        <f>'Summery Report'!E30</f>
        <v>0</v>
      </c>
      <c r="C31" s="6">
        <f>Gen!T36</f>
        <v>0</v>
      </c>
      <c r="D31" s="180">
        <f>Gen!S36</f>
        <v>0</v>
      </c>
      <c r="E31" s="180">
        <f>Gen!AJ36</f>
        <v>0</v>
      </c>
      <c r="F31" s="180">
        <f>Gen!AR36</f>
        <v>0</v>
      </c>
      <c r="G31" s="183">
        <f>'Utility report '!AC31</f>
        <v>0</v>
      </c>
      <c r="H31" s="183">
        <f>'Utility report '!AE31</f>
        <v>0</v>
      </c>
      <c r="I31" s="387">
        <f>'Water-Meter'!E31</f>
        <v>0</v>
      </c>
      <c r="J31" s="185">
        <f>'Lpg (2)'!B35</f>
        <v>0</v>
      </c>
      <c r="K31" s="185">
        <f>'Lpg (2)'!C35</f>
        <v>0</v>
      </c>
      <c r="L31" s="185">
        <f>'Lpg (2)'!D35</f>
        <v>0</v>
      </c>
      <c r="M31" s="608">
        <f>'Lpg (2)'!G35</f>
        <v>0</v>
      </c>
      <c r="N31" s="178">
        <f t="shared" si="2"/>
        <v>0</v>
      </c>
      <c r="O31" s="178">
        <f t="shared" si="2"/>
        <v>0</v>
      </c>
      <c r="P31" s="177" t="e">
        <f>'[1]Lpg (2)'!#REF!</f>
        <v>#REF!</v>
      </c>
      <c r="Q31" s="178" t="e">
        <f>'[1]Summery Report'!#REF!</f>
        <v>#REF!</v>
      </c>
      <c r="R31" s="178" t="e">
        <f t="shared" si="0"/>
        <v>#DIV/0!</v>
      </c>
      <c r="S31" s="615" t="e">
        <f t="shared" si="1"/>
        <v>#REF!</v>
      </c>
    </row>
    <row r="32" spans="1:19" ht="14.25">
      <c r="A32" s="614">
        <f>Gen!A37</f>
        <v>43888</v>
      </c>
      <c r="B32" s="6">
        <f>'Summery Report'!E31</f>
        <v>0</v>
      </c>
      <c r="C32" s="6">
        <f>Gen!T37</f>
        <v>0</v>
      </c>
      <c r="D32" s="180">
        <f>Gen!S37</f>
        <v>0</v>
      </c>
      <c r="E32" s="180">
        <f>Gen!AJ37</f>
        <v>0</v>
      </c>
      <c r="F32" s="180">
        <f>Gen!AR37</f>
        <v>0</v>
      </c>
      <c r="G32" s="183">
        <f>'Utility report '!AC32</f>
        <v>0</v>
      </c>
      <c r="H32" s="183">
        <f>'Utility report '!AE32</f>
        <v>0</v>
      </c>
      <c r="I32" s="387">
        <f>'Water-Meter'!E32</f>
        <v>0</v>
      </c>
      <c r="J32" s="185">
        <f>'Lpg (2)'!B36</f>
        <v>0</v>
      </c>
      <c r="K32" s="185">
        <f>'Lpg (2)'!C36</f>
        <v>0</v>
      </c>
      <c r="L32" s="185">
        <f>'Lpg (2)'!D36</f>
        <v>0</v>
      </c>
      <c r="M32" s="608">
        <f>'Lpg (2)'!G36</f>
        <v>0</v>
      </c>
      <c r="N32" s="178">
        <f t="shared" si="2"/>
        <v>0</v>
      </c>
      <c r="O32" s="178">
        <f t="shared" si="2"/>
        <v>0</v>
      </c>
      <c r="P32" s="177" t="e">
        <f>'[1]Lpg (2)'!#REF!</f>
        <v>#REF!</v>
      </c>
      <c r="Q32" s="178" t="e">
        <f>'[1]Summery Report'!#REF!</f>
        <v>#REF!</v>
      </c>
      <c r="R32" s="178" t="e">
        <f t="shared" si="0"/>
        <v>#DIV/0!</v>
      </c>
      <c r="S32" s="615" t="e">
        <f t="shared" si="1"/>
        <v>#REF!</v>
      </c>
    </row>
    <row r="33" spans="1:20" ht="14.25">
      <c r="A33" s="614">
        <f>Gen!A38</f>
        <v>43889</v>
      </c>
      <c r="B33" s="6">
        <f>'Summery Report'!E32</f>
        <v>0</v>
      </c>
      <c r="C33" s="6">
        <f>Gen!T38</f>
        <v>0</v>
      </c>
      <c r="D33" s="180">
        <f>Gen!S38</f>
        <v>0</v>
      </c>
      <c r="E33" s="180">
        <f>Gen!AJ38</f>
        <v>0</v>
      </c>
      <c r="F33" s="180">
        <f>Gen!AR38</f>
        <v>0</v>
      </c>
      <c r="G33" s="183">
        <f>'Utility report '!AC33</f>
        <v>0</v>
      </c>
      <c r="H33" s="183">
        <f>'Utility report '!AE33</f>
        <v>0</v>
      </c>
      <c r="I33" s="387">
        <f>'Water-Meter'!E33</f>
        <v>0</v>
      </c>
      <c r="J33" s="185">
        <f>'Lpg (2)'!B37</f>
        <v>0</v>
      </c>
      <c r="K33" s="185">
        <f>'Lpg (2)'!C37</f>
        <v>0</v>
      </c>
      <c r="L33" s="185">
        <f>'Lpg (2)'!D37</f>
        <v>0</v>
      </c>
      <c r="M33" s="608">
        <f>'Lpg (2)'!G37</f>
        <v>0</v>
      </c>
      <c r="N33" s="178">
        <f t="shared" si="2"/>
        <v>0</v>
      </c>
      <c r="O33" s="178">
        <f t="shared" si="2"/>
        <v>0</v>
      </c>
      <c r="P33" s="177" t="e">
        <f>'[1]Lpg (2)'!#REF!</f>
        <v>#REF!</v>
      </c>
      <c r="Q33" s="178" t="e">
        <f>'[1]Summery Report'!#REF!</f>
        <v>#REF!</v>
      </c>
      <c r="R33" s="178" t="e">
        <f t="shared" si="0"/>
        <v>#DIV/0!</v>
      </c>
      <c r="S33" s="615" t="e">
        <f t="shared" si="1"/>
        <v>#REF!</v>
      </c>
      <c r="T33">
        <f>3124/13</f>
        <v>240.30769230769232</v>
      </c>
    </row>
    <row r="34" spans="1:20" ht="14.25">
      <c r="A34" s="614">
        <f>Gen!A39</f>
        <v>43890</v>
      </c>
      <c r="B34" s="6">
        <f>'Summery Report'!E33</f>
        <v>0</v>
      </c>
      <c r="C34" s="6">
        <f>Gen!T39</f>
        <v>0</v>
      </c>
      <c r="D34" s="180">
        <f>Gen!S39</f>
        <v>0</v>
      </c>
      <c r="E34" s="180">
        <f>Gen!AJ39</f>
        <v>0</v>
      </c>
      <c r="F34" s="180">
        <f>Gen!AR39</f>
        <v>0</v>
      </c>
      <c r="G34" s="183">
        <f>'Utility report '!AC34</f>
        <v>0</v>
      </c>
      <c r="H34" s="183">
        <f>'Utility report '!AE34</f>
        <v>0</v>
      </c>
      <c r="I34" s="387">
        <f>'Water-Meter'!E34</f>
        <v>0</v>
      </c>
      <c r="J34" s="185">
        <f>'Lpg (2)'!B38</f>
        <v>0</v>
      </c>
      <c r="K34" s="185">
        <f>'Lpg (2)'!C38</f>
        <v>0</v>
      </c>
      <c r="L34" s="185">
        <f>'Lpg (2)'!D38</f>
        <v>0</v>
      </c>
      <c r="M34" s="608">
        <f>'Lpg (2)'!G38</f>
        <v>0</v>
      </c>
      <c r="N34" s="178">
        <f t="shared" si="2"/>
        <v>0</v>
      </c>
      <c r="O34" s="178">
        <f t="shared" si="2"/>
        <v>0</v>
      </c>
      <c r="P34" s="177" t="e">
        <f>'[1]Lpg (2)'!#REF!</f>
        <v>#REF!</v>
      </c>
      <c r="Q34" s="178" t="e">
        <f>'[1]Summery Report'!#REF!</f>
        <v>#REF!</v>
      </c>
      <c r="R34" s="178" t="e">
        <f t="shared" si="0"/>
        <v>#DIV/0!</v>
      </c>
      <c r="S34" s="615" t="e">
        <f t="shared" si="1"/>
        <v>#REF!</v>
      </c>
    </row>
    <row r="35" spans="1:20" ht="14.25">
      <c r="A35" s="614">
        <f>Gen!A40</f>
        <v>43891</v>
      </c>
      <c r="B35" s="6">
        <f>'Summery Report'!E34</f>
        <v>0</v>
      </c>
      <c r="C35" s="6">
        <f>Gen!T40</f>
        <v>0</v>
      </c>
      <c r="D35" s="180">
        <f>Gen!S40</f>
        <v>0</v>
      </c>
      <c r="E35" s="180">
        <f>Gen!AJ40</f>
        <v>0</v>
      </c>
      <c r="F35" s="180">
        <f>Gen!AR40</f>
        <v>0</v>
      </c>
      <c r="G35" s="183">
        <f>'Utility report '!AC35</f>
        <v>0</v>
      </c>
      <c r="H35" s="183">
        <f>'Utility report '!AE35</f>
        <v>0</v>
      </c>
      <c r="I35" s="387">
        <f>'Water-Meter'!E35</f>
        <v>0</v>
      </c>
      <c r="J35" s="185">
        <f>'Lpg (2)'!B39</f>
        <v>0</v>
      </c>
      <c r="K35" s="185">
        <f>'Lpg (2)'!C39</f>
        <v>0</v>
      </c>
      <c r="L35" s="185">
        <f>'Lpg (2)'!D39</f>
        <v>0</v>
      </c>
      <c r="M35" s="608">
        <f>'Lpg (2)'!G39</f>
        <v>0</v>
      </c>
      <c r="N35" s="178">
        <f t="shared" si="2"/>
        <v>0</v>
      </c>
      <c r="O35" s="178">
        <f t="shared" si="2"/>
        <v>0</v>
      </c>
      <c r="P35" s="177" t="e">
        <f>'[1]Lpg (2)'!#REF!</f>
        <v>#REF!</v>
      </c>
      <c r="Q35" s="178" t="e">
        <f>'[1]Summery Report'!#REF!</f>
        <v>#REF!</v>
      </c>
      <c r="R35" s="178" t="e">
        <f t="shared" si="0"/>
        <v>#DIV/0!</v>
      </c>
      <c r="S35" s="615" t="e">
        <f t="shared" si="1"/>
        <v>#REF!</v>
      </c>
    </row>
    <row r="36" spans="1:20" ht="14.25">
      <c r="A36" s="614">
        <f>Gen!A41</f>
        <v>43892</v>
      </c>
      <c r="B36" s="6">
        <f>'Summery Report'!E35</f>
        <v>0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0</v>
      </c>
      <c r="H36" s="183">
        <f>'Utility report '!AE36</f>
        <v>0</v>
      </c>
      <c r="I36" s="387">
        <f>'Water-Meter'!E36</f>
        <v>0</v>
      </c>
      <c r="J36" s="185">
        <f>'Lpg (2)'!B40</f>
        <v>0</v>
      </c>
      <c r="K36" s="185">
        <f>'Lpg (2)'!C40</f>
        <v>0</v>
      </c>
      <c r="L36" s="185">
        <f>'Lpg (2)'!D40</f>
        <v>0</v>
      </c>
      <c r="M36" s="608">
        <f>'Lpg (2)'!G40</f>
        <v>0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 t="e">
        <f t="shared" si="0"/>
        <v>#DIV/0!</v>
      </c>
      <c r="S36" s="615" t="e">
        <f t="shared" si="1"/>
        <v>#REF!</v>
      </c>
    </row>
    <row r="37" spans="1:20" ht="14.25">
      <c r="A37" s="614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87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08">
        <f>'Lpg (2)'!G41</f>
        <v>0</v>
      </c>
      <c r="N37" s="6"/>
      <c r="O37" s="6"/>
      <c r="P37" s="6"/>
      <c r="Q37" s="178" t="e">
        <f>'[1]Summery Report'!#REF!</f>
        <v>#REF!</v>
      </c>
      <c r="R37" s="178" t="e">
        <f t="shared" si="0"/>
        <v>#DIV/0!</v>
      </c>
      <c r="S37" s="615" t="e">
        <f t="shared" si="1"/>
        <v>#REF!</v>
      </c>
    </row>
    <row r="38" spans="1:20" ht="14.25">
      <c r="A38" s="61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16"/>
    </row>
    <row r="39" spans="1:20" ht="13.5" thickBot="1">
      <c r="A39" s="55" t="s">
        <v>13</v>
      </c>
      <c r="B39" s="617">
        <f>SUM(B7:B37)</f>
        <v>378</v>
      </c>
      <c r="C39" s="617">
        <f>SUM(C7:C35)</f>
        <v>43397</v>
      </c>
      <c r="D39" s="617">
        <f>SUM(D7:D35)</f>
        <v>17685.14</v>
      </c>
      <c r="E39" s="617">
        <f t="shared" ref="E39:S39" si="3">SUM(E7:E35)</f>
        <v>1138.27</v>
      </c>
      <c r="F39" s="617">
        <f t="shared" si="3"/>
        <v>18823.41</v>
      </c>
      <c r="G39" s="617">
        <f t="shared" si="3"/>
        <v>-23950</v>
      </c>
      <c r="H39" s="617">
        <f t="shared" si="3"/>
        <v>-195178</v>
      </c>
      <c r="I39" s="617">
        <f t="shared" si="3"/>
        <v>966</v>
      </c>
      <c r="J39" s="617">
        <f t="shared" si="3"/>
        <v>680</v>
      </c>
      <c r="K39" s="617">
        <f t="shared" si="3"/>
        <v>565</v>
      </c>
      <c r="L39" s="617">
        <f t="shared" si="3"/>
        <v>22</v>
      </c>
      <c r="M39" s="617">
        <f t="shared" si="3"/>
        <v>-307350.91200000001</v>
      </c>
      <c r="N39" s="617">
        <f t="shared" si="3"/>
        <v>24759.196</v>
      </c>
      <c r="O39" s="617">
        <f t="shared" si="3"/>
        <v>1593.5779999999997</v>
      </c>
      <c r="P39" s="617" t="e">
        <f t="shared" si="3"/>
        <v>#REF!</v>
      </c>
      <c r="Q39" s="617" t="e">
        <f t="shared" si="3"/>
        <v>#REF!</v>
      </c>
      <c r="R39" s="617" t="e">
        <f t="shared" si="3"/>
        <v>#DIV/0!</v>
      </c>
      <c r="S39" s="618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4" zoomScale="85" zoomScalePageLayoutView="85" workbookViewId="0">
      <selection activeCell="T17" sqref="T1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68" t="s">
        <v>316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  <c r="AA1" s="769"/>
      <c r="AB1" s="769"/>
      <c r="AC1" s="769"/>
      <c r="AD1" s="769"/>
      <c r="AE1" s="769"/>
      <c r="AF1" s="769"/>
      <c r="AG1" s="769"/>
      <c r="AH1" s="769"/>
      <c r="AI1" s="769"/>
      <c r="AJ1" s="769"/>
      <c r="AK1" s="770"/>
    </row>
    <row r="2" spans="1:37" ht="61.5" customHeight="1" thickBot="1">
      <c r="A2" s="151" t="s">
        <v>99</v>
      </c>
      <c r="B2" s="771" t="s">
        <v>100</v>
      </c>
      <c r="C2" s="772"/>
      <c r="D2" s="773"/>
      <c r="E2" s="152"/>
      <c r="F2" s="152"/>
      <c r="G2" s="152"/>
      <c r="H2" s="149" t="s">
        <v>125</v>
      </c>
      <c r="I2" s="373" t="s">
        <v>101</v>
      </c>
      <c r="J2" s="776" t="s">
        <v>123</v>
      </c>
      <c r="K2" s="559"/>
      <c r="L2" s="778" t="s">
        <v>124</v>
      </c>
      <c r="M2" s="558" t="s">
        <v>102</v>
      </c>
      <c r="N2" s="776" t="s">
        <v>103</v>
      </c>
      <c r="O2" s="760" t="s">
        <v>104</v>
      </c>
      <c r="P2" s="761"/>
      <c r="Q2" s="761"/>
      <c r="R2" s="761"/>
      <c r="S2" s="761"/>
      <c r="T2" s="761"/>
      <c r="U2" s="761"/>
      <c r="V2" s="761"/>
      <c r="W2" s="761"/>
      <c r="X2" s="761"/>
      <c r="Y2" s="761"/>
      <c r="Z2" s="761"/>
      <c r="AA2" s="374" t="s">
        <v>105</v>
      </c>
      <c r="AB2" s="771" t="s">
        <v>165</v>
      </c>
      <c r="AC2" s="773"/>
      <c r="AD2" s="148">
        <v>0</v>
      </c>
      <c r="AE2" s="536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74">
        <f>SUM(D3/B3)</f>
        <v>1.3262195121951219</v>
      </c>
      <c r="G3" s="775"/>
      <c r="H3" s="132">
        <f>Gen!C11</f>
        <v>30982.31</v>
      </c>
      <c r="I3" s="142"/>
      <c r="J3" s="776"/>
      <c r="K3" s="559" t="s">
        <v>166</v>
      </c>
      <c r="L3" s="778"/>
      <c r="M3" s="375" t="s">
        <v>112</v>
      </c>
      <c r="N3" s="776"/>
      <c r="O3" s="760" t="s">
        <v>113</v>
      </c>
      <c r="P3" s="761"/>
      <c r="Q3" s="761"/>
      <c r="R3" s="761"/>
      <c r="S3" s="762" t="s">
        <v>114</v>
      </c>
      <c r="T3" s="763"/>
      <c r="U3" s="763"/>
      <c r="V3" s="764"/>
      <c r="W3" s="765" t="s">
        <v>115</v>
      </c>
      <c r="X3" s="766"/>
      <c r="Y3" s="766"/>
      <c r="Z3" s="767"/>
      <c r="AA3" s="376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76"/>
      <c r="K4" s="559"/>
      <c r="L4" s="778"/>
      <c r="M4" s="144"/>
      <c r="N4" s="777"/>
      <c r="O4" s="377" t="s">
        <v>174</v>
      </c>
      <c r="P4" s="378" t="s">
        <v>172</v>
      </c>
      <c r="Q4" s="378" t="s">
        <v>121</v>
      </c>
      <c r="R4" s="226" t="s">
        <v>173</v>
      </c>
      <c r="S4" s="377" t="s">
        <v>174</v>
      </c>
      <c r="T4" s="378" t="s">
        <v>172</v>
      </c>
      <c r="U4" s="378" t="s">
        <v>121</v>
      </c>
      <c r="V4" s="226" t="s">
        <v>173</v>
      </c>
      <c r="W4" s="377" t="s">
        <v>174</v>
      </c>
      <c r="X4" s="379" t="s">
        <v>314</v>
      </c>
      <c r="Y4" s="379" t="s">
        <v>121</v>
      </c>
      <c r="Z4" s="378" t="s">
        <v>173</v>
      </c>
      <c r="AA4" s="380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14"/>
      <c r="Q5" s="76"/>
      <c r="R5" s="233"/>
      <c r="S5" s="233"/>
      <c r="T5" s="654"/>
      <c r="U5" s="233"/>
      <c r="V5" s="233"/>
      <c r="W5" s="233"/>
      <c r="X5" s="652">
        <v>23125</v>
      </c>
      <c r="Y5" s="233"/>
      <c r="Z5" s="233"/>
      <c r="AA5" s="233"/>
      <c r="AB5" s="653">
        <v>23835</v>
      </c>
      <c r="AC5" s="139"/>
      <c r="AD5" s="514">
        <v>195125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43862</v>
      </c>
      <c r="B6" s="570">
        <f>'Summery Report'!E5</f>
        <v>18</v>
      </c>
      <c r="C6" s="159">
        <f>Gen!B11</f>
        <v>0.23380000000000001</v>
      </c>
      <c r="D6" s="571">
        <f>'Summery Report'!E5</f>
        <v>18</v>
      </c>
      <c r="E6" s="572">
        <f>SUM(F3)</f>
        <v>1.3262195121951219</v>
      </c>
      <c r="F6" s="573">
        <f>SUM(J6*E6)/D6</f>
        <v>134.44550304878049</v>
      </c>
      <c r="G6" s="573">
        <f t="shared" ref="G6:G36" si="0">SUM(L6*E6)/D6</f>
        <v>140.57632113821137</v>
      </c>
      <c r="H6" s="572">
        <f>Gen!C11</f>
        <v>30982.31</v>
      </c>
      <c r="I6" s="574">
        <f>Gen!E11</f>
        <v>0</v>
      </c>
      <c r="J6" s="143">
        <f>Gen!S11</f>
        <v>1824.75</v>
      </c>
      <c r="K6" s="143">
        <f>Gen!AJ11</f>
        <v>83.21</v>
      </c>
      <c r="L6" s="143">
        <f t="shared" ref="L6:L37" si="1">SUM(J6:K6)</f>
        <v>1907.96</v>
      </c>
      <c r="M6" s="607">
        <f>'Water-Meter'!K46</f>
        <v>574.19310789083931</v>
      </c>
      <c r="N6" s="222">
        <f>'Water-Meter'!E6</f>
        <v>113</v>
      </c>
      <c r="O6" s="233"/>
      <c r="P6" s="514"/>
      <c r="Q6" s="575">
        <f t="shared" ref="Q6:Q36" si="2">SUM(P6-P5)</f>
        <v>0</v>
      </c>
      <c r="R6" s="576">
        <f>SUM(Q6*O6)</f>
        <v>0</v>
      </c>
      <c r="S6" s="514"/>
      <c r="T6" s="654">
        <v>15719</v>
      </c>
      <c r="U6" s="575">
        <f>T6-T5</f>
        <v>15719</v>
      </c>
      <c r="V6" s="577" t="s">
        <v>248</v>
      </c>
      <c r="W6" s="233"/>
      <c r="X6" s="652">
        <v>23143</v>
      </c>
      <c r="Y6" s="575">
        <f>X6-X5</f>
        <v>18</v>
      </c>
      <c r="Z6" s="575">
        <f t="shared" ref="Z6:AA6" si="3">Y6-Y5</f>
        <v>18</v>
      </c>
      <c r="AA6" s="575">
        <f t="shared" si="3"/>
        <v>18</v>
      </c>
      <c r="AB6" s="653">
        <v>23950</v>
      </c>
      <c r="AC6" s="139">
        <f>AB6-AB5</f>
        <v>115</v>
      </c>
      <c r="AD6" s="514">
        <v>195178</v>
      </c>
      <c r="AE6" s="240">
        <f>AD6-AD5</f>
        <v>53</v>
      </c>
      <c r="AF6" s="351">
        <f>'Lpg (2)'!B10*2000/85</f>
        <v>2000</v>
      </c>
      <c r="AG6" s="352">
        <f>'Lpg (2)'!C10*1000/85</f>
        <v>1000</v>
      </c>
      <c r="AH6" s="353">
        <f>'Lpg (2)'!D10*1000/85</f>
        <v>211.76470588235293</v>
      </c>
      <c r="AI6" s="578">
        <f>SUM(AF6*2000)+(AG6*1000)+(AH6*1000)</f>
        <v>5211764.7058823528</v>
      </c>
      <c r="AJ6" s="579">
        <f t="shared" ref="AJ6:AJ36" si="4">SUM(AI5-AI6)</f>
        <v>-5211764.7058823528</v>
      </c>
      <c r="AK6" s="241"/>
    </row>
    <row r="7" spans="1:37" ht="19.5" thickBot="1">
      <c r="A7" s="95">
        <f>Gen!A12</f>
        <v>43863</v>
      </c>
      <c r="B7" s="570">
        <f>'Summery Report'!E6</f>
        <v>18</v>
      </c>
      <c r="C7" s="159">
        <f>Gen!B12</f>
        <v>0.23400000000000001</v>
      </c>
      <c r="D7" s="571">
        <f>'Summery Report'!E6</f>
        <v>18</v>
      </c>
      <c r="E7" s="572">
        <f>SUM(E6)</f>
        <v>1.3262195121951219</v>
      </c>
      <c r="F7" s="573">
        <f>SUM(J7*E7)/D7</f>
        <v>132.83193597560978</v>
      </c>
      <c r="G7" s="573">
        <f t="shared" si="0"/>
        <v>142.43892276422764</v>
      </c>
      <c r="H7" s="572">
        <f>Gen!C12</f>
        <v>29074.350000000002</v>
      </c>
      <c r="I7" s="574">
        <f>Gen!E12</f>
        <v>18000</v>
      </c>
      <c r="J7" s="143">
        <f>Gen!S12</f>
        <v>1802.8500000000001</v>
      </c>
      <c r="K7" s="143">
        <f>Gen!AJ12</f>
        <v>130.38999999999999</v>
      </c>
      <c r="L7" s="143">
        <f t="shared" si="1"/>
        <v>1933.2400000000002</v>
      </c>
      <c r="M7" s="607">
        <f>'Water-Meter'!K47</f>
        <v>533.64272049840906</v>
      </c>
      <c r="N7" s="222">
        <f>'Water-Meter'!E7</f>
        <v>97</v>
      </c>
      <c r="O7" s="233"/>
      <c r="P7" s="514">
        <v>18665</v>
      </c>
      <c r="Q7" s="575">
        <f t="shared" si="2"/>
        <v>18665</v>
      </c>
      <c r="R7" s="576">
        <f t="shared" ref="R7:R36" si="5">SUM(Q7*O7)</f>
        <v>0</v>
      </c>
      <c r="S7" s="514"/>
      <c r="T7" s="654">
        <v>15719</v>
      </c>
      <c r="U7" s="575">
        <f t="shared" ref="U7:U36" si="6">T7-T6</f>
        <v>0</v>
      </c>
      <c r="V7" s="577">
        <f t="shared" ref="V7:V9" si="7">SUM(U7*S7)</f>
        <v>0</v>
      </c>
      <c r="W7" s="233"/>
      <c r="X7" s="652">
        <v>23167</v>
      </c>
      <c r="Y7" s="575">
        <f t="shared" ref="Y7:Y36" si="8">X7-X6</f>
        <v>24</v>
      </c>
      <c r="Z7" s="577">
        <f t="shared" ref="Z7:Z36" si="9">SUM(Y7*W7)</f>
        <v>0</v>
      </c>
      <c r="AA7" s="577">
        <f t="shared" ref="AA7:AA36" si="10">SUM(Z7*X9)</f>
        <v>0</v>
      </c>
      <c r="AB7" s="653">
        <v>24051</v>
      </c>
      <c r="AC7" s="139">
        <f t="shared" ref="AC7:AC27" si="11">AB7-AB6</f>
        <v>101</v>
      </c>
      <c r="AD7" s="514">
        <v>195241</v>
      </c>
      <c r="AE7" s="240">
        <f>AD7-AD6</f>
        <v>63</v>
      </c>
      <c r="AF7" s="351">
        <f>'Lpg (2)'!B11*2000/85</f>
        <v>2000</v>
      </c>
      <c r="AG7" s="352">
        <f>'Lpg (2)'!C11*1000/85</f>
        <v>1000</v>
      </c>
      <c r="AH7" s="353">
        <f>'Lpg (2)'!D11*1000/85</f>
        <v>117.64705882352941</v>
      </c>
      <c r="AI7" s="580">
        <f t="shared" ref="AI7:AI14" si="12">SUM(AF6*2000)+(AG7*1000)+(AH7*1000)</f>
        <v>5117647.0588235296</v>
      </c>
      <c r="AJ7" s="579">
        <f t="shared" si="4"/>
        <v>94117.647058823146</v>
      </c>
      <c r="AK7" s="145"/>
    </row>
    <row r="8" spans="1:37" ht="19.5" thickBot="1">
      <c r="A8" s="95">
        <f>Gen!A13</f>
        <v>43864</v>
      </c>
      <c r="B8" s="570">
        <f>'Summery Report'!E7</f>
        <v>8</v>
      </c>
      <c r="C8" s="159">
        <f>Gen!B13</f>
        <v>0.104</v>
      </c>
      <c r="D8" s="571">
        <f>'Summery Report'!E7</f>
        <v>8</v>
      </c>
      <c r="E8" s="572">
        <f t="shared" ref="E8:E36" si="13">SUM(E7)</f>
        <v>1.3262195121951219</v>
      </c>
      <c r="F8" s="573">
        <f t="shared" ref="F8:F36" si="14">SUM(J8*E8)/D8</f>
        <v>318.44519817073171</v>
      </c>
      <c r="G8" s="573">
        <f t="shared" si="0"/>
        <v>348.07791539634144</v>
      </c>
      <c r="H8" s="572">
        <f>Gen!C13</f>
        <v>27141.11</v>
      </c>
      <c r="I8" s="574">
        <f>Gen!E13</f>
        <v>0</v>
      </c>
      <c r="J8" s="143">
        <f>Gen!S13</f>
        <v>1920.92</v>
      </c>
      <c r="K8" s="143">
        <f>Gen!AJ13</f>
        <v>178.75</v>
      </c>
      <c r="L8" s="143">
        <f t="shared" si="1"/>
        <v>2099.67</v>
      </c>
      <c r="M8" s="607">
        <f>'Water-Meter'!K48</f>
        <v>440.34107574358615</v>
      </c>
      <c r="N8" s="222">
        <f>'Water-Meter'!E8</f>
        <v>107</v>
      </c>
      <c r="O8" s="233"/>
      <c r="P8" s="514">
        <v>18665</v>
      </c>
      <c r="Q8" s="575">
        <f t="shared" si="2"/>
        <v>0</v>
      </c>
      <c r="R8" s="576">
        <f t="shared" si="5"/>
        <v>0</v>
      </c>
      <c r="S8" s="514"/>
      <c r="T8" s="654">
        <v>15719</v>
      </c>
      <c r="U8" s="575">
        <f t="shared" si="6"/>
        <v>0</v>
      </c>
      <c r="V8" s="577">
        <f t="shared" si="7"/>
        <v>0</v>
      </c>
      <c r="W8" s="514"/>
      <c r="X8" s="652">
        <v>23184.3</v>
      </c>
      <c r="Y8" s="575">
        <f t="shared" si="8"/>
        <v>17.299999999999272</v>
      </c>
      <c r="Z8" s="577">
        <f t="shared" si="9"/>
        <v>0</v>
      </c>
      <c r="AA8" s="577">
        <f t="shared" si="10"/>
        <v>0</v>
      </c>
      <c r="AB8" s="653">
        <v>24132</v>
      </c>
      <c r="AC8" s="139">
        <f t="shared" si="11"/>
        <v>81</v>
      </c>
      <c r="AD8" s="514">
        <v>195301</v>
      </c>
      <c r="AE8" s="240">
        <f t="shared" ref="AE8:AE37" si="15">AD8-AD7</f>
        <v>60</v>
      </c>
      <c r="AF8" s="351">
        <f>'Lpg (2)'!B12*2000/85</f>
        <v>2000</v>
      </c>
      <c r="AG8" s="352">
        <f>'Lpg (2)'!C12*1000/85</f>
        <v>1000</v>
      </c>
      <c r="AH8" s="353">
        <f>'Lpg (2)'!D12*1000/85</f>
        <v>82.352941176470594</v>
      </c>
      <c r="AI8" s="580">
        <f t="shared" si="12"/>
        <v>5082352.9411764704</v>
      </c>
      <c r="AJ8" s="579">
        <f t="shared" si="4"/>
        <v>35294.117647059262</v>
      </c>
      <c r="AK8" s="145"/>
    </row>
    <row r="9" spans="1:37" ht="19.5" thickBot="1">
      <c r="A9" s="95">
        <f>Gen!A14</f>
        <v>43865</v>
      </c>
      <c r="B9" s="570">
        <f>'Summery Report'!E8</f>
        <v>77</v>
      </c>
      <c r="C9" s="159">
        <f>Gen!B14</f>
        <v>1</v>
      </c>
      <c r="D9" s="571">
        <f>'Summery Report'!E8</f>
        <v>77</v>
      </c>
      <c r="E9" s="572">
        <f t="shared" si="13"/>
        <v>1.3262195121951219</v>
      </c>
      <c r="F9" s="573">
        <f t="shared" si="14"/>
        <v>40.632610072853971</v>
      </c>
      <c r="G9" s="573">
        <f t="shared" si="0"/>
        <v>42.176708504909719</v>
      </c>
      <c r="H9" s="572">
        <f>Gen!C14</f>
        <v>43041.440000000002</v>
      </c>
      <c r="I9" s="574">
        <f>Gen!E14</f>
        <v>0</v>
      </c>
      <c r="J9" s="143">
        <f>Gen!S14</f>
        <v>2359.12</v>
      </c>
      <c r="K9" s="143">
        <f>Gen!AJ14</f>
        <v>89.65</v>
      </c>
      <c r="L9" s="143">
        <f t="shared" si="1"/>
        <v>2448.77</v>
      </c>
      <c r="M9" s="607">
        <f>'Water-Meter'!K49</f>
        <v>339.08584581051218</v>
      </c>
      <c r="N9" s="222">
        <f>'Water-Meter'!E9</f>
        <v>139</v>
      </c>
      <c r="O9" s="233"/>
      <c r="P9" s="514">
        <v>18665</v>
      </c>
      <c r="Q9" s="575">
        <f t="shared" si="2"/>
        <v>0</v>
      </c>
      <c r="R9" s="576">
        <f t="shared" si="5"/>
        <v>0</v>
      </c>
      <c r="S9" s="514"/>
      <c r="T9" s="654">
        <v>15719</v>
      </c>
      <c r="U9" s="575">
        <f t="shared" si="6"/>
        <v>0</v>
      </c>
      <c r="V9" s="577">
        <f t="shared" si="7"/>
        <v>0</v>
      </c>
      <c r="W9" s="514"/>
      <c r="X9" s="652">
        <v>23208</v>
      </c>
      <c r="Y9" s="575">
        <f t="shared" si="8"/>
        <v>23.700000000000728</v>
      </c>
      <c r="Z9" s="577">
        <f t="shared" si="9"/>
        <v>0</v>
      </c>
      <c r="AA9" s="577">
        <f t="shared" si="10"/>
        <v>0</v>
      </c>
      <c r="AB9" s="653">
        <v>24232</v>
      </c>
      <c r="AC9" s="139">
        <f t="shared" si="11"/>
        <v>100</v>
      </c>
      <c r="AD9" s="514">
        <v>195364</v>
      </c>
      <c r="AE9" s="240">
        <f t="shared" si="15"/>
        <v>63</v>
      </c>
      <c r="AF9" s="351">
        <f>'Lpg (2)'!B13*2000/85</f>
        <v>2000</v>
      </c>
      <c r="AG9" s="352">
        <f>'Lpg (2)'!C13*1000/85</f>
        <v>1000</v>
      </c>
      <c r="AH9" s="353">
        <f>'Lpg (2)'!D13*1000/85</f>
        <v>58.823529411764703</v>
      </c>
      <c r="AI9" s="580">
        <f t="shared" si="12"/>
        <v>5058823.5294117648</v>
      </c>
      <c r="AJ9" s="579">
        <f t="shared" si="4"/>
        <v>23529.411764705554</v>
      </c>
      <c r="AK9" s="145"/>
    </row>
    <row r="10" spans="1:37" ht="19.5" thickBot="1">
      <c r="A10" s="95">
        <f>Gen!A15</f>
        <v>43866</v>
      </c>
      <c r="B10" s="570">
        <f>'Summery Report'!E9</f>
        <v>77</v>
      </c>
      <c r="C10" s="159">
        <f>Gen!B15</f>
        <v>1</v>
      </c>
      <c r="D10" s="571">
        <f>'Summery Report'!E9</f>
        <v>77</v>
      </c>
      <c r="E10" s="572">
        <f t="shared" si="13"/>
        <v>1.3262195121951219</v>
      </c>
      <c r="F10" s="573">
        <f t="shared" si="14"/>
        <v>38.869082594235032</v>
      </c>
      <c r="G10" s="573">
        <f t="shared" si="0"/>
        <v>41.095581248020274</v>
      </c>
      <c r="H10" s="572">
        <f>Gen!C15</f>
        <v>40592.670000000006</v>
      </c>
      <c r="I10" s="574">
        <f>Gen!E15</f>
        <v>0</v>
      </c>
      <c r="J10" s="143">
        <f>Gen!S15</f>
        <v>2256.73</v>
      </c>
      <c r="K10" s="143">
        <f>Gen!AJ15</f>
        <v>129.26999999999998</v>
      </c>
      <c r="L10" s="143">
        <f t="shared" si="1"/>
        <v>2386</v>
      </c>
      <c r="M10" s="607">
        <f>'Water-Meter'!K50</f>
        <v>383.76818958567151</v>
      </c>
      <c r="N10" s="222">
        <f>'Water-Meter'!E10</f>
        <v>141</v>
      </c>
      <c r="O10" s="233"/>
      <c r="P10" s="514">
        <v>18665</v>
      </c>
      <c r="Q10" s="575">
        <f t="shared" si="2"/>
        <v>0</v>
      </c>
      <c r="R10" s="576">
        <f t="shared" si="5"/>
        <v>0</v>
      </c>
      <c r="S10" s="514"/>
      <c r="T10" s="654">
        <v>15719</v>
      </c>
      <c r="U10" s="575">
        <f t="shared" si="6"/>
        <v>0</v>
      </c>
      <c r="V10" s="577">
        <f t="shared" ref="V10:V16" si="16">SUM(U10*S10)</f>
        <v>0</v>
      </c>
      <c r="W10" s="514">
        <v>4.8</v>
      </c>
      <c r="X10" s="652">
        <v>23251</v>
      </c>
      <c r="Y10" s="575">
        <f t="shared" si="8"/>
        <v>43</v>
      </c>
      <c r="Z10" s="577">
        <f t="shared" si="9"/>
        <v>206.4</v>
      </c>
      <c r="AA10" s="577">
        <f t="shared" si="10"/>
        <v>4807881.6000000006</v>
      </c>
      <c r="AB10" s="653">
        <v>24330</v>
      </c>
      <c r="AC10" s="139">
        <f t="shared" si="11"/>
        <v>98</v>
      </c>
      <c r="AD10" s="514">
        <v>195427</v>
      </c>
      <c r="AE10" s="240">
        <f t="shared" si="15"/>
        <v>63</v>
      </c>
      <c r="AF10" s="351">
        <f>'Lpg (2)'!B14*2000/85</f>
        <v>2000</v>
      </c>
      <c r="AG10" s="352">
        <f>'Lpg (2)'!C14*1000/85</f>
        <v>894.11764705882354</v>
      </c>
      <c r="AH10" s="353">
        <f>'Lpg (2)'!D14*1000/85</f>
        <v>0</v>
      </c>
      <c r="AI10" s="580">
        <f t="shared" si="12"/>
        <v>4894117.6470588231</v>
      </c>
      <c r="AJ10" s="579">
        <f t="shared" si="4"/>
        <v>164705.88235294167</v>
      </c>
      <c r="AK10" s="145"/>
    </row>
    <row r="11" spans="1:37" ht="19.5" thickBot="1">
      <c r="A11" s="95">
        <f>Gen!A16</f>
        <v>43867</v>
      </c>
      <c r="B11" s="570">
        <f>'Summery Report'!E10</f>
        <v>77</v>
      </c>
      <c r="C11" s="159">
        <f>Gen!B16</f>
        <v>1</v>
      </c>
      <c r="D11" s="571">
        <f>'Summery Report'!E10</f>
        <v>77</v>
      </c>
      <c r="E11" s="572">
        <f t="shared" si="13"/>
        <v>1.3262195121951219</v>
      </c>
      <c r="F11" s="573">
        <f t="shared" si="14"/>
        <v>42.912846452328154</v>
      </c>
      <c r="G11" s="573">
        <f t="shared" si="0"/>
        <v>46.144688390877405</v>
      </c>
      <c r="H11" s="572">
        <f>Gen!C16</f>
        <v>38206.670000000006</v>
      </c>
      <c r="I11" s="574">
        <f>Gen!E16</f>
        <v>0</v>
      </c>
      <c r="J11" s="143">
        <f>Gen!S16</f>
        <v>2491.5099999999998</v>
      </c>
      <c r="K11" s="143">
        <f>Gen!AJ16</f>
        <v>187.64</v>
      </c>
      <c r="L11" s="143">
        <f t="shared" si="1"/>
        <v>2679.1499999999996</v>
      </c>
      <c r="M11" s="607">
        <f>'Water-Meter'!K51</f>
        <v>370.15578176207504</v>
      </c>
      <c r="N11" s="222">
        <f>'Water-Meter'!E11</f>
        <v>129</v>
      </c>
      <c r="O11" s="233"/>
      <c r="P11" s="514">
        <v>18665</v>
      </c>
      <c r="Q11" s="575">
        <f t="shared" si="2"/>
        <v>0</v>
      </c>
      <c r="R11" s="576">
        <f t="shared" si="5"/>
        <v>0</v>
      </c>
      <c r="S11" s="514"/>
      <c r="T11" s="654">
        <v>15719</v>
      </c>
      <c r="U11" s="575">
        <f t="shared" si="6"/>
        <v>0</v>
      </c>
      <c r="V11" s="577">
        <f t="shared" si="16"/>
        <v>0</v>
      </c>
      <c r="W11" s="514">
        <v>4.8</v>
      </c>
      <c r="X11" s="652">
        <v>23274</v>
      </c>
      <c r="Y11" s="575">
        <f t="shared" si="8"/>
        <v>23</v>
      </c>
      <c r="Z11" s="577">
        <f t="shared" si="9"/>
        <v>110.39999999999999</v>
      </c>
      <c r="AA11" s="577">
        <f t="shared" si="10"/>
        <v>2574196.7999999998</v>
      </c>
      <c r="AB11" s="653">
        <v>24413</v>
      </c>
      <c r="AC11" s="139">
        <f t="shared" si="11"/>
        <v>83</v>
      </c>
      <c r="AD11" s="514">
        <v>195483</v>
      </c>
      <c r="AE11" s="240">
        <f t="shared" si="15"/>
        <v>56</v>
      </c>
      <c r="AF11" s="351">
        <f>'Lpg (2)'!B15*2000/85</f>
        <v>2000</v>
      </c>
      <c r="AG11" s="352">
        <f>'Lpg (2)'!C15*1000/85</f>
        <v>823.52941176470586</v>
      </c>
      <c r="AH11" s="353">
        <f>'Lpg (2)'!D15*1000/85</f>
        <v>0</v>
      </c>
      <c r="AI11" s="580">
        <f t="shared" si="12"/>
        <v>4823529.4117647056</v>
      </c>
      <c r="AJ11" s="579">
        <f t="shared" si="4"/>
        <v>70588.235294117592</v>
      </c>
      <c r="AK11" s="145"/>
    </row>
    <row r="12" spans="1:37" ht="19.5" thickBot="1">
      <c r="A12" s="95">
        <f>Gen!A17</f>
        <v>43868</v>
      </c>
      <c r="B12" s="570">
        <f>'Summery Report'!E11</f>
        <v>77</v>
      </c>
      <c r="C12" s="159">
        <f>Gen!B17</f>
        <v>1</v>
      </c>
      <c r="D12" s="571">
        <f>'Summery Report'!E11</f>
        <v>77</v>
      </c>
      <c r="E12" s="572">
        <f t="shared" si="13"/>
        <v>1.3262195121951219</v>
      </c>
      <c r="F12" s="573">
        <f t="shared" si="14"/>
        <v>38.662571270193212</v>
      </c>
      <c r="G12" s="573">
        <f t="shared" si="0"/>
        <v>42.16155171048463</v>
      </c>
      <c r="H12" s="572">
        <f>Gen!C17</f>
        <v>35527.520000000004</v>
      </c>
      <c r="I12" s="574">
        <f>Gen!E17</f>
        <v>0</v>
      </c>
      <c r="J12" s="143">
        <f>Gen!S17</f>
        <v>2244.7399999999998</v>
      </c>
      <c r="K12" s="143">
        <f>Gen!AJ17</f>
        <v>203.15</v>
      </c>
      <c r="L12" s="143">
        <f t="shared" si="1"/>
        <v>2447.89</v>
      </c>
      <c r="M12" s="607">
        <f>'Water-Meter'!K52</f>
        <v>390.16320449528638</v>
      </c>
      <c r="N12" s="222">
        <f>'Water-Meter'!E12</f>
        <v>129</v>
      </c>
      <c r="O12" s="233">
        <v>2.5</v>
      </c>
      <c r="P12" s="514">
        <v>18674</v>
      </c>
      <c r="Q12" s="575">
        <f t="shared" si="2"/>
        <v>9</v>
      </c>
      <c r="R12" s="576">
        <f t="shared" si="5"/>
        <v>22.5</v>
      </c>
      <c r="S12" s="514"/>
      <c r="T12" s="654">
        <v>15719</v>
      </c>
      <c r="U12" s="575">
        <f t="shared" si="6"/>
        <v>0</v>
      </c>
      <c r="V12" s="577">
        <f t="shared" si="16"/>
        <v>0</v>
      </c>
      <c r="W12" s="514">
        <v>4.7</v>
      </c>
      <c r="X12" s="652">
        <v>23294</v>
      </c>
      <c r="Y12" s="575">
        <f t="shared" si="8"/>
        <v>20</v>
      </c>
      <c r="Z12" s="577">
        <f t="shared" si="9"/>
        <v>94</v>
      </c>
      <c r="AA12" s="577">
        <f t="shared" si="10"/>
        <v>2194054</v>
      </c>
      <c r="AB12" s="653">
        <v>24516</v>
      </c>
      <c r="AC12" s="139">
        <f t="shared" si="11"/>
        <v>103</v>
      </c>
      <c r="AD12" s="514">
        <v>195483</v>
      </c>
      <c r="AE12" s="240">
        <f t="shared" si="15"/>
        <v>0</v>
      </c>
      <c r="AF12" s="351">
        <f>'Lpg (2)'!B16*2000/85</f>
        <v>2000</v>
      </c>
      <c r="AG12" s="352">
        <f>'Lpg (2)'!C16*1000/85</f>
        <v>705.88235294117646</v>
      </c>
      <c r="AH12" s="353">
        <f>'Lpg (2)'!D16*1000/85</f>
        <v>0</v>
      </c>
      <c r="AI12" s="580">
        <f t="shared" si="12"/>
        <v>4705882.3529411769</v>
      </c>
      <c r="AJ12" s="579">
        <f t="shared" si="4"/>
        <v>117647.0588235287</v>
      </c>
      <c r="AK12" s="145"/>
    </row>
    <row r="13" spans="1:37" ht="19.5" thickBot="1">
      <c r="A13" s="95">
        <f>Gen!A18</f>
        <v>43869</v>
      </c>
      <c r="B13" s="570">
        <f>'Summery Report'!E12</f>
        <v>13</v>
      </c>
      <c r="C13" s="159">
        <f>Gen!B18</f>
        <v>0.1429</v>
      </c>
      <c r="D13" s="571">
        <f>'Summery Report'!E12</f>
        <v>13</v>
      </c>
      <c r="E13" s="572">
        <f t="shared" si="13"/>
        <v>1.3262195121951219</v>
      </c>
      <c r="F13" s="573">
        <f t="shared" si="14"/>
        <v>262.12728658536582</v>
      </c>
      <c r="G13" s="573">
        <f t="shared" si="0"/>
        <v>267.91572467166975</v>
      </c>
      <c r="H13" s="572">
        <f>Gen!C18</f>
        <v>33079.630000000005</v>
      </c>
      <c r="I13" s="574">
        <f>Gen!E18</f>
        <v>0</v>
      </c>
      <c r="J13" s="143">
        <f>Gen!S18</f>
        <v>2569.4499999999998</v>
      </c>
      <c r="K13" s="143">
        <f>Gen!AJ18</f>
        <v>56.74</v>
      </c>
      <c r="L13" s="143">
        <f t="shared" si="1"/>
        <v>2626.1899999999996</v>
      </c>
      <c r="M13" s="607">
        <f>'Water-Meter'!K53</f>
        <v>329.19899637251564</v>
      </c>
      <c r="N13" s="222">
        <f>'Water-Meter'!E13</f>
        <v>128</v>
      </c>
      <c r="O13" s="233">
        <v>2.5</v>
      </c>
      <c r="P13" s="514">
        <v>18687</v>
      </c>
      <c r="Q13" s="575">
        <f t="shared" si="2"/>
        <v>13</v>
      </c>
      <c r="R13" s="576">
        <f t="shared" si="5"/>
        <v>32.5</v>
      </c>
      <c r="S13" s="514"/>
      <c r="T13" s="654">
        <v>15719</v>
      </c>
      <c r="U13" s="575">
        <f t="shared" si="6"/>
        <v>0</v>
      </c>
      <c r="V13" s="577">
        <f t="shared" si="16"/>
        <v>0</v>
      </c>
      <c r="W13" s="514">
        <v>5</v>
      </c>
      <c r="X13" s="652">
        <v>23317</v>
      </c>
      <c r="Y13" s="575">
        <f t="shared" si="8"/>
        <v>23</v>
      </c>
      <c r="Z13" s="577">
        <f t="shared" si="9"/>
        <v>115</v>
      </c>
      <c r="AA13" s="577">
        <f t="shared" si="10"/>
        <v>0</v>
      </c>
      <c r="AB13" s="653">
        <v>24621</v>
      </c>
      <c r="AC13" s="139">
        <f t="shared" si="11"/>
        <v>105</v>
      </c>
      <c r="AD13" s="514">
        <v>195483</v>
      </c>
      <c r="AE13" s="240">
        <f t="shared" si="15"/>
        <v>0</v>
      </c>
      <c r="AF13" s="351">
        <f>'Lpg (2)'!B17*2000/85</f>
        <v>2000</v>
      </c>
      <c r="AG13" s="352">
        <f>'Lpg (2)'!C17*1000/85</f>
        <v>647.05882352941171</v>
      </c>
      <c r="AH13" s="353">
        <f>'Lpg (2)'!D17*1000/85</f>
        <v>0</v>
      </c>
      <c r="AI13" s="580">
        <f t="shared" si="12"/>
        <v>4647058.823529412</v>
      </c>
      <c r="AJ13" s="579">
        <f t="shared" si="4"/>
        <v>58823.529411764815</v>
      </c>
      <c r="AK13" s="146"/>
    </row>
    <row r="14" spans="1:37" ht="19.5" thickBot="1">
      <c r="A14" s="95">
        <f>Gen!A19</f>
        <v>43870</v>
      </c>
      <c r="B14" s="570">
        <f>'Summery Report'!E13</f>
        <v>16</v>
      </c>
      <c r="C14" s="159">
        <f>Gen!B19</f>
        <v>0.19500000000000001</v>
      </c>
      <c r="D14" s="571">
        <f>'Summery Report'!E13</f>
        <v>16</v>
      </c>
      <c r="E14" s="572">
        <f t="shared" si="13"/>
        <v>1.3262195121951219</v>
      </c>
      <c r="F14" s="573">
        <f t="shared" si="14"/>
        <v>169.07806783536583</v>
      </c>
      <c r="G14" s="573">
        <f t="shared" si="0"/>
        <v>182.56240472560975</v>
      </c>
      <c r="H14" s="572">
        <f>Gen!C19</f>
        <v>45453.440000000002</v>
      </c>
      <c r="I14" s="574">
        <f>Gen!E19</f>
        <v>15000</v>
      </c>
      <c r="J14" s="143">
        <f>Gen!S19</f>
        <v>2039.82</v>
      </c>
      <c r="K14" s="143">
        <f>Gen!AJ19</f>
        <v>162.68</v>
      </c>
      <c r="L14" s="143">
        <f t="shared" si="1"/>
        <v>2202.5</v>
      </c>
      <c r="M14" s="607">
        <f>'Water-Meter'!K54</f>
        <v>382.48231944987202</v>
      </c>
      <c r="N14" s="222">
        <f>'Water-Meter'!E14</f>
        <v>96</v>
      </c>
      <c r="O14" s="233"/>
      <c r="P14" s="514">
        <v>18687</v>
      </c>
      <c r="Q14" s="575">
        <f t="shared" si="2"/>
        <v>0</v>
      </c>
      <c r="R14" s="576">
        <f t="shared" si="5"/>
        <v>0</v>
      </c>
      <c r="S14" s="514"/>
      <c r="T14" s="654">
        <v>15719</v>
      </c>
      <c r="U14" s="575">
        <f t="shared" si="6"/>
        <v>0</v>
      </c>
      <c r="V14" s="577">
        <f t="shared" si="16"/>
        <v>0</v>
      </c>
      <c r="W14" s="514">
        <v>5.2</v>
      </c>
      <c r="X14" s="652">
        <v>23341</v>
      </c>
      <c r="Y14" s="575">
        <f t="shared" si="8"/>
        <v>24</v>
      </c>
      <c r="Z14" s="577">
        <f t="shared" si="9"/>
        <v>124.80000000000001</v>
      </c>
      <c r="AA14" s="577">
        <f t="shared" si="10"/>
        <v>0</v>
      </c>
      <c r="AB14" s="653">
        <v>24757</v>
      </c>
      <c r="AC14" s="139">
        <f t="shared" si="11"/>
        <v>136</v>
      </c>
      <c r="AD14" s="514">
        <v>195483</v>
      </c>
      <c r="AE14" s="240">
        <f t="shared" si="15"/>
        <v>0</v>
      </c>
      <c r="AF14" s="351">
        <f>'Lpg (2)'!B18*2000/85</f>
        <v>2000</v>
      </c>
      <c r="AG14" s="352">
        <f>'Lpg (2)'!C18*1000/85</f>
        <v>576.47058823529414</v>
      </c>
      <c r="AH14" s="353">
        <f>'Lpg (2)'!D18*1000/85</f>
        <v>0</v>
      </c>
      <c r="AI14" s="580">
        <f t="shared" si="12"/>
        <v>4576470.5882352944</v>
      </c>
      <c r="AJ14" s="579">
        <f t="shared" si="4"/>
        <v>70588.235294117592</v>
      </c>
      <c r="AK14" s="145"/>
    </row>
    <row r="15" spans="1:37" ht="19.5" thickBot="1">
      <c r="A15" s="95">
        <f>Gen!A20</f>
        <v>43871</v>
      </c>
      <c r="B15" s="570">
        <f>'Summery Report'!E14</f>
        <v>15</v>
      </c>
      <c r="C15" s="159">
        <f>Gen!B20</f>
        <v>0.18179999999999999</v>
      </c>
      <c r="D15" s="571">
        <f>'Summery Report'!E14</f>
        <v>15</v>
      </c>
      <c r="E15" s="572">
        <f t="shared" si="13"/>
        <v>1.3262195121951219</v>
      </c>
      <c r="F15" s="573">
        <f t="shared" si="14"/>
        <v>0</v>
      </c>
      <c r="G15" s="573">
        <f t="shared" si="0"/>
        <v>0</v>
      </c>
      <c r="H15" s="572">
        <f>Gen!C20</f>
        <v>43250.94</v>
      </c>
      <c r="I15" s="574">
        <f>Gen!E20</f>
        <v>0</v>
      </c>
      <c r="J15" s="143">
        <f>Gen!S20</f>
        <v>0</v>
      </c>
      <c r="K15" s="143">
        <f>Gen!AJ20</f>
        <v>0</v>
      </c>
      <c r="L15" s="143">
        <f t="shared" si="1"/>
        <v>0</v>
      </c>
      <c r="M15" s="607">
        <f>'Water-Meter'!K55</f>
        <v>0</v>
      </c>
      <c r="N15" s="222" t="str">
        <f>'Water-Meter'!E15</f>
        <v>0</v>
      </c>
      <c r="O15" s="233"/>
      <c r="P15" s="514"/>
      <c r="Q15" s="575">
        <f t="shared" si="2"/>
        <v>-18687</v>
      </c>
      <c r="R15" s="576">
        <f t="shared" si="5"/>
        <v>0</v>
      </c>
      <c r="S15" s="514"/>
      <c r="T15" s="654"/>
      <c r="U15" s="575">
        <f t="shared" si="6"/>
        <v>-15719</v>
      </c>
      <c r="V15" s="577">
        <f t="shared" si="16"/>
        <v>0</v>
      </c>
      <c r="W15" s="514"/>
      <c r="X15" s="652"/>
      <c r="Y15" s="575">
        <f t="shared" si="8"/>
        <v>-23341</v>
      </c>
      <c r="Z15" s="577">
        <f t="shared" si="9"/>
        <v>0</v>
      </c>
      <c r="AA15" s="577">
        <f t="shared" si="10"/>
        <v>0</v>
      </c>
      <c r="AB15" s="653">
        <v>24878</v>
      </c>
      <c r="AC15" s="139">
        <f t="shared" si="11"/>
        <v>121</v>
      </c>
      <c r="AD15" s="514">
        <v>195532</v>
      </c>
      <c r="AE15" s="240">
        <f>AD15-AD14</f>
        <v>49</v>
      </c>
      <c r="AF15" s="351">
        <f>'Lpg (2)'!B19*2000/85</f>
        <v>0</v>
      </c>
      <c r="AG15" s="352">
        <f>'Lpg (2)'!C19*1000/85</f>
        <v>0</v>
      </c>
      <c r="AH15" s="353">
        <f>'Lpg (2)'!D19*1000/85</f>
        <v>0</v>
      </c>
      <c r="AI15" s="580">
        <f t="shared" ref="AI15:AI35" si="17">SUM(AF15*2000)+(AG15*1000)+(AH15*1000)</f>
        <v>0</v>
      </c>
      <c r="AJ15" s="579">
        <f t="shared" si="4"/>
        <v>4576470.5882352944</v>
      </c>
      <c r="AK15" s="145"/>
    </row>
    <row r="16" spans="1:37" ht="19.5" thickBot="1">
      <c r="A16" s="95">
        <f>Gen!A21</f>
        <v>43872</v>
      </c>
      <c r="B16" s="570">
        <f>'Summery Report'!E15</f>
        <v>0</v>
      </c>
      <c r="C16" s="159">
        <f>Gen!B21</f>
        <v>0</v>
      </c>
      <c r="D16" s="571">
        <f>'Summery Report'!E15</f>
        <v>0</v>
      </c>
      <c r="E16" s="572">
        <f t="shared" si="13"/>
        <v>1.3262195121951219</v>
      </c>
      <c r="F16" s="573" t="e">
        <f t="shared" si="14"/>
        <v>#DIV/0!</v>
      </c>
      <c r="G16" s="573" t="e">
        <f t="shared" si="0"/>
        <v>#DIV/0!</v>
      </c>
      <c r="H16" s="572">
        <f>Gen!C21</f>
        <v>43250.94</v>
      </c>
      <c r="I16" s="574">
        <f>Gen!E21</f>
        <v>0</v>
      </c>
      <c r="J16" s="143">
        <f>Gen!S21</f>
        <v>0</v>
      </c>
      <c r="K16" s="143">
        <f>Gen!AJ21</f>
        <v>0</v>
      </c>
      <c r="L16" s="143">
        <f t="shared" si="1"/>
        <v>0</v>
      </c>
      <c r="M16" s="607">
        <f>'Water-Meter'!K56</f>
        <v>0</v>
      </c>
      <c r="N16" s="222">
        <f>'Water-Meter'!E16</f>
        <v>0</v>
      </c>
      <c r="O16" s="233"/>
      <c r="P16" s="514"/>
      <c r="Q16" s="575">
        <f t="shared" si="2"/>
        <v>0</v>
      </c>
      <c r="R16" s="576">
        <f t="shared" si="5"/>
        <v>0</v>
      </c>
      <c r="S16" s="514"/>
      <c r="T16" s="654"/>
      <c r="U16" s="575">
        <f t="shared" si="6"/>
        <v>0</v>
      </c>
      <c r="V16" s="577">
        <f t="shared" si="16"/>
        <v>0</v>
      </c>
      <c r="W16" s="514"/>
      <c r="X16" s="652"/>
      <c r="Y16" s="575">
        <f t="shared" si="8"/>
        <v>0</v>
      </c>
      <c r="Z16" s="577">
        <f t="shared" si="9"/>
        <v>0</v>
      </c>
      <c r="AA16" s="577">
        <f t="shared" si="10"/>
        <v>0</v>
      </c>
      <c r="AB16" s="653"/>
      <c r="AC16" s="139">
        <f t="shared" si="11"/>
        <v>-24878</v>
      </c>
      <c r="AD16" s="514"/>
      <c r="AE16" s="240">
        <f t="shared" si="15"/>
        <v>-195532</v>
      </c>
      <c r="AF16" s="351">
        <f>'Lpg (2)'!B20*2000/85</f>
        <v>0</v>
      </c>
      <c r="AG16" s="352">
        <f>'Lpg (2)'!C20*1000/85</f>
        <v>0</v>
      </c>
      <c r="AH16" s="353">
        <f>'Lpg (2)'!D20*1000/85</f>
        <v>0</v>
      </c>
      <c r="AI16" s="580">
        <f t="shared" si="17"/>
        <v>0</v>
      </c>
      <c r="AJ16" s="579">
        <f t="shared" si="4"/>
        <v>0</v>
      </c>
      <c r="AK16" s="145"/>
    </row>
    <row r="17" spans="1:37" ht="19.5" thickBot="1">
      <c r="A17" s="95">
        <f>Gen!A22</f>
        <v>43873</v>
      </c>
      <c r="B17" s="570">
        <f>'Summery Report'!E16</f>
        <v>0</v>
      </c>
      <c r="C17" s="159">
        <f>Gen!B22</f>
        <v>0</v>
      </c>
      <c r="D17" s="571">
        <f>'Summery Report'!E16</f>
        <v>0</v>
      </c>
      <c r="E17" s="572">
        <f t="shared" si="13"/>
        <v>1.3262195121951219</v>
      </c>
      <c r="F17" s="573" t="e">
        <f t="shared" si="14"/>
        <v>#DIV/0!</v>
      </c>
      <c r="G17" s="573" t="e">
        <f t="shared" si="0"/>
        <v>#DIV/0!</v>
      </c>
      <c r="H17" s="572">
        <f>Gen!C22</f>
        <v>43250.94</v>
      </c>
      <c r="I17" s="574">
        <f>Gen!E22</f>
        <v>0</v>
      </c>
      <c r="J17" s="143">
        <f>Gen!S22</f>
        <v>0</v>
      </c>
      <c r="K17" s="143">
        <f>Gen!AJ22</f>
        <v>0</v>
      </c>
      <c r="L17" s="143">
        <f t="shared" si="1"/>
        <v>0</v>
      </c>
      <c r="M17" s="607">
        <f>'Water-Meter'!K57</f>
        <v>0</v>
      </c>
      <c r="N17" s="222">
        <f>'Water-Meter'!E17</f>
        <v>0</v>
      </c>
      <c r="O17" s="233"/>
      <c r="P17" s="514"/>
      <c r="Q17" s="575">
        <f>SUM(P18-P16)</f>
        <v>0</v>
      </c>
      <c r="R17" s="576">
        <f t="shared" si="5"/>
        <v>0</v>
      </c>
      <c r="S17" s="514"/>
      <c r="T17" s="654"/>
      <c r="U17" s="575">
        <f t="shared" si="6"/>
        <v>0</v>
      </c>
      <c r="V17" s="577">
        <f t="shared" ref="V17:V36" si="18">SUM(U17*S17)</f>
        <v>0</v>
      </c>
      <c r="W17" s="514"/>
      <c r="X17" s="652"/>
      <c r="Y17" s="575">
        <f t="shared" si="8"/>
        <v>0</v>
      </c>
      <c r="Z17" s="577">
        <f t="shared" si="9"/>
        <v>0</v>
      </c>
      <c r="AA17" s="577">
        <f t="shared" si="10"/>
        <v>0</v>
      </c>
      <c r="AB17" s="653"/>
      <c r="AC17" s="139">
        <f t="shared" si="11"/>
        <v>0</v>
      </c>
      <c r="AD17" s="514"/>
      <c r="AE17" s="240">
        <f t="shared" si="15"/>
        <v>0</v>
      </c>
      <c r="AF17" s="351">
        <f>'Lpg (2)'!B21*2000/85</f>
        <v>0</v>
      </c>
      <c r="AG17" s="352">
        <f>'Lpg (2)'!C21*1000/85</f>
        <v>0</v>
      </c>
      <c r="AH17" s="353">
        <f>'Lpg (2)'!D21*1000/85</f>
        <v>0</v>
      </c>
      <c r="AI17" s="580">
        <f t="shared" si="17"/>
        <v>0</v>
      </c>
      <c r="AJ17" s="579">
        <f t="shared" si="4"/>
        <v>0</v>
      </c>
      <c r="AK17" s="145"/>
    </row>
    <row r="18" spans="1:37" ht="19.5" thickBot="1">
      <c r="A18" s="95">
        <f>Gen!A23</f>
        <v>43874</v>
      </c>
      <c r="B18" s="570">
        <f>'Summery Report'!E17</f>
        <v>0</v>
      </c>
      <c r="C18" s="159">
        <f>Gen!B23</f>
        <v>0</v>
      </c>
      <c r="D18" s="571">
        <f>'Summery Report'!E17</f>
        <v>0</v>
      </c>
      <c r="E18" s="572">
        <f t="shared" si="13"/>
        <v>1.3262195121951219</v>
      </c>
      <c r="F18" s="573" t="e">
        <f t="shared" si="14"/>
        <v>#DIV/0!</v>
      </c>
      <c r="G18" s="573" t="e">
        <f t="shared" si="0"/>
        <v>#DIV/0!</v>
      </c>
      <c r="H18" s="572">
        <f>Gen!C23</f>
        <v>43250.94</v>
      </c>
      <c r="I18" s="574">
        <f>Gen!E23</f>
        <v>0</v>
      </c>
      <c r="J18" s="143">
        <f>Gen!S23</f>
        <v>0</v>
      </c>
      <c r="K18" s="143">
        <f>Gen!AJ23</f>
        <v>0</v>
      </c>
      <c r="L18" s="143">
        <f t="shared" si="1"/>
        <v>0</v>
      </c>
      <c r="M18" s="607">
        <f>'Water-Meter'!K58</f>
        <v>0</v>
      </c>
      <c r="N18" s="222">
        <f>'Water-Meter'!E18</f>
        <v>0</v>
      </c>
      <c r="O18" s="233"/>
      <c r="P18" s="514"/>
      <c r="Q18" s="575"/>
      <c r="R18" s="576">
        <f t="shared" si="5"/>
        <v>0</v>
      </c>
      <c r="S18" s="514"/>
      <c r="T18" s="654"/>
      <c r="U18" s="575">
        <f t="shared" si="6"/>
        <v>0</v>
      </c>
      <c r="V18" s="577">
        <f t="shared" si="18"/>
        <v>0</v>
      </c>
      <c r="W18" s="514"/>
      <c r="X18" s="652"/>
      <c r="Y18" s="575">
        <f t="shared" si="8"/>
        <v>0</v>
      </c>
      <c r="Z18" s="577">
        <f t="shared" si="9"/>
        <v>0</v>
      </c>
      <c r="AA18" s="577">
        <f t="shared" si="10"/>
        <v>0</v>
      </c>
      <c r="AB18" s="653"/>
      <c r="AC18" s="139">
        <f t="shared" si="11"/>
        <v>0</v>
      </c>
      <c r="AD18" s="514"/>
      <c r="AE18" s="240">
        <f t="shared" si="15"/>
        <v>0</v>
      </c>
      <c r="AF18" s="351">
        <f>'Lpg (2)'!B22*2000/85</f>
        <v>0</v>
      </c>
      <c r="AG18" s="352">
        <f>'Lpg (2)'!C22*1000/85</f>
        <v>0</v>
      </c>
      <c r="AH18" s="353">
        <f>'Lpg (2)'!D22*1000/85</f>
        <v>0</v>
      </c>
      <c r="AI18" s="580">
        <f t="shared" si="17"/>
        <v>0</v>
      </c>
      <c r="AJ18" s="579">
        <f t="shared" si="4"/>
        <v>0</v>
      </c>
      <c r="AK18" s="145"/>
    </row>
    <row r="19" spans="1:37" ht="19.5" thickBot="1">
      <c r="A19" s="95">
        <f>Gen!A24</f>
        <v>43875</v>
      </c>
      <c r="B19" s="570">
        <f>'Summery Report'!E18</f>
        <v>0</v>
      </c>
      <c r="C19" s="159">
        <f>Gen!B24</f>
        <v>0</v>
      </c>
      <c r="D19" s="571">
        <f>'Summery Report'!E18</f>
        <v>0</v>
      </c>
      <c r="E19" s="572">
        <f t="shared" si="13"/>
        <v>1.3262195121951219</v>
      </c>
      <c r="F19" s="573" t="e">
        <f t="shared" si="14"/>
        <v>#DIV/0!</v>
      </c>
      <c r="G19" s="573" t="e">
        <f t="shared" si="0"/>
        <v>#DIV/0!</v>
      </c>
      <c r="H19" s="572">
        <f>Gen!C24</f>
        <v>43250.94</v>
      </c>
      <c r="I19" s="574">
        <f>Gen!E24</f>
        <v>0</v>
      </c>
      <c r="J19" s="143">
        <f>Gen!S24</f>
        <v>0</v>
      </c>
      <c r="K19" s="143">
        <f>Gen!AJ24</f>
        <v>0</v>
      </c>
      <c r="L19" s="143">
        <f t="shared" si="1"/>
        <v>0</v>
      </c>
      <c r="M19" s="607">
        <f>'Water-Meter'!K59</f>
        <v>0</v>
      </c>
      <c r="N19" s="222">
        <f>'Water-Meter'!E19</f>
        <v>0</v>
      </c>
      <c r="O19" s="233"/>
      <c r="P19" s="514"/>
      <c r="Q19" s="575"/>
      <c r="R19" s="576">
        <f t="shared" si="5"/>
        <v>0</v>
      </c>
      <c r="S19" s="514"/>
      <c r="T19" s="654"/>
      <c r="U19" s="575">
        <f t="shared" si="6"/>
        <v>0</v>
      </c>
      <c r="V19" s="577">
        <f t="shared" si="18"/>
        <v>0</v>
      </c>
      <c r="W19" s="514"/>
      <c r="X19" s="652"/>
      <c r="Y19" s="575">
        <f t="shared" si="8"/>
        <v>0</v>
      </c>
      <c r="Z19" s="577">
        <f t="shared" si="9"/>
        <v>0</v>
      </c>
      <c r="AA19" s="577">
        <f t="shared" si="10"/>
        <v>0</v>
      </c>
      <c r="AB19" s="653"/>
      <c r="AC19" s="139">
        <f t="shared" si="11"/>
        <v>0</v>
      </c>
      <c r="AD19" s="514"/>
      <c r="AE19" s="240">
        <f t="shared" si="15"/>
        <v>0</v>
      </c>
      <c r="AF19" s="351">
        <f>'Lpg (2)'!B23*2000/85</f>
        <v>0</v>
      </c>
      <c r="AG19" s="352">
        <f>'Lpg (2)'!C23*1000/85</f>
        <v>0</v>
      </c>
      <c r="AH19" s="353">
        <f>'Lpg (2)'!D23*1000/85</f>
        <v>0</v>
      </c>
      <c r="AI19" s="580">
        <f t="shared" si="17"/>
        <v>0</v>
      </c>
      <c r="AJ19" s="579">
        <f t="shared" si="4"/>
        <v>0</v>
      </c>
      <c r="AK19" s="145"/>
    </row>
    <row r="20" spans="1:37" ht="19.5" thickBot="1">
      <c r="A20" s="95">
        <f>Gen!A25</f>
        <v>43876</v>
      </c>
      <c r="B20" s="570">
        <f>'Summery Report'!E19</f>
        <v>0</v>
      </c>
      <c r="C20" s="159">
        <f>Gen!B25</f>
        <v>0</v>
      </c>
      <c r="D20" s="571">
        <f>'Summery Report'!E19</f>
        <v>0</v>
      </c>
      <c r="E20" s="572">
        <f t="shared" si="13"/>
        <v>1.3262195121951219</v>
      </c>
      <c r="F20" s="573" t="e">
        <f t="shared" si="14"/>
        <v>#DIV/0!</v>
      </c>
      <c r="G20" s="573" t="e">
        <f t="shared" si="0"/>
        <v>#DIV/0!</v>
      </c>
      <c r="H20" s="572">
        <f>Gen!C25</f>
        <v>43250.94</v>
      </c>
      <c r="I20" s="574">
        <f>Gen!E25</f>
        <v>0</v>
      </c>
      <c r="J20" s="143">
        <f>Gen!S25</f>
        <v>0</v>
      </c>
      <c r="K20" s="143">
        <f>Gen!AJ25</f>
        <v>0</v>
      </c>
      <c r="L20" s="143">
        <f t="shared" si="1"/>
        <v>0</v>
      </c>
      <c r="M20" s="607">
        <f>'Water-Meter'!K60</f>
        <v>0</v>
      </c>
      <c r="N20" s="222">
        <f>'Water-Meter'!E20</f>
        <v>0</v>
      </c>
      <c r="O20" s="233"/>
      <c r="P20" s="514"/>
      <c r="Q20" s="575">
        <f t="shared" si="2"/>
        <v>0</v>
      </c>
      <c r="R20" s="576">
        <f t="shared" si="5"/>
        <v>0</v>
      </c>
      <c r="S20" s="514"/>
      <c r="T20" s="654"/>
      <c r="U20" s="575">
        <f t="shared" si="6"/>
        <v>0</v>
      </c>
      <c r="V20" s="577">
        <f t="shared" si="18"/>
        <v>0</v>
      </c>
      <c r="W20" s="514"/>
      <c r="X20" s="652"/>
      <c r="Y20" s="575">
        <f t="shared" si="8"/>
        <v>0</v>
      </c>
      <c r="Z20" s="577">
        <f t="shared" si="9"/>
        <v>0</v>
      </c>
      <c r="AA20" s="577">
        <f t="shared" si="10"/>
        <v>0</v>
      </c>
      <c r="AB20" s="653"/>
      <c r="AC20" s="139">
        <f t="shared" si="11"/>
        <v>0</v>
      </c>
      <c r="AD20" s="514"/>
      <c r="AE20" s="240">
        <f t="shared" si="15"/>
        <v>0</v>
      </c>
      <c r="AF20" s="351">
        <f>'Lpg (2)'!B24*2000/85</f>
        <v>0</v>
      </c>
      <c r="AG20" s="352">
        <f>'Lpg (2)'!C24*1000/85</f>
        <v>0</v>
      </c>
      <c r="AH20" s="353">
        <f>'Lpg (2)'!D24*1000/85</f>
        <v>0</v>
      </c>
      <c r="AI20" s="580">
        <f t="shared" si="17"/>
        <v>0</v>
      </c>
      <c r="AJ20" s="579">
        <f t="shared" si="4"/>
        <v>0</v>
      </c>
      <c r="AK20" s="145"/>
    </row>
    <row r="21" spans="1:37" ht="19.5" thickBot="1">
      <c r="A21" s="95">
        <f>Gen!A26</f>
        <v>43877</v>
      </c>
      <c r="B21" s="570">
        <f>'Summery Report'!E20</f>
        <v>0</v>
      </c>
      <c r="C21" s="159">
        <f>Gen!B26</f>
        <v>0</v>
      </c>
      <c r="D21" s="571">
        <f>'Summery Report'!E20</f>
        <v>0</v>
      </c>
      <c r="E21" s="572">
        <f t="shared" si="13"/>
        <v>1.3262195121951219</v>
      </c>
      <c r="F21" s="573" t="e">
        <f t="shared" si="14"/>
        <v>#DIV/0!</v>
      </c>
      <c r="G21" s="573" t="e">
        <f t="shared" si="0"/>
        <v>#DIV/0!</v>
      </c>
      <c r="H21" s="572">
        <f>Gen!C26</f>
        <v>43250.94</v>
      </c>
      <c r="I21" s="574">
        <f>Gen!E26</f>
        <v>18000</v>
      </c>
      <c r="J21" s="143">
        <f>Gen!S26</f>
        <v>0</v>
      </c>
      <c r="K21" s="143">
        <f>Gen!AJ26</f>
        <v>0</v>
      </c>
      <c r="L21" s="143">
        <f t="shared" si="1"/>
        <v>0</v>
      </c>
      <c r="M21" s="607">
        <f>'Water-Meter'!K61</f>
        <v>0</v>
      </c>
      <c r="N21" s="222">
        <f>'Water-Meter'!E21</f>
        <v>0</v>
      </c>
      <c r="O21" s="233"/>
      <c r="P21" s="514"/>
      <c r="Q21" s="575">
        <f t="shared" si="2"/>
        <v>0</v>
      </c>
      <c r="R21" s="576">
        <f t="shared" si="5"/>
        <v>0</v>
      </c>
      <c r="S21" s="514"/>
      <c r="T21" s="654"/>
      <c r="U21" s="575">
        <f t="shared" si="6"/>
        <v>0</v>
      </c>
      <c r="V21" s="577">
        <f t="shared" si="18"/>
        <v>0</v>
      </c>
      <c r="W21" s="514"/>
      <c r="X21" s="652"/>
      <c r="Y21" s="575">
        <f t="shared" si="8"/>
        <v>0</v>
      </c>
      <c r="Z21" s="577">
        <f t="shared" si="9"/>
        <v>0</v>
      </c>
      <c r="AA21" s="577">
        <f t="shared" si="10"/>
        <v>0</v>
      </c>
      <c r="AB21" s="653"/>
      <c r="AC21" s="139">
        <f t="shared" si="11"/>
        <v>0</v>
      </c>
      <c r="AD21" s="514"/>
      <c r="AE21" s="240">
        <f t="shared" si="15"/>
        <v>0</v>
      </c>
      <c r="AF21" s="351">
        <f>'Lpg (2)'!B25*2000/85</f>
        <v>0</v>
      </c>
      <c r="AG21" s="352">
        <f>'Lpg (2)'!C25*1000/85</f>
        <v>0</v>
      </c>
      <c r="AH21" s="353">
        <f>'Lpg (2)'!D25*1000/85</f>
        <v>0</v>
      </c>
      <c r="AI21" s="580">
        <f t="shared" si="17"/>
        <v>0</v>
      </c>
      <c r="AJ21" s="579">
        <f t="shared" si="4"/>
        <v>0</v>
      </c>
      <c r="AK21" s="145"/>
    </row>
    <row r="22" spans="1:37" ht="19.5" thickBot="1">
      <c r="A22" s="95">
        <f>Gen!A27</f>
        <v>43878</v>
      </c>
      <c r="B22" s="570">
        <f>'Summery Report'!E21</f>
        <v>0</v>
      </c>
      <c r="C22" s="159">
        <f>Gen!B27</f>
        <v>0</v>
      </c>
      <c r="D22" s="571">
        <f>'Summery Report'!E21</f>
        <v>0</v>
      </c>
      <c r="E22" s="572">
        <f t="shared" si="13"/>
        <v>1.3262195121951219</v>
      </c>
      <c r="F22" s="573" t="e">
        <f t="shared" si="14"/>
        <v>#DIV/0!</v>
      </c>
      <c r="G22" s="573" t="e">
        <f t="shared" si="0"/>
        <v>#DIV/0!</v>
      </c>
      <c r="H22" s="572">
        <f>Gen!C27</f>
        <v>43250.94</v>
      </c>
      <c r="I22" s="574">
        <f>Gen!E27</f>
        <v>0</v>
      </c>
      <c r="J22" s="143">
        <f>Gen!S27</f>
        <v>0</v>
      </c>
      <c r="K22" s="143">
        <f>Gen!AJ27</f>
        <v>0</v>
      </c>
      <c r="L22" s="143">
        <f t="shared" si="1"/>
        <v>0</v>
      </c>
      <c r="M22" s="607">
        <f>'Water-Meter'!K62</f>
        <v>0</v>
      </c>
      <c r="N22" s="222">
        <f>'Water-Meter'!E22</f>
        <v>0</v>
      </c>
      <c r="O22" s="233"/>
      <c r="P22" s="514"/>
      <c r="Q22" s="575">
        <f t="shared" si="2"/>
        <v>0</v>
      </c>
      <c r="R22" s="576">
        <f t="shared" si="5"/>
        <v>0</v>
      </c>
      <c r="S22" s="514"/>
      <c r="T22" s="654"/>
      <c r="U22" s="575">
        <f t="shared" si="6"/>
        <v>0</v>
      </c>
      <c r="V22" s="577">
        <f t="shared" si="18"/>
        <v>0</v>
      </c>
      <c r="W22" s="514"/>
      <c r="X22" s="652"/>
      <c r="Y22" s="575">
        <f t="shared" si="8"/>
        <v>0</v>
      </c>
      <c r="Z22" s="577">
        <f t="shared" si="9"/>
        <v>0</v>
      </c>
      <c r="AA22" s="577">
        <f t="shared" si="10"/>
        <v>0</v>
      </c>
      <c r="AB22" s="653"/>
      <c r="AC22" s="139">
        <f t="shared" si="11"/>
        <v>0</v>
      </c>
      <c r="AD22" s="514"/>
      <c r="AE22" s="240">
        <f t="shared" si="15"/>
        <v>0</v>
      </c>
      <c r="AF22" s="351">
        <f>'Lpg (2)'!B26*2000/85</f>
        <v>0</v>
      </c>
      <c r="AG22" s="352">
        <f>'Lpg (2)'!C26*1000/85</f>
        <v>0</v>
      </c>
      <c r="AH22" s="353">
        <f>'Lpg (2)'!D26*1000/85</f>
        <v>0</v>
      </c>
      <c r="AI22" s="580">
        <f t="shared" si="17"/>
        <v>0</v>
      </c>
      <c r="AJ22" s="579">
        <f t="shared" si="4"/>
        <v>0</v>
      </c>
      <c r="AK22" s="145"/>
    </row>
    <row r="23" spans="1:37" ht="19.5" thickBot="1">
      <c r="A23" s="95">
        <f>Gen!A28</f>
        <v>43879</v>
      </c>
      <c r="B23" s="570">
        <f>'Summery Report'!E22</f>
        <v>0</v>
      </c>
      <c r="C23" s="159">
        <f>Gen!B28</f>
        <v>0</v>
      </c>
      <c r="D23" s="571">
        <f>'Summery Report'!E22</f>
        <v>0</v>
      </c>
      <c r="E23" s="572">
        <f t="shared" si="13"/>
        <v>1.3262195121951219</v>
      </c>
      <c r="F23" s="573" t="e">
        <f t="shared" si="14"/>
        <v>#DIV/0!</v>
      </c>
      <c r="G23" s="573" t="e">
        <f t="shared" si="0"/>
        <v>#DIV/0!</v>
      </c>
      <c r="H23" s="572">
        <f>Gen!C28</f>
        <v>43250.94</v>
      </c>
      <c r="I23" s="574">
        <f>Gen!E28</f>
        <v>0</v>
      </c>
      <c r="J23" s="143">
        <f>Gen!S28</f>
        <v>0</v>
      </c>
      <c r="K23" s="143">
        <f>Gen!AJ28</f>
        <v>0</v>
      </c>
      <c r="L23" s="143">
        <f t="shared" si="1"/>
        <v>0</v>
      </c>
      <c r="M23" s="607">
        <f>'Water-Meter'!K63</f>
        <v>0</v>
      </c>
      <c r="N23" s="222">
        <f>'Water-Meter'!E23</f>
        <v>0</v>
      </c>
      <c r="O23" s="233"/>
      <c r="P23" s="514"/>
      <c r="Q23" s="575">
        <f t="shared" si="2"/>
        <v>0</v>
      </c>
      <c r="R23" s="576">
        <f t="shared" si="5"/>
        <v>0</v>
      </c>
      <c r="S23" s="514"/>
      <c r="T23" s="654"/>
      <c r="U23" s="575">
        <f t="shared" si="6"/>
        <v>0</v>
      </c>
      <c r="V23" s="577">
        <f t="shared" si="18"/>
        <v>0</v>
      </c>
      <c r="W23" s="514"/>
      <c r="X23" s="652"/>
      <c r="Y23" s="575">
        <f t="shared" si="8"/>
        <v>0</v>
      </c>
      <c r="Z23" s="577">
        <f t="shared" si="9"/>
        <v>0</v>
      </c>
      <c r="AA23" s="577">
        <f t="shared" si="10"/>
        <v>0</v>
      </c>
      <c r="AB23" s="653"/>
      <c r="AC23" s="139">
        <f t="shared" si="11"/>
        <v>0</v>
      </c>
      <c r="AD23" s="514"/>
      <c r="AE23" s="240">
        <f t="shared" si="15"/>
        <v>0</v>
      </c>
      <c r="AF23" s="351">
        <f>'Lpg (2)'!B27*2000/85</f>
        <v>0</v>
      </c>
      <c r="AG23" s="352">
        <f>'Lpg (2)'!C27*1000/85</f>
        <v>0</v>
      </c>
      <c r="AH23" s="353">
        <f>'Lpg (2)'!D27*1000/85</f>
        <v>0</v>
      </c>
      <c r="AI23" s="580">
        <f t="shared" si="17"/>
        <v>0</v>
      </c>
      <c r="AJ23" s="579">
        <f t="shared" si="4"/>
        <v>0</v>
      </c>
      <c r="AK23" s="145"/>
    </row>
    <row r="24" spans="1:37" ht="19.5" thickBot="1">
      <c r="A24" s="95">
        <f>Gen!A29</f>
        <v>43880</v>
      </c>
      <c r="B24" s="570">
        <f>'Summery Report'!E23</f>
        <v>0</v>
      </c>
      <c r="C24" s="159">
        <f>Gen!B29</f>
        <v>0</v>
      </c>
      <c r="D24" s="571">
        <f>'Summery Report'!E23</f>
        <v>0</v>
      </c>
      <c r="E24" s="572">
        <f t="shared" si="13"/>
        <v>1.3262195121951219</v>
      </c>
      <c r="F24" s="573" t="e">
        <f t="shared" si="14"/>
        <v>#DIV/0!</v>
      </c>
      <c r="G24" s="573" t="e">
        <f t="shared" si="0"/>
        <v>#DIV/0!</v>
      </c>
      <c r="H24" s="572">
        <f>Gen!C29</f>
        <v>43250.94</v>
      </c>
      <c r="I24" s="574">
        <f>Gen!E29</f>
        <v>0</v>
      </c>
      <c r="J24" s="143">
        <f>Gen!S29</f>
        <v>0</v>
      </c>
      <c r="K24" s="143">
        <f>Gen!AJ29</f>
        <v>0</v>
      </c>
      <c r="L24" s="143">
        <f t="shared" si="1"/>
        <v>0</v>
      </c>
      <c r="M24" s="607">
        <f>'Water-Meter'!K64</f>
        <v>0</v>
      </c>
      <c r="N24" s="222">
        <f>'Water-Meter'!E24</f>
        <v>0</v>
      </c>
      <c r="O24" s="233"/>
      <c r="P24" s="514"/>
      <c r="Q24" s="575">
        <f t="shared" si="2"/>
        <v>0</v>
      </c>
      <c r="R24" s="576">
        <f t="shared" si="5"/>
        <v>0</v>
      </c>
      <c r="S24" s="514"/>
      <c r="T24" s="654"/>
      <c r="U24" s="575">
        <f t="shared" si="6"/>
        <v>0</v>
      </c>
      <c r="V24" s="577">
        <f t="shared" si="18"/>
        <v>0</v>
      </c>
      <c r="W24" s="514"/>
      <c r="X24" s="652"/>
      <c r="Y24" s="575">
        <f t="shared" si="8"/>
        <v>0</v>
      </c>
      <c r="Z24" s="577">
        <f t="shared" si="9"/>
        <v>0</v>
      </c>
      <c r="AA24" s="577">
        <f t="shared" si="10"/>
        <v>0</v>
      </c>
      <c r="AB24" s="653"/>
      <c r="AC24" s="139">
        <f t="shared" si="11"/>
        <v>0</v>
      </c>
      <c r="AD24" s="514"/>
      <c r="AE24" s="240">
        <f t="shared" si="15"/>
        <v>0</v>
      </c>
      <c r="AF24" s="351">
        <f>'Lpg (2)'!B28*2000/85</f>
        <v>0</v>
      </c>
      <c r="AG24" s="352">
        <f>'Lpg (2)'!C28*1000/85</f>
        <v>0</v>
      </c>
      <c r="AH24" s="353">
        <f>'Lpg (2)'!D28*1000/85</f>
        <v>0</v>
      </c>
      <c r="AI24" s="580">
        <f t="shared" si="17"/>
        <v>0</v>
      </c>
      <c r="AJ24" s="579">
        <f t="shared" si="4"/>
        <v>0</v>
      </c>
      <c r="AK24" s="145"/>
    </row>
    <row r="25" spans="1:37" ht="19.5" thickBot="1">
      <c r="A25" s="95">
        <f>Gen!A30</f>
        <v>43881</v>
      </c>
      <c r="B25" s="570">
        <f>'Summery Report'!E24</f>
        <v>0</v>
      </c>
      <c r="C25" s="159">
        <f>Gen!B30</f>
        <v>0</v>
      </c>
      <c r="D25" s="571">
        <f>'Summery Report'!E24</f>
        <v>0</v>
      </c>
      <c r="E25" s="572">
        <f t="shared" si="13"/>
        <v>1.3262195121951219</v>
      </c>
      <c r="F25" s="573" t="e">
        <f t="shared" si="14"/>
        <v>#DIV/0!</v>
      </c>
      <c r="G25" s="573" t="e">
        <f t="shared" si="0"/>
        <v>#DIV/0!</v>
      </c>
      <c r="H25" s="572">
        <f>Gen!C30</f>
        <v>43250.94</v>
      </c>
      <c r="I25" s="574">
        <f>Gen!E30</f>
        <v>0</v>
      </c>
      <c r="J25" s="143">
        <f>Gen!S30</f>
        <v>0</v>
      </c>
      <c r="K25" s="143">
        <f>Gen!AJ30</f>
        <v>0</v>
      </c>
      <c r="L25" s="143">
        <f t="shared" si="1"/>
        <v>0</v>
      </c>
      <c r="M25" s="607">
        <f>'Water-Meter'!K65</f>
        <v>0</v>
      </c>
      <c r="N25" s="222">
        <f>'Water-Meter'!E25</f>
        <v>0</v>
      </c>
      <c r="O25" s="233"/>
      <c r="P25" s="514"/>
      <c r="Q25" s="575">
        <f t="shared" si="2"/>
        <v>0</v>
      </c>
      <c r="R25" s="576">
        <f t="shared" si="5"/>
        <v>0</v>
      </c>
      <c r="S25" s="514"/>
      <c r="T25" s="654"/>
      <c r="U25" s="575">
        <f t="shared" si="6"/>
        <v>0</v>
      </c>
      <c r="V25" s="577">
        <f t="shared" si="18"/>
        <v>0</v>
      </c>
      <c r="W25" s="514"/>
      <c r="X25" s="652"/>
      <c r="Y25" s="575">
        <f t="shared" si="8"/>
        <v>0</v>
      </c>
      <c r="Z25" s="577">
        <f t="shared" si="9"/>
        <v>0</v>
      </c>
      <c r="AA25" s="577">
        <f t="shared" si="10"/>
        <v>0</v>
      </c>
      <c r="AB25" s="653"/>
      <c r="AC25" s="139">
        <f t="shared" si="11"/>
        <v>0</v>
      </c>
      <c r="AD25" s="514"/>
      <c r="AE25" s="240">
        <f t="shared" si="15"/>
        <v>0</v>
      </c>
      <c r="AF25" s="351">
        <f>'Lpg (2)'!B29*2000/85</f>
        <v>0</v>
      </c>
      <c r="AG25" s="352">
        <f>'Lpg (2)'!C29*1000/85</f>
        <v>0</v>
      </c>
      <c r="AH25" s="353">
        <f>'Lpg (2)'!D29*1000/85</f>
        <v>0</v>
      </c>
      <c r="AI25" s="580">
        <f t="shared" si="17"/>
        <v>0</v>
      </c>
      <c r="AJ25" s="579">
        <f t="shared" si="4"/>
        <v>0</v>
      </c>
      <c r="AK25" s="145"/>
    </row>
    <row r="26" spans="1:37" ht="19.5" thickBot="1">
      <c r="A26" s="95">
        <f>Gen!A31</f>
        <v>43882</v>
      </c>
      <c r="B26" s="570">
        <f>'Summery Report'!E25</f>
        <v>0</v>
      </c>
      <c r="C26" s="159">
        <f>Gen!B31</f>
        <v>0</v>
      </c>
      <c r="D26" s="571">
        <f>'Summery Report'!E25</f>
        <v>0</v>
      </c>
      <c r="E26" s="572">
        <f t="shared" si="13"/>
        <v>1.3262195121951219</v>
      </c>
      <c r="F26" s="573" t="e">
        <f>SUM(J26*E26)/D26</f>
        <v>#DIV/0!</v>
      </c>
      <c r="G26" s="573" t="e">
        <f t="shared" si="0"/>
        <v>#DIV/0!</v>
      </c>
      <c r="H26" s="572">
        <f>Gen!C31</f>
        <v>43250.94</v>
      </c>
      <c r="I26" s="574">
        <f>Gen!E31</f>
        <v>0</v>
      </c>
      <c r="J26" s="143">
        <f>Gen!S31</f>
        <v>0</v>
      </c>
      <c r="K26" s="143">
        <f>Gen!AJ31</f>
        <v>0</v>
      </c>
      <c r="L26" s="143">
        <f t="shared" si="1"/>
        <v>0</v>
      </c>
      <c r="M26" s="607">
        <f>'Water-Meter'!K66</f>
        <v>0</v>
      </c>
      <c r="N26" s="222">
        <f>'Water-Meter'!E26</f>
        <v>0</v>
      </c>
      <c r="O26" s="233"/>
      <c r="P26" s="514"/>
      <c r="Q26" s="575">
        <f t="shared" si="2"/>
        <v>0</v>
      </c>
      <c r="R26" s="576">
        <f t="shared" si="5"/>
        <v>0</v>
      </c>
      <c r="S26" s="514"/>
      <c r="T26" s="654"/>
      <c r="U26" s="575">
        <f t="shared" si="6"/>
        <v>0</v>
      </c>
      <c r="V26" s="577">
        <f t="shared" si="18"/>
        <v>0</v>
      </c>
      <c r="W26" s="514"/>
      <c r="X26" s="652"/>
      <c r="Y26" s="575">
        <f t="shared" si="8"/>
        <v>0</v>
      </c>
      <c r="Z26" s="577">
        <f t="shared" si="9"/>
        <v>0</v>
      </c>
      <c r="AA26" s="577">
        <f t="shared" si="10"/>
        <v>0</v>
      </c>
      <c r="AB26" s="653"/>
      <c r="AC26" s="139">
        <f t="shared" si="11"/>
        <v>0</v>
      </c>
      <c r="AD26" s="514"/>
      <c r="AE26" s="240">
        <f t="shared" si="15"/>
        <v>0</v>
      </c>
      <c r="AF26" s="351">
        <f>'Lpg (2)'!B30*2000/85</f>
        <v>0</v>
      </c>
      <c r="AG26" s="352">
        <f>'Lpg (2)'!C30*1000/85</f>
        <v>0</v>
      </c>
      <c r="AH26" s="353">
        <f>'Lpg (2)'!D30*1000/85</f>
        <v>0</v>
      </c>
      <c r="AI26" s="580">
        <f t="shared" si="17"/>
        <v>0</v>
      </c>
      <c r="AJ26" s="579">
        <f t="shared" si="4"/>
        <v>0</v>
      </c>
      <c r="AK26" s="145"/>
    </row>
    <row r="27" spans="1:37" ht="19.5" thickBot="1">
      <c r="A27" s="95">
        <f>Gen!A32</f>
        <v>43883</v>
      </c>
      <c r="B27" s="570">
        <f>'Summery Report'!E26</f>
        <v>0</v>
      </c>
      <c r="C27" s="159">
        <f>Gen!B32</f>
        <v>0</v>
      </c>
      <c r="D27" s="571">
        <f>'Summery Report'!E26</f>
        <v>0</v>
      </c>
      <c r="E27" s="572">
        <f t="shared" si="13"/>
        <v>1.3262195121951219</v>
      </c>
      <c r="F27" s="573" t="e">
        <f t="shared" si="14"/>
        <v>#DIV/0!</v>
      </c>
      <c r="G27" s="573" t="e">
        <f t="shared" si="0"/>
        <v>#DIV/0!</v>
      </c>
      <c r="H27" s="572">
        <f>Gen!C32</f>
        <v>43250.94</v>
      </c>
      <c r="I27" s="574">
        <f>Gen!E32</f>
        <v>0</v>
      </c>
      <c r="J27" s="143">
        <f>Gen!S32</f>
        <v>0</v>
      </c>
      <c r="K27" s="143">
        <f>Gen!AJ32</f>
        <v>0</v>
      </c>
      <c r="L27" s="143">
        <f t="shared" si="1"/>
        <v>0</v>
      </c>
      <c r="M27" s="607">
        <f>'Water-Meter'!K67</f>
        <v>0</v>
      </c>
      <c r="N27" s="222">
        <f>'Water-Meter'!E27</f>
        <v>0</v>
      </c>
      <c r="O27" s="233"/>
      <c r="P27" s="514"/>
      <c r="Q27" s="575">
        <f t="shared" si="2"/>
        <v>0</v>
      </c>
      <c r="R27" s="576">
        <f t="shared" si="5"/>
        <v>0</v>
      </c>
      <c r="S27" s="514"/>
      <c r="T27" s="654"/>
      <c r="U27" s="575">
        <f t="shared" si="6"/>
        <v>0</v>
      </c>
      <c r="V27" s="577">
        <f t="shared" si="18"/>
        <v>0</v>
      </c>
      <c r="W27" s="514"/>
      <c r="X27" s="652"/>
      <c r="Y27" s="575">
        <f t="shared" si="8"/>
        <v>0</v>
      </c>
      <c r="Z27" s="577">
        <f t="shared" si="9"/>
        <v>0</v>
      </c>
      <c r="AA27" s="577">
        <f t="shared" si="10"/>
        <v>0</v>
      </c>
      <c r="AB27" s="653"/>
      <c r="AC27" s="139">
        <f t="shared" si="11"/>
        <v>0</v>
      </c>
      <c r="AD27" s="514"/>
      <c r="AE27" s="240">
        <f t="shared" si="15"/>
        <v>0</v>
      </c>
      <c r="AF27" s="351">
        <f>'Lpg (2)'!B31*2000/85</f>
        <v>0</v>
      </c>
      <c r="AG27" s="352">
        <f>'Lpg (2)'!C31*1000/85</f>
        <v>0</v>
      </c>
      <c r="AH27" s="353">
        <f>'Lpg (2)'!D31*1000/85</f>
        <v>0</v>
      </c>
      <c r="AI27" s="580">
        <f t="shared" si="17"/>
        <v>0</v>
      </c>
      <c r="AJ27" s="579">
        <f t="shared" si="4"/>
        <v>0</v>
      </c>
      <c r="AK27" s="145"/>
    </row>
    <row r="28" spans="1:37" ht="19.5" thickBot="1">
      <c r="A28" s="95">
        <f>Gen!A33</f>
        <v>43884</v>
      </c>
      <c r="B28" s="570">
        <f>'Summery Report'!E27</f>
        <v>0</v>
      </c>
      <c r="C28" s="159">
        <f>Gen!B33</f>
        <v>0</v>
      </c>
      <c r="D28" s="571">
        <f>'Summery Report'!E27</f>
        <v>0</v>
      </c>
      <c r="E28" s="572">
        <f t="shared" si="13"/>
        <v>1.3262195121951219</v>
      </c>
      <c r="F28" s="573" t="e">
        <f t="shared" si="14"/>
        <v>#DIV/0!</v>
      </c>
      <c r="G28" s="573" t="e">
        <f t="shared" si="0"/>
        <v>#DIV/0!</v>
      </c>
      <c r="H28" s="572">
        <f>Gen!C33</f>
        <v>43250.94</v>
      </c>
      <c r="I28" s="574">
        <f>Gen!E33</f>
        <v>0</v>
      </c>
      <c r="J28" s="143">
        <f>Gen!S33</f>
        <v>0</v>
      </c>
      <c r="K28" s="143">
        <f>Gen!AJ33</f>
        <v>0</v>
      </c>
      <c r="L28" s="143">
        <f t="shared" si="1"/>
        <v>0</v>
      </c>
      <c r="M28" s="607">
        <f>'Water-Meter'!K68</f>
        <v>0</v>
      </c>
      <c r="N28" s="222">
        <f>'Water-Meter'!E28</f>
        <v>0</v>
      </c>
      <c r="O28" s="233"/>
      <c r="P28" s="514"/>
      <c r="Q28" s="575">
        <f t="shared" si="2"/>
        <v>0</v>
      </c>
      <c r="R28" s="576">
        <f t="shared" si="5"/>
        <v>0</v>
      </c>
      <c r="S28" s="514"/>
      <c r="T28" s="654"/>
      <c r="U28" s="575">
        <f t="shared" si="6"/>
        <v>0</v>
      </c>
      <c r="V28" s="577">
        <f t="shared" si="18"/>
        <v>0</v>
      </c>
      <c r="W28" s="514"/>
      <c r="X28" s="652"/>
      <c r="Y28" s="575">
        <f t="shared" si="8"/>
        <v>0</v>
      </c>
      <c r="Z28" s="577">
        <f t="shared" si="9"/>
        <v>0</v>
      </c>
      <c r="AA28" s="577">
        <f t="shared" si="10"/>
        <v>0</v>
      </c>
      <c r="AB28" s="653"/>
      <c r="AC28" s="139">
        <f t="shared" ref="AC28:AC37" si="19">SUM(AB28-AB27)</f>
        <v>0</v>
      </c>
      <c r="AD28" s="514"/>
      <c r="AE28" s="240">
        <f t="shared" si="15"/>
        <v>0</v>
      </c>
      <c r="AF28" s="351">
        <f>'Lpg (2)'!B32*2000/85</f>
        <v>0</v>
      </c>
      <c r="AG28" s="352">
        <f>'Lpg (2)'!C32*1000/85</f>
        <v>0</v>
      </c>
      <c r="AH28" s="353">
        <f>'Lpg (2)'!D32*1000/85</f>
        <v>0</v>
      </c>
      <c r="AI28" s="580">
        <f t="shared" si="17"/>
        <v>0</v>
      </c>
      <c r="AJ28" s="579">
        <f t="shared" si="4"/>
        <v>0</v>
      </c>
      <c r="AK28" s="145"/>
    </row>
    <row r="29" spans="1:37" ht="19.5" thickBot="1">
      <c r="A29" s="95">
        <f>Gen!A34</f>
        <v>43885</v>
      </c>
      <c r="B29" s="570">
        <f>'Summery Report'!E28</f>
        <v>0</v>
      </c>
      <c r="C29" s="159">
        <f>Gen!B34</f>
        <v>0</v>
      </c>
      <c r="D29" s="571">
        <f>'Summery Report'!E28</f>
        <v>0</v>
      </c>
      <c r="E29" s="572">
        <f t="shared" si="13"/>
        <v>1.3262195121951219</v>
      </c>
      <c r="F29" s="573" t="e">
        <f t="shared" si="14"/>
        <v>#DIV/0!</v>
      </c>
      <c r="G29" s="573" t="e">
        <f t="shared" si="0"/>
        <v>#DIV/0!</v>
      </c>
      <c r="H29" s="572">
        <f>Gen!C34</f>
        <v>43250.94</v>
      </c>
      <c r="I29" s="574">
        <f>Gen!E34</f>
        <v>0</v>
      </c>
      <c r="J29" s="143">
        <f>Gen!S34</f>
        <v>0</v>
      </c>
      <c r="K29" s="143">
        <f>Gen!AJ34</f>
        <v>0</v>
      </c>
      <c r="L29" s="143">
        <f t="shared" si="1"/>
        <v>0</v>
      </c>
      <c r="M29" s="607">
        <f>'Water-Meter'!K69</f>
        <v>0</v>
      </c>
      <c r="N29" s="222">
        <f>'Water-Meter'!E29</f>
        <v>0</v>
      </c>
      <c r="O29" s="233"/>
      <c r="P29" s="514"/>
      <c r="Q29" s="575">
        <f t="shared" si="2"/>
        <v>0</v>
      </c>
      <c r="R29" s="576">
        <f t="shared" si="5"/>
        <v>0</v>
      </c>
      <c r="S29" s="514"/>
      <c r="T29" s="654"/>
      <c r="U29" s="575">
        <f t="shared" si="6"/>
        <v>0</v>
      </c>
      <c r="V29" s="577">
        <f t="shared" si="18"/>
        <v>0</v>
      </c>
      <c r="W29" s="514"/>
      <c r="X29" s="652"/>
      <c r="Y29" s="575">
        <f t="shared" si="8"/>
        <v>0</v>
      </c>
      <c r="Z29" s="577">
        <f t="shared" si="9"/>
        <v>0</v>
      </c>
      <c r="AA29" s="577">
        <f t="shared" si="10"/>
        <v>0</v>
      </c>
      <c r="AB29" s="653"/>
      <c r="AC29" s="139">
        <f t="shared" si="19"/>
        <v>0</v>
      </c>
      <c r="AD29" s="514"/>
      <c r="AE29" s="240">
        <f t="shared" si="15"/>
        <v>0</v>
      </c>
      <c r="AF29" s="351">
        <f>'Lpg (2)'!B33*2000/85</f>
        <v>0</v>
      </c>
      <c r="AG29" s="352">
        <f>'Lpg (2)'!C33*1000/85</f>
        <v>0</v>
      </c>
      <c r="AH29" s="353">
        <f>'Lpg (2)'!D33*1000/85</f>
        <v>0</v>
      </c>
      <c r="AI29" s="580">
        <f t="shared" si="17"/>
        <v>0</v>
      </c>
      <c r="AJ29" s="579">
        <f t="shared" si="4"/>
        <v>0</v>
      </c>
      <c r="AK29" s="145"/>
    </row>
    <row r="30" spans="1:37" ht="19.5" thickBot="1">
      <c r="A30" s="95">
        <f>Gen!A35</f>
        <v>43886</v>
      </c>
      <c r="B30" s="570">
        <f>'Summery Report'!E29</f>
        <v>0</v>
      </c>
      <c r="C30" s="159">
        <f>Gen!B35</f>
        <v>0</v>
      </c>
      <c r="D30" s="571">
        <f>'Summery Report'!E29</f>
        <v>0</v>
      </c>
      <c r="E30" s="572">
        <f t="shared" si="13"/>
        <v>1.3262195121951219</v>
      </c>
      <c r="F30" s="573" t="e">
        <f t="shared" si="14"/>
        <v>#DIV/0!</v>
      </c>
      <c r="G30" s="573" t="e">
        <f t="shared" si="0"/>
        <v>#DIV/0!</v>
      </c>
      <c r="H30" s="572">
        <f>Gen!C35</f>
        <v>43250.94</v>
      </c>
      <c r="I30" s="574">
        <f>Gen!E35</f>
        <v>15000</v>
      </c>
      <c r="J30" s="143">
        <f>Gen!S35</f>
        <v>0</v>
      </c>
      <c r="K30" s="143">
        <f>Gen!AJ35</f>
        <v>0</v>
      </c>
      <c r="L30" s="143">
        <f t="shared" si="1"/>
        <v>0</v>
      </c>
      <c r="M30" s="607">
        <f>'Water-Meter'!K70</f>
        <v>0</v>
      </c>
      <c r="N30" s="222">
        <f>'Water-Meter'!E30</f>
        <v>0</v>
      </c>
      <c r="O30" s="233"/>
      <c r="P30" s="514"/>
      <c r="Q30" s="575">
        <f t="shared" si="2"/>
        <v>0</v>
      </c>
      <c r="R30" s="576">
        <f t="shared" si="5"/>
        <v>0</v>
      </c>
      <c r="S30" s="514"/>
      <c r="T30" s="654"/>
      <c r="U30" s="575">
        <f t="shared" si="6"/>
        <v>0</v>
      </c>
      <c r="V30" s="577">
        <f t="shared" si="18"/>
        <v>0</v>
      </c>
      <c r="W30" s="514"/>
      <c r="X30" s="652"/>
      <c r="Y30" s="575">
        <f t="shared" si="8"/>
        <v>0</v>
      </c>
      <c r="Z30" s="577">
        <f t="shared" si="9"/>
        <v>0</v>
      </c>
      <c r="AA30" s="577">
        <f t="shared" si="10"/>
        <v>0</v>
      </c>
      <c r="AB30" s="653"/>
      <c r="AC30" s="139">
        <f t="shared" si="19"/>
        <v>0</v>
      </c>
      <c r="AD30" s="514"/>
      <c r="AE30" s="240">
        <f t="shared" si="15"/>
        <v>0</v>
      </c>
      <c r="AF30" s="351">
        <f>'Lpg (2)'!B34*2000/85</f>
        <v>0</v>
      </c>
      <c r="AG30" s="352">
        <f>'Lpg (2)'!C34*1000/85</f>
        <v>0</v>
      </c>
      <c r="AH30" s="353">
        <f>'Lpg (2)'!D34*1000/85</f>
        <v>0</v>
      </c>
      <c r="AI30" s="580">
        <f t="shared" si="17"/>
        <v>0</v>
      </c>
      <c r="AJ30" s="579">
        <f t="shared" si="4"/>
        <v>0</v>
      </c>
      <c r="AK30" s="145"/>
    </row>
    <row r="31" spans="1:37" ht="19.5" thickBot="1">
      <c r="A31" s="95">
        <f>Gen!A36</f>
        <v>43887</v>
      </c>
      <c r="B31" s="570">
        <f>'Summery Report'!E30</f>
        <v>0</v>
      </c>
      <c r="C31" s="159">
        <f>Gen!B36</f>
        <v>0</v>
      </c>
      <c r="D31" s="571">
        <f>'Summery Report'!E30</f>
        <v>0</v>
      </c>
      <c r="E31" s="572">
        <f t="shared" si="13"/>
        <v>1.3262195121951219</v>
      </c>
      <c r="F31" s="573" t="e">
        <f t="shared" si="14"/>
        <v>#DIV/0!</v>
      </c>
      <c r="G31" s="573" t="e">
        <f t="shared" si="0"/>
        <v>#DIV/0!</v>
      </c>
      <c r="H31" s="572">
        <f>Gen!C36</f>
        <v>43250.94</v>
      </c>
      <c r="I31" s="574">
        <f>Gen!E36</f>
        <v>0</v>
      </c>
      <c r="J31" s="143">
        <f>Gen!S36</f>
        <v>0</v>
      </c>
      <c r="K31" s="143">
        <f>Gen!AJ36</f>
        <v>0</v>
      </c>
      <c r="L31" s="143">
        <f t="shared" si="1"/>
        <v>0</v>
      </c>
      <c r="M31" s="607">
        <f>'Water-Meter'!K71</f>
        <v>0</v>
      </c>
      <c r="N31" s="222">
        <f>'Water-Meter'!E31</f>
        <v>0</v>
      </c>
      <c r="O31" s="233"/>
      <c r="P31" s="514"/>
      <c r="Q31" s="575">
        <f t="shared" si="2"/>
        <v>0</v>
      </c>
      <c r="R31" s="576">
        <f t="shared" si="5"/>
        <v>0</v>
      </c>
      <c r="S31" s="514"/>
      <c r="T31" s="654"/>
      <c r="U31" s="575">
        <f t="shared" si="6"/>
        <v>0</v>
      </c>
      <c r="V31" s="577">
        <f t="shared" si="18"/>
        <v>0</v>
      </c>
      <c r="W31" s="514"/>
      <c r="X31" s="655"/>
      <c r="Y31" s="575">
        <f t="shared" si="8"/>
        <v>0</v>
      </c>
      <c r="Z31" s="577">
        <f t="shared" si="9"/>
        <v>0</v>
      </c>
      <c r="AA31" s="577">
        <f t="shared" si="10"/>
        <v>0</v>
      </c>
      <c r="AB31" s="653"/>
      <c r="AC31" s="139">
        <f t="shared" si="19"/>
        <v>0</v>
      </c>
      <c r="AD31" s="514"/>
      <c r="AE31" s="240">
        <f t="shared" si="15"/>
        <v>0</v>
      </c>
      <c r="AF31" s="351">
        <f>'Lpg (2)'!B35*2000/85</f>
        <v>0</v>
      </c>
      <c r="AG31" s="352">
        <f>'Lpg (2)'!C35*1000/85</f>
        <v>0</v>
      </c>
      <c r="AH31" s="353">
        <f>'Lpg (2)'!D35*1000/85</f>
        <v>0</v>
      </c>
      <c r="AI31" s="580">
        <f t="shared" si="17"/>
        <v>0</v>
      </c>
      <c r="AJ31" s="579">
        <f t="shared" si="4"/>
        <v>0</v>
      </c>
      <c r="AK31" s="145"/>
    </row>
    <row r="32" spans="1:37" ht="19.5" thickBot="1">
      <c r="A32" s="95">
        <f>Gen!A37</f>
        <v>43888</v>
      </c>
      <c r="B32" s="570">
        <f>'Summery Report'!E31</f>
        <v>0</v>
      </c>
      <c r="C32" s="159">
        <f>Gen!B37</f>
        <v>0</v>
      </c>
      <c r="D32" s="571">
        <f>'Summery Report'!E31</f>
        <v>0</v>
      </c>
      <c r="E32" s="572">
        <f t="shared" si="13"/>
        <v>1.3262195121951219</v>
      </c>
      <c r="F32" s="573" t="e">
        <f t="shared" si="14"/>
        <v>#DIV/0!</v>
      </c>
      <c r="G32" s="573" t="e">
        <f t="shared" si="0"/>
        <v>#DIV/0!</v>
      </c>
      <c r="H32" s="572">
        <f>Gen!C37</f>
        <v>43250.94</v>
      </c>
      <c r="I32" s="574">
        <f>Gen!E37</f>
        <v>0</v>
      </c>
      <c r="J32" s="143">
        <f>Gen!S37</f>
        <v>0</v>
      </c>
      <c r="K32" s="143">
        <f>Gen!AJ37</f>
        <v>0</v>
      </c>
      <c r="L32" s="143">
        <f t="shared" si="1"/>
        <v>0</v>
      </c>
      <c r="M32" s="607">
        <f>'Water-Meter'!K72</f>
        <v>0</v>
      </c>
      <c r="N32" s="222">
        <f>'Water-Meter'!E32</f>
        <v>0</v>
      </c>
      <c r="O32" s="233"/>
      <c r="P32" s="514"/>
      <c r="Q32" s="575">
        <f t="shared" si="2"/>
        <v>0</v>
      </c>
      <c r="R32" s="576">
        <f t="shared" si="5"/>
        <v>0</v>
      </c>
      <c r="S32" s="514"/>
      <c r="T32" s="654"/>
      <c r="U32" s="575">
        <f t="shared" si="6"/>
        <v>0</v>
      </c>
      <c r="V32" s="577">
        <f t="shared" si="18"/>
        <v>0</v>
      </c>
      <c r="W32" s="514"/>
      <c r="X32" s="652"/>
      <c r="Y32" s="575">
        <f t="shared" si="8"/>
        <v>0</v>
      </c>
      <c r="Z32" s="577">
        <f t="shared" si="9"/>
        <v>0</v>
      </c>
      <c r="AA32" s="577">
        <f t="shared" si="10"/>
        <v>0</v>
      </c>
      <c r="AB32" s="653"/>
      <c r="AC32" s="139">
        <f t="shared" si="19"/>
        <v>0</v>
      </c>
      <c r="AD32" s="514"/>
      <c r="AE32" s="240">
        <f t="shared" si="15"/>
        <v>0</v>
      </c>
      <c r="AF32" s="351">
        <f>'Lpg (2)'!B36*2000/85</f>
        <v>0</v>
      </c>
      <c r="AG32" s="352">
        <f>'Lpg (2)'!C36*1000/85</f>
        <v>0</v>
      </c>
      <c r="AH32" s="353">
        <f>'Lpg (2)'!D36*1000/85</f>
        <v>0</v>
      </c>
      <c r="AI32" s="580">
        <f t="shared" si="17"/>
        <v>0</v>
      </c>
      <c r="AJ32" s="579">
        <f t="shared" si="4"/>
        <v>0</v>
      </c>
      <c r="AK32" s="145"/>
    </row>
    <row r="33" spans="1:37" ht="19.5" thickBot="1">
      <c r="A33" s="95">
        <f>Gen!A38</f>
        <v>43889</v>
      </c>
      <c r="B33" s="570">
        <f>'Summery Report'!E32</f>
        <v>0</v>
      </c>
      <c r="C33" s="159">
        <f>Gen!B38</f>
        <v>0</v>
      </c>
      <c r="D33" s="571">
        <f>'Summery Report'!E32</f>
        <v>0</v>
      </c>
      <c r="E33" s="572">
        <f t="shared" si="13"/>
        <v>1.3262195121951219</v>
      </c>
      <c r="F33" s="573" t="e">
        <f t="shared" si="14"/>
        <v>#DIV/0!</v>
      </c>
      <c r="G33" s="573" t="e">
        <f t="shared" si="0"/>
        <v>#DIV/0!</v>
      </c>
      <c r="H33" s="572">
        <f>Gen!C38</f>
        <v>43250.94</v>
      </c>
      <c r="I33" s="574">
        <f>Gen!E38</f>
        <v>0</v>
      </c>
      <c r="J33" s="143">
        <f>Gen!S38</f>
        <v>0</v>
      </c>
      <c r="K33" s="143">
        <f>Gen!AJ38</f>
        <v>0</v>
      </c>
      <c r="L33" s="143">
        <f t="shared" si="1"/>
        <v>0</v>
      </c>
      <c r="M33" s="607">
        <f>'Water-Meter'!K73</f>
        <v>0</v>
      </c>
      <c r="N33" s="222">
        <f>'Water-Meter'!E33</f>
        <v>0</v>
      </c>
      <c r="O33" s="233"/>
      <c r="P33" s="514"/>
      <c r="Q33" s="575">
        <f t="shared" si="2"/>
        <v>0</v>
      </c>
      <c r="R33" s="576">
        <f t="shared" si="5"/>
        <v>0</v>
      </c>
      <c r="S33" s="514"/>
      <c r="T33" s="654"/>
      <c r="U33" s="575">
        <f t="shared" si="6"/>
        <v>0</v>
      </c>
      <c r="V33" s="577">
        <f t="shared" si="18"/>
        <v>0</v>
      </c>
      <c r="W33" s="514"/>
      <c r="X33" s="652"/>
      <c r="Y33" s="575">
        <f t="shared" si="8"/>
        <v>0</v>
      </c>
      <c r="Z33" s="577">
        <f t="shared" si="9"/>
        <v>0</v>
      </c>
      <c r="AA33" s="577">
        <f t="shared" si="10"/>
        <v>0</v>
      </c>
      <c r="AB33" s="653"/>
      <c r="AC33" s="139">
        <f t="shared" si="19"/>
        <v>0</v>
      </c>
      <c r="AD33" s="514"/>
      <c r="AE33" s="240">
        <f t="shared" si="15"/>
        <v>0</v>
      </c>
      <c r="AF33" s="351">
        <f>'Lpg (2)'!B37*2000/85</f>
        <v>0</v>
      </c>
      <c r="AG33" s="352">
        <f>'Lpg (2)'!C37*1000/85</f>
        <v>0</v>
      </c>
      <c r="AH33" s="353">
        <f>'Lpg (2)'!D37*1000/85</f>
        <v>0</v>
      </c>
      <c r="AI33" s="580">
        <f t="shared" si="17"/>
        <v>0</v>
      </c>
      <c r="AJ33" s="579">
        <f t="shared" si="4"/>
        <v>0</v>
      </c>
      <c r="AK33" s="145"/>
    </row>
    <row r="34" spans="1:37" ht="19.5" thickBot="1">
      <c r="A34" s="95">
        <f>Gen!A39</f>
        <v>43890</v>
      </c>
      <c r="B34" s="570">
        <f>'Summery Report'!E33</f>
        <v>0</v>
      </c>
      <c r="C34" s="159">
        <f>Gen!B39</f>
        <v>0</v>
      </c>
      <c r="D34" s="571">
        <f>'Summery Report'!E33</f>
        <v>0</v>
      </c>
      <c r="E34" s="572">
        <f t="shared" si="13"/>
        <v>1.3262195121951219</v>
      </c>
      <c r="F34" s="573" t="e">
        <f t="shared" si="14"/>
        <v>#DIV/0!</v>
      </c>
      <c r="G34" s="573" t="e">
        <f t="shared" si="0"/>
        <v>#DIV/0!</v>
      </c>
      <c r="H34" s="572">
        <f>Gen!C39</f>
        <v>43250.94</v>
      </c>
      <c r="I34" s="574">
        <f>Gen!E39</f>
        <v>0</v>
      </c>
      <c r="J34" s="143">
        <f>Gen!S39</f>
        <v>0</v>
      </c>
      <c r="K34" s="143">
        <f>Gen!AJ39</f>
        <v>0</v>
      </c>
      <c r="L34" s="143">
        <f t="shared" si="1"/>
        <v>0</v>
      </c>
      <c r="M34" s="607">
        <f>'Water-Meter'!K74</f>
        <v>0</v>
      </c>
      <c r="N34" s="222">
        <f>'Water-Meter'!E34</f>
        <v>0</v>
      </c>
      <c r="O34" s="233"/>
      <c r="P34" s="514"/>
      <c r="Q34" s="575">
        <f t="shared" si="2"/>
        <v>0</v>
      </c>
      <c r="R34" s="576">
        <f t="shared" si="5"/>
        <v>0</v>
      </c>
      <c r="S34" s="514"/>
      <c r="T34" s="654"/>
      <c r="U34" s="575">
        <f t="shared" si="6"/>
        <v>0</v>
      </c>
      <c r="V34" s="577">
        <f t="shared" si="18"/>
        <v>0</v>
      </c>
      <c r="W34" s="514"/>
      <c r="X34" s="652"/>
      <c r="Y34" s="575">
        <f t="shared" si="8"/>
        <v>0</v>
      </c>
      <c r="Z34" s="577">
        <f t="shared" si="9"/>
        <v>0</v>
      </c>
      <c r="AA34" s="577">
        <f t="shared" si="10"/>
        <v>0</v>
      </c>
      <c r="AB34" s="653"/>
      <c r="AC34" s="139">
        <f t="shared" si="19"/>
        <v>0</v>
      </c>
      <c r="AD34" s="514"/>
      <c r="AE34" s="240">
        <f t="shared" si="15"/>
        <v>0</v>
      </c>
      <c r="AF34" s="351">
        <f>'Lpg (2)'!B38*2000/85</f>
        <v>0</v>
      </c>
      <c r="AG34" s="352">
        <f>'Lpg (2)'!C38*1000/85</f>
        <v>0</v>
      </c>
      <c r="AH34" s="353">
        <f>'Lpg (2)'!D38*1000/85</f>
        <v>0</v>
      </c>
      <c r="AI34" s="580">
        <f t="shared" si="17"/>
        <v>0</v>
      </c>
      <c r="AJ34" s="579">
        <f t="shared" si="4"/>
        <v>0</v>
      </c>
      <c r="AK34" s="145"/>
    </row>
    <row r="35" spans="1:37" ht="19.5" thickBot="1">
      <c r="A35" s="95">
        <f>Gen!A40</f>
        <v>43891</v>
      </c>
      <c r="B35" s="570">
        <f>'Summery Report'!E34</f>
        <v>0</v>
      </c>
      <c r="C35" s="159">
        <f>Gen!B40</f>
        <v>0</v>
      </c>
      <c r="D35" s="571">
        <f>'Summery Report'!E34</f>
        <v>0</v>
      </c>
      <c r="E35" s="572">
        <f t="shared" si="13"/>
        <v>1.3262195121951219</v>
      </c>
      <c r="F35" s="573" t="e">
        <f t="shared" si="14"/>
        <v>#DIV/0!</v>
      </c>
      <c r="G35" s="573" t="e">
        <f t="shared" si="0"/>
        <v>#DIV/0!</v>
      </c>
      <c r="H35" s="572">
        <f>Gen!C40</f>
        <v>43250.94</v>
      </c>
      <c r="I35" s="574">
        <f>Gen!E40</f>
        <v>0</v>
      </c>
      <c r="J35" s="143">
        <f>Gen!S40</f>
        <v>0</v>
      </c>
      <c r="K35" s="143">
        <f>Gen!AJ40</f>
        <v>0</v>
      </c>
      <c r="L35" s="143">
        <f t="shared" si="1"/>
        <v>0</v>
      </c>
      <c r="M35" s="607">
        <f>'Water-Meter'!K75</f>
        <v>0</v>
      </c>
      <c r="N35" s="222">
        <f>'Water-Meter'!E35</f>
        <v>0</v>
      </c>
      <c r="O35" s="233"/>
      <c r="P35" s="514"/>
      <c r="Q35" s="575">
        <f t="shared" si="2"/>
        <v>0</v>
      </c>
      <c r="R35" s="576">
        <f t="shared" si="5"/>
        <v>0</v>
      </c>
      <c r="S35" s="514"/>
      <c r="T35" s="654"/>
      <c r="U35" s="575">
        <f t="shared" si="6"/>
        <v>0</v>
      </c>
      <c r="V35" s="577">
        <f t="shared" si="18"/>
        <v>0</v>
      </c>
      <c r="W35" s="514"/>
      <c r="X35" s="652"/>
      <c r="Y35" s="575">
        <f t="shared" si="8"/>
        <v>0</v>
      </c>
      <c r="Z35" s="577">
        <f t="shared" si="9"/>
        <v>0</v>
      </c>
      <c r="AA35" s="577">
        <f t="shared" si="10"/>
        <v>0</v>
      </c>
      <c r="AB35" s="653"/>
      <c r="AC35" s="139">
        <f t="shared" si="19"/>
        <v>0</v>
      </c>
      <c r="AD35" s="514"/>
      <c r="AE35" s="240">
        <f t="shared" si="15"/>
        <v>0</v>
      </c>
      <c r="AF35" s="351">
        <f>'Lpg (2)'!B39*2000/85</f>
        <v>0</v>
      </c>
      <c r="AG35" s="352">
        <f>'Lpg (2)'!C39*1000/85</f>
        <v>0</v>
      </c>
      <c r="AH35" s="353">
        <f>'Lpg (2)'!D39*1000/85</f>
        <v>0</v>
      </c>
      <c r="AI35" s="580">
        <f t="shared" si="17"/>
        <v>0</v>
      </c>
      <c r="AJ35" s="579">
        <f t="shared" si="4"/>
        <v>0</v>
      </c>
      <c r="AK35" s="147"/>
    </row>
    <row r="36" spans="1:37" ht="19.5" thickBot="1">
      <c r="A36" s="95">
        <f>Gen!A41</f>
        <v>43892</v>
      </c>
      <c r="B36" s="570">
        <f>'Summery Report'!E35</f>
        <v>0</v>
      </c>
      <c r="C36" s="159">
        <f>Gen!B41</f>
        <v>0</v>
      </c>
      <c r="D36" s="571">
        <f>'Summery Report'!E35</f>
        <v>0</v>
      </c>
      <c r="E36" s="572">
        <f t="shared" si="13"/>
        <v>1.3262195121951219</v>
      </c>
      <c r="F36" s="573" t="e">
        <f t="shared" si="14"/>
        <v>#DIV/0!</v>
      </c>
      <c r="G36" s="573" t="e">
        <f t="shared" si="0"/>
        <v>#DIV/0!</v>
      </c>
      <c r="H36" s="572">
        <f>Gen!C41</f>
        <v>43250.94</v>
      </c>
      <c r="I36" s="57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07">
        <f>'Water-Meter'!K76</f>
        <v>0</v>
      </c>
      <c r="N36" s="222">
        <f>'Water-Meter'!E36</f>
        <v>0</v>
      </c>
      <c r="O36" s="233"/>
      <c r="P36" s="514"/>
      <c r="Q36" s="575">
        <f t="shared" si="2"/>
        <v>0</v>
      </c>
      <c r="R36" s="576">
        <f t="shared" si="5"/>
        <v>0</v>
      </c>
      <c r="S36" s="514"/>
      <c r="T36" s="654"/>
      <c r="U36" s="575">
        <f t="shared" si="6"/>
        <v>0</v>
      </c>
      <c r="V36" s="577">
        <f t="shared" si="18"/>
        <v>0</v>
      </c>
      <c r="W36" s="514"/>
      <c r="X36" s="652"/>
      <c r="Y36" s="575">
        <f t="shared" si="8"/>
        <v>0</v>
      </c>
      <c r="Z36" s="577">
        <f t="shared" si="9"/>
        <v>0</v>
      </c>
      <c r="AA36" s="577">
        <f t="shared" si="10"/>
        <v>0</v>
      </c>
      <c r="AB36" s="653"/>
      <c r="AC36" s="139">
        <f t="shared" si="19"/>
        <v>0</v>
      </c>
      <c r="AD36" s="514"/>
      <c r="AE36" s="240">
        <f t="shared" si="15"/>
        <v>0</v>
      </c>
      <c r="AF36" s="351">
        <f>'Lpg (2)'!B40*2000/85</f>
        <v>0</v>
      </c>
      <c r="AG36" s="352">
        <f>'Lpg (2)'!C40*1000/85</f>
        <v>0</v>
      </c>
      <c r="AH36" s="353">
        <f>'Lpg (2)'!D40*1000/85</f>
        <v>0</v>
      </c>
      <c r="AI36" s="581">
        <f>SUM(AF36*1000)+(AG36*1000)+(AH36*2000)</f>
        <v>0</v>
      </c>
      <c r="AJ36" s="582">
        <f t="shared" si="4"/>
        <v>0</v>
      </c>
      <c r="AK36" s="147"/>
    </row>
    <row r="37" spans="1:37" s="9" customFormat="1" ht="15.75" thickBot="1">
      <c r="A37" s="95">
        <f>Gen!A42</f>
        <v>43893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19509.89</v>
      </c>
      <c r="K37" s="166"/>
      <c r="L37" s="143">
        <f t="shared" si="1"/>
        <v>19509.89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1"/>
      <c r="V37" s="167"/>
      <c r="W37" s="167"/>
      <c r="X37" s="167"/>
      <c r="Y37" s="167"/>
      <c r="Z37" s="167"/>
      <c r="AA37" s="58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0</v>
      </c>
      <c r="AK37" s="170">
        <f>SUM(AK6:AK36)</f>
        <v>0</v>
      </c>
    </row>
    <row r="38" spans="1:37" s="75" customFormat="1">
      <c r="A38" s="367"/>
      <c r="B38" s="368"/>
      <c r="C38" s="369"/>
      <c r="D38" s="369"/>
      <c r="E38" s="369"/>
      <c r="F38" s="369"/>
      <c r="G38" s="369"/>
      <c r="H38" s="368"/>
      <c r="I38" s="368"/>
      <c r="J38" s="370"/>
      <c r="K38" s="370"/>
      <c r="L38" s="370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584"/>
    </row>
    <row r="44" spans="1:37" ht="15">
      <c r="C44" s="141"/>
      <c r="J44" s="141"/>
      <c r="X44" s="585"/>
    </row>
    <row r="45" spans="1:37" ht="15">
      <c r="C45" s="141"/>
      <c r="J45" s="141"/>
      <c r="X45" s="584"/>
    </row>
    <row r="46" spans="1:37" ht="15">
      <c r="C46" s="141"/>
      <c r="J46" s="141"/>
      <c r="X46" s="58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586"/>
    </row>
    <row r="67" spans="3:24" ht="15">
      <c r="C67" s="141"/>
      <c r="J67" s="141"/>
      <c r="X67" s="587"/>
    </row>
    <row r="68" spans="3:24" ht="15">
      <c r="C68" s="141"/>
      <c r="J68" s="141"/>
      <c r="X68" s="587"/>
    </row>
    <row r="69" spans="3:24" ht="15">
      <c r="C69" s="141"/>
      <c r="J69" s="141"/>
      <c r="X69" s="587"/>
    </row>
    <row r="70" spans="3:24" ht="15">
      <c r="C70" s="141"/>
      <c r="J70" s="141"/>
      <c r="X70" s="587"/>
    </row>
    <row r="71" spans="3:24" ht="15">
      <c r="C71" s="141"/>
      <c r="J71" s="141"/>
      <c r="X71" s="58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zoomScale="86" zoomScaleNormal="86" workbookViewId="0">
      <selection activeCell="E21" sqref="E21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79" t="s">
        <v>151</v>
      </c>
      <c r="C1" s="780"/>
      <c r="D1" s="780"/>
      <c r="E1" s="780"/>
      <c r="F1" s="781"/>
      <c r="G1" s="190"/>
      <c r="H1" s="779" t="s">
        <v>152</v>
      </c>
      <c r="I1" s="780"/>
      <c r="J1" s="780"/>
      <c r="K1" s="780"/>
      <c r="L1" s="781"/>
      <c r="M1" s="779" t="s">
        <v>171</v>
      </c>
      <c r="N1" s="780"/>
      <c r="O1" s="780"/>
      <c r="P1" s="780"/>
      <c r="Q1" s="781"/>
      <c r="R1" s="190"/>
      <c r="T1" s="779" t="s">
        <v>167</v>
      </c>
      <c r="U1" s="780"/>
      <c r="V1" s="780"/>
      <c r="W1" s="780"/>
      <c r="X1" s="781"/>
      <c r="Y1" s="779" t="s">
        <v>170</v>
      </c>
      <c r="Z1" s="780"/>
      <c r="AA1" s="780"/>
      <c r="AB1" s="780"/>
      <c r="AC1" s="781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51" t="s">
        <v>162</v>
      </c>
      <c r="S2" s="452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82" t="s">
        <v>157</v>
      </c>
      <c r="C3" s="783"/>
      <c r="D3" s="206"/>
      <c r="E3" s="521">
        <v>8420.7999999999993</v>
      </c>
      <c r="F3" s="207" t="s">
        <v>158</v>
      </c>
      <c r="G3" s="198"/>
      <c r="H3" s="782" t="s">
        <v>157</v>
      </c>
      <c r="I3" s="783"/>
      <c r="J3" s="324"/>
      <c r="K3" s="450">
        <f>'[1]Water-Meter'!G5</f>
        <v>36423</v>
      </c>
      <c r="L3" s="324"/>
      <c r="M3" s="782" t="s">
        <v>157</v>
      </c>
      <c r="N3" s="783"/>
      <c r="O3" s="206"/>
      <c r="P3" s="215">
        <f>'[1]Water-Meter'!J5</f>
        <v>7351</v>
      </c>
      <c r="Q3" s="205"/>
      <c r="R3" s="324"/>
      <c r="S3" s="455"/>
      <c r="T3" s="782" t="s">
        <v>157</v>
      </c>
      <c r="U3" s="783"/>
      <c r="V3" s="206"/>
      <c r="W3" s="197">
        <v>7597.7</v>
      </c>
      <c r="X3" s="204">
        <f t="shared" ref="X3:X35" si="0">(W3-V3)*200</f>
        <v>1519540</v>
      </c>
      <c r="Y3" s="782" t="s">
        <v>157</v>
      </c>
      <c r="Z3" s="783"/>
      <c r="AA3" s="206"/>
      <c r="AB3" s="215">
        <f>'[1]Water-Meter'!P5</f>
        <v>18541</v>
      </c>
      <c r="AC3" s="220"/>
    </row>
    <row r="4" spans="1:34" ht="19.5" thickBot="1">
      <c r="A4" s="210">
        <f>Gen!B11</f>
        <v>0.23380000000000001</v>
      </c>
      <c r="B4" s="95">
        <f>Gen!A11</f>
        <v>43862</v>
      </c>
      <c r="C4" s="203"/>
      <c r="D4" s="196">
        <f t="shared" ref="D4:D23" si="1">E3</f>
        <v>8420.7999999999993</v>
      </c>
      <c r="E4" s="521">
        <v>8424.5</v>
      </c>
      <c r="F4" s="204">
        <f t="shared" ref="F4:F15" si="2">SUM(E4-D4)*120</f>
        <v>444.00000000008731</v>
      </c>
      <c r="G4" s="198"/>
      <c r="H4" s="243">
        <f>B4</f>
        <v>43862</v>
      </c>
      <c r="I4" s="196"/>
      <c r="J4" s="196">
        <f t="shared" ref="J4:J30" si="3">SUM(K3)</f>
        <v>36423</v>
      </c>
      <c r="K4" s="356">
        <f>'[1]Water-Meter'!G6</f>
        <v>36434</v>
      </c>
      <c r="L4" s="212">
        <f t="shared" ref="L4:L34" si="4">SUM(K4-J4)</f>
        <v>11</v>
      </c>
      <c r="M4" s="453">
        <f>H4</f>
        <v>43862</v>
      </c>
      <c r="N4" s="203"/>
      <c r="O4" s="203">
        <f t="shared" ref="O4:O33" si="5">SUM(P3)</f>
        <v>7351</v>
      </c>
      <c r="P4" s="454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53">
        <f>M4</f>
        <v>43862</v>
      </c>
      <c r="U4" s="203"/>
      <c r="V4" s="196">
        <f t="shared" ref="V4:V33" si="8">W3</f>
        <v>7597.7</v>
      </c>
      <c r="W4" s="197">
        <v>7601.2</v>
      </c>
      <c r="X4" s="204">
        <f t="shared" si="0"/>
        <v>700</v>
      </c>
      <c r="Y4" s="243">
        <f>T4</f>
        <v>43862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0.23400000000000001</v>
      </c>
      <c r="B5" s="95">
        <f>Gen!A12</f>
        <v>43863</v>
      </c>
      <c r="C5" s="196"/>
      <c r="D5" s="196">
        <f t="shared" si="1"/>
        <v>8424.5</v>
      </c>
      <c r="E5" s="521">
        <v>8428.4</v>
      </c>
      <c r="F5" s="204">
        <f t="shared" si="2"/>
        <v>467.99999999995634</v>
      </c>
      <c r="G5" s="198"/>
      <c r="H5" s="243">
        <f t="shared" ref="H5:H35" si="10">B5</f>
        <v>43863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43863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8.2554242370780795E-2</v>
      </c>
      <c r="T5" s="243">
        <f t="shared" ref="T5:T30" si="12">M5</f>
        <v>43863</v>
      </c>
      <c r="U5" s="196"/>
      <c r="V5" s="196">
        <f t="shared" si="8"/>
        <v>7601.2</v>
      </c>
      <c r="W5" s="197">
        <v>7604.7</v>
      </c>
      <c r="X5" s="204">
        <f t="shared" si="0"/>
        <v>700</v>
      </c>
      <c r="Y5" s="243">
        <f t="shared" ref="Y5:Y30" si="13">T5</f>
        <v>43863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0.104</v>
      </c>
      <c r="B6" s="95">
        <f>Gen!A13</f>
        <v>43864</v>
      </c>
      <c r="C6" s="196"/>
      <c r="D6" s="196">
        <f t="shared" si="1"/>
        <v>8428.4</v>
      </c>
      <c r="E6" s="521">
        <v>8432.7000000000007</v>
      </c>
      <c r="F6" s="204">
        <f t="shared" si="2"/>
        <v>516.00000000013097</v>
      </c>
      <c r="G6" s="198"/>
      <c r="H6" s="243">
        <f t="shared" si="10"/>
        <v>43864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43864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8.3779834388720734E-2</v>
      </c>
      <c r="T6" s="243">
        <f t="shared" si="12"/>
        <v>43864</v>
      </c>
      <c r="U6" s="196"/>
      <c r="V6" s="196">
        <f t="shared" si="8"/>
        <v>7604.7</v>
      </c>
      <c r="W6" s="197">
        <v>7609.5</v>
      </c>
      <c r="X6" s="204">
        <f t="shared" si="0"/>
        <v>960.00000000003638</v>
      </c>
      <c r="Y6" s="243">
        <f t="shared" si="13"/>
        <v>43864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1</v>
      </c>
      <c r="B7" s="95">
        <f>Gen!A14</f>
        <v>43865</v>
      </c>
      <c r="C7" s="196"/>
      <c r="D7" s="196">
        <f t="shared" si="1"/>
        <v>8432.7000000000007</v>
      </c>
      <c r="E7" s="521">
        <v>8436.7999999999993</v>
      </c>
      <c r="F7" s="204">
        <f t="shared" si="2"/>
        <v>491.99999999982538</v>
      </c>
      <c r="G7" s="198"/>
      <c r="H7" s="243">
        <f t="shared" si="10"/>
        <v>43865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43865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7.477203647413759E-2</v>
      </c>
      <c r="T7" s="243">
        <f t="shared" si="12"/>
        <v>43865</v>
      </c>
      <c r="U7" s="196"/>
      <c r="V7" s="196">
        <f t="shared" si="8"/>
        <v>7609.5</v>
      </c>
      <c r="W7" s="197">
        <v>7614.8</v>
      </c>
      <c r="X7" s="204">
        <f t="shared" si="0"/>
        <v>1060.0000000000364</v>
      </c>
      <c r="Y7" s="243">
        <f t="shared" si="13"/>
        <v>43865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1</v>
      </c>
      <c r="B8" s="95">
        <f>Gen!A15</f>
        <v>43866</v>
      </c>
      <c r="C8" s="196"/>
      <c r="D8" s="196">
        <f t="shared" si="1"/>
        <v>8436.7999999999993</v>
      </c>
      <c r="E8" s="521">
        <v>8441.4</v>
      </c>
      <c r="F8" s="204">
        <f t="shared" si="2"/>
        <v>552.00000000004366</v>
      </c>
      <c r="G8" s="198"/>
      <c r="H8" s="243">
        <f t="shared" si="10"/>
        <v>43866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43866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8.8703197814565912E-2</v>
      </c>
      <c r="T8" s="243">
        <f t="shared" si="12"/>
        <v>43866</v>
      </c>
      <c r="U8" s="196"/>
      <c r="V8" s="196">
        <f t="shared" si="8"/>
        <v>7614.8</v>
      </c>
      <c r="W8" s="197">
        <v>7619</v>
      </c>
      <c r="X8" s="204">
        <f t="shared" si="0"/>
        <v>839.99999999996362</v>
      </c>
      <c r="Y8" s="243">
        <f t="shared" si="13"/>
        <v>43866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1</v>
      </c>
      <c r="B9" s="95">
        <f>Gen!A16</f>
        <v>43867</v>
      </c>
      <c r="C9" s="196"/>
      <c r="D9" s="196">
        <f t="shared" si="1"/>
        <v>8441.4</v>
      </c>
      <c r="E9" s="521">
        <v>8445.9</v>
      </c>
      <c r="F9" s="204">
        <f t="shared" si="2"/>
        <v>540</v>
      </c>
      <c r="G9" s="198"/>
      <c r="H9" s="243">
        <f t="shared" si="10"/>
        <v>43867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43867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43867</v>
      </c>
      <c r="U9" s="196"/>
      <c r="V9" s="196">
        <f t="shared" si="8"/>
        <v>7619</v>
      </c>
      <c r="W9" s="197">
        <v>7624.3</v>
      </c>
      <c r="X9" s="204">
        <f t="shared" si="0"/>
        <v>1060.0000000000364</v>
      </c>
      <c r="Y9" s="243">
        <f t="shared" si="13"/>
        <v>43867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1</v>
      </c>
      <c r="B10" s="95">
        <f>Gen!A17</f>
        <v>43868</v>
      </c>
      <c r="C10" s="196"/>
      <c r="D10" s="196">
        <f t="shared" si="1"/>
        <v>8445.9</v>
      </c>
      <c r="E10" s="521">
        <v>8450.6</v>
      </c>
      <c r="F10" s="204">
        <f t="shared" si="2"/>
        <v>564.00000000008731</v>
      </c>
      <c r="G10" s="198"/>
      <c r="H10" s="243">
        <f t="shared" si="10"/>
        <v>43868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43868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9.2413567098162758E-2</v>
      </c>
      <c r="T10" s="243">
        <f t="shared" si="12"/>
        <v>43868</v>
      </c>
      <c r="U10" s="196"/>
      <c r="V10" s="196">
        <f t="shared" si="8"/>
        <v>7624.3</v>
      </c>
      <c r="W10" s="197">
        <v>7630.3</v>
      </c>
      <c r="X10" s="204">
        <f t="shared" si="0"/>
        <v>1200</v>
      </c>
      <c r="Y10" s="243">
        <f t="shared" si="13"/>
        <v>43868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0.1429</v>
      </c>
      <c r="B11" s="95">
        <f>Gen!A18</f>
        <v>43869</v>
      </c>
      <c r="C11" s="196"/>
      <c r="D11" s="196">
        <f t="shared" si="1"/>
        <v>8450.6</v>
      </c>
      <c r="E11" s="521">
        <v>8455.2999999999993</v>
      </c>
      <c r="F11" s="204">
        <f t="shared" si="2"/>
        <v>563.99999999986903</v>
      </c>
      <c r="G11" s="198"/>
      <c r="H11" s="243">
        <f t="shared" si="10"/>
        <v>43869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43869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0.1011477761836207</v>
      </c>
      <c r="T11" s="243">
        <f t="shared" si="12"/>
        <v>43869</v>
      </c>
      <c r="U11" s="196"/>
      <c r="V11" s="196">
        <f t="shared" si="8"/>
        <v>7630.3</v>
      </c>
      <c r="W11" s="197">
        <v>7636.4</v>
      </c>
      <c r="X11" s="204">
        <f t="shared" si="0"/>
        <v>1219.9999999998909</v>
      </c>
      <c r="Y11" s="243">
        <f t="shared" si="13"/>
        <v>43869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0.19500000000000001</v>
      </c>
      <c r="B12" s="95">
        <f>Gen!A19</f>
        <v>43870</v>
      </c>
      <c r="C12" s="196"/>
      <c r="D12" s="196">
        <f t="shared" si="1"/>
        <v>8455.2999999999993</v>
      </c>
      <c r="E12" s="521">
        <v>8459.9</v>
      </c>
      <c r="F12" s="204">
        <f t="shared" si="2"/>
        <v>552.00000000004366</v>
      </c>
      <c r="G12" s="198"/>
      <c r="H12" s="243">
        <f t="shared" si="10"/>
        <v>43870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43870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9.9783080260311574E-2</v>
      </c>
      <c r="T12" s="243">
        <f t="shared" si="12"/>
        <v>43870</v>
      </c>
      <c r="U12" s="196"/>
      <c r="V12" s="196">
        <f t="shared" si="8"/>
        <v>7636.4</v>
      </c>
      <c r="W12" s="197">
        <v>7641.7</v>
      </c>
      <c r="X12" s="204">
        <f t="shared" si="0"/>
        <v>1060.0000000000364</v>
      </c>
      <c r="Y12" s="243">
        <f t="shared" si="13"/>
        <v>43870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0.18179999999999999</v>
      </c>
      <c r="B13" s="95">
        <f>Gen!A20</f>
        <v>43871</v>
      </c>
      <c r="C13" s="196"/>
      <c r="D13" s="196">
        <f t="shared" si="1"/>
        <v>8459.9</v>
      </c>
      <c r="E13" s="521"/>
      <c r="F13" s="204">
        <f t="shared" si="2"/>
        <v>-1015188</v>
      </c>
      <c r="G13" s="198"/>
      <c r="H13" s="243">
        <f t="shared" si="10"/>
        <v>43871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43871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-162.8730948179047</v>
      </c>
      <c r="T13" s="243">
        <f t="shared" si="12"/>
        <v>43871</v>
      </c>
      <c r="U13" s="196"/>
      <c r="V13" s="196">
        <f t="shared" si="8"/>
        <v>7641.7</v>
      </c>
      <c r="W13" s="197"/>
      <c r="X13" s="204">
        <f t="shared" si="0"/>
        <v>-1528340</v>
      </c>
      <c r="Y13" s="243">
        <f t="shared" si="13"/>
        <v>43871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</v>
      </c>
      <c r="B14" s="95">
        <f>Gen!A21</f>
        <v>43872</v>
      </c>
      <c r="C14" s="196"/>
      <c r="D14" s="196">
        <f t="shared" si="1"/>
        <v>0</v>
      </c>
      <c r="E14" s="521"/>
      <c r="F14" s="204">
        <f t="shared" si="2"/>
        <v>0</v>
      </c>
      <c r="G14" s="198"/>
      <c r="H14" s="243">
        <f t="shared" si="10"/>
        <v>43872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43872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0</v>
      </c>
      <c r="T14" s="243">
        <f t="shared" si="12"/>
        <v>43872</v>
      </c>
      <c r="U14" s="196"/>
      <c r="V14" s="196">
        <f t="shared" si="8"/>
        <v>0</v>
      </c>
      <c r="W14" s="197"/>
      <c r="X14" s="204">
        <f t="shared" si="0"/>
        <v>0</v>
      </c>
      <c r="Y14" s="243">
        <f t="shared" si="13"/>
        <v>43872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</v>
      </c>
      <c r="B15" s="95">
        <f>Gen!A22</f>
        <v>43873</v>
      </c>
      <c r="C15" s="196"/>
      <c r="D15" s="196">
        <f t="shared" si="1"/>
        <v>0</v>
      </c>
      <c r="E15" s="521"/>
      <c r="F15" s="204">
        <f t="shared" si="2"/>
        <v>0</v>
      </c>
      <c r="G15" s="198"/>
      <c r="H15" s="243">
        <f t="shared" si="10"/>
        <v>43873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43873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0</v>
      </c>
      <c r="T15" s="243">
        <f t="shared" si="12"/>
        <v>43873</v>
      </c>
      <c r="U15" s="196"/>
      <c r="V15" s="196">
        <f t="shared" si="8"/>
        <v>0</v>
      </c>
      <c r="W15" s="197"/>
      <c r="X15" s="204">
        <f t="shared" si="0"/>
        <v>0</v>
      </c>
      <c r="Y15" s="243">
        <f t="shared" si="13"/>
        <v>43873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</v>
      </c>
      <c r="B16" s="95">
        <f>Gen!A23</f>
        <v>43874</v>
      </c>
      <c r="C16" s="196"/>
      <c r="D16" s="196">
        <f t="shared" si="1"/>
        <v>0</v>
      </c>
      <c r="E16" s="521"/>
      <c r="F16" s="204">
        <f>SUM(E16-D16)*120</f>
        <v>0</v>
      </c>
      <c r="G16" s="198"/>
      <c r="H16" s="243">
        <f t="shared" si="10"/>
        <v>43874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43874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0</v>
      </c>
      <c r="T16" s="243">
        <f t="shared" si="12"/>
        <v>43874</v>
      </c>
      <c r="U16" s="196"/>
      <c r="V16" s="196">
        <f t="shared" si="8"/>
        <v>0</v>
      </c>
      <c r="W16" s="197"/>
      <c r="X16" s="204">
        <f t="shared" si="0"/>
        <v>0</v>
      </c>
      <c r="Y16" s="243">
        <f t="shared" si="13"/>
        <v>43874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</v>
      </c>
      <c r="B17" s="95">
        <f>Gen!A24</f>
        <v>43875</v>
      </c>
      <c r="C17" s="196"/>
      <c r="D17" s="196">
        <f t="shared" si="1"/>
        <v>0</v>
      </c>
      <c r="E17" s="521"/>
      <c r="F17" s="204">
        <f>SUM(E17-D17)*120</f>
        <v>0</v>
      </c>
      <c r="G17" s="198"/>
      <c r="H17" s="243">
        <f t="shared" si="10"/>
        <v>43875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43875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0</v>
      </c>
      <c r="T17" s="243">
        <f t="shared" si="12"/>
        <v>43875</v>
      </c>
      <c r="U17" s="196"/>
      <c r="V17" s="196">
        <f t="shared" si="8"/>
        <v>0</v>
      </c>
      <c r="W17" s="197"/>
      <c r="X17" s="204">
        <f t="shared" si="0"/>
        <v>0</v>
      </c>
      <c r="Y17" s="243">
        <f t="shared" si="13"/>
        <v>43875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</v>
      </c>
      <c r="B18" s="95">
        <f>Gen!A25</f>
        <v>43876</v>
      </c>
      <c r="C18" s="196"/>
      <c r="D18" s="196">
        <f t="shared" si="1"/>
        <v>0</v>
      </c>
      <c r="E18" s="521"/>
      <c r="F18" s="204">
        <f t="shared" ref="F18:F22" si="15">SUM(E18-D18)*120</f>
        <v>0</v>
      </c>
      <c r="G18" s="198"/>
      <c r="H18" s="243">
        <f t="shared" si="10"/>
        <v>43876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43876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0</v>
      </c>
      <c r="T18" s="243">
        <f t="shared" si="12"/>
        <v>43876</v>
      </c>
      <c r="U18" s="196"/>
      <c r="V18" s="196">
        <f t="shared" si="8"/>
        <v>0</v>
      </c>
      <c r="W18" s="197"/>
      <c r="X18" s="204">
        <f t="shared" si="0"/>
        <v>0</v>
      </c>
      <c r="Y18" s="243">
        <f t="shared" si="13"/>
        <v>43876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</v>
      </c>
      <c r="B19" s="95">
        <f>Gen!A26</f>
        <v>43877</v>
      </c>
      <c r="C19" s="199"/>
      <c r="D19" s="196">
        <f t="shared" si="1"/>
        <v>0</v>
      </c>
      <c r="E19" s="521"/>
      <c r="F19" s="204">
        <f t="shared" si="15"/>
        <v>0</v>
      </c>
      <c r="G19" s="198"/>
      <c r="H19" s="243">
        <f t="shared" si="10"/>
        <v>43877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43877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0</v>
      </c>
      <c r="T19" s="243">
        <f t="shared" si="12"/>
        <v>43877</v>
      </c>
      <c r="U19" s="199"/>
      <c r="V19" s="196">
        <f t="shared" si="8"/>
        <v>0</v>
      </c>
      <c r="W19" s="197"/>
      <c r="X19" s="204">
        <f t="shared" si="0"/>
        <v>0</v>
      </c>
      <c r="Y19" s="243">
        <f t="shared" si="13"/>
        <v>43877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</v>
      </c>
      <c r="B20" s="95">
        <f>Gen!A27</f>
        <v>43878</v>
      </c>
      <c r="C20" s="199"/>
      <c r="D20" s="196">
        <f t="shared" si="1"/>
        <v>0</v>
      </c>
      <c r="E20" s="521"/>
      <c r="F20" s="204">
        <f t="shared" si="15"/>
        <v>0</v>
      </c>
      <c r="G20" s="198"/>
      <c r="H20" s="243">
        <f t="shared" si="10"/>
        <v>43878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43878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0</v>
      </c>
      <c r="T20" s="243">
        <f t="shared" si="12"/>
        <v>43878</v>
      </c>
      <c r="U20" s="199"/>
      <c r="V20" s="196">
        <f t="shared" si="8"/>
        <v>0</v>
      </c>
      <c r="W20" s="197"/>
      <c r="X20" s="204">
        <f t="shared" si="0"/>
        <v>0</v>
      </c>
      <c r="Y20" s="243">
        <f t="shared" si="13"/>
        <v>43878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</v>
      </c>
      <c r="B21" s="95">
        <f>Gen!A28</f>
        <v>43879</v>
      </c>
      <c r="C21" s="199"/>
      <c r="D21" s="196">
        <f t="shared" si="1"/>
        <v>0</v>
      </c>
      <c r="E21" s="521"/>
      <c r="F21" s="204">
        <f t="shared" si="15"/>
        <v>0</v>
      </c>
      <c r="G21" s="198"/>
      <c r="H21" s="243">
        <f t="shared" si="10"/>
        <v>43879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43879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0</v>
      </c>
      <c r="T21" s="243">
        <f t="shared" si="12"/>
        <v>43879</v>
      </c>
      <c r="U21" s="199"/>
      <c r="V21" s="196">
        <f t="shared" si="8"/>
        <v>0</v>
      </c>
      <c r="W21" s="197"/>
      <c r="X21" s="204">
        <f t="shared" si="0"/>
        <v>0</v>
      </c>
      <c r="Y21" s="243">
        <f t="shared" si="13"/>
        <v>43879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</v>
      </c>
      <c r="B22" s="95">
        <f>Gen!A29</f>
        <v>43880</v>
      </c>
      <c r="C22" s="196"/>
      <c r="D22" s="196">
        <f t="shared" si="1"/>
        <v>0</v>
      </c>
      <c r="E22" s="521"/>
      <c r="F22" s="204">
        <f t="shared" si="15"/>
        <v>0</v>
      </c>
      <c r="G22" s="198"/>
      <c r="H22" s="243">
        <f t="shared" si="10"/>
        <v>43880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43880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</v>
      </c>
      <c r="T22" s="243">
        <f t="shared" si="12"/>
        <v>43880</v>
      </c>
      <c r="U22" s="196"/>
      <c r="V22" s="196">
        <f t="shared" si="8"/>
        <v>0</v>
      </c>
      <c r="W22" s="197"/>
      <c r="X22" s="204">
        <f t="shared" si="0"/>
        <v>0</v>
      </c>
      <c r="Y22" s="243">
        <f t="shared" si="13"/>
        <v>43880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</v>
      </c>
      <c r="B23" s="95">
        <f>Gen!A30</f>
        <v>43881</v>
      </c>
      <c r="C23" s="199"/>
      <c r="D23" s="196">
        <f t="shared" si="1"/>
        <v>0</v>
      </c>
      <c r="E23" s="521"/>
      <c r="F23" s="204">
        <f t="shared" ref="F23:F34" si="17">SUM(E23-D23)*120</f>
        <v>0</v>
      </c>
      <c r="G23" s="198"/>
      <c r="H23" s="243">
        <f t="shared" si="10"/>
        <v>43881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43881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0</v>
      </c>
      <c r="T23" s="243">
        <f t="shared" si="12"/>
        <v>43881</v>
      </c>
      <c r="U23" s="199"/>
      <c r="V23" s="196">
        <f t="shared" si="8"/>
        <v>0</v>
      </c>
      <c r="W23" s="197"/>
      <c r="X23" s="204">
        <f t="shared" si="0"/>
        <v>0</v>
      </c>
      <c r="Y23" s="243">
        <f t="shared" si="13"/>
        <v>43881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</v>
      </c>
      <c r="B24" s="95">
        <f>Gen!A31</f>
        <v>43882</v>
      </c>
      <c r="C24" s="199"/>
      <c r="D24" s="196">
        <f t="shared" ref="D24:D35" si="18">SUM(E23)</f>
        <v>0</v>
      </c>
      <c r="E24" s="521"/>
      <c r="F24" s="204">
        <f t="shared" si="17"/>
        <v>0</v>
      </c>
      <c r="G24" s="198"/>
      <c r="H24" s="243">
        <f t="shared" si="10"/>
        <v>43882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43882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0</v>
      </c>
      <c r="T24" s="243">
        <v>5835.7</v>
      </c>
      <c r="U24" s="199"/>
      <c r="V24" s="196">
        <f t="shared" si="8"/>
        <v>0</v>
      </c>
      <c r="W24" s="197"/>
      <c r="X24" s="204">
        <f t="shared" si="0"/>
        <v>0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</v>
      </c>
      <c r="B25" s="95">
        <f>Gen!A32</f>
        <v>43883</v>
      </c>
      <c r="C25" s="199"/>
      <c r="D25" s="196">
        <f t="shared" si="18"/>
        <v>0</v>
      </c>
      <c r="E25" s="521"/>
      <c r="F25" s="204">
        <f t="shared" si="17"/>
        <v>0</v>
      </c>
      <c r="G25" s="198"/>
      <c r="H25" s="243">
        <f t="shared" si="10"/>
        <v>43883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43883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0</v>
      </c>
      <c r="T25" s="243">
        <f t="shared" si="12"/>
        <v>43883</v>
      </c>
      <c r="U25" s="199"/>
      <c r="V25" s="196">
        <f t="shared" si="8"/>
        <v>0</v>
      </c>
      <c r="W25" s="197"/>
      <c r="X25" s="204">
        <f t="shared" si="0"/>
        <v>0</v>
      </c>
      <c r="Y25" s="243">
        <f t="shared" si="13"/>
        <v>43883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0</v>
      </c>
      <c r="B26" s="95">
        <f>Gen!A33</f>
        <v>43884</v>
      </c>
      <c r="C26" s="199"/>
      <c r="D26" s="196">
        <f t="shared" si="18"/>
        <v>0</v>
      </c>
      <c r="E26" s="521"/>
      <c r="F26" s="204">
        <f t="shared" si="17"/>
        <v>0</v>
      </c>
      <c r="G26" s="198"/>
      <c r="H26" s="243">
        <f t="shared" si="10"/>
        <v>43884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43884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0</v>
      </c>
      <c r="T26" s="243">
        <f t="shared" si="12"/>
        <v>43884</v>
      </c>
      <c r="U26" s="199"/>
      <c r="V26" s="196">
        <f t="shared" si="8"/>
        <v>0</v>
      </c>
      <c r="W26" s="197"/>
      <c r="X26" s="204">
        <f t="shared" si="0"/>
        <v>0</v>
      </c>
      <c r="Y26" s="243">
        <f t="shared" si="13"/>
        <v>43884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</v>
      </c>
      <c r="B27" s="95">
        <f>Gen!A34</f>
        <v>43885</v>
      </c>
      <c r="C27" s="199"/>
      <c r="D27" s="196">
        <f t="shared" si="18"/>
        <v>0</v>
      </c>
      <c r="E27" s="521"/>
      <c r="F27" s="204">
        <f t="shared" si="17"/>
        <v>0</v>
      </c>
      <c r="G27" s="198"/>
      <c r="H27" s="243">
        <f t="shared" si="10"/>
        <v>43885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43885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0</v>
      </c>
      <c r="T27" s="243">
        <f t="shared" si="12"/>
        <v>43885</v>
      </c>
      <c r="U27" s="199"/>
      <c r="V27" s="196">
        <f t="shared" si="8"/>
        <v>0</v>
      </c>
      <c r="W27" s="197"/>
      <c r="X27" s="204">
        <f t="shared" si="0"/>
        <v>0</v>
      </c>
      <c r="Y27" s="243">
        <f t="shared" si="13"/>
        <v>43885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</v>
      </c>
      <c r="B28" s="95">
        <f>Gen!A35</f>
        <v>43886</v>
      </c>
      <c r="C28" s="199"/>
      <c r="D28" s="196">
        <f t="shared" si="18"/>
        <v>0</v>
      </c>
      <c r="E28" s="521"/>
      <c r="F28" s="204">
        <f t="shared" si="17"/>
        <v>0</v>
      </c>
      <c r="G28" s="198"/>
      <c r="H28" s="243">
        <f t="shared" si="10"/>
        <v>43886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43886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0</v>
      </c>
      <c r="T28" s="243">
        <f t="shared" si="12"/>
        <v>43886</v>
      </c>
      <c r="U28" s="199"/>
      <c r="V28" s="196">
        <f t="shared" si="8"/>
        <v>0</v>
      </c>
      <c r="W28" s="197"/>
      <c r="X28" s="204">
        <f t="shared" si="0"/>
        <v>0</v>
      </c>
      <c r="Y28" s="243">
        <f t="shared" si="13"/>
        <v>43886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</v>
      </c>
      <c r="B29" s="95">
        <f>Gen!A36</f>
        <v>43887</v>
      </c>
      <c r="C29" s="199"/>
      <c r="D29" s="196">
        <f t="shared" si="18"/>
        <v>0</v>
      </c>
      <c r="E29" s="521"/>
      <c r="F29" s="204">
        <f t="shared" si="17"/>
        <v>0</v>
      </c>
      <c r="G29" s="198"/>
      <c r="H29" s="243">
        <f t="shared" si="10"/>
        <v>43887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43887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0</v>
      </c>
      <c r="T29" s="243">
        <f t="shared" si="12"/>
        <v>43887</v>
      </c>
      <c r="U29" s="199"/>
      <c r="V29" s="196">
        <f t="shared" si="8"/>
        <v>0</v>
      </c>
      <c r="W29" s="197"/>
      <c r="X29" s="204">
        <f t="shared" si="0"/>
        <v>0</v>
      </c>
      <c r="Y29" s="243">
        <f t="shared" si="13"/>
        <v>43887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</v>
      </c>
      <c r="B30" s="95">
        <f>Gen!A37</f>
        <v>43888</v>
      </c>
      <c r="C30" s="199"/>
      <c r="D30" s="196">
        <f t="shared" si="18"/>
        <v>0</v>
      </c>
      <c r="E30" s="521"/>
      <c r="F30" s="204">
        <f t="shared" si="17"/>
        <v>0</v>
      </c>
      <c r="G30" s="198"/>
      <c r="H30" s="243">
        <f t="shared" si="10"/>
        <v>43888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43888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0</v>
      </c>
      <c r="T30" s="243">
        <f t="shared" si="12"/>
        <v>43888</v>
      </c>
      <c r="U30" s="199"/>
      <c r="V30" s="196">
        <f t="shared" si="8"/>
        <v>0</v>
      </c>
      <c r="W30" s="197"/>
      <c r="X30" s="204">
        <f t="shared" si="0"/>
        <v>0</v>
      </c>
      <c r="Y30" s="243">
        <f t="shared" si="13"/>
        <v>43888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</v>
      </c>
      <c r="B31" s="95">
        <f>Gen!A38</f>
        <v>43889</v>
      </c>
      <c r="C31" s="199"/>
      <c r="D31" s="196">
        <f t="shared" si="18"/>
        <v>0</v>
      </c>
      <c r="E31" s="521"/>
      <c r="F31" s="204">
        <f t="shared" si="17"/>
        <v>0</v>
      </c>
      <c r="G31" s="198"/>
      <c r="H31" s="243">
        <f t="shared" si="10"/>
        <v>43889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43889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43889</v>
      </c>
      <c r="U31" s="199"/>
      <c r="V31" s="196">
        <f t="shared" si="8"/>
        <v>0</v>
      </c>
      <c r="W31" s="197"/>
      <c r="X31" s="204">
        <f t="shared" si="0"/>
        <v>0</v>
      </c>
      <c r="Y31" s="243">
        <f>T31</f>
        <v>43889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</v>
      </c>
      <c r="B32" s="95">
        <f>Gen!A39</f>
        <v>43890</v>
      </c>
      <c r="C32" s="199"/>
      <c r="D32" s="196">
        <f t="shared" si="18"/>
        <v>0</v>
      </c>
      <c r="E32" s="521"/>
      <c r="F32" s="204">
        <f t="shared" si="17"/>
        <v>0</v>
      </c>
      <c r="G32" s="198"/>
      <c r="H32" s="243">
        <f t="shared" si="10"/>
        <v>43890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43890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43890</v>
      </c>
      <c r="U32" s="199"/>
      <c r="V32" s="196">
        <f t="shared" si="8"/>
        <v>0</v>
      </c>
      <c r="W32" s="197"/>
      <c r="X32" s="204">
        <f t="shared" si="0"/>
        <v>0</v>
      </c>
      <c r="Y32" s="243">
        <f t="shared" ref="Y32:Y35" si="21">T32</f>
        <v>43890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</v>
      </c>
      <c r="B33" s="95">
        <f>Gen!A40</f>
        <v>43891</v>
      </c>
      <c r="C33" s="199"/>
      <c r="D33" s="196">
        <f t="shared" si="18"/>
        <v>0</v>
      </c>
      <c r="E33" s="521"/>
      <c r="F33" s="204">
        <f t="shared" si="17"/>
        <v>0</v>
      </c>
      <c r="G33" s="198"/>
      <c r="H33" s="243">
        <f t="shared" si="10"/>
        <v>43891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43891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43891</v>
      </c>
      <c r="U33" s="199"/>
      <c r="V33" s="196">
        <f t="shared" si="8"/>
        <v>0</v>
      </c>
      <c r="W33" s="197"/>
      <c r="X33" s="204">
        <f t="shared" si="0"/>
        <v>0</v>
      </c>
      <c r="Y33" s="243">
        <f t="shared" si="21"/>
        <v>43891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</v>
      </c>
      <c r="B34" s="95">
        <f>Gen!A41</f>
        <v>43892</v>
      </c>
      <c r="C34" s="200"/>
      <c r="D34" s="196">
        <f t="shared" si="18"/>
        <v>0</v>
      </c>
      <c r="E34" s="521"/>
      <c r="F34" s="204">
        <f t="shared" si="17"/>
        <v>0</v>
      </c>
      <c r="G34" s="20"/>
      <c r="H34" s="243">
        <f t="shared" si="10"/>
        <v>43892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43892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43892</v>
      </c>
      <c r="U34" s="200"/>
      <c r="V34" s="196">
        <f t="shared" ref="V34:V35" si="23">SUM(W33)</f>
        <v>0</v>
      </c>
      <c r="W34" s="197"/>
      <c r="X34" s="204">
        <f t="shared" si="0"/>
        <v>0</v>
      </c>
      <c r="Y34" s="243">
        <f t="shared" si="21"/>
        <v>43892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05">
        <f t="shared" si="18"/>
        <v>0</v>
      </c>
      <c r="E35" s="606"/>
      <c r="F35" s="206">
        <f>SUM(F4:F6)</f>
        <v>1428.0000000001746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25"/>
      <c r="L36" s="154"/>
      <c r="Q36" s="154"/>
      <c r="R36" s="213"/>
      <c r="X36" s="523">
        <f>SUM(X4:X6)</f>
        <v>2360.0000000000364</v>
      </c>
      <c r="AC36" s="154"/>
    </row>
    <row r="37" spans="1:29" ht="12.75" customHeight="1">
      <c r="D37" s="20"/>
      <c r="E37" s="525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25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25"/>
      <c r="G41" s="20"/>
    </row>
    <row r="42" spans="1:29" ht="12.75" customHeight="1">
      <c r="C42" s="202"/>
      <c r="E42" s="526"/>
      <c r="G42" s="20"/>
      <c r="U42" s="202"/>
    </row>
    <row r="43" spans="1:29" ht="18.75">
      <c r="E43" s="525"/>
    </row>
    <row r="44" spans="1:29">
      <c r="E44" s="526"/>
    </row>
    <row r="45" spans="1:29" ht="18.75">
      <c r="E45" s="525"/>
    </row>
    <row r="46" spans="1:29">
      <c r="E46" s="526"/>
    </row>
    <row r="47" spans="1:29" ht="18.75">
      <c r="E47" s="525"/>
    </row>
    <row r="48" spans="1:29">
      <c r="E48" s="526"/>
    </row>
    <row r="49" spans="5:5" ht="18.75">
      <c r="E49" s="525"/>
    </row>
    <row r="50" spans="5:5">
      <c r="E50" s="526"/>
    </row>
    <row r="51" spans="5:5" ht="18.75">
      <c r="E51" s="525"/>
    </row>
    <row r="52" spans="5:5">
      <c r="E52" s="526"/>
    </row>
    <row r="53" spans="5:5" ht="18.75">
      <c r="E53" s="52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3" sqref="E1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84" t="s">
        <v>313</v>
      </c>
      <c r="B2" s="785"/>
      <c r="C2" s="785"/>
      <c r="D2" s="785"/>
      <c r="E2" s="786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393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43862</v>
      </c>
      <c r="B5" s="424">
        <f>'Daily report Gen'!Z6</f>
        <v>37</v>
      </c>
      <c r="C5" s="89">
        <f>Gen!B11</f>
        <v>0.23380000000000001</v>
      </c>
      <c r="D5" s="588">
        <f t="shared" ref="D5:D36" si="0">E5</f>
        <v>18</v>
      </c>
      <c r="E5" s="76">
        <v>18</v>
      </c>
      <c r="F5" s="72">
        <f>Gen!T9</f>
        <v>0</v>
      </c>
      <c r="G5" s="87">
        <f>Gen!S9</f>
        <v>0</v>
      </c>
      <c r="H5" s="87">
        <f>Gen!AJ11</f>
        <v>83.21</v>
      </c>
      <c r="I5" s="87">
        <f t="shared" ref="I5:I36" si="1">SUM(G5:H5)</f>
        <v>83.21</v>
      </c>
      <c r="J5" s="603">
        <f>Gen!C11</f>
        <v>30982.31</v>
      </c>
      <c r="K5" s="386">
        <f>'Water-Meter'!E6</f>
        <v>113</v>
      </c>
      <c r="L5" s="604">
        <f>'Lpg (2)'!G10</f>
        <v>94.511999999982081</v>
      </c>
      <c r="M5" s="81" t="e">
        <f>SUM(#REF!-#REF!)</f>
        <v>#REF!</v>
      </c>
    </row>
    <row r="6" spans="1:13">
      <c r="A6" s="54">
        <f>Gen!A12</f>
        <v>43863</v>
      </c>
      <c r="B6" s="424">
        <f>'Daily report Gen'!Z7</f>
        <v>12</v>
      </c>
      <c r="C6" s="89">
        <f>Gen!B12</f>
        <v>0.23400000000000001</v>
      </c>
      <c r="D6" s="588">
        <f t="shared" si="0"/>
        <v>18</v>
      </c>
      <c r="E6" s="76">
        <v>18</v>
      </c>
      <c r="F6" s="72">
        <f>Gen!T10</f>
        <v>0</v>
      </c>
      <c r="G6" s="87">
        <f>Gen!S10</f>
        <v>0</v>
      </c>
      <c r="H6" s="87">
        <f>Gen!AJ12</f>
        <v>130.38999999999999</v>
      </c>
      <c r="I6" s="87">
        <f t="shared" si="1"/>
        <v>130.38999999999999</v>
      </c>
      <c r="J6" s="603">
        <f>Gen!C12</f>
        <v>29074.350000000002</v>
      </c>
      <c r="K6" s="386">
        <f>'Water-Meter'!E7</f>
        <v>97</v>
      </c>
      <c r="L6" s="604">
        <f>'Lpg (2)'!G11</f>
        <v>104.63199999999489</v>
      </c>
      <c r="M6" s="81" t="e">
        <f>SUM(#REF!-#REF!)</f>
        <v>#REF!</v>
      </c>
    </row>
    <row r="7" spans="1:13">
      <c r="A7" s="54">
        <f>Gen!A13</f>
        <v>43864</v>
      </c>
      <c r="B7" s="424">
        <f>'Daily report Gen'!Z8</f>
        <v>71</v>
      </c>
      <c r="C7" s="89">
        <f>Gen!B13</f>
        <v>0.104</v>
      </c>
      <c r="D7" s="588">
        <f t="shared" si="0"/>
        <v>8</v>
      </c>
      <c r="E7" s="76">
        <v>8</v>
      </c>
      <c r="F7" s="72">
        <f>Gen!T11</f>
        <v>4580</v>
      </c>
      <c r="G7" s="87">
        <f>Gen!S11</f>
        <v>1824.75</v>
      </c>
      <c r="H7" s="87">
        <f>Gen!AJ13</f>
        <v>178.75</v>
      </c>
      <c r="I7" s="87">
        <f t="shared" si="1"/>
        <v>2003.5</v>
      </c>
      <c r="J7" s="603">
        <f>Gen!C13</f>
        <v>27141.11</v>
      </c>
      <c r="K7" s="386">
        <f>'Water-Meter'!E8</f>
        <v>107</v>
      </c>
      <c r="L7" s="604">
        <f>'Lpg (2)'!G12</f>
        <v>-783.94799999999236</v>
      </c>
      <c r="M7" s="81" t="e">
        <f>SUM(#REF!-#REF!)</f>
        <v>#REF!</v>
      </c>
    </row>
    <row r="8" spans="1:13">
      <c r="A8" s="54">
        <f>Gen!A14</f>
        <v>43865</v>
      </c>
      <c r="B8" s="424">
        <f>'Daily report Gen'!Z9</f>
        <v>43</v>
      </c>
      <c r="C8" s="89">
        <f>Gen!B14</f>
        <v>1</v>
      </c>
      <c r="D8" s="588">
        <f>E8</f>
        <v>77</v>
      </c>
      <c r="E8" s="76">
        <v>77</v>
      </c>
      <c r="F8" s="72">
        <f>Gen!T12</f>
        <v>4303</v>
      </c>
      <c r="G8" s="87">
        <f>Gen!S12</f>
        <v>1802.8500000000001</v>
      </c>
      <c r="H8" s="87">
        <f>Gen!AJ14</f>
        <v>89.65</v>
      </c>
      <c r="I8" s="87">
        <f t="shared" si="1"/>
        <v>1892.5000000000002</v>
      </c>
      <c r="J8" s="603">
        <f>Gen!C14</f>
        <v>43041.440000000002</v>
      </c>
      <c r="K8" s="386">
        <f>'Water-Meter'!E9</f>
        <v>139</v>
      </c>
      <c r="L8" s="604">
        <f>'Lpg (2)'!G13</f>
        <v>112.72800000004355</v>
      </c>
      <c r="M8" s="81" t="e">
        <f>SUM(#REF!-#REF!)</f>
        <v>#REF!</v>
      </c>
    </row>
    <row r="9" spans="1:13">
      <c r="A9" s="54">
        <f>Gen!A15</f>
        <v>43866</v>
      </c>
      <c r="B9" s="424">
        <f>'Daily report Gen'!Z10</f>
        <v>45</v>
      </c>
      <c r="C9" s="89">
        <f>Gen!B15</f>
        <v>1</v>
      </c>
      <c r="D9" s="588">
        <f t="shared" si="0"/>
        <v>77</v>
      </c>
      <c r="E9" s="76">
        <v>77</v>
      </c>
      <c r="F9" s="72">
        <f>Gen!T13</f>
        <v>4514</v>
      </c>
      <c r="G9" s="87">
        <f>Gen!S13</f>
        <v>1920.92</v>
      </c>
      <c r="H9" s="87">
        <f>Gen!AJ15</f>
        <v>129.26999999999998</v>
      </c>
      <c r="I9" s="87">
        <f t="shared" si="1"/>
        <v>2050.19</v>
      </c>
      <c r="J9" s="603">
        <f>Gen!C15</f>
        <v>40592.670000000006</v>
      </c>
      <c r="K9" s="386">
        <f>'Water-Meter'!E10</f>
        <v>141</v>
      </c>
      <c r="L9" s="604">
        <f>'Lpg (2)'!G14</f>
        <v>106.91999999994879</v>
      </c>
      <c r="M9" s="81" t="e">
        <f>SUM(#REF!-#REF!)</f>
        <v>#REF!</v>
      </c>
    </row>
    <row r="10" spans="1:13">
      <c r="A10" s="54">
        <f>Gen!A16</f>
        <v>43867</v>
      </c>
      <c r="B10" s="424">
        <f>'Daily report Gen'!Z11</f>
        <v>45</v>
      </c>
      <c r="C10" s="89">
        <f>Gen!B16</f>
        <v>1</v>
      </c>
      <c r="D10" s="588">
        <f t="shared" si="0"/>
        <v>77</v>
      </c>
      <c r="E10" s="76">
        <v>77</v>
      </c>
      <c r="F10" s="72">
        <f>Gen!T14</f>
        <v>5690</v>
      </c>
      <c r="G10" s="87">
        <f>Gen!S14</f>
        <v>2359.12</v>
      </c>
      <c r="H10" s="87">
        <f>Gen!AJ16</f>
        <v>187.64</v>
      </c>
      <c r="I10" s="87">
        <f t="shared" si="1"/>
        <v>2546.7599999999998</v>
      </c>
      <c r="J10" s="603">
        <f>Gen!C16</f>
        <v>38206.670000000006</v>
      </c>
      <c r="K10" s="386">
        <f>'Water-Meter'!E11</f>
        <v>129</v>
      </c>
      <c r="L10" s="604">
        <f>'Lpg (2)'!G15</f>
        <v>102.12400000002818</v>
      </c>
      <c r="M10" s="81" t="e">
        <f>SUM(#REF!-#REF!)</f>
        <v>#REF!</v>
      </c>
    </row>
    <row r="11" spans="1:13">
      <c r="A11" s="54">
        <f>Gen!A17</f>
        <v>43868</v>
      </c>
      <c r="B11" s="424">
        <f>'Daily report Gen'!Z12</f>
        <v>42</v>
      </c>
      <c r="C11" s="89">
        <f>Gen!B17</f>
        <v>1</v>
      </c>
      <c r="D11" s="588">
        <f t="shared" si="0"/>
        <v>77</v>
      </c>
      <c r="E11" s="76">
        <v>77</v>
      </c>
      <c r="F11" s="72">
        <f>Gen!T15</f>
        <v>5866</v>
      </c>
      <c r="G11" s="87">
        <f>Gen!S15</f>
        <v>2256.73</v>
      </c>
      <c r="H11" s="87">
        <f>Gen!AJ17</f>
        <v>203.15</v>
      </c>
      <c r="I11" s="87">
        <f t="shared" si="1"/>
        <v>2459.88</v>
      </c>
      <c r="J11" s="603">
        <f>Gen!C17</f>
        <v>35527.520000000004</v>
      </c>
      <c r="K11" s="386">
        <f>'Water-Meter'!E12</f>
        <v>129</v>
      </c>
      <c r="L11" s="604">
        <f>'Lpg (2)'!G16</f>
        <v>108.19599999998464</v>
      </c>
      <c r="M11" s="81" t="e">
        <f>SUM(#REF!-#REF!)</f>
        <v>#REF!</v>
      </c>
    </row>
    <row r="12" spans="1:13">
      <c r="A12" s="54">
        <f>Gen!A18</f>
        <v>43869</v>
      </c>
      <c r="B12" s="424">
        <f>'Daily report Gen'!Z13</f>
        <v>46</v>
      </c>
      <c r="C12" s="89">
        <f>Gen!B18</f>
        <v>0.1429</v>
      </c>
      <c r="D12" s="588">
        <f t="shared" si="0"/>
        <v>13</v>
      </c>
      <c r="E12" s="76">
        <v>13</v>
      </c>
      <c r="F12" s="72">
        <f>Gen!T16</f>
        <v>5875</v>
      </c>
      <c r="G12" s="87">
        <f>Gen!S16</f>
        <v>2491.5099999999998</v>
      </c>
      <c r="H12" s="87">
        <f>Gen!AJ18</f>
        <v>56.74</v>
      </c>
      <c r="I12" s="87">
        <f t="shared" si="1"/>
        <v>2548.2499999999995</v>
      </c>
      <c r="J12" s="603">
        <f>Gen!C18</f>
        <v>33079.630000000005</v>
      </c>
      <c r="K12" s="386">
        <f>'Water-Meter'!E13</f>
        <v>128</v>
      </c>
      <c r="L12" s="604">
        <f>'Lpg (2)'!G17</f>
        <v>112.15600000002306</v>
      </c>
      <c r="M12" s="81" t="e">
        <f>SUM(#REF!-#REF!)</f>
        <v>#REF!</v>
      </c>
    </row>
    <row r="13" spans="1:13">
      <c r="A13" s="54">
        <f>Gen!A19</f>
        <v>43870</v>
      </c>
      <c r="B13" s="424">
        <f>'Daily report Gen'!Z14</f>
        <v>41</v>
      </c>
      <c r="C13" s="89">
        <f>Gen!B19</f>
        <v>0.19500000000000001</v>
      </c>
      <c r="D13" s="588">
        <f t="shared" si="0"/>
        <v>16</v>
      </c>
      <c r="E13" s="76">
        <v>16</v>
      </c>
      <c r="F13" s="72">
        <f>Gen!T17</f>
        <v>5952</v>
      </c>
      <c r="G13" s="87">
        <f>Gen!S17</f>
        <v>2244.7399999999998</v>
      </c>
      <c r="H13" s="87">
        <f>Gen!AJ19</f>
        <v>162.68</v>
      </c>
      <c r="I13" s="87">
        <f t="shared" si="1"/>
        <v>2407.4199999999996</v>
      </c>
      <c r="J13" s="603">
        <f>Gen!C19</f>
        <v>45453.440000000002</v>
      </c>
      <c r="K13" s="386">
        <f>'Water-Meter'!E14</f>
        <v>96</v>
      </c>
      <c r="L13" s="604">
        <f>'Lpg (2)'!G18</f>
        <v>103.44399999997695</v>
      </c>
      <c r="M13" s="81" t="e">
        <f>SUM(#REF!-#REF!)</f>
        <v>#REF!</v>
      </c>
    </row>
    <row r="14" spans="1:13">
      <c r="A14" s="54">
        <f>Gen!A20</f>
        <v>43871</v>
      </c>
      <c r="B14" s="424">
        <f>'Daily report Gen'!Z15</f>
        <v>-148058</v>
      </c>
      <c r="C14" s="89">
        <f>Gen!B20</f>
        <v>0.18179999999999999</v>
      </c>
      <c r="D14" s="588">
        <f t="shared" si="0"/>
        <v>15</v>
      </c>
      <c r="E14" s="76">
        <v>15</v>
      </c>
      <c r="F14" s="72">
        <f>Gen!T18</f>
        <v>5988</v>
      </c>
      <c r="G14" s="87">
        <f>Gen!S18</f>
        <v>2569.4499999999998</v>
      </c>
      <c r="H14" s="87">
        <f>Gen!AJ20</f>
        <v>0</v>
      </c>
      <c r="I14" s="87">
        <f t="shared" si="1"/>
        <v>2569.4499999999998</v>
      </c>
      <c r="J14" s="603">
        <f>Gen!C20</f>
        <v>43250.94</v>
      </c>
      <c r="K14" s="386" t="str">
        <f>'Water-Meter'!E15</f>
        <v>0</v>
      </c>
      <c r="L14" s="604">
        <f>'Lpg (2)'!G19</f>
        <v>-307317.16399999999</v>
      </c>
      <c r="M14" s="81" t="e">
        <f>SUM(#REF!-#REF!)</f>
        <v>#REF!</v>
      </c>
    </row>
    <row r="15" spans="1:13">
      <c r="A15" s="54">
        <f>Gen!A21</f>
        <v>43872</v>
      </c>
      <c r="B15" s="424">
        <f>'Daily report Gen'!Z16</f>
        <v>0</v>
      </c>
      <c r="C15" s="89">
        <f>Gen!B21</f>
        <v>0</v>
      </c>
      <c r="D15" s="588">
        <f t="shared" si="0"/>
        <v>0</v>
      </c>
      <c r="E15" s="76"/>
      <c r="F15" s="72">
        <f>Gen!T19</f>
        <v>5209</v>
      </c>
      <c r="G15" s="87">
        <f>Gen!S19</f>
        <v>2039.82</v>
      </c>
      <c r="H15" s="87">
        <f>Gen!AJ21</f>
        <v>0</v>
      </c>
      <c r="I15" s="87">
        <f t="shared" si="1"/>
        <v>2039.82</v>
      </c>
      <c r="J15" s="603">
        <f>Gen!C21</f>
        <v>43250.94</v>
      </c>
      <c r="K15" s="386">
        <f>'Water-Meter'!E16</f>
        <v>0</v>
      </c>
      <c r="L15" s="604">
        <f>'Lpg (2)'!G20</f>
        <v>0</v>
      </c>
      <c r="M15" s="81" t="e">
        <f>SUM(#REF!-#REF!)</f>
        <v>#REF!</v>
      </c>
    </row>
    <row r="16" spans="1:13">
      <c r="A16" s="54">
        <f>Gen!A22</f>
        <v>43873</v>
      </c>
      <c r="B16" s="424">
        <f>'Daily report Gen'!Z17</f>
        <v>0</v>
      </c>
      <c r="C16" s="89">
        <f>Gen!B22</f>
        <v>0</v>
      </c>
      <c r="D16" s="588">
        <f t="shared" si="0"/>
        <v>0</v>
      </c>
      <c r="E16" s="76"/>
      <c r="F16" s="72">
        <f>Gen!T20</f>
        <v>0</v>
      </c>
      <c r="G16" s="87">
        <f>Gen!S20</f>
        <v>0</v>
      </c>
      <c r="H16" s="87">
        <f>Gen!AJ22</f>
        <v>0</v>
      </c>
      <c r="I16" s="87">
        <f t="shared" si="1"/>
        <v>0</v>
      </c>
      <c r="J16" s="603">
        <f>Gen!C22</f>
        <v>43250.94</v>
      </c>
      <c r="K16" s="386">
        <f>'Water-Meter'!E17</f>
        <v>0</v>
      </c>
      <c r="L16" s="604">
        <f>'Lpg (2)'!G21</f>
        <v>0</v>
      </c>
      <c r="M16" s="81" t="e">
        <f>SUM(#REF!-#REF!)</f>
        <v>#REF!</v>
      </c>
    </row>
    <row r="17" spans="1:13">
      <c r="A17" s="54">
        <f>Gen!A23</f>
        <v>43874</v>
      </c>
      <c r="B17" s="424">
        <f>'Daily report Gen'!Z18</f>
        <v>0</v>
      </c>
      <c r="C17" s="89">
        <f>Gen!B23</f>
        <v>0</v>
      </c>
      <c r="D17" s="588">
        <f t="shared" si="0"/>
        <v>0</v>
      </c>
      <c r="E17" s="76"/>
      <c r="F17" s="72">
        <f>Gen!T21</f>
        <v>0</v>
      </c>
      <c r="G17" s="87">
        <f>Gen!S21</f>
        <v>0</v>
      </c>
      <c r="H17" s="87">
        <f>Gen!AJ23</f>
        <v>0</v>
      </c>
      <c r="I17" s="87">
        <f t="shared" si="1"/>
        <v>0</v>
      </c>
      <c r="J17" s="603">
        <f>Gen!C23</f>
        <v>43250.94</v>
      </c>
      <c r="K17" s="386">
        <f>'Water-Meter'!E18</f>
        <v>0</v>
      </c>
      <c r="L17" s="604">
        <f>'Lpg (2)'!G22</f>
        <v>0</v>
      </c>
      <c r="M17" s="81" t="e">
        <f>SUM(#REF!-#REF!)</f>
        <v>#REF!</v>
      </c>
    </row>
    <row r="18" spans="1:13">
      <c r="A18" s="54">
        <f>Gen!A24</f>
        <v>43875</v>
      </c>
      <c r="B18" s="424">
        <f>'Daily report Gen'!Z19</f>
        <v>0</v>
      </c>
      <c r="C18" s="89">
        <f>Gen!B24</f>
        <v>0</v>
      </c>
      <c r="D18" s="588">
        <f t="shared" si="0"/>
        <v>0</v>
      </c>
      <c r="E18" s="76"/>
      <c r="F18" s="72">
        <f>Gen!T22</f>
        <v>0</v>
      </c>
      <c r="G18" s="87">
        <f>Gen!S22</f>
        <v>0</v>
      </c>
      <c r="H18" s="87">
        <f>Gen!AJ24</f>
        <v>0</v>
      </c>
      <c r="I18" s="87">
        <f t="shared" si="1"/>
        <v>0</v>
      </c>
      <c r="J18" s="603">
        <f>Gen!C24</f>
        <v>43250.94</v>
      </c>
      <c r="K18" s="386">
        <f>'Water-Meter'!E19</f>
        <v>0</v>
      </c>
      <c r="L18" s="604">
        <f>'Lpg (2)'!G23</f>
        <v>0</v>
      </c>
      <c r="M18" s="81" t="e">
        <f>SUM(#REF!-#REF!)</f>
        <v>#REF!</v>
      </c>
    </row>
    <row r="19" spans="1:13">
      <c r="A19" s="54">
        <f>Gen!A25</f>
        <v>43876</v>
      </c>
      <c r="B19" s="424">
        <f>'Daily report Gen'!Z20</f>
        <v>0</v>
      </c>
      <c r="C19" s="89">
        <f>Gen!B25</f>
        <v>0</v>
      </c>
      <c r="D19" s="588">
        <f t="shared" si="0"/>
        <v>0</v>
      </c>
      <c r="E19" s="76"/>
      <c r="F19" s="72">
        <f>Gen!T23</f>
        <v>0</v>
      </c>
      <c r="G19" s="87">
        <f>Gen!S23</f>
        <v>0</v>
      </c>
      <c r="H19" s="87">
        <f>Gen!AJ25</f>
        <v>0</v>
      </c>
      <c r="I19" s="87">
        <f t="shared" si="1"/>
        <v>0</v>
      </c>
      <c r="J19" s="603">
        <f>Gen!C25</f>
        <v>43250.94</v>
      </c>
      <c r="K19" s="386">
        <f>'Water-Meter'!E20</f>
        <v>0</v>
      </c>
      <c r="L19" s="604">
        <f>'Lpg (2)'!G24</f>
        <v>0</v>
      </c>
      <c r="M19" s="81" t="e">
        <f>SUM(#REF!-#REF!)</f>
        <v>#REF!</v>
      </c>
    </row>
    <row r="20" spans="1:13">
      <c r="A20" s="54">
        <f>Gen!A26</f>
        <v>43877</v>
      </c>
      <c r="B20" s="424">
        <f>'Daily report Gen'!Z21</f>
        <v>0</v>
      </c>
      <c r="C20" s="89">
        <f>Gen!B26</f>
        <v>0</v>
      </c>
      <c r="D20" s="588">
        <f t="shared" si="0"/>
        <v>0</v>
      </c>
      <c r="E20" s="76"/>
      <c r="F20" s="72">
        <f>Gen!T24</f>
        <v>0</v>
      </c>
      <c r="G20" s="87">
        <f>Gen!S24</f>
        <v>0</v>
      </c>
      <c r="H20" s="87">
        <f>Gen!AJ26</f>
        <v>0</v>
      </c>
      <c r="I20" s="87">
        <f t="shared" si="1"/>
        <v>0</v>
      </c>
      <c r="J20" s="603">
        <f>Gen!C26</f>
        <v>43250.94</v>
      </c>
      <c r="K20" s="386">
        <f>'Water-Meter'!E21</f>
        <v>0</v>
      </c>
      <c r="L20" s="604">
        <f>'Lpg (2)'!G25</f>
        <v>0</v>
      </c>
      <c r="M20" s="81" t="e">
        <f>SUM(#REF!-#REF!)</f>
        <v>#REF!</v>
      </c>
    </row>
    <row r="21" spans="1:13">
      <c r="A21" s="54">
        <f>Gen!A27</f>
        <v>43878</v>
      </c>
      <c r="B21" s="424">
        <f>'Daily report Gen'!Z22</f>
        <v>0</v>
      </c>
      <c r="C21" s="89">
        <f>Gen!B27</f>
        <v>0</v>
      </c>
      <c r="D21" s="588">
        <f t="shared" si="0"/>
        <v>0</v>
      </c>
      <c r="E21" s="76"/>
      <c r="F21" s="72">
        <f>Gen!T25</f>
        <v>0</v>
      </c>
      <c r="G21" s="87">
        <f>Gen!S25</f>
        <v>0</v>
      </c>
      <c r="H21" s="87">
        <f>Gen!AJ27</f>
        <v>0</v>
      </c>
      <c r="I21" s="87">
        <f t="shared" si="1"/>
        <v>0</v>
      </c>
      <c r="J21" s="603">
        <f>Gen!C27</f>
        <v>43250.94</v>
      </c>
      <c r="K21" s="386">
        <f>'Water-Meter'!E22</f>
        <v>0</v>
      </c>
      <c r="L21" s="604">
        <f>'Lpg (2)'!G26</f>
        <v>0</v>
      </c>
      <c r="M21" s="81" t="e">
        <f>SUM(#REF!-#REF!)</f>
        <v>#REF!</v>
      </c>
    </row>
    <row r="22" spans="1:13">
      <c r="A22" s="54">
        <f>Gen!A28</f>
        <v>43879</v>
      </c>
      <c r="B22" s="424">
        <f>'Daily report Gen'!Z23</f>
        <v>0</v>
      </c>
      <c r="C22" s="89">
        <f>Gen!B28</f>
        <v>0</v>
      </c>
      <c r="D22" s="588">
        <f t="shared" si="0"/>
        <v>0</v>
      </c>
      <c r="E22" s="76"/>
      <c r="F22" s="72">
        <f>Gen!T26</f>
        <v>0</v>
      </c>
      <c r="G22" s="87">
        <f>Gen!S26</f>
        <v>0</v>
      </c>
      <c r="H22" s="87">
        <f>Gen!AJ28</f>
        <v>0</v>
      </c>
      <c r="I22" s="87">
        <f t="shared" si="1"/>
        <v>0</v>
      </c>
      <c r="J22" s="603">
        <f>Gen!C28</f>
        <v>43250.94</v>
      </c>
      <c r="K22" s="386">
        <f>'Water-Meter'!E23</f>
        <v>0</v>
      </c>
      <c r="L22" s="604">
        <f>'Lpg (2)'!G27</f>
        <v>0</v>
      </c>
      <c r="M22" s="81" t="e">
        <f>SUM(#REF!-#REF!)</f>
        <v>#REF!</v>
      </c>
    </row>
    <row r="23" spans="1:13">
      <c r="A23" s="54">
        <f>Gen!A29</f>
        <v>43880</v>
      </c>
      <c r="B23" s="424">
        <f>'Daily report Gen'!Z24</f>
        <v>0</v>
      </c>
      <c r="C23" s="89">
        <f>Gen!B29</f>
        <v>0</v>
      </c>
      <c r="D23" s="588">
        <f t="shared" si="0"/>
        <v>0</v>
      </c>
      <c r="E23" s="76"/>
      <c r="F23" s="72">
        <f>Gen!T27</f>
        <v>0</v>
      </c>
      <c r="G23" s="87">
        <f>Gen!S27</f>
        <v>0</v>
      </c>
      <c r="H23" s="87">
        <f>Gen!AJ29</f>
        <v>0</v>
      </c>
      <c r="I23" s="87">
        <f t="shared" si="1"/>
        <v>0</v>
      </c>
      <c r="J23" s="603">
        <f>Gen!C29</f>
        <v>43250.94</v>
      </c>
      <c r="K23" s="386">
        <f>'Water-Meter'!E24</f>
        <v>0</v>
      </c>
      <c r="L23" s="604">
        <f>'Lpg (2)'!G28</f>
        <v>0</v>
      </c>
      <c r="M23" s="81" t="e">
        <f>SUM(#REF!-#REF!)</f>
        <v>#REF!</v>
      </c>
    </row>
    <row r="24" spans="1:13">
      <c r="A24" s="54">
        <f>Gen!A30</f>
        <v>43881</v>
      </c>
      <c r="B24" s="424">
        <f>'Daily report Gen'!Z25</f>
        <v>0</v>
      </c>
      <c r="C24" s="89">
        <f>Gen!B30</f>
        <v>0</v>
      </c>
      <c r="D24" s="588">
        <f t="shared" si="0"/>
        <v>0</v>
      </c>
      <c r="E24" s="76"/>
      <c r="F24" s="72">
        <f>Gen!T28</f>
        <v>0</v>
      </c>
      <c r="G24" s="87">
        <f>Gen!S28</f>
        <v>0</v>
      </c>
      <c r="H24" s="87">
        <f>Gen!AJ30</f>
        <v>0</v>
      </c>
      <c r="I24" s="87">
        <f t="shared" si="1"/>
        <v>0</v>
      </c>
      <c r="J24" s="603">
        <f>Gen!C30</f>
        <v>43250.94</v>
      </c>
      <c r="K24" s="386">
        <f>'Water-Meter'!E25</f>
        <v>0</v>
      </c>
      <c r="L24" s="604">
        <f>'Lpg (2)'!G29</f>
        <v>0</v>
      </c>
      <c r="M24" s="81" t="e">
        <f>SUM(#REF!-#REF!)</f>
        <v>#REF!</v>
      </c>
    </row>
    <row r="25" spans="1:13">
      <c r="A25" s="54">
        <f>Gen!A31</f>
        <v>43882</v>
      </c>
      <c r="B25" s="424">
        <f>'Daily report Gen'!Z26</f>
        <v>0</v>
      </c>
      <c r="C25" s="89">
        <f>Gen!B31</f>
        <v>0</v>
      </c>
      <c r="D25" s="588">
        <f t="shared" si="0"/>
        <v>0</v>
      </c>
      <c r="E25" s="76"/>
      <c r="F25" s="72">
        <f>Gen!T29</f>
        <v>0</v>
      </c>
      <c r="G25" s="87">
        <f>Gen!S29</f>
        <v>0</v>
      </c>
      <c r="H25" s="87">
        <f>Gen!AJ31</f>
        <v>0</v>
      </c>
      <c r="I25" s="87">
        <f t="shared" si="1"/>
        <v>0</v>
      </c>
      <c r="J25" s="603">
        <f>Gen!C31</f>
        <v>43250.94</v>
      </c>
      <c r="K25" s="386">
        <f>'Water-Meter'!E26</f>
        <v>0</v>
      </c>
      <c r="L25" s="604">
        <f>'Lpg (2)'!G30</f>
        <v>0</v>
      </c>
      <c r="M25" s="81" t="e">
        <f>SUM(#REF!-#REF!)</f>
        <v>#REF!</v>
      </c>
    </row>
    <row r="26" spans="1:13">
      <c r="A26" s="54">
        <f>Gen!A32</f>
        <v>43883</v>
      </c>
      <c r="B26" s="424">
        <f>'Daily report Gen'!Z27</f>
        <v>0</v>
      </c>
      <c r="C26" s="89">
        <f>Gen!B32</f>
        <v>0</v>
      </c>
      <c r="D26" s="588">
        <f t="shared" si="0"/>
        <v>0</v>
      </c>
      <c r="E26" s="76"/>
      <c r="F26" s="72">
        <f>Gen!T30</f>
        <v>0</v>
      </c>
      <c r="G26" s="87">
        <f>Gen!S30</f>
        <v>0</v>
      </c>
      <c r="H26" s="87">
        <f>Gen!AJ32</f>
        <v>0</v>
      </c>
      <c r="I26" s="87">
        <f t="shared" si="1"/>
        <v>0</v>
      </c>
      <c r="J26" s="603">
        <f>Gen!C32</f>
        <v>43250.94</v>
      </c>
      <c r="K26" s="386">
        <f>'Water-Meter'!E27</f>
        <v>0</v>
      </c>
      <c r="L26" s="604">
        <f>'Lpg (2)'!G31</f>
        <v>0</v>
      </c>
      <c r="M26" s="81" t="e">
        <f>SUM(#REF!-#REF!)</f>
        <v>#REF!</v>
      </c>
    </row>
    <row r="27" spans="1:13">
      <c r="A27" s="54">
        <f>Gen!A33</f>
        <v>43884</v>
      </c>
      <c r="B27" s="424">
        <f>'Daily report Gen'!Z28</f>
        <v>0</v>
      </c>
      <c r="C27" s="89">
        <f>Gen!B33</f>
        <v>0</v>
      </c>
      <c r="D27" s="588">
        <f t="shared" si="0"/>
        <v>0</v>
      </c>
      <c r="E27" s="76"/>
      <c r="F27" s="72">
        <f>Gen!T31</f>
        <v>0</v>
      </c>
      <c r="G27" s="87">
        <f>Gen!S31</f>
        <v>0</v>
      </c>
      <c r="H27" s="87">
        <f>Gen!AJ33</f>
        <v>0</v>
      </c>
      <c r="I27" s="87">
        <f t="shared" si="1"/>
        <v>0</v>
      </c>
      <c r="J27" s="603">
        <f>Gen!C33</f>
        <v>43250.94</v>
      </c>
      <c r="K27" s="386">
        <f>'Water-Meter'!E28</f>
        <v>0</v>
      </c>
      <c r="L27" s="604">
        <f>'Lpg (2)'!G32</f>
        <v>0</v>
      </c>
      <c r="M27" s="81" t="e">
        <f>SUM(#REF!-#REF!)</f>
        <v>#REF!</v>
      </c>
    </row>
    <row r="28" spans="1:13">
      <c r="A28" s="54">
        <f>Gen!A34</f>
        <v>43885</v>
      </c>
      <c r="B28" s="424">
        <f>'Daily report Gen'!Z29</f>
        <v>0</v>
      </c>
      <c r="C28" s="89">
        <f>Gen!B34</f>
        <v>0</v>
      </c>
      <c r="D28" s="588">
        <f t="shared" si="0"/>
        <v>0</v>
      </c>
      <c r="E28" s="76"/>
      <c r="F28" s="72">
        <f>Gen!T32</f>
        <v>0</v>
      </c>
      <c r="G28" s="87">
        <f>Gen!S32</f>
        <v>0</v>
      </c>
      <c r="H28" s="87">
        <f>Gen!AJ34</f>
        <v>0</v>
      </c>
      <c r="I28" s="87">
        <f t="shared" si="1"/>
        <v>0</v>
      </c>
      <c r="J28" s="603">
        <f>Gen!C34</f>
        <v>43250.94</v>
      </c>
      <c r="K28" s="386">
        <f>'Water-Meter'!E29</f>
        <v>0</v>
      </c>
      <c r="L28" s="604">
        <f>'Lpg (2)'!G33</f>
        <v>0</v>
      </c>
      <c r="M28" s="81" t="e">
        <f>SUM(#REF!-#REF!)</f>
        <v>#REF!</v>
      </c>
    </row>
    <row r="29" spans="1:13">
      <c r="A29" s="54">
        <f>Gen!A35</f>
        <v>43886</v>
      </c>
      <c r="B29" s="424">
        <f>'Daily report Gen'!Z30</f>
        <v>0</v>
      </c>
      <c r="C29" s="89">
        <f>Gen!B35</f>
        <v>0</v>
      </c>
      <c r="D29" s="588">
        <f t="shared" si="0"/>
        <v>0</v>
      </c>
      <c r="E29" s="76"/>
      <c r="F29" s="72">
        <f>Gen!T33</f>
        <v>0</v>
      </c>
      <c r="G29" s="87">
        <f>Gen!S33</f>
        <v>0</v>
      </c>
      <c r="H29" s="87">
        <f>Gen!AJ35</f>
        <v>0</v>
      </c>
      <c r="I29" s="87">
        <f t="shared" si="1"/>
        <v>0</v>
      </c>
      <c r="J29" s="603">
        <f>Gen!C35</f>
        <v>43250.94</v>
      </c>
      <c r="K29" s="386">
        <f>'Water-Meter'!E30</f>
        <v>0</v>
      </c>
      <c r="L29" s="604">
        <f>'Lpg (2)'!G34</f>
        <v>0</v>
      </c>
      <c r="M29" s="81" t="e">
        <f>SUM(#REF!-#REF!)</f>
        <v>#REF!</v>
      </c>
    </row>
    <row r="30" spans="1:13">
      <c r="A30" s="54">
        <f>Gen!A36</f>
        <v>43887</v>
      </c>
      <c r="B30" s="424">
        <f>'Daily report Gen'!Z31</f>
        <v>0</v>
      </c>
      <c r="C30" s="89">
        <f>Gen!B36</f>
        <v>0</v>
      </c>
      <c r="D30" s="588">
        <f t="shared" si="0"/>
        <v>0</v>
      </c>
      <c r="E30" s="76"/>
      <c r="F30" s="72">
        <f>Gen!T34</f>
        <v>0</v>
      </c>
      <c r="G30" s="87">
        <f>Gen!S34</f>
        <v>0</v>
      </c>
      <c r="H30" s="87">
        <f>Gen!AJ36</f>
        <v>0</v>
      </c>
      <c r="I30" s="87">
        <f t="shared" si="1"/>
        <v>0</v>
      </c>
      <c r="J30" s="603">
        <f>Gen!C36</f>
        <v>43250.94</v>
      </c>
      <c r="K30" s="386">
        <f>'Water-Meter'!E31</f>
        <v>0</v>
      </c>
      <c r="L30" s="604">
        <f>'Lpg (2)'!G35</f>
        <v>0</v>
      </c>
      <c r="M30" s="81" t="e">
        <f>SUM(#REF!-#REF!)</f>
        <v>#REF!</v>
      </c>
    </row>
    <row r="31" spans="1:13">
      <c r="A31" s="54">
        <f>Gen!A37</f>
        <v>43888</v>
      </c>
      <c r="B31" s="424">
        <f>'Daily report Gen'!Z32</f>
        <v>0</v>
      </c>
      <c r="C31" s="89">
        <f>Gen!B37</f>
        <v>0</v>
      </c>
      <c r="D31" s="588">
        <f t="shared" si="0"/>
        <v>0</v>
      </c>
      <c r="E31" s="76"/>
      <c r="F31" s="72">
        <f>Gen!T35</f>
        <v>0</v>
      </c>
      <c r="G31" s="87">
        <f>Gen!S35</f>
        <v>0</v>
      </c>
      <c r="H31" s="87">
        <f>Gen!AJ37</f>
        <v>0</v>
      </c>
      <c r="I31" s="87">
        <f t="shared" si="1"/>
        <v>0</v>
      </c>
      <c r="J31" s="603">
        <f>Gen!C37</f>
        <v>43250.94</v>
      </c>
      <c r="K31" s="386">
        <f>'Water-Meter'!E32</f>
        <v>0</v>
      </c>
      <c r="L31" s="604">
        <f>'Lpg (2)'!G36</f>
        <v>0</v>
      </c>
      <c r="M31" s="81" t="e">
        <f>SUM(#REF!-#REF!)</f>
        <v>#REF!</v>
      </c>
    </row>
    <row r="32" spans="1:13">
      <c r="A32" s="54">
        <f>Gen!A38</f>
        <v>43889</v>
      </c>
      <c r="B32" s="424">
        <f>'Daily report Gen'!Z33</f>
        <v>0</v>
      </c>
      <c r="C32" s="89">
        <f>Gen!B38</f>
        <v>0</v>
      </c>
      <c r="D32" s="588">
        <f t="shared" si="0"/>
        <v>0</v>
      </c>
      <c r="E32" s="76"/>
      <c r="F32" s="72">
        <f>Gen!T36</f>
        <v>0</v>
      </c>
      <c r="G32" s="87">
        <f>Gen!S36</f>
        <v>0</v>
      </c>
      <c r="H32" s="87">
        <f>Gen!AJ38</f>
        <v>0</v>
      </c>
      <c r="I32" s="87">
        <f t="shared" si="1"/>
        <v>0</v>
      </c>
      <c r="J32" s="603">
        <f>Gen!C38</f>
        <v>43250.94</v>
      </c>
      <c r="K32" s="386">
        <f>'Water-Meter'!E33</f>
        <v>0</v>
      </c>
      <c r="L32" s="604">
        <f>'Lpg (2)'!G37</f>
        <v>0</v>
      </c>
      <c r="M32" s="81" t="e">
        <f>SUM(#REF!-#REF!)</f>
        <v>#REF!</v>
      </c>
    </row>
    <row r="33" spans="1:13">
      <c r="A33" s="54">
        <f>Gen!A39</f>
        <v>43890</v>
      </c>
      <c r="B33" s="424">
        <f>'Daily report Gen'!Z34</f>
        <v>0</v>
      </c>
      <c r="C33" s="89">
        <f>Gen!B39</f>
        <v>0</v>
      </c>
      <c r="D33" s="588">
        <f t="shared" si="0"/>
        <v>0</v>
      </c>
      <c r="E33" s="76"/>
      <c r="F33" s="72">
        <f>Gen!T37</f>
        <v>0</v>
      </c>
      <c r="G33" s="87">
        <f>Gen!S37</f>
        <v>0</v>
      </c>
      <c r="H33" s="87">
        <f>Gen!AJ39</f>
        <v>0</v>
      </c>
      <c r="I33" s="87">
        <f t="shared" si="1"/>
        <v>0</v>
      </c>
      <c r="J33" s="603">
        <f>Gen!C39</f>
        <v>43250.94</v>
      </c>
      <c r="K33" s="386">
        <f>'Water-Meter'!E34</f>
        <v>0</v>
      </c>
      <c r="L33" s="604">
        <f>'Lpg (2)'!G38</f>
        <v>0</v>
      </c>
      <c r="M33" s="81" t="e">
        <f>SUM(#REF!-#REF!)</f>
        <v>#REF!</v>
      </c>
    </row>
    <row r="34" spans="1:13">
      <c r="A34" s="54">
        <f>Gen!A40</f>
        <v>43891</v>
      </c>
      <c r="B34" s="424">
        <f>'Daily report Gen'!Z35</f>
        <v>0</v>
      </c>
      <c r="C34" s="89">
        <f>Gen!B40</f>
        <v>0</v>
      </c>
      <c r="D34" s="588">
        <f t="shared" si="0"/>
        <v>0</v>
      </c>
      <c r="E34" s="76"/>
      <c r="F34" s="72">
        <f>Gen!T38</f>
        <v>0</v>
      </c>
      <c r="G34" s="87">
        <f>Gen!S38</f>
        <v>0</v>
      </c>
      <c r="H34" s="87">
        <f>Gen!AJ40</f>
        <v>0</v>
      </c>
      <c r="I34" s="87">
        <f t="shared" si="1"/>
        <v>0</v>
      </c>
      <c r="J34" s="603">
        <f>Gen!C40</f>
        <v>43250.94</v>
      </c>
      <c r="K34" s="386">
        <f>'Water-Meter'!E35</f>
        <v>0</v>
      </c>
      <c r="L34" s="604">
        <f>'Lpg (2)'!G39</f>
        <v>0</v>
      </c>
      <c r="M34" s="81" t="e">
        <f>SUM(#REF!-#REF!)</f>
        <v>#REF!</v>
      </c>
    </row>
    <row r="35" spans="1:13">
      <c r="A35" s="54">
        <f>Gen!A41</f>
        <v>43892</v>
      </c>
      <c r="B35" s="424">
        <f>'Daily report Gen'!Z36</f>
        <v>0</v>
      </c>
      <c r="C35" s="89">
        <f>Gen!B41</f>
        <v>0</v>
      </c>
      <c r="D35" s="588">
        <f t="shared" si="0"/>
        <v>0</v>
      </c>
      <c r="E35" s="76"/>
      <c r="F35" s="72">
        <f>Gen!T39</f>
        <v>0</v>
      </c>
      <c r="G35" s="87">
        <f>Gen!S39</f>
        <v>0</v>
      </c>
      <c r="H35" s="87">
        <f>Gen!AJ41</f>
        <v>0</v>
      </c>
      <c r="I35" s="87">
        <f t="shared" si="1"/>
        <v>0</v>
      </c>
      <c r="J35" s="603">
        <f>Gen!C41</f>
        <v>43250.94</v>
      </c>
      <c r="K35" s="386">
        <f>'Water-Meter'!E36</f>
        <v>0</v>
      </c>
      <c r="L35" s="604">
        <f>'Lpg (2)'!G40</f>
        <v>0</v>
      </c>
      <c r="M35" s="81" t="e">
        <f>SUM(#REF!-#REF!)</f>
        <v>#REF!</v>
      </c>
    </row>
    <row r="36" spans="1:13">
      <c r="A36" s="54">
        <f>Gen!A42</f>
        <v>43893</v>
      </c>
      <c r="B36" s="424">
        <f>'Daily report Gen'!Z37</f>
        <v>0</v>
      </c>
      <c r="C36" s="89">
        <f>Gen!B42</f>
        <v>0</v>
      </c>
      <c r="D36" s="588">
        <f t="shared" si="0"/>
        <v>0</v>
      </c>
      <c r="E36" s="76"/>
      <c r="F36" s="72">
        <f>Gen!T40</f>
        <v>0</v>
      </c>
      <c r="G36" s="87">
        <f>Gen!S40</f>
        <v>0</v>
      </c>
      <c r="H36" s="87">
        <f>Gen!AJ42</f>
        <v>0</v>
      </c>
      <c r="I36" s="87">
        <f t="shared" si="1"/>
        <v>0</v>
      </c>
      <c r="J36" s="603">
        <f>Gen!C42</f>
        <v>43250.94</v>
      </c>
      <c r="K36" s="386">
        <f>'Water-Meter'!E37</f>
        <v>0</v>
      </c>
      <c r="L36" s="60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E1" workbookViewId="0">
      <selection activeCell="V19" sqref="V1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87">
        <v>43862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8"/>
      <c r="T1" s="788"/>
      <c r="U1" s="788"/>
      <c r="V1" s="788"/>
      <c r="W1" s="788"/>
      <c r="X1" s="788"/>
      <c r="Y1" s="788"/>
      <c r="Z1" s="788"/>
      <c r="AA1" s="788"/>
      <c r="AB1" s="788"/>
      <c r="AC1" s="20"/>
    </row>
    <row r="2" spans="1:29" ht="12" customHeight="1" thickBot="1">
      <c r="A2" s="788"/>
      <c r="B2" s="788"/>
      <c r="C2" s="788"/>
      <c r="D2" s="788"/>
      <c r="E2" s="788"/>
      <c r="F2" s="788"/>
      <c r="G2" s="788"/>
      <c r="H2" s="788"/>
      <c r="I2" s="788"/>
      <c r="J2" s="788"/>
      <c r="K2" s="788"/>
      <c r="L2" s="788"/>
      <c r="M2" s="788"/>
      <c r="N2" s="788"/>
      <c r="O2" s="788"/>
      <c r="P2" s="788"/>
      <c r="Q2" s="788"/>
      <c r="R2" s="788"/>
      <c r="S2" s="788"/>
      <c r="T2" s="788"/>
      <c r="U2" s="788"/>
      <c r="V2" s="788"/>
      <c r="W2" s="788"/>
      <c r="X2" s="788"/>
      <c r="Y2" s="788"/>
      <c r="Z2" s="788"/>
      <c r="AA2" s="788"/>
      <c r="AB2" s="788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89" t="s">
        <v>301</v>
      </c>
      <c r="L3" s="790"/>
      <c r="M3" s="791"/>
      <c r="N3" s="789" t="s">
        <v>302</v>
      </c>
      <c r="O3" s="790"/>
      <c r="P3" s="791"/>
      <c r="Q3" s="789" t="s">
        <v>303</v>
      </c>
      <c r="R3" s="790"/>
      <c r="S3" s="791"/>
      <c r="T3" s="789" t="s">
        <v>304</v>
      </c>
      <c r="U3" s="790"/>
      <c r="V3" s="791"/>
      <c r="W3" s="789" t="s">
        <v>305</v>
      </c>
      <c r="X3" s="790"/>
      <c r="Y3" s="791"/>
      <c r="Z3" s="398"/>
      <c r="AA3" s="20"/>
      <c r="AB3" s="20"/>
      <c r="AC3" s="20"/>
    </row>
    <row r="4" spans="1:29" ht="35.25" customHeight="1" thickBot="1">
      <c r="A4" s="345" t="s">
        <v>87</v>
      </c>
      <c r="B4" s="443" t="s">
        <v>88</v>
      </c>
      <c r="C4" s="443" t="s">
        <v>89</v>
      </c>
      <c r="D4" s="443" t="s">
        <v>90</v>
      </c>
      <c r="E4" s="443" t="s">
        <v>91</v>
      </c>
      <c r="F4" s="443" t="s">
        <v>244</v>
      </c>
      <c r="G4" s="444" t="s">
        <v>92</v>
      </c>
      <c r="H4" s="443" t="s">
        <v>93</v>
      </c>
      <c r="I4" s="444" t="s">
        <v>94</v>
      </c>
      <c r="J4" s="445" t="s">
        <v>95</v>
      </c>
      <c r="K4" s="446" t="s">
        <v>193</v>
      </c>
      <c r="L4" s="444" t="s">
        <v>194</v>
      </c>
      <c r="M4" s="444" t="s">
        <v>204</v>
      </c>
      <c r="N4" s="446" t="s">
        <v>193</v>
      </c>
      <c r="O4" s="444" t="s">
        <v>194</v>
      </c>
      <c r="P4" s="444" t="s">
        <v>204</v>
      </c>
      <c r="Q4" s="446" t="s">
        <v>193</v>
      </c>
      <c r="R4" s="444" t="s">
        <v>194</v>
      </c>
      <c r="S4" s="444" t="s">
        <v>204</v>
      </c>
      <c r="T4" s="446" t="s">
        <v>193</v>
      </c>
      <c r="U4" s="444" t="s">
        <v>194</v>
      </c>
      <c r="V4" s="444" t="s">
        <v>204</v>
      </c>
      <c r="W4" s="446" t="s">
        <v>193</v>
      </c>
      <c r="X4" s="444" t="s">
        <v>194</v>
      </c>
      <c r="Y4" s="445" t="s">
        <v>204</v>
      </c>
      <c r="Z4" s="447" t="s">
        <v>195</v>
      </c>
      <c r="AA4" s="443" t="s">
        <v>175</v>
      </c>
      <c r="AB4" s="448" t="s">
        <v>96</v>
      </c>
      <c r="AC4" s="449" t="s">
        <v>197</v>
      </c>
    </row>
    <row r="5" spans="1:29" ht="18.75" customHeight="1">
      <c r="A5" s="440"/>
      <c r="B5" s="442"/>
      <c r="C5" s="442"/>
      <c r="D5" s="442"/>
      <c r="E5" s="442"/>
      <c r="F5" s="442"/>
      <c r="G5" s="442"/>
      <c r="H5" s="442"/>
      <c r="I5" s="442"/>
      <c r="J5" s="442"/>
      <c r="K5" s="641"/>
      <c r="L5" s="400">
        <v>33915</v>
      </c>
      <c r="M5" s="641"/>
      <c r="N5" s="400"/>
      <c r="O5" s="400">
        <v>28805</v>
      </c>
      <c r="P5" s="441"/>
      <c r="Q5" s="400"/>
      <c r="R5" s="400">
        <v>34173</v>
      </c>
      <c r="S5" s="441"/>
      <c r="T5" s="400"/>
      <c r="U5" s="400">
        <v>31560</v>
      </c>
      <c r="V5" s="441"/>
      <c r="W5" s="400"/>
      <c r="X5" s="400">
        <v>19223</v>
      </c>
      <c r="Y5" s="441"/>
      <c r="Z5" s="441"/>
      <c r="AA5" s="129"/>
      <c r="AB5" s="129"/>
      <c r="AC5" s="441"/>
    </row>
    <row r="6" spans="1:29" ht="20.100000000000001" customHeight="1">
      <c r="A6" s="344">
        <f>Gen!A11</f>
        <v>43862</v>
      </c>
      <c r="B6" s="442">
        <f>Gen!B11</f>
        <v>0.23380000000000001</v>
      </c>
      <c r="C6" s="400">
        <v>20133.2</v>
      </c>
      <c r="D6" s="400">
        <v>10849.11</v>
      </c>
      <c r="E6" s="400"/>
      <c r="F6" s="400"/>
      <c r="G6" s="400">
        <v>83.21</v>
      </c>
      <c r="H6" s="400"/>
      <c r="I6" s="400">
        <v>30102.1</v>
      </c>
      <c r="J6" s="400">
        <v>19855.8</v>
      </c>
      <c r="K6" s="399">
        <f>L5</f>
        <v>33915</v>
      </c>
      <c r="L6" s="400">
        <v>33918</v>
      </c>
      <c r="M6" s="399">
        <f>L6-K6</f>
        <v>3</v>
      </c>
      <c r="N6" s="401">
        <f>O5</f>
        <v>28805</v>
      </c>
      <c r="O6" s="400">
        <v>28812</v>
      </c>
      <c r="P6" s="399">
        <f>O6-N6</f>
        <v>7</v>
      </c>
      <c r="Q6" s="399">
        <f>R5</f>
        <v>34173</v>
      </c>
      <c r="R6" s="400">
        <v>34180</v>
      </c>
      <c r="S6" s="399">
        <f>R6-Q6</f>
        <v>7</v>
      </c>
      <c r="T6" s="399">
        <f>U5</f>
        <v>31560</v>
      </c>
      <c r="U6" s="400">
        <v>31571</v>
      </c>
      <c r="V6" s="399">
        <f>U6-T6</f>
        <v>11</v>
      </c>
      <c r="W6" s="401">
        <f>X5</f>
        <v>19223</v>
      </c>
      <c r="X6" s="400">
        <v>19232</v>
      </c>
      <c r="Y6" s="399">
        <f>X6-W6</f>
        <v>9</v>
      </c>
      <c r="Z6" s="402">
        <f>Y6+V6+S6+P6+M6</f>
        <v>37</v>
      </c>
      <c r="AA6" s="129">
        <v>383</v>
      </c>
      <c r="AB6" s="129">
        <v>181</v>
      </c>
      <c r="AC6" s="349">
        <f>Gen!S11</f>
        <v>1824.75</v>
      </c>
    </row>
    <row r="7" spans="1:29" ht="20.100000000000001" customHeight="1">
      <c r="A7" s="344">
        <f>Gen!A12</f>
        <v>43863</v>
      </c>
      <c r="B7" s="442">
        <f>Gen!B12</f>
        <v>0.23400000000000001</v>
      </c>
      <c r="C7" s="400">
        <v>20133.2</v>
      </c>
      <c r="D7" s="400">
        <v>8941.15</v>
      </c>
      <c r="E7" s="400"/>
      <c r="F7" s="400"/>
      <c r="G7" s="400">
        <v>130.38999999999999</v>
      </c>
      <c r="H7" s="400"/>
      <c r="I7" s="400">
        <v>30109.599999999999</v>
      </c>
      <c r="J7" s="400">
        <v>19860.7</v>
      </c>
      <c r="K7" s="399">
        <f t="shared" ref="K7:K37" si="0">L6</f>
        <v>33918</v>
      </c>
      <c r="L7" s="400">
        <v>33926</v>
      </c>
      <c r="M7" s="399">
        <f t="shared" ref="M7:M37" si="1">L7-K7</f>
        <v>8</v>
      </c>
      <c r="N7" s="401">
        <f t="shared" ref="N7:N37" si="2">O6</f>
        <v>28812</v>
      </c>
      <c r="O7" s="400">
        <v>28821</v>
      </c>
      <c r="P7" s="399">
        <f t="shared" ref="P7:P37" si="3">O7-N7</f>
        <v>9</v>
      </c>
      <c r="Q7" s="399">
        <f t="shared" ref="Q7:Q37" si="4">R6</f>
        <v>34180</v>
      </c>
      <c r="R7" s="400">
        <v>34188</v>
      </c>
      <c r="S7" s="399">
        <f t="shared" ref="S7:S37" si="5">R7-Q7</f>
        <v>8</v>
      </c>
      <c r="T7" s="399">
        <f t="shared" ref="T7:T37" si="6">U6</f>
        <v>31571</v>
      </c>
      <c r="U7" s="400">
        <v>31578</v>
      </c>
      <c r="V7" s="399">
        <f t="shared" ref="V7:V37" si="7">U7-T7</f>
        <v>7</v>
      </c>
      <c r="W7" s="401">
        <f t="shared" ref="W7:W37" si="8">X6</f>
        <v>19232</v>
      </c>
      <c r="X7" s="400">
        <v>19212</v>
      </c>
      <c r="Y7" s="399">
        <f t="shared" ref="Y7:Y37" si="9">X7-W7</f>
        <v>-20</v>
      </c>
      <c r="Z7" s="402">
        <f t="shared" ref="Z7:Z37" si="10">Y7+V7+S7+P7+M7</f>
        <v>12</v>
      </c>
      <c r="AA7" s="129">
        <v>389</v>
      </c>
      <c r="AB7" s="129">
        <v>192</v>
      </c>
      <c r="AC7" s="349">
        <f>Gen!S12</f>
        <v>1802.8500000000001</v>
      </c>
    </row>
    <row r="8" spans="1:29" ht="20.100000000000001" customHeight="1">
      <c r="A8" s="344">
        <f>Gen!A13</f>
        <v>43864</v>
      </c>
      <c r="B8" s="442">
        <f>Gen!B13</f>
        <v>0.104</v>
      </c>
      <c r="C8" s="400">
        <v>20133.2</v>
      </c>
      <c r="D8" s="400">
        <v>6841.48</v>
      </c>
      <c r="E8" s="400"/>
      <c r="F8" s="400"/>
      <c r="G8" s="400">
        <v>178.75</v>
      </c>
      <c r="H8" s="400"/>
      <c r="I8" s="400">
        <v>30117.599999999999</v>
      </c>
      <c r="J8" s="400">
        <v>19865.7</v>
      </c>
      <c r="K8" s="399">
        <f t="shared" si="0"/>
        <v>33926</v>
      </c>
      <c r="L8" s="400">
        <v>33932</v>
      </c>
      <c r="M8" s="399">
        <f t="shared" si="1"/>
        <v>6</v>
      </c>
      <c r="N8" s="401">
        <f t="shared" si="2"/>
        <v>28821</v>
      </c>
      <c r="O8" s="400">
        <v>28831</v>
      </c>
      <c r="P8" s="399">
        <f t="shared" si="3"/>
        <v>10</v>
      </c>
      <c r="Q8" s="399">
        <f t="shared" si="4"/>
        <v>34188</v>
      </c>
      <c r="R8" s="400">
        <v>34194</v>
      </c>
      <c r="S8" s="399">
        <f t="shared" si="5"/>
        <v>6</v>
      </c>
      <c r="T8" s="399">
        <f t="shared" si="6"/>
        <v>31578</v>
      </c>
      <c r="U8" s="400">
        <v>31586</v>
      </c>
      <c r="V8" s="399">
        <f t="shared" si="7"/>
        <v>8</v>
      </c>
      <c r="W8" s="401">
        <f t="shared" si="8"/>
        <v>19212</v>
      </c>
      <c r="X8" s="400">
        <v>19253</v>
      </c>
      <c r="Y8" s="399">
        <f t="shared" si="9"/>
        <v>41</v>
      </c>
      <c r="Z8" s="402">
        <f t="shared" si="10"/>
        <v>71</v>
      </c>
      <c r="AA8" s="129">
        <v>402</v>
      </c>
      <c r="AB8" s="129">
        <v>179</v>
      </c>
      <c r="AC8" s="349">
        <f>Gen!S13</f>
        <v>1920.92</v>
      </c>
    </row>
    <row r="9" spans="1:29" ht="20.100000000000001" customHeight="1">
      <c r="A9" s="344">
        <f>Gen!A14</f>
        <v>43865</v>
      </c>
      <c r="B9" s="442">
        <f>Gen!B14</f>
        <v>1</v>
      </c>
      <c r="C9" s="400">
        <v>20133.2</v>
      </c>
      <c r="D9" s="400">
        <v>22908.240000000002</v>
      </c>
      <c r="E9" s="400"/>
      <c r="F9" s="400">
        <v>18000</v>
      </c>
      <c r="G9" s="400">
        <v>89.65</v>
      </c>
      <c r="H9" s="400"/>
      <c r="I9" s="400">
        <v>30127.5</v>
      </c>
      <c r="J9" s="400">
        <v>19872.400000000001</v>
      </c>
      <c r="K9" s="399">
        <f t="shared" si="0"/>
        <v>33932</v>
      </c>
      <c r="L9" s="400">
        <v>33941</v>
      </c>
      <c r="M9" s="399">
        <f t="shared" si="1"/>
        <v>9</v>
      </c>
      <c r="N9" s="401">
        <f t="shared" si="2"/>
        <v>28831</v>
      </c>
      <c r="O9" s="400">
        <v>28840</v>
      </c>
      <c r="P9" s="399">
        <f t="shared" si="3"/>
        <v>9</v>
      </c>
      <c r="Q9" s="399">
        <f t="shared" si="4"/>
        <v>34194</v>
      </c>
      <c r="R9" s="400">
        <v>34203</v>
      </c>
      <c r="S9" s="399">
        <f t="shared" si="5"/>
        <v>9</v>
      </c>
      <c r="T9" s="399">
        <f t="shared" si="6"/>
        <v>31586</v>
      </c>
      <c r="U9" s="400">
        <v>31591</v>
      </c>
      <c r="V9" s="399">
        <f t="shared" si="7"/>
        <v>5</v>
      </c>
      <c r="W9" s="401">
        <f t="shared" si="8"/>
        <v>19253</v>
      </c>
      <c r="X9" s="400">
        <v>19264</v>
      </c>
      <c r="Y9" s="399">
        <f t="shared" si="9"/>
        <v>11</v>
      </c>
      <c r="Z9" s="402">
        <f t="shared" si="10"/>
        <v>43</v>
      </c>
      <c r="AA9" s="129">
        <v>498</v>
      </c>
      <c r="AB9" s="129">
        <v>230</v>
      </c>
      <c r="AC9" s="349">
        <f>Gen!S14</f>
        <v>2359.12</v>
      </c>
    </row>
    <row r="10" spans="1:29" ht="20.100000000000001" customHeight="1">
      <c r="A10" s="344">
        <f>Gen!A15</f>
        <v>43866</v>
      </c>
      <c r="B10" s="442">
        <f>Gen!B15</f>
        <v>1</v>
      </c>
      <c r="C10" s="400">
        <v>20133.2</v>
      </c>
      <c r="D10" s="400">
        <v>20459.47</v>
      </c>
      <c r="E10" s="400"/>
      <c r="F10" s="400"/>
      <c r="G10" s="400">
        <v>129.27000000000001</v>
      </c>
      <c r="H10" s="400"/>
      <c r="I10" s="400">
        <v>30137</v>
      </c>
      <c r="J10" s="400">
        <v>19879.599999999999</v>
      </c>
      <c r="K10" s="399">
        <f t="shared" si="0"/>
        <v>33941</v>
      </c>
      <c r="L10" s="400">
        <v>33949</v>
      </c>
      <c r="M10" s="399">
        <f t="shared" si="1"/>
        <v>8</v>
      </c>
      <c r="N10" s="401">
        <f t="shared" si="2"/>
        <v>28840</v>
      </c>
      <c r="O10" s="400">
        <v>28850</v>
      </c>
      <c r="P10" s="399">
        <f t="shared" si="3"/>
        <v>10</v>
      </c>
      <c r="Q10" s="399">
        <f t="shared" si="4"/>
        <v>34203</v>
      </c>
      <c r="R10" s="400">
        <v>34213</v>
      </c>
      <c r="S10" s="399">
        <f t="shared" si="5"/>
        <v>10</v>
      </c>
      <c r="T10" s="399">
        <f t="shared" si="6"/>
        <v>31591</v>
      </c>
      <c r="U10" s="400">
        <v>31600</v>
      </c>
      <c r="V10" s="399">
        <f t="shared" si="7"/>
        <v>9</v>
      </c>
      <c r="W10" s="401">
        <f t="shared" si="8"/>
        <v>19264</v>
      </c>
      <c r="X10" s="400">
        <v>19272</v>
      </c>
      <c r="Y10" s="399">
        <f t="shared" si="9"/>
        <v>8</v>
      </c>
      <c r="Z10" s="402">
        <f t="shared" si="10"/>
        <v>45</v>
      </c>
      <c r="AA10" s="129">
        <v>595</v>
      </c>
      <c r="AB10" s="129">
        <v>240</v>
      </c>
      <c r="AC10" s="349">
        <f>Gen!S15</f>
        <v>2256.73</v>
      </c>
    </row>
    <row r="11" spans="1:29" ht="20.100000000000001" customHeight="1">
      <c r="A11" s="344">
        <f>Gen!A16</f>
        <v>43867</v>
      </c>
      <c r="B11" s="442">
        <f>Gen!B16</f>
        <v>1</v>
      </c>
      <c r="C11" s="400">
        <v>20133.2</v>
      </c>
      <c r="D11" s="400">
        <v>18073.47</v>
      </c>
      <c r="E11" s="400"/>
      <c r="F11" s="400"/>
      <c r="G11" s="400">
        <v>187.64</v>
      </c>
      <c r="H11" s="400"/>
      <c r="I11" s="400">
        <v>30146.9</v>
      </c>
      <c r="J11" s="400">
        <v>19886.5</v>
      </c>
      <c r="K11" s="399">
        <f t="shared" si="0"/>
        <v>33949</v>
      </c>
      <c r="L11" s="400">
        <v>33954</v>
      </c>
      <c r="M11" s="399">
        <f t="shared" si="1"/>
        <v>5</v>
      </c>
      <c r="N11" s="401">
        <f t="shared" si="2"/>
        <v>28850</v>
      </c>
      <c r="O11" s="400">
        <v>28864</v>
      </c>
      <c r="P11" s="399">
        <f t="shared" si="3"/>
        <v>14</v>
      </c>
      <c r="Q11" s="399">
        <f t="shared" si="4"/>
        <v>34213</v>
      </c>
      <c r="R11" s="400">
        <v>34226</v>
      </c>
      <c r="S11" s="399">
        <f t="shared" si="5"/>
        <v>13</v>
      </c>
      <c r="T11" s="399">
        <f t="shared" si="6"/>
        <v>31600</v>
      </c>
      <c r="U11" s="400">
        <v>31606</v>
      </c>
      <c r="V11" s="399">
        <f t="shared" si="7"/>
        <v>6</v>
      </c>
      <c r="W11" s="401">
        <f t="shared" si="8"/>
        <v>19272</v>
      </c>
      <c r="X11" s="400">
        <v>19279</v>
      </c>
      <c r="Y11" s="399">
        <f t="shared" si="9"/>
        <v>7</v>
      </c>
      <c r="Z11" s="402">
        <f t="shared" si="10"/>
        <v>45</v>
      </c>
      <c r="AA11" s="129">
        <v>586</v>
      </c>
      <c r="AB11" s="129">
        <v>240</v>
      </c>
      <c r="AC11" s="349">
        <f>Gen!S16</f>
        <v>2491.5099999999998</v>
      </c>
    </row>
    <row r="12" spans="1:29" ht="20.100000000000001" customHeight="1">
      <c r="A12" s="344">
        <f>Gen!A17</f>
        <v>43868</v>
      </c>
      <c r="B12" s="442">
        <f>Gen!B17</f>
        <v>1</v>
      </c>
      <c r="C12" s="400">
        <v>20133.2</v>
      </c>
      <c r="D12" s="400">
        <v>15394.32</v>
      </c>
      <c r="E12" s="400"/>
      <c r="F12" s="400"/>
      <c r="G12" s="400">
        <v>203.15</v>
      </c>
      <c r="H12" s="400"/>
      <c r="I12" s="400">
        <v>30157.3</v>
      </c>
      <c r="J12" s="400">
        <v>19893.3</v>
      </c>
      <c r="K12" s="399">
        <f t="shared" si="0"/>
        <v>33954</v>
      </c>
      <c r="L12" s="400">
        <v>33962</v>
      </c>
      <c r="M12" s="399">
        <f t="shared" si="1"/>
        <v>8</v>
      </c>
      <c r="N12" s="401">
        <f t="shared" si="2"/>
        <v>28864</v>
      </c>
      <c r="O12" s="400">
        <v>28874</v>
      </c>
      <c r="P12" s="399">
        <f t="shared" si="3"/>
        <v>10</v>
      </c>
      <c r="Q12" s="399">
        <f t="shared" si="4"/>
        <v>34226</v>
      </c>
      <c r="R12" s="400">
        <v>34237</v>
      </c>
      <c r="S12" s="399">
        <f t="shared" si="5"/>
        <v>11</v>
      </c>
      <c r="T12" s="399">
        <f t="shared" si="6"/>
        <v>31606</v>
      </c>
      <c r="U12" s="400">
        <v>31612</v>
      </c>
      <c r="V12" s="399">
        <f t="shared" si="7"/>
        <v>6</v>
      </c>
      <c r="W12" s="401">
        <f t="shared" si="8"/>
        <v>19279</v>
      </c>
      <c r="X12" s="400">
        <v>19286</v>
      </c>
      <c r="Y12" s="399">
        <f t="shared" si="9"/>
        <v>7</v>
      </c>
      <c r="Z12" s="402">
        <f t="shared" si="10"/>
        <v>42</v>
      </c>
      <c r="AA12" s="129"/>
      <c r="AB12" s="129"/>
      <c r="AC12" s="349">
        <f>Gen!S17</f>
        <v>2244.7399999999998</v>
      </c>
    </row>
    <row r="13" spans="1:29" ht="20.100000000000001" customHeight="1">
      <c r="A13" s="344">
        <f>Gen!A18</f>
        <v>43869</v>
      </c>
      <c r="B13" s="442">
        <f>Gen!B18</f>
        <v>0.1429</v>
      </c>
      <c r="C13" s="400">
        <v>20133.2</v>
      </c>
      <c r="D13" s="400">
        <v>12946.43</v>
      </c>
      <c r="E13" s="400"/>
      <c r="F13" s="400"/>
      <c r="G13" s="400">
        <v>56.74</v>
      </c>
      <c r="H13" s="400"/>
      <c r="I13" s="400">
        <v>30167.599999999999</v>
      </c>
      <c r="J13" s="400">
        <v>19900.2</v>
      </c>
      <c r="K13" s="399">
        <f t="shared" si="0"/>
        <v>33962</v>
      </c>
      <c r="L13" s="400">
        <v>33969</v>
      </c>
      <c r="M13" s="399">
        <f t="shared" si="1"/>
        <v>7</v>
      </c>
      <c r="N13" s="401">
        <f t="shared" si="2"/>
        <v>28874</v>
      </c>
      <c r="O13" s="400">
        <v>28888</v>
      </c>
      <c r="P13" s="399">
        <f t="shared" si="3"/>
        <v>14</v>
      </c>
      <c r="Q13" s="399">
        <f t="shared" si="4"/>
        <v>34237</v>
      </c>
      <c r="R13" s="400">
        <v>34250</v>
      </c>
      <c r="S13" s="399">
        <f t="shared" si="5"/>
        <v>13</v>
      </c>
      <c r="T13" s="399">
        <f t="shared" si="6"/>
        <v>31612</v>
      </c>
      <c r="U13" s="400">
        <v>31620</v>
      </c>
      <c r="V13" s="399">
        <f t="shared" si="7"/>
        <v>8</v>
      </c>
      <c r="W13" s="401">
        <f t="shared" si="8"/>
        <v>19286</v>
      </c>
      <c r="X13" s="400">
        <v>19290</v>
      </c>
      <c r="Y13" s="399">
        <f t="shared" si="9"/>
        <v>4</v>
      </c>
      <c r="Z13" s="402">
        <f t="shared" si="10"/>
        <v>46</v>
      </c>
      <c r="AA13" s="129">
        <v>576</v>
      </c>
      <c r="AB13" s="129">
        <v>209</v>
      </c>
      <c r="AC13" s="349">
        <f>Gen!S18</f>
        <v>2569.4499999999998</v>
      </c>
    </row>
    <row r="14" spans="1:29" ht="20.100000000000001" customHeight="1">
      <c r="A14" s="344">
        <f>Gen!A19</f>
        <v>43870</v>
      </c>
      <c r="B14" s="442">
        <f>Gen!B19</f>
        <v>0.19500000000000001</v>
      </c>
      <c r="C14" s="400">
        <v>20133.2</v>
      </c>
      <c r="D14" s="400">
        <v>10320.24</v>
      </c>
      <c r="E14" s="400"/>
      <c r="F14" s="400"/>
      <c r="G14" s="400">
        <v>162.68</v>
      </c>
      <c r="H14" s="400"/>
      <c r="I14" s="400">
        <v>30176.400000000001</v>
      </c>
      <c r="J14" s="400">
        <v>19906.099999999999</v>
      </c>
      <c r="K14" s="399">
        <f t="shared" si="0"/>
        <v>33969</v>
      </c>
      <c r="L14" s="400">
        <v>33976</v>
      </c>
      <c r="M14" s="399">
        <f t="shared" si="1"/>
        <v>7</v>
      </c>
      <c r="N14" s="401">
        <f t="shared" si="2"/>
        <v>28888</v>
      </c>
      <c r="O14" s="400">
        <v>28896</v>
      </c>
      <c r="P14" s="399">
        <f t="shared" si="3"/>
        <v>8</v>
      </c>
      <c r="Q14" s="399">
        <f t="shared" si="4"/>
        <v>34250</v>
      </c>
      <c r="R14" s="400">
        <v>34261</v>
      </c>
      <c r="S14" s="399">
        <f t="shared" si="5"/>
        <v>11</v>
      </c>
      <c r="T14" s="399">
        <f t="shared" si="6"/>
        <v>31620</v>
      </c>
      <c r="U14" s="400">
        <v>31625</v>
      </c>
      <c r="V14" s="399">
        <f t="shared" si="7"/>
        <v>5</v>
      </c>
      <c r="W14" s="401">
        <f t="shared" si="8"/>
        <v>19290</v>
      </c>
      <c r="X14" s="400">
        <v>19300</v>
      </c>
      <c r="Y14" s="399">
        <f t="shared" si="9"/>
        <v>10</v>
      </c>
      <c r="Z14" s="402">
        <f t="shared" si="10"/>
        <v>41</v>
      </c>
      <c r="AA14" s="129">
        <v>491</v>
      </c>
      <c r="AB14" s="129">
        <v>213</v>
      </c>
      <c r="AC14" s="349">
        <f>Gen!S19</f>
        <v>2039.82</v>
      </c>
    </row>
    <row r="15" spans="1:29" ht="20.100000000000001" customHeight="1">
      <c r="A15" s="344">
        <f>Gen!A20</f>
        <v>43871</v>
      </c>
      <c r="B15" s="442">
        <f>Gen!B20</f>
        <v>0.18179999999999999</v>
      </c>
      <c r="C15" s="400">
        <v>20133.2</v>
      </c>
      <c r="D15" s="400">
        <v>23117.74</v>
      </c>
      <c r="E15" s="400"/>
      <c r="F15" s="400"/>
      <c r="G15" s="400"/>
      <c r="H15" s="400"/>
      <c r="I15" s="400"/>
      <c r="J15" s="400"/>
      <c r="K15" s="399">
        <f t="shared" si="0"/>
        <v>33976</v>
      </c>
      <c r="L15" s="400"/>
      <c r="M15" s="399">
        <f t="shared" si="1"/>
        <v>-33976</v>
      </c>
      <c r="N15" s="401">
        <f t="shared" si="2"/>
        <v>28896</v>
      </c>
      <c r="O15" s="400"/>
      <c r="P15" s="399">
        <f t="shared" si="3"/>
        <v>-28896</v>
      </c>
      <c r="Q15" s="399">
        <f t="shared" si="4"/>
        <v>34261</v>
      </c>
      <c r="R15" s="400"/>
      <c r="S15" s="399">
        <f t="shared" si="5"/>
        <v>-34261</v>
      </c>
      <c r="T15" s="399">
        <f t="shared" si="6"/>
        <v>31625</v>
      </c>
      <c r="U15" s="400"/>
      <c r="V15" s="399">
        <f t="shared" si="7"/>
        <v>-31625</v>
      </c>
      <c r="W15" s="401">
        <f t="shared" si="8"/>
        <v>19300</v>
      </c>
      <c r="X15" s="400"/>
      <c r="Y15" s="399">
        <f t="shared" si="9"/>
        <v>-19300</v>
      </c>
      <c r="Z15" s="402">
        <f t="shared" si="10"/>
        <v>-148058</v>
      </c>
      <c r="AA15" s="129"/>
      <c r="AB15" s="129"/>
      <c r="AC15" s="349">
        <f>Gen!S20</f>
        <v>0</v>
      </c>
    </row>
    <row r="16" spans="1:29" ht="20.100000000000001" customHeight="1">
      <c r="A16" s="344">
        <f>Gen!A21</f>
        <v>43872</v>
      </c>
      <c r="B16" s="442">
        <f>Gen!B21</f>
        <v>0</v>
      </c>
      <c r="C16" s="400"/>
      <c r="D16" s="400"/>
      <c r="E16" s="400"/>
      <c r="F16" s="400"/>
      <c r="G16" s="400"/>
      <c r="H16" s="400"/>
      <c r="I16" s="400"/>
      <c r="J16" s="400"/>
      <c r="K16" s="399">
        <f t="shared" si="0"/>
        <v>0</v>
      </c>
      <c r="L16" s="400"/>
      <c r="M16" s="399">
        <f t="shared" si="1"/>
        <v>0</v>
      </c>
      <c r="N16" s="401">
        <f t="shared" si="2"/>
        <v>0</v>
      </c>
      <c r="O16" s="400"/>
      <c r="P16" s="399">
        <f t="shared" si="3"/>
        <v>0</v>
      </c>
      <c r="Q16" s="399">
        <f t="shared" si="4"/>
        <v>0</v>
      </c>
      <c r="R16" s="400"/>
      <c r="S16" s="399">
        <f t="shared" si="5"/>
        <v>0</v>
      </c>
      <c r="T16" s="399">
        <f t="shared" si="6"/>
        <v>0</v>
      </c>
      <c r="U16" s="400"/>
      <c r="V16" s="399">
        <f t="shared" si="7"/>
        <v>0</v>
      </c>
      <c r="W16" s="401">
        <f t="shared" si="8"/>
        <v>0</v>
      </c>
      <c r="X16" s="400"/>
      <c r="Y16" s="399">
        <f t="shared" si="9"/>
        <v>0</v>
      </c>
      <c r="Z16" s="402">
        <f t="shared" si="10"/>
        <v>0</v>
      </c>
      <c r="AA16" s="129"/>
      <c r="AB16" s="129"/>
      <c r="AC16" s="349">
        <f>Gen!S21</f>
        <v>0</v>
      </c>
    </row>
    <row r="17" spans="1:29" ht="20.100000000000001" customHeight="1">
      <c r="A17" s="344">
        <f>Gen!A22</f>
        <v>43873</v>
      </c>
      <c r="B17" s="442">
        <f>Gen!B22</f>
        <v>0</v>
      </c>
      <c r="C17" s="400"/>
      <c r="D17" s="400"/>
      <c r="E17" s="694"/>
      <c r="F17" s="400"/>
      <c r="G17" s="400"/>
      <c r="H17" s="400"/>
      <c r="I17" s="400"/>
      <c r="J17" s="400"/>
      <c r="K17" s="399">
        <f t="shared" si="0"/>
        <v>0</v>
      </c>
      <c r="L17" s="400"/>
      <c r="M17" s="399">
        <f t="shared" si="1"/>
        <v>0</v>
      </c>
      <c r="N17" s="401">
        <f t="shared" si="2"/>
        <v>0</v>
      </c>
      <c r="O17" s="400"/>
      <c r="P17" s="399">
        <f t="shared" si="3"/>
        <v>0</v>
      </c>
      <c r="Q17" s="399">
        <f t="shared" si="4"/>
        <v>0</v>
      </c>
      <c r="R17" s="400"/>
      <c r="S17" s="399">
        <f t="shared" si="5"/>
        <v>0</v>
      </c>
      <c r="T17" s="399">
        <f t="shared" si="6"/>
        <v>0</v>
      </c>
      <c r="U17" s="400"/>
      <c r="V17" s="399">
        <f t="shared" si="7"/>
        <v>0</v>
      </c>
      <c r="W17" s="401">
        <f t="shared" si="8"/>
        <v>0</v>
      </c>
      <c r="X17" s="400"/>
      <c r="Y17" s="399">
        <f t="shared" si="9"/>
        <v>0</v>
      </c>
      <c r="Z17" s="402">
        <f t="shared" si="10"/>
        <v>0</v>
      </c>
      <c r="AA17" s="129"/>
      <c r="AB17" s="129"/>
      <c r="AC17" s="349">
        <f>Gen!S22</f>
        <v>0</v>
      </c>
    </row>
    <row r="18" spans="1:29" ht="20.100000000000001" customHeight="1">
      <c r="A18" s="344">
        <f>Gen!A23</f>
        <v>43874</v>
      </c>
      <c r="B18" s="442">
        <f>Gen!B23</f>
        <v>0</v>
      </c>
      <c r="C18" s="400"/>
      <c r="D18" s="400"/>
      <c r="E18" s="400"/>
      <c r="F18" s="400"/>
      <c r="G18" s="400"/>
      <c r="H18" s="400"/>
      <c r="I18" s="400"/>
      <c r="J18" s="400"/>
      <c r="K18" s="399">
        <f t="shared" si="0"/>
        <v>0</v>
      </c>
      <c r="L18" s="400"/>
      <c r="M18" s="399">
        <f t="shared" si="1"/>
        <v>0</v>
      </c>
      <c r="N18" s="401">
        <f t="shared" si="2"/>
        <v>0</v>
      </c>
      <c r="O18" s="400"/>
      <c r="P18" s="399">
        <f t="shared" si="3"/>
        <v>0</v>
      </c>
      <c r="Q18" s="399">
        <f t="shared" si="4"/>
        <v>0</v>
      </c>
      <c r="R18" s="400"/>
      <c r="S18" s="399">
        <f t="shared" si="5"/>
        <v>0</v>
      </c>
      <c r="T18" s="399">
        <f t="shared" si="6"/>
        <v>0</v>
      </c>
      <c r="U18" s="400"/>
      <c r="V18" s="399">
        <f t="shared" si="7"/>
        <v>0</v>
      </c>
      <c r="W18" s="401">
        <f t="shared" si="8"/>
        <v>0</v>
      </c>
      <c r="X18" s="400"/>
      <c r="Y18" s="399">
        <f t="shared" si="9"/>
        <v>0</v>
      </c>
      <c r="Z18" s="402">
        <f t="shared" si="10"/>
        <v>0</v>
      </c>
      <c r="AA18" s="129"/>
      <c r="AB18" s="129"/>
      <c r="AC18" s="349">
        <f>Gen!S23</f>
        <v>0</v>
      </c>
    </row>
    <row r="19" spans="1:29" ht="20.100000000000001" customHeight="1">
      <c r="A19" s="344">
        <f>Gen!A24</f>
        <v>43875</v>
      </c>
      <c r="B19" s="442">
        <f>Gen!B24</f>
        <v>0</v>
      </c>
      <c r="C19" s="400"/>
      <c r="D19" s="400"/>
      <c r="E19" s="400"/>
      <c r="F19" s="400"/>
      <c r="G19" s="400"/>
      <c r="H19" s="400"/>
      <c r="I19" s="400"/>
      <c r="J19" s="400"/>
      <c r="K19" s="399">
        <f t="shared" si="0"/>
        <v>0</v>
      </c>
      <c r="L19" s="400"/>
      <c r="M19" s="399">
        <f t="shared" si="1"/>
        <v>0</v>
      </c>
      <c r="N19" s="401">
        <f t="shared" si="2"/>
        <v>0</v>
      </c>
      <c r="O19" s="400"/>
      <c r="P19" s="399">
        <f t="shared" si="3"/>
        <v>0</v>
      </c>
      <c r="Q19" s="399">
        <f t="shared" si="4"/>
        <v>0</v>
      </c>
      <c r="R19" s="400"/>
      <c r="S19" s="399">
        <f t="shared" si="5"/>
        <v>0</v>
      </c>
      <c r="T19" s="399">
        <f t="shared" si="6"/>
        <v>0</v>
      </c>
      <c r="U19" s="400"/>
      <c r="V19" s="399">
        <f t="shared" si="7"/>
        <v>0</v>
      </c>
      <c r="W19" s="401">
        <f t="shared" si="8"/>
        <v>0</v>
      </c>
      <c r="X19" s="400"/>
      <c r="Y19" s="399">
        <f t="shared" si="9"/>
        <v>0</v>
      </c>
      <c r="Z19" s="402">
        <f t="shared" si="10"/>
        <v>0</v>
      </c>
      <c r="AA19" s="129"/>
      <c r="AB19" s="129"/>
      <c r="AC19" s="349">
        <f>Gen!S24</f>
        <v>0</v>
      </c>
    </row>
    <row r="20" spans="1:29" ht="20.100000000000001" customHeight="1">
      <c r="A20" s="344">
        <f>Gen!A25</f>
        <v>43876</v>
      </c>
      <c r="B20" s="442">
        <f>Gen!B25</f>
        <v>0</v>
      </c>
      <c r="C20" s="400"/>
      <c r="D20" s="400"/>
      <c r="E20" s="400"/>
      <c r="F20" s="400"/>
      <c r="G20" s="400"/>
      <c r="H20" s="400"/>
      <c r="I20" s="400"/>
      <c r="J20" s="400"/>
      <c r="K20" s="399">
        <f t="shared" si="0"/>
        <v>0</v>
      </c>
      <c r="L20" s="400"/>
      <c r="M20" s="399">
        <f t="shared" si="1"/>
        <v>0</v>
      </c>
      <c r="N20" s="401">
        <f t="shared" si="2"/>
        <v>0</v>
      </c>
      <c r="O20" s="400"/>
      <c r="P20" s="399">
        <f t="shared" si="3"/>
        <v>0</v>
      </c>
      <c r="Q20" s="399">
        <f t="shared" si="4"/>
        <v>0</v>
      </c>
      <c r="R20" s="400"/>
      <c r="S20" s="399">
        <f t="shared" si="5"/>
        <v>0</v>
      </c>
      <c r="T20" s="399">
        <f t="shared" si="6"/>
        <v>0</v>
      </c>
      <c r="U20" s="400"/>
      <c r="V20" s="399">
        <f t="shared" si="7"/>
        <v>0</v>
      </c>
      <c r="W20" s="401">
        <f t="shared" si="8"/>
        <v>0</v>
      </c>
      <c r="X20" s="400"/>
      <c r="Y20" s="399">
        <f t="shared" si="9"/>
        <v>0</v>
      </c>
      <c r="Z20" s="402">
        <f t="shared" si="10"/>
        <v>0</v>
      </c>
      <c r="AA20" s="129"/>
      <c r="AB20" s="129"/>
      <c r="AC20" s="349">
        <f>Gen!S25</f>
        <v>0</v>
      </c>
    </row>
    <row r="21" spans="1:29" ht="20.100000000000001" customHeight="1">
      <c r="A21" s="344">
        <f>Gen!A26</f>
        <v>43877</v>
      </c>
      <c r="B21" s="442">
        <f>Gen!B26</f>
        <v>0</v>
      </c>
      <c r="C21" s="400"/>
      <c r="D21" s="400"/>
      <c r="E21" s="400"/>
      <c r="F21" s="400"/>
      <c r="G21" s="400"/>
      <c r="H21" s="400"/>
      <c r="I21" s="400"/>
      <c r="J21" s="400"/>
      <c r="K21" s="399">
        <f t="shared" si="0"/>
        <v>0</v>
      </c>
      <c r="L21" s="400"/>
      <c r="M21" s="399">
        <f t="shared" si="1"/>
        <v>0</v>
      </c>
      <c r="N21" s="401">
        <f t="shared" si="2"/>
        <v>0</v>
      </c>
      <c r="O21" s="400"/>
      <c r="P21" s="399">
        <f t="shared" si="3"/>
        <v>0</v>
      </c>
      <c r="Q21" s="399">
        <f t="shared" si="4"/>
        <v>0</v>
      </c>
      <c r="R21" s="400"/>
      <c r="S21" s="399">
        <f t="shared" si="5"/>
        <v>0</v>
      </c>
      <c r="T21" s="399">
        <f t="shared" si="6"/>
        <v>0</v>
      </c>
      <c r="U21" s="400"/>
      <c r="V21" s="399">
        <f t="shared" si="7"/>
        <v>0</v>
      </c>
      <c r="W21" s="401">
        <f t="shared" si="8"/>
        <v>0</v>
      </c>
      <c r="X21" s="400"/>
      <c r="Y21" s="399">
        <f t="shared" si="9"/>
        <v>0</v>
      </c>
      <c r="Z21" s="402">
        <f t="shared" si="10"/>
        <v>0</v>
      </c>
      <c r="AA21" s="129"/>
      <c r="AB21" s="129"/>
      <c r="AC21" s="349">
        <f>Gen!S26</f>
        <v>0</v>
      </c>
    </row>
    <row r="22" spans="1:29" ht="18.75" customHeight="1">
      <c r="A22" s="344">
        <f>Gen!A27</f>
        <v>43878</v>
      </c>
      <c r="B22" s="442">
        <f>Gen!B27</f>
        <v>0</v>
      </c>
      <c r="C22" s="400"/>
      <c r="D22" s="400"/>
      <c r="E22" s="400"/>
      <c r="F22" s="400"/>
      <c r="G22" s="400"/>
      <c r="H22" s="400"/>
      <c r="I22" s="400"/>
      <c r="J22" s="400"/>
      <c r="K22" s="399">
        <f t="shared" si="0"/>
        <v>0</v>
      </c>
      <c r="L22" s="400"/>
      <c r="M22" s="399">
        <f t="shared" si="1"/>
        <v>0</v>
      </c>
      <c r="N22" s="401">
        <f t="shared" si="2"/>
        <v>0</v>
      </c>
      <c r="O22" s="400"/>
      <c r="P22" s="399">
        <f t="shared" si="3"/>
        <v>0</v>
      </c>
      <c r="Q22" s="399">
        <f t="shared" si="4"/>
        <v>0</v>
      </c>
      <c r="R22" s="400"/>
      <c r="S22" s="399">
        <f t="shared" si="5"/>
        <v>0</v>
      </c>
      <c r="T22" s="399">
        <f t="shared" si="6"/>
        <v>0</v>
      </c>
      <c r="U22" s="400"/>
      <c r="V22" s="399">
        <f t="shared" si="7"/>
        <v>0</v>
      </c>
      <c r="W22" s="401">
        <f t="shared" si="8"/>
        <v>0</v>
      </c>
      <c r="X22" s="400"/>
      <c r="Y22" s="399">
        <f t="shared" si="9"/>
        <v>0</v>
      </c>
      <c r="Z22" s="402">
        <f t="shared" si="10"/>
        <v>0</v>
      </c>
      <c r="AA22" s="129"/>
      <c r="AB22" s="129"/>
      <c r="AC22" s="349">
        <f>Gen!S27</f>
        <v>0</v>
      </c>
    </row>
    <row r="23" spans="1:29" ht="20.100000000000001" customHeight="1">
      <c r="A23" s="344">
        <f>Gen!A28</f>
        <v>43879</v>
      </c>
      <c r="B23" s="442">
        <f>Gen!B28</f>
        <v>0</v>
      </c>
      <c r="C23" s="400"/>
      <c r="D23" s="400"/>
      <c r="E23" s="694"/>
      <c r="F23" s="400"/>
      <c r="G23" s="400"/>
      <c r="H23" s="400"/>
      <c r="I23" s="400"/>
      <c r="J23" s="400"/>
      <c r="K23" s="399">
        <f t="shared" si="0"/>
        <v>0</v>
      </c>
      <c r="L23" s="400"/>
      <c r="M23" s="399">
        <f t="shared" si="1"/>
        <v>0</v>
      </c>
      <c r="N23" s="401">
        <f t="shared" si="2"/>
        <v>0</v>
      </c>
      <c r="O23" s="400"/>
      <c r="P23" s="399">
        <f t="shared" si="3"/>
        <v>0</v>
      </c>
      <c r="Q23" s="399">
        <f t="shared" si="4"/>
        <v>0</v>
      </c>
      <c r="R23" s="400"/>
      <c r="S23" s="399">
        <f t="shared" si="5"/>
        <v>0</v>
      </c>
      <c r="T23" s="399">
        <f t="shared" si="6"/>
        <v>0</v>
      </c>
      <c r="U23" s="400"/>
      <c r="V23" s="399">
        <f t="shared" si="7"/>
        <v>0</v>
      </c>
      <c r="W23" s="401">
        <f t="shared" si="8"/>
        <v>0</v>
      </c>
      <c r="X23" s="400"/>
      <c r="Y23" s="399">
        <f t="shared" si="9"/>
        <v>0</v>
      </c>
      <c r="Z23" s="402">
        <f t="shared" si="10"/>
        <v>0</v>
      </c>
      <c r="AA23" s="129"/>
      <c r="AB23" s="129"/>
      <c r="AC23" s="349">
        <f>Gen!S28</f>
        <v>0</v>
      </c>
    </row>
    <row r="24" spans="1:29" ht="20.100000000000001" customHeight="1">
      <c r="A24" s="344">
        <f>Gen!A29</f>
        <v>43880</v>
      </c>
      <c r="B24" s="442">
        <f>Gen!B29</f>
        <v>0</v>
      </c>
      <c r="C24" s="400"/>
      <c r="D24" s="400"/>
      <c r="E24" s="400"/>
      <c r="F24" s="400"/>
      <c r="G24" s="400"/>
      <c r="H24" s="400"/>
      <c r="I24" s="400"/>
      <c r="J24" s="400"/>
      <c r="K24" s="399">
        <f t="shared" si="0"/>
        <v>0</v>
      </c>
      <c r="L24" s="400"/>
      <c r="M24" s="399">
        <f t="shared" si="1"/>
        <v>0</v>
      </c>
      <c r="N24" s="401">
        <f t="shared" si="2"/>
        <v>0</v>
      </c>
      <c r="O24" s="400"/>
      <c r="P24" s="399">
        <f t="shared" si="3"/>
        <v>0</v>
      </c>
      <c r="Q24" s="399">
        <f t="shared" si="4"/>
        <v>0</v>
      </c>
      <c r="R24" s="400"/>
      <c r="S24" s="399">
        <f t="shared" si="5"/>
        <v>0</v>
      </c>
      <c r="T24" s="399">
        <f t="shared" si="6"/>
        <v>0</v>
      </c>
      <c r="U24" s="400"/>
      <c r="V24" s="399">
        <f t="shared" si="7"/>
        <v>0</v>
      </c>
      <c r="W24" s="401">
        <f t="shared" si="8"/>
        <v>0</v>
      </c>
      <c r="X24" s="400"/>
      <c r="Y24" s="399">
        <f t="shared" si="9"/>
        <v>0</v>
      </c>
      <c r="Z24" s="402">
        <f t="shared" si="10"/>
        <v>0</v>
      </c>
      <c r="AA24" s="129"/>
      <c r="AB24" s="129"/>
      <c r="AC24" s="349">
        <f>Gen!S29</f>
        <v>0</v>
      </c>
    </row>
    <row r="25" spans="1:29" ht="18.75" customHeight="1">
      <c r="A25" s="344">
        <f>Gen!A30</f>
        <v>43881</v>
      </c>
      <c r="B25" s="442">
        <f>Gen!B30</f>
        <v>0</v>
      </c>
      <c r="C25" s="400"/>
      <c r="D25" s="400"/>
      <c r="E25" s="400"/>
      <c r="F25" s="400"/>
      <c r="G25" s="400"/>
      <c r="H25" s="400"/>
      <c r="I25" s="400"/>
      <c r="J25" s="400"/>
      <c r="K25" s="399">
        <f t="shared" si="0"/>
        <v>0</v>
      </c>
      <c r="L25" s="400"/>
      <c r="M25" s="399">
        <f t="shared" si="1"/>
        <v>0</v>
      </c>
      <c r="N25" s="401">
        <f t="shared" si="2"/>
        <v>0</v>
      </c>
      <c r="O25" s="400"/>
      <c r="P25" s="399">
        <f t="shared" si="3"/>
        <v>0</v>
      </c>
      <c r="Q25" s="399">
        <f t="shared" si="4"/>
        <v>0</v>
      </c>
      <c r="R25" s="400"/>
      <c r="S25" s="399">
        <f t="shared" si="5"/>
        <v>0</v>
      </c>
      <c r="T25" s="399">
        <f t="shared" si="6"/>
        <v>0</v>
      </c>
      <c r="U25" s="400"/>
      <c r="V25" s="399">
        <f t="shared" si="7"/>
        <v>0</v>
      </c>
      <c r="W25" s="401">
        <f t="shared" si="8"/>
        <v>0</v>
      </c>
      <c r="X25" s="400"/>
      <c r="Y25" s="399">
        <f t="shared" si="9"/>
        <v>0</v>
      </c>
      <c r="Z25" s="402">
        <f t="shared" si="10"/>
        <v>0</v>
      </c>
      <c r="AA25" s="129"/>
      <c r="AB25" s="129"/>
      <c r="AC25" s="349">
        <f>Gen!S30</f>
        <v>0</v>
      </c>
    </row>
    <row r="26" spans="1:29" ht="20.100000000000001" customHeight="1">
      <c r="A26" s="344">
        <f>Gen!A31</f>
        <v>43882</v>
      </c>
      <c r="B26" s="442">
        <f>Gen!B31</f>
        <v>0</v>
      </c>
      <c r="C26" s="400"/>
      <c r="D26" s="400"/>
      <c r="E26" s="400"/>
      <c r="F26" s="400"/>
      <c r="G26" s="400"/>
      <c r="H26" s="400"/>
      <c r="I26" s="400"/>
      <c r="J26" s="400"/>
      <c r="K26" s="399">
        <f t="shared" si="0"/>
        <v>0</v>
      </c>
      <c r="L26" s="400"/>
      <c r="M26" s="399">
        <f t="shared" si="1"/>
        <v>0</v>
      </c>
      <c r="N26" s="401">
        <f t="shared" si="2"/>
        <v>0</v>
      </c>
      <c r="O26" s="400"/>
      <c r="P26" s="399">
        <f t="shared" si="3"/>
        <v>0</v>
      </c>
      <c r="Q26" s="399">
        <f t="shared" si="4"/>
        <v>0</v>
      </c>
      <c r="R26" s="400"/>
      <c r="S26" s="399">
        <f t="shared" si="5"/>
        <v>0</v>
      </c>
      <c r="T26" s="399">
        <f t="shared" si="6"/>
        <v>0</v>
      </c>
      <c r="U26" s="400"/>
      <c r="V26" s="399">
        <f t="shared" si="7"/>
        <v>0</v>
      </c>
      <c r="W26" s="401">
        <f t="shared" si="8"/>
        <v>0</v>
      </c>
      <c r="X26" s="400"/>
      <c r="Y26" s="399">
        <f t="shared" si="9"/>
        <v>0</v>
      </c>
      <c r="Z26" s="402">
        <f t="shared" si="10"/>
        <v>0</v>
      </c>
      <c r="AA26" s="129"/>
      <c r="AB26" s="129"/>
      <c r="AC26" s="349">
        <f>Gen!S31</f>
        <v>0</v>
      </c>
    </row>
    <row r="27" spans="1:29" ht="20.100000000000001" customHeight="1">
      <c r="A27" s="344">
        <f>Gen!A32</f>
        <v>43883</v>
      </c>
      <c r="B27" s="442">
        <f>Gen!B32</f>
        <v>0</v>
      </c>
      <c r="C27" s="400"/>
      <c r="D27" s="400"/>
      <c r="E27" s="400"/>
      <c r="F27" s="400"/>
      <c r="G27" s="400"/>
      <c r="H27" s="400"/>
      <c r="I27" s="400"/>
      <c r="J27" s="400"/>
      <c r="K27" s="399">
        <f t="shared" si="0"/>
        <v>0</v>
      </c>
      <c r="L27" s="400"/>
      <c r="M27" s="399">
        <f t="shared" si="1"/>
        <v>0</v>
      </c>
      <c r="N27" s="401">
        <f t="shared" si="2"/>
        <v>0</v>
      </c>
      <c r="O27" s="400"/>
      <c r="P27" s="399">
        <f t="shared" si="3"/>
        <v>0</v>
      </c>
      <c r="Q27" s="399">
        <f t="shared" si="4"/>
        <v>0</v>
      </c>
      <c r="R27" s="400"/>
      <c r="S27" s="399">
        <f t="shared" si="5"/>
        <v>0</v>
      </c>
      <c r="T27" s="399">
        <f t="shared" si="6"/>
        <v>0</v>
      </c>
      <c r="U27" s="400"/>
      <c r="V27" s="399">
        <f t="shared" si="7"/>
        <v>0</v>
      </c>
      <c r="W27" s="401">
        <f t="shared" si="8"/>
        <v>0</v>
      </c>
      <c r="X27" s="400"/>
      <c r="Y27" s="399">
        <f t="shared" si="9"/>
        <v>0</v>
      </c>
      <c r="Z27" s="402">
        <f t="shared" si="10"/>
        <v>0</v>
      </c>
      <c r="AA27" s="129"/>
      <c r="AB27" s="129"/>
      <c r="AC27" s="349">
        <f>Gen!S32</f>
        <v>0</v>
      </c>
    </row>
    <row r="28" spans="1:29" ht="20.100000000000001" customHeight="1">
      <c r="A28" s="344">
        <f>Gen!A33</f>
        <v>43884</v>
      </c>
      <c r="B28" s="442">
        <f>Gen!B33</f>
        <v>0</v>
      </c>
      <c r="C28" s="400"/>
      <c r="D28" s="400"/>
      <c r="E28" s="400"/>
      <c r="F28" s="400"/>
      <c r="G28" s="400"/>
      <c r="H28" s="400"/>
      <c r="I28" s="400"/>
      <c r="J28" s="400"/>
      <c r="K28" s="399">
        <f t="shared" si="0"/>
        <v>0</v>
      </c>
      <c r="L28" s="400"/>
      <c r="M28" s="399">
        <f t="shared" si="1"/>
        <v>0</v>
      </c>
      <c r="N28" s="401">
        <f t="shared" si="2"/>
        <v>0</v>
      </c>
      <c r="O28" s="400"/>
      <c r="P28" s="399">
        <f t="shared" si="3"/>
        <v>0</v>
      </c>
      <c r="Q28" s="399">
        <f t="shared" si="4"/>
        <v>0</v>
      </c>
      <c r="R28" s="400"/>
      <c r="S28" s="399">
        <f t="shared" si="5"/>
        <v>0</v>
      </c>
      <c r="T28" s="399">
        <f t="shared" si="6"/>
        <v>0</v>
      </c>
      <c r="U28" s="400"/>
      <c r="V28" s="399">
        <f t="shared" si="7"/>
        <v>0</v>
      </c>
      <c r="W28" s="401">
        <f t="shared" si="8"/>
        <v>0</v>
      </c>
      <c r="X28" s="400"/>
      <c r="Y28" s="399">
        <f t="shared" si="9"/>
        <v>0</v>
      </c>
      <c r="Z28" s="402">
        <f t="shared" si="10"/>
        <v>0</v>
      </c>
      <c r="AA28" s="129"/>
      <c r="AB28" s="129"/>
      <c r="AC28" s="349">
        <f>Gen!S33</f>
        <v>0</v>
      </c>
    </row>
    <row r="29" spans="1:29" ht="20.100000000000001" customHeight="1">
      <c r="A29" s="344">
        <f>Gen!A34</f>
        <v>43885</v>
      </c>
      <c r="B29" s="442">
        <f>Gen!B34</f>
        <v>0</v>
      </c>
      <c r="C29" s="400"/>
      <c r="D29" s="400"/>
      <c r="E29" s="400"/>
      <c r="F29" s="400"/>
      <c r="G29" s="400"/>
      <c r="H29" s="400"/>
      <c r="I29" s="400"/>
      <c r="J29" s="400"/>
      <c r="K29" s="399">
        <f t="shared" si="0"/>
        <v>0</v>
      </c>
      <c r="L29" s="400"/>
      <c r="M29" s="399">
        <f t="shared" si="1"/>
        <v>0</v>
      </c>
      <c r="N29" s="401">
        <f t="shared" si="2"/>
        <v>0</v>
      </c>
      <c r="O29" s="400"/>
      <c r="P29" s="399">
        <f t="shared" si="3"/>
        <v>0</v>
      </c>
      <c r="Q29" s="399">
        <f t="shared" si="4"/>
        <v>0</v>
      </c>
      <c r="R29" s="400"/>
      <c r="S29" s="399">
        <f t="shared" si="5"/>
        <v>0</v>
      </c>
      <c r="T29" s="399">
        <f t="shared" si="6"/>
        <v>0</v>
      </c>
      <c r="U29" s="400"/>
      <c r="V29" s="399">
        <f t="shared" si="7"/>
        <v>0</v>
      </c>
      <c r="W29" s="401">
        <f t="shared" si="8"/>
        <v>0</v>
      </c>
      <c r="X29" s="400"/>
      <c r="Y29" s="399">
        <f t="shared" si="9"/>
        <v>0</v>
      </c>
      <c r="Z29" s="402">
        <f t="shared" si="10"/>
        <v>0</v>
      </c>
      <c r="AA29" s="129"/>
      <c r="AB29" s="129"/>
      <c r="AC29" s="349">
        <f>Gen!S34</f>
        <v>0</v>
      </c>
    </row>
    <row r="30" spans="1:29" ht="20.100000000000001" customHeight="1">
      <c r="A30" s="344">
        <f>Gen!A35</f>
        <v>43886</v>
      </c>
      <c r="B30" s="442">
        <f>Gen!B35</f>
        <v>0</v>
      </c>
      <c r="C30" s="400"/>
      <c r="D30" s="400"/>
      <c r="E30" s="400"/>
      <c r="F30" s="400"/>
      <c r="G30" s="400"/>
      <c r="H30" s="400"/>
      <c r="I30" s="400"/>
      <c r="J30" s="400"/>
      <c r="K30" s="399">
        <f t="shared" si="0"/>
        <v>0</v>
      </c>
      <c r="L30" s="400"/>
      <c r="M30" s="399">
        <f t="shared" si="1"/>
        <v>0</v>
      </c>
      <c r="N30" s="401">
        <f t="shared" si="2"/>
        <v>0</v>
      </c>
      <c r="O30" s="400"/>
      <c r="P30" s="399">
        <f t="shared" si="3"/>
        <v>0</v>
      </c>
      <c r="Q30" s="399">
        <f t="shared" si="4"/>
        <v>0</v>
      </c>
      <c r="R30" s="400"/>
      <c r="S30" s="399">
        <f t="shared" si="5"/>
        <v>0</v>
      </c>
      <c r="T30" s="399">
        <f t="shared" si="6"/>
        <v>0</v>
      </c>
      <c r="U30" s="400"/>
      <c r="V30" s="399">
        <f t="shared" si="7"/>
        <v>0</v>
      </c>
      <c r="W30" s="401">
        <f t="shared" si="8"/>
        <v>0</v>
      </c>
      <c r="X30" s="400"/>
      <c r="Y30" s="399">
        <f t="shared" si="9"/>
        <v>0</v>
      </c>
      <c r="Z30" s="402">
        <f t="shared" si="10"/>
        <v>0</v>
      </c>
      <c r="AA30" s="129"/>
      <c r="AB30" s="129"/>
      <c r="AC30" s="349">
        <f>Gen!S35</f>
        <v>0</v>
      </c>
    </row>
    <row r="31" spans="1:29" ht="20.100000000000001" customHeight="1">
      <c r="A31" s="344">
        <f>Gen!A36</f>
        <v>43887</v>
      </c>
      <c r="B31" s="442">
        <f>Gen!B36</f>
        <v>0</v>
      </c>
      <c r="C31" s="400"/>
      <c r="D31" s="400"/>
      <c r="E31" s="400"/>
      <c r="F31" s="400"/>
      <c r="G31" s="400"/>
      <c r="H31" s="400"/>
      <c r="I31" s="400"/>
      <c r="J31" s="400"/>
      <c r="K31" s="399">
        <f t="shared" si="0"/>
        <v>0</v>
      </c>
      <c r="L31" s="400"/>
      <c r="M31" s="399">
        <f t="shared" si="1"/>
        <v>0</v>
      </c>
      <c r="N31" s="401">
        <f t="shared" si="2"/>
        <v>0</v>
      </c>
      <c r="O31" s="400"/>
      <c r="P31" s="399">
        <f t="shared" si="3"/>
        <v>0</v>
      </c>
      <c r="Q31" s="399">
        <f t="shared" si="4"/>
        <v>0</v>
      </c>
      <c r="R31" s="400"/>
      <c r="S31" s="399">
        <f t="shared" si="5"/>
        <v>0</v>
      </c>
      <c r="T31" s="399">
        <f t="shared" si="6"/>
        <v>0</v>
      </c>
      <c r="U31" s="400"/>
      <c r="V31" s="399">
        <f t="shared" si="7"/>
        <v>0</v>
      </c>
      <c r="W31" s="401">
        <f t="shared" si="8"/>
        <v>0</v>
      </c>
      <c r="X31" s="400"/>
      <c r="Y31" s="399">
        <f t="shared" si="9"/>
        <v>0</v>
      </c>
      <c r="Z31" s="402">
        <f t="shared" si="10"/>
        <v>0</v>
      </c>
      <c r="AA31" s="129"/>
      <c r="AB31" s="129"/>
      <c r="AC31" s="349">
        <f>Gen!S36</f>
        <v>0</v>
      </c>
    </row>
    <row r="32" spans="1:29" ht="20.100000000000001" customHeight="1">
      <c r="A32" s="344">
        <f>Gen!A37</f>
        <v>43888</v>
      </c>
      <c r="B32" s="442">
        <f>Gen!B37</f>
        <v>0</v>
      </c>
      <c r="C32" s="400"/>
      <c r="D32" s="400"/>
      <c r="E32" s="400"/>
      <c r="F32" s="400"/>
      <c r="G32" s="400"/>
      <c r="H32" s="400"/>
      <c r="I32" s="400"/>
      <c r="J32" s="400"/>
      <c r="K32" s="399">
        <f t="shared" si="0"/>
        <v>0</v>
      </c>
      <c r="L32" s="400"/>
      <c r="M32" s="399">
        <f t="shared" si="1"/>
        <v>0</v>
      </c>
      <c r="N32" s="401">
        <f t="shared" si="2"/>
        <v>0</v>
      </c>
      <c r="O32" s="400"/>
      <c r="P32" s="399">
        <f t="shared" si="3"/>
        <v>0</v>
      </c>
      <c r="Q32" s="399">
        <f t="shared" si="4"/>
        <v>0</v>
      </c>
      <c r="R32" s="400"/>
      <c r="S32" s="399">
        <f t="shared" si="5"/>
        <v>0</v>
      </c>
      <c r="T32" s="399">
        <f t="shared" si="6"/>
        <v>0</v>
      </c>
      <c r="U32" s="400"/>
      <c r="V32" s="399">
        <f t="shared" si="7"/>
        <v>0</v>
      </c>
      <c r="W32" s="401">
        <f t="shared" si="8"/>
        <v>0</v>
      </c>
      <c r="X32" s="400"/>
      <c r="Y32" s="399">
        <f t="shared" si="9"/>
        <v>0</v>
      </c>
      <c r="Z32" s="402">
        <f t="shared" si="10"/>
        <v>0</v>
      </c>
      <c r="AA32" s="129"/>
      <c r="AB32" s="129"/>
      <c r="AC32" s="349">
        <f>Gen!S37</f>
        <v>0</v>
      </c>
    </row>
    <row r="33" spans="1:29" ht="20.100000000000001" customHeight="1">
      <c r="A33" s="344">
        <f>Gen!A38</f>
        <v>43889</v>
      </c>
      <c r="B33" s="442">
        <f>Gen!B38</f>
        <v>0</v>
      </c>
      <c r="C33" s="400"/>
      <c r="D33" s="400"/>
      <c r="E33" s="400"/>
      <c r="F33" s="400"/>
      <c r="G33" s="400"/>
      <c r="H33" s="400"/>
      <c r="I33" s="400"/>
      <c r="J33" s="400"/>
      <c r="K33" s="399">
        <f t="shared" si="0"/>
        <v>0</v>
      </c>
      <c r="L33" s="400"/>
      <c r="M33" s="399">
        <f t="shared" si="1"/>
        <v>0</v>
      </c>
      <c r="N33" s="401">
        <f t="shared" si="2"/>
        <v>0</v>
      </c>
      <c r="O33" s="400"/>
      <c r="P33" s="399">
        <f t="shared" si="3"/>
        <v>0</v>
      </c>
      <c r="Q33" s="399">
        <f t="shared" si="4"/>
        <v>0</v>
      </c>
      <c r="R33" s="400"/>
      <c r="S33" s="399">
        <f t="shared" si="5"/>
        <v>0</v>
      </c>
      <c r="T33" s="399">
        <f t="shared" si="6"/>
        <v>0</v>
      </c>
      <c r="U33" s="400"/>
      <c r="V33" s="399">
        <f t="shared" si="7"/>
        <v>0</v>
      </c>
      <c r="W33" s="401">
        <f t="shared" si="8"/>
        <v>0</v>
      </c>
      <c r="X33" s="400"/>
      <c r="Y33" s="399">
        <f t="shared" si="9"/>
        <v>0</v>
      </c>
      <c r="Z33" s="402">
        <f t="shared" si="10"/>
        <v>0</v>
      </c>
      <c r="AA33" s="129"/>
      <c r="AB33" s="129"/>
      <c r="AC33" s="349">
        <f>Gen!S38</f>
        <v>0</v>
      </c>
    </row>
    <row r="34" spans="1:29" ht="20.100000000000001" customHeight="1">
      <c r="A34" s="344">
        <f>Gen!A39</f>
        <v>43890</v>
      </c>
      <c r="B34" s="442">
        <f>Gen!B39</f>
        <v>0</v>
      </c>
      <c r="C34" s="400"/>
      <c r="D34" s="400"/>
      <c r="E34" s="400"/>
      <c r="F34" s="400"/>
      <c r="G34" s="400"/>
      <c r="H34" s="400"/>
      <c r="I34" s="400"/>
      <c r="J34" s="400"/>
      <c r="K34" s="399">
        <f t="shared" si="0"/>
        <v>0</v>
      </c>
      <c r="L34" s="400"/>
      <c r="M34" s="399">
        <f t="shared" si="1"/>
        <v>0</v>
      </c>
      <c r="N34" s="401">
        <f t="shared" si="2"/>
        <v>0</v>
      </c>
      <c r="O34" s="400"/>
      <c r="P34" s="399">
        <f t="shared" si="3"/>
        <v>0</v>
      </c>
      <c r="Q34" s="399">
        <f t="shared" si="4"/>
        <v>0</v>
      </c>
      <c r="R34" s="400"/>
      <c r="S34" s="399">
        <f t="shared" si="5"/>
        <v>0</v>
      </c>
      <c r="T34" s="399">
        <f t="shared" si="6"/>
        <v>0</v>
      </c>
      <c r="U34" s="400"/>
      <c r="V34" s="399">
        <f t="shared" si="7"/>
        <v>0</v>
      </c>
      <c r="W34" s="401">
        <f t="shared" si="8"/>
        <v>0</v>
      </c>
      <c r="X34" s="400"/>
      <c r="Y34" s="399">
        <f t="shared" si="9"/>
        <v>0</v>
      </c>
      <c r="Z34" s="402">
        <f t="shared" si="10"/>
        <v>0</v>
      </c>
      <c r="AA34" s="129"/>
      <c r="AB34" s="129"/>
      <c r="AC34" s="349">
        <f>Gen!S39</f>
        <v>0</v>
      </c>
    </row>
    <row r="35" spans="1:29" ht="20.100000000000001" customHeight="1">
      <c r="A35" s="344">
        <f>Gen!A40</f>
        <v>43891</v>
      </c>
      <c r="B35" s="442">
        <f>Gen!B40</f>
        <v>0</v>
      </c>
      <c r="C35" s="400"/>
      <c r="D35" s="400"/>
      <c r="E35" s="400"/>
      <c r="F35" s="400"/>
      <c r="G35" s="400"/>
      <c r="H35" s="400"/>
      <c r="I35" s="400"/>
      <c r="J35" s="400"/>
      <c r="K35" s="399">
        <f t="shared" si="0"/>
        <v>0</v>
      </c>
      <c r="L35" s="400"/>
      <c r="M35" s="399">
        <f t="shared" si="1"/>
        <v>0</v>
      </c>
      <c r="N35" s="401">
        <f t="shared" si="2"/>
        <v>0</v>
      </c>
      <c r="O35" s="400"/>
      <c r="P35" s="399">
        <f t="shared" si="3"/>
        <v>0</v>
      </c>
      <c r="Q35" s="399">
        <f t="shared" si="4"/>
        <v>0</v>
      </c>
      <c r="R35" s="400"/>
      <c r="S35" s="399">
        <f t="shared" si="5"/>
        <v>0</v>
      </c>
      <c r="T35" s="399">
        <f t="shared" si="6"/>
        <v>0</v>
      </c>
      <c r="U35" s="400"/>
      <c r="V35" s="399">
        <f t="shared" si="7"/>
        <v>0</v>
      </c>
      <c r="W35" s="401">
        <f t="shared" si="8"/>
        <v>0</v>
      </c>
      <c r="X35" s="400"/>
      <c r="Y35" s="399">
        <f t="shared" si="9"/>
        <v>0</v>
      </c>
      <c r="Z35" s="402">
        <f t="shared" si="10"/>
        <v>0</v>
      </c>
      <c r="AA35" s="129"/>
      <c r="AB35" s="129"/>
      <c r="AC35" s="349">
        <f>Gen!S40</f>
        <v>0</v>
      </c>
    </row>
    <row r="36" spans="1:29" ht="20.100000000000001" customHeight="1">
      <c r="A36" s="344">
        <f>Gen!A41</f>
        <v>43892</v>
      </c>
      <c r="B36" s="442">
        <f>Gen!B41</f>
        <v>0</v>
      </c>
      <c r="C36" s="400"/>
      <c r="D36" s="400"/>
      <c r="E36" s="400"/>
      <c r="F36" s="400"/>
      <c r="G36" s="400"/>
      <c r="H36" s="400"/>
      <c r="I36" s="400"/>
      <c r="J36" s="400"/>
      <c r="K36" s="399">
        <f t="shared" si="0"/>
        <v>0</v>
      </c>
      <c r="L36" s="400"/>
      <c r="M36" s="399">
        <f t="shared" si="1"/>
        <v>0</v>
      </c>
      <c r="N36" s="401">
        <f t="shared" si="2"/>
        <v>0</v>
      </c>
      <c r="O36" s="400"/>
      <c r="P36" s="399">
        <f t="shared" si="3"/>
        <v>0</v>
      </c>
      <c r="Q36" s="399">
        <f t="shared" si="4"/>
        <v>0</v>
      </c>
      <c r="R36" s="400"/>
      <c r="S36" s="399">
        <f t="shared" si="5"/>
        <v>0</v>
      </c>
      <c r="T36" s="399">
        <f t="shared" si="6"/>
        <v>0</v>
      </c>
      <c r="U36" s="400"/>
      <c r="V36" s="399">
        <f t="shared" si="7"/>
        <v>0</v>
      </c>
      <c r="W36" s="401">
        <f t="shared" si="8"/>
        <v>0</v>
      </c>
      <c r="X36" s="400"/>
      <c r="Y36" s="399">
        <f t="shared" si="9"/>
        <v>0</v>
      </c>
      <c r="Z36" s="402">
        <f t="shared" si="10"/>
        <v>0</v>
      </c>
      <c r="AA36" s="129"/>
      <c r="AB36" s="129"/>
      <c r="AC36" s="349">
        <f>Gen!S41</f>
        <v>0</v>
      </c>
    </row>
    <row r="37" spans="1:29" ht="21" customHeight="1">
      <c r="A37" s="344">
        <f>Gen!A42</f>
        <v>43893</v>
      </c>
      <c r="B37" s="442">
        <f>Gen!B42</f>
        <v>0</v>
      </c>
      <c r="C37" s="400"/>
      <c r="D37" s="400"/>
      <c r="E37" s="400"/>
      <c r="F37" s="400"/>
      <c r="G37" s="400"/>
      <c r="H37" s="400"/>
      <c r="I37" s="400"/>
      <c r="J37" s="400"/>
      <c r="K37" s="399">
        <f t="shared" si="0"/>
        <v>0</v>
      </c>
      <c r="L37" s="400"/>
      <c r="M37" s="399">
        <f t="shared" si="1"/>
        <v>0</v>
      </c>
      <c r="N37" s="401">
        <f t="shared" si="2"/>
        <v>0</v>
      </c>
      <c r="O37" s="400"/>
      <c r="P37" s="399">
        <f t="shared" si="3"/>
        <v>0</v>
      </c>
      <c r="Q37" s="399">
        <f t="shared" si="4"/>
        <v>0</v>
      </c>
      <c r="R37" s="400"/>
      <c r="S37" s="399">
        <f t="shared" si="5"/>
        <v>0</v>
      </c>
      <c r="T37" s="399">
        <f t="shared" si="6"/>
        <v>0</v>
      </c>
      <c r="U37" s="400"/>
      <c r="V37" s="399">
        <f t="shared" si="7"/>
        <v>0</v>
      </c>
      <c r="W37" s="401">
        <f t="shared" si="8"/>
        <v>0</v>
      </c>
      <c r="X37" s="400"/>
      <c r="Y37" s="399">
        <f t="shared" si="9"/>
        <v>0</v>
      </c>
      <c r="Z37" s="402">
        <f t="shared" si="10"/>
        <v>0</v>
      </c>
      <c r="AA37" s="129"/>
      <c r="AB37" s="129"/>
      <c r="AC37" s="349">
        <f>Gen!S42</f>
        <v>0</v>
      </c>
    </row>
    <row r="38" spans="1:29">
      <c r="A38" s="344"/>
      <c r="B38" s="344"/>
      <c r="C38" s="344"/>
      <c r="D38" s="344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abSelected="1" zoomScale="120" zoomScaleNormal="120" workbookViewId="0">
      <pane xSplit="1" topLeftCell="B1" activePane="topRight" state="frozen"/>
      <selection pane="topRight" activeCell="B24" sqref="B24"/>
    </sheetView>
  </sheetViews>
  <sheetFormatPr defaultRowHeight="11.25"/>
  <cols>
    <col min="1" max="1" width="9.85546875" style="565" customWidth="1"/>
    <col min="2" max="2" width="8.85546875" style="565" customWidth="1"/>
    <col min="3" max="4" width="9" style="565" customWidth="1"/>
    <col min="5" max="5" width="9.28515625" style="565" bestFit="1" customWidth="1"/>
    <col min="6" max="6" width="10.7109375" style="565" customWidth="1"/>
    <col min="7" max="7" width="11.28515625" style="565" customWidth="1"/>
    <col min="8" max="8" width="9.7109375" style="565" customWidth="1"/>
    <col min="9" max="9" width="8" style="565" customWidth="1"/>
    <col min="10" max="10" width="8.7109375" style="565" customWidth="1"/>
    <col min="11" max="11" width="8.28515625" style="565" customWidth="1"/>
    <col min="12" max="12" width="10.140625" style="565" customWidth="1"/>
    <col min="13" max="13" width="9.28515625" style="565" customWidth="1"/>
    <col min="14" max="14" width="14.42578125" style="565" customWidth="1"/>
    <col min="15" max="15" width="10.140625" style="565" customWidth="1"/>
    <col min="16" max="16" width="14.42578125" style="565" customWidth="1"/>
    <col min="17" max="17" width="10.7109375" style="565" customWidth="1"/>
    <col min="18" max="18" width="13.140625" style="565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798"/>
      <c r="B1" s="798"/>
    </row>
    <row r="2" spans="1:46" ht="26.25">
      <c r="A2" s="798"/>
      <c r="B2" s="798"/>
      <c r="D2" s="799" t="s">
        <v>315</v>
      </c>
      <c r="E2" s="799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0"/>
      <c r="R2" s="800"/>
      <c r="S2" s="800"/>
      <c r="T2" s="800"/>
      <c r="U2" s="800"/>
      <c r="V2" s="800"/>
      <c r="W2" s="800"/>
      <c r="X2" s="800"/>
      <c r="Y2" s="800"/>
      <c r="Z2" s="800"/>
      <c r="AA2" s="800"/>
      <c r="AB2" s="800"/>
      <c r="AC2" s="800"/>
      <c r="AD2" s="800"/>
      <c r="AE2" s="800"/>
      <c r="AF2" s="800"/>
      <c r="AG2" s="800"/>
      <c r="AH2" s="800"/>
      <c r="AI2" s="800"/>
      <c r="AJ2" s="800"/>
      <c r="AK2" s="800"/>
      <c r="AL2" s="800"/>
      <c r="AM2" s="800"/>
      <c r="AN2" s="800"/>
      <c r="AO2" s="800"/>
      <c r="AP2" s="800"/>
      <c r="AQ2" s="800"/>
      <c r="AR2" s="800"/>
      <c r="AS2" s="800"/>
      <c r="AT2" s="800"/>
    </row>
    <row r="3" spans="1:46">
      <c r="A3" s="798"/>
      <c r="B3" s="798"/>
      <c r="K3" s="247"/>
      <c r="Q3" s="247"/>
    </row>
    <row r="4" spans="1:46">
      <c r="A4" s="798"/>
      <c r="B4" s="798"/>
      <c r="K4" s="247"/>
      <c r="Q4" s="247"/>
    </row>
    <row r="5" spans="1:46" ht="12" thickBot="1">
      <c r="A5" s="798"/>
      <c r="B5" s="798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798"/>
      <c r="B6" s="798"/>
      <c r="C6" s="252"/>
      <c r="F6" s="807" t="s">
        <v>58</v>
      </c>
      <c r="G6" s="808"/>
      <c r="H6" s="808"/>
      <c r="I6" s="808"/>
      <c r="J6" s="808"/>
      <c r="K6" s="808"/>
      <c r="L6" s="809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801" t="s">
        <v>203</v>
      </c>
      <c r="G7" s="802"/>
      <c r="H7" s="802"/>
      <c r="I7" s="802"/>
      <c r="J7" s="802"/>
      <c r="K7" s="802"/>
      <c r="L7" s="803"/>
      <c r="M7" s="804" t="s">
        <v>40</v>
      </c>
      <c r="N7" s="805"/>
      <c r="O7" s="805"/>
      <c r="P7" s="805"/>
      <c r="Q7" s="805"/>
      <c r="R7" s="806"/>
      <c r="S7" s="470"/>
      <c r="T7" s="471"/>
      <c r="U7" s="472"/>
      <c r="V7" s="473" t="s">
        <v>81</v>
      </c>
      <c r="W7" s="474" t="s">
        <v>81</v>
      </c>
      <c r="X7" s="474" t="s">
        <v>5</v>
      </c>
      <c r="Y7" s="474" t="s">
        <v>82</v>
      </c>
      <c r="Z7" s="474" t="s">
        <v>84</v>
      </c>
      <c r="AA7" s="474" t="s">
        <v>83</v>
      </c>
      <c r="AB7" s="474" t="s">
        <v>83</v>
      </c>
      <c r="AC7" s="475" t="s">
        <v>201</v>
      </c>
      <c r="AD7" s="474" t="s">
        <v>30</v>
      </c>
      <c r="AE7" s="474" t="s">
        <v>98</v>
      </c>
      <c r="AF7" s="476" t="s">
        <v>22</v>
      </c>
      <c r="AG7" s="477" t="s">
        <v>29</v>
      </c>
      <c r="AH7" s="474" t="s">
        <v>85</v>
      </c>
      <c r="AI7" s="478" t="s">
        <v>192</v>
      </c>
      <c r="AJ7" s="490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09" t="s">
        <v>0</v>
      </c>
      <c r="B8" s="510" t="s">
        <v>50</v>
      </c>
      <c r="C8" s="511" t="s">
        <v>2</v>
      </c>
      <c r="D8" s="512" t="s">
        <v>38</v>
      </c>
      <c r="E8" s="512" t="s">
        <v>97</v>
      </c>
      <c r="F8" s="513" t="s">
        <v>310</v>
      </c>
      <c r="G8" s="699">
        <v>1</v>
      </c>
      <c r="H8" s="502">
        <v>2</v>
      </c>
      <c r="I8" s="502">
        <v>3</v>
      </c>
      <c r="J8" s="502">
        <v>4</v>
      </c>
      <c r="K8" s="502">
        <v>5</v>
      </c>
      <c r="L8" s="503">
        <v>6</v>
      </c>
      <c r="M8" s="504">
        <v>1</v>
      </c>
      <c r="N8" s="505">
        <v>2</v>
      </c>
      <c r="O8" s="505">
        <v>3</v>
      </c>
      <c r="P8" s="505">
        <v>4</v>
      </c>
      <c r="Q8" s="505">
        <v>5</v>
      </c>
      <c r="R8" s="505">
        <v>6</v>
      </c>
      <c r="S8" s="506" t="s">
        <v>39</v>
      </c>
      <c r="T8" s="506" t="s">
        <v>41</v>
      </c>
      <c r="U8" s="507" t="s">
        <v>200</v>
      </c>
      <c r="V8" s="481" t="s">
        <v>33</v>
      </c>
      <c r="W8" s="482" t="s">
        <v>32</v>
      </c>
      <c r="X8" s="482" t="s">
        <v>35</v>
      </c>
      <c r="Y8" s="483" t="s">
        <v>210</v>
      </c>
      <c r="Z8" s="483" t="s">
        <v>209</v>
      </c>
      <c r="AA8" s="483" t="s">
        <v>211</v>
      </c>
      <c r="AB8" s="482" t="s">
        <v>251</v>
      </c>
      <c r="AC8" s="484" t="s">
        <v>34</v>
      </c>
      <c r="AD8" s="482" t="s">
        <v>31</v>
      </c>
      <c r="AE8" s="482" t="s">
        <v>212</v>
      </c>
      <c r="AF8" s="482" t="s">
        <v>213</v>
      </c>
      <c r="AG8" s="485" t="s">
        <v>86</v>
      </c>
      <c r="AH8" s="486" t="s">
        <v>28</v>
      </c>
      <c r="AI8" s="487" t="s">
        <v>28</v>
      </c>
      <c r="AJ8" s="489"/>
      <c r="AK8" s="361"/>
      <c r="AL8" s="52"/>
      <c r="AM8" s="52"/>
      <c r="AN8" s="52"/>
      <c r="AO8" s="52"/>
      <c r="AP8" s="258"/>
      <c r="AQ8" s="492"/>
      <c r="AR8" s="493" t="s">
        <v>202</v>
      </c>
      <c r="AS8" s="493" t="s">
        <v>43</v>
      </c>
      <c r="AT8" s="492" t="s">
        <v>3</v>
      </c>
    </row>
    <row r="9" spans="1:46" ht="14.25">
      <c r="A9" s="703"/>
      <c r="B9" s="260"/>
      <c r="C9" s="278">
        <v>30982.31</v>
      </c>
      <c r="D9" s="508"/>
      <c r="E9" s="262"/>
      <c r="F9" s="704"/>
      <c r="G9" s="700"/>
      <c r="H9" s="263"/>
      <c r="I9" s="494"/>
      <c r="J9" s="495"/>
      <c r="K9" s="496"/>
      <c r="L9" s="497"/>
      <c r="M9" s="498"/>
      <c r="N9" s="499"/>
      <c r="O9" s="499"/>
      <c r="P9" s="499"/>
      <c r="Q9" s="499"/>
      <c r="R9" s="499"/>
      <c r="S9" s="500">
        <f t="shared" ref="S9:S45" si="0">SUM(F9:L9)</f>
        <v>0</v>
      </c>
      <c r="T9" s="501">
        <f t="shared" ref="T9:T43" si="1">SUM(M9:R9)</f>
        <v>0</v>
      </c>
      <c r="U9" s="266"/>
      <c r="V9" s="479"/>
      <c r="W9" s="269"/>
      <c r="X9" s="480"/>
      <c r="Y9" s="480"/>
      <c r="Z9" s="480"/>
      <c r="AA9" s="269"/>
      <c r="AB9" s="267"/>
      <c r="AC9" s="269"/>
      <c r="AD9" s="270"/>
      <c r="AE9" s="270"/>
      <c r="AF9" s="271"/>
      <c r="AG9" s="267"/>
      <c r="AH9" s="269"/>
      <c r="AI9" s="520"/>
      <c r="AJ9" s="488"/>
      <c r="AK9" s="272"/>
      <c r="AL9" s="272"/>
      <c r="AM9" s="272"/>
      <c r="AN9" s="272"/>
      <c r="AO9" s="272"/>
      <c r="AP9" s="272"/>
      <c r="AQ9" s="272"/>
      <c r="AR9" s="491">
        <f t="shared" ref="AR9:AR43" si="2">SUM(AJ9+S9)</f>
        <v>0</v>
      </c>
      <c r="AS9" s="273"/>
      <c r="AT9" s="274">
        <v>38784.699999999997</v>
      </c>
    </row>
    <row r="10" spans="1:46" ht="13.5" customHeight="1">
      <c r="A10" s="705"/>
      <c r="B10" s="275"/>
      <c r="C10" s="309"/>
      <c r="D10" s="261"/>
      <c r="E10" s="277"/>
      <c r="F10" s="706"/>
      <c r="G10" s="279"/>
      <c r="H10" s="278"/>
      <c r="I10" s="279"/>
      <c r="J10" s="278"/>
      <c r="K10" s="278"/>
      <c r="L10" s="390"/>
      <c r="M10" s="389"/>
      <c r="N10" s="281"/>
      <c r="O10" s="280"/>
      <c r="P10" s="280"/>
      <c r="Q10" s="280"/>
      <c r="R10" s="280"/>
      <c r="S10" s="293">
        <f t="shared" si="0"/>
        <v>0</v>
      </c>
      <c r="T10" s="294">
        <f t="shared" si="1"/>
        <v>0</v>
      </c>
      <c r="U10" s="294">
        <f>SUM(N10:S10)</f>
        <v>0</v>
      </c>
      <c r="V10" s="283"/>
      <c r="W10" s="295"/>
      <c r="X10" s="268"/>
      <c r="Y10" s="283"/>
      <c r="Z10" s="278"/>
      <c r="AA10" s="283"/>
      <c r="AB10" s="284"/>
      <c r="AC10" s="283"/>
      <c r="AD10" s="285"/>
      <c r="AE10" s="285"/>
      <c r="AF10" s="283"/>
      <c r="AG10" s="286"/>
      <c r="AH10" s="295"/>
      <c r="AI10" s="520"/>
      <c r="AJ10" s="360">
        <f t="shared" ref="AJ10:AJ44" si="3">SUM(V10:AI10)</f>
        <v>0</v>
      </c>
      <c r="AK10" s="287"/>
      <c r="AL10" s="287"/>
      <c r="AM10" s="287"/>
      <c r="AN10" s="287"/>
      <c r="AO10" s="287"/>
      <c r="AP10" s="287"/>
      <c r="AQ10" s="288"/>
      <c r="AR10" s="289">
        <f t="shared" si="2"/>
        <v>0</v>
      </c>
      <c r="AS10" s="290"/>
      <c r="AT10" s="372"/>
    </row>
    <row r="11" spans="1:46" s="298" customFormat="1" ht="13.5" customHeight="1">
      <c r="A11" s="707">
        <v>43862</v>
      </c>
      <c r="B11" s="304">
        <v>0.23380000000000001</v>
      </c>
      <c r="C11" s="292">
        <f>SUM(C9+D11)</f>
        <v>30982.31</v>
      </c>
      <c r="D11" s="299"/>
      <c r="E11" s="277"/>
      <c r="F11" s="708"/>
      <c r="G11" s="279">
        <v>221.91</v>
      </c>
      <c r="H11" s="278">
        <v>313.61</v>
      </c>
      <c r="I11" s="279"/>
      <c r="J11" s="278">
        <v>407.27</v>
      </c>
      <c r="K11" s="278">
        <v>409.57</v>
      </c>
      <c r="L11" s="390">
        <v>472.39</v>
      </c>
      <c r="M11" s="280">
        <v>250</v>
      </c>
      <c r="N11" s="280">
        <v>763</v>
      </c>
      <c r="O11" s="280"/>
      <c r="P11" s="280">
        <v>1094</v>
      </c>
      <c r="Q11" s="280">
        <v>1324</v>
      </c>
      <c r="R11" s="280">
        <v>1149</v>
      </c>
      <c r="S11" s="293">
        <f t="shared" si="0"/>
        <v>1824.75</v>
      </c>
      <c r="T11" s="294">
        <f t="shared" si="1"/>
        <v>4580</v>
      </c>
      <c r="U11" s="294">
        <f t="shared" ref="U11:U41" si="4">S11/T11</f>
        <v>0.39841703056768557</v>
      </c>
      <c r="V11" s="283"/>
      <c r="W11" s="283"/>
      <c r="X11" s="283"/>
      <c r="Y11" s="283"/>
      <c r="Z11" s="283">
        <v>83.21</v>
      </c>
      <c r="AA11" s="283"/>
      <c r="AB11" s="283"/>
      <c r="AC11" s="283"/>
      <c r="AD11" s="283"/>
      <c r="AE11" s="283"/>
      <c r="AF11" s="283"/>
      <c r="AG11" s="283"/>
      <c r="AH11" s="283"/>
      <c r="AI11" s="520"/>
      <c r="AJ11" s="360">
        <f t="shared" si="3"/>
        <v>83.21</v>
      </c>
      <c r="AK11" s="296"/>
      <c r="AL11" s="296"/>
      <c r="AM11" s="296"/>
      <c r="AN11" s="296"/>
      <c r="AO11" s="296"/>
      <c r="AP11" s="296"/>
      <c r="AQ11" s="296"/>
      <c r="AR11" s="289">
        <f t="shared" si="2"/>
        <v>1907.96</v>
      </c>
      <c r="AS11" s="297">
        <f>AR11*AU11</f>
        <v>0</v>
      </c>
      <c r="AT11" s="372">
        <f t="shared" ref="AT11:AT43" si="5">C11</f>
        <v>30982.31</v>
      </c>
    </row>
    <row r="12" spans="1:46" ht="13.5" customHeight="1">
      <c r="A12" s="707">
        <v>43863</v>
      </c>
      <c r="B12" s="304">
        <v>0.23400000000000001</v>
      </c>
      <c r="C12" s="292">
        <f t="shared" ref="C12:C43" si="6">SUM(C11-AR11+D12)</f>
        <v>29074.350000000002</v>
      </c>
      <c r="D12" s="299"/>
      <c r="E12" s="277">
        <v>18000</v>
      </c>
      <c r="F12" s="709" t="s">
        <v>312</v>
      </c>
      <c r="G12" s="279">
        <v>390.28</v>
      </c>
      <c r="H12" s="278">
        <v>322.89</v>
      </c>
      <c r="I12" s="300"/>
      <c r="J12" s="278">
        <v>352.73</v>
      </c>
      <c r="K12" s="278">
        <v>308.88</v>
      </c>
      <c r="L12" s="390">
        <v>428.07</v>
      </c>
      <c r="M12" s="389">
        <v>812</v>
      </c>
      <c r="N12" s="280">
        <v>795</v>
      </c>
      <c r="O12" s="280"/>
      <c r="P12" s="280">
        <v>807</v>
      </c>
      <c r="Q12" s="280">
        <v>907</v>
      </c>
      <c r="R12" s="280">
        <v>982</v>
      </c>
      <c r="S12" s="293">
        <f t="shared" si="0"/>
        <v>1802.8500000000001</v>
      </c>
      <c r="T12" s="294">
        <f t="shared" si="1"/>
        <v>4303</v>
      </c>
      <c r="U12" s="294">
        <f t="shared" si="4"/>
        <v>0.41897513362770161</v>
      </c>
      <c r="V12" s="283"/>
      <c r="W12" s="283"/>
      <c r="X12" s="283"/>
      <c r="Y12" s="283"/>
      <c r="Z12" s="283">
        <v>47.65</v>
      </c>
      <c r="AA12" s="283"/>
      <c r="AB12" s="283"/>
      <c r="AC12" s="283">
        <v>41.74</v>
      </c>
      <c r="AD12" s="283"/>
      <c r="AE12" s="283"/>
      <c r="AF12" s="283"/>
      <c r="AG12" s="283"/>
      <c r="AH12" s="283">
        <v>41</v>
      </c>
      <c r="AI12" s="520"/>
      <c r="AJ12" s="360">
        <f t="shared" si="3"/>
        <v>130.38999999999999</v>
      </c>
      <c r="AK12" s="287"/>
      <c r="AL12" s="287"/>
      <c r="AM12" s="287"/>
      <c r="AN12" s="287"/>
      <c r="AO12" s="287"/>
      <c r="AP12" s="287"/>
      <c r="AQ12" s="287"/>
      <c r="AR12" s="289">
        <f t="shared" si="2"/>
        <v>1933.2400000000002</v>
      </c>
      <c r="AS12" s="297">
        <f t="shared" ref="AS12:AS44" si="7">AR12*AU12</f>
        <v>0</v>
      </c>
      <c r="AT12" s="372">
        <f t="shared" si="5"/>
        <v>29074.350000000002</v>
      </c>
    </row>
    <row r="13" spans="1:46" ht="13.5" customHeight="1">
      <c r="A13" s="707">
        <v>43864</v>
      </c>
      <c r="B13" s="304">
        <v>0.104</v>
      </c>
      <c r="C13" s="292">
        <f t="shared" si="6"/>
        <v>27141.11</v>
      </c>
      <c r="D13" s="299"/>
      <c r="E13" s="277"/>
      <c r="F13" s="710"/>
      <c r="G13" s="279">
        <v>285.8</v>
      </c>
      <c r="H13" s="278">
        <v>447.48</v>
      </c>
      <c r="I13" s="300"/>
      <c r="J13" s="278">
        <v>287.73</v>
      </c>
      <c r="K13" s="278">
        <v>355.52</v>
      </c>
      <c r="L13" s="390">
        <v>544.39</v>
      </c>
      <c r="M13" s="389">
        <v>764</v>
      </c>
      <c r="N13" s="280">
        <v>1072</v>
      </c>
      <c r="O13" s="280"/>
      <c r="P13" s="280">
        <v>699</v>
      </c>
      <c r="Q13" s="280">
        <v>809</v>
      </c>
      <c r="R13" s="280">
        <v>1170</v>
      </c>
      <c r="S13" s="293">
        <f t="shared" si="0"/>
        <v>1920.92</v>
      </c>
      <c r="T13" s="294">
        <f t="shared" si="1"/>
        <v>4514</v>
      </c>
      <c r="U13" s="294">
        <f t="shared" si="4"/>
        <v>0.4255471865307931</v>
      </c>
      <c r="V13" s="283"/>
      <c r="W13" s="295">
        <v>57.39</v>
      </c>
      <c r="X13" s="693">
        <v>10.88</v>
      </c>
      <c r="Y13" s="693">
        <v>100.52</v>
      </c>
      <c r="Z13" s="278">
        <v>9.9600000000000009</v>
      </c>
      <c r="AA13" s="362"/>
      <c r="AB13" s="295"/>
      <c r="AC13" s="295"/>
      <c r="AD13" s="295"/>
      <c r="AE13" s="295"/>
      <c r="AF13" s="295"/>
      <c r="AG13" s="295"/>
      <c r="AH13" s="295"/>
      <c r="AI13" s="520"/>
      <c r="AJ13" s="360">
        <f t="shared" si="3"/>
        <v>178.75</v>
      </c>
      <c r="AK13" s="301"/>
      <c r="AL13" s="301"/>
      <c r="AM13" s="301"/>
      <c r="AN13" s="301"/>
      <c r="AO13" s="301"/>
      <c r="AP13" s="301"/>
      <c r="AQ13" s="301"/>
      <c r="AR13" s="289">
        <f t="shared" si="2"/>
        <v>2099.67</v>
      </c>
      <c r="AS13" s="297">
        <f t="shared" si="7"/>
        <v>0</v>
      </c>
      <c r="AT13" s="372">
        <f t="shared" si="5"/>
        <v>27141.11</v>
      </c>
    </row>
    <row r="14" spans="1:46" ht="13.5" customHeight="1">
      <c r="A14" s="707">
        <v>43865</v>
      </c>
      <c r="B14" s="304">
        <v>1</v>
      </c>
      <c r="C14" s="292">
        <f t="shared" si="6"/>
        <v>43041.440000000002</v>
      </c>
      <c r="D14" s="299">
        <v>18000</v>
      </c>
      <c r="E14" s="277"/>
      <c r="F14" s="710"/>
      <c r="G14" s="279">
        <v>529.70000000000005</v>
      </c>
      <c r="H14" s="278">
        <v>437.57</v>
      </c>
      <c r="I14" s="300"/>
      <c r="J14" s="278">
        <v>508.68</v>
      </c>
      <c r="K14" s="278">
        <v>298.02</v>
      </c>
      <c r="L14" s="390">
        <v>585.15</v>
      </c>
      <c r="M14" s="389">
        <v>1298</v>
      </c>
      <c r="N14" s="280">
        <v>794</v>
      </c>
      <c r="O14" s="280"/>
      <c r="P14" s="280">
        <v>1220</v>
      </c>
      <c r="Q14" s="280">
        <v>1128</v>
      </c>
      <c r="R14" s="280">
        <v>1250</v>
      </c>
      <c r="S14" s="293">
        <f t="shared" si="0"/>
        <v>2359.12</v>
      </c>
      <c r="T14" s="294">
        <f t="shared" si="1"/>
        <v>5690</v>
      </c>
      <c r="U14" s="294">
        <f t="shared" si="4"/>
        <v>0.4146080843585237</v>
      </c>
      <c r="V14" s="283"/>
      <c r="W14" s="295"/>
      <c r="Y14" s="693"/>
      <c r="Z14" s="278">
        <v>13.58</v>
      </c>
      <c r="AA14" s="362"/>
      <c r="AB14" s="295"/>
      <c r="AC14" s="295">
        <v>16.82</v>
      </c>
      <c r="AD14" s="295"/>
      <c r="AE14" s="295"/>
      <c r="AF14" s="295">
        <v>59.25</v>
      </c>
      <c r="AG14" s="295"/>
      <c r="AH14" s="295"/>
      <c r="AI14" s="520"/>
      <c r="AJ14" s="360">
        <f t="shared" si="3"/>
        <v>89.65</v>
      </c>
      <c r="AK14" s="296"/>
      <c r="AL14" s="296"/>
      <c r="AM14" s="296"/>
      <c r="AN14" s="296"/>
      <c r="AO14" s="296"/>
      <c r="AP14" s="296"/>
      <c r="AQ14" s="296"/>
      <c r="AR14" s="289">
        <f t="shared" si="2"/>
        <v>2448.77</v>
      </c>
      <c r="AS14" s="297">
        <f t="shared" si="7"/>
        <v>0</v>
      </c>
      <c r="AT14" s="372">
        <f t="shared" si="5"/>
        <v>43041.440000000002</v>
      </c>
    </row>
    <row r="15" spans="1:46" ht="13.5" customHeight="1">
      <c r="A15" s="707">
        <v>43866</v>
      </c>
      <c r="B15" s="304">
        <v>1</v>
      </c>
      <c r="C15" s="292">
        <f t="shared" si="6"/>
        <v>40592.670000000006</v>
      </c>
      <c r="D15" s="299"/>
      <c r="E15" s="277"/>
      <c r="F15" s="710"/>
      <c r="G15" s="279">
        <v>458.42</v>
      </c>
      <c r="H15" s="278">
        <v>448.4</v>
      </c>
      <c r="I15" s="300"/>
      <c r="J15" s="278">
        <v>406.69</v>
      </c>
      <c r="K15" s="278">
        <v>467.7</v>
      </c>
      <c r="L15" s="390">
        <v>475.52</v>
      </c>
      <c r="M15" s="389">
        <v>1182</v>
      </c>
      <c r="N15" s="280">
        <v>1270</v>
      </c>
      <c r="O15" s="280"/>
      <c r="P15" s="280">
        <v>1121</v>
      </c>
      <c r="Q15" s="280">
        <v>1131</v>
      </c>
      <c r="R15" s="280">
        <v>1162</v>
      </c>
      <c r="S15" s="293">
        <f t="shared" si="0"/>
        <v>2256.73</v>
      </c>
      <c r="T15" s="294">
        <f t="shared" si="1"/>
        <v>5866</v>
      </c>
      <c r="U15" s="294">
        <f t="shared" si="4"/>
        <v>0.38471360381861575</v>
      </c>
      <c r="V15" s="283"/>
      <c r="W15" s="295">
        <v>38.51</v>
      </c>
      <c r="X15" s="268">
        <v>21.51</v>
      </c>
      <c r="Y15" s="295"/>
      <c r="Z15" s="278">
        <v>69.25</v>
      </c>
      <c r="AA15" s="362"/>
      <c r="AB15" s="295"/>
      <c r="AC15" s="295"/>
      <c r="AD15" s="295"/>
      <c r="AE15" s="295"/>
      <c r="AF15" s="295"/>
      <c r="AG15" s="295"/>
      <c r="AH15" s="295"/>
      <c r="AI15" s="520"/>
      <c r="AJ15" s="360">
        <f t="shared" si="3"/>
        <v>129.26999999999998</v>
      </c>
      <c r="AK15" s="296"/>
      <c r="AL15" s="296"/>
      <c r="AM15" s="296"/>
      <c r="AN15" s="296"/>
      <c r="AO15" s="296"/>
      <c r="AP15" s="296"/>
      <c r="AQ15" s="296"/>
      <c r="AR15" s="289">
        <f t="shared" si="2"/>
        <v>2386</v>
      </c>
      <c r="AS15" s="297">
        <f t="shared" si="7"/>
        <v>0</v>
      </c>
      <c r="AT15" s="372">
        <f t="shared" si="5"/>
        <v>40592.670000000006</v>
      </c>
    </row>
    <row r="16" spans="1:46" ht="13.5" customHeight="1">
      <c r="A16" s="707">
        <v>43867</v>
      </c>
      <c r="B16" s="304">
        <v>1</v>
      </c>
      <c r="C16" s="292">
        <f t="shared" si="6"/>
        <v>38206.670000000006</v>
      </c>
      <c r="D16" s="299"/>
      <c r="E16" s="277"/>
      <c r="F16" s="710"/>
      <c r="G16" s="279">
        <v>217.14</v>
      </c>
      <c r="H16" s="278">
        <v>797.5</v>
      </c>
      <c r="I16" s="300"/>
      <c r="J16" s="278">
        <v>763.55</v>
      </c>
      <c r="K16" s="278">
        <v>341.26</v>
      </c>
      <c r="L16" s="390">
        <v>372.06</v>
      </c>
      <c r="M16" s="389">
        <v>494</v>
      </c>
      <c r="N16" s="280">
        <v>1835</v>
      </c>
      <c r="O16" s="280"/>
      <c r="P16" s="280">
        <v>1734</v>
      </c>
      <c r="Q16" s="280">
        <v>867</v>
      </c>
      <c r="R16" s="280">
        <v>945</v>
      </c>
      <c r="S16" s="293">
        <f t="shared" si="0"/>
        <v>2491.5099999999998</v>
      </c>
      <c r="T16" s="294">
        <f t="shared" si="1"/>
        <v>5875</v>
      </c>
      <c r="U16" s="294">
        <f t="shared" si="4"/>
        <v>0.42408680851063824</v>
      </c>
      <c r="V16" s="283"/>
      <c r="W16" s="295">
        <v>68.62</v>
      </c>
      <c r="X16" s="268">
        <v>28.64</v>
      </c>
      <c r="Y16" s="295">
        <v>90.38</v>
      </c>
      <c r="Z16" s="278"/>
      <c r="AA16" s="362"/>
      <c r="AB16" s="295"/>
      <c r="AC16" s="295"/>
      <c r="AD16" s="295"/>
      <c r="AE16" s="295"/>
      <c r="AF16" s="295"/>
      <c r="AG16" s="295"/>
      <c r="AH16" s="295"/>
      <c r="AI16" s="520"/>
      <c r="AJ16" s="360">
        <f t="shared" si="3"/>
        <v>187.64</v>
      </c>
      <c r="AK16" s="296"/>
      <c r="AL16" s="296"/>
      <c r="AM16" s="296"/>
      <c r="AN16" s="296"/>
      <c r="AO16" s="296"/>
      <c r="AP16" s="296"/>
      <c r="AQ16" s="296"/>
      <c r="AR16" s="289">
        <f t="shared" si="2"/>
        <v>2679.1499999999996</v>
      </c>
      <c r="AS16" s="297">
        <f t="shared" si="7"/>
        <v>0</v>
      </c>
      <c r="AT16" s="372">
        <f t="shared" si="5"/>
        <v>38206.670000000006</v>
      </c>
    </row>
    <row r="17" spans="1:46" ht="13.5" customHeight="1">
      <c r="A17" s="707">
        <v>43868</v>
      </c>
      <c r="B17" s="304">
        <v>1</v>
      </c>
      <c r="C17" s="292">
        <f t="shared" si="6"/>
        <v>35527.520000000004</v>
      </c>
      <c r="D17" s="299"/>
      <c r="E17" s="277"/>
      <c r="F17" s="710"/>
      <c r="G17" s="279">
        <v>469.45</v>
      </c>
      <c r="H17" s="278">
        <v>484.11</v>
      </c>
      <c r="I17" s="300"/>
      <c r="J17" s="278">
        <v>353.56</v>
      </c>
      <c r="K17" s="278">
        <v>349.16</v>
      </c>
      <c r="L17" s="390">
        <v>588.46</v>
      </c>
      <c r="M17" s="389">
        <v>1008</v>
      </c>
      <c r="N17" s="280">
        <v>1512</v>
      </c>
      <c r="O17" s="280"/>
      <c r="P17" s="280">
        <v>1572</v>
      </c>
      <c r="Q17" s="280">
        <v>952</v>
      </c>
      <c r="R17" s="280">
        <v>908</v>
      </c>
      <c r="S17" s="293">
        <f t="shared" si="0"/>
        <v>2244.7399999999998</v>
      </c>
      <c r="T17" s="294">
        <f t="shared" si="1"/>
        <v>5952</v>
      </c>
      <c r="U17" s="294">
        <f t="shared" si="4"/>
        <v>0.37714045698924725</v>
      </c>
      <c r="V17" s="283"/>
      <c r="W17" s="295"/>
      <c r="X17" s="268">
        <v>22.75</v>
      </c>
      <c r="Y17" s="295"/>
      <c r="Z17" s="278">
        <v>47.4</v>
      </c>
      <c r="AA17" s="362"/>
      <c r="AB17" s="295"/>
      <c r="AC17" s="295"/>
      <c r="AD17" s="295"/>
      <c r="AE17" s="295"/>
      <c r="AF17" s="295"/>
      <c r="AG17" s="295"/>
      <c r="AH17" s="295">
        <v>73</v>
      </c>
      <c r="AI17" s="520">
        <v>60</v>
      </c>
      <c r="AJ17" s="360">
        <f t="shared" si="3"/>
        <v>203.15</v>
      </c>
      <c r="AK17" s="296"/>
      <c r="AL17" s="296"/>
      <c r="AM17" s="296"/>
      <c r="AN17" s="296"/>
      <c r="AO17" s="296"/>
      <c r="AP17" s="296"/>
      <c r="AQ17" s="296"/>
      <c r="AR17" s="289">
        <f t="shared" si="2"/>
        <v>2447.89</v>
      </c>
      <c r="AS17" s="297">
        <f t="shared" si="7"/>
        <v>0</v>
      </c>
      <c r="AT17" s="372">
        <f t="shared" si="5"/>
        <v>35527.520000000004</v>
      </c>
    </row>
    <row r="18" spans="1:46" ht="13.5" customHeight="1">
      <c r="A18" s="707">
        <v>43869</v>
      </c>
      <c r="B18" s="304">
        <v>0.1429</v>
      </c>
      <c r="C18" s="292">
        <f t="shared" si="6"/>
        <v>33079.630000000005</v>
      </c>
      <c r="D18" s="299"/>
      <c r="E18" s="277"/>
      <c r="F18" s="710"/>
      <c r="G18" s="279">
        <v>606.39</v>
      </c>
      <c r="H18" s="278">
        <v>666.11</v>
      </c>
      <c r="I18" s="300"/>
      <c r="J18" s="278">
        <v>492.65</v>
      </c>
      <c r="K18" s="278">
        <v>328.68</v>
      </c>
      <c r="L18" s="390">
        <v>475.62</v>
      </c>
      <c r="M18" s="389">
        <v>932</v>
      </c>
      <c r="N18" s="280">
        <v>1690</v>
      </c>
      <c r="O18" s="280"/>
      <c r="P18" s="280">
        <v>1554</v>
      </c>
      <c r="Q18" s="280">
        <v>956</v>
      </c>
      <c r="R18" s="280">
        <v>856</v>
      </c>
      <c r="S18" s="293">
        <f t="shared" si="0"/>
        <v>2569.4499999999998</v>
      </c>
      <c r="T18" s="294">
        <f t="shared" si="1"/>
        <v>5988</v>
      </c>
      <c r="U18" s="294">
        <f t="shared" si="4"/>
        <v>0.42909986639946557</v>
      </c>
      <c r="V18" s="283"/>
      <c r="W18" s="295"/>
      <c r="X18" s="268">
        <v>20.14</v>
      </c>
      <c r="Y18" s="278"/>
      <c r="Z18" s="278">
        <v>36.6</v>
      </c>
      <c r="AA18" s="362"/>
      <c r="AB18" s="295"/>
      <c r="AC18" s="295"/>
      <c r="AD18" s="295"/>
      <c r="AE18" s="295"/>
      <c r="AF18" s="295"/>
      <c r="AG18" s="295"/>
      <c r="AH18" s="295"/>
      <c r="AI18" s="520"/>
      <c r="AJ18" s="360">
        <f t="shared" si="3"/>
        <v>56.74</v>
      </c>
      <c r="AK18" s="296"/>
      <c r="AL18" s="296"/>
      <c r="AM18" s="296"/>
      <c r="AN18" s="296"/>
      <c r="AO18" s="296"/>
      <c r="AP18" s="296"/>
      <c r="AQ18" s="296"/>
      <c r="AR18" s="289">
        <f t="shared" si="2"/>
        <v>2626.1899999999996</v>
      </c>
      <c r="AS18" s="297">
        <f t="shared" si="7"/>
        <v>0</v>
      </c>
      <c r="AT18" s="372">
        <f t="shared" si="5"/>
        <v>33079.630000000005</v>
      </c>
    </row>
    <row r="19" spans="1:46" ht="13.5" customHeight="1">
      <c r="A19" s="707">
        <v>43870</v>
      </c>
      <c r="B19" s="304">
        <v>0.19500000000000001</v>
      </c>
      <c r="C19" s="292">
        <f t="shared" si="6"/>
        <v>45453.440000000002</v>
      </c>
      <c r="D19" s="299">
        <v>15000</v>
      </c>
      <c r="E19" s="277">
        <v>15000</v>
      </c>
      <c r="F19" s="711" t="s">
        <v>311</v>
      </c>
      <c r="G19" s="279">
        <v>401.93</v>
      </c>
      <c r="H19" s="278">
        <v>411.39</v>
      </c>
      <c r="I19" s="300"/>
      <c r="J19" s="278">
        <v>491.94</v>
      </c>
      <c r="K19" s="278">
        <v>334.47</v>
      </c>
      <c r="L19" s="390">
        <v>400.09</v>
      </c>
      <c r="M19" s="389">
        <v>806</v>
      </c>
      <c r="N19" s="280">
        <v>1375</v>
      </c>
      <c r="O19" s="280"/>
      <c r="P19" s="280">
        <v>1366</v>
      </c>
      <c r="Q19" s="280">
        <v>874</v>
      </c>
      <c r="R19" s="280">
        <v>788</v>
      </c>
      <c r="S19" s="293">
        <f t="shared" si="0"/>
        <v>2039.82</v>
      </c>
      <c r="T19" s="294">
        <f t="shared" si="1"/>
        <v>5209</v>
      </c>
      <c r="U19" s="294">
        <f t="shared" si="4"/>
        <v>0.39159531579957763</v>
      </c>
      <c r="V19" s="283"/>
      <c r="W19" s="295">
        <v>31.95</v>
      </c>
      <c r="X19" s="268">
        <v>43.41</v>
      </c>
      <c r="Y19" s="295">
        <v>26.48</v>
      </c>
      <c r="Z19" s="278">
        <v>26.24</v>
      </c>
      <c r="AA19" s="362"/>
      <c r="AB19" s="295"/>
      <c r="AC19" s="295">
        <v>34.6</v>
      </c>
      <c r="AD19" s="295"/>
      <c r="AE19" s="295"/>
      <c r="AF19" s="295"/>
      <c r="AG19" s="295"/>
      <c r="AH19" s="295"/>
      <c r="AI19" s="520"/>
      <c r="AJ19" s="360">
        <f t="shared" si="3"/>
        <v>162.68</v>
      </c>
      <c r="AK19" s="296"/>
      <c r="AL19" s="288"/>
      <c r="AM19" s="296"/>
      <c r="AN19" s="302"/>
      <c r="AO19" s="302"/>
      <c r="AP19" s="302"/>
      <c r="AQ19" s="303"/>
      <c r="AR19" s="289">
        <f t="shared" si="2"/>
        <v>2202.5</v>
      </c>
      <c r="AS19" s="297">
        <f t="shared" si="7"/>
        <v>0</v>
      </c>
      <c r="AT19" s="372">
        <f t="shared" si="5"/>
        <v>45453.440000000002</v>
      </c>
    </row>
    <row r="20" spans="1:46" ht="14.25">
      <c r="A20" s="707">
        <v>43871</v>
      </c>
      <c r="B20" s="304">
        <v>0.18179999999999999</v>
      </c>
      <c r="C20" s="292">
        <f t="shared" si="6"/>
        <v>43250.94</v>
      </c>
      <c r="D20" s="299"/>
      <c r="E20" s="277"/>
      <c r="F20" s="710"/>
      <c r="G20" s="279"/>
      <c r="H20" s="295"/>
      <c r="I20" s="300"/>
      <c r="J20" s="278"/>
      <c r="K20" s="278"/>
      <c r="L20" s="278"/>
      <c r="M20" s="389"/>
      <c r="N20" s="280"/>
      <c r="O20" s="280"/>
      <c r="P20" s="280"/>
      <c r="Q20" s="280"/>
      <c r="R20" s="392"/>
      <c r="S20" s="293">
        <f t="shared" si="0"/>
        <v>0</v>
      </c>
      <c r="T20" s="294">
        <f t="shared" si="1"/>
        <v>0</v>
      </c>
      <c r="U20" s="294" t="e">
        <f t="shared" si="4"/>
        <v>#DIV/0!</v>
      </c>
      <c r="V20" s="283"/>
      <c r="W20" s="295"/>
      <c r="X20" s="268"/>
      <c r="Y20" s="295"/>
      <c r="Z20" s="278"/>
      <c r="AA20" s="362"/>
      <c r="AB20" s="295"/>
      <c r="AC20" s="295"/>
      <c r="AD20" s="295"/>
      <c r="AE20" s="295"/>
      <c r="AF20" s="295"/>
      <c r="AG20" s="295"/>
      <c r="AH20" s="295"/>
      <c r="AI20" s="520"/>
      <c r="AJ20" s="360">
        <f t="shared" si="3"/>
        <v>0</v>
      </c>
      <c r="AK20" s="296"/>
      <c r="AL20" s="288"/>
      <c r="AM20" s="296"/>
      <c r="AN20" s="302"/>
      <c r="AO20" s="302"/>
      <c r="AP20" s="302"/>
      <c r="AQ20" s="303"/>
      <c r="AR20" s="289">
        <f t="shared" si="2"/>
        <v>0</v>
      </c>
      <c r="AS20" s="297">
        <f t="shared" si="7"/>
        <v>0</v>
      </c>
      <c r="AT20" s="372">
        <f t="shared" si="5"/>
        <v>43250.94</v>
      </c>
    </row>
    <row r="21" spans="1:46" ht="14.25">
      <c r="A21" s="707">
        <v>43872</v>
      </c>
      <c r="B21" s="304"/>
      <c r="C21" s="292">
        <f t="shared" si="6"/>
        <v>43250.94</v>
      </c>
      <c r="D21" s="299"/>
      <c r="E21" s="277"/>
      <c r="F21" s="710"/>
      <c r="G21" s="279"/>
      <c r="H21" s="295"/>
      <c r="I21" s="300"/>
      <c r="J21" s="278"/>
      <c r="K21" s="278"/>
      <c r="L21" s="390"/>
      <c r="M21" s="389"/>
      <c r="N21" s="389"/>
      <c r="O21" s="280"/>
      <c r="P21" s="280"/>
      <c r="Q21" s="280"/>
      <c r="R21" s="280"/>
      <c r="S21" s="293">
        <f t="shared" si="0"/>
        <v>0</v>
      </c>
      <c r="T21" s="294">
        <f t="shared" si="1"/>
        <v>0</v>
      </c>
      <c r="U21" s="294" t="e">
        <f t="shared" si="4"/>
        <v>#DIV/0!</v>
      </c>
      <c r="V21" s="283"/>
      <c r="W21" s="295"/>
      <c r="X21" s="268"/>
      <c r="Y21" s="295"/>
      <c r="Z21" s="278"/>
      <c r="AA21" s="362"/>
      <c r="AB21" s="295"/>
      <c r="AC21" s="295"/>
      <c r="AD21" s="295"/>
      <c r="AE21" s="295"/>
      <c r="AF21" s="295"/>
      <c r="AG21" s="295"/>
      <c r="AH21" s="295"/>
      <c r="AI21" s="520"/>
      <c r="AJ21" s="360">
        <f t="shared" si="3"/>
        <v>0</v>
      </c>
      <c r="AK21" s="287"/>
      <c r="AL21" s="288"/>
      <c r="AM21" s="296"/>
      <c r="AN21" s="302"/>
      <c r="AO21" s="302"/>
      <c r="AP21" s="302"/>
      <c r="AQ21" s="303"/>
      <c r="AR21" s="289">
        <f>SUM(AJ21+S21)</f>
        <v>0</v>
      </c>
      <c r="AS21" s="297">
        <f t="shared" si="7"/>
        <v>0</v>
      </c>
      <c r="AT21" s="372">
        <f t="shared" si="5"/>
        <v>43250.94</v>
      </c>
    </row>
    <row r="22" spans="1:46" ht="14.25">
      <c r="A22" s="707">
        <v>43873</v>
      </c>
      <c r="B22" s="304"/>
      <c r="C22" s="292">
        <f t="shared" si="6"/>
        <v>43250.94</v>
      </c>
      <c r="D22" s="299"/>
      <c r="E22" s="277"/>
      <c r="F22" s="710"/>
      <c r="G22" s="279"/>
      <c r="H22" s="278"/>
      <c r="I22" s="300"/>
      <c r="J22" s="278"/>
      <c r="K22" s="278"/>
      <c r="L22" s="390"/>
      <c r="M22" s="389"/>
      <c r="N22" s="389"/>
      <c r="O22" s="280"/>
      <c r="P22" s="280"/>
      <c r="Q22" s="280"/>
      <c r="R22" s="280"/>
      <c r="S22" s="293">
        <f t="shared" si="0"/>
        <v>0</v>
      </c>
      <c r="T22" s="294">
        <f t="shared" si="1"/>
        <v>0</v>
      </c>
      <c r="U22" s="294" t="e">
        <f t="shared" si="4"/>
        <v>#DIV/0!</v>
      </c>
      <c r="V22" s="283"/>
      <c r="W22" s="295"/>
      <c r="X22" s="268"/>
      <c r="Y22" s="295"/>
      <c r="Z22" s="278"/>
      <c r="AA22" s="362"/>
      <c r="AB22" s="295"/>
      <c r="AC22" s="295"/>
      <c r="AD22" s="295"/>
      <c r="AE22" s="295"/>
      <c r="AF22" s="295"/>
      <c r="AG22" s="295"/>
      <c r="AH22" s="295"/>
      <c r="AI22" s="520"/>
      <c r="AJ22" s="360">
        <f t="shared" si="3"/>
        <v>0</v>
      </c>
      <c r="AK22" s="287"/>
      <c r="AL22" s="288"/>
      <c r="AM22" s="296"/>
      <c r="AN22" s="302"/>
      <c r="AO22" s="302"/>
      <c r="AP22" s="302"/>
      <c r="AQ22" s="303"/>
      <c r="AR22" s="289">
        <f t="shared" si="2"/>
        <v>0</v>
      </c>
      <c r="AS22" s="297">
        <f t="shared" si="7"/>
        <v>0</v>
      </c>
      <c r="AT22" s="372">
        <f t="shared" si="5"/>
        <v>43250.94</v>
      </c>
    </row>
    <row r="23" spans="1:46" ht="14.25">
      <c r="A23" s="707">
        <v>43874</v>
      </c>
      <c r="B23" s="304"/>
      <c r="C23" s="292">
        <f t="shared" si="6"/>
        <v>43250.94</v>
      </c>
      <c r="D23" s="299"/>
      <c r="E23" s="277"/>
      <c r="F23" s="710"/>
      <c r="G23" s="279"/>
      <c r="H23" s="295"/>
      <c r="I23" s="300"/>
      <c r="J23" s="278"/>
      <c r="K23" s="278"/>
      <c r="L23" s="390"/>
      <c r="M23" s="389"/>
      <c r="N23" s="280"/>
      <c r="O23" s="280"/>
      <c r="P23" s="280"/>
      <c r="Q23" s="280"/>
      <c r="R23" s="280"/>
      <c r="S23" s="293">
        <f t="shared" si="0"/>
        <v>0</v>
      </c>
      <c r="T23" s="294">
        <f t="shared" si="1"/>
        <v>0</v>
      </c>
      <c r="U23" s="294" t="e">
        <f t="shared" si="4"/>
        <v>#DIV/0!</v>
      </c>
      <c r="V23" s="283"/>
      <c r="W23" s="295"/>
      <c r="X23" s="268"/>
      <c r="Y23" s="295"/>
      <c r="Z23" s="278"/>
      <c r="AA23" s="362"/>
      <c r="AB23" s="295"/>
      <c r="AC23" s="295"/>
      <c r="AD23" s="295"/>
      <c r="AE23" s="295"/>
      <c r="AF23" s="295"/>
      <c r="AG23" s="295"/>
      <c r="AH23" s="295"/>
      <c r="AI23" s="520"/>
      <c r="AJ23" s="360">
        <f t="shared" si="3"/>
        <v>0</v>
      </c>
      <c r="AK23" s="287"/>
      <c r="AL23" s="287"/>
      <c r="AM23" s="287"/>
      <c r="AN23" s="287"/>
      <c r="AO23" s="287"/>
      <c r="AP23" s="287"/>
      <c r="AQ23" s="287"/>
      <c r="AR23" s="289">
        <f t="shared" si="2"/>
        <v>0</v>
      </c>
      <c r="AS23" s="297">
        <f t="shared" si="7"/>
        <v>0</v>
      </c>
      <c r="AT23" s="372">
        <f t="shared" si="5"/>
        <v>43250.94</v>
      </c>
    </row>
    <row r="24" spans="1:46" ht="14.25">
      <c r="A24" s="707">
        <v>43875</v>
      </c>
      <c r="B24" s="304"/>
      <c r="C24" s="292">
        <f t="shared" si="6"/>
        <v>43250.94</v>
      </c>
      <c r="D24" s="299"/>
      <c r="E24" s="277"/>
      <c r="F24" s="710"/>
      <c r="G24" s="279"/>
      <c r="H24" s="295"/>
      <c r="I24" s="300"/>
      <c r="J24" s="278"/>
      <c r="K24" s="278"/>
      <c r="L24" s="390"/>
      <c r="M24" s="389"/>
      <c r="N24" s="389"/>
      <c r="O24" s="280"/>
      <c r="P24" s="280"/>
      <c r="Q24" s="280"/>
      <c r="R24" s="280"/>
      <c r="S24" s="293">
        <f t="shared" si="0"/>
        <v>0</v>
      </c>
      <c r="T24" s="294">
        <f t="shared" si="1"/>
        <v>0</v>
      </c>
      <c r="U24" s="294" t="e">
        <f t="shared" si="4"/>
        <v>#DIV/0!</v>
      </c>
      <c r="V24" s="283"/>
      <c r="W24" s="295"/>
      <c r="X24" s="268"/>
      <c r="Y24" s="295"/>
      <c r="Z24" s="278"/>
      <c r="AA24" s="362"/>
      <c r="AB24" s="295"/>
      <c r="AC24" s="295"/>
      <c r="AD24" s="295"/>
      <c r="AE24" s="295"/>
      <c r="AF24" s="295"/>
      <c r="AG24" s="295"/>
      <c r="AH24" s="295"/>
      <c r="AI24" s="520"/>
      <c r="AJ24" s="360">
        <f t="shared" si="3"/>
        <v>0</v>
      </c>
      <c r="AK24" s="287"/>
      <c r="AL24" s="287"/>
      <c r="AM24" s="287"/>
      <c r="AN24" s="287"/>
      <c r="AO24" s="287"/>
      <c r="AP24" s="287"/>
      <c r="AQ24" s="287"/>
      <c r="AR24" s="289">
        <f t="shared" si="2"/>
        <v>0</v>
      </c>
      <c r="AS24" s="297">
        <f t="shared" si="7"/>
        <v>0</v>
      </c>
      <c r="AT24" s="372">
        <f t="shared" si="5"/>
        <v>43250.94</v>
      </c>
    </row>
    <row r="25" spans="1:46" ht="14.25">
      <c r="A25" s="707">
        <v>43876</v>
      </c>
      <c r="B25" s="304"/>
      <c r="C25" s="292">
        <f t="shared" si="6"/>
        <v>43250.94</v>
      </c>
      <c r="D25" s="299"/>
      <c r="E25" s="277"/>
      <c r="F25" s="710"/>
      <c r="G25" s="279"/>
      <c r="H25" s="295"/>
      <c r="I25" s="300"/>
      <c r="J25" s="278"/>
      <c r="K25" s="278"/>
      <c r="L25" s="390"/>
      <c r="M25" s="389"/>
      <c r="N25" s="280"/>
      <c r="O25" s="280"/>
      <c r="P25" s="280"/>
      <c r="Q25" s="280"/>
      <c r="R25" s="280"/>
      <c r="S25" s="293">
        <f t="shared" si="0"/>
        <v>0</v>
      </c>
      <c r="T25" s="294">
        <f t="shared" si="1"/>
        <v>0</v>
      </c>
      <c r="U25" s="294" t="e">
        <f t="shared" si="4"/>
        <v>#DIV/0!</v>
      </c>
      <c r="V25" s="283"/>
      <c r="W25" s="295"/>
      <c r="X25" s="268"/>
      <c r="Y25" s="295"/>
      <c r="Z25" s="278"/>
      <c r="AA25" s="362"/>
      <c r="AB25" s="295"/>
      <c r="AC25" s="295"/>
      <c r="AD25" s="295"/>
      <c r="AE25" s="295"/>
      <c r="AF25" s="295"/>
      <c r="AG25" s="295"/>
      <c r="AH25" s="295"/>
      <c r="AI25" s="520"/>
      <c r="AJ25" s="360">
        <f t="shared" si="3"/>
        <v>0</v>
      </c>
      <c r="AK25" s="287"/>
      <c r="AL25" s="287"/>
      <c r="AM25" s="287"/>
      <c r="AN25" s="287"/>
      <c r="AO25" s="287"/>
      <c r="AP25" s="287"/>
      <c r="AQ25" s="287"/>
      <c r="AR25" s="289">
        <f t="shared" si="2"/>
        <v>0</v>
      </c>
      <c r="AS25" s="297">
        <f t="shared" si="7"/>
        <v>0</v>
      </c>
      <c r="AT25" s="372">
        <f t="shared" si="5"/>
        <v>43250.94</v>
      </c>
    </row>
    <row r="26" spans="1:46" ht="14.25">
      <c r="A26" s="707">
        <v>43877</v>
      </c>
      <c r="B26" s="304"/>
      <c r="C26" s="292">
        <f t="shared" si="6"/>
        <v>43250.94</v>
      </c>
      <c r="D26" s="299"/>
      <c r="E26" s="277">
        <v>18000</v>
      </c>
      <c r="F26" s="709" t="s">
        <v>312</v>
      </c>
      <c r="G26" s="279"/>
      <c r="H26" s="295"/>
      <c r="I26" s="300"/>
      <c r="J26" s="278"/>
      <c r="K26" s="278"/>
      <c r="L26" s="390"/>
      <c r="M26" s="389"/>
      <c r="N26" s="280"/>
      <c r="O26" s="280"/>
      <c r="P26" s="280"/>
      <c r="Q26" s="280"/>
      <c r="R26" s="280"/>
      <c r="S26" s="293">
        <f t="shared" si="0"/>
        <v>0</v>
      </c>
      <c r="T26" s="294">
        <f t="shared" si="1"/>
        <v>0</v>
      </c>
      <c r="U26" s="294" t="e">
        <f t="shared" si="4"/>
        <v>#DIV/0!</v>
      </c>
      <c r="V26" s="283"/>
      <c r="W26" s="295"/>
      <c r="X26" s="268"/>
      <c r="Y26" s="295"/>
      <c r="Z26" s="295"/>
      <c r="AA26" s="362"/>
      <c r="AB26" s="295"/>
      <c r="AC26" s="295"/>
      <c r="AD26" s="295"/>
      <c r="AE26" s="295"/>
      <c r="AF26" s="295"/>
      <c r="AG26" s="295"/>
      <c r="AH26" s="295"/>
      <c r="AI26" s="520"/>
      <c r="AJ26" s="360">
        <f t="shared" si="3"/>
        <v>0</v>
      </c>
      <c r="AK26" s="287"/>
      <c r="AL26" s="287"/>
      <c r="AM26" s="287"/>
      <c r="AN26" s="287"/>
      <c r="AO26" s="287"/>
      <c r="AP26" s="287"/>
      <c r="AQ26" s="287"/>
      <c r="AR26" s="289">
        <f t="shared" si="2"/>
        <v>0</v>
      </c>
      <c r="AS26" s="297">
        <f t="shared" si="7"/>
        <v>0</v>
      </c>
      <c r="AT26" s="372">
        <f t="shared" si="5"/>
        <v>43250.94</v>
      </c>
    </row>
    <row r="27" spans="1:46" ht="14.25">
      <c r="A27" s="707">
        <v>43878</v>
      </c>
      <c r="B27" s="304"/>
      <c r="C27" s="292">
        <f t="shared" si="6"/>
        <v>43250.94</v>
      </c>
      <c r="D27" s="299"/>
      <c r="E27" s="277"/>
      <c r="F27" s="710"/>
      <c r="G27" s="279"/>
      <c r="H27" s="295"/>
      <c r="I27" s="300"/>
      <c r="J27" s="278"/>
      <c r="K27" s="278"/>
      <c r="L27" s="390"/>
      <c r="M27" s="389"/>
      <c r="N27" s="280"/>
      <c r="O27" s="280"/>
      <c r="P27" s="280"/>
      <c r="Q27" s="280"/>
      <c r="R27" s="280"/>
      <c r="S27" s="293">
        <f t="shared" si="0"/>
        <v>0</v>
      </c>
      <c r="T27" s="294">
        <f t="shared" si="1"/>
        <v>0</v>
      </c>
      <c r="U27" s="294" t="e">
        <f t="shared" si="4"/>
        <v>#DIV/0!</v>
      </c>
      <c r="V27" s="283"/>
      <c r="W27" s="295"/>
      <c r="X27" s="268"/>
      <c r="Y27" s="295"/>
      <c r="Z27" s="278"/>
      <c r="AA27" s="362"/>
      <c r="AB27" s="295"/>
      <c r="AC27" s="295"/>
      <c r="AD27" s="295"/>
      <c r="AE27" s="295"/>
      <c r="AF27" s="295"/>
      <c r="AG27" s="295"/>
      <c r="AH27" s="295"/>
      <c r="AI27" s="520"/>
      <c r="AJ27" s="360">
        <f t="shared" si="3"/>
        <v>0</v>
      </c>
      <c r="AK27" s="287"/>
      <c r="AL27" s="287"/>
      <c r="AM27" s="287"/>
      <c r="AN27" s="287"/>
      <c r="AO27" s="287"/>
      <c r="AP27" s="287"/>
      <c r="AQ27" s="287"/>
      <c r="AR27" s="289">
        <f t="shared" si="2"/>
        <v>0</v>
      </c>
      <c r="AS27" s="297">
        <f t="shared" si="7"/>
        <v>0</v>
      </c>
      <c r="AT27" s="372">
        <f t="shared" si="5"/>
        <v>43250.94</v>
      </c>
    </row>
    <row r="28" spans="1:46" ht="14.25">
      <c r="A28" s="707">
        <v>43879</v>
      </c>
      <c r="B28" s="304"/>
      <c r="C28" s="292">
        <f t="shared" si="6"/>
        <v>43250.94</v>
      </c>
      <c r="D28" s="299"/>
      <c r="E28" s="277"/>
      <c r="F28" s="710"/>
      <c r="G28" s="279"/>
      <c r="H28" s="295"/>
      <c r="I28" s="279"/>
      <c r="J28" s="278"/>
      <c r="K28" s="278"/>
      <c r="L28" s="390"/>
      <c r="M28" s="389"/>
      <c r="N28" s="280"/>
      <c r="O28" s="280"/>
      <c r="P28" s="280"/>
      <c r="Q28" s="280"/>
      <c r="R28" s="280"/>
      <c r="S28" s="293">
        <f t="shared" si="0"/>
        <v>0</v>
      </c>
      <c r="T28" s="294">
        <f t="shared" si="1"/>
        <v>0</v>
      </c>
      <c r="U28" s="294" t="e">
        <f t="shared" si="4"/>
        <v>#DIV/0!</v>
      </c>
      <c r="V28" s="283"/>
      <c r="W28" s="295"/>
      <c r="X28" s="268"/>
      <c r="Y28" s="295"/>
      <c r="Z28" s="278"/>
      <c r="AA28" s="362"/>
      <c r="AB28" s="295"/>
      <c r="AC28" s="295"/>
      <c r="AD28" s="295"/>
      <c r="AE28" s="295"/>
      <c r="AF28" s="295"/>
      <c r="AG28" s="295"/>
      <c r="AH28" s="295"/>
      <c r="AI28" s="520"/>
      <c r="AJ28" s="360">
        <f>SUM(V28:AI28)</f>
        <v>0</v>
      </c>
      <c r="AK28" s="287"/>
      <c r="AL28" s="287"/>
      <c r="AM28" s="287"/>
      <c r="AN28" s="287"/>
      <c r="AO28" s="287"/>
      <c r="AP28" s="287"/>
      <c r="AQ28" s="287"/>
      <c r="AR28" s="289">
        <f t="shared" si="2"/>
        <v>0</v>
      </c>
      <c r="AS28" s="297">
        <f t="shared" si="7"/>
        <v>0</v>
      </c>
      <c r="AT28" s="372">
        <f t="shared" si="5"/>
        <v>43250.94</v>
      </c>
    </row>
    <row r="29" spans="1:46" ht="14.25">
      <c r="A29" s="707">
        <v>43880</v>
      </c>
      <c r="B29" s="304"/>
      <c r="C29" s="292">
        <f t="shared" si="6"/>
        <v>43250.94</v>
      </c>
      <c r="D29" s="299"/>
      <c r="E29" s="277"/>
      <c r="F29" s="710"/>
      <c r="G29" s="279"/>
      <c r="H29" s="295"/>
      <c r="I29" s="279"/>
      <c r="J29" s="278"/>
      <c r="K29" s="278"/>
      <c r="L29" s="390"/>
      <c r="M29" s="389"/>
      <c r="N29" s="280"/>
      <c r="O29" s="280"/>
      <c r="P29" s="280"/>
      <c r="Q29" s="280"/>
      <c r="R29" s="280"/>
      <c r="S29" s="293">
        <f t="shared" si="0"/>
        <v>0</v>
      </c>
      <c r="T29" s="294">
        <f t="shared" si="1"/>
        <v>0</v>
      </c>
      <c r="U29" s="294" t="e">
        <f t="shared" si="4"/>
        <v>#DIV/0!</v>
      </c>
      <c r="V29" s="283"/>
      <c r="W29" s="295"/>
      <c r="X29" s="268"/>
      <c r="Y29" s="295"/>
      <c r="Z29" s="278"/>
      <c r="AA29" s="362"/>
      <c r="AB29" s="295"/>
      <c r="AC29" s="295"/>
      <c r="AD29" s="295"/>
      <c r="AE29" s="295"/>
      <c r="AF29" s="295"/>
      <c r="AG29" s="295"/>
      <c r="AH29" s="295"/>
      <c r="AI29" s="520"/>
      <c r="AJ29" s="360">
        <f t="shared" si="3"/>
        <v>0</v>
      </c>
      <c r="AK29" s="287"/>
      <c r="AL29" s="287"/>
      <c r="AM29" s="287"/>
      <c r="AN29" s="287"/>
      <c r="AO29" s="287"/>
      <c r="AP29" s="287"/>
      <c r="AQ29" s="287"/>
      <c r="AR29" s="289">
        <f t="shared" si="2"/>
        <v>0</v>
      </c>
      <c r="AS29" s="297">
        <f t="shared" si="7"/>
        <v>0</v>
      </c>
      <c r="AT29" s="372">
        <f t="shared" si="5"/>
        <v>43250.94</v>
      </c>
    </row>
    <row r="30" spans="1:46" ht="14.25">
      <c r="A30" s="707">
        <v>43881</v>
      </c>
      <c r="B30" s="304"/>
      <c r="C30" s="292">
        <f t="shared" si="6"/>
        <v>43250.94</v>
      </c>
      <c r="D30" s="299"/>
      <c r="E30" s="277"/>
      <c r="F30" s="710"/>
      <c r="G30" s="279"/>
      <c r="H30" s="295"/>
      <c r="I30" s="279"/>
      <c r="J30" s="278"/>
      <c r="K30" s="278"/>
      <c r="L30" s="390"/>
      <c r="M30" s="389"/>
      <c r="N30" s="280"/>
      <c r="O30" s="280"/>
      <c r="P30" s="280"/>
      <c r="Q30" s="280"/>
      <c r="R30" s="280"/>
      <c r="S30" s="293">
        <f t="shared" si="0"/>
        <v>0</v>
      </c>
      <c r="T30" s="294">
        <f t="shared" si="1"/>
        <v>0</v>
      </c>
      <c r="U30" s="294" t="e">
        <f t="shared" si="4"/>
        <v>#DIV/0!</v>
      </c>
      <c r="V30" s="283"/>
      <c r="W30" s="295"/>
      <c r="X30" s="268"/>
      <c r="Y30" s="295"/>
      <c r="Z30" s="278"/>
      <c r="AA30" s="362"/>
      <c r="AB30" s="295"/>
      <c r="AC30" s="295"/>
      <c r="AD30" s="295"/>
      <c r="AE30" s="295"/>
      <c r="AF30" s="295"/>
      <c r="AG30" s="295"/>
      <c r="AH30" s="295"/>
      <c r="AI30" s="520"/>
      <c r="AJ30" s="360">
        <f t="shared" si="3"/>
        <v>0</v>
      </c>
      <c r="AK30" s="287"/>
      <c r="AL30" s="287"/>
      <c r="AM30" s="287"/>
      <c r="AN30" s="287"/>
      <c r="AO30" s="287"/>
      <c r="AP30" s="287"/>
      <c r="AQ30" s="287"/>
      <c r="AR30" s="289">
        <f t="shared" si="2"/>
        <v>0</v>
      </c>
      <c r="AS30" s="297">
        <f t="shared" si="7"/>
        <v>0</v>
      </c>
      <c r="AT30" s="372">
        <f t="shared" si="5"/>
        <v>43250.94</v>
      </c>
    </row>
    <row r="31" spans="1:46" ht="14.25">
      <c r="A31" s="707">
        <v>43882</v>
      </c>
      <c r="B31" s="304"/>
      <c r="C31" s="292">
        <f t="shared" si="6"/>
        <v>43250.94</v>
      </c>
      <c r="D31" s="299"/>
      <c r="E31" s="277"/>
      <c r="F31" s="706"/>
      <c r="G31" s="279"/>
      <c r="H31" s="295"/>
      <c r="I31" s="279"/>
      <c r="J31" s="278"/>
      <c r="K31" s="278"/>
      <c r="L31" s="390"/>
      <c r="M31" s="389"/>
      <c r="N31" s="280"/>
      <c r="O31" s="280"/>
      <c r="P31" s="280"/>
      <c r="Q31" s="280"/>
      <c r="R31" s="280"/>
      <c r="S31" s="293">
        <f t="shared" si="0"/>
        <v>0</v>
      </c>
      <c r="T31" s="294">
        <f t="shared" si="1"/>
        <v>0</v>
      </c>
      <c r="U31" s="294" t="e">
        <f t="shared" si="4"/>
        <v>#DIV/0!</v>
      </c>
      <c r="V31" s="283"/>
      <c r="W31" s="295"/>
      <c r="X31" s="268"/>
      <c r="Y31" s="295"/>
      <c r="Z31" s="278"/>
      <c r="AA31" s="362"/>
      <c r="AB31" s="295"/>
      <c r="AC31" s="295"/>
      <c r="AD31" s="295"/>
      <c r="AE31" s="295"/>
      <c r="AF31" s="295"/>
      <c r="AG31" s="295"/>
      <c r="AH31" s="295"/>
      <c r="AI31" s="520"/>
      <c r="AJ31" s="360">
        <f t="shared" si="3"/>
        <v>0</v>
      </c>
      <c r="AK31" s="287"/>
      <c r="AL31" s="287"/>
      <c r="AM31" s="287"/>
      <c r="AN31" s="287"/>
      <c r="AO31" s="287"/>
      <c r="AP31" s="287"/>
      <c r="AQ31" s="287"/>
      <c r="AR31" s="289">
        <f t="shared" si="2"/>
        <v>0</v>
      </c>
      <c r="AS31" s="297">
        <f t="shared" si="7"/>
        <v>0</v>
      </c>
      <c r="AT31" s="372">
        <f t="shared" si="5"/>
        <v>43250.94</v>
      </c>
    </row>
    <row r="32" spans="1:46" ht="14.25">
      <c r="A32" s="707">
        <v>43883</v>
      </c>
      <c r="B32" s="304"/>
      <c r="C32" s="292">
        <f t="shared" si="6"/>
        <v>43250.94</v>
      </c>
      <c r="D32" s="299"/>
      <c r="E32" s="277"/>
      <c r="F32" s="710"/>
      <c r="G32" s="279"/>
      <c r="H32" s="295"/>
      <c r="I32" s="279"/>
      <c r="J32" s="278"/>
      <c r="K32" s="278"/>
      <c r="L32" s="390"/>
      <c r="M32" s="389"/>
      <c r="N32" s="280"/>
      <c r="O32" s="280"/>
      <c r="P32" s="280"/>
      <c r="Q32" s="280"/>
      <c r="R32" s="280"/>
      <c r="S32" s="293">
        <f t="shared" si="0"/>
        <v>0</v>
      </c>
      <c r="T32" s="294">
        <f t="shared" si="1"/>
        <v>0</v>
      </c>
      <c r="U32" s="294" t="e">
        <f t="shared" si="4"/>
        <v>#DIV/0!</v>
      </c>
      <c r="V32" s="283"/>
      <c r="W32" s="295"/>
      <c r="X32" s="268"/>
      <c r="Y32" s="295"/>
      <c r="Z32" s="278"/>
      <c r="AA32" s="362"/>
      <c r="AB32" s="295"/>
      <c r="AC32" s="295"/>
      <c r="AD32" s="295"/>
      <c r="AE32" s="295"/>
      <c r="AF32" s="295"/>
      <c r="AG32" s="295"/>
      <c r="AH32" s="295"/>
      <c r="AI32" s="520"/>
      <c r="AJ32" s="360">
        <f t="shared" si="3"/>
        <v>0</v>
      </c>
      <c r="AK32" s="287"/>
      <c r="AL32" s="287"/>
      <c r="AM32" s="287"/>
      <c r="AN32" s="287"/>
      <c r="AO32" s="287"/>
      <c r="AP32" s="287"/>
      <c r="AQ32" s="287"/>
      <c r="AR32" s="289">
        <f t="shared" si="2"/>
        <v>0</v>
      </c>
      <c r="AS32" s="297">
        <f t="shared" si="7"/>
        <v>0</v>
      </c>
      <c r="AT32" s="372">
        <f t="shared" si="5"/>
        <v>43250.94</v>
      </c>
    </row>
    <row r="33" spans="1:47" ht="14.25">
      <c r="A33" s="707">
        <v>43884</v>
      </c>
      <c r="B33" s="304"/>
      <c r="C33" s="292">
        <f t="shared" si="6"/>
        <v>43250.94</v>
      </c>
      <c r="D33" s="299"/>
      <c r="E33" s="277"/>
      <c r="F33" s="706"/>
      <c r="G33" s="279"/>
      <c r="H33" s="295"/>
      <c r="I33" s="279"/>
      <c r="J33" s="278"/>
      <c r="K33" s="278"/>
      <c r="L33" s="390"/>
      <c r="M33" s="389"/>
      <c r="N33" s="280"/>
      <c r="O33" s="280"/>
      <c r="P33" s="280"/>
      <c r="Q33" s="280"/>
      <c r="R33" s="280"/>
      <c r="S33" s="293">
        <f t="shared" si="0"/>
        <v>0</v>
      </c>
      <c r="T33" s="294">
        <f t="shared" si="1"/>
        <v>0</v>
      </c>
      <c r="U33" s="294" t="e">
        <f t="shared" si="4"/>
        <v>#DIV/0!</v>
      </c>
      <c r="V33" s="283"/>
      <c r="W33" s="295"/>
      <c r="X33" s="268"/>
      <c r="Y33" s="295"/>
      <c r="Z33" s="278"/>
      <c r="AA33" s="362"/>
      <c r="AB33" s="295"/>
      <c r="AC33" s="295"/>
      <c r="AD33" s="295"/>
      <c r="AE33" s="295"/>
      <c r="AF33" s="295"/>
      <c r="AG33" s="295"/>
      <c r="AH33" s="295"/>
      <c r="AI33" s="520"/>
      <c r="AJ33" s="360">
        <f t="shared" si="3"/>
        <v>0</v>
      </c>
      <c r="AK33" s="287"/>
      <c r="AL33" s="287"/>
      <c r="AM33" s="287"/>
      <c r="AN33" s="287"/>
      <c r="AO33" s="287"/>
      <c r="AP33" s="287"/>
      <c r="AQ33" s="287"/>
      <c r="AR33" s="289">
        <f t="shared" si="2"/>
        <v>0</v>
      </c>
      <c r="AS33" s="297">
        <f t="shared" si="7"/>
        <v>0</v>
      </c>
      <c r="AT33" s="372">
        <f t="shared" si="5"/>
        <v>43250.94</v>
      </c>
      <c r="AU33" s="246">
        <f t="shared" ref="AU33:AU41" si="8">SUM(AU32)</f>
        <v>0</v>
      </c>
    </row>
    <row r="34" spans="1:47" ht="14.25">
      <c r="A34" s="707">
        <v>43885</v>
      </c>
      <c r="B34" s="304"/>
      <c r="C34" s="292">
        <f t="shared" si="6"/>
        <v>43250.94</v>
      </c>
      <c r="D34" s="299"/>
      <c r="E34" s="277"/>
      <c r="F34" s="706"/>
      <c r="G34" s="279"/>
      <c r="H34" s="295"/>
      <c r="I34" s="279"/>
      <c r="J34" s="278"/>
      <c r="K34" s="278"/>
      <c r="L34" s="390"/>
      <c r="M34" s="389"/>
      <c r="N34" s="280"/>
      <c r="O34" s="280"/>
      <c r="P34" s="280"/>
      <c r="Q34" s="280"/>
      <c r="R34" s="280"/>
      <c r="S34" s="293">
        <f t="shared" si="0"/>
        <v>0</v>
      </c>
      <c r="T34" s="294">
        <f t="shared" si="1"/>
        <v>0</v>
      </c>
      <c r="U34" s="294" t="e">
        <f t="shared" si="4"/>
        <v>#DIV/0!</v>
      </c>
      <c r="V34" s="283"/>
      <c r="W34" s="295"/>
      <c r="X34" s="268"/>
      <c r="Y34" s="295"/>
      <c r="Z34" s="278"/>
      <c r="AA34" s="362"/>
      <c r="AB34" s="295"/>
      <c r="AC34" s="295"/>
      <c r="AD34" s="295"/>
      <c r="AE34" s="295"/>
      <c r="AF34" s="295"/>
      <c r="AG34" s="295"/>
      <c r="AH34" s="295"/>
      <c r="AI34" s="520"/>
      <c r="AJ34" s="360">
        <f t="shared" si="3"/>
        <v>0</v>
      </c>
      <c r="AK34" s="287"/>
      <c r="AL34" s="287"/>
      <c r="AM34" s="287"/>
      <c r="AN34" s="287"/>
      <c r="AO34" s="287"/>
      <c r="AP34" s="287"/>
      <c r="AQ34" s="287"/>
      <c r="AR34" s="289">
        <f t="shared" si="2"/>
        <v>0</v>
      </c>
      <c r="AS34" s="297">
        <f t="shared" si="7"/>
        <v>0</v>
      </c>
      <c r="AT34" s="372">
        <f t="shared" si="5"/>
        <v>43250.94</v>
      </c>
      <c r="AU34" s="246">
        <f t="shared" si="8"/>
        <v>0</v>
      </c>
    </row>
    <row r="35" spans="1:47" ht="14.25">
      <c r="A35" s="707">
        <v>43886</v>
      </c>
      <c r="B35" s="304"/>
      <c r="C35" s="292">
        <f t="shared" si="6"/>
        <v>43250.94</v>
      </c>
      <c r="D35" s="299"/>
      <c r="E35" s="277">
        <v>15000</v>
      </c>
      <c r="F35" s="711" t="s">
        <v>311</v>
      </c>
      <c r="G35" s="279"/>
      <c r="H35" s="295"/>
      <c r="I35" s="279"/>
      <c r="J35" s="278"/>
      <c r="K35" s="278"/>
      <c r="L35" s="390"/>
      <c r="M35" s="389"/>
      <c r="N35" s="280"/>
      <c r="O35" s="280"/>
      <c r="P35" s="280"/>
      <c r="Q35" s="280"/>
      <c r="R35" s="280"/>
      <c r="S35" s="293">
        <f t="shared" si="0"/>
        <v>0</v>
      </c>
      <c r="T35" s="294">
        <f t="shared" si="1"/>
        <v>0</v>
      </c>
      <c r="U35" s="294" t="e">
        <f t="shared" si="4"/>
        <v>#DIV/0!</v>
      </c>
      <c r="V35" s="283"/>
      <c r="W35" s="295"/>
      <c r="X35" s="268"/>
      <c r="Y35" s="295"/>
      <c r="Z35" s="278"/>
      <c r="AA35" s="362"/>
      <c r="AB35" s="295"/>
      <c r="AC35" s="295"/>
      <c r="AD35" s="295"/>
      <c r="AE35" s="295"/>
      <c r="AF35" s="295"/>
      <c r="AG35" s="295"/>
      <c r="AH35" s="295"/>
      <c r="AI35" s="520"/>
      <c r="AJ35" s="360">
        <f t="shared" si="3"/>
        <v>0</v>
      </c>
      <c r="AK35" s="287"/>
      <c r="AL35" s="287"/>
      <c r="AM35" s="287"/>
      <c r="AN35" s="287"/>
      <c r="AO35" s="287"/>
      <c r="AP35" s="287"/>
      <c r="AQ35" s="287"/>
      <c r="AR35" s="289">
        <f t="shared" si="2"/>
        <v>0</v>
      </c>
      <c r="AS35" s="297">
        <f t="shared" si="7"/>
        <v>0</v>
      </c>
      <c r="AT35" s="372">
        <f t="shared" si="5"/>
        <v>43250.94</v>
      </c>
      <c r="AU35" s="246">
        <f t="shared" si="8"/>
        <v>0</v>
      </c>
    </row>
    <row r="36" spans="1:47" ht="14.25">
      <c r="A36" s="707">
        <v>43887</v>
      </c>
      <c r="B36" s="304"/>
      <c r="C36" s="292">
        <f t="shared" si="6"/>
        <v>43250.94</v>
      </c>
      <c r="D36" s="299"/>
      <c r="E36" s="277"/>
      <c r="F36" s="706"/>
      <c r="G36" s="279"/>
      <c r="H36" s="295"/>
      <c r="I36" s="279"/>
      <c r="J36" s="278"/>
      <c r="K36" s="278"/>
      <c r="L36" s="390"/>
      <c r="M36" s="389"/>
      <c r="N36" s="280"/>
      <c r="O36" s="280"/>
      <c r="P36" s="280"/>
      <c r="Q36" s="280"/>
      <c r="R36" s="280"/>
      <c r="S36" s="293">
        <f t="shared" si="0"/>
        <v>0</v>
      </c>
      <c r="T36" s="294">
        <f t="shared" si="1"/>
        <v>0</v>
      </c>
      <c r="U36" s="294" t="e">
        <f t="shared" si="4"/>
        <v>#DIV/0!</v>
      </c>
      <c r="V36" s="283"/>
      <c r="W36" s="295"/>
      <c r="X36" s="268"/>
      <c r="Y36" s="295"/>
      <c r="Z36" s="278"/>
      <c r="AA36" s="362"/>
      <c r="AB36" s="295"/>
      <c r="AC36" s="295"/>
      <c r="AD36" s="295"/>
      <c r="AE36" s="295"/>
      <c r="AF36" s="295"/>
      <c r="AG36" s="295"/>
      <c r="AH36" s="295"/>
      <c r="AI36" s="520"/>
      <c r="AJ36" s="360">
        <f t="shared" si="3"/>
        <v>0</v>
      </c>
      <c r="AK36" s="287"/>
      <c r="AL36" s="287"/>
      <c r="AM36" s="287"/>
      <c r="AN36" s="287"/>
      <c r="AO36" s="287"/>
      <c r="AP36" s="287"/>
      <c r="AQ36" s="287"/>
      <c r="AR36" s="289">
        <f t="shared" si="2"/>
        <v>0</v>
      </c>
      <c r="AS36" s="297">
        <f t="shared" si="7"/>
        <v>0</v>
      </c>
      <c r="AT36" s="372">
        <f t="shared" si="5"/>
        <v>43250.94</v>
      </c>
      <c r="AU36" s="246">
        <f t="shared" si="8"/>
        <v>0</v>
      </c>
    </row>
    <row r="37" spans="1:47" ht="14.25">
      <c r="A37" s="707">
        <v>43888</v>
      </c>
      <c r="B37" s="304"/>
      <c r="C37" s="292">
        <f t="shared" si="6"/>
        <v>43250.94</v>
      </c>
      <c r="D37" s="299"/>
      <c r="E37" s="277"/>
      <c r="F37" s="706"/>
      <c r="G37" s="279"/>
      <c r="H37" s="295"/>
      <c r="I37" s="279"/>
      <c r="J37" s="278"/>
      <c r="K37" s="278"/>
      <c r="L37" s="390"/>
      <c r="M37" s="389"/>
      <c r="N37" s="280"/>
      <c r="O37" s="280"/>
      <c r="P37" s="280"/>
      <c r="Q37" s="280"/>
      <c r="R37" s="280"/>
      <c r="S37" s="293">
        <f t="shared" si="0"/>
        <v>0</v>
      </c>
      <c r="T37" s="294">
        <f t="shared" si="1"/>
        <v>0</v>
      </c>
      <c r="U37" s="294" t="e">
        <f t="shared" si="4"/>
        <v>#DIV/0!</v>
      </c>
      <c r="V37" s="283"/>
      <c r="W37" s="295"/>
      <c r="X37" s="268"/>
      <c r="Y37" s="295"/>
      <c r="Z37" s="278"/>
      <c r="AA37" s="362"/>
      <c r="AB37" s="295"/>
      <c r="AC37" s="295"/>
      <c r="AD37" s="295"/>
      <c r="AE37" s="295"/>
      <c r="AF37" s="295"/>
      <c r="AG37" s="596"/>
      <c r="AH37" s="295"/>
      <c r="AI37" s="520"/>
      <c r="AJ37" s="360">
        <f t="shared" si="3"/>
        <v>0</v>
      </c>
      <c r="AK37" s="287"/>
      <c r="AL37" s="287"/>
      <c r="AM37" s="287"/>
      <c r="AN37" s="287"/>
      <c r="AO37" s="287"/>
      <c r="AP37" s="287"/>
      <c r="AQ37" s="287"/>
      <c r="AR37" s="289">
        <f t="shared" si="2"/>
        <v>0</v>
      </c>
      <c r="AS37" s="297">
        <f t="shared" si="7"/>
        <v>0</v>
      </c>
      <c r="AT37" s="372">
        <f t="shared" si="5"/>
        <v>43250.94</v>
      </c>
      <c r="AU37" s="246">
        <f t="shared" si="8"/>
        <v>0</v>
      </c>
    </row>
    <row r="38" spans="1:47" ht="14.25">
      <c r="A38" s="707">
        <v>43889</v>
      </c>
      <c r="B38" s="304"/>
      <c r="C38" s="292">
        <f t="shared" si="6"/>
        <v>43250.94</v>
      </c>
      <c r="D38" s="299"/>
      <c r="E38" s="277"/>
      <c r="F38" s="706"/>
      <c r="G38" s="279"/>
      <c r="H38" s="295"/>
      <c r="I38" s="279"/>
      <c r="J38" s="278"/>
      <c r="K38" s="278"/>
      <c r="L38" s="390"/>
      <c r="M38" s="389"/>
      <c r="N38" s="280"/>
      <c r="O38" s="280"/>
      <c r="P38" s="280"/>
      <c r="Q38" s="280"/>
      <c r="R38" s="280"/>
      <c r="S38" s="293">
        <f t="shared" si="0"/>
        <v>0</v>
      </c>
      <c r="T38" s="294">
        <f t="shared" si="1"/>
        <v>0</v>
      </c>
      <c r="U38" s="294" t="e">
        <f t="shared" si="4"/>
        <v>#DIV/0!</v>
      </c>
      <c r="V38" s="283"/>
      <c r="W38" s="295"/>
      <c r="X38" s="268"/>
      <c r="Y38" s="295"/>
      <c r="Z38" s="278"/>
      <c r="AA38" s="362"/>
      <c r="AB38" s="295"/>
      <c r="AC38" s="295"/>
      <c r="AD38" s="295"/>
      <c r="AE38" s="295"/>
      <c r="AF38" s="295"/>
      <c r="AG38" s="596"/>
      <c r="AH38" s="295"/>
      <c r="AI38" s="520"/>
      <c r="AJ38" s="360">
        <f t="shared" si="3"/>
        <v>0</v>
      </c>
      <c r="AK38" s="287"/>
      <c r="AL38" s="287"/>
      <c r="AM38" s="287"/>
      <c r="AN38" s="287"/>
      <c r="AO38" s="287"/>
      <c r="AP38" s="287"/>
      <c r="AQ38" s="287"/>
      <c r="AR38" s="289">
        <f t="shared" si="2"/>
        <v>0</v>
      </c>
      <c r="AS38" s="297">
        <f t="shared" si="7"/>
        <v>0</v>
      </c>
      <c r="AT38" s="372">
        <f t="shared" si="5"/>
        <v>43250.94</v>
      </c>
      <c r="AU38" s="246">
        <f t="shared" si="8"/>
        <v>0</v>
      </c>
    </row>
    <row r="39" spans="1:47" ht="14.25">
      <c r="A39" s="707">
        <v>43890</v>
      </c>
      <c r="B39" s="304"/>
      <c r="C39" s="292">
        <f t="shared" si="6"/>
        <v>43250.94</v>
      </c>
      <c r="D39" s="299"/>
      <c r="E39" s="277"/>
      <c r="F39" s="710"/>
      <c r="G39" s="279"/>
      <c r="H39" s="295"/>
      <c r="I39" s="305"/>
      <c r="J39" s="278"/>
      <c r="K39" s="278"/>
      <c r="L39" s="390"/>
      <c r="M39" s="389"/>
      <c r="N39" s="280"/>
      <c r="O39" s="306"/>
      <c r="P39" s="280"/>
      <c r="Q39" s="280"/>
      <c r="R39" s="280"/>
      <c r="S39" s="293">
        <f t="shared" si="0"/>
        <v>0</v>
      </c>
      <c r="T39" s="294">
        <f t="shared" si="1"/>
        <v>0</v>
      </c>
      <c r="U39" s="294" t="e">
        <f t="shared" si="4"/>
        <v>#DIV/0!</v>
      </c>
      <c r="V39" s="283"/>
      <c r="W39" s="295"/>
      <c r="X39" s="268"/>
      <c r="Y39" s="295"/>
      <c r="Z39" s="278"/>
      <c r="AA39" s="362"/>
      <c r="AB39" s="295"/>
      <c r="AC39" s="295"/>
      <c r="AD39" s="295"/>
      <c r="AE39" s="295"/>
      <c r="AF39" s="295"/>
      <c r="AG39" s="596"/>
      <c r="AH39" s="295"/>
      <c r="AI39" s="520"/>
      <c r="AJ39" s="360">
        <f t="shared" si="3"/>
        <v>0</v>
      </c>
      <c r="AK39" s="287"/>
      <c r="AL39" s="287"/>
      <c r="AM39" s="287"/>
      <c r="AN39" s="287"/>
      <c r="AO39" s="287"/>
      <c r="AP39" s="287"/>
      <c r="AQ39" s="287"/>
      <c r="AR39" s="289">
        <f t="shared" si="2"/>
        <v>0</v>
      </c>
      <c r="AS39" s="297">
        <f t="shared" si="7"/>
        <v>0</v>
      </c>
      <c r="AT39" s="372">
        <f t="shared" si="5"/>
        <v>43250.94</v>
      </c>
      <c r="AU39" s="246">
        <f t="shared" si="8"/>
        <v>0</v>
      </c>
    </row>
    <row r="40" spans="1:47" ht="14.25">
      <c r="A40" s="707">
        <v>43891</v>
      </c>
      <c r="B40" s="304"/>
      <c r="C40" s="292">
        <f t="shared" si="6"/>
        <v>43250.94</v>
      </c>
      <c r="D40" s="299"/>
      <c r="E40" s="277"/>
      <c r="F40" s="710"/>
      <c r="G40" s="279"/>
      <c r="H40" s="295"/>
      <c r="I40" s="279"/>
      <c r="J40" s="278"/>
      <c r="K40" s="278"/>
      <c r="L40" s="390"/>
      <c r="M40" s="389"/>
      <c r="N40" s="280"/>
      <c r="O40" s="280"/>
      <c r="P40" s="280"/>
      <c r="Q40" s="280"/>
      <c r="R40" s="280"/>
      <c r="S40" s="293">
        <f t="shared" si="0"/>
        <v>0</v>
      </c>
      <c r="T40" s="294">
        <f t="shared" si="1"/>
        <v>0</v>
      </c>
      <c r="U40" s="294" t="e">
        <f t="shared" si="4"/>
        <v>#DIV/0!</v>
      </c>
      <c r="V40" s="283"/>
      <c r="W40" s="295"/>
      <c r="X40" s="268"/>
      <c r="Y40" s="295"/>
      <c r="Z40" s="278"/>
      <c r="AA40" s="362"/>
      <c r="AB40" s="295"/>
      <c r="AC40" s="295"/>
      <c r="AD40" s="295"/>
      <c r="AE40" s="295"/>
      <c r="AF40" s="295"/>
      <c r="AG40" s="596"/>
      <c r="AH40" s="295"/>
      <c r="AI40" s="520"/>
      <c r="AJ40" s="360">
        <f t="shared" si="3"/>
        <v>0</v>
      </c>
      <c r="AK40" s="287"/>
      <c r="AL40" s="287"/>
      <c r="AM40" s="287"/>
      <c r="AN40" s="287"/>
      <c r="AO40" s="287"/>
      <c r="AP40" s="287"/>
      <c r="AQ40" s="287"/>
      <c r="AR40" s="289">
        <f t="shared" si="2"/>
        <v>0</v>
      </c>
      <c r="AS40" s="297">
        <f t="shared" si="7"/>
        <v>0</v>
      </c>
      <c r="AT40" s="372">
        <f t="shared" si="5"/>
        <v>43250.94</v>
      </c>
      <c r="AU40" s="246">
        <f t="shared" si="8"/>
        <v>0</v>
      </c>
    </row>
    <row r="41" spans="1:47" ht="14.25">
      <c r="A41" s="707">
        <v>43892</v>
      </c>
      <c r="B41" s="304"/>
      <c r="C41" s="292">
        <f t="shared" si="6"/>
        <v>43250.94</v>
      </c>
      <c r="D41" s="299"/>
      <c r="E41" s="277"/>
      <c r="F41" s="706"/>
      <c r="G41" s="279"/>
      <c r="H41" s="278"/>
      <c r="I41" s="278"/>
      <c r="J41" s="278"/>
      <c r="K41" s="278"/>
      <c r="L41" s="390"/>
      <c r="M41" s="389"/>
      <c r="N41" s="280"/>
      <c r="O41" s="280"/>
      <c r="P41" s="280"/>
      <c r="Q41" s="280"/>
      <c r="R41" s="280"/>
      <c r="S41" s="293">
        <f t="shared" si="0"/>
        <v>0</v>
      </c>
      <c r="T41" s="294">
        <f t="shared" si="1"/>
        <v>0</v>
      </c>
      <c r="U41" s="294" t="e">
        <f t="shared" si="4"/>
        <v>#DIV/0!</v>
      </c>
      <c r="V41" s="283"/>
      <c r="W41" s="295"/>
      <c r="X41" s="268"/>
      <c r="Y41" s="295"/>
      <c r="Z41" s="278"/>
      <c r="AA41" s="362"/>
      <c r="AB41" s="295"/>
      <c r="AC41" s="295"/>
      <c r="AD41" s="295"/>
      <c r="AE41" s="295"/>
      <c r="AF41" s="295"/>
      <c r="AG41" s="596"/>
      <c r="AH41" s="295"/>
      <c r="AI41" s="520"/>
      <c r="AJ41" s="360">
        <f t="shared" si="3"/>
        <v>0</v>
      </c>
      <c r="AK41" s="287"/>
      <c r="AL41" s="287"/>
      <c r="AM41" s="287"/>
      <c r="AN41" s="287"/>
      <c r="AO41" s="287"/>
      <c r="AP41" s="287"/>
      <c r="AQ41" s="287"/>
      <c r="AR41" s="289">
        <f t="shared" si="2"/>
        <v>0</v>
      </c>
      <c r="AS41" s="297">
        <f t="shared" si="7"/>
        <v>0</v>
      </c>
      <c r="AT41" s="372">
        <f t="shared" si="5"/>
        <v>43250.94</v>
      </c>
      <c r="AU41" s="246">
        <f t="shared" si="8"/>
        <v>0</v>
      </c>
    </row>
    <row r="42" spans="1:47" ht="14.25">
      <c r="A42" s="707">
        <v>43893</v>
      </c>
      <c r="B42" s="696"/>
      <c r="C42" s="292">
        <f t="shared" si="6"/>
        <v>43250.94</v>
      </c>
      <c r="D42" s="276"/>
      <c r="E42" s="277"/>
      <c r="F42" s="706"/>
      <c r="G42" s="279"/>
      <c r="H42" s="278"/>
      <c r="I42" s="278"/>
      <c r="J42" s="278"/>
      <c r="K42" s="278"/>
      <c r="L42" s="390"/>
      <c r="M42" s="389"/>
      <c r="N42" s="280"/>
      <c r="O42" s="280"/>
      <c r="P42" s="280"/>
      <c r="Q42" s="280"/>
      <c r="R42" s="280"/>
      <c r="S42" s="293">
        <f t="shared" si="0"/>
        <v>0</v>
      </c>
      <c r="T42" s="294">
        <f t="shared" si="1"/>
        <v>0</v>
      </c>
      <c r="U42" s="307"/>
      <c r="V42" s="283"/>
      <c r="W42" s="295"/>
      <c r="X42" s="268"/>
      <c r="Y42" s="295"/>
      <c r="Z42" s="278"/>
      <c r="AA42" s="362"/>
      <c r="AB42" s="295"/>
      <c r="AC42" s="282"/>
      <c r="AD42" s="295"/>
      <c r="AE42" s="295"/>
      <c r="AF42" s="295"/>
      <c r="AG42" s="596"/>
      <c r="AH42" s="295"/>
      <c r="AI42" s="520"/>
      <c r="AJ42" s="360">
        <f t="shared" si="3"/>
        <v>0</v>
      </c>
      <c r="AK42" s="308"/>
      <c r="AL42" s="308"/>
      <c r="AM42" s="308"/>
      <c r="AN42" s="308"/>
      <c r="AO42" s="308"/>
      <c r="AP42" s="308"/>
      <c r="AQ42" s="308"/>
      <c r="AR42" s="289">
        <f t="shared" si="2"/>
        <v>0</v>
      </c>
      <c r="AS42" s="297">
        <f t="shared" si="7"/>
        <v>0</v>
      </c>
      <c r="AT42" s="372">
        <f t="shared" si="5"/>
        <v>43250.94</v>
      </c>
    </row>
    <row r="43" spans="1:47" ht="14.25">
      <c r="A43" s="712" t="s">
        <v>25</v>
      </c>
      <c r="B43" s="640">
        <f>AVERAGE(B11:B42)</f>
        <v>0.50914999999999999</v>
      </c>
      <c r="C43" s="309">
        <f t="shared" si="6"/>
        <v>43250.94</v>
      </c>
      <c r="D43" s="276"/>
      <c r="E43" s="276"/>
      <c r="F43" s="706"/>
      <c r="G43" s="695"/>
      <c r="H43" s="278"/>
      <c r="I43" s="278"/>
      <c r="J43" s="278"/>
      <c r="K43" s="278"/>
      <c r="L43" s="390"/>
      <c r="M43" s="389"/>
      <c r="N43" s="280"/>
      <c r="O43" s="280"/>
      <c r="P43" s="280"/>
      <c r="Q43" s="280"/>
      <c r="R43" s="280"/>
      <c r="S43" s="293">
        <f t="shared" si="0"/>
        <v>0</v>
      </c>
      <c r="T43" s="294">
        <f t="shared" si="1"/>
        <v>0</v>
      </c>
      <c r="U43" s="307"/>
      <c r="V43" s="283"/>
      <c r="W43" s="295"/>
      <c r="X43" s="278"/>
      <c r="Y43" s="282"/>
      <c r="Z43" s="282"/>
      <c r="AA43" s="362"/>
      <c r="AB43" s="282"/>
      <c r="AC43" s="313"/>
      <c r="AD43" s="313"/>
      <c r="AE43" s="295"/>
      <c r="AF43" s="295"/>
      <c r="AG43" s="596"/>
      <c r="AH43" s="282"/>
      <c r="AI43" s="520"/>
      <c r="AJ43" s="360">
        <f t="shared" si="3"/>
        <v>0</v>
      </c>
      <c r="AK43" s="310"/>
      <c r="AL43" s="310"/>
      <c r="AM43" s="310"/>
      <c r="AN43" s="310"/>
      <c r="AO43" s="310"/>
      <c r="AP43" s="310"/>
      <c r="AQ43" s="310"/>
      <c r="AR43" s="289">
        <f t="shared" si="2"/>
        <v>0</v>
      </c>
      <c r="AS43" s="297">
        <f t="shared" si="7"/>
        <v>0</v>
      </c>
      <c r="AT43" s="372">
        <f t="shared" si="5"/>
        <v>43250.94</v>
      </c>
    </row>
    <row r="44" spans="1:47" ht="15" thickBot="1">
      <c r="A44" s="713"/>
      <c r="B44" s="714"/>
      <c r="C44" s="404"/>
      <c r="D44" s="405"/>
      <c r="E44" s="405"/>
      <c r="F44" s="715"/>
      <c r="G44" s="701"/>
      <c r="H44" s="264"/>
      <c r="I44" s="264"/>
      <c r="J44" s="264"/>
      <c r="K44" s="264"/>
      <c r="L44" s="391"/>
      <c r="M44" s="388"/>
      <c r="N44" s="265"/>
      <c r="O44" s="280"/>
      <c r="P44" s="280"/>
      <c r="Q44" s="265"/>
      <c r="R44" s="265"/>
      <c r="S44" s="293">
        <f t="shared" si="0"/>
        <v>0</v>
      </c>
      <c r="T44" s="311"/>
      <c r="U44" s="311"/>
      <c r="V44" s="312"/>
      <c r="W44" s="253"/>
      <c r="X44" s="313"/>
      <c r="Y44" s="313"/>
      <c r="Z44" s="313"/>
      <c r="AA44" s="314"/>
      <c r="AB44" s="313"/>
      <c r="AC44" s="313"/>
      <c r="AD44" s="313"/>
      <c r="AE44" s="313"/>
      <c r="AF44" s="313"/>
      <c r="AG44" s="315"/>
      <c r="AH44" s="520"/>
      <c r="AI44" s="520"/>
      <c r="AJ44" s="360">
        <f t="shared" si="3"/>
        <v>0</v>
      </c>
      <c r="AK44" s="406"/>
      <c r="AL44" s="406"/>
      <c r="AM44" s="406"/>
      <c r="AN44" s="406"/>
      <c r="AO44" s="406"/>
      <c r="AP44" s="406"/>
      <c r="AQ44" s="406"/>
      <c r="AR44" s="407">
        <f>S44+AJ44</f>
        <v>0</v>
      </c>
      <c r="AS44" s="408">
        <f t="shared" si="7"/>
        <v>0</v>
      </c>
      <c r="AT44" s="409"/>
    </row>
    <row r="45" spans="1:47" s="318" customFormat="1" ht="13.5" thickBot="1">
      <c r="A45" s="410"/>
      <c r="B45" s="411"/>
      <c r="C45" s="412"/>
      <c r="D45" s="413">
        <f>SUM(D11:D44)</f>
        <v>33000</v>
      </c>
      <c r="E45" s="413">
        <f>SUM(E11:E42)</f>
        <v>66000</v>
      </c>
      <c r="F45" s="415">
        <f t="shared" ref="F45" si="9">SUM(F11:F44)</f>
        <v>0</v>
      </c>
      <c r="G45" s="702">
        <f>SUM(G11:G44)</f>
        <v>3581.0199999999995</v>
      </c>
      <c r="H45" s="537">
        <f t="shared" ref="H45:O45" si="10">SUM(H11:H44)</f>
        <v>4329.0600000000004</v>
      </c>
      <c r="I45" s="537">
        <f t="shared" si="10"/>
        <v>0</v>
      </c>
      <c r="J45" s="537">
        <f t="shared" si="10"/>
        <v>4064.8</v>
      </c>
      <c r="K45" s="537">
        <f>SUM(K11:K44)</f>
        <v>3193.2599999999993</v>
      </c>
      <c r="L45" s="537">
        <f t="shared" si="10"/>
        <v>4341.75</v>
      </c>
      <c r="M45" s="537">
        <f t="shared" si="10"/>
        <v>7546</v>
      </c>
      <c r="N45" s="538">
        <f t="shared" si="10"/>
        <v>11106</v>
      </c>
      <c r="O45" s="413">
        <f t="shared" si="10"/>
        <v>0</v>
      </c>
      <c r="P45" s="414">
        <f>SUM(P11:P43)</f>
        <v>11167</v>
      </c>
      <c r="Q45" s="413">
        <f>SUM(Q11:Q44)</f>
        <v>8948</v>
      </c>
      <c r="R45" s="415">
        <f>SUM(R11:R44)</f>
        <v>9210</v>
      </c>
      <c r="S45" s="657">
        <f t="shared" si="0"/>
        <v>19509.89</v>
      </c>
      <c r="T45" s="403">
        <f>SUM(M45:R45)</f>
        <v>47977</v>
      </c>
      <c r="U45" s="317" t="e">
        <f>SUM(U11:U42)</f>
        <v>#DIV/0!</v>
      </c>
      <c r="V45" s="316">
        <f>SUM(V9:V44)</f>
        <v>0</v>
      </c>
      <c r="W45" s="316">
        <f t="shared" ref="W45:AJ45" si="11">SUM(W9:W44)</f>
        <v>196.47</v>
      </c>
      <c r="X45" s="316">
        <f t="shared" si="11"/>
        <v>147.32999999999998</v>
      </c>
      <c r="Y45" s="316">
        <f t="shared" si="11"/>
        <v>217.37999999999997</v>
      </c>
      <c r="Z45" s="316">
        <f t="shared" si="11"/>
        <v>333.89000000000004</v>
      </c>
      <c r="AA45" s="316">
        <f t="shared" si="11"/>
        <v>0</v>
      </c>
      <c r="AB45" s="316">
        <f t="shared" si="11"/>
        <v>0</v>
      </c>
      <c r="AC45" s="316">
        <f>SUM(AC10:AC44)</f>
        <v>93.16</v>
      </c>
      <c r="AD45" s="316">
        <f>SUM(AD10:AD44)</f>
        <v>0</v>
      </c>
      <c r="AE45" s="316">
        <f t="shared" si="11"/>
        <v>0</v>
      </c>
      <c r="AF45" s="316">
        <f t="shared" si="11"/>
        <v>59.25</v>
      </c>
      <c r="AG45" s="316">
        <f t="shared" si="11"/>
        <v>0</v>
      </c>
      <c r="AH45" s="597">
        <f>SUM(AH9:AH43)</f>
        <v>114</v>
      </c>
      <c r="AI45" s="597">
        <f>SUM(AI9:AI39)</f>
        <v>60</v>
      </c>
      <c r="AJ45" s="316">
        <f t="shared" si="11"/>
        <v>1221.48</v>
      </c>
      <c r="AK45" s="316"/>
      <c r="AL45" s="316"/>
      <c r="AM45" s="316"/>
      <c r="AN45" s="316"/>
      <c r="AO45" s="316"/>
      <c r="AP45" s="316"/>
      <c r="AQ45" s="416"/>
      <c r="AR45" s="417">
        <f>SUM(AR11:AR43)</f>
        <v>20731.37</v>
      </c>
      <c r="AS45" s="418">
        <f>SUM(AS11:AS44)</f>
        <v>0</v>
      </c>
      <c r="AT45" s="419"/>
    </row>
    <row r="46" spans="1:47" ht="14.25" thickBot="1">
      <c r="A46" s="565" t="s">
        <v>68</v>
      </c>
      <c r="W46" s="257"/>
      <c r="X46" s="257"/>
      <c r="Y46" s="257"/>
      <c r="Z46" s="257"/>
      <c r="AA46" s="257"/>
      <c r="AR46" s="247"/>
      <c r="AS46" s="319"/>
      <c r="AT46" s="246"/>
    </row>
    <row r="47" spans="1:47" ht="14.25" thickBot="1">
      <c r="A47" s="430"/>
      <c r="F47" s="320"/>
      <c r="R47" s="247"/>
      <c r="S47" s="247"/>
      <c r="T47" s="422">
        <f>S45*2143</f>
        <v>41809694.269999996</v>
      </c>
      <c r="U47" s="423" t="s">
        <v>246</v>
      </c>
      <c r="AS47" s="319"/>
      <c r="AT47" s="246"/>
    </row>
    <row r="48" spans="1:47" ht="14.25" thickBot="1">
      <c r="A48" s="431" t="s">
        <v>249</v>
      </c>
      <c r="B48" s="321"/>
      <c r="T48" s="422">
        <f>T47/2245</f>
        <v>18623.471835189306</v>
      </c>
      <c r="U48" s="423" t="s">
        <v>247</v>
      </c>
      <c r="W48" s="257"/>
      <c r="X48" s="257"/>
      <c r="Y48" s="257"/>
      <c r="Z48" s="257"/>
      <c r="AA48" s="257"/>
      <c r="AR48" s="247"/>
      <c r="AT48" s="319"/>
    </row>
    <row r="49" spans="2:46" ht="14.25" thickBot="1">
      <c r="G49" s="697"/>
      <c r="U49" s="322"/>
      <c r="W49" s="257"/>
      <c r="X49" s="257"/>
      <c r="Y49" s="257"/>
      <c r="Z49" s="257"/>
      <c r="AA49" s="257"/>
      <c r="AB49" s="250"/>
      <c r="AR49" s="322"/>
      <c r="AT49" s="319"/>
    </row>
    <row r="50" spans="2:46" ht="13.5" customHeight="1" thickBot="1">
      <c r="B50" s="792" t="s">
        <v>243</v>
      </c>
      <c r="C50" s="793"/>
      <c r="D50" s="793"/>
      <c r="E50" s="793"/>
      <c r="F50" s="794"/>
      <c r="G50" s="731"/>
      <c r="H50" s="795" t="s">
        <v>215</v>
      </c>
      <c r="I50" s="796"/>
      <c r="J50" s="796"/>
      <c r="K50" s="796"/>
      <c r="L50" s="797"/>
      <c r="M50" s="743"/>
      <c r="N50" s="813" t="s">
        <v>319</v>
      </c>
      <c r="O50" s="814"/>
      <c r="P50" s="814"/>
      <c r="Q50" s="814"/>
      <c r="R50" s="815"/>
      <c r="S50" s="810" t="s">
        <v>228</v>
      </c>
      <c r="T50" s="811"/>
      <c r="U50" s="811"/>
      <c r="V50" s="811"/>
      <c r="W50" s="811"/>
      <c r="X50" s="812"/>
    </row>
    <row r="51" spans="2:46" ht="25.5" customHeight="1" thickBot="1">
      <c r="B51" s="722" t="s">
        <v>99</v>
      </c>
      <c r="C51" s="564" t="s">
        <v>198</v>
      </c>
      <c r="D51" s="723" t="s">
        <v>199</v>
      </c>
      <c r="E51" s="723" t="s">
        <v>214</v>
      </c>
      <c r="F51" s="724" t="s">
        <v>318</v>
      </c>
      <c r="G51" s="732"/>
      <c r="H51" s="729" t="s">
        <v>99</v>
      </c>
      <c r="I51" s="564" t="s">
        <v>198</v>
      </c>
      <c r="J51" s="718" t="s">
        <v>199</v>
      </c>
      <c r="K51" s="730" t="s">
        <v>214</v>
      </c>
      <c r="L51" s="724" t="s">
        <v>318</v>
      </c>
      <c r="M51" s="744"/>
      <c r="N51" s="717" t="s">
        <v>99</v>
      </c>
      <c r="O51" s="564" t="s">
        <v>198</v>
      </c>
      <c r="P51" s="718" t="s">
        <v>199</v>
      </c>
      <c r="Q51" s="464" t="s">
        <v>214</v>
      </c>
      <c r="R51" s="465" t="s">
        <v>217</v>
      </c>
      <c r="S51" s="466" t="s">
        <v>0</v>
      </c>
      <c r="T51" s="467" t="s">
        <v>198</v>
      </c>
      <c r="U51" s="467" t="s">
        <v>229</v>
      </c>
      <c r="V51" s="467" t="s">
        <v>214</v>
      </c>
      <c r="W51" s="467" t="s">
        <v>230</v>
      </c>
      <c r="X51" s="468" t="s">
        <v>231</v>
      </c>
    </row>
    <row r="52" spans="2:46" ht="11.25" customHeight="1" thickBot="1">
      <c r="B52" s="719">
        <v>43863</v>
      </c>
      <c r="C52" s="720" t="s">
        <v>320</v>
      </c>
      <c r="D52" s="721">
        <v>41</v>
      </c>
      <c r="E52" s="720" t="s">
        <v>321</v>
      </c>
      <c r="F52" s="725" t="s">
        <v>322</v>
      </c>
      <c r="G52" s="733"/>
      <c r="H52" s="754">
        <v>43868</v>
      </c>
      <c r="I52" s="563" t="s">
        <v>323</v>
      </c>
      <c r="J52" s="563">
        <v>60</v>
      </c>
      <c r="K52" s="563" t="s">
        <v>324</v>
      </c>
      <c r="L52" s="725"/>
      <c r="M52" s="733"/>
      <c r="N52" s="745"/>
      <c r="O52" s="734"/>
      <c r="P52" s="734"/>
      <c r="Q52" s="738"/>
      <c r="R52" s="746"/>
      <c r="S52" s="469"/>
      <c r="T52" s="469"/>
      <c r="U52" s="520"/>
      <c r="V52" s="519"/>
      <c r="W52" s="469"/>
      <c r="X52" s="469"/>
    </row>
    <row r="53" spans="2:46" ht="11.25" customHeight="1" thickBot="1">
      <c r="B53" s="458">
        <v>43868</v>
      </c>
      <c r="C53" s="397" t="s">
        <v>325</v>
      </c>
      <c r="D53" s="515">
        <v>73</v>
      </c>
      <c r="E53" s="397" t="s">
        <v>326</v>
      </c>
      <c r="F53" s="725" t="s">
        <v>322</v>
      </c>
      <c r="G53" s="698"/>
      <c r="H53" s="735"/>
      <c r="I53" s="350"/>
      <c r="J53" s="350"/>
      <c r="K53" s="350"/>
      <c r="L53" s="726"/>
      <c r="M53" s="698"/>
      <c r="N53" s="747"/>
      <c r="O53" s="350"/>
      <c r="P53" s="350"/>
      <c r="Q53" s="739"/>
      <c r="R53" s="748"/>
      <c r="S53" s="469"/>
      <c r="T53" s="469"/>
      <c r="U53" s="520"/>
      <c r="V53" s="519"/>
      <c r="W53" s="469"/>
      <c r="X53" s="469"/>
    </row>
    <row r="54" spans="2:46" ht="11.25" customHeight="1" thickBot="1">
      <c r="B54" s="458"/>
      <c r="C54" s="397"/>
      <c r="D54" s="515"/>
      <c r="E54" s="397"/>
      <c r="F54" s="726"/>
      <c r="G54" s="698"/>
      <c r="H54" s="735"/>
      <c r="I54" s="350"/>
      <c r="J54" s="350"/>
      <c r="K54" s="350"/>
      <c r="L54" s="726"/>
      <c r="M54" s="698"/>
      <c r="N54" s="747"/>
      <c r="O54" s="350"/>
      <c r="P54" s="350"/>
      <c r="Q54" s="739"/>
      <c r="R54" s="748"/>
      <c r="S54" s="458"/>
      <c r="T54" s="397"/>
      <c r="U54" s="520"/>
      <c r="V54" s="519"/>
      <c r="W54" s="397"/>
      <c r="X54" s="469"/>
    </row>
    <row r="55" spans="2:46" ht="11.25" customHeight="1" thickBot="1">
      <c r="B55" s="458"/>
      <c r="C55" s="397"/>
      <c r="D55" s="515"/>
      <c r="E55" s="397"/>
      <c r="F55" s="726"/>
      <c r="G55" s="698"/>
      <c r="H55" s="735"/>
      <c r="I55" s="350"/>
      <c r="J55" s="350"/>
      <c r="K55" s="350"/>
      <c r="L55" s="726"/>
      <c r="M55" s="698"/>
      <c r="N55" s="747"/>
      <c r="O55" s="350"/>
      <c r="P55" s="350"/>
      <c r="Q55" s="739"/>
      <c r="R55" s="748"/>
      <c r="S55" s="458"/>
      <c r="T55" s="397"/>
      <c r="U55" s="520"/>
      <c r="V55" s="562"/>
      <c r="W55" s="397"/>
      <c r="X55" s="469"/>
    </row>
    <row r="56" spans="2:46" ht="11.25" customHeight="1">
      <c r="B56" s="458"/>
      <c r="C56" s="397"/>
      <c r="D56" s="515"/>
      <c r="E56" s="397"/>
      <c r="F56" s="726"/>
      <c r="G56" s="698"/>
      <c r="H56" s="735"/>
      <c r="I56" s="350"/>
      <c r="J56" s="350"/>
      <c r="K56" s="350"/>
      <c r="L56" s="726"/>
      <c r="M56" s="698"/>
      <c r="N56" s="747"/>
      <c r="O56" s="350"/>
      <c r="P56" s="350"/>
      <c r="Q56" s="739"/>
      <c r="R56" s="748"/>
      <c r="S56" s="458"/>
      <c r="T56" s="397"/>
      <c r="U56" s="520"/>
      <c r="V56" s="562"/>
      <c r="W56" s="397"/>
      <c r="X56" s="469"/>
    </row>
    <row r="57" spans="2:46" ht="11.25" customHeight="1">
      <c r="B57" s="458"/>
      <c r="C57" s="397"/>
      <c r="D57" s="515"/>
      <c r="E57" s="397"/>
      <c r="F57" s="726"/>
      <c r="G57" s="698"/>
      <c r="H57" s="735"/>
      <c r="I57" s="350"/>
      <c r="J57" s="350"/>
      <c r="K57" s="350"/>
      <c r="L57" s="726"/>
      <c r="M57" s="698"/>
      <c r="N57" s="747"/>
      <c r="O57" s="350"/>
      <c r="P57" s="350"/>
      <c r="Q57" s="739"/>
      <c r="R57" s="748"/>
      <c r="S57" s="458"/>
      <c r="T57" s="397"/>
      <c r="U57" s="520"/>
      <c r="V57" s="562"/>
      <c r="W57" s="397"/>
      <c r="X57" s="459"/>
    </row>
    <row r="58" spans="2:46" ht="11.25" customHeight="1">
      <c r="B58" s="458"/>
      <c r="C58" s="397"/>
      <c r="D58" s="515"/>
      <c r="E58" s="397"/>
      <c r="F58" s="726"/>
      <c r="G58" s="698"/>
      <c r="H58" s="735"/>
      <c r="I58" s="350"/>
      <c r="J58" s="350"/>
      <c r="K58" s="350"/>
      <c r="L58" s="726"/>
      <c r="M58" s="698"/>
      <c r="N58" s="747"/>
      <c r="O58" s="350"/>
      <c r="P58" s="350"/>
      <c r="Q58" s="739"/>
      <c r="R58" s="748"/>
      <c r="S58" s="458"/>
      <c r="T58" s="397"/>
      <c r="U58" s="520"/>
      <c r="V58" s="562"/>
      <c r="W58" s="397"/>
      <c r="X58" s="459"/>
    </row>
    <row r="59" spans="2:46" ht="11.25" customHeight="1">
      <c r="B59" s="458"/>
      <c r="C59" s="397"/>
      <c r="D59" s="515"/>
      <c r="E59" s="397"/>
      <c r="F59" s="726"/>
      <c r="G59" s="698"/>
      <c r="H59" s="735"/>
      <c r="I59" s="350"/>
      <c r="J59" s="350"/>
      <c r="K59" s="350"/>
      <c r="L59" s="726"/>
      <c r="M59" s="698"/>
      <c r="N59" s="747"/>
      <c r="O59" s="350"/>
      <c r="P59" s="350"/>
      <c r="Q59" s="739"/>
      <c r="R59" s="748"/>
      <c r="S59" s="458"/>
      <c r="T59" s="397"/>
      <c r="U59" s="520"/>
      <c r="V59" s="562"/>
      <c r="W59" s="397"/>
      <c r="X59" s="459"/>
    </row>
    <row r="60" spans="2:46" ht="11.25" customHeight="1">
      <c r="B60" s="458"/>
      <c r="C60" s="397"/>
      <c r="D60" s="515"/>
      <c r="E60" s="397"/>
      <c r="F60" s="726"/>
      <c r="G60" s="698"/>
      <c r="H60" s="735"/>
      <c r="I60" s="350"/>
      <c r="J60" s="350"/>
      <c r="K60" s="350"/>
      <c r="L60" s="726"/>
      <c r="M60" s="698"/>
      <c r="N60" s="747"/>
      <c r="O60" s="350"/>
      <c r="P60" s="350"/>
      <c r="Q60" s="739"/>
      <c r="R60" s="748"/>
      <c r="S60" s="458"/>
      <c r="T60" s="397"/>
      <c r="U60" s="520"/>
      <c r="V60" s="569"/>
      <c r="W60" s="397"/>
      <c r="X60" s="459"/>
    </row>
    <row r="61" spans="2:46" ht="11.25" customHeight="1">
      <c r="B61" s="458"/>
      <c r="C61" s="397"/>
      <c r="D61" s="515"/>
      <c r="E61" s="397"/>
      <c r="F61" s="726"/>
      <c r="G61" s="698"/>
      <c r="H61" s="735"/>
      <c r="I61" s="350"/>
      <c r="J61" s="350"/>
      <c r="K61" s="350"/>
      <c r="L61" s="726"/>
      <c r="M61" s="698"/>
      <c r="N61" s="747"/>
      <c r="O61" s="350"/>
      <c r="P61" s="350"/>
      <c r="Q61" s="739"/>
      <c r="R61" s="749"/>
      <c r="S61" s="458"/>
      <c r="T61" s="397"/>
      <c r="U61" s="520"/>
      <c r="V61" s="562"/>
      <c r="W61" s="397"/>
      <c r="X61" s="459"/>
    </row>
    <row r="62" spans="2:46" ht="11.25" customHeight="1">
      <c r="B62" s="458"/>
      <c r="C62" s="397"/>
      <c r="D62" s="515"/>
      <c r="E62" s="397"/>
      <c r="F62" s="726"/>
      <c r="G62" s="698"/>
      <c r="H62" s="735"/>
      <c r="I62" s="350"/>
      <c r="J62" s="350"/>
      <c r="K62" s="350"/>
      <c r="L62" s="726"/>
      <c r="M62" s="698"/>
      <c r="N62" s="747"/>
      <c r="O62" s="350"/>
      <c r="P62" s="350"/>
      <c r="Q62" s="739"/>
      <c r="R62" s="749"/>
      <c r="S62" s="458"/>
      <c r="T62" s="397"/>
      <c r="U62" s="520"/>
      <c r="V62" s="562"/>
      <c r="W62" s="397"/>
      <c r="X62" s="459"/>
    </row>
    <row r="63" spans="2:46" ht="11.25" customHeight="1">
      <c r="B63" s="458"/>
      <c r="C63" s="397"/>
      <c r="D63" s="515"/>
      <c r="E63" s="397"/>
      <c r="F63" s="726"/>
      <c r="G63" s="698"/>
      <c r="H63" s="735"/>
      <c r="I63" s="350"/>
      <c r="J63" s="350"/>
      <c r="K63" s="350"/>
      <c r="L63" s="726"/>
      <c r="M63" s="698"/>
      <c r="N63" s="747"/>
      <c r="O63" s="350"/>
      <c r="P63" s="350"/>
      <c r="Q63" s="739"/>
      <c r="R63" s="749"/>
      <c r="S63" s="458"/>
      <c r="T63" s="397"/>
      <c r="U63" s="520"/>
      <c r="V63" s="562"/>
      <c r="W63" s="397"/>
      <c r="X63" s="459"/>
    </row>
    <row r="64" spans="2:46" ht="11.25" customHeight="1">
      <c r="B64" s="458"/>
      <c r="C64" s="397"/>
      <c r="D64" s="515"/>
      <c r="E64" s="397"/>
      <c r="F64" s="726"/>
      <c r="G64" s="698"/>
      <c r="H64" s="735"/>
      <c r="I64" s="350"/>
      <c r="J64" s="350"/>
      <c r="K64" s="350"/>
      <c r="L64" s="726"/>
      <c r="M64" s="698"/>
      <c r="N64" s="747"/>
      <c r="O64" s="350"/>
      <c r="P64" s="350"/>
      <c r="Q64" s="739"/>
      <c r="R64" s="749"/>
      <c r="S64" s="458"/>
      <c r="T64" s="397"/>
      <c r="U64" s="520"/>
      <c r="V64" s="562"/>
      <c r="W64" s="397"/>
      <c r="X64" s="459"/>
    </row>
    <row r="65" spans="2:24" ht="11.25" customHeight="1">
      <c r="B65" s="458"/>
      <c r="C65" s="397"/>
      <c r="D65" s="515"/>
      <c r="E65" s="397"/>
      <c r="F65" s="726"/>
      <c r="G65" s="698"/>
      <c r="H65" s="735"/>
      <c r="I65" s="350"/>
      <c r="J65" s="350"/>
      <c r="K65" s="350"/>
      <c r="L65" s="726"/>
      <c r="M65" s="698"/>
      <c r="N65" s="747"/>
      <c r="O65" s="350"/>
      <c r="P65" s="350"/>
      <c r="Q65" s="739"/>
      <c r="R65" s="749"/>
      <c r="S65" s="458"/>
      <c r="T65" s="397"/>
      <c r="U65" s="520"/>
      <c r="V65" s="562"/>
      <c r="W65" s="397"/>
      <c r="X65" s="459"/>
    </row>
    <row r="66" spans="2:24" ht="11.25" customHeight="1">
      <c r="B66" s="458"/>
      <c r="C66" s="397"/>
      <c r="D66" s="515"/>
      <c r="E66" s="397"/>
      <c r="F66" s="726"/>
      <c r="G66" s="698"/>
      <c r="H66" s="735"/>
      <c r="I66" s="350"/>
      <c r="J66" s="350"/>
      <c r="K66" s="350"/>
      <c r="L66" s="726"/>
      <c r="M66" s="698"/>
      <c r="N66" s="747"/>
      <c r="O66" s="350"/>
      <c r="P66" s="350"/>
      <c r="Q66" s="740"/>
      <c r="R66" s="749"/>
      <c r="S66" s="458"/>
      <c r="T66" s="397"/>
      <c r="U66" s="520"/>
      <c r="V66" s="562"/>
      <c r="W66" s="397"/>
      <c r="X66" s="459"/>
    </row>
    <row r="67" spans="2:24" ht="11.25" customHeight="1">
      <c r="B67" s="458"/>
      <c r="C67" s="397"/>
      <c r="D67" s="515"/>
      <c r="E67" s="397"/>
      <c r="F67" s="726"/>
      <c r="G67" s="698"/>
      <c r="H67" s="735"/>
      <c r="I67" s="350"/>
      <c r="J67" s="350"/>
      <c r="K67" s="350"/>
      <c r="L67" s="726"/>
      <c r="M67" s="698"/>
      <c r="N67" s="747"/>
      <c r="O67" s="350"/>
      <c r="P67" s="350"/>
      <c r="Q67" s="740"/>
      <c r="R67" s="749"/>
      <c r="S67" s="458"/>
      <c r="T67" s="397"/>
      <c r="U67" s="520"/>
      <c r="V67" s="562"/>
      <c r="W67" s="397"/>
      <c r="X67" s="459"/>
    </row>
    <row r="68" spans="2:24" ht="11.25" customHeight="1">
      <c r="B68" s="458"/>
      <c r="C68" s="397"/>
      <c r="D68" s="515"/>
      <c r="E68" s="397"/>
      <c r="F68" s="726"/>
      <c r="G68" s="698"/>
      <c r="H68" s="735"/>
      <c r="I68" s="350"/>
      <c r="J68" s="350"/>
      <c r="K68" s="350"/>
      <c r="L68" s="726"/>
      <c r="M68" s="698"/>
      <c r="N68" s="747"/>
      <c r="O68" s="350"/>
      <c r="P68" s="350"/>
      <c r="Q68" s="739"/>
      <c r="R68" s="749"/>
      <c r="S68" s="458"/>
      <c r="T68" s="397"/>
      <c r="U68" s="520"/>
      <c r="V68" s="562"/>
      <c r="W68" s="397"/>
      <c r="X68" s="459"/>
    </row>
    <row r="69" spans="2:24" ht="11.25" customHeight="1">
      <c r="B69" s="458"/>
      <c r="C69" s="397"/>
      <c r="D69" s="515"/>
      <c r="E69" s="397"/>
      <c r="F69" s="726"/>
      <c r="G69" s="698"/>
      <c r="H69" s="735"/>
      <c r="I69" s="350"/>
      <c r="J69" s="350"/>
      <c r="K69" s="350"/>
      <c r="L69" s="726"/>
      <c r="M69" s="698"/>
      <c r="N69" s="747"/>
      <c r="O69" s="350"/>
      <c r="P69" s="350"/>
      <c r="Q69" s="739"/>
      <c r="R69" s="749"/>
      <c r="S69" s="458"/>
      <c r="T69" s="397"/>
      <c r="U69" s="520"/>
      <c r="V69" s="562"/>
      <c r="W69" s="397"/>
      <c r="X69" s="459"/>
    </row>
    <row r="70" spans="2:24" ht="11.25" customHeight="1">
      <c r="B70" s="458"/>
      <c r="C70" s="397"/>
      <c r="D70" s="515"/>
      <c r="E70" s="397"/>
      <c r="F70" s="726"/>
      <c r="G70" s="698"/>
      <c r="H70" s="735"/>
      <c r="I70" s="350"/>
      <c r="J70" s="350"/>
      <c r="K70" s="350"/>
      <c r="L70" s="726"/>
      <c r="M70" s="698"/>
      <c r="N70" s="747"/>
      <c r="O70" s="350"/>
      <c r="P70" s="350"/>
      <c r="Q70" s="739"/>
      <c r="R70" s="749"/>
      <c r="S70" s="458"/>
      <c r="T70" s="397"/>
      <c r="U70" s="520"/>
      <c r="V70" s="562"/>
      <c r="W70" s="397"/>
      <c r="X70" s="459"/>
    </row>
    <row r="71" spans="2:24" ht="11.25" customHeight="1">
      <c r="B71" s="458"/>
      <c r="C71" s="397"/>
      <c r="D71" s="515"/>
      <c r="E71" s="397"/>
      <c r="F71" s="726"/>
      <c r="G71" s="698"/>
      <c r="H71" s="735"/>
      <c r="I71" s="350"/>
      <c r="J71" s="350"/>
      <c r="K71" s="350"/>
      <c r="L71" s="726"/>
      <c r="M71" s="698"/>
      <c r="N71" s="747"/>
      <c r="O71" s="350"/>
      <c r="P71" s="350"/>
      <c r="Q71" s="739"/>
      <c r="R71" s="749"/>
      <c r="S71" s="458"/>
      <c r="T71" s="397"/>
      <c r="U71" s="520"/>
      <c r="V71" s="562"/>
      <c r="W71" s="397"/>
      <c r="X71" s="459"/>
    </row>
    <row r="72" spans="2:24" ht="11.25" customHeight="1">
      <c r="B72" s="458"/>
      <c r="C72" s="397"/>
      <c r="D72" s="515"/>
      <c r="E72" s="397"/>
      <c r="F72" s="726"/>
      <c r="G72" s="698"/>
      <c r="H72" s="736"/>
      <c r="I72" s="354"/>
      <c r="J72" s="354"/>
      <c r="K72" s="354"/>
      <c r="L72" s="726"/>
      <c r="M72" s="698"/>
      <c r="N72" s="747"/>
      <c r="O72" s="350"/>
      <c r="P72" s="350"/>
      <c r="Q72" s="741"/>
      <c r="R72" s="749"/>
      <c r="S72" s="458"/>
      <c r="T72" s="397"/>
      <c r="U72" s="520"/>
      <c r="V72" s="562"/>
      <c r="W72" s="397"/>
      <c r="X72" s="459"/>
    </row>
    <row r="73" spans="2:24" ht="11.25" customHeight="1">
      <c r="B73" s="458"/>
      <c r="C73" s="397"/>
      <c r="D73" s="515"/>
      <c r="E73" s="397"/>
      <c r="F73" s="726"/>
      <c r="G73" s="698"/>
      <c r="H73" s="735"/>
      <c r="I73" s="350"/>
      <c r="J73" s="350"/>
      <c r="K73" s="350"/>
      <c r="L73" s="726"/>
      <c r="M73" s="698"/>
      <c r="N73" s="747"/>
      <c r="O73" s="350"/>
      <c r="P73" s="350"/>
      <c r="Q73" s="739"/>
      <c r="R73" s="749"/>
      <c r="S73" s="458"/>
      <c r="T73" s="397"/>
      <c r="U73" s="520"/>
      <c r="V73" s="562"/>
      <c r="W73" s="397"/>
      <c r="X73" s="459"/>
    </row>
    <row r="74" spans="2:24" ht="11.25" customHeight="1">
      <c r="B74" s="458"/>
      <c r="C74" s="397"/>
      <c r="D74" s="515"/>
      <c r="E74" s="397"/>
      <c r="F74" s="726"/>
      <c r="G74" s="698"/>
      <c r="H74" s="735"/>
      <c r="I74" s="350"/>
      <c r="J74" s="350"/>
      <c r="K74" s="350"/>
      <c r="L74" s="726"/>
      <c r="M74" s="698"/>
      <c r="N74" s="747"/>
      <c r="O74" s="350"/>
      <c r="P74" s="350"/>
      <c r="Q74" s="739"/>
      <c r="R74" s="749"/>
      <c r="S74" s="458"/>
      <c r="T74" s="397"/>
      <c r="U74" s="520"/>
      <c r="V74" s="562"/>
      <c r="W74" s="397"/>
      <c r="X74" s="459"/>
    </row>
    <row r="75" spans="2:24" ht="11.25" customHeight="1">
      <c r="B75" s="458"/>
      <c r="C75" s="397"/>
      <c r="D75" s="515"/>
      <c r="E75" s="397"/>
      <c r="F75" s="726"/>
      <c r="G75" s="698"/>
      <c r="H75" s="735"/>
      <c r="I75" s="350"/>
      <c r="J75" s="350"/>
      <c r="K75" s="350"/>
      <c r="L75" s="726"/>
      <c r="M75" s="698"/>
      <c r="N75" s="747"/>
      <c r="O75" s="350"/>
      <c r="P75" s="350"/>
      <c r="Q75" s="739"/>
      <c r="R75" s="749"/>
      <c r="S75" s="458"/>
      <c r="T75" s="397"/>
      <c r="U75" s="520"/>
      <c r="V75" s="562"/>
      <c r="W75" s="397"/>
      <c r="X75" s="459"/>
    </row>
    <row r="76" spans="2:24" ht="9.75" customHeight="1">
      <c r="B76" s="458"/>
      <c r="C76" s="397"/>
      <c r="D76" s="515"/>
      <c r="E76" s="397"/>
      <c r="F76" s="726"/>
      <c r="G76" s="698"/>
      <c r="H76" s="735"/>
      <c r="I76" s="350"/>
      <c r="J76" s="350"/>
      <c r="K76" s="350"/>
      <c r="L76" s="726"/>
      <c r="M76" s="698"/>
      <c r="N76" s="747"/>
      <c r="O76" s="350"/>
      <c r="P76" s="350"/>
      <c r="Q76" s="739"/>
      <c r="R76" s="749"/>
      <c r="S76" s="458"/>
      <c r="T76" s="397"/>
      <c r="U76" s="520"/>
      <c r="V76" s="562"/>
      <c r="W76" s="397"/>
      <c r="X76" s="459"/>
    </row>
    <row r="77" spans="2:24" ht="11.25" hidden="1" customHeight="1">
      <c r="B77" s="458"/>
      <c r="C77" s="397"/>
      <c r="D77" s="515"/>
      <c r="E77" s="397"/>
      <c r="F77" s="726"/>
      <c r="G77" s="698"/>
      <c r="H77" s="735"/>
      <c r="I77" s="561"/>
      <c r="J77" s="561"/>
      <c r="K77" s="350"/>
      <c r="L77" s="726"/>
      <c r="M77" s="698"/>
      <c r="N77" s="747"/>
      <c r="O77" s="350"/>
      <c r="P77" s="350"/>
      <c r="Q77" s="739"/>
      <c r="R77" s="749"/>
      <c r="S77" s="458"/>
      <c r="T77" s="397"/>
      <c r="U77" s="520"/>
      <c r="V77" s="562"/>
      <c r="W77" s="397"/>
      <c r="X77" s="459"/>
    </row>
    <row r="78" spans="2:24" ht="11.25" customHeight="1">
      <c r="B78" s="458"/>
      <c r="C78" s="397"/>
      <c r="D78" s="515"/>
      <c r="E78" s="397"/>
      <c r="F78" s="726"/>
      <c r="G78" s="698"/>
      <c r="H78" s="735"/>
      <c r="I78" s="350"/>
      <c r="J78" s="350"/>
      <c r="K78" s="350"/>
      <c r="L78" s="726"/>
      <c r="M78" s="698"/>
      <c r="N78" s="747"/>
      <c r="O78" s="350"/>
      <c r="P78" s="350"/>
      <c r="Q78" s="739"/>
      <c r="R78" s="749"/>
      <c r="S78" s="458"/>
      <c r="T78" s="397"/>
      <c r="U78" s="520"/>
      <c r="V78" s="562"/>
      <c r="W78" s="397"/>
      <c r="X78" s="459"/>
    </row>
    <row r="79" spans="2:24" ht="11.25" customHeight="1">
      <c r="B79" s="458"/>
      <c r="C79" s="397"/>
      <c r="D79" s="515"/>
      <c r="E79" s="397"/>
      <c r="F79" s="726"/>
      <c r="G79" s="698"/>
      <c r="H79" s="735"/>
      <c r="I79" s="350"/>
      <c r="J79" s="350"/>
      <c r="K79" s="350"/>
      <c r="L79" s="726"/>
      <c r="M79" s="698"/>
      <c r="N79" s="747"/>
      <c r="O79" s="350"/>
      <c r="P79" s="350"/>
      <c r="Q79" s="739"/>
      <c r="R79" s="749"/>
      <c r="S79" s="458"/>
      <c r="T79" s="397"/>
      <c r="U79" s="520"/>
      <c r="V79" s="562"/>
      <c r="W79" s="397"/>
      <c r="X79" s="459"/>
    </row>
    <row r="80" spans="2:24" ht="11.25" customHeight="1">
      <c r="B80" s="458"/>
      <c r="C80" s="397"/>
      <c r="D80" s="515"/>
      <c r="E80" s="397"/>
      <c r="F80" s="726"/>
      <c r="G80" s="698"/>
      <c r="H80" s="735"/>
      <c r="I80" s="350"/>
      <c r="J80" s="350"/>
      <c r="K80" s="350"/>
      <c r="L80" s="726"/>
      <c r="M80" s="698"/>
      <c r="N80" s="747"/>
      <c r="O80" s="350"/>
      <c r="P80" s="350"/>
      <c r="Q80" s="739"/>
      <c r="R80" s="749"/>
      <c r="S80" s="458"/>
      <c r="T80" s="397"/>
      <c r="U80" s="520"/>
      <c r="V80" s="562"/>
      <c r="W80" s="397"/>
      <c r="X80" s="459"/>
    </row>
    <row r="81" spans="2:24" ht="11.25" customHeight="1">
      <c r="B81" s="458"/>
      <c r="C81" s="397"/>
      <c r="D81" s="515"/>
      <c r="E81" s="397"/>
      <c r="F81" s="726"/>
      <c r="G81" s="698"/>
      <c r="H81" s="735"/>
      <c r="I81" s="350"/>
      <c r="J81" s="350"/>
      <c r="K81" s="350"/>
      <c r="L81" s="726"/>
      <c r="M81" s="698"/>
      <c r="N81" s="747"/>
      <c r="O81" s="350"/>
      <c r="P81" s="350"/>
      <c r="Q81" s="739"/>
      <c r="R81" s="749"/>
      <c r="S81" s="458"/>
      <c r="T81" s="397"/>
      <c r="U81" s="520"/>
      <c r="V81" s="562"/>
      <c r="W81" s="397"/>
      <c r="X81" s="459"/>
    </row>
    <row r="82" spans="2:24" ht="11.25" customHeight="1">
      <c r="B82" s="458"/>
      <c r="C82" s="397"/>
      <c r="D82" s="515"/>
      <c r="E82" s="397"/>
      <c r="F82" s="726"/>
      <c r="G82" s="698"/>
      <c r="H82" s="735"/>
      <c r="I82" s="350"/>
      <c r="J82" s="350"/>
      <c r="K82" s="350"/>
      <c r="L82" s="726"/>
      <c r="M82" s="698"/>
      <c r="N82" s="747"/>
      <c r="O82" s="350"/>
      <c r="P82" s="350"/>
      <c r="Q82" s="739"/>
      <c r="R82" s="749"/>
      <c r="S82" s="458"/>
      <c r="T82" s="397"/>
      <c r="U82" s="520"/>
      <c r="V82" s="562"/>
      <c r="W82" s="397"/>
      <c r="X82" s="459"/>
    </row>
    <row r="83" spans="2:24" ht="11.25" customHeight="1">
      <c r="B83" s="458"/>
      <c r="C83" s="397"/>
      <c r="D83" s="515"/>
      <c r="E83" s="397"/>
      <c r="F83" s="726"/>
      <c r="G83" s="698"/>
      <c r="H83" s="735"/>
      <c r="I83" s="350"/>
      <c r="J83" s="350"/>
      <c r="K83" s="350"/>
      <c r="L83" s="726"/>
      <c r="M83" s="698"/>
      <c r="N83" s="747"/>
      <c r="O83" s="350"/>
      <c r="P83" s="350"/>
      <c r="Q83" s="739"/>
      <c r="R83" s="749"/>
      <c r="S83" s="458"/>
      <c r="T83" s="397"/>
      <c r="U83" s="520"/>
      <c r="V83" s="562"/>
      <c r="W83" s="397"/>
      <c r="X83" s="459"/>
    </row>
    <row r="84" spans="2:24" ht="11.25" customHeight="1">
      <c r="B84" s="458"/>
      <c r="C84" s="397"/>
      <c r="D84" s="515"/>
      <c r="E84" s="397"/>
      <c r="F84" s="726"/>
      <c r="G84" s="698"/>
      <c r="H84" s="735"/>
      <c r="I84" s="350"/>
      <c r="J84" s="350"/>
      <c r="K84" s="350"/>
      <c r="L84" s="726"/>
      <c r="M84" s="698"/>
      <c r="N84" s="747"/>
      <c r="O84" s="350"/>
      <c r="P84" s="350"/>
      <c r="Q84" s="739"/>
      <c r="R84" s="749"/>
      <c r="S84" s="458"/>
      <c r="T84" s="397"/>
      <c r="U84" s="397"/>
      <c r="V84" s="397"/>
      <c r="W84" s="397"/>
      <c r="X84" s="459"/>
    </row>
    <row r="85" spans="2:24" ht="11.25" customHeight="1">
      <c r="B85" s="458"/>
      <c r="C85" s="397"/>
      <c r="D85" s="515"/>
      <c r="E85" s="397"/>
      <c r="F85" s="726"/>
      <c r="G85" s="698"/>
      <c r="H85" s="735"/>
      <c r="I85" s="350"/>
      <c r="J85" s="350"/>
      <c r="K85" s="350"/>
      <c r="L85" s="726"/>
      <c r="M85" s="698"/>
      <c r="N85" s="747"/>
      <c r="O85" s="350"/>
      <c r="P85" s="350"/>
      <c r="Q85" s="739"/>
      <c r="R85" s="749"/>
      <c r="S85" s="458"/>
      <c r="T85" s="397"/>
      <c r="U85" s="397"/>
      <c r="V85" s="397"/>
      <c r="W85" s="397"/>
      <c r="X85" s="459"/>
    </row>
    <row r="86" spans="2:24" ht="11.25" customHeight="1">
      <c r="B86" s="458"/>
      <c r="C86" s="397"/>
      <c r="D86" s="515"/>
      <c r="E86" s="397"/>
      <c r="F86" s="726"/>
      <c r="G86" s="698"/>
      <c r="H86" s="735"/>
      <c r="I86" s="350"/>
      <c r="J86" s="350"/>
      <c r="K86" s="350"/>
      <c r="L86" s="726"/>
      <c r="M86" s="698"/>
      <c r="N86" s="747"/>
      <c r="O86" s="350"/>
      <c r="P86" s="350"/>
      <c r="Q86" s="739"/>
      <c r="R86" s="749"/>
      <c r="S86" s="458"/>
      <c r="T86" s="397"/>
      <c r="U86" s="397"/>
      <c r="V86" s="397"/>
      <c r="W86" s="397"/>
      <c r="X86" s="459"/>
    </row>
    <row r="87" spans="2:24" ht="11.25" customHeight="1">
      <c r="B87" s="458"/>
      <c r="C87" s="397"/>
      <c r="D87" s="515"/>
      <c r="E87" s="397"/>
      <c r="F87" s="726"/>
      <c r="G87" s="698"/>
      <c r="H87" s="735"/>
      <c r="I87" s="350"/>
      <c r="J87" s="350"/>
      <c r="K87" s="350"/>
      <c r="L87" s="726"/>
      <c r="M87" s="698"/>
      <c r="N87" s="747"/>
      <c r="O87" s="350"/>
      <c r="P87" s="350"/>
      <c r="Q87" s="739"/>
      <c r="R87" s="749"/>
      <c r="S87" s="458"/>
      <c r="T87" s="397"/>
      <c r="U87" s="397"/>
      <c r="V87" s="397"/>
      <c r="W87" s="397"/>
      <c r="X87" s="459"/>
    </row>
    <row r="88" spans="2:24" ht="11.25" customHeight="1">
      <c r="B88" s="458"/>
      <c r="C88" s="397"/>
      <c r="D88" s="515"/>
      <c r="E88" s="397"/>
      <c r="F88" s="726"/>
      <c r="G88" s="698"/>
      <c r="H88" s="735"/>
      <c r="I88" s="350"/>
      <c r="J88" s="350"/>
      <c r="K88" s="350"/>
      <c r="L88" s="726"/>
      <c r="M88" s="698"/>
      <c r="N88" s="747"/>
      <c r="O88" s="350"/>
      <c r="P88" s="350"/>
      <c r="Q88" s="739"/>
      <c r="R88" s="749"/>
      <c r="S88" s="458"/>
      <c r="T88" s="397"/>
      <c r="U88" s="397"/>
      <c r="V88" s="397"/>
      <c r="W88" s="397"/>
      <c r="X88" s="459"/>
    </row>
    <row r="89" spans="2:24" ht="11.25" customHeight="1">
      <c r="B89" s="458"/>
      <c r="C89" s="397"/>
      <c r="D89" s="515"/>
      <c r="E89" s="397"/>
      <c r="F89" s="726"/>
      <c r="G89" s="698"/>
      <c r="H89" s="735"/>
      <c r="I89" s="350"/>
      <c r="J89" s="350"/>
      <c r="K89" s="350"/>
      <c r="L89" s="726"/>
      <c r="M89" s="698"/>
      <c r="N89" s="747"/>
      <c r="O89" s="350"/>
      <c r="P89" s="350"/>
      <c r="Q89" s="739"/>
      <c r="R89" s="749"/>
      <c r="S89" s="458"/>
      <c r="T89" s="397"/>
      <c r="U89" s="397"/>
      <c r="V89" s="397"/>
      <c r="W89" s="397"/>
      <c r="X89" s="459"/>
    </row>
    <row r="90" spans="2:24" ht="11.25" customHeight="1">
      <c r="B90" s="458"/>
      <c r="C90" s="397"/>
      <c r="D90" s="515"/>
      <c r="E90" s="397"/>
      <c r="F90" s="726"/>
      <c r="G90" s="698"/>
      <c r="H90" s="735"/>
      <c r="I90" s="350"/>
      <c r="J90" s="350"/>
      <c r="K90" s="350"/>
      <c r="L90" s="726"/>
      <c r="M90" s="698"/>
      <c r="N90" s="747"/>
      <c r="O90" s="350"/>
      <c r="P90" s="350"/>
      <c r="Q90" s="739"/>
      <c r="R90" s="749"/>
      <c r="S90" s="458"/>
      <c r="T90" s="397"/>
      <c r="U90" s="397"/>
      <c r="V90" s="397"/>
      <c r="W90" s="397"/>
      <c r="X90" s="459"/>
    </row>
    <row r="91" spans="2:24">
      <c r="B91" s="458"/>
      <c r="C91" s="397"/>
      <c r="D91" s="515"/>
      <c r="E91" s="397"/>
      <c r="F91" s="726"/>
      <c r="G91" s="698"/>
      <c r="H91" s="735"/>
      <c r="I91" s="350"/>
      <c r="J91" s="350"/>
      <c r="K91" s="350"/>
      <c r="L91" s="726"/>
      <c r="M91" s="698"/>
      <c r="N91" s="747"/>
      <c r="O91" s="350"/>
      <c r="P91" s="350"/>
      <c r="Q91" s="739"/>
      <c r="R91" s="749"/>
      <c r="S91" s="458"/>
      <c r="T91" s="397"/>
      <c r="U91" s="397"/>
      <c r="V91" s="397"/>
      <c r="W91" s="397"/>
      <c r="X91" s="459"/>
    </row>
    <row r="92" spans="2:24">
      <c r="B92" s="458"/>
      <c r="C92" s="397"/>
      <c r="D92" s="515"/>
      <c r="E92" s="397"/>
      <c r="F92" s="726"/>
      <c r="G92" s="698"/>
      <c r="H92" s="735"/>
      <c r="I92" s="350"/>
      <c r="J92" s="350"/>
      <c r="K92" s="350"/>
      <c r="L92" s="726"/>
      <c r="M92" s="698"/>
      <c r="N92" s="747"/>
      <c r="O92" s="350"/>
      <c r="P92" s="350"/>
      <c r="Q92" s="739"/>
      <c r="R92" s="749"/>
      <c r="S92" s="458"/>
      <c r="T92" s="397"/>
      <c r="U92" s="397"/>
      <c r="V92" s="397"/>
      <c r="W92" s="397"/>
      <c r="X92" s="459"/>
    </row>
    <row r="93" spans="2:24">
      <c r="B93" s="458"/>
      <c r="C93" s="397"/>
      <c r="D93" s="515"/>
      <c r="E93" s="397"/>
      <c r="F93" s="726"/>
      <c r="G93" s="698"/>
      <c r="H93" s="735"/>
      <c r="I93" s="350"/>
      <c r="J93" s="350"/>
      <c r="K93" s="350"/>
      <c r="L93" s="726"/>
      <c r="M93" s="698"/>
      <c r="N93" s="747"/>
      <c r="O93" s="350"/>
      <c r="P93" s="350"/>
      <c r="Q93" s="739"/>
      <c r="R93" s="749"/>
      <c r="S93" s="458"/>
      <c r="T93" s="397"/>
      <c r="U93" s="397"/>
      <c r="V93" s="397"/>
      <c r="W93" s="397"/>
      <c r="X93" s="459"/>
    </row>
    <row r="94" spans="2:24">
      <c r="B94" s="458"/>
      <c r="C94" s="397"/>
      <c r="D94" s="515"/>
      <c r="E94" s="397"/>
      <c r="F94" s="726"/>
      <c r="G94" s="698"/>
      <c r="H94" s="735"/>
      <c r="I94" s="350"/>
      <c r="J94" s="350"/>
      <c r="K94" s="350"/>
      <c r="L94" s="726"/>
      <c r="M94" s="698"/>
      <c r="N94" s="747"/>
      <c r="O94" s="350"/>
      <c r="P94" s="350"/>
      <c r="Q94" s="739"/>
      <c r="R94" s="749"/>
      <c r="S94" s="458"/>
      <c r="T94" s="397"/>
      <c r="U94" s="397"/>
      <c r="V94" s="397"/>
      <c r="W94" s="397"/>
      <c r="X94" s="459"/>
    </row>
    <row r="95" spans="2:24">
      <c r="B95" s="458"/>
      <c r="C95" s="397"/>
      <c r="D95" s="515"/>
      <c r="E95" s="397"/>
      <c r="F95" s="726"/>
      <c r="G95" s="698"/>
      <c r="H95" s="735"/>
      <c r="I95" s="350"/>
      <c r="J95" s="350"/>
      <c r="K95" s="350"/>
      <c r="L95" s="726"/>
      <c r="M95" s="698"/>
      <c r="N95" s="747"/>
      <c r="O95" s="350"/>
      <c r="P95" s="350"/>
      <c r="Q95" s="739"/>
      <c r="R95" s="749"/>
      <c r="S95" s="458"/>
      <c r="T95" s="397"/>
      <c r="U95" s="397"/>
      <c r="V95" s="397"/>
      <c r="W95" s="397"/>
      <c r="X95" s="459"/>
    </row>
    <row r="96" spans="2:24">
      <c r="B96" s="458"/>
      <c r="C96" s="397"/>
      <c r="D96" s="515"/>
      <c r="E96" s="397"/>
      <c r="F96" s="726"/>
      <c r="G96" s="698"/>
      <c r="H96" s="735"/>
      <c r="I96" s="350"/>
      <c r="J96" s="350"/>
      <c r="K96" s="350"/>
      <c r="L96" s="726"/>
      <c r="M96" s="698"/>
      <c r="N96" s="747"/>
      <c r="O96" s="350"/>
      <c r="P96" s="350"/>
      <c r="Q96" s="739"/>
      <c r="R96" s="749"/>
      <c r="S96" s="458"/>
      <c r="T96" s="397"/>
      <c r="U96" s="397"/>
      <c r="V96" s="397"/>
      <c r="W96" s="397"/>
      <c r="X96" s="459"/>
    </row>
    <row r="97" spans="2:24" ht="12" thickBot="1">
      <c r="B97" s="460"/>
      <c r="C97" s="461"/>
      <c r="D97" s="462"/>
      <c r="E97" s="461"/>
      <c r="F97" s="727"/>
      <c r="G97" s="716"/>
      <c r="H97" s="737"/>
      <c r="I97" s="728"/>
      <c r="J97" s="728"/>
      <c r="K97" s="728"/>
      <c r="L97" s="727"/>
      <c r="M97" s="716"/>
      <c r="N97" s="750"/>
      <c r="O97" s="728"/>
      <c r="P97" s="728"/>
      <c r="Q97" s="742"/>
      <c r="R97" s="751"/>
      <c r="S97" s="460"/>
      <c r="T97" s="461"/>
      <c r="U97" s="461"/>
      <c r="V97" s="461"/>
      <c r="W97" s="461"/>
      <c r="X97" s="463"/>
    </row>
  </sheetData>
  <mergeCells count="9">
    <mergeCell ref="B50:F50"/>
    <mergeCell ref="H50:L50"/>
    <mergeCell ref="A1:B6"/>
    <mergeCell ref="D2:AT2"/>
    <mergeCell ref="F7:L7"/>
    <mergeCell ref="M7:R7"/>
    <mergeCell ref="F6:L6"/>
    <mergeCell ref="S50:X50"/>
    <mergeCell ref="N50:R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31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266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43862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43863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43864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43865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43866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43867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43868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43869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43870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43871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43872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43873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43874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43875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43876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43877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43878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43879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43880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43881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43882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43883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43884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43885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43886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43887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43888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43889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43890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43891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43892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43893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D26" sqref="D2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7" t="s">
        <v>71</v>
      </c>
      <c r="D3" s="818"/>
      <c r="E3" s="818"/>
      <c r="F3" s="819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0"/>
      <c r="D6" s="821"/>
      <c r="E6" s="822"/>
      <c r="F6" s="822"/>
      <c r="G6" s="49" t="s">
        <v>4</v>
      </c>
      <c r="H6" s="47" t="s">
        <v>14</v>
      </c>
      <c r="I6" s="42"/>
      <c r="J6" s="117"/>
    </row>
    <row r="7" spans="1:15" ht="18" customHeight="1">
      <c r="A7" s="823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4"/>
      <c r="B8" s="385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26"/>
      <c r="B9" s="355">
        <v>85</v>
      </c>
      <c r="C9" s="355">
        <v>85</v>
      </c>
      <c r="D9" s="355">
        <v>25</v>
      </c>
      <c r="E9" s="355"/>
      <c r="F9" s="355">
        <v>69831</v>
      </c>
      <c r="G9" s="355"/>
      <c r="H9" s="34"/>
      <c r="I9" s="21"/>
      <c r="J9" s="120"/>
      <c r="N9" s="189"/>
      <c r="O9" s="189"/>
    </row>
    <row r="10" spans="1:15" ht="18.75">
      <c r="A10" s="97">
        <f>Gen!A11</f>
        <v>43862</v>
      </c>
      <c r="B10" s="355">
        <v>85</v>
      </c>
      <c r="C10" s="355">
        <v>85</v>
      </c>
      <c r="D10" s="355">
        <v>18</v>
      </c>
      <c r="E10" s="355"/>
      <c r="F10" s="355">
        <v>69852.479999999996</v>
      </c>
      <c r="G10" s="355">
        <f t="shared" ref="G10:G40" si="0">(F10-F9)*4.4</f>
        <v>94.511999999982081</v>
      </c>
      <c r="H10" s="115">
        <f>Gen!B11</f>
        <v>0.23380000000000001</v>
      </c>
      <c r="I10" s="6">
        <f>SUM(F10/H10)</f>
        <v>298770.23096663813</v>
      </c>
      <c r="J10" s="120">
        <f t="shared" ref="J10:J40" si="1">SUM(G10/I10)</f>
        <v>3.1633673707785054E-4</v>
      </c>
      <c r="N10" s="189"/>
      <c r="O10" s="189"/>
    </row>
    <row r="11" spans="1:15" ht="18.75">
      <c r="A11" s="97">
        <f>Gen!A12</f>
        <v>43863</v>
      </c>
      <c r="B11" s="355">
        <v>85</v>
      </c>
      <c r="C11" s="355">
        <v>85</v>
      </c>
      <c r="D11" s="355">
        <v>10</v>
      </c>
      <c r="E11" s="355"/>
      <c r="F11" s="355">
        <v>69876.259999999995</v>
      </c>
      <c r="G11" s="355">
        <f t="shared" si="0"/>
        <v>104.63199999999489</v>
      </c>
      <c r="H11" s="115">
        <f>Gen!B12</f>
        <v>0.23400000000000001</v>
      </c>
      <c r="I11" s="6">
        <f t="shared" ref="I11:I28" si="2">SUM(F11/H11)</f>
        <v>298616.49572649569</v>
      </c>
      <c r="J11" s="120">
        <f t="shared" si="1"/>
        <v>3.5038921659514703E-4</v>
      </c>
      <c r="M11" s="189"/>
      <c r="N11" s="189"/>
    </row>
    <row r="12" spans="1:15" ht="18.75">
      <c r="A12" s="97">
        <f>Gen!A13</f>
        <v>43864</v>
      </c>
      <c r="B12" s="355">
        <v>85</v>
      </c>
      <c r="C12" s="355">
        <v>85</v>
      </c>
      <c r="D12" s="355">
        <v>7</v>
      </c>
      <c r="E12" s="355"/>
      <c r="F12" s="355">
        <v>69698.09</v>
      </c>
      <c r="G12" s="355">
        <f t="shared" si="0"/>
        <v>-783.94799999999236</v>
      </c>
      <c r="H12" s="115">
        <f>Gen!B13</f>
        <v>0.104</v>
      </c>
      <c r="I12" s="6">
        <f t="shared" si="2"/>
        <v>670173.94230769225</v>
      </c>
      <c r="J12" s="120">
        <f t="shared" si="1"/>
        <v>-1.1697679520342554E-3</v>
      </c>
      <c r="M12" s="189"/>
      <c r="N12" s="189"/>
    </row>
    <row r="13" spans="1:15" ht="18.75">
      <c r="A13" s="97">
        <f>Gen!A14</f>
        <v>43865</v>
      </c>
      <c r="B13" s="355">
        <v>85</v>
      </c>
      <c r="C13" s="355">
        <v>85</v>
      </c>
      <c r="D13" s="355">
        <v>5</v>
      </c>
      <c r="E13" s="355"/>
      <c r="F13" s="355">
        <v>69723.710000000006</v>
      </c>
      <c r="G13" s="355">
        <f t="shared" si="0"/>
        <v>112.72800000004355</v>
      </c>
      <c r="H13" s="115">
        <f>Gen!B14</f>
        <v>1</v>
      </c>
      <c r="I13" s="6">
        <f t="shared" si="2"/>
        <v>69723.710000000006</v>
      </c>
      <c r="J13" s="120">
        <f t="shared" si="1"/>
        <v>1.6167814363298159E-3</v>
      </c>
      <c r="M13" s="189"/>
      <c r="N13" s="189"/>
    </row>
    <row r="14" spans="1:15" ht="18.75">
      <c r="A14" s="97">
        <f>Gen!A15</f>
        <v>43866</v>
      </c>
      <c r="B14" s="355">
        <v>85</v>
      </c>
      <c r="C14" s="355">
        <v>76</v>
      </c>
      <c r="D14" s="355">
        <v>0</v>
      </c>
      <c r="E14" s="355"/>
      <c r="F14" s="355">
        <v>69748.009999999995</v>
      </c>
      <c r="G14" s="355">
        <f t="shared" si="0"/>
        <v>106.91999999994879</v>
      </c>
      <c r="H14" s="115">
        <f>Gen!B15</f>
        <v>1</v>
      </c>
      <c r="I14" s="6">
        <f t="shared" si="2"/>
        <v>69748.009999999995</v>
      </c>
      <c r="J14" s="120">
        <f t="shared" si="1"/>
        <v>1.5329469614968054E-3</v>
      </c>
      <c r="M14" s="189"/>
      <c r="N14" s="189"/>
    </row>
    <row r="15" spans="1:15" ht="18.75">
      <c r="A15" s="97">
        <f>Gen!A16</f>
        <v>43867</v>
      </c>
      <c r="B15" s="355">
        <v>85</v>
      </c>
      <c r="C15" s="355">
        <v>70</v>
      </c>
      <c r="D15" s="355">
        <v>0</v>
      </c>
      <c r="E15" s="355"/>
      <c r="F15" s="355">
        <v>69771.22</v>
      </c>
      <c r="G15" s="355">
        <f t="shared" si="0"/>
        <v>102.12400000002818</v>
      </c>
      <c r="H15" s="115">
        <f>Gen!B16</f>
        <v>1</v>
      </c>
      <c r="I15" s="6">
        <f t="shared" si="2"/>
        <v>69771.22</v>
      </c>
      <c r="J15" s="120">
        <f t="shared" si="1"/>
        <v>1.4636980692042962E-3</v>
      </c>
      <c r="M15" s="189"/>
      <c r="N15" s="189"/>
    </row>
    <row r="16" spans="1:15" ht="18.75">
      <c r="A16" s="97">
        <f>Gen!A17</f>
        <v>43868</v>
      </c>
      <c r="B16" s="355">
        <v>85</v>
      </c>
      <c r="C16" s="355">
        <v>60</v>
      </c>
      <c r="D16" s="355">
        <v>0</v>
      </c>
      <c r="E16" s="355"/>
      <c r="F16" s="355">
        <v>69795.81</v>
      </c>
      <c r="G16" s="355">
        <f t="shared" si="0"/>
        <v>108.19599999998464</v>
      </c>
      <c r="H16" s="115">
        <f>Gen!B17</f>
        <v>1</v>
      </c>
      <c r="I16" s="6">
        <f t="shared" si="2"/>
        <v>69795.81</v>
      </c>
      <c r="J16" s="120">
        <f t="shared" si="1"/>
        <v>1.5501790150438061E-3</v>
      </c>
      <c r="M16" s="189"/>
      <c r="N16" s="189"/>
    </row>
    <row r="17" spans="1:14" ht="18.75">
      <c r="A17" s="97">
        <f>Gen!A18</f>
        <v>43869</v>
      </c>
      <c r="B17" s="355">
        <v>85</v>
      </c>
      <c r="C17" s="355">
        <v>55</v>
      </c>
      <c r="D17" s="355">
        <v>0</v>
      </c>
      <c r="E17" s="355"/>
      <c r="F17" s="355">
        <v>69821.3</v>
      </c>
      <c r="G17" s="355">
        <f t="shared" si="0"/>
        <v>112.15600000002306</v>
      </c>
      <c r="H17" s="115">
        <f>Gen!B18</f>
        <v>0.1429</v>
      </c>
      <c r="I17" s="6">
        <f t="shared" si="2"/>
        <v>488602.51924422674</v>
      </c>
      <c r="J17" s="120">
        <f t="shared" si="1"/>
        <v>2.2954445706400905E-4</v>
      </c>
      <c r="M17" s="189"/>
      <c r="N17" s="189"/>
    </row>
    <row r="18" spans="1:14" ht="18.75">
      <c r="A18" s="97">
        <f>Gen!A19</f>
        <v>43870</v>
      </c>
      <c r="B18" s="355">
        <v>85</v>
      </c>
      <c r="C18" s="355">
        <v>49</v>
      </c>
      <c r="D18" s="355">
        <v>0</v>
      </c>
      <c r="E18" s="355"/>
      <c r="F18" s="355">
        <v>69844.81</v>
      </c>
      <c r="G18" s="355">
        <f t="shared" si="0"/>
        <v>103.44399999997695</v>
      </c>
      <c r="H18" s="115">
        <f>Gen!B19</f>
        <v>0.19500000000000001</v>
      </c>
      <c r="I18" s="6">
        <f t="shared" si="2"/>
        <v>358178.51282051281</v>
      </c>
      <c r="J18" s="120">
        <f t="shared" si="1"/>
        <v>2.8880571083227954E-4</v>
      </c>
      <c r="M18" s="189"/>
      <c r="N18" s="189"/>
    </row>
    <row r="19" spans="1:14" ht="18.75">
      <c r="A19" s="97">
        <f>Gen!A20</f>
        <v>43871</v>
      </c>
      <c r="B19" s="355"/>
      <c r="C19" s="355"/>
      <c r="D19" s="355"/>
      <c r="E19" s="355"/>
      <c r="F19" s="355"/>
      <c r="G19" s="355">
        <f t="shared" si="0"/>
        <v>-307317.16399999999</v>
      </c>
      <c r="H19" s="115">
        <f>Gen!B20</f>
        <v>0.18179999999999999</v>
      </c>
      <c r="I19" s="6">
        <f t="shared" si="2"/>
        <v>0</v>
      </c>
      <c r="J19" s="120" t="e">
        <f t="shared" si="1"/>
        <v>#DIV/0!</v>
      </c>
      <c r="M19" s="189"/>
      <c r="N19" s="189"/>
    </row>
    <row r="20" spans="1:14" ht="18.75">
      <c r="A20" s="97">
        <f>Gen!A21</f>
        <v>43872</v>
      </c>
      <c r="B20" s="355"/>
      <c r="C20" s="355"/>
      <c r="D20" s="355"/>
      <c r="E20" s="355"/>
      <c r="F20" s="355"/>
      <c r="G20" s="355">
        <f t="shared" si="0"/>
        <v>0</v>
      </c>
      <c r="H20" s="115">
        <f>Gen!B21</f>
        <v>0</v>
      </c>
      <c r="I20" s="6" t="e">
        <f t="shared" si="2"/>
        <v>#DIV/0!</v>
      </c>
      <c r="J20" s="120" t="e">
        <f t="shared" si="1"/>
        <v>#DIV/0!</v>
      </c>
    </row>
    <row r="21" spans="1:14" ht="18.75">
      <c r="A21" s="97">
        <f>Gen!A22</f>
        <v>43873</v>
      </c>
      <c r="B21" s="355"/>
      <c r="C21" s="355"/>
      <c r="D21" s="355"/>
      <c r="E21" s="355"/>
      <c r="F21" s="355"/>
      <c r="G21" s="355">
        <f t="shared" si="0"/>
        <v>0</v>
      </c>
      <c r="H21" s="115">
        <f>Gen!B22</f>
        <v>0</v>
      </c>
      <c r="I21" s="6" t="e">
        <f t="shared" si="2"/>
        <v>#DIV/0!</v>
      </c>
      <c r="J21" s="120" t="e">
        <f t="shared" si="1"/>
        <v>#DIV/0!</v>
      </c>
    </row>
    <row r="22" spans="1:14" ht="18.75">
      <c r="A22" s="97">
        <f>Gen!A23</f>
        <v>43874</v>
      </c>
      <c r="B22" s="355"/>
      <c r="C22" s="355"/>
      <c r="D22" s="355"/>
      <c r="E22" s="355"/>
      <c r="F22" s="355"/>
      <c r="G22" s="355">
        <f t="shared" si="0"/>
        <v>0</v>
      </c>
      <c r="H22" s="115">
        <f>Gen!B23</f>
        <v>0</v>
      </c>
      <c r="I22" s="6" t="e">
        <f t="shared" si="2"/>
        <v>#DIV/0!</v>
      </c>
      <c r="J22" s="120" t="e">
        <f t="shared" si="1"/>
        <v>#DIV/0!</v>
      </c>
    </row>
    <row r="23" spans="1:14" ht="18.75">
      <c r="A23" s="97">
        <f>Gen!A24</f>
        <v>43875</v>
      </c>
      <c r="B23" s="355"/>
      <c r="C23" s="355"/>
      <c r="D23" s="355"/>
      <c r="E23" s="355"/>
      <c r="F23" s="355"/>
      <c r="G23" s="355">
        <f t="shared" si="0"/>
        <v>0</v>
      </c>
      <c r="H23" s="115">
        <f>Gen!B24</f>
        <v>0</v>
      </c>
      <c r="I23" s="6" t="e">
        <f t="shared" si="2"/>
        <v>#DIV/0!</v>
      </c>
      <c r="J23" s="120" t="e">
        <f t="shared" si="1"/>
        <v>#DIV/0!</v>
      </c>
    </row>
    <row r="24" spans="1:14" ht="18.75">
      <c r="A24" s="97">
        <f>Gen!A25</f>
        <v>43876</v>
      </c>
      <c r="B24" s="355"/>
      <c r="C24" s="355"/>
      <c r="D24" s="355"/>
      <c r="E24" s="355"/>
      <c r="F24" s="355"/>
      <c r="G24" s="355">
        <f t="shared" si="0"/>
        <v>0</v>
      </c>
      <c r="H24" s="115">
        <f>Gen!B25</f>
        <v>0</v>
      </c>
      <c r="I24" s="6" t="e">
        <f t="shared" si="2"/>
        <v>#DIV/0!</v>
      </c>
      <c r="J24" s="120" t="e">
        <f t="shared" si="1"/>
        <v>#DIV/0!</v>
      </c>
    </row>
    <row r="25" spans="1:14" ht="18.75">
      <c r="A25" s="97">
        <f>Gen!A26</f>
        <v>43877</v>
      </c>
      <c r="B25" s="355"/>
      <c r="C25" s="355"/>
      <c r="D25" s="355"/>
      <c r="E25" s="355"/>
      <c r="F25" s="355"/>
      <c r="G25" s="355">
        <f t="shared" si="0"/>
        <v>0</v>
      </c>
      <c r="H25" s="115">
        <f>Gen!B26</f>
        <v>0</v>
      </c>
      <c r="I25" s="6" t="e">
        <f t="shared" si="2"/>
        <v>#DIV/0!</v>
      </c>
      <c r="J25" s="120" t="e">
        <f t="shared" si="1"/>
        <v>#DIV/0!</v>
      </c>
    </row>
    <row r="26" spans="1:14" ht="18.75">
      <c r="A26" s="97">
        <f>Gen!A27</f>
        <v>43878</v>
      </c>
      <c r="B26" s="355"/>
      <c r="C26" s="355"/>
      <c r="D26" s="355"/>
      <c r="E26" s="355"/>
      <c r="F26" s="355"/>
      <c r="G26" s="355">
        <f t="shared" si="0"/>
        <v>0</v>
      </c>
      <c r="H26" s="115">
        <f>Gen!B27</f>
        <v>0</v>
      </c>
      <c r="I26" s="6" t="e">
        <f t="shared" si="2"/>
        <v>#DIV/0!</v>
      </c>
      <c r="J26" s="120" t="e">
        <f t="shared" si="1"/>
        <v>#DIV/0!</v>
      </c>
    </row>
    <row r="27" spans="1:14" ht="18.75">
      <c r="A27" s="97">
        <f>Gen!A28</f>
        <v>43879</v>
      </c>
      <c r="B27" s="355"/>
      <c r="C27" s="355"/>
      <c r="D27" s="355"/>
      <c r="E27" s="355"/>
      <c r="F27" s="355"/>
      <c r="G27" s="355">
        <f t="shared" si="0"/>
        <v>0</v>
      </c>
      <c r="H27" s="115">
        <f>Gen!B28</f>
        <v>0</v>
      </c>
      <c r="I27" s="6" t="e">
        <f t="shared" si="2"/>
        <v>#DIV/0!</v>
      </c>
      <c r="J27" s="120" t="e">
        <f t="shared" si="1"/>
        <v>#DIV/0!</v>
      </c>
    </row>
    <row r="28" spans="1:14" ht="18.75">
      <c r="A28" s="97">
        <f>Gen!A29</f>
        <v>43880</v>
      </c>
      <c r="B28" s="355"/>
      <c r="C28" s="355"/>
      <c r="D28" s="355"/>
      <c r="E28" s="355"/>
      <c r="F28" s="355"/>
      <c r="G28" s="355">
        <f t="shared" si="0"/>
        <v>0</v>
      </c>
      <c r="H28" s="115">
        <f>Gen!B29</f>
        <v>0</v>
      </c>
      <c r="I28" s="6" t="e">
        <f t="shared" si="2"/>
        <v>#DIV/0!</v>
      </c>
      <c r="J28" s="120" t="e">
        <f t="shared" si="1"/>
        <v>#DIV/0!</v>
      </c>
    </row>
    <row r="29" spans="1:14" ht="18.75">
      <c r="A29" s="97">
        <f>Gen!A30</f>
        <v>43881</v>
      </c>
      <c r="B29" s="355"/>
      <c r="C29" s="355"/>
      <c r="D29" s="355"/>
      <c r="E29" s="355"/>
      <c r="F29" s="355"/>
      <c r="G29" s="355">
        <f t="shared" si="0"/>
        <v>0</v>
      </c>
      <c r="H29" s="115">
        <f>Gen!B30</f>
        <v>0</v>
      </c>
      <c r="I29" s="6" t="e">
        <f t="shared" ref="I29:I41" si="3">SUM(F29/H29)</f>
        <v>#DIV/0!</v>
      </c>
      <c r="J29" s="120" t="e">
        <f t="shared" si="1"/>
        <v>#DIV/0!</v>
      </c>
    </row>
    <row r="30" spans="1:14" ht="18.75">
      <c r="A30" s="97">
        <f>Gen!A31</f>
        <v>43882</v>
      </c>
      <c r="B30" s="355"/>
      <c r="C30" s="355"/>
      <c r="D30" s="355"/>
      <c r="E30" s="355"/>
      <c r="F30" s="355"/>
      <c r="G30" s="355">
        <f t="shared" si="0"/>
        <v>0</v>
      </c>
      <c r="H30" s="115">
        <f>Gen!B31</f>
        <v>0</v>
      </c>
      <c r="I30" s="6" t="e">
        <f t="shared" si="3"/>
        <v>#DIV/0!</v>
      </c>
      <c r="J30" s="120" t="e">
        <f t="shared" si="1"/>
        <v>#DIV/0!</v>
      </c>
    </row>
    <row r="31" spans="1:14" ht="18.75">
      <c r="A31" s="97">
        <f>Gen!A32</f>
        <v>43883</v>
      </c>
      <c r="B31" s="355"/>
      <c r="C31" s="355"/>
      <c r="D31" s="355"/>
      <c r="E31" s="355"/>
      <c r="F31" s="355"/>
      <c r="G31" s="355">
        <f t="shared" si="0"/>
        <v>0</v>
      </c>
      <c r="H31" s="115">
        <f>Gen!B32</f>
        <v>0</v>
      </c>
      <c r="I31" s="6" t="e">
        <f t="shared" si="3"/>
        <v>#DIV/0!</v>
      </c>
      <c r="J31" s="120" t="e">
        <f t="shared" si="1"/>
        <v>#DIV/0!</v>
      </c>
    </row>
    <row r="32" spans="1:14" ht="18.75">
      <c r="A32" s="97">
        <f>Gen!A33</f>
        <v>43884</v>
      </c>
      <c r="B32" s="355"/>
      <c r="C32" s="355"/>
      <c r="D32" s="355"/>
      <c r="E32" s="355"/>
      <c r="F32" s="355"/>
      <c r="G32" s="355">
        <f t="shared" si="0"/>
        <v>0</v>
      </c>
      <c r="H32" s="115">
        <f>Gen!B33</f>
        <v>0</v>
      </c>
      <c r="I32" s="6" t="e">
        <f t="shared" si="3"/>
        <v>#DIV/0!</v>
      </c>
      <c r="J32" s="120" t="e">
        <f t="shared" si="1"/>
        <v>#DIV/0!</v>
      </c>
    </row>
    <row r="33" spans="1:10" ht="18.75">
      <c r="A33" s="97">
        <f>Gen!A34</f>
        <v>43885</v>
      </c>
      <c r="B33" s="355"/>
      <c r="C33" s="355"/>
      <c r="D33" s="355"/>
      <c r="E33" s="355"/>
      <c r="F33" s="355"/>
      <c r="G33" s="355">
        <f t="shared" si="0"/>
        <v>0</v>
      </c>
      <c r="H33" s="115">
        <f>Gen!B34</f>
        <v>0</v>
      </c>
      <c r="I33" s="6" t="e">
        <f t="shared" si="3"/>
        <v>#DIV/0!</v>
      </c>
      <c r="J33" s="120" t="e">
        <f t="shared" si="1"/>
        <v>#DIV/0!</v>
      </c>
    </row>
    <row r="34" spans="1:10" ht="18.75">
      <c r="A34" s="97">
        <f>Gen!A35</f>
        <v>43886</v>
      </c>
      <c r="B34" s="355"/>
      <c r="C34" s="355"/>
      <c r="D34" s="355"/>
      <c r="E34" s="355"/>
      <c r="F34" s="355"/>
      <c r="G34" s="355">
        <f t="shared" si="0"/>
        <v>0</v>
      </c>
      <c r="H34" s="115">
        <f>Gen!B35</f>
        <v>0</v>
      </c>
      <c r="I34" s="6" t="e">
        <f t="shared" si="3"/>
        <v>#DIV/0!</v>
      </c>
      <c r="J34" s="120" t="e">
        <f t="shared" si="1"/>
        <v>#DIV/0!</v>
      </c>
    </row>
    <row r="35" spans="1:10" ht="18.75">
      <c r="A35" s="97">
        <f>Gen!A36</f>
        <v>43887</v>
      </c>
      <c r="B35" s="355"/>
      <c r="C35" s="355"/>
      <c r="D35" s="355"/>
      <c r="E35" s="355"/>
      <c r="F35" s="355"/>
      <c r="G35" s="355">
        <f t="shared" si="0"/>
        <v>0</v>
      </c>
      <c r="H35" s="115">
        <f>Gen!B36</f>
        <v>0</v>
      </c>
      <c r="I35" s="6" t="e">
        <f t="shared" si="3"/>
        <v>#DIV/0!</v>
      </c>
      <c r="J35" s="120" t="e">
        <f t="shared" si="1"/>
        <v>#DIV/0!</v>
      </c>
    </row>
    <row r="36" spans="1:10" ht="18.75">
      <c r="A36" s="97">
        <f>Gen!A37</f>
        <v>43888</v>
      </c>
      <c r="B36" s="355"/>
      <c r="C36" s="355"/>
      <c r="D36" s="355"/>
      <c r="E36" s="355"/>
      <c r="F36" s="355"/>
      <c r="G36" s="355">
        <f t="shared" si="0"/>
        <v>0</v>
      </c>
      <c r="H36" s="115">
        <f>Gen!B37</f>
        <v>0</v>
      </c>
      <c r="I36" s="6" t="e">
        <f t="shared" si="3"/>
        <v>#DIV/0!</v>
      </c>
      <c r="J36" s="120" t="e">
        <f t="shared" si="1"/>
        <v>#DIV/0!</v>
      </c>
    </row>
    <row r="37" spans="1:10" ht="18.75">
      <c r="A37" s="97">
        <f>Gen!A38</f>
        <v>43889</v>
      </c>
      <c r="B37" s="355"/>
      <c r="C37" s="355"/>
      <c r="D37" s="355"/>
      <c r="E37" s="355"/>
      <c r="F37" s="355"/>
      <c r="G37" s="355">
        <f t="shared" si="0"/>
        <v>0</v>
      </c>
      <c r="H37" s="115">
        <f>Gen!B38</f>
        <v>0</v>
      </c>
      <c r="I37" s="6" t="e">
        <f t="shared" si="3"/>
        <v>#DIV/0!</v>
      </c>
      <c r="J37" s="120" t="e">
        <f t="shared" si="1"/>
        <v>#DIV/0!</v>
      </c>
    </row>
    <row r="38" spans="1:10" ht="18.75">
      <c r="A38" s="97">
        <f>Gen!A39</f>
        <v>43890</v>
      </c>
      <c r="B38" s="355"/>
      <c r="C38" s="355"/>
      <c r="D38" s="355"/>
      <c r="E38" s="355"/>
      <c r="F38" s="355"/>
      <c r="G38" s="355">
        <f t="shared" si="0"/>
        <v>0</v>
      </c>
      <c r="H38" s="115">
        <f>Gen!B39</f>
        <v>0</v>
      </c>
      <c r="I38" s="6" t="e">
        <f t="shared" si="3"/>
        <v>#DIV/0!</v>
      </c>
      <c r="J38" s="120" t="e">
        <f t="shared" si="1"/>
        <v>#DIV/0!</v>
      </c>
    </row>
    <row r="39" spans="1:10" ht="18.75">
      <c r="A39" s="97">
        <f>Gen!A40</f>
        <v>43891</v>
      </c>
      <c r="B39" s="355"/>
      <c r="C39" s="355"/>
      <c r="D39" s="355"/>
      <c r="E39" s="355"/>
      <c r="F39" s="355"/>
      <c r="G39" s="355">
        <f t="shared" si="0"/>
        <v>0</v>
      </c>
      <c r="H39" s="115">
        <f>Gen!B40</f>
        <v>0</v>
      </c>
      <c r="I39" s="6" t="e">
        <f t="shared" si="3"/>
        <v>#DIV/0!</v>
      </c>
      <c r="J39" s="120" t="e">
        <f t="shared" si="1"/>
        <v>#DIV/0!</v>
      </c>
    </row>
    <row r="40" spans="1:10" ht="18.75">
      <c r="A40" s="97">
        <f>Gen!A41</f>
        <v>43892</v>
      </c>
      <c r="B40" s="355"/>
      <c r="C40" s="355"/>
      <c r="D40" s="355"/>
      <c r="E40" s="355"/>
      <c r="F40" s="355"/>
      <c r="G40" s="355">
        <f t="shared" si="0"/>
        <v>0</v>
      </c>
      <c r="H40" s="115">
        <f>Gen!B41</f>
        <v>0</v>
      </c>
      <c r="I40" s="6" t="e">
        <f t="shared" si="3"/>
        <v>#DIV/0!</v>
      </c>
      <c r="J40" s="120" t="e">
        <f t="shared" si="1"/>
        <v>#DIV/0!</v>
      </c>
    </row>
    <row r="41" spans="1:10" ht="18.75">
      <c r="A41" s="97">
        <f>Gen!A42</f>
        <v>43893</v>
      </c>
      <c r="B41" s="355"/>
      <c r="C41" s="355"/>
      <c r="D41" s="355"/>
      <c r="E41" s="355"/>
      <c r="F41" s="355"/>
      <c r="G41" s="355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6" t="s">
        <v>6</v>
      </c>
      <c r="D42" s="816"/>
      <c r="E42" s="2">
        <f t="shared" ref="E42:F42" si="4">SUM(E10:E40)</f>
        <v>0</v>
      </c>
      <c r="F42" s="2">
        <f t="shared" si="4"/>
        <v>628131.68999999994</v>
      </c>
      <c r="G42" s="105">
        <f>SUM(G10:G40)</f>
        <v>-307256.40000000002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7" zoomScale="94" zoomScaleNormal="94" workbookViewId="0">
      <pane xSplit="1" topLeftCell="B1" activePane="topRight" state="frozen"/>
      <selection pane="topRight" activeCell="I56" sqref="I5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4" t="s">
        <v>317</v>
      </c>
      <c r="B1" s="845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5"/>
      <c r="U1" s="845"/>
      <c r="V1" s="845"/>
      <c r="W1" s="845"/>
      <c r="X1" s="845"/>
      <c r="Y1" s="845"/>
      <c r="Z1" s="845"/>
      <c r="AA1" s="845"/>
      <c r="AB1" s="845"/>
      <c r="AC1" s="845"/>
      <c r="AD1" s="845"/>
      <c r="AE1" s="845"/>
      <c r="AF1" s="845"/>
      <c r="AG1" s="845"/>
      <c r="AH1" s="845"/>
      <c r="AI1" s="845"/>
      <c r="AJ1" s="845"/>
      <c r="AK1" s="845"/>
      <c r="AL1" s="845"/>
      <c r="AM1" s="845"/>
      <c r="AN1" s="845"/>
    </row>
    <row r="2" spans="1:40" ht="13.5" customHeight="1" thickTop="1">
      <c r="A2" s="30"/>
      <c r="B2" s="30"/>
      <c r="C2" s="843" t="s">
        <v>53</v>
      </c>
      <c r="D2" s="843"/>
      <c r="E2" s="843"/>
      <c r="F2" s="843" t="s">
        <v>17</v>
      </c>
      <c r="G2" s="843"/>
      <c r="H2" s="843"/>
      <c r="I2" s="843" t="s">
        <v>132</v>
      </c>
      <c r="J2" s="843"/>
      <c r="K2" s="843"/>
      <c r="L2" s="843" t="s">
        <v>135</v>
      </c>
      <c r="M2" s="843"/>
      <c r="N2" s="843"/>
      <c r="O2" s="843" t="s">
        <v>133</v>
      </c>
      <c r="P2" s="843"/>
      <c r="Q2" s="843"/>
      <c r="R2" s="335"/>
      <c r="S2" s="852" t="s">
        <v>183</v>
      </c>
      <c r="T2" s="853"/>
      <c r="U2" s="854"/>
      <c r="V2" s="852" t="s">
        <v>184</v>
      </c>
      <c r="W2" s="853"/>
      <c r="X2" s="854"/>
      <c r="Y2" s="852" t="s">
        <v>185</v>
      </c>
      <c r="Z2" s="853"/>
      <c r="AA2" s="854"/>
      <c r="AB2" s="852" t="s">
        <v>186</v>
      </c>
      <c r="AC2" s="853"/>
      <c r="AD2" s="854"/>
      <c r="AE2" s="846" t="s">
        <v>241</v>
      </c>
      <c r="AF2" s="847"/>
      <c r="AG2" s="858"/>
      <c r="AH2" s="846" t="s">
        <v>245</v>
      </c>
      <c r="AI2" s="847"/>
      <c r="AJ2" s="858"/>
      <c r="AK2" s="846" t="s">
        <v>242</v>
      </c>
      <c r="AL2" s="847"/>
      <c r="AM2" s="847"/>
      <c r="AN2" s="850" t="s">
        <v>191</v>
      </c>
    </row>
    <row r="3" spans="1:40" ht="21.75" customHeight="1" thickBot="1">
      <c r="A3" s="841" t="s">
        <v>7</v>
      </c>
      <c r="B3" s="30"/>
      <c r="C3" s="843" t="s">
        <v>134</v>
      </c>
      <c r="D3" s="843" t="s">
        <v>15</v>
      </c>
      <c r="E3" s="843" t="s">
        <v>16</v>
      </c>
      <c r="F3" s="843" t="s">
        <v>134</v>
      </c>
      <c r="G3" s="843" t="s">
        <v>15</v>
      </c>
      <c r="H3" s="843" t="s">
        <v>16</v>
      </c>
      <c r="I3" s="843" t="s">
        <v>134</v>
      </c>
      <c r="J3" s="843" t="s">
        <v>15</v>
      </c>
      <c r="K3" s="843" t="s">
        <v>16</v>
      </c>
      <c r="L3" s="843" t="s">
        <v>134</v>
      </c>
      <c r="M3" s="843" t="s">
        <v>15</v>
      </c>
      <c r="N3" s="843" t="s">
        <v>16</v>
      </c>
      <c r="O3" s="843" t="s">
        <v>134</v>
      </c>
      <c r="P3" s="843" t="s">
        <v>15</v>
      </c>
      <c r="Q3" s="843" t="s">
        <v>16</v>
      </c>
      <c r="R3" s="860" t="s">
        <v>187</v>
      </c>
      <c r="S3" s="855"/>
      <c r="T3" s="856"/>
      <c r="U3" s="857"/>
      <c r="V3" s="855"/>
      <c r="W3" s="856"/>
      <c r="X3" s="857"/>
      <c r="Y3" s="855"/>
      <c r="Z3" s="856"/>
      <c r="AA3" s="857"/>
      <c r="AB3" s="855"/>
      <c r="AC3" s="856"/>
      <c r="AD3" s="857"/>
      <c r="AE3" s="848"/>
      <c r="AF3" s="849"/>
      <c r="AG3" s="859"/>
      <c r="AH3" s="848"/>
      <c r="AI3" s="849"/>
      <c r="AJ3" s="859"/>
      <c r="AK3" s="848"/>
      <c r="AL3" s="849"/>
      <c r="AM3" s="849"/>
      <c r="AN3" s="851"/>
    </row>
    <row r="4" spans="1:40" ht="15.75" thickTop="1">
      <c r="A4" s="842"/>
      <c r="B4" s="327"/>
      <c r="C4" s="843"/>
      <c r="D4" s="843"/>
      <c r="E4" s="843"/>
      <c r="F4" s="843"/>
      <c r="G4" s="843"/>
      <c r="H4" s="843"/>
      <c r="I4" s="843"/>
      <c r="J4" s="843"/>
      <c r="K4" s="843"/>
      <c r="L4" s="843"/>
      <c r="M4" s="843"/>
      <c r="N4" s="843"/>
      <c r="O4" s="843"/>
      <c r="P4" s="843"/>
      <c r="Q4" s="843"/>
      <c r="R4" s="860"/>
      <c r="S4" s="341" t="s">
        <v>188</v>
      </c>
      <c r="T4" s="342" t="s">
        <v>189</v>
      </c>
      <c r="U4" s="339" t="s">
        <v>190</v>
      </c>
      <c r="V4" s="337" t="s">
        <v>188</v>
      </c>
      <c r="W4" s="338" t="s">
        <v>189</v>
      </c>
      <c r="X4" s="339" t="s">
        <v>190</v>
      </c>
      <c r="Y4" s="337" t="s">
        <v>188</v>
      </c>
      <c r="Z4" s="338" t="s">
        <v>189</v>
      </c>
      <c r="AA4" s="339" t="s">
        <v>190</v>
      </c>
      <c r="AB4" s="337" t="s">
        <v>188</v>
      </c>
      <c r="AC4" s="338" t="s">
        <v>189</v>
      </c>
      <c r="AD4" s="381" t="s">
        <v>120</v>
      </c>
      <c r="AE4" s="337" t="s">
        <v>188</v>
      </c>
      <c r="AF4" s="338" t="s">
        <v>189</v>
      </c>
      <c r="AG4" s="382" t="s">
        <v>120</v>
      </c>
      <c r="AH4" s="337" t="s">
        <v>188</v>
      </c>
      <c r="AI4" s="338" t="s">
        <v>189</v>
      </c>
      <c r="AJ4" s="382" t="s">
        <v>120</v>
      </c>
      <c r="AK4" s="337" t="s">
        <v>188</v>
      </c>
      <c r="AL4" s="338" t="s">
        <v>189</v>
      </c>
      <c r="AM4" s="382" t="s">
        <v>120</v>
      </c>
      <c r="AN4" s="383"/>
    </row>
    <row r="5" spans="1:40" ht="18.75">
      <c r="A5" s="4"/>
      <c r="B5" s="4"/>
      <c r="C5" s="98">
        <f t="shared" ref="C5:C24" si="0">D4</f>
        <v>0</v>
      </c>
      <c r="D5" s="1">
        <v>226136</v>
      </c>
      <c r="E5" s="59">
        <f t="shared" ref="E5:E16" si="1">IF((D5-D4)&lt;0,"0",(D5-D4))</f>
        <v>226136</v>
      </c>
      <c r="F5" s="98">
        <f t="shared" ref="F5:F37" si="2">G4</f>
        <v>0</v>
      </c>
      <c r="G5" s="522">
        <v>38000</v>
      </c>
      <c r="H5" s="646">
        <f t="shared" ref="H5:H25" si="3">IF((G5-G4)&lt;0,"0",(G5-G4))</f>
        <v>38000</v>
      </c>
      <c r="I5" s="98">
        <f t="shared" ref="I5:I24" si="4">J4</f>
        <v>0</v>
      </c>
      <c r="J5" s="1">
        <v>7712</v>
      </c>
      <c r="K5" s="646">
        <f t="shared" ref="K5:K24" si="5">IF((J5-J4)&lt;0,"0",(J5-J4))</f>
        <v>7712</v>
      </c>
      <c r="L5" s="98">
        <f t="shared" ref="L5:L24" si="6">M4</f>
        <v>0</v>
      </c>
      <c r="M5" s="1">
        <v>11630</v>
      </c>
      <c r="N5" s="646">
        <f t="shared" ref="N5:N24" si="7">IF((M5-M4)&lt;0,"0",(M5-M4))</f>
        <v>11630</v>
      </c>
      <c r="O5" s="98">
        <f t="shared" ref="O5:O24" si="8">P4</f>
        <v>0</v>
      </c>
      <c r="P5" s="516">
        <v>19637</v>
      </c>
      <c r="Q5" s="646">
        <f t="shared" ref="Q5:Q24" si="9">IF((P5-P4)&lt;0,"0",(P5-P4))</f>
        <v>19637</v>
      </c>
      <c r="R5" s="329"/>
      <c r="S5" s="328"/>
      <c r="T5" s="517">
        <v>48536</v>
      </c>
      <c r="U5" s="328" t="str">
        <f t="shared" ref="U5:V20" si="10">V4</f>
        <v xml:space="preserve">OPEN </v>
      </c>
      <c r="V5" s="328" t="str">
        <f t="shared" si="10"/>
        <v>FINAL</v>
      </c>
      <c r="W5" s="517">
        <v>69032</v>
      </c>
      <c r="X5" s="329"/>
      <c r="Y5" s="328" t="str">
        <f t="shared" ref="Y5:Y37" si="11">Z4</f>
        <v>FINAL</v>
      </c>
      <c r="Z5" s="517">
        <v>78136</v>
      </c>
      <c r="AA5" s="329"/>
      <c r="AB5" s="328" t="str">
        <f t="shared" ref="AB5:AB37" si="12">AC4</f>
        <v>FINAL</v>
      </c>
      <c r="AC5" s="752">
        <v>12539</v>
      </c>
      <c r="AD5" s="343"/>
      <c r="AE5" s="328" t="str">
        <f t="shared" ref="AE5:AE37" si="13">AF4</f>
        <v>FINAL</v>
      </c>
      <c r="AF5" s="753">
        <v>15965</v>
      </c>
      <c r="AG5" s="343"/>
      <c r="AH5" s="328" t="str">
        <f t="shared" ref="AH5:AH37" si="14">AI4</f>
        <v>FINAL</v>
      </c>
      <c r="AI5" s="753">
        <v>24347</v>
      </c>
      <c r="AJ5" s="343"/>
      <c r="AK5" s="421" t="str">
        <f t="shared" ref="AK5:AK37" si="15">AL4</f>
        <v>FINAL</v>
      </c>
      <c r="AL5" s="517">
        <v>15154</v>
      </c>
      <c r="AM5" s="343"/>
      <c r="AN5" s="524"/>
    </row>
    <row r="6" spans="1:40" ht="23.1" customHeight="1">
      <c r="A6" s="58">
        <f>Gen!A11</f>
        <v>43862</v>
      </c>
      <c r="B6" s="4"/>
      <c r="C6" s="98">
        <f t="shared" si="0"/>
        <v>226136</v>
      </c>
      <c r="D6" s="1">
        <v>226249</v>
      </c>
      <c r="E6" s="59">
        <f t="shared" si="1"/>
        <v>113</v>
      </c>
      <c r="F6" s="98">
        <f t="shared" si="2"/>
        <v>38000</v>
      </c>
      <c r="G6" s="522">
        <v>38000</v>
      </c>
      <c r="H6" s="646">
        <f t="shared" si="3"/>
        <v>0</v>
      </c>
      <c r="I6" s="98">
        <f t="shared" si="4"/>
        <v>7712</v>
      </c>
      <c r="J6" s="1">
        <v>7715</v>
      </c>
      <c r="K6" s="646">
        <f t="shared" si="5"/>
        <v>3</v>
      </c>
      <c r="L6" s="98">
        <f t="shared" si="6"/>
        <v>11630</v>
      </c>
      <c r="M6" s="1"/>
      <c r="N6" s="646" t="str">
        <f t="shared" si="7"/>
        <v>0</v>
      </c>
      <c r="O6" s="98">
        <f t="shared" si="8"/>
        <v>19637</v>
      </c>
      <c r="P6" s="516">
        <v>19646</v>
      </c>
      <c r="Q6" s="646">
        <f t="shared" si="9"/>
        <v>9</v>
      </c>
      <c r="R6" s="333"/>
      <c r="S6" s="328">
        <f t="shared" ref="S6:S24" si="16">T5</f>
        <v>48536</v>
      </c>
      <c r="T6" s="517">
        <v>48585</v>
      </c>
      <c r="U6" s="647">
        <f t="shared" ref="U6:U37" si="17">IF((T6-T5)&lt;0,"0",(T6-T5))</f>
        <v>49</v>
      </c>
      <c r="V6" s="328">
        <f t="shared" si="10"/>
        <v>69032</v>
      </c>
      <c r="W6" s="517">
        <v>69094</v>
      </c>
      <c r="X6" s="647">
        <f t="shared" ref="X6:X37" si="18">IF((W6-W5)&lt;0,"0",(W6-W5))</f>
        <v>62</v>
      </c>
      <c r="Y6" s="328">
        <f t="shared" si="11"/>
        <v>78136</v>
      </c>
      <c r="Z6" s="517">
        <v>78186</v>
      </c>
      <c r="AA6" s="647">
        <f t="shared" ref="AA6:AA37" si="19">IF((Z6-Z5)&lt;0,"0",(Z6-Z5))</f>
        <v>50</v>
      </c>
      <c r="AB6" s="328">
        <f t="shared" si="12"/>
        <v>12539</v>
      </c>
      <c r="AC6" s="650">
        <v>12554</v>
      </c>
      <c r="AD6" s="647">
        <f t="shared" ref="AD6:AD37" si="20">IF((AC6-AC5)&lt;0,"0",(AC6-AC5))</f>
        <v>15</v>
      </c>
      <c r="AE6" s="328">
        <f t="shared" si="13"/>
        <v>15965</v>
      </c>
      <c r="AF6" s="518">
        <v>15989</v>
      </c>
      <c r="AG6" s="647">
        <f t="shared" ref="AG6:AG37" si="21">IF((AF6-AF5)&lt;0,"0",(AF6-AF5))</f>
        <v>24</v>
      </c>
      <c r="AH6" s="328">
        <f t="shared" si="14"/>
        <v>24347</v>
      </c>
      <c r="AI6" s="518">
        <v>24347</v>
      </c>
      <c r="AJ6" s="647">
        <f t="shared" ref="AJ6:AJ37" si="22">IF((AI6-AI5)&lt;0,"0",(AI6-AI5))</f>
        <v>0</v>
      </c>
      <c r="AK6" s="421">
        <f t="shared" si="15"/>
        <v>15154</v>
      </c>
      <c r="AL6" s="517">
        <v>15154</v>
      </c>
      <c r="AM6" s="647">
        <f t="shared" ref="AM6:AM37" si="23">IF((AL6-AL5)&lt;0,"0",(AL6-AL5))</f>
        <v>0</v>
      </c>
      <c r="AN6" s="524">
        <f>U6+X6+AA6+AD6+AG6+AJ6+AM6</f>
        <v>200</v>
      </c>
    </row>
    <row r="7" spans="1:40" ht="23.1" customHeight="1">
      <c r="A7" s="58">
        <f>Gen!A12</f>
        <v>43863</v>
      </c>
      <c r="B7" s="4"/>
      <c r="C7" s="98">
        <f t="shared" si="0"/>
        <v>226249</v>
      </c>
      <c r="D7" s="1">
        <v>226346</v>
      </c>
      <c r="E7" s="59">
        <f t="shared" si="1"/>
        <v>97</v>
      </c>
      <c r="F7" s="98">
        <f t="shared" si="2"/>
        <v>38000</v>
      </c>
      <c r="G7" s="522">
        <v>38000</v>
      </c>
      <c r="H7" s="646">
        <f t="shared" si="3"/>
        <v>0</v>
      </c>
      <c r="I7" s="98">
        <f t="shared" si="4"/>
        <v>7715</v>
      </c>
      <c r="J7" s="1">
        <v>7717</v>
      </c>
      <c r="K7" s="646">
        <f t="shared" si="5"/>
        <v>2</v>
      </c>
      <c r="L7" s="98">
        <f t="shared" si="6"/>
        <v>0</v>
      </c>
      <c r="M7" s="1"/>
      <c r="N7" s="646">
        <f t="shared" si="7"/>
        <v>0</v>
      </c>
      <c r="O7" s="98">
        <f t="shared" si="8"/>
        <v>19646</v>
      </c>
      <c r="P7" s="516">
        <v>19654</v>
      </c>
      <c r="Q7" s="646">
        <f t="shared" si="9"/>
        <v>8</v>
      </c>
      <c r="R7" s="333"/>
      <c r="S7" s="328">
        <f t="shared" si="16"/>
        <v>48585</v>
      </c>
      <c r="T7" s="517">
        <v>48604</v>
      </c>
      <c r="U7" s="647">
        <f t="shared" si="17"/>
        <v>19</v>
      </c>
      <c r="V7" s="328">
        <f t="shared" si="10"/>
        <v>69094</v>
      </c>
      <c r="W7" s="517">
        <v>69124</v>
      </c>
      <c r="X7" s="647">
        <f t="shared" si="18"/>
        <v>30</v>
      </c>
      <c r="Y7" s="328">
        <f t="shared" si="11"/>
        <v>78186</v>
      </c>
      <c r="Z7" s="517">
        <v>78236</v>
      </c>
      <c r="AA7" s="647">
        <f t="shared" si="19"/>
        <v>50</v>
      </c>
      <c r="AB7" s="328">
        <f t="shared" si="12"/>
        <v>12554</v>
      </c>
      <c r="AC7" s="650">
        <v>12570</v>
      </c>
      <c r="AD7" s="647">
        <f t="shared" si="20"/>
        <v>16</v>
      </c>
      <c r="AE7" s="328">
        <f t="shared" si="13"/>
        <v>15989</v>
      </c>
      <c r="AF7" s="518">
        <v>16014</v>
      </c>
      <c r="AG7" s="647">
        <f t="shared" si="21"/>
        <v>25</v>
      </c>
      <c r="AH7" s="328">
        <f t="shared" si="14"/>
        <v>24347</v>
      </c>
      <c r="AI7" s="518">
        <v>24347</v>
      </c>
      <c r="AJ7" s="647">
        <f t="shared" si="22"/>
        <v>0</v>
      </c>
      <c r="AK7" s="421">
        <f t="shared" si="15"/>
        <v>15154</v>
      </c>
      <c r="AL7" s="517">
        <v>15154</v>
      </c>
      <c r="AM7" s="647">
        <f t="shared" si="23"/>
        <v>0</v>
      </c>
      <c r="AN7" s="524">
        <f t="shared" ref="AN7:AN36" si="24">U7+X7+AA7+AD7+AG7+AJ7+AM7</f>
        <v>140</v>
      </c>
    </row>
    <row r="8" spans="1:40" ht="23.1" customHeight="1">
      <c r="A8" s="58">
        <f>Gen!A13</f>
        <v>43864</v>
      </c>
      <c r="B8" s="4"/>
      <c r="C8" s="98">
        <f t="shared" si="0"/>
        <v>226346</v>
      </c>
      <c r="D8" s="1">
        <v>226453</v>
      </c>
      <c r="E8" s="59">
        <f t="shared" si="1"/>
        <v>107</v>
      </c>
      <c r="F8" s="98">
        <f t="shared" si="2"/>
        <v>38000</v>
      </c>
      <c r="G8" s="522">
        <v>38000</v>
      </c>
      <c r="H8" s="646">
        <f t="shared" si="3"/>
        <v>0</v>
      </c>
      <c r="I8" s="98">
        <f t="shared" si="4"/>
        <v>7717</v>
      </c>
      <c r="J8" s="1">
        <v>7720</v>
      </c>
      <c r="K8" s="646">
        <f t="shared" si="5"/>
        <v>3</v>
      </c>
      <c r="L8" s="98">
        <f t="shared" si="6"/>
        <v>0</v>
      </c>
      <c r="M8" s="1"/>
      <c r="N8" s="646">
        <f t="shared" si="7"/>
        <v>0</v>
      </c>
      <c r="O8" s="98">
        <f t="shared" si="8"/>
        <v>19654</v>
      </c>
      <c r="P8" s="516">
        <v>19664</v>
      </c>
      <c r="Q8" s="646">
        <f t="shared" si="9"/>
        <v>10</v>
      </c>
      <c r="R8" s="333"/>
      <c r="S8" s="328">
        <f t="shared" si="16"/>
        <v>48604</v>
      </c>
      <c r="T8" s="517">
        <v>48604</v>
      </c>
      <c r="U8" s="647">
        <f t="shared" si="17"/>
        <v>0</v>
      </c>
      <c r="V8" s="328">
        <f t="shared" si="10"/>
        <v>69124</v>
      </c>
      <c r="W8" s="517">
        <v>69124</v>
      </c>
      <c r="X8" s="647">
        <f t="shared" si="18"/>
        <v>0</v>
      </c>
      <c r="Y8" s="328">
        <f t="shared" si="11"/>
        <v>78236</v>
      </c>
      <c r="Z8" s="517">
        <v>78286</v>
      </c>
      <c r="AA8" s="647">
        <f t="shared" si="19"/>
        <v>50</v>
      </c>
      <c r="AB8" s="328">
        <f t="shared" si="12"/>
        <v>12570</v>
      </c>
      <c r="AC8" s="650">
        <v>12587</v>
      </c>
      <c r="AD8" s="647">
        <f t="shared" si="20"/>
        <v>17</v>
      </c>
      <c r="AE8" s="328">
        <f t="shared" si="13"/>
        <v>16014</v>
      </c>
      <c r="AF8" s="518">
        <v>16040</v>
      </c>
      <c r="AG8" s="647">
        <f t="shared" si="21"/>
        <v>26</v>
      </c>
      <c r="AH8" s="328">
        <f t="shared" si="14"/>
        <v>24347</v>
      </c>
      <c r="AI8" s="518">
        <v>24347</v>
      </c>
      <c r="AJ8" s="647">
        <f t="shared" si="22"/>
        <v>0</v>
      </c>
      <c r="AK8" s="421">
        <f t="shared" si="15"/>
        <v>15154</v>
      </c>
      <c r="AL8" s="517">
        <v>15154</v>
      </c>
      <c r="AM8" s="647">
        <f t="shared" si="23"/>
        <v>0</v>
      </c>
      <c r="AN8" s="524">
        <f t="shared" si="24"/>
        <v>93</v>
      </c>
    </row>
    <row r="9" spans="1:40" ht="23.1" customHeight="1">
      <c r="A9" s="58">
        <f>Gen!A14</f>
        <v>43865</v>
      </c>
      <c r="B9" s="4"/>
      <c r="C9" s="98">
        <f t="shared" si="0"/>
        <v>226453</v>
      </c>
      <c r="D9" s="1">
        <v>226592</v>
      </c>
      <c r="E9" s="59">
        <f t="shared" si="1"/>
        <v>139</v>
      </c>
      <c r="F9" s="98">
        <f t="shared" si="2"/>
        <v>38000</v>
      </c>
      <c r="G9" s="522">
        <v>38000</v>
      </c>
      <c r="H9" s="646">
        <f t="shared" si="3"/>
        <v>0</v>
      </c>
      <c r="I9" s="98">
        <f t="shared" si="4"/>
        <v>7720</v>
      </c>
      <c r="J9" s="1">
        <v>7724</v>
      </c>
      <c r="K9" s="646">
        <f t="shared" si="5"/>
        <v>4</v>
      </c>
      <c r="L9" s="98">
        <f t="shared" si="6"/>
        <v>0</v>
      </c>
      <c r="M9" s="1"/>
      <c r="N9" s="646">
        <f t="shared" si="7"/>
        <v>0</v>
      </c>
      <c r="O9" s="98">
        <f t="shared" si="8"/>
        <v>19664</v>
      </c>
      <c r="P9" s="516">
        <v>19669</v>
      </c>
      <c r="Q9" s="646">
        <f t="shared" si="9"/>
        <v>5</v>
      </c>
      <c r="R9" s="333"/>
      <c r="S9" s="328">
        <f t="shared" si="16"/>
        <v>48604</v>
      </c>
      <c r="T9" s="517">
        <v>48604</v>
      </c>
      <c r="U9" s="647">
        <f t="shared" si="17"/>
        <v>0</v>
      </c>
      <c r="V9" s="328">
        <f t="shared" si="10"/>
        <v>69124</v>
      </c>
      <c r="W9" s="517">
        <v>69124</v>
      </c>
      <c r="X9" s="647">
        <f t="shared" si="18"/>
        <v>0</v>
      </c>
      <c r="Y9" s="328">
        <f t="shared" si="11"/>
        <v>78286</v>
      </c>
      <c r="Z9" s="517">
        <v>78338</v>
      </c>
      <c r="AA9" s="647">
        <f t="shared" si="19"/>
        <v>52</v>
      </c>
      <c r="AB9" s="328">
        <f t="shared" si="12"/>
        <v>12587</v>
      </c>
      <c r="AC9" s="650">
        <v>12604</v>
      </c>
      <c r="AD9" s="647">
        <f t="shared" si="20"/>
        <v>17</v>
      </c>
      <c r="AE9" s="328">
        <f t="shared" si="13"/>
        <v>16040</v>
      </c>
      <c r="AF9" s="518">
        <v>16065</v>
      </c>
      <c r="AG9" s="647">
        <f t="shared" si="21"/>
        <v>25</v>
      </c>
      <c r="AH9" s="328">
        <f t="shared" si="14"/>
        <v>24347</v>
      </c>
      <c r="AI9" s="518">
        <v>24347</v>
      </c>
      <c r="AJ9" s="647">
        <f t="shared" si="22"/>
        <v>0</v>
      </c>
      <c r="AK9" s="421">
        <f t="shared" si="15"/>
        <v>15154</v>
      </c>
      <c r="AL9" s="517">
        <v>15154</v>
      </c>
      <c r="AM9" s="647">
        <f t="shared" si="23"/>
        <v>0</v>
      </c>
      <c r="AN9" s="524">
        <f t="shared" si="24"/>
        <v>94</v>
      </c>
    </row>
    <row r="10" spans="1:40" ht="23.1" customHeight="1">
      <c r="A10" s="58">
        <f>Gen!A15</f>
        <v>43866</v>
      </c>
      <c r="B10" s="4"/>
      <c r="C10" s="98">
        <f t="shared" si="0"/>
        <v>226592</v>
      </c>
      <c r="D10" s="1">
        <v>226733</v>
      </c>
      <c r="E10" s="59">
        <f t="shared" si="1"/>
        <v>141</v>
      </c>
      <c r="F10" s="98">
        <f t="shared" si="2"/>
        <v>38000</v>
      </c>
      <c r="G10" s="522">
        <v>38000</v>
      </c>
      <c r="H10" s="646">
        <f t="shared" si="3"/>
        <v>0</v>
      </c>
      <c r="I10" s="98">
        <f t="shared" si="4"/>
        <v>7724</v>
      </c>
      <c r="J10" s="1">
        <v>7729</v>
      </c>
      <c r="K10" s="646">
        <f t="shared" si="5"/>
        <v>5</v>
      </c>
      <c r="L10" s="98">
        <f t="shared" si="6"/>
        <v>0</v>
      </c>
      <c r="M10" s="1"/>
      <c r="N10" s="646">
        <f t="shared" si="7"/>
        <v>0</v>
      </c>
      <c r="O10" s="98">
        <f t="shared" si="8"/>
        <v>19669</v>
      </c>
      <c r="P10" s="516">
        <v>19673</v>
      </c>
      <c r="Q10" s="646">
        <f t="shared" si="9"/>
        <v>4</v>
      </c>
      <c r="R10" s="333"/>
      <c r="S10" s="328">
        <f t="shared" si="16"/>
        <v>48604</v>
      </c>
      <c r="T10" s="517">
        <v>48653</v>
      </c>
      <c r="U10" s="647">
        <f t="shared" si="17"/>
        <v>49</v>
      </c>
      <c r="V10" s="328">
        <f t="shared" si="10"/>
        <v>69124</v>
      </c>
      <c r="W10" s="517">
        <v>69179</v>
      </c>
      <c r="X10" s="647">
        <f t="shared" si="18"/>
        <v>55</v>
      </c>
      <c r="Y10" s="328">
        <f t="shared" si="11"/>
        <v>78338</v>
      </c>
      <c r="Z10" s="517">
        <v>78377</v>
      </c>
      <c r="AA10" s="647">
        <f t="shared" si="19"/>
        <v>39</v>
      </c>
      <c r="AB10" s="328">
        <f t="shared" si="12"/>
        <v>12604</v>
      </c>
      <c r="AC10" s="651">
        <v>12616</v>
      </c>
      <c r="AD10" s="647">
        <f t="shared" si="20"/>
        <v>12</v>
      </c>
      <c r="AE10" s="328">
        <f t="shared" si="13"/>
        <v>16065</v>
      </c>
      <c r="AF10" s="518">
        <v>16088</v>
      </c>
      <c r="AG10" s="647">
        <f t="shared" si="21"/>
        <v>23</v>
      </c>
      <c r="AH10" s="328">
        <f t="shared" si="14"/>
        <v>24347</v>
      </c>
      <c r="AI10" s="518">
        <v>24347</v>
      </c>
      <c r="AJ10" s="647">
        <f t="shared" si="22"/>
        <v>0</v>
      </c>
      <c r="AK10" s="421">
        <f t="shared" si="15"/>
        <v>15154</v>
      </c>
      <c r="AL10" s="517">
        <v>15154</v>
      </c>
      <c r="AM10" s="647">
        <f t="shared" si="23"/>
        <v>0</v>
      </c>
      <c r="AN10" s="524">
        <f t="shared" si="24"/>
        <v>178</v>
      </c>
    </row>
    <row r="11" spans="1:40" ht="23.1" customHeight="1">
      <c r="A11" s="58">
        <f>Gen!A16</f>
        <v>43867</v>
      </c>
      <c r="B11" s="4"/>
      <c r="C11" s="98">
        <f t="shared" si="0"/>
        <v>226733</v>
      </c>
      <c r="D11" s="1">
        <v>226862</v>
      </c>
      <c r="E11" s="59">
        <f t="shared" si="1"/>
        <v>129</v>
      </c>
      <c r="F11" s="98">
        <f t="shared" si="2"/>
        <v>38000</v>
      </c>
      <c r="G11" s="522">
        <v>38000</v>
      </c>
      <c r="H11" s="646">
        <f t="shared" si="3"/>
        <v>0</v>
      </c>
      <c r="I11" s="98">
        <f t="shared" si="4"/>
        <v>7729</v>
      </c>
      <c r="J11" s="1">
        <v>7733</v>
      </c>
      <c r="K11" s="646">
        <f t="shared" si="5"/>
        <v>4</v>
      </c>
      <c r="L11" s="98">
        <f t="shared" si="6"/>
        <v>0</v>
      </c>
      <c r="M11" s="1"/>
      <c r="N11" s="646">
        <f t="shared" si="7"/>
        <v>0</v>
      </c>
      <c r="O11" s="98">
        <f t="shared" si="8"/>
        <v>19673</v>
      </c>
      <c r="P11" s="516">
        <v>19688</v>
      </c>
      <c r="Q11" s="646">
        <f t="shared" si="9"/>
        <v>15</v>
      </c>
      <c r="R11" s="333"/>
      <c r="S11" s="328">
        <f t="shared" si="16"/>
        <v>48653</v>
      </c>
      <c r="T11" s="517">
        <v>48706</v>
      </c>
      <c r="U11" s="647">
        <f t="shared" si="17"/>
        <v>53</v>
      </c>
      <c r="V11" s="328">
        <f t="shared" si="10"/>
        <v>69179</v>
      </c>
      <c r="W11" s="517">
        <v>69244</v>
      </c>
      <c r="X11" s="647">
        <f t="shared" si="18"/>
        <v>65</v>
      </c>
      <c r="Y11" s="328">
        <f t="shared" si="11"/>
        <v>78377</v>
      </c>
      <c r="Z11" s="517">
        <v>78410</v>
      </c>
      <c r="AA11" s="647">
        <f t="shared" si="19"/>
        <v>33</v>
      </c>
      <c r="AB11" s="328">
        <f t="shared" si="12"/>
        <v>12616</v>
      </c>
      <c r="AC11" s="651">
        <v>12629</v>
      </c>
      <c r="AD11" s="647">
        <f t="shared" si="20"/>
        <v>13</v>
      </c>
      <c r="AE11" s="328">
        <f t="shared" si="13"/>
        <v>16088</v>
      </c>
      <c r="AF11" s="518">
        <v>16112</v>
      </c>
      <c r="AG11" s="647">
        <f t="shared" si="21"/>
        <v>24</v>
      </c>
      <c r="AH11" s="328">
        <f t="shared" si="14"/>
        <v>24347</v>
      </c>
      <c r="AI11" s="518">
        <v>24347</v>
      </c>
      <c r="AJ11" s="647">
        <f t="shared" si="22"/>
        <v>0</v>
      </c>
      <c r="AK11" s="421">
        <f t="shared" si="15"/>
        <v>15154</v>
      </c>
      <c r="AL11" s="517">
        <v>15154</v>
      </c>
      <c r="AM11" s="647">
        <f t="shared" si="23"/>
        <v>0</v>
      </c>
      <c r="AN11" s="524">
        <f t="shared" si="24"/>
        <v>188</v>
      </c>
    </row>
    <row r="12" spans="1:40" ht="23.1" customHeight="1">
      <c r="A12" s="58">
        <f>Gen!A17</f>
        <v>43868</v>
      </c>
      <c r="B12" s="4"/>
      <c r="C12" s="98">
        <f t="shared" si="0"/>
        <v>226862</v>
      </c>
      <c r="D12" s="1">
        <v>226991</v>
      </c>
      <c r="E12" s="59">
        <f t="shared" si="1"/>
        <v>129</v>
      </c>
      <c r="F12" s="98">
        <f t="shared" si="2"/>
        <v>38000</v>
      </c>
      <c r="G12" s="522">
        <v>38000</v>
      </c>
      <c r="H12" s="646">
        <f t="shared" si="3"/>
        <v>0</v>
      </c>
      <c r="I12" s="98">
        <f t="shared" si="4"/>
        <v>7733</v>
      </c>
      <c r="J12" s="1">
        <v>7737</v>
      </c>
      <c r="K12" s="646">
        <f t="shared" si="5"/>
        <v>4</v>
      </c>
      <c r="L12" s="98">
        <f t="shared" si="6"/>
        <v>0</v>
      </c>
      <c r="M12" s="1"/>
      <c r="N12" s="646">
        <f t="shared" si="7"/>
        <v>0</v>
      </c>
      <c r="O12" s="98">
        <f t="shared" si="8"/>
        <v>19688</v>
      </c>
      <c r="P12" s="516">
        <v>19699</v>
      </c>
      <c r="Q12" s="646">
        <f t="shared" si="9"/>
        <v>11</v>
      </c>
      <c r="R12" s="333"/>
      <c r="S12" s="328">
        <f t="shared" si="16"/>
        <v>48706</v>
      </c>
      <c r="T12" s="517">
        <v>48758</v>
      </c>
      <c r="U12" s="647">
        <f t="shared" si="17"/>
        <v>52</v>
      </c>
      <c r="V12" s="328">
        <f t="shared" si="10"/>
        <v>69244</v>
      </c>
      <c r="W12" s="517">
        <v>69304</v>
      </c>
      <c r="X12" s="647">
        <f t="shared" si="18"/>
        <v>60</v>
      </c>
      <c r="Y12" s="328">
        <f t="shared" si="11"/>
        <v>78410</v>
      </c>
      <c r="Z12" s="517">
        <v>78440</v>
      </c>
      <c r="AA12" s="647">
        <f t="shared" si="19"/>
        <v>30</v>
      </c>
      <c r="AB12" s="328">
        <f t="shared" si="12"/>
        <v>12629</v>
      </c>
      <c r="AC12" s="651">
        <v>12642</v>
      </c>
      <c r="AD12" s="647">
        <f t="shared" si="20"/>
        <v>13</v>
      </c>
      <c r="AE12" s="328">
        <f t="shared" si="13"/>
        <v>16112</v>
      </c>
      <c r="AF12" s="518">
        <v>16135</v>
      </c>
      <c r="AG12" s="647">
        <f t="shared" si="21"/>
        <v>23</v>
      </c>
      <c r="AH12" s="328">
        <f t="shared" si="14"/>
        <v>24347</v>
      </c>
      <c r="AI12" s="518">
        <v>24347</v>
      </c>
      <c r="AJ12" s="647">
        <f t="shared" si="22"/>
        <v>0</v>
      </c>
      <c r="AK12" s="421">
        <f t="shared" si="15"/>
        <v>15154</v>
      </c>
      <c r="AL12" s="517">
        <v>15154</v>
      </c>
      <c r="AM12" s="647">
        <f t="shared" si="23"/>
        <v>0</v>
      </c>
      <c r="AN12" s="524">
        <f t="shared" si="24"/>
        <v>178</v>
      </c>
    </row>
    <row r="13" spans="1:40" ht="23.1" customHeight="1">
      <c r="A13" s="58">
        <f>Gen!A18</f>
        <v>43869</v>
      </c>
      <c r="B13" s="4"/>
      <c r="C13" s="98">
        <f t="shared" si="0"/>
        <v>226991</v>
      </c>
      <c r="D13" s="1">
        <v>227119</v>
      </c>
      <c r="E13" s="59">
        <f t="shared" si="1"/>
        <v>128</v>
      </c>
      <c r="F13" s="98">
        <f t="shared" si="2"/>
        <v>38000</v>
      </c>
      <c r="G13" s="522">
        <v>38000</v>
      </c>
      <c r="H13" s="646">
        <f t="shared" si="3"/>
        <v>0</v>
      </c>
      <c r="I13" s="98">
        <f t="shared" si="4"/>
        <v>7737</v>
      </c>
      <c r="J13" s="1">
        <v>7741</v>
      </c>
      <c r="K13" s="646">
        <f t="shared" si="5"/>
        <v>4</v>
      </c>
      <c r="L13" s="98">
        <f t="shared" si="6"/>
        <v>0</v>
      </c>
      <c r="M13" s="1"/>
      <c r="N13" s="646">
        <f t="shared" si="7"/>
        <v>0</v>
      </c>
      <c r="O13" s="98">
        <f t="shared" si="8"/>
        <v>19699</v>
      </c>
      <c r="P13" s="516">
        <v>19712</v>
      </c>
      <c r="Q13" s="646">
        <f t="shared" si="9"/>
        <v>13</v>
      </c>
      <c r="R13" s="333"/>
      <c r="S13" s="328">
        <f t="shared" si="16"/>
        <v>48758</v>
      </c>
      <c r="T13" s="517">
        <v>48811</v>
      </c>
      <c r="U13" s="647">
        <f t="shared" si="17"/>
        <v>53</v>
      </c>
      <c r="V13" s="328">
        <f t="shared" si="10"/>
        <v>69304</v>
      </c>
      <c r="W13" s="517">
        <v>69359</v>
      </c>
      <c r="X13" s="647">
        <f t="shared" si="18"/>
        <v>55</v>
      </c>
      <c r="Y13" s="328">
        <f t="shared" si="11"/>
        <v>78440</v>
      </c>
      <c r="Z13" s="517">
        <v>78480</v>
      </c>
      <c r="AA13" s="647">
        <f t="shared" si="19"/>
        <v>40</v>
      </c>
      <c r="AB13" s="328">
        <f t="shared" si="12"/>
        <v>12642</v>
      </c>
      <c r="AC13" s="651">
        <v>12656</v>
      </c>
      <c r="AD13" s="647">
        <f t="shared" si="20"/>
        <v>14</v>
      </c>
      <c r="AE13" s="328">
        <f>AF12</f>
        <v>16135</v>
      </c>
      <c r="AF13" s="518">
        <v>16157</v>
      </c>
      <c r="AG13" s="647">
        <f t="shared" si="21"/>
        <v>22</v>
      </c>
      <c r="AH13" s="328">
        <f t="shared" si="14"/>
        <v>24347</v>
      </c>
      <c r="AI13" s="518">
        <v>24347</v>
      </c>
      <c r="AJ13" s="647">
        <f t="shared" si="22"/>
        <v>0</v>
      </c>
      <c r="AK13" s="421">
        <f t="shared" si="15"/>
        <v>15154</v>
      </c>
      <c r="AL13" s="517">
        <v>15154</v>
      </c>
      <c r="AM13" s="647">
        <f t="shared" si="23"/>
        <v>0</v>
      </c>
      <c r="AN13" s="524">
        <f t="shared" si="24"/>
        <v>184</v>
      </c>
    </row>
    <row r="14" spans="1:40" ht="23.1" customHeight="1">
      <c r="A14" s="58">
        <f>Gen!A19</f>
        <v>43870</v>
      </c>
      <c r="B14" s="4"/>
      <c r="C14" s="98">
        <f t="shared" si="0"/>
        <v>227119</v>
      </c>
      <c r="D14" s="1">
        <v>227215</v>
      </c>
      <c r="E14" s="59">
        <f t="shared" si="1"/>
        <v>96</v>
      </c>
      <c r="F14" s="98">
        <f t="shared" si="2"/>
        <v>38000</v>
      </c>
      <c r="G14" s="522">
        <v>38000</v>
      </c>
      <c r="H14" s="646">
        <f t="shared" si="3"/>
        <v>0</v>
      </c>
      <c r="I14" s="98">
        <f t="shared" si="4"/>
        <v>7741</v>
      </c>
      <c r="J14" s="1">
        <v>7744</v>
      </c>
      <c r="K14" s="646">
        <f t="shared" si="5"/>
        <v>3</v>
      </c>
      <c r="L14" s="98">
        <f t="shared" si="6"/>
        <v>0</v>
      </c>
      <c r="M14" s="1"/>
      <c r="N14" s="646">
        <f t="shared" si="7"/>
        <v>0</v>
      </c>
      <c r="O14" s="98">
        <f t="shared" si="8"/>
        <v>19712</v>
      </c>
      <c r="P14" s="516">
        <v>19726</v>
      </c>
      <c r="Q14" s="646">
        <f t="shared" si="9"/>
        <v>14</v>
      </c>
      <c r="R14" s="333"/>
      <c r="S14" s="328">
        <f t="shared" si="16"/>
        <v>48811</v>
      </c>
      <c r="T14" s="517">
        <v>48866</v>
      </c>
      <c r="U14" s="647">
        <f t="shared" si="17"/>
        <v>55</v>
      </c>
      <c r="V14" s="328">
        <f t="shared" si="10"/>
        <v>69359</v>
      </c>
      <c r="W14" s="517">
        <v>69421</v>
      </c>
      <c r="X14" s="647">
        <f t="shared" si="18"/>
        <v>62</v>
      </c>
      <c r="Y14" s="328">
        <f t="shared" si="11"/>
        <v>78480</v>
      </c>
      <c r="Z14" s="517">
        <v>78558</v>
      </c>
      <c r="AA14" s="647">
        <f t="shared" si="19"/>
        <v>78</v>
      </c>
      <c r="AB14" s="328">
        <f t="shared" si="12"/>
        <v>12656</v>
      </c>
      <c r="AC14" s="651">
        <v>12678</v>
      </c>
      <c r="AD14" s="647">
        <f t="shared" si="20"/>
        <v>22</v>
      </c>
      <c r="AE14" s="328">
        <f t="shared" si="13"/>
        <v>16157</v>
      </c>
      <c r="AF14" s="518">
        <v>16179</v>
      </c>
      <c r="AG14" s="647">
        <f t="shared" si="21"/>
        <v>22</v>
      </c>
      <c r="AH14" s="328">
        <f t="shared" si="14"/>
        <v>24347</v>
      </c>
      <c r="AI14" s="518">
        <v>24347</v>
      </c>
      <c r="AJ14" s="647">
        <f t="shared" si="22"/>
        <v>0</v>
      </c>
      <c r="AK14" s="421">
        <f t="shared" si="15"/>
        <v>15154</v>
      </c>
      <c r="AL14" s="517">
        <v>15154</v>
      </c>
      <c r="AM14" s="647">
        <f t="shared" si="23"/>
        <v>0</v>
      </c>
      <c r="AN14" s="524">
        <f t="shared" si="24"/>
        <v>239</v>
      </c>
    </row>
    <row r="15" spans="1:40" ht="23.1" customHeight="1">
      <c r="A15" s="58">
        <f>Gen!A20</f>
        <v>43871</v>
      </c>
      <c r="B15" s="4"/>
      <c r="C15" s="98">
        <f t="shared" si="0"/>
        <v>227215</v>
      </c>
      <c r="D15" s="1"/>
      <c r="E15" s="59" t="str">
        <f t="shared" si="1"/>
        <v>0</v>
      </c>
      <c r="F15" s="98">
        <f t="shared" si="2"/>
        <v>38000</v>
      </c>
      <c r="G15" s="522"/>
      <c r="H15" s="646" t="str">
        <f t="shared" si="3"/>
        <v>0</v>
      </c>
      <c r="I15" s="98">
        <f t="shared" si="4"/>
        <v>7744</v>
      </c>
      <c r="J15" s="1"/>
      <c r="K15" s="646" t="str">
        <f t="shared" si="5"/>
        <v>0</v>
      </c>
      <c r="L15" s="98">
        <f t="shared" si="6"/>
        <v>0</v>
      </c>
      <c r="M15" s="1"/>
      <c r="N15" s="646">
        <f t="shared" si="7"/>
        <v>0</v>
      </c>
      <c r="O15" s="98">
        <f t="shared" si="8"/>
        <v>19726</v>
      </c>
      <c r="P15" s="516"/>
      <c r="Q15" s="646" t="str">
        <f t="shared" si="9"/>
        <v>0</v>
      </c>
      <c r="R15" s="333"/>
      <c r="S15" s="328">
        <f t="shared" si="16"/>
        <v>48866</v>
      </c>
      <c r="T15" s="517"/>
      <c r="U15" s="647" t="str">
        <f t="shared" si="17"/>
        <v>0</v>
      </c>
      <c r="V15" s="328">
        <f t="shared" si="10"/>
        <v>69421</v>
      </c>
      <c r="W15" s="517"/>
      <c r="X15" s="647" t="str">
        <f t="shared" si="18"/>
        <v>0</v>
      </c>
      <c r="Y15" s="328">
        <f t="shared" si="11"/>
        <v>78558</v>
      </c>
      <c r="Z15" s="517"/>
      <c r="AA15" s="647" t="str">
        <f t="shared" si="19"/>
        <v>0</v>
      </c>
      <c r="AB15" s="328">
        <f t="shared" si="12"/>
        <v>12678</v>
      </c>
      <c r="AC15" s="651"/>
      <c r="AD15" s="647" t="str">
        <f t="shared" si="20"/>
        <v>0</v>
      </c>
      <c r="AE15" s="328">
        <f t="shared" si="13"/>
        <v>16179</v>
      </c>
      <c r="AF15" s="518"/>
      <c r="AG15" s="647" t="str">
        <f t="shared" si="21"/>
        <v>0</v>
      </c>
      <c r="AH15" s="328">
        <f t="shared" si="14"/>
        <v>24347</v>
      </c>
      <c r="AI15" s="518"/>
      <c r="AJ15" s="647" t="str">
        <f t="shared" si="22"/>
        <v>0</v>
      </c>
      <c r="AK15" s="421">
        <f t="shared" si="15"/>
        <v>15154</v>
      </c>
      <c r="AL15" s="517"/>
      <c r="AM15" s="647" t="str">
        <f t="shared" si="23"/>
        <v>0</v>
      </c>
      <c r="AN15" s="524">
        <f t="shared" si="24"/>
        <v>0</v>
      </c>
    </row>
    <row r="16" spans="1:40" ht="23.1" customHeight="1">
      <c r="A16" s="58">
        <f>Gen!A21</f>
        <v>43872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522"/>
      <c r="H16" s="646">
        <f t="shared" si="3"/>
        <v>0</v>
      </c>
      <c r="I16" s="98">
        <f t="shared" si="4"/>
        <v>0</v>
      </c>
      <c r="J16" s="1"/>
      <c r="K16" s="646">
        <f t="shared" si="5"/>
        <v>0</v>
      </c>
      <c r="L16" s="98"/>
      <c r="M16" s="1"/>
      <c r="N16" s="646">
        <f t="shared" si="7"/>
        <v>0</v>
      </c>
      <c r="O16" s="98">
        <f t="shared" si="8"/>
        <v>0</v>
      </c>
      <c r="P16" s="516"/>
      <c r="Q16" s="646">
        <f t="shared" si="9"/>
        <v>0</v>
      </c>
      <c r="R16" s="333"/>
      <c r="S16" s="328">
        <f t="shared" si="16"/>
        <v>0</v>
      </c>
      <c r="T16" s="517"/>
      <c r="U16" s="647">
        <f t="shared" si="17"/>
        <v>0</v>
      </c>
      <c r="V16" s="328">
        <f t="shared" si="10"/>
        <v>0</v>
      </c>
      <c r="W16" s="517"/>
      <c r="X16" s="647">
        <f t="shared" si="18"/>
        <v>0</v>
      </c>
      <c r="Y16" s="328">
        <f t="shared" si="11"/>
        <v>0</v>
      </c>
      <c r="Z16" s="517"/>
      <c r="AA16" s="647">
        <f t="shared" si="19"/>
        <v>0</v>
      </c>
      <c r="AB16" s="328">
        <f t="shared" si="12"/>
        <v>0</v>
      </c>
      <c r="AC16" s="651"/>
      <c r="AD16" s="647">
        <f t="shared" si="20"/>
        <v>0</v>
      </c>
      <c r="AE16" s="328">
        <f t="shared" si="13"/>
        <v>0</v>
      </c>
      <c r="AF16" s="518"/>
      <c r="AG16" s="647">
        <f t="shared" si="21"/>
        <v>0</v>
      </c>
      <c r="AH16" s="328">
        <f t="shared" si="14"/>
        <v>0</v>
      </c>
      <c r="AI16" s="518"/>
      <c r="AJ16" s="647">
        <f t="shared" si="22"/>
        <v>0</v>
      </c>
      <c r="AK16" s="421">
        <f t="shared" si="15"/>
        <v>0</v>
      </c>
      <c r="AL16" s="517"/>
      <c r="AM16" s="647">
        <f t="shared" si="23"/>
        <v>0</v>
      </c>
      <c r="AN16" s="524">
        <f t="shared" si="24"/>
        <v>0</v>
      </c>
    </row>
    <row r="17" spans="1:40" ht="23.1" customHeight="1">
      <c r="A17" s="58">
        <f>Gen!A22</f>
        <v>43873</v>
      </c>
      <c r="B17" s="4"/>
      <c r="C17" s="98">
        <f t="shared" si="0"/>
        <v>0</v>
      </c>
      <c r="D17" s="1"/>
      <c r="E17" s="646">
        <f>IF((D17-D16)&lt;0,"0",(D17-D16))</f>
        <v>0</v>
      </c>
      <c r="F17" s="98">
        <f t="shared" si="2"/>
        <v>0</v>
      </c>
      <c r="G17" s="522"/>
      <c r="H17" s="646">
        <f t="shared" si="3"/>
        <v>0</v>
      </c>
      <c r="I17" s="98">
        <f t="shared" si="4"/>
        <v>0</v>
      </c>
      <c r="J17" s="1"/>
      <c r="K17" s="646">
        <f t="shared" si="5"/>
        <v>0</v>
      </c>
      <c r="L17" s="98"/>
      <c r="M17" s="1"/>
      <c r="N17" s="646">
        <f t="shared" si="7"/>
        <v>0</v>
      </c>
      <c r="O17" s="98">
        <f t="shared" si="8"/>
        <v>0</v>
      </c>
      <c r="P17" s="516"/>
      <c r="Q17" s="646">
        <f t="shared" si="9"/>
        <v>0</v>
      </c>
      <c r="R17" s="333"/>
      <c r="S17" s="328">
        <f t="shared" si="16"/>
        <v>0</v>
      </c>
      <c r="T17" s="517"/>
      <c r="U17" s="647">
        <f>IF((T17-T16)&lt;0,"0",(T17-T16))</f>
        <v>0</v>
      </c>
      <c r="V17" s="328">
        <f t="shared" si="10"/>
        <v>0</v>
      </c>
      <c r="W17" s="517"/>
      <c r="X17" s="647">
        <f>IF((W17-W16)&lt;0,"0",(W17-W16))</f>
        <v>0</v>
      </c>
      <c r="Y17" s="328">
        <f t="shared" si="11"/>
        <v>0</v>
      </c>
      <c r="Z17" s="517"/>
      <c r="AA17" s="647">
        <f>IF((Z17-Z16)&lt;0,"0",(Z17-Z16))</f>
        <v>0</v>
      </c>
      <c r="AB17" s="328">
        <f t="shared" si="12"/>
        <v>0</v>
      </c>
      <c r="AC17" s="651"/>
      <c r="AD17" s="647">
        <f>IF((AC17-AC16)&lt;0,"0",(AC17-AC16))</f>
        <v>0</v>
      </c>
      <c r="AE17" s="328">
        <f t="shared" si="13"/>
        <v>0</v>
      </c>
      <c r="AF17" s="518"/>
      <c r="AG17" s="647">
        <f>IF((AF17-AF16)&lt;0,"0",(AF17-AF16))</f>
        <v>0</v>
      </c>
      <c r="AH17" s="328">
        <f t="shared" si="14"/>
        <v>0</v>
      </c>
      <c r="AI17" s="518"/>
      <c r="AJ17" s="647">
        <f t="shared" si="22"/>
        <v>0</v>
      </c>
      <c r="AK17" s="421">
        <f t="shared" si="15"/>
        <v>0</v>
      </c>
      <c r="AL17" s="517"/>
      <c r="AM17" s="647">
        <f>IF((AL17-AL16)&lt;0,"0",(AL17-AL16))</f>
        <v>0</v>
      </c>
      <c r="AN17" s="524">
        <f t="shared" si="24"/>
        <v>0</v>
      </c>
    </row>
    <row r="18" spans="1:40" ht="23.1" customHeight="1">
      <c r="A18" s="58">
        <f>Gen!A23</f>
        <v>43874</v>
      </c>
      <c r="B18" s="4"/>
      <c r="C18" s="98">
        <f t="shared" si="0"/>
        <v>0</v>
      </c>
      <c r="D18" s="1"/>
      <c r="E18" s="646">
        <f t="shared" ref="E18:E37" si="25">IF((D18-D17)&lt;0,"0",(D18-D17))</f>
        <v>0</v>
      </c>
      <c r="F18" s="98">
        <f t="shared" si="2"/>
        <v>0</v>
      </c>
      <c r="G18" s="522"/>
      <c r="H18" s="646">
        <f t="shared" si="3"/>
        <v>0</v>
      </c>
      <c r="I18" s="98"/>
      <c r="J18" s="1"/>
      <c r="K18" s="646">
        <f t="shared" si="5"/>
        <v>0</v>
      </c>
      <c r="L18" s="98">
        <f t="shared" si="6"/>
        <v>0</v>
      </c>
      <c r="M18" s="1"/>
      <c r="N18" s="646">
        <f t="shared" si="7"/>
        <v>0</v>
      </c>
      <c r="O18" s="98">
        <f t="shared" si="8"/>
        <v>0</v>
      </c>
      <c r="P18" s="516"/>
      <c r="Q18" s="646">
        <f t="shared" si="9"/>
        <v>0</v>
      </c>
      <c r="R18" s="333"/>
      <c r="S18" s="328">
        <f t="shared" si="16"/>
        <v>0</v>
      </c>
      <c r="T18" s="517"/>
      <c r="U18" s="647">
        <f t="shared" si="17"/>
        <v>0</v>
      </c>
      <c r="V18" s="328">
        <f t="shared" si="10"/>
        <v>0</v>
      </c>
      <c r="W18" s="517"/>
      <c r="X18" s="647">
        <f t="shared" si="18"/>
        <v>0</v>
      </c>
      <c r="Y18" s="328">
        <f t="shared" si="11"/>
        <v>0</v>
      </c>
      <c r="Z18" s="517"/>
      <c r="AA18" s="647">
        <f t="shared" si="19"/>
        <v>0</v>
      </c>
      <c r="AB18" s="328">
        <f t="shared" si="12"/>
        <v>0</v>
      </c>
      <c r="AC18" s="651"/>
      <c r="AD18" s="647">
        <f t="shared" si="20"/>
        <v>0</v>
      </c>
      <c r="AE18" s="328">
        <f t="shared" si="13"/>
        <v>0</v>
      </c>
      <c r="AF18" s="518"/>
      <c r="AG18" s="647">
        <f t="shared" si="21"/>
        <v>0</v>
      </c>
      <c r="AH18" s="328">
        <f t="shared" si="14"/>
        <v>0</v>
      </c>
      <c r="AI18" s="518"/>
      <c r="AJ18" s="647">
        <f t="shared" si="22"/>
        <v>0</v>
      </c>
      <c r="AK18" s="421">
        <f t="shared" si="15"/>
        <v>0</v>
      </c>
      <c r="AL18" s="517"/>
      <c r="AM18" s="647">
        <f t="shared" ref="AM18:AM26" si="26">IF((AL18-AL17)&lt;0,"0",(AL18-AL17))</f>
        <v>0</v>
      </c>
      <c r="AN18" s="524">
        <f t="shared" si="24"/>
        <v>0</v>
      </c>
    </row>
    <row r="19" spans="1:40" ht="23.1" customHeight="1">
      <c r="A19" s="58">
        <f>Gen!A24</f>
        <v>43875</v>
      </c>
      <c r="B19" s="4"/>
      <c r="C19" s="98">
        <f t="shared" si="0"/>
        <v>0</v>
      </c>
      <c r="D19" s="1"/>
      <c r="E19" s="646">
        <f t="shared" si="25"/>
        <v>0</v>
      </c>
      <c r="F19" s="98">
        <f t="shared" si="2"/>
        <v>0</v>
      </c>
      <c r="G19" s="522"/>
      <c r="H19" s="646">
        <f t="shared" si="3"/>
        <v>0</v>
      </c>
      <c r="I19" s="98">
        <f t="shared" si="4"/>
        <v>0</v>
      </c>
      <c r="J19" s="1"/>
      <c r="K19" s="646">
        <f t="shared" si="5"/>
        <v>0</v>
      </c>
      <c r="L19" s="98">
        <f t="shared" si="6"/>
        <v>0</v>
      </c>
      <c r="M19" s="1"/>
      <c r="N19" s="646">
        <f t="shared" si="7"/>
        <v>0</v>
      </c>
      <c r="O19" s="98">
        <f t="shared" si="8"/>
        <v>0</v>
      </c>
      <c r="P19" s="516"/>
      <c r="Q19" s="646">
        <f t="shared" si="9"/>
        <v>0</v>
      </c>
      <c r="R19" s="333"/>
      <c r="S19" s="328">
        <f t="shared" si="16"/>
        <v>0</v>
      </c>
      <c r="T19" s="517"/>
      <c r="U19" s="647">
        <f t="shared" si="17"/>
        <v>0</v>
      </c>
      <c r="V19" s="328">
        <f t="shared" si="10"/>
        <v>0</v>
      </c>
      <c r="W19" s="517"/>
      <c r="X19" s="647">
        <f t="shared" si="18"/>
        <v>0</v>
      </c>
      <c r="Y19" s="328">
        <f t="shared" si="11"/>
        <v>0</v>
      </c>
      <c r="Z19" s="517"/>
      <c r="AA19" s="647">
        <f t="shared" si="19"/>
        <v>0</v>
      </c>
      <c r="AB19" s="328">
        <f t="shared" si="12"/>
        <v>0</v>
      </c>
      <c r="AC19" s="651"/>
      <c r="AD19" s="647">
        <f t="shared" si="20"/>
        <v>0</v>
      </c>
      <c r="AE19" s="328">
        <f t="shared" si="13"/>
        <v>0</v>
      </c>
      <c r="AF19" s="518"/>
      <c r="AG19" s="647">
        <f t="shared" si="21"/>
        <v>0</v>
      </c>
      <c r="AH19" s="328">
        <f t="shared" si="14"/>
        <v>0</v>
      </c>
      <c r="AI19" s="518"/>
      <c r="AJ19" s="647">
        <f t="shared" si="22"/>
        <v>0</v>
      </c>
      <c r="AK19" s="421">
        <f t="shared" si="15"/>
        <v>0</v>
      </c>
      <c r="AL19" s="517"/>
      <c r="AM19" s="647">
        <f t="shared" si="26"/>
        <v>0</v>
      </c>
      <c r="AN19" s="524">
        <f t="shared" si="24"/>
        <v>0</v>
      </c>
    </row>
    <row r="20" spans="1:40" ht="23.1" customHeight="1">
      <c r="A20" s="58">
        <f>Gen!A25</f>
        <v>43876</v>
      </c>
      <c r="B20" s="4"/>
      <c r="C20" s="98">
        <f t="shared" si="0"/>
        <v>0</v>
      </c>
      <c r="D20" s="1"/>
      <c r="E20" s="646">
        <f t="shared" si="25"/>
        <v>0</v>
      </c>
      <c r="F20" s="98">
        <f t="shared" si="2"/>
        <v>0</v>
      </c>
      <c r="G20" s="522"/>
      <c r="H20" s="646">
        <f t="shared" si="3"/>
        <v>0</v>
      </c>
      <c r="I20" s="98">
        <f t="shared" si="4"/>
        <v>0</v>
      </c>
      <c r="J20" s="1"/>
      <c r="K20" s="646">
        <f t="shared" si="5"/>
        <v>0</v>
      </c>
      <c r="L20" s="98">
        <f t="shared" si="6"/>
        <v>0</v>
      </c>
      <c r="M20" s="1"/>
      <c r="N20" s="646">
        <f t="shared" si="7"/>
        <v>0</v>
      </c>
      <c r="O20" s="98">
        <f t="shared" si="8"/>
        <v>0</v>
      </c>
      <c r="P20" s="516"/>
      <c r="Q20" s="646">
        <f t="shared" si="9"/>
        <v>0</v>
      </c>
      <c r="R20" s="333"/>
      <c r="S20" s="328">
        <f t="shared" si="16"/>
        <v>0</v>
      </c>
      <c r="T20" s="517"/>
      <c r="U20" s="647">
        <f t="shared" si="17"/>
        <v>0</v>
      </c>
      <c r="V20" s="328">
        <f t="shared" si="10"/>
        <v>0</v>
      </c>
      <c r="W20" s="517"/>
      <c r="X20" s="647">
        <f t="shared" si="18"/>
        <v>0</v>
      </c>
      <c r="Y20" s="328">
        <f t="shared" si="11"/>
        <v>0</v>
      </c>
      <c r="Z20" s="517"/>
      <c r="AA20" s="647">
        <f t="shared" si="19"/>
        <v>0</v>
      </c>
      <c r="AB20" s="328">
        <f t="shared" si="12"/>
        <v>0</v>
      </c>
      <c r="AC20" s="651"/>
      <c r="AD20" s="647">
        <f t="shared" si="20"/>
        <v>0</v>
      </c>
      <c r="AE20" s="328">
        <f t="shared" si="13"/>
        <v>0</v>
      </c>
      <c r="AF20" s="518"/>
      <c r="AG20" s="647">
        <f t="shared" si="21"/>
        <v>0</v>
      </c>
      <c r="AH20" s="328">
        <f t="shared" si="14"/>
        <v>0</v>
      </c>
      <c r="AI20" s="518"/>
      <c r="AJ20" s="647">
        <f t="shared" si="22"/>
        <v>0</v>
      </c>
      <c r="AK20" s="421">
        <f t="shared" si="15"/>
        <v>0</v>
      </c>
      <c r="AL20" s="517"/>
      <c r="AM20" s="647">
        <f t="shared" si="26"/>
        <v>0</v>
      </c>
      <c r="AN20" s="524">
        <f t="shared" si="24"/>
        <v>0</v>
      </c>
    </row>
    <row r="21" spans="1:40" ht="23.1" customHeight="1">
      <c r="A21" s="58">
        <f>Gen!A26</f>
        <v>43877</v>
      </c>
      <c r="B21" s="4"/>
      <c r="C21" s="98">
        <f t="shared" si="0"/>
        <v>0</v>
      </c>
      <c r="D21" s="1"/>
      <c r="E21" s="646">
        <f t="shared" si="25"/>
        <v>0</v>
      </c>
      <c r="F21" s="98">
        <f t="shared" si="2"/>
        <v>0</v>
      </c>
      <c r="G21" s="522"/>
      <c r="H21" s="646">
        <f t="shared" si="3"/>
        <v>0</v>
      </c>
      <c r="I21" s="98">
        <f t="shared" si="4"/>
        <v>0</v>
      </c>
      <c r="J21" s="1"/>
      <c r="K21" s="646">
        <f t="shared" si="5"/>
        <v>0</v>
      </c>
      <c r="L21" s="98">
        <f t="shared" si="6"/>
        <v>0</v>
      </c>
      <c r="M21" s="1"/>
      <c r="N21" s="646">
        <f t="shared" si="7"/>
        <v>0</v>
      </c>
      <c r="O21" s="98">
        <f t="shared" si="8"/>
        <v>0</v>
      </c>
      <c r="P21" s="516"/>
      <c r="Q21" s="646">
        <f t="shared" si="9"/>
        <v>0</v>
      </c>
      <c r="R21" s="333"/>
      <c r="S21" s="328">
        <f t="shared" si="16"/>
        <v>0</v>
      </c>
      <c r="T21" s="517"/>
      <c r="U21" s="647">
        <f t="shared" si="17"/>
        <v>0</v>
      </c>
      <c r="V21" s="328">
        <f t="shared" ref="V21:V37" si="27">W20</f>
        <v>0</v>
      </c>
      <c r="W21" s="517"/>
      <c r="X21" s="647">
        <f t="shared" si="18"/>
        <v>0</v>
      </c>
      <c r="Y21" s="328">
        <f t="shared" si="11"/>
        <v>0</v>
      </c>
      <c r="Z21" s="517"/>
      <c r="AA21" s="647">
        <f t="shared" si="19"/>
        <v>0</v>
      </c>
      <c r="AB21" s="328">
        <f t="shared" si="12"/>
        <v>0</v>
      </c>
      <c r="AC21" s="651"/>
      <c r="AD21" s="647">
        <f t="shared" si="20"/>
        <v>0</v>
      </c>
      <c r="AE21" s="328">
        <f t="shared" si="13"/>
        <v>0</v>
      </c>
      <c r="AF21" s="518"/>
      <c r="AG21" s="647">
        <f t="shared" si="21"/>
        <v>0</v>
      </c>
      <c r="AH21" s="328">
        <f t="shared" si="14"/>
        <v>0</v>
      </c>
      <c r="AI21" s="518"/>
      <c r="AJ21" s="647">
        <f t="shared" si="22"/>
        <v>0</v>
      </c>
      <c r="AK21" s="421">
        <f t="shared" si="15"/>
        <v>0</v>
      </c>
      <c r="AL21" s="517"/>
      <c r="AM21" s="647">
        <f t="shared" si="26"/>
        <v>0</v>
      </c>
      <c r="AN21" s="524">
        <f t="shared" si="24"/>
        <v>0</v>
      </c>
    </row>
    <row r="22" spans="1:40" ht="23.1" customHeight="1">
      <c r="A22" s="58">
        <f>Gen!A27</f>
        <v>43878</v>
      </c>
      <c r="B22" s="4"/>
      <c r="C22" s="98">
        <f t="shared" si="0"/>
        <v>0</v>
      </c>
      <c r="D22" s="1"/>
      <c r="E22" s="646">
        <f t="shared" si="25"/>
        <v>0</v>
      </c>
      <c r="F22" s="98">
        <f t="shared" si="2"/>
        <v>0</v>
      </c>
      <c r="G22" s="522"/>
      <c r="H22" s="646">
        <f t="shared" si="3"/>
        <v>0</v>
      </c>
      <c r="I22" s="98">
        <f t="shared" si="4"/>
        <v>0</v>
      </c>
      <c r="J22" s="1"/>
      <c r="K22" s="646">
        <f t="shared" si="5"/>
        <v>0</v>
      </c>
      <c r="L22" s="98">
        <f t="shared" si="6"/>
        <v>0</v>
      </c>
      <c r="M22" s="1"/>
      <c r="N22" s="646">
        <f t="shared" si="7"/>
        <v>0</v>
      </c>
      <c r="O22" s="98">
        <f t="shared" si="8"/>
        <v>0</v>
      </c>
      <c r="P22" s="516"/>
      <c r="Q22" s="646">
        <f t="shared" si="9"/>
        <v>0</v>
      </c>
      <c r="R22" s="333"/>
      <c r="S22" s="328">
        <f t="shared" si="16"/>
        <v>0</v>
      </c>
      <c r="T22" s="517"/>
      <c r="U22" s="647">
        <f t="shared" si="17"/>
        <v>0</v>
      </c>
      <c r="V22" s="328">
        <f t="shared" si="27"/>
        <v>0</v>
      </c>
      <c r="W22" s="517"/>
      <c r="X22" s="647">
        <f t="shared" si="18"/>
        <v>0</v>
      </c>
      <c r="Y22" s="328">
        <f t="shared" si="11"/>
        <v>0</v>
      </c>
      <c r="Z22" s="517"/>
      <c r="AA22" s="647">
        <f t="shared" si="19"/>
        <v>0</v>
      </c>
      <c r="AB22" s="328">
        <f t="shared" si="12"/>
        <v>0</v>
      </c>
      <c r="AC22" s="651"/>
      <c r="AD22" s="647">
        <f t="shared" si="20"/>
        <v>0</v>
      </c>
      <c r="AE22" s="328">
        <f t="shared" si="13"/>
        <v>0</v>
      </c>
      <c r="AF22" s="518"/>
      <c r="AG22" s="647">
        <f t="shared" si="21"/>
        <v>0</v>
      </c>
      <c r="AH22" s="328">
        <f t="shared" si="14"/>
        <v>0</v>
      </c>
      <c r="AI22" s="518"/>
      <c r="AJ22" s="647">
        <f t="shared" si="22"/>
        <v>0</v>
      </c>
      <c r="AK22" s="421">
        <f t="shared" si="15"/>
        <v>0</v>
      </c>
      <c r="AL22" s="517"/>
      <c r="AM22" s="647">
        <f t="shared" si="26"/>
        <v>0</v>
      </c>
      <c r="AN22" s="524">
        <f t="shared" si="24"/>
        <v>0</v>
      </c>
    </row>
    <row r="23" spans="1:40" ht="23.1" customHeight="1">
      <c r="A23" s="58">
        <f>Gen!A28</f>
        <v>43879</v>
      </c>
      <c r="B23" s="4"/>
      <c r="C23" s="98">
        <f t="shared" si="0"/>
        <v>0</v>
      </c>
      <c r="D23" s="1"/>
      <c r="E23" s="646">
        <f t="shared" si="25"/>
        <v>0</v>
      </c>
      <c r="F23" s="98">
        <f t="shared" si="2"/>
        <v>0</v>
      </c>
      <c r="G23" s="522"/>
      <c r="H23" s="646">
        <f t="shared" si="3"/>
        <v>0</v>
      </c>
      <c r="I23" s="98">
        <f t="shared" si="4"/>
        <v>0</v>
      </c>
      <c r="J23" s="1"/>
      <c r="K23" s="646">
        <f t="shared" si="5"/>
        <v>0</v>
      </c>
      <c r="L23" s="98">
        <f t="shared" si="6"/>
        <v>0</v>
      </c>
      <c r="M23" s="1"/>
      <c r="N23" s="646">
        <f t="shared" si="7"/>
        <v>0</v>
      </c>
      <c r="O23" s="98">
        <f t="shared" si="8"/>
        <v>0</v>
      </c>
      <c r="P23" s="516"/>
      <c r="Q23" s="646">
        <f t="shared" si="9"/>
        <v>0</v>
      </c>
      <c r="R23" s="333"/>
      <c r="S23" s="328">
        <f t="shared" si="16"/>
        <v>0</v>
      </c>
      <c r="T23" s="517"/>
      <c r="U23" s="647">
        <f t="shared" si="17"/>
        <v>0</v>
      </c>
      <c r="V23" s="328">
        <f t="shared" si="27"/>
        <v>0</v>
      </c>
      <c r="W23" s="517"/>
      <c r="X23" s="647">
        <f t="shared" si="18"/>
        <v>0</v>
      </c>
      <c r="Y23" s="328">
        <f t="shared" si="11"/>
        <v>0</v>
      </c>
      <c r="Z23" s="517"/>
      <c r="AA23" s="647">
        <f t="shared" si="19"/>
        <v>0</v>
      </c>
      <c r="AB23" s="328">
        <f t="shared" si="12"/>
        <v>0</v>
      </c>
      <c r="AC23" s="329"/>
      <c r="AD23" s="647">
        <f t="shared" si="20"/>
        <v>0</v>
      </c>
      <c r="AE23" s="328">
        <f t="shared" si="13"/>
        <v>0</v>
      </c>
      <c r="AF23" s="518"/>
      <c r="AG23" s="647">
        <f t="shared" si="21"/>
        <v>0</v>
      </c>
      <c r="AH23" s="328">
        <f t="shared" si="14"/>
        <v>0</v>
      </c>
      <c r="AI23" s="518"/>
      <c r="AJ23" s="647">
        <f t="shared" si="22"/>
        <v>0</v>
      </c>
      <c r="AK23" s="421">
        <f t="shared" si="15"/>
        <v>0</v>
      </c>
      <c r="AL23" s="517"/>
      <c r="AM23" s="647">
        <f t="shared" si="26"/>
        <v>0</v>
      </c>
      <c r="AN23" s="524">
        <f t="shared" si="24"/>
        <v>0</v>
      </c>
    </row>
    <row r="24" spans="1:40" ht="23.1" customHeight="1">
      <c r="A24" s="58">
        <f>Gen!A29</f>
        <v>43880</v>
      </c>
      <c r="B24" s="4"/>
      <c r="C24" s="98">
        <f t="shared" si="0"/>
        <v>0</v>
      </c>
      <c r="D24" s="1"/>
      <c r="E24" s="646">
        <f t="shared" si="25"/>
        <v>0</v>
      </c>
      <c r="F24" s="98">
        <f t="shared" si="2"/>
        <v>0</v>
      </c>
      <c r="G24" s="522"/>
      <c r="H24" s="646">
        <f t="shared" si="3"/>
        <v>0</v>
      </c>
      <c r="I24" s="98">
        <f t="shared" si="4"/>
        <v>0</v>
      </c>
      <c r="J24" s="1"/>
      <c r="K24" s="646">
        <f t="shared" si="5"/>
        <v>0</v>
      </c>
      <c r="L24" s="98">
        <f t="shared" si="6"/>
        <v>0</v>
      </c>
      <c r="M24" s="1"/>
      <c r="N24" s="646">
        <f t="shared" si="7"/>
        <v>0</v>
      </c>
      <c r="O24" s="98">
        <f t="shared" si="8"/>
        <v>0</v>
      </c>
      <c r="P24" s="516"/>
      <c r="Q24" s="646">
        <f t="shared" si="9"/>
        <v>0</v>
      </c>
      <c r="R24" s="333"/>
      <c r="S24" s="328">
        <f t="shared" si="16"/>
        <v>0</v>
      </c>
      <c r="T24" s="517"/>
      <c r="U24" s="647">
        <f t="shared" si="17"/>
        <v>0</v>
      </c>
      <c r="V24" s="328">
        <f t="shared" si="27"/>
        <v>0</v>
      </c>
      <c r="W24" s="517"/>
      <c r="X24" s="647">
        <f t="shared" si="18"/>
        <v>0</v>
      </c>
      <c r="Y24" s="328">
        <f t="shared" si="11"/>
        <v>0</v>
      </c>
      <c r="Z24" s="517"/>
      <c r="AA24" s="647">
        <f t="shared" si="19"/>
        <v>0</v>
      </c>
      <c r="AB24" s="328">
        <f t="shared" si="12"/>
        <v>0</v>
      </c>
      <c r="AC24" s="329"/>
      <c r="AD24" s="647">
        <f t="shared" si="20"/>
        <v>0</v>
      </c>
      <c r="AE24" s="328">
        <f t="shared" si="13"/>
        <v>0</v>
      </c>
      <c r="AF24" s="518"/>
      <c r="AG24" s="647">
        <f t="shared" si="21"/>
        <v>0</v>
      </c>
      <c r="AH24" s="328">
        <f t="shared" si="14"/>
        <v>0</v>
      </c>
      <c r="AI24" s="518"/>
      <c r="AJ24" s="647">
        <f t="shared" si="22"/>
        <v>0</v>
      </c>
      <c r="AK24" s="421">
        <f t="shared" si="15"/>
        <v>0</v>
      </c>
      <c r="AL24" s="517"/>
      <c r="AM24" s="647">
        <f t="shared" si="26"/>
        <v>0</v>
      </c>
      <c r="AN24" s="524">
        <f t="shared" si="24"/>
        <v>0</v>
      </c>
    </row>
    <row r="25" spans="1:40" ht="23.1" customHeight="1">
      <c r="A25" s="58">
        <f>Gen!A30</f>
        <v>43881</v>
      </c>
      <c r="B25" s="4"/>
      <c r="C25" s="98">
        <f>D24</f>
        <v>0</v>
      </c>
      <c r="D25" s="1"/>
      <c r="E25" s="646">
        <f t="shared" si="25"/>
        <v>0</v>
      </c>
      <c r="F25" s="98">
        <f t="shared" si="2"/>
        <v>0</v>
      </c>
      <c r="G25" s="522"/>
      <c r="H25" s="646">
        <f t="shared" si="3"/>
        <v>0</v>
      </c>
      <c r="I25" s="98">
        <f t="shared" ref="I25:I37" si="28">J24</f>
        <v>0</v>
      </c>
      <c r="J25" s="1"/>
      <c r="K25" s="646">
        <f t="shared" ref="K25:K37" si="29">IF((J25-J24)&lt;0,"0",(J25-J24))</f>
        <v>0</v>
      </c>
      <c r="L25" s="98">
        <f t="shared" ref="L25:L37" si="30">M24</f>
        <v>0</v>
      </c>
      <c r="M25" s="1"/>
      <c r="N25" s="646">
        <f t="shared" ref="N25:N37" si="31">IF((M25-M24)&lt;0,"0",(M25-M24))</f>
        <v>0</v>
      </c>
      <c r="O25" s="98">
        <f t="shared" ref="O25:O37" si="32">P24</f>
        <v>0</v>
      </c>
      <c r="P25" s="516"/>
      <c r="Q25" s="646">
        <f t="shared" ref="Q25:Q37" si="33">IF((P25-P24)&lt;0,"0",(P25-P24))</f>
        <v>0</v>
      </c>
      <c r="R25" s="333"/>
      <c r="S25" s="328">
        <f t="shared" ref="S25:S37" si="34">T24</f>
        <v>0</v>
      </c>
      <c r="T25" s="517"/>
      <c r="U25" s="647">
        <f t="shared" si="17"/>
        <v>0</v>
      </c>
      <c r="V25" s="328">
        <f t="shared" si="27"/>
        <v>0</v>
      </c>
      <c r="W25" s="517"/>
      <c r="X25" s="647">
        <f t="shared" si="18"/>
        <v>0</v>
      </c>
      <c r="Y25" s="328">
        <f t="shared" si="11"/>
        <v>0</v>
      </c>
      <c r="Z25" s="517"/>
      <c r="AA25" s="647">
        <f t="shared" si="19"/>
        <v>0</v>
      </c>
      <c r="AB25" s="328">
        <f t="shared" si="12"/>
        <v>0</v>
      </c>
      <c r="AC25" s="329"/>
      <c r="AD25" s="647">
        <f t="shared" si="20"/>
        <v>0</v>
      </c>
      <c r="AE25" s="328">
        <f t="shared" si="13"/>
        <v>0</v>
      </c>
      <c r="AF25" s="518"/>
      <c r="AG25" s="647">
        <f t="shared" si="21"/>
        <v>0</v>
      </c>
      <c r="AH25" s="328">
        <f t="shared" si="14"/>
        <v>0</v>
      </c>
      <c r="AI25" s="518"/>
      <c r="AJ25" s="647">
        <f t="shared" si="22"/>
        <v>0</v>
      </c>
      <c r="AK25" s="421">
        <f t="shared" si="15"/>
        <v>0</v>
      </c>
      <c r="AL25" s="517"/>
      <c r="AM25" s="647">
        <f t="shared" si="26"/>
        <v>0</v>
      </c>
      <c r="AN25" s="524">
        <f t="shared" si="24"/>
        <v>0</v>
      </c>
    </row>
    <row r="26" spans="1:40" ht="23.1" customHeight="1">
      <c r="A26" s="58">
        <f>Gen!A31</f>
        <v>43882</v>
      </c>
      <c r="B26" s="4"/>
      <c r="C26" s="98">
        <f>D25</f>
        <v>0</v>
      </c>
      <c r="D26" s="1"/>
      <c r="E26" s="646">
        <f t="shared" si="25"/>
        <v>0</v>
      </c>
      <c r="F26" s="98">
        <f t="shared" si="2"/>
        <v>0</v>
      </c>
      <c r="G26" s="522"/>
      <c r="H26" s="646">
        <f t="shared" ref="H26:H37" si="35">IF((G26-G25)&lt;0,"0",(G26-G25))</f>
        <v>0</v>
      </c>
      <c r="I26" s="98">
        <f t="shared" si="28"/>
        <v>0</v>
      </c>
      <c r="J26" s="1"/>
      <c r="K26" s="646">
        <f t="shared" si="29"/>
        <v>0</v>
      </c>
      <c r="L26" s="98">
        <f t="shared" si="30"/>
        <v>0</v>
      </c>
      <c r="M26" s="1"/>
      <c r="N26" s="646">
        <f t="shared" si="31"/>
        <v>0</v>
      </c>
      <c r="O26" s="98">
        <f t="shared" si="32"/>
        <v>0</v>
      </c>
      <c r="P26" s="516"/>
      <c r="Q26" s="646">
        <f t="shared" si="33"/>
        <v>0</v>
      </c>
      <c r="R26" s="333"/>
      <c r="S26" s="328">
        <f t="shared" si="34"/>
        <v>0</v>
      </c>
      <c r="T26" s="517"/>
      <c r="U26" s="647">
        <f t="shared" si="17"/>
        <v>0</v>
      </c>
      <c r="V26" s="328">
        <f t="shared" si="27"/>
        <v>0</v>
      </c>
      <c r="W26" s="517"/>
      <c r="X26" s="647">
        <f t="shared" si="18"/>
        <v>0</v>
      </c>
      <c r="Y26" s="328">
        <f t="shared" si="11"/>
        <v>0</v>
      </c>
      <c r="Z26" s="517"/>
      <c r="AA26" s="647">
        <f t="shared" si="19"/>
        <v>0</v>
      </c>
      <c r="AB26" s="328">
        <f t="shared" si="12"/>
        <v>0</v>
      </c>
      <c r="AC26" s="329"/>
      <c r="AD26" s="647">
        <f t="shared" si="20"/>
        <v>0</v>
      </c>
      <c r="AE26" s="328">
        <f t="shared" si="13"/>
        <v>0</v>
      </c>
      <c r="AF26" s="518"/>
      <c r="AG26" s="647">
        <f t="shared" si="21"/>
        <v>0</v>
      </c>
      <c r="AH26" s="328">
        <f t="shared" si="14"/>
        <v>0</v>
      </c>
      <c r="AI26" s="518"/>
      <c r="AJ26" s="647">
        <f t="shared" si="22"/>
        <v>0</v>
      </c>
      <c r="AK26" s="421">
        <f t="shared" si="15"/>
        <v>0</v>
      </c>
      <c r="AL26" s="517"/>
      <c r="AM26" s="647">
        <f t="shared" si="26"/>
        <v>0</v>
      </c>
      <c r="AN26" s="524">
        <f t="shared" si="24"/>
        <v>0</v>
      </c>
    </row>
    <row r="27" spans="1:40" ht="23.1" customHeight="1">
      <c r="A27" s="58">
        <f>Gen!A32</f>
        <v>43883</v>
      </c>
      <c r="B27" s="4"/>
      <c r="C27" s="98">
        <f>D26</f>
        <v>0</v>
      </c>
      <c r="D27" s="1"/>
      <c r="E27" s="646">
        <f t="shared" si="25"/>
        <v>0</v>
      </c>
      <c r="F27" s="98">
        <f t="shared" si="2"/>
        <v>0</v>
      </c>
      <c r="G27" s="522"/>
      <c r="H27" s="646">
        <f t="shared" si="35"/>
        <v>0</v>
      </c>
      <c r="I27" s="98">
        <f t="shared" si="28"/>
        <v>0</v>
      </c>
      <c r="J27" s="1"/>
      <c r="K27" s="646">
        <f t="shared" si="29"/>
        <v>0</v>
      </c>
      <c r="L27" s="98">
        <f t="shared" si="30"/>
        <v>0</v>
      </c>
      <c r="M27" s="1"/>
      <c r="N27" s="646">
        <f t="shared" si="31"/>
        <v>0</v>
      </c>
      <c r="O27" s="98">
        <f t="shared" si="32"/>
        <v>0</v>
      </c>
      <c r="P27" s="516"/>
      <c r="Q27" s="646">
        <f t="shared" si="33"/>
        <v>0</v>
      </c>
      <c r="R27" s="333"/>
      <c r="S27" s="328">
        <f t="shared" si="34"/>
        <v>0</v>
      </c>
      <c r="T27" s="517"/>
      <c r="U27" s="647">
        <f t="shared" si="17"/>
        <v>0</v>
      </c>
      <c r="V27" s="328">
        <f t="shared" si="27"/>
        <v>0</v>
      </c>
      <c r="W27" s="517"/>
      <c r="X27" s="647">
        <f t="shared" si="18"/>
        <v>0</v>
      </c>
      <c r="Y27" s="328">
        <f t="shared" si="11"/>
        <v>0</v>
      </c>
      <c r="Z27" s="517"/>
      <c r="AA27" s="647">
        <f t="shared" si="19"/>
        <v>0</v>
      </c>
      <c r="AB27" s="328">
        <f t="shared" si="12"/>
        <v>0</v>
      </c>
      <c r="AC27" s="329"/>
      <c r="AD27" s="647">
        <f t="shared" si="20"/>
        <v>0</v>
      </c>
      <c r="AE27" s="328">
        <f t="shared" si="13"/>
        <v>0</v>
      </c>
      <c r="AF27" s="518"/>
      <c r="AG27" s="647">
        <f t="shared" si="21"/>
        <v>0</v>
      </c>
      <c r="AH27" s="328">
        <f t="shared" si="14"/>
        <v>0</v>
      </c>
      <c r="AI27" s="518"/>
      <c r="AJ27" s="647">
        <f t="shared" si="22"/>
        <v>0</v>
      </c>
      <c r="AK27" s="421">
        <f t="shared" si="15"/>
        <v>0</v>
      </c>
      <c r="AL27" s="517"/>
      <c r="AM27" s="647">
        <f t="shared" si="23"/>
        <v>0</v>
      </c>
      <c r="AN27" s="524">
        <f t="shared" si="24"/>
        <v>0</v>
      </c>
    </row>
    <row r="28" spans="1:40" ht="23.1" customHeight="1">
      <c r="A28" s="58">
        <f>Gen!A33</f>
        <v>43884</v>
      </c>
      <c r="B28" s="4"/>
      <c r="C28" s="98">
        <f t="shared" ref="C28:C37" si="36">D27</f>
        <v>0</v>
      </c>
      <c r="D28" s="1"/>
      <c r="E28" s="646">
        <f t="shared" si="25"/>
        <v>0</v>
      </c>
      <c r="F28" s="98">
        <f t="shared" si="2"/>
        <v>0</v>
      </c>
      <c r="G28" s="522"/>
      <c r="H28" s="646">
        <f t="shared" si="35"/>
        <v>0</v>
      </c>
      <c r="I28" s="98">
        <f t="shared" si="28"/>
        <v>0</v>
      </c>
      <c r="J28" s="1"/>
      <c r="K28" s="646">
        <f t="shared" si="29"/>
        <v>0</v>
      </c>
      <c r="L28" s="98">
        <f t="shared" si="30"/>
        <v>0</v>
      </c>
      <c r="M28" s="1"/>
      <c r="N28" s="646">
        <f t="shared" si="31"/>
        <v>0</v>
      </c>
      <c r="O28" s="98">
        <f t="shared" si="32"/>
        <v>0</v>
      </c>
      <c r="P28" s="516"/>
      <c r="Q28" s="646">
        <f t="shared" si="33"/>
        <v>0</v>
      </c>
      <c r="R28" s="333"/>
      <c r="S28" s="328">
        <f t="shared" si="34"/>
        <v>0</v>
      </c>
      <c r="T28" s="517"/>
      <c r="U28" s="647">
        <f t="shared" si="17"/>
        <v>0</v>
      </c>
      <c r="V28" s="328">
        <f t="shared" si="27"/>
        <v>0</v>
      </c>
      <c r="W28" s="517"/>
      <c r="X28" s="647">
        <f t="shared" si="18"/>
        <v>0</v>
      </c>
      <c r="Y28" s="328">
        <f t="shared" si="11"/>
        <v>0</v>
      </c>
      <c r="Z28" s="517"/>
      <c r="AA28" s="647">
        <f t="shared" si="19"/>
        <v>0</v>
      </c>
      <c r="AB28" s="328">
        <f t="shared" si="12"/>
        <v>0</v>
      </c>
      <c r="AC28" s="329"/>
      <c r="AD28" s="647">
        <f t="shared" si="20"/>
        <v>0</v>
      </c>
      <c r="AE28" s="328">
        <f t="shared" si="13"/>
        <v>0</v>
      </c>
      <c r="AF28" s="518"/>
      <c r="AG28" s="647">
        <f t="shared" si="21"/>
        <v>0</v>
      </c>
      <c r="AH28" s="328">
        <f t="shared" si="14"/>
        <v>0</v>
      </c>
      <c r="AI28" s="518"/>
      <c r="AJ28" s="647">
        <f t="shared" si="22"/>
        <v>0</v>
      </c>
      <c r="AK28" s="421">
        <f t="shared" si="15"/>
        <v>0</v>
      </c>
      <c r="AL28" s="517"/>
      <c r="AM28" s="647">
        <f t="shared" si="23"/>
        <v>0</v>
      </c>
      <c r="AN28" s="524">
        <f t="shared" si="24"/>
        <v>0</v>
      </c>
    </row>
    <row r="29" spans="1:40" ht="23.1" customHeight="1">
      <c r="A29" s="58">
        <f>Gen!A34</f>
        <v>43885</v>
      </c>
      <c r="B29" s="4"/>
      <c r="C29" s="98">
        <f t="shared" si="36"/>
        <v>0</v>
      </c>
      <c r="D29" s="1"/>
      <c r="E29" s="646">
        <f t="shared" si="25"/>
        <v>0</v>
      </c>
      <c r="F29" s="98">
        <f t="shared" si="2"/>
        <v>0</v>
      </c>
      <c r="G29" s="522"/>
      <c r="H29" s="646">
        <f t="shared" si="35"/>
        <v>0</v>
      </c>
      <c r="I29" s="98">
        <f t="shared" si="28"/>
        <v>0</v>
      </c>
      <c r="J29" s="1"/>
      <c r="K29" s="646">
        <f t="shared" si="29"/>
        <v>0</v>
      </c>
      <c r="L29" s="98">
        <f t="shared" si="30"/>
        <v>0</v>
      </c>
      <c r="M29" s="1"/>
      <c r="N29" s="646">
        <f t="shared" si="31"/>
        <v>0</v>
      </c>
      <c r="O29" s="98">
        <f t="shared" si="32"/>
        <v>0</v>
      </c>
      <c r="P29" s="516"/>
      <c r="Q29" s="646">
        <f t="shared" si="33"/>
        <v>0</v>
      </c>
      <c r="R29" s="333"/>
      <c r="S29" s="328">
        <f t="shared" si="34"/>
        <v>0</v>
      </c>
      <c r="T29" s="517"/>
      <c r="U29" s="647">
        <f t="shared" si="17"/>
        <v>0</v>
      </c>
      <c r="V29" s="328">
        <f t="shared" si="27"/>
        <v>0</v>
      </c>
      <c r="W29" s="517"/>
      <c r="X29" s="647">
        <f t="shared" si="18"/>
        <v>0</v>
      </c>
      <c r="Y29" s="328">
        <f t="shared" si="11"/>
        <v>0</v>
      </c>
      <c r="Z29" s="517"/>
      <c r="AA29" s="647">
        <f t="shared" si="19"/>
        <v>0</v>
      </c>
      <c r="AB29" s="328">
        <f t="shared" si="12"/>
        <v>0</v>
      </c>
      <c r="AC29" s="329"/>
      <c r="AD29" s="647">
        <f t="shared" si="20"/>
        <v>0</v>
      </c>
      <c r="AE29" s="328">
        <f t="shared" si="13"/>
        <v>0</v>
      </c>
      <c r="AF29" s="518"/>
      <c r="AG29" s="647">
        <f t="shared" si="21"/>
        <v>0</v>
      </c>
      <c r="AH29" s="328">
        <f t="shared" si="14"/>
        <v>0</v>
      </c>
      <c r="AI29" s="518"/>
      <c r="AJ29" s="647">
        <f t="shared" si="22"/>
        <v>0</v>
      </c>
      <c r="AK29" s="421">
        <f t="shared" si="15"/>
        <v>0</v>
      </c>
      <c r="AL29" s="517"/>
      <c r="AM29" s="647">
        <f t="shared" si="23"/>
        <v>0</v>
      </c>
      <c r="AN29" s="524">
        <f t="shared" si="24"/>
        <v>0</v>
      </c>
    </row>
    <row r="30" spans="1:40" ht="23.1" customHeight="1">
      <c r="A30" s="58">
        <f>Gen!A35</f>
        <v>43886</v>
      </c>
      <c r="B30" s="4"/>
      <c r="C30" s="98">
        <f t="shared" si="36"/>
        <v>0</v>
      </c>
      <c r="D30" s="1"/>
      <c r="E30" s="646">
        <f t="shared" si="25"/>
        <v>0</v>
      </c>
      <c r="F30" s="98">
        <f t="shared" si="2"/>
        <v>0</v>
      </c>
      <c r="G30" s="522"/>
      <c r="H30" s="646">
        <f t="shared" si="35"/>
        <v>0</v>
      </c>
      <c r="I30" s="98">
        <f t="shared" si="28"/>
        <v>0</v>
      </c>
      <c r="J30" s="1"/>
      <c r="K30" s="646">
        <f t="shared" si="29"/>
        <v>0</v>
      </c>
      <c r="L30" s="98">
        <f t="shared" si="30"/>
        <v>0</v>
      </c>
      <c r="M30" s="1"/>
      <c r="N30" s="646">
        <f t="shared" si="31"/>
        <v>0</v>
      </c>
      <c r="O30" s="98">
        <f t="shared" si="32"/>
        <v>0</v>
      </c>
      <c r="P30" s="516"/>
      <c r="Q30" s="646">
        <f t="shared" si="33"/>
        <v>0</v>
      </c>
      <c r="R30" s="333"/>
      <c r="S30" s="328">
        <f t="shared" si="34"/>
        <v>0</v>
      </c>
      <c r="T30" s="517"/>
      <c r="U30" s="647">
        <f t="shared" si="17"/>
        <v>0</v>
      </c>
      <c r="V30" s="328">
        <f t="shared" si="27"/>
        <v>0</v>
      </c>
      <c r="W30" s="517"/>
      <c r="X30" s="647">
        <f t="shared" si="18"/>
        <v>0</v>
      </c>
      <c r="Y30" s="328">
        <f t="shared" si="11"/>
        <v>0</v>
      </c>
      <c r="Z30" s="517"/>
      <c r="AA30" s="647">
        <f t="shared" si="19"/>
        <v>0</v>
      </c>
      <c r="AB30" s="328">
        <f t="shared" si="12"/>
        <v>0</v>
      </c>
      <c r="AC30" s="329"/>
      <c r="AD30" s="647">
        <f t="shared" si="20"/>
        <v>0</v>
      </c>
      <c r="AE30" s="328">
        <f t="shared" si="13"/>
        <v>0</v>
      </c>
      <c r="AF30" s="518"/>
      <c r="AG30" s="647">
        <f t="shared" si="21"/>
        <v>0</v>
      </c>
      <c r="AH30" s="328">
        <f t="shared" si="14"/>
        <v>0</v>
      </c>
      <c r="AI30" s="518"/>
      <c r="AJ30" s="647">
        <f t="shared" si="22"/>
        <v>0</v>
      </c>
      <c r="AK30" s="421">
        <f t="shared" si="15"/>
        <v>0</v>
      </c>
      <c r="AL30" s="517"/>
      <c r="AM30" s="647">
        <f t="shared" si="23"/>
        <v>0</v>
      </c>
      <c r="AN30" s="524">
        <f t="shared" si="24"/>
        <v>0</v>
      </c>
    </row>
    <row r="31" spans="1:40" ht="23.1" customHeight="1">
      <c r="A31" s="58">
        <f>Gen!A36</f>
        <v>43887</v>
      </c>
      <c r="B31" s="4"/>
      <c r="C31" s="98">
        <f t="shared" si="36"/>
        <v>0</v>
      </c>
      <c r="D31" s="1"/>
      <c r="E31" s="646">
        <f t="shared" si="25"/>
        <v>0</v>
      </c>
      <c r="F31" s="98">
        <f t="shared" si="2"/>
        <v>0</v>
      </c>
      <c r="G31" s="522"/>
      <c r="H31" s="646">
        <f t="shared" si="35"/>
        <v>0</v>
      </c>
      <c r="I31" s="98">
        <f t="shared" si="28"/>
        <v>0</v>
      </c>
      <c r="J31" s="1"/>
      <c r="K31" s="646">
        <f t="shared" si="29"/>
        <v>0</v>
      </c>
      <c r="L31" s="98">
        <f t="shared" si="30"/>
        <v>0</v>
      </c>
      <c r="M31" s="1"/>
      <c r="N31" s="646">
        <f t="shared" si="31"/>
        <v>0</v>
      </c>
      <c r="O31" s="98">
        <f t="shared" si="32"/>
        <v>0</v>
      </c>
      <c r="P31" s="516"/>
      <c r="Q31" s="646">
        <f t="shared" si="33"/>
        <v>0</v>
      </c>
      <c r="R31" s="333"/>
      <c r="S31" s="328">
        <f t="shared" si="34"/>
        <v>0</v>
      </c>
      <c r="T31" s="517"/>
      <c r="U31" s="647">
        <f t="shared" si="17"/>
        <v>0</v>
      </c>
      <c r="V31" s="328">
        <f t="shared" si="27"/>
        <v>0</v>
      </c>
      <c r="W31" s="517"/>
      <c r="X31" s="647">
        <f t="shared" si="18"/>
        <v>0</v>
      </c>
      <c r="Y31" s="328">
        <f t="shared" si="11"/>
        <v>0</v>
      </c>
      <c r="Z31" s="517"/>
      <c r="AA31" s="647">
        <f t="shared" si="19"/>
        <v>0</v>
      </c>
      <c r="AB31" s="328">
        <f t="shared" si="12"/>
        <v>0</v>
      </c>
      <c r="AC31" s="329"/>
      <c r="AD31" s="647">
        <f t="shared" si="20"/>
        <v>0</v>
      </c>
      <c r="AE31" s="328">
        <f t="shared" si="13"/>
        <v>0</v>
      </c>
      <c r="AF31" s="518"/>
      <c r="AG31" s="647">
        <f t="shared" si="21"/>
        <v>0</v>
      </c>
      <c r="AH31" s="328">
        <f t="shared" si="14"/>
        <v>0</v>
      </c>
      <c r="AI31" s="518"/>
      <c r="AJ31" s="647">
        <f t="shared" si="22"/>
        <v>0</v>
      </c>
      <c r="AK31" s="421">
        <f t="shared" si="15"/>
        <v>0</v>
      </c>
      <c r="AL31" s="517"/>
      <c r="AM31" s="647">
        <f t="shared" si="23"/>
        <v>0</v>
      </c>
      <c r="AN31" s="524">
        <f t="shared" si="24"/>
        <v>0</v>
      </c>
    </row>
    <row r="32" spans="1:40" ht="23.1" customHeight="1">
      <c r="A32" s="58">
        <f>Gen!A37</f>
        <v>43888</v>
      </c>
      <c r="B32" s="4" t="s">
        <v>27</v>
      </c>
      <c r="C32" s="98">
        <f t="shared" si="36"/>
        <v>0</v>
      </c>
      <c r="D32" s="1"/>
      <c r="E32" s="646">
        <f t="shared" si="25"/>
        <v>0</v>
      </c>
      <c r="F32" s="98">
        <f t="shared" si="2"/>
        <v>0</v>
      </c>
      <c r="G32" s="522"/>
      <c r="H32" s="646">
        <f t="shared" si="35"/>
        <v>0</v>
      </c>
      <c r="I32" s="98">
        <f t="shared" si="28"/>
        <v>0</v>
      </c>
      <c r="J32" s="1"/>
      <c r="K32" s="646">
        <f t="shared" si="29"/>
        <v>0</v>
      </c>
      <c r="L32" s="98">
        <f t="shared" si="30"/>
        <v>0</v>
      </c>
      <c r="M32" s="1"/>
      <c r="N32" s="646">
        <f t="shared" si="31"/>
        <v>0</v>
      </c>
      <c r="O32" s="98">
        <f t="shared" si="32"/>
        <v>0</v>
      </c>
      <c r="P32" s="516"/>
      <c r="Q32" s="646">
        <f t="shared" si="33"/>
        <v>0</v>
      </c>
      <c r="R32" s="333"/>
      <c r="S32" s="328">
        <f t="shared" si="34"/>
        <v>0</v>
      </c>
      <c r="T32" s="517"/>
      <c r="U32" s="647">
        <f t="shared" si="17"/>
        <v>0</v>
      </c>
      <c r="V32" s="328">
        <f t="shared" si="27"/>
        <v>0</v>
      </c>
      <c r="W32" s="517"/>
      <c r="X32" s="647">
        <f t="shared" si="18"/>
        <v>0</v>
      </c>
      <c r="Y32" s="328">
        <f t="shared" si="11"/>
        <v>0</v>
      </c>
      <c r="Z32" s="517"/>
      <c r="AA32" s="647">
        <f t="shared" si="19"/>
        <v>0</v>
      </c>
      <c r="AB32" s="328">
        <f t="shared" si="12"/>
        <v>0</v>
      </c>
      <c r="AC32" s="329"/>
      <c r="AD32" s="647">
        <f t="shared" si="20"/>
        <v>0</v>
      </c>
      <c r="AE32" s="328">
        <f t="shared" si="13"/>
        <v>0</v>
      </c>
      <c r="AF32" s="518"/>
      <c r="AG32" s="647">
        <f t="shared" si="21"/>
        <v>0</v>
      </c>
      <c r="AH32" s="328">
        <f t="shared" si="14"/>
        <v>0</v>
      </c>
      <c r="AI32" s="518"/>
      <c r="AJ32" s="647">
        <f t="shared" si="22"/>
        <v>0</v>
      </c>
      <c r="AK32" s="421">
        <f t="shared" si="15"/>
        <v>0</v>
      </c>
      <c r="AL32" s="517"/>
      <c r="AM32" s="647">
        <f t="shared" si="23"/>
        <v>0</v>
      </c>
      <c r="AN32" s="524">
        <f t="shared" si="24"/>
        <v>0</v>
      </c>
    </row>
    <row r="33" spans="1:41" ht="23.1" customHeight="1">
      <c r="A33" s="58">
        <f>Gen!A38</f>
        <v>43889</v>
      </c>
      <c r="B33" s="4"/>
      <c r="C33" s="98">
        <f t="shared" si="36"/>
        <v>0</v>
      </c>
      <c r="D33" s="1"/>
      <c r="E33" s="646">
        <f t="shared" si="25"/>
        <v>0</v>
      </c>
      <c r="F33" s="98">
        <f t="shared" si="2"/>
        <v>0</v>
      </c>
      <c r="G33" s="522"/>
      <c r="H33" s="646">
        <f t="shared" si="35"/>
        <v>0</v>
      </c>
      <c r="I33" s="98">
        <f t="shared" si="28"/>
        <v>0</v>
      </c>
      <c r="J33" s="1"/>
      <c r="K33" s="646">
        <f t="shared" si="29"/>
        <v>0</v>
      </c>
      <c r="L33" s="98">
        <f t="shared" si="30"/>
        <v>0</v>
      </c>
      <c r="M33" s="1"/>
      <c r="N33" s="646">
        <f t="shared" si="31"/>
        <v>0</v>
      </c>
      <c r="O33" s="98">
        <f t="shared" si="32"/>
        <v>0</v>
      </c>
      <c r="P33" s="516"/>
      <c r="Q33" s="646">
        <f t="shared" si="33"/>
        <v>0</v>
      </c>
      <c r="R33" s="333"/>
      <c r="S33" s="328">
        <f t="shared" si="34"/>
        <v>0</v>
      </c>
      <c r="T33" s="517"/>
      <c r="U33" s="647">
        <f t="shared" si="17"/>
        <v>0</v>
      </c>
      <c r="V33" s="328">
        <f t="shared" si="27"/>
        <v>0</v>
      </c>
      <c r="W33" s="517"/>
      <c r="X33" s="647">
        <f t="shared" si="18"/>
        <v>0</v>
      </c>
      <c r="Y33" s="328">
        <f t="shared" si="11"/>
        <v>0</v>
      </c>
      <c r="Z33" s="517"/>
      <c r="AA33" s="647">
        <f t="shared" si="19"/>
        <v>0</v>
      </c>
      <c r="AB33" s="328">
        <f t="shared" si="12"/>
        <v>0</v>
      </c>
      <c r="AC33" s="329"/>
      <c r="AD33" s="647">
        <f t="shared" si="20"/>
        <v>0</v>
      </c>
      <c r="AE33" s="328">
        <f t="shared" si="13"/>
        <v>0</v>
      </c>
      <c r="AF33" s="518"/>
      <c r="AG33" s="647">
        <f t="shared" si="21"/>
        <v>0</v>
      </c>
      <c r="AH33" s="328">
        <f t="shared" si="14"/>
        <v>0</v>
      </c>
      <c r="AI33" s="518"/>
      <c r="AJ33" s="647">
        <f t="shared" si="22"/>
        <v>0</v>
      </c>
      <c r="AK33" s="421">
        <f t="shared" si="15"/>
        <v>0</v>
      </c>
      <c r="AL33" s="517"/>
      <c r="AM33" s="647">
        <f t="shared" si="23"/>
        <v>0</v>
      </c>
      <c r="AN33" s="524">
        <f t="shared" si="24"/>
        <v>0</v>
      </c>
    </row>
    <row r="34" spans="1:41" ht="23.1" customHeight="1">
      <c r="A34" s="58">
        <f>Gen!A39</f>
        <v>43890</v>
      </c>
      <c r="B34" s="172"/>
      <c r="C34" s="98">
        <f t="shared" si="36"/>
        <v>0</v>
      </c>
      <c r="D34" s="1"/>
      <c r="E34" s="646">
        <f t="shared" si="25"/>
        <v>0</v>
      </c>
      <c r="F34" s="98">
        <f t="shared" si="2"/>
        <v>0</v>
      </c>
      <c r="G34" s="522"/>
      <c r="H34" s="646">
        <f t="shared" si="35"/>
        <v>0</v>
      </c>
      <c r="I34" s="98">
        <f t="shared" si="28"/>
        <v>0</v>
      </c>
      <c r="J34" s="1"/>
      <c r="K34" s="646">
        <f t="shared" si="29"/>
        <v>0</v>
      </c>
      <c r="L34" s="98">
        <f t="shared" si="30"/>
        <v>0</v>
      </c>
      <c r="M34" s="1"/>
      <c r="N34" s="646">
        <f t="shared" si="31"/>
        <v>0</v>
      </c>
      <c r="O34" s="98">
        <f t="shared" si="32"/>
        <v>0</v>
      </c>
      <c r="P34" s="516"/>
      <c r="Q34" s="646">
        <f t="shared" si="33"/>
        <v>0</v>
      </c>
      <c r="R34" s="333"/>
      <c r="S34" s="328">
        <f t="shared" si="34"/>
        <v>0</v>
      </c>
      <c r="T34" s="517"/>
      <c r="U34" s="647">
        <f t="shared" si="17"/>
        <v>0</v>
      </c>
      <c r="V34" s="328">
        <f t="shared" si="27"/>
        <v>0</v>
      </c>
      <c r="W34" s="517"/>
      <c r="X34" s="647">
        <f t="shared" si="18"/>
        <v>0</v>
      </c>
      <c r="Y34" s="328">
        <f t="shared" si="11"/>
        <v>0</v>
      </c>
      <c r="Z34" s="517"/>
      <c r="AA34" s="647">
        <f t="shared" si="19"/>
        <v>0</v>
      </c>
      <c r="AB34" s="328">
        <f t="shared" si="12"/>
        <v>0</v>
      </c>
      <c r="AC34" s="329"/>
      <c r="AD34" s="647">
        <f t="shared" si="20"/>
        <v>0</v>
      </c>
      <c r="AE34" s="328">
        <f t="shared" si="13"/>
        <v>0</v>
      </c>
      <c r="AF34" s="518"/>
      <c r="AG34" s="647">
        <f t="shared" si="21"/>
        <v>0</v>
      </c>
      <c r="AH34" s="328">
        <f t="shared" si="14"/>
        <v>0</v>
      </c>
      <c r="AI34" s="518"/>
      <c r="AJ34" s="647">
        <f t="shared" si="22"/>
        <v>0</v>
      </c>
      <c r="AK34" s="421">
        <f t="shared" si="15"/>
        <v>0</v>
      </c>
      <c r="AL34" s="517"/>
      <c r="AM34" s="647">
        <f t="shared" si="23"/>
        <v>0</v>
      </c>
      <c r="AN34" s="524">
        <f t="shared" si="24"/>
        <v>0</v>
      </c>
    </row>
    <row r="35" spans="1:41" ht="23.1" customHeight="1">
      <c r="A35" s="58">
        <f>Gen!A40</f>
        <v>43891</v>
      </c>
      <c r="B35" s="172"/>
      <c r="C35" s="98">
        <f t="shared" si="36"/>
        <v>0</v>
      </c>
      <c r="D35" s="1"/>
      <c r="E35" s="646">
        <f t="shared" si="25"/>
        <v>0</v>
      </c>
      <c r="F35" s="98">
        <f t="shared" si="2"/>
        <v>0</v>
      </c>
      <c r="G35" s="522"/>
      <c r="H35" s="646">
        <f t="shared" si="35"/>
        <v>0</v>
      </c>
      <c r="I35" s="98">
        <f t="shared" si="28"/>
        <v>0</v>
      </c>
      <c r="J35" s="1"/>
      <c r="K35" s="646">
        <f t="shared" si="29"/>
        <v>0</v>
      </c>
      <c r="L35" s="98">
        <f t="shared" si="30"/>
        <v>0</v>
      </c>
      <c r="M35" s="1"/>
      <c r="N35" s="646">
        <f t="shared" si="31"/>
        <v>0</v>
      </c>
      <c r="O35" s="98">
        <f t="shared" si="32"/>
        <v>0</v>
      </c>
      <c r="P35" s="516"/>
      <c r="Q35" s="646">
        <f t="shared" si="33"/>
        <v>0</v>
      </c>
      <c r="R35" s="333"/>
      <c r="S35" s="328">
        <f t="shared" si="34"/>
        <v>0</v>
      </c>
      <c r="T35" s="517"/>
      <c r="U35" s="647">
        <f t="shared" si="17"/>
        <v>0</v>
      </c>
      <c r="V35" s="328">
        <f t="shared" si="27"/>
        <v>0</v>
      </c>
      <c r="W35" s="517"/>
      <c r="X35" s="647">
        <f t="shared" si="18"/>
        <v>0</v>
      </c>
      <c r="Y35" s="328">
        <f t="shared" si="11"/>
        <v>0</v>
      </c>
      <c r="Z35" s="517"/>
      <c r="AA35" s="647">
        <f t="shared" si="19"/>
        <v>0</v>
      </c>
      <c r="AB35" s="328">
        <f t="shared" si="12"/>
        <v>0</v>
      </c>
      <c r="AC35" s="329"/>
      <c r="AD35" s="647">
        <f t="shared" si="20"/>
        <v>0</v>
      </c>
      <c r="AE35" s="328">
        <f t="shared" si="13"/>
        <v>0</v>
      </c>
      <c r="AF35" s="518"/>
      <c r="AG35" s="647">
        <f t="shared" si="21"/>
        <v>0</v>
      </c>
      <c r="AH35" s="328">
        <f t="shared" si="14"/>
        <v>0</v>
      </c>
      <c r="AI35" s="518"/>
      <c r="AJ35" s="647">
        <f t="shared" si="22"/>
        <v>0</v>
      </c>
      <c r="AK35" s="421">
        <f t="shared" si="15"/>
        <v>0</v>
      </c>
      <c r="AL35" s="517"/>
      <c r="AM35" s="647">
        <f t="shared" si="23"/>
        <v>0</v>
      </c>
      <c r="AN35" s="524">
        <f t="shared" si="24"/>
        <v>0</v>
      </c>
    </row>
    <row r="36" spans="1:41" ht="23.1" customHeight="1">
      <c r="A36" s="58">
        <f>Gen!A41</f>
        <v>43892</v>
      </c>
      <c r="B36" s="173"/>
      <c r="C36" s="98">
        <f t="shared" si="36"/>
        <v>0</v>
      </c>
      <c r="D36" s="1"/>
      <c r="E36" s="646">
        <f t="shared" si="25"/>
        <v>0</v>
      </c>
      <c r="F36" s="98">
        <f t="shared" si="2"/>
        <v>0</v>
      </c>
      <c r="G36" s="522"/>
      <c r="H36" s="646">
        <f t="shared" si="35"/>
        <v>0</v>
      </c>
      <c r="I36" s="98">
        <f t="shared" si="28"/>
        <v>0</v>
      </c>
      <c r="J36" s="1"/>
      <c r="K36" s="646">
        <f t="shared" si="29"/>
        <v>0</v>
      </c>
      <c r="L36" s="98">
        <f t="shared" si="30"/>
        <v>0</v>
      </c>
      <c r="M36" s="1"/>
      <c r="N36" s="646">
        <f t="shared" si="31"/>
        <v>0</v>
      </c>
      <c r="O36" s="98">
        <f t="shared" si="32"/>
        <v>0</v>
      </c>
      <c r="P36" s="516"/>
      <c r="Q36" s="646">
        <f t="shared" si="33"/>
        <v>0</v>
      </c>
      <c r="R36" s="333"/>
      <c r="S36" s="328">
        <f t="shared" si="34"/>
        <v>0</v>
      </c>
      <c r="T36" s="517"/>
      <c r="U36" s="647">
        <f t="shared" si="17"/>
        <v>0</v>
      </c>
      <c r="V36" s="328">
        <f t="shared" si="27"/>
        <v>0</v>
      </c>
      <c r="W36" s="517"/>
      <c r="X36" s="647">
        <f t="shared" si="18"/>
        <v>0</v>
      </c>
      <c r="Y36" s="328">
        <f t="shared" si="11"/>
        <v>0</v>
      </c>
      <c r="Z36" s="517"/>
      <c r="AA36" s="647">
        <f t="shared" si="19"/>
        <v>0</v>
      </c>
      <c r="AB36" s="328">
        <f t="shared" si="12"/>
        <v>0</v>
      </c>
      <c r="AC36" s="329"/>
      <c r="AD36" s="647">
        <f t="shared" si="20"/>
        <v>0</v>
      </c>
      <c r="AE36" s="328">
        <f t="shared" si="13"/>
        <v>0</v>
      </c>
      <c r="AF36" s="518"/>
      <c r="AG36" s="647">
        <f t="shared" si="21"/>
        <v>0</v>
      </c>
      <c r="AH36" s="328">
        <f t="shared" si="14"/>
        <v>0</v>
      </c>
      <c r="AI36" s="518"/>
      <c r="AJ36" s="647">
        <f t="shared" si="22"/>
        <v>0</v>
      </c>
      <c r="AK36" s="421">
        <f t="shared" si="15"/>
        <v>0</v>
      </c>
      <c r="AL36" s="517"/>
      <c r="AM36" s="647">
        <f t="shared" si="23"/>
        <v>0</v>
      </c>
      <c r="AN36" s="524">
        <f t="shared" si="24"/>
        <v>0</v>
      </c>
    </row>
    <row r="37" spans="1:41" ht="24" customHeight="1">
      <c r="A37" s="58">
        <f>Gen!A42</f>
        <v>43893</v>
      </c>
      <c r="B37" s="3"/>
      <c r="C37" s="98">
        <f t="shared" si="36"/>
        <v>0</v>
      </c>
      <c r="D37" s="1"/>
      <c r="E37" s="646">
        <f t="shared" si="25"/>
        <v>0</v>
      </c>
      <c r="F37" s="98">
        <f t="shared" si="2"/>
        <v>0</v>
      </c>
      <c r="G37" s="522"/>
      <c r="H37" s="646">
        <f t="shared" si="35"/>
        <v>0</v>
      </c>
      <c r="I37" s="98">
        <f t="shared" si="28"/>
        <v>0</v>
      </c>
      <c r="J37" s="1"/>
      <c r="K37" s="646">
        <f t="shared" si="29"/>
        <v>0</v>
      </c>
      <c r="L37" s="98">
        <f t="shared" si="30"/>
        <v>0</v>
      </c>
      <c r="M37" s="1"/>
      <c r="N37" s="646">
        <f t="shared" si="31"/>
        <v>0</v>
      </c>
      <c r="O37" s="98">
        <f t="shared" si="32"/>
        <v>0</v>
      </c>
      <c r="P37" s="516"/>
      <c r="Q37" s="646">
        <f t="shared" si="33"/>
        <v>0</v>
      </c>
      <c r="R37" s="333"/>
      <c r="S37" s="328">
        <f t="shared" si="34"/>
        <v>0</v>
      </c>
      <c r="T37" s="517"/>
      <c r="U37" s="647">
        <f t="shared" si="17"/>
        <v>0</v>
      </c>
      <c r="V37" s="328">
        <f t="shared" si="27"/>
        <v>0</v>
      </c>
      <c r="W37" s="517"/>
      <c r="X37" s="647">
        <f t="shared" si="18"/>
        <v>0</v>
      </c>
      <c r="Y37" s="328">
        <f t="shared" si="11"/>
        <v>0</v>
      </c>
      <c r="Z37" s="517"/>
      <c r="AA37" s="647">
        <f t="shared" si="19"/>
        <v>0</v>
      </c>
      <c r="AB37" s="328">
        <f t="shared" si="12"/>
        <v>0</v>
      </c>
      <c r="AC37" s="329"/>
      <c r="AD37" s="647">
        <f t="shared" si="20"/>
        <v>0</v>
      </c>
      <c r="AE37" s="328">
        <f t="shared" si="13"/>
        <v>0</v>
      </c>
      <c r="AF37" s="518"/>
      <c r="AG37" s="647">
        <f t="shared" si="21"/>
        <v>0</v>
      </c>
      <c r="AH37" s="328">
        <f t="shared" si="14"/>
        <v>0</v>
      </c>
      <c r="AI37" s="518"/>
      <c r="AJ37" s="647">
        <f t="shared" si="22"/>
        <v>0</v>
      </c>
      <c r="AK37" s="421">
        <f t="shared" si="15"/>
        <v>0</v>
      </c>
      <c r="AL37" s="517"/>
      <c r="AM37" s="647">
        <f t="shared" si="23"/>
        <v>0</v>
      </c>
      <c r="AN37" s="524">
        <f t="shared" ref="AN37" si="37">U38+X38+AA38+AD38+AG38+AJ38+AM38</f>
        <v>330</v>
      </c>
    </row>
    <row r="38" spans="1:41" ht="17.25">
      <c r="A38" s="58"/>
      <c r="B38" s="22"/>
      <c r="C38" s="861" t="s">
        <v>6</v>
      </c>
      <c r="D38" s="861"/>
      <c r="E38" s="23">
        <f>SUM(E6:E36)</f>
        <v>1079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32</v>
      </c>
      <c r="L38" s="171"/>
      <c r="M38" s="171"/>
      <c r="N38" s="29">
        <f t="shared" ref="N38" si="38">M38-M37</f>
        <v>0</v>
      </c>
      <c r="O38" s="27"/>
      <c r="P38" s="330"/>
      <c r="Q38" s="331">
        <f t="shared" ref="Q38" si="39">P38-O38</f>
        <v>0</v>
      </c>
      <c r="R38" s="332">
        <f>E38</f>
        <v>1079</v>
      </c>
      <c r="S38" s="330"/>
      <c r="T38" s="330"/>
      <c r="U38" s="340">
        <f>SUM(U6:U37)</f>
        <v>330</v>
      </c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6">
        <f t="shared" ref="AN38" si="40">U38+X38+AA38+AD38+AG38+AJ38+AM38</f>
        <v>330</v>
      </c>
    </row>
    <row r="40" spans="1:41">
      <c r="R40" s="20"/>
      <c r="AF40" t="s">
        <v>256</v>
      </c>
    </row>
    <row r="41" spans="1:41" ht="13.5" thickBot="1">
      <c r="R41" s="20"/>
    </row>
    <row r="42" spans="1:41" ht="18.75" thickBot="1">
      <c r="A42" s="830"/>
      <c r="B42" s="366"/>
      <c r="C42" s="827" t="s">
        <v>224</v>
      </c>
      <c r="D42" s="828"/>
      <c r="E42" s="828"/>
      <c r="F42" s="828"/>
      <c r="G42" s="828"/>
      <c r="H42" s="828"/>
      <c r="I42" s="828"/>
      <c r="J42" s="828"/>
      <c r="K42" s="829"/>
      <c r="R42" s="20"/>
    </row>
    <row r="43" spans="1:41" ht="24.75" customHeight="1">
      <c r="A43" s="831"/>
      <c r="B43" s="20"/>
      <c r="C43" s="833" t="s">
        <v>218</v>
      </c>
      <c r="D43" s="834"/>
      <c r="E43" s="835" t="s">
        <v>239</v>
      </c>
      <c r="F43" s="836"/>
      <c r="G43" s="837" t="s">
        <v>219</v>
      </c>
      <c r="H43" s="838"/>
      <c r="I43" s="837" t="s">
        <v>240</v>
      </c>
      <c r="J43" s="838"/>
      <c r="K43" s="825" t="s">
        <v>225</v>
      </c>
      <c r="R43" s="20"/>
      <c r="T43" s="656"/>
      <c r="U43" s="656"/>
      <c r="V43" s="656"/>
      <c r="W43" s="656"/>
      <c r="X43" s="656"/>
      <c r="Y43" s="656"/>
      <c r="Z43" s="656"/>
      <c r="AA43" s="656"/>
      <c r="AB43" s="656"/>
      <c r="AC43" s="656"/>
      <c r="AD43" s="656"/>
      <c r="AE43" s="656"/>
      <c r="AF43" s="656"/>
      <c r="AG43" s="656"/>
      <c r="AH43" s="656"/>
      <c r="AI43" s="656"/>
      <c r="AJ43" s="656"/>
      <c r="AK43" s="656"/>
      <c r="AL43" s="656"/>
      <c r="AM43" s="656"/>
      <c r="AN43" s="656"/>
      <c r="AO43" s="656"/>
    </row>
    <row r="44" spans="1:41" ht="21" customHeight="1" thickBot="1">
      <c r="A44" s="831"/>
      <c r="B44" s="20"/>
      <c r="C44" s="839" t="s">
        <v>220</v>
      </c>
      <c r="D44" s="840"/>
      <c r="E44" s="839" t="s">
        <v>221</v>
      </c>
      <c r="F44" s="840"/>
      <c r="G44" s="839" t="s">
        <v>222</v>
      </c>
      <c r="H44" s="840"/>
      <c r="I44" s="839" t="s">
        <v>223</v>
      </c>
      <c r="J44" s="840"/>
      <c r="K44" s="826"/>
      <c r="R44" s="20"/>
      <c r="T44" s="656"/>
      <c r="U44" s="656"/>
      <c r="V44" s="656"/>
      <c r="W44" s="656"/>
      <c r="X44" s="656"/>
      <c r="Y44" s="656"/>
      <c r="Z44" s="656"/>
      <c r="AA44" s="656"/>
      <c r="AB44" s="656"/>
      <c r="AC44" s="656"/>
      <c r="AD44" s="656"/>
      <c r="AE44" s="656"/>
      <c r="AF44" s="656"/>
      <c r="AG44" s="656"/>
      <c r="AH44" s="656"/>
      <c r="AI44" s="656"/>
      <c r="AJ44" s="656"/>
      <c r="AK44" s="656"/>
      <c r="AL44" s="656"/>
      <c r="AM44" s="656"/>
      <c r="AN44" s="656"/>
      <c r="AO44" s="656"/>
    </row>
    <row r="45" spans="1:41" ht="21" customHeight="1" thickBot="1">
      <c r="A45" s="832"/>
      <c r="B45" s="20"/>
      <c r="C45" s="433" t="s">
        <v>227</v>
      </c>
      <c r="D45" s="434" t="s">
        <v>226</v>
      </c>
      <c r="E45" s="435" t="s">
        <v>227</v>
      </c>
      <c r="F45" s="436" t="s">
        <v>226</v>
      </c>
      <c r="G45" s="648"/>
      <c r="H45" s="436" t="s">
        <v>226</v>
      </c>
      <c r="I45" s="435" t="s">
        <v>227</v>
      </c>
      <c r="J45" s="436" t="s">
        <v>226</v>
      </c>
      <c r="K45" s="437" t="s">
        <v>226</v>
      </c>
      <c r="R45" s="20"/>
      <c r="T45" s="656"/>
      <c r="U45" s="656"/>
      <c r="V45" s="656"/>
      <c r="W45" s="656"/>
      <c r="X45" s="656"/>
      <c r="Y45" s="656"/>
      <c r="Z45" s="656"/>
      <c r="AA45" s="656"/>
      <c r="AB45" s="656"/>
      <c r="AC45" s="656"/>
      <c r="AD45" s="656"/>
      <c r="AE45" s="656"/>
      <c r="AF45" s="656"/>
      <c r="AG45" s="656"/>
      <c r="AH45" s="656"/>
      <c r="AI45" s="656"/>
      <c r="AJ45" s="656"/>
      <c r="AK45" s="656"/>
      <c r="AL45" s="656"/>
      <c r="AM45" s="656"/>
      <c r="AN45" s="656"/>
      <c r="AO45" s="656"/>
    </row>
    <row r="46" spans="1:41" ht="20.25" customHeight="1">
      <c r="A46" s="384">
        <f>Gen!A11</f>
        <v>43862</v>
      </c>
      <c r="B46" s="20"/>
      <c r="C46" s="63">
        <v>295</v>
      </c>
      <c r="D46" s="432">
        <f t="shared" ref="D46:D77" si="41">C46*217/300</f>
        <v>213.38333333333333</v>
      </c>
      <c r="E46" s="6">
        <v>290</v>
      </c>
      <c r="F46" s="432">
        <f t="shared" ref="F46:F77" si="42">E46*92/305</f>
        <v>87.47540983606558</v>
      </c>
      <c r="G46" s="649">
        <v>200</v>
      </c>
      <c r="H46" s="432">
        <f>G46*146/383</f>
        <v>76.240208877284601</v>
      </c>
      <c r="I46" s="6">
        <v>285</v>
      </c>
      <c r="J46" s="432">
        <f>I46*213/308</f>
        <v>197.09415584415584</v>
      </c>
      <c r="K46" s="438">
        <f>D46+F46+H46+J46</f>
        <v>574.19310789083931</v>
      </c>
      <c r="T46" s="656"/>
      <c r="U46" s="656"/>
      <c r="V46" s="656"/>
      <c r="W46" s="656"/>
      <c r="X46" s="656"/>
      <c r="Y46" s="656"/>
      <c r="Z46" s="656"/>
      <c r="AA46" s="656"/>
      <c r="AB46" s="656"/>
      <c r="AC46" s="656"/>
      <c r="AD46" s="656"/>
      <c r="AE46" s="656"/>
      <c r="AF46" s="656"/>
      <c r="AG46" s="656"/>
      <c r="AH46" s="656"/>
      <c r="AI46" s="656"/>
      <c r="AJ46" s="656"/>
      <c r="AK46" s="656"/>
      <c r="AL46" s="656"/>
      <c r="AM46" s="656"/>
      <c r="AN46" s="656"/>
      <c r="AO46" s="656"/>
    </row>
    <row r="47" spans="1:41" ht="13.5">
      <c r="A47" s="384">
        <f>Gen!A12</f>
        <v>43863</v>
      </c>
      <c r="B47" s="20"/>
      <c r="C47" s="63">
        <v>265</v>
      </c>
      <c r="D47" s="432">
        <f t="shared" si="41"/>
        <v>191.68333333333334</v>
      </c>
      <c r="E47" s="6">
        <v>235</v>
      </c>
      <c r="F47" s="432">
        <f t="shared" si="42"/>
        <v>70.885245901639351</v>
      </c>
      <c r="G47" s="649">
        <v>185</v>
      </c>
      <c r="H47" s="432">
        <f t="shared" ref="H47:H77" si="43">G47*146/383</f>
        <v>70.522193211488258</v>
      </c>
      <c r="I47" s="6">
        <v>290</v>
      </c>
      <c r="J47" s="432">
        <f t="shared" ref="J47:J77" si="44">I47*213/308</f>
        <v>200.55194805194805</v>
      </c>
      <c r="K47" s="438">
        <f t="shared" ref="K47:K77" si="45">D47+F47+H47+J47</f>
        <v>533.64272049840906</v>
      </c>
      <c r="T47" s="656"/>
      <c r="U47" s="656"/>
      <c r="V47" s="656"/>
      <c r="W47" s="656"/>
      <c r="X47" s="656"/>
      <c r="Y47" s="656"/>
      <c r="Z47" s="656"/>
      <c r="AA47" s="656"/>
      <c r="AB47" s="656"/>
      <c r="AC47" s="656"/>
      <c r="AD47" s="656"/>
      <c r="AE47" s="656"/>
      <c r="AF47" s="656"/>
      <c r="AG47" s="656"/>
      <c r="AH47" s="656"/>
      <c r="AI47" s="656"/>
      <c r="AJ47" s="656"/>
      <c r="AK47" s="656"/>
      <c r="AL47" s="656"/>
      <c r="AM47" s="656"/>
      <c r="AN47" s="656"/>
      <c r="AO47" s="656"/>
    </row>
    <row r="48" spans="1:41" ht="13.5">
      <c r="A48" s="384">
        <f>Gen!A13</f>
        <v>43864</v>
      </c>
      <c r="B48" s="20"/>
      <c r="C48" s="63">
        <v>195</v>
      </c>
      <c r="D48" s="432">
        <f t="shared" si="41"/>
        <v>141.05000000000001</v>
      </c>
      <c r="E48" s="6">
        <v>155</v>
      </c>
      <c r="F48" s="432">
        <f t="shared" si="42"/>
        <v>46.754098360655739</v>
      </c>
      <c r="G48" s="649">
        <v>140</v>
      </c>
      <c r="H48" s="432">
        <f t="shared" si="43"/>
        <v>53.36814621409922</v>
      </c>
      <c r="I48" s="6">
        <v>288</v>
      </c>
      <c r="J48" s="432">
        <f t="shared" si="44"/>
        <v>199.16883116883116</v>
      </c>
      <c r="K48" s="438">
        <f t="shared" si="45"/>
        <v>440.34107574358615</v>
      </c>
      <c r="T48" s="656"/>
      <c r="U48" s="656"/>
      <c r="V48" s="656"/>
      <c r="W48" s="656"/>
      <c r="X48" s="656"/>
      <c r="Y48" s="656"/>
      <c r="Z48" s="656"/>
      <c r="AA48" s="656"/>
      <c r="AB48" s="656"/>
      <c r="AC48" s="656"/>
      <c r="AD48" s="656"/>
      <c r="AE48" s="656"/>
      <c r="AF48" s="656"/>
      <c r="AG48" s="656"/>
      <c r="AH48" s="656"/>
      <c r="AI48" s="656"/>
      <c r="AJ48" s="656"/>
      <c r="AK48" s="656"/>
      <c r="AL48" s="656"/>
      <c r="AM48" s="656"/>
      <c r="AN48" s="656"/>
      <c r="AO48" s="656"/>
    </row>
    <row r="49" spans="1:15" ht="13.5">
      <c r="A49" s="384">
        <f>Gen!A14</f>
        <v>43865</v>
      </c>
      <c r="B49" s="20"/>
      <c r="C49" s="63">
        <v>116</v>
      </c>
      <c r="D49" s="432">
        <f t="shared" si="41"/>
        <v>83.906666666666666</v>
      </c>
      <c r="E49" s="6">
        <v>80</v>
      </c>
      <c r="F49" s="432">
        <f t="shared" si="42"/>
        <v>24.131147540983605</v>
      </c>
      <c r="G49" s="649">
        <v>80</v>
      </c>
      <c r="H49" s="432">
        <f t="shared" si="43"/>
        <v>30.496083550913838</v>
      </c>
      <c r="I49" s="6">
        <v>290</v>
      </c>
      <c r="J49" s="432">
        <f t="shared" si="44"/>
        <v>200.55194805194805</v>
      </c>
      <c r="K49" s="438">
        <f t="shared" si="45"/>
        <v>339.08584581051218</v>
      </c>
    </row>
    <row r="50" spans="1:15" ht="13.5">
      <c r="A50" s="384">
        <f>Gen!A15</f>
        <v>43866</v>
      </c>
      <c r="B50" s="20"/>
      <c r="C50" s="63">
        <v>181</v>
      </c>
      <c r="D50" s="432">
        <f t="shared" si="41"/>
        <v>130.92333333333335</v>
      </c>
      <c r="E50" s="6">
        <v>145</v>
      </c>
      <c r="F50" s="432">
        <f t="shared" si="42"/>
        <v>43.73770491803279</v>
      </c>
      <c r="G50" s="649">
        <v>222</v>
      </c>
      <c r="H50" s="432">
        <f t="shared" si="43"/>
        <v>84.626631853785895</v>
      </c>
      <c r="I50" s="6">
        <v>180</v>
      </c>
      <c r="J50" s="432">
        <f t="shared" si="44"/>
        <v>124.48051948051948</v>
      </c>
      <c r="K50" s="438">
        <f t="shared" si="45"/>
        <v>383.76818958567151</v>
      </c>
    </row>
    <row r="51" spans="1:15" ht="13.5">
      <c r="A51" s="384">
        <f>Gen!A16</f>
        <v>43867</v>
      </c>
      <c r="B51" s="20"/>
      <c r="C51" s="63">
        <v>206</v>
      </c>
      <c r="D51" s="432">
        <f t="shared" si="41"/>
        <v>149.00666666666666</v>
      </c>
      <c r="E51" s="6">
        <v>170</v>
      </c>
      <c r="F51" s="432">
        <f t="shared" si="42"/>
        <v>51.278688524590166</v>
      </c>
      <c r="G51" s="649">
        <v>110</v>
      </c>
      <c r="H51" s="432">
        <f t="shared" si="43"/>
        <v>41.932114882506525</v>
      </c>
      <c r="I51" s="6">
        <v>185</v>
      </c>
      <c r="J51" s="432">
        <f t="shared" si="44"/>
        <v>127.93831168831169</v>
      </c>
      <c r="K51" s="438">
        <f t="shared" si="45"/>
        <v>370.15578176207504</v>
      </c>
    </row>
    <row r="52" spans="1:15" ht="13.5">
      <c r="A52" s="384">
        <f>Gen!A17</f>
        <v>43868</v>
      </c>
      <c r="B52" s="20"/>
      <c r="C52" s="63">
        <v>201</v>
      </c>
      <c r="D52" s="432">
        <f t="shared" si="41"/>
        <v>145.38999999999999</v>
      </c>
      <c r="E52" s="6">
        <v>165</v>
      </c>
      <c r="F52" s="432">
        <f t="shared" si="42"/>
        <v>49.770491803278688</v>
      </c>
      <c r="G52" s="649">
        <v>185</v>
      </c>
      <c r="H52" s="432">
        <f t="shared" si="43"/>
        <v>70.522193211488258</v>
      </c>
      <c r="I52" s="6">
        <v>180</v>
      </c>
      <c r="J52" s="432">
        <f t="shared" si="44"/>
        <v>124.48051948051948</v>
      </c>
      <c r="K52" s="438">
        <f t="shared" si="45"/>
        <v>390.16320449528638</v>
      </c>
    </row>
    <row r="53" spans="1:15" ht="13.5">
      <c r="A53" s="384">
        <f>Gen!A18</f>
        <v>43869</v>
      </c>
      <c r="B53" s="20"/>
      <c r="C53" s="63">
        <v>151</v>
      </c>
      <c r="D53" s="432">
        <f t="shared" si="41"/>
        <v>109.22333333333333</v>
      </c>
      <c r="E53" s="6">
        <v>115</v>
      </c>
      <c r="F53" s="432">
        <f t="shared" si="42"/>
        <v>34.688524590163937</v>
      </c>
      <c r="G53" s="649">
        <v>145</v>
      </c>
      <c r="H53" s="432">
        <f t="shared" si="43"/>
        <v>55.274151436031332</v>
      </c>
      <c r="I53" s="6">
        <v>188</v>
      </c>
      <c r="J53" s="432">
        <f t="shared" si="44"/>
        <v>130.01298701298703</v>
      </c>
      <c r="K53" s="438">
        <f t="shared" si="45"/>
        <v>329.19899637251564</v>
      </c>
    </row>
    <row r="54" spans="1:15" ht="13.5">
      <c r="A54" s="384">
        <f>Gen!A19</f>
        <v>43870</v>
      </c>
      <c r="B54" s="20"/>
      <c r="C54" s="63">
        <v>176</v>
      </c>
      <c r="D54" s="432">
        <f t="shared" si="41"/>
        <v>127.30666666666667</v>
      </c>
      <c r="E54" s="6">
        <v>140</v>
      </c>
      <c r="F54" s="432">
        <f t="shared" si="42"/>
        <v>42.229508196721312</v>
      </c>
      <c r="G54" s="649">
        <v>223</v>
      </c>
      <c r="H54" s="432">
        <f t="shared" si="43"/>
        <v>85.007832898172325</v>
      </c>
      <c r="I54" s="6">
        <v>185</v>
      </c>
      <c r="J54" s="432">
        <f t="shared" si="44"/>
        <v>127.93831168831169</v>
      </c>
      <c r="K54" s="438">
        <f t="shared" si="45"/>
        <v>382.48231944987202</v>
      </c>
    </row>
    <row r="55" spans="1:15" ht="13.5">
      <c r="A55" s="384">
        <f>Gen!A20</f>
        <v>43871</v>
      </c>
      <c r="B55" s="20"/>
      <c r="C55" s="63"/>
      <c r="D55" s="432">
        <f t="shared" si="41"/>
        <v>0</v>
      </c>
      <c r="E55" s="6"/>
      <c r="F55" s="432">
        <f t="shared" si="42"/>
        <v>0</v>
      </c>
      <c r="G55" s="649"/>
      <c r="H55" s="432">
        <f t="shared" si="43"/>
        <v>0</v>
      </c>
      <c r="I55" s="6"/>
      <c r="J55" s="432">
        <f t="shared" si="44"/>
        <v>0</v>
      </c>
      <c r="K55" s="438">
        <f t="shared" si="45"/>
        <v>0</v>
      </c>
    </row>
    <row r="56" spans="1:15" ht="13.5">
      <c r="A56" s="384">
        <f>Gen!A21</f>
        <v>43872</v>
      </c>
      <c r="B56" s="20"/>
      <c r="C56" s="63"/>
      <c r="D56" s="432">
        <f t="shared" si="41"/>
        <v>0</v>
      </c>
      <c r="E56" s="6"/>
      <c r="F56" s="432">
        <f t="shared" si="42"/>
        <v>0</v>
      </c>
      <c r="G56" s="649"/>
      <c r="H56" s="432">
        <f t="shared" si="43"/>
        <v>0</v>
      </c>
      <c r="I56" s="6"/>
      <c r="J56" s="432">
        <f t="shared" si="44"/>
        <v>0</v>
      </c>
      <c r="K56" s="438">
        <f t="shared" si="45"/>
        <v>0</v>
      </c>
    </row>
    <row r="57" spans="1:15" ht="13.5">
      <c r="A57" s="384">
        <f>Gen!A22</f>
        <v>43873</v>
      </c>
      <c r="B57" s="20"/>
      <c r="C57" s="63"/>
      <c r="D57" s="432">
        <f t="shared" si="41"/>
        <v>0</v>
      </c>
      <c r="E57" s="6"/>
      <c r="F57" s="432">
        <f t="shared" si="42"/>
        <v>0</v>
      </c>
      <c r="G57" s="649"/>
      <c r="H57" s="432">
        <f t="shared" si="43"/>
        <v>0</v>
      </c>
      <c r="I57" s="6"/>
      <c r="J57" s="432">
        <f t="shared" si="44"/>
        <v>0</v>
      </c>
      <c r="K57" s="438">
        <f t="shared" si="45"/>
        <v>0</v>
      </c>
    </row>
    <row r="58" spans="1:15" ht="13.5">
      <c r="A58" s="384">
        <f>Gen!A23</f>
        <v>43874</v>
      </c>
      <c r="B58" s="20"/>
      <c r="C58" s="63"/>
      <c r="D58" s="432">
        <f t="shared" si="41"/>
        <v>0</v>
      </c>
      <c r="E58" s="6"/>
      <c r="F58" s="432">
        <f t="shared" si="42"/>
        <v>0</v>
      </c>
      <c r="G58" s="649"/>
      <c r="H58" s="432">
        <f t="shared" si="43"/>
        <v>0</v>
      </c>
      <c r="I58" s="6"/>
      <c r="J58" s="432">
        <f t="shared" si="44"/>
        <v>0</v>
      </c>
      <c r="K58" s="438">
        <f t="shared" si="45"/>
        <v>0</v>
      </c>
    </row>
    <row r="59" spans="1:15" ht="13.5">
      <c r="A59" s="384">
        <f>Gen!A24</f>
        <v>43875</v>
      </c>
      <c r="B59" s="20"/>
      <c r="C59" s="63"/>
      <c r="D59" s="432">
        <f t="shared" si="41"/>
        <v>0</v>
      </c>
      <c r="E59" s="6"/>
      <c r="F59" s="432">
        <f t="shared" si="42"/>
        <v>0</v>
      </c>
      <c r="G59" s="649"/>
      <c r="H59" s="432">
        <f t="shared" si="43"/>
        <v>0</v>
      </c>
      <c r="I59" s="6"/>
      <c r="J59" s="432">
        <f t="shared" si="44"/>
        <v>0</v>
      </c>
      <c r="K59" s="438">
        <f t="shared" si="45"/>
        <v>0</v>
      </c>
    </row>
    <row r="60" spans="1:15" ht="13.5">
      <c r="A60" s="384">
        <f>Gen!A25</f>
        <v>43876</v>
      </c>
      <c r="B60" s="20"/>
      <c r="C60" s="63"/>
      <c r="D60" s="432">
        <f t="shared" si="41"/>
        <v>0</v>
      </c>
      <c r="E60" s="6"/>
      <c r="F60" s="432">
        <f t="shared" si="42"/>
        <v>0</v>
      </c>
      <c r="G60" s="649"/>
      <c r="H60" s="432">
        <f t="shared" si="43"/>
        <v>0</v>
      </c>
      <c r="I60" s="6"/>
      <c r="J60" s="432">
        <f t="shared" si="44"/>
        <v>0</v>
      </c>
      <c r="K60" s="438">
        <f t="shared" si="45"/>
        <v>0</v>
      </c>
      <c r="L60" t="s">
        <v>252</v>
      </c>
      <c r="O60" t="s">
        <v>253</v>
      </c>
    </row>
    <row r="61" spans="1:15" ht="13.5">
      <c r="A61" s="384">
        <f>Gen!A26</f>
        <v>43877</v>
      </c>
      <c r="B61" s="20"/>
      <c r="C61" s="63"/>
      <c r="D61" s="432">
        <f t="shared" si="41"/>
        <v>0</v>
      </c>
      <c r="E61" s="6"/>
      <c r="F61" s="432">
        <f t="shared" si="42"/>
        <v>0</v>
      </c>
      <c r="G61" s="649"/>
      <c r="H61" s="432">
        <f t="shared" si="43"/>
        <v>0</v>
      </c>
      <c r="I61" s="6"/>
      <c r="J61" s="432">
        <f t="shared" si="44"/>
        <v>0</v>
      </c>
      <c r="K61" s="438">
        <f t="shared" si="45"/>
        <v>0</v>
      </c>
      <c r="L61" t="s">
        <v>255</v>
      </c>
      <c r="N61" t="s">
        <v>254</v>
      </c>
    </row>
    <row r="62" spans="1:15" ht="13.5">
      <c r="A62" s="384">
        <f>Gen!A27</f>
        <v>43878</v>
      </c>
      <c r="B62" s="20"/>
      <c r="C62" s="63"/>
      <c r="D62" s="432">
        <f t="shared" si="41"/>
        <v>0</v>
      </c>
      <c r="E62" s="6"/>
      <c r="F62" s="432">
        <f t="shared" si="42"/>
        <v>0</v>
      </c>
      <c r="G62" s="649"/>
      <c r="H62" s="432">
        <f t="shared" si="43"/>
        <v>0</v>
      </c>
      <c r="I62" s="6"/>
      <c r="J62" s="432">
        <f t="shared" si="44"/>
        <v>0</v>
      </c>
      <c r="K62" s="438">
        <f t="shared" si="45"/>
        <v>0</v>
      </c>
    </row>
    <row r="63" spans="1:15" ht="13.5">
      <c r="A63" s="384">
        <f>Gen!A28</f>
        <v>43879</v>
      </c>
      <c r="B63" s="20"/>
      <c r="C63" s="63"/>
      <c r="D63" s="432">
        <f t="shared" si="41"/>
        <v>0</v>
      </c>
      <c r="E63" s="6"/>
      <c r="F63" s="432">
        <f t="shared" si="42"/>
        <v>0</v>
      </c>
      <c r="G63" s="649"/>
      <c r="H63" s="432">
        <f t="shared" si="43"/>
        <v>0</v>
      </c>
      <c r="I63" s="6"/>
      <c r="J63" s="432">
        <f t="shared" si="44"/>
        <v>0</v>
      </c>
      <c r="K63" s="438">
        <f t="shared" si="45"/>
        <v>0</v>
      </c>
    </row>
    <row r="64" spans="1:15" ht="13.5">
      <c r="A64" s="384">
        <f>Gen!A29</f>
        <v>43880</v>
      </c>
      <c r="B64" s="20"/>
      <c r="C64" s="63"/>
      <c r="D64" s="432">
        <f t="shared" si="41"/>
        <v>0</v>
      </c>
      <c r="E64" s="6"/>
      <c r="F64" s="432">
        <f t="shared" si="42"/>
        <v>0</v>
      </c>
      <c r="G64" s="649"/>
      <c r="H64" s="432">
        <f t="shared" si="43"/>
        <v>0</v>
      </c>
      <c r="I64" s="6"/>
      <c r="J64" s="432">
        <f t="shared" si="44"/>
        <v>0</v>
      </c>
      <c r="K64" s="438">
        <f t="shared" si="45"/>
        <v>0</v>
      </c>
    </row>
    <row r="65" spans="1:11" ht="13.5">
      <c r="A65" s="384">
        <f>Gen!A30</f>
        <v>43881</v>
      </c>
      <c r="B65" s="20"/>
      <c r="C65" s="63"/>
      <c r="D65" s="432">
        <f t="shared" si="41"/>
        <v>0</v>
      </c>
      <c r="E65" s="6"/>
      <c r="F65" s="432">
        <f t="shared" si="42"/>
        <v>0</v>
      </c>
      <c r="G65" s="649"/>
      <c r="H65" s="432">
        <f t="shared" si="43"/>
        <v>0</v>
      </c>
      <c r="I65" s="6"/>
      <c r="J65" s="432">
        <f t="shared" si="44"/>
        <v>0</v>
      </c>
      <c r="K65" s="438">
        <f t="shared" si="45"/>
        <v>0</v>
      </c>
    </row>
    <row r="66" spans="1:11" ht="13.5">
      <c r="A66" s="384">
        <f>Gen!A31</f>
        <v>43882</v>
      </c>
      <c r="B66" s="20"/>
      <c r="C66" s="63"/>
      <c r="D66" s="432">
        <f t="shared" si="41"/>
        <v>0</v>
      </c>
      <c r="E66" s="6"/>
      <c r="F66" s="432">
        <f t="shared" si="42"/>
        <v>0</v>
      </c>
      <c r="G66" s="649"/>
      <c r="H66" s="432">
        <f t="shared" si="43"/>
        <v>0</v>
      </c>
      <c r="I66" s="6"/>
      <c r="J66" s="432">
        <f t="shared" si="44"/>
        <v>0</v>
      </c>
      <c r="K66" s="438">
        <f t="shared" si="45"/>
        <v>0</v>
      </c>
    </row>
    <row r="67" spans="1:11" ht="13.5">
      <c r="A67" s="384">
        <f>Gen!A32</f>
        <v>43883</v>
      </c>
      <c r="B67" s="20"/>
      <c r="C67" s="63"/>
      <c r="D67" s="432">
        <f t="shared" si="41"/>
        <v>0</v>
      </c>
      <c r="E67" s="6"/>
      <c r="F67" s="432">
        <f t="shared" si="42"/>
        <v>0</v>
      </c>
      <c r="G67" s="649"/>
      <c r="H67" s="432">
        <f t="shared" si="43"/>
        <v>0</v>
      </c>
      <c r="I67" s="6"/>
      <c r="J67" s="432">
        <f t="shared" si="44"/>
        <v>0</v>
      </c>
      <c r="K67" s="438">
        <f t="shared" si="45"/>
        <v>0</v>
      </c>
    </row>
    <row r="68" spans="1:11" ht="13.5">
      <c r="A68" s="384">
        <f>Gen!A33</f>
        <v>43884</v>
      </c>
      <c r="B68" s="20"/>
      <c r="C68" s="63"/>
      <c r="D68" s="432">
        <f t="shared" si="41"/>
        <v>0</v>
      </c>
      <c r="E68" s="6"/>
      <c r="F68" s="432">
        <f t="shared" si="42"/>
        <v>0</v>
      </c>
      <c r="G68" s="649"/>
      <c r="H68" s="432">
        <f t="shared" si="43"/>
        <v>0</v>
      </c>
      <c r="I68" s="6"/>
      <c r="J68" s="432">
        <f t="shared" si="44"/>
        <v>0</v>
      </c>
      <c r="K68" s="438">
        <f t="shared" si="45"/>
        <v>0</v>
      </c>
    </row>
    <row r="69" spans="1:11" ht="13.5">
      <c r="A69" s="384">
        <f>Gen!A34</f>
        <v>43885</v>
      </c>
      <c r="B69" s="20"/>
      <c r="C69" s="63"/>
      <c r="D69" s="432">
        <f t="shared" si="41"/>
        <v>0</v>
      </c>
      <c r="E69" s="6"/>
      <c r="F69" s="432">
        <f t="shared" si="42"/>
        <v>0</v>
      </c>
      <c r="G69" s="649"/>
      <c r="H69" s="432">
        <f t="shared" si="43"/>
        <v>0</v>
      </c>
      <c r="I69" s="6"/>
      <c r="J69" s="432">
        <f t="shared" si="44"/>
        <v>0</v>
      </c>
      <c r="K69" s="438">
        <f t="shared" si="45"/>
        <v>0</v>
      </c>
    </row>
    <row r="70" spans="1:11" ht="13.5">
      <c r="A70" s="384">
        <f>Gen!A35</f>
        <v>43886</v>
      </c>
      <c r="B70" s="20"/>
      <c r="C70" s="63"/>
      <c r="D70" s="432">
        <f t="shared" si="41"/>
        <v>0</v>
      </c>
      <c r="E70" s="6"/>
      <c r="F70" s="432">
        <f t="shared" si="42"/>
        <v>0</v>
      </c>
      <c r="G70" s="649"/>
      <c r="H70" s="432">
        <f t="shared" si="43"/>
        <v>0</v>
      </c>
      <c r="I70" s="6"/>
      <c r="J70" s="432">
        <f t="shared" si="44"/>
        <v>0</v>
      </c>
      <c r="K70" s="438">
        <f t="shared" si="45"/>
        <v>0</v>
      </c>
    </row>
    <row r="71" spans="1:11" ht="13.5">
      <c r="A71" s="384">
        <f>Gen!A36</f>
        <v>43887</v>
      </c>
      <c r="B71" s="20"/>
      <c r="C71" s="63"/>
      <c r="D71" s="432">
        <f t="shared" si="41"/>
        <v>0</v>
      </c>
      <c r="E71" s="6"/>
      <c r="F71" s="432">
        <f t="shared" si="42"/>
        <v>0</v>
      </c>
      <c r="G71" s="649"/>
      <c r="H71" s="432">
        <f t="shared" si="43"/>
        <v>0</v>
      </c>
      <c r="I71" s="6"/>
      <c r="J71" s="432">
        <f t="shared" si="44"/>
        <v>0</v>
      </c>
      <c r="K71" s="438">
        <f t="shared" si="45"/>
        <v>0</v>
      </c>
    </row>
    <row r="72" spans="1:11" ht="13.5">
      <c r="A72" s="384">
        <f>Gen!A37</f>
        <v>43888</v>
      </c>
      <c r="B72" s="20"/>
      <c r="C72" s="63"/>
      <c r="D72" s="432">
        <f t="shared" si="41"/>
        <v>0</v>
      </c>
      <c r="E72" s="6"/>
      <c r="F72" s="432">
        <f t="shared" si="42"/>
        <v>0</v>
      </c>
      <c r="G72" s="649"/>
      <c r="H72" s="432">
        <f t="shared" si="43"/>
        <v>0</v>
      </c>
      <c r="I72" s="6"/>
      <c r="J72" s="432">
        <f t="shared" si="44"/>
        <v>0</v>
      </c>
      <c r="K72" s="438">
        <f t="shared" si="45"/>
        <v>0</v>
      </c>
    </row>
    <row r="73" spans="1:11" ht="13.5">
      <c r="A73" s="384">
        <f>Gen!A38</f>
        <v>43889</v>
      </c>
      <c r="B73" s="20"/>
      <c r="C73" s="63"/>
      <c r="D73" s="432">
        <f t="shared" si="41"/>
        <v>0</v>
      </c>
      <c r="E73" s="6"/>
      <c r="F73" s="432">
        <f t="shared" si="42"/>
        <v>0</v>
      </c>
      <c r="G73" s="649"/>
      <c r="H73" s="432">
        <f t="shared" si="43"/>
        <v>0</v>
      </c>
      <c r="I73" s="6"/>
      <c r="J73" s="432">
        <f t="shared" si="44"/>
        <v>0</v>
      </c>
      <c r="K73" s="438">
        <f t="shared" si="45"/>
        <v>0</v>
      </c>
    </row>
    <row r="74" spans="1:11" ht="13.5">
      <c r="A74" s="384">
        <f>Gen!A39</f>
        <v>43890</v>
      </c>
      <c r="B74" s="20"/>
      <c r="C74" s="63"/>
      <c r="D74" s="432">
        <f t="shared" si="41"/>
        <v>0</v>
      </c>
      <c r="E74" s="6"/>
      <c r="F74" s="432">
        <f t="shared" si="42"/>
        <v>0</v>
      </c>
      <c r="G74" s="649"/>
      <c r="H74" s="432">
        <f t="shared" si="43"/>
        <v>0</v>
      </c>
      <c r="I74" s="6"/>
      <c r="J74" s="432">
        <f t="shared" si="44"/>
        <v>0</v>
      </c>
      <c r="K74" s="438">
        <f t="shared" si="45"/>
        <v>0</v>
      </c>
    </row>
    <row r="75" spans="1:11" ht="14.25" thickBot="1">
      <c r="A75" s="384">
        <f>Gen!A40</f>
        <v>43891</v>
      </c>
      <c r="B75" s="334"/>
      <c r="C75" s="63"/>
      <c r="D75" s="432">
        <f t="shared" si="41"/>
        <v>0</v>
      </c>
      <c r="E75" s="6"/>
      <c r="F75" s="432">
        <f t="shared" si="42"/>
        <v>0</v>
      </c>
      <c r="G75" s="649"/>
      <c r="H75" s="432">
        <f t="shared" si="43"/>
        <v>0</v>
      </c>
      <c r="I75" s="6"/>
      <c r="J75" s="432">
        <f t="shared" si="44"/>
        <v>0</v>
      </c>
      <c r="K75" s="438">
        <f t="shared" si="45"/>
        <v>0</v>
      </c>
    </row>
    <row r="76" spans="1:11" ht="13.5">
      <c r="A76" s="384">
        <f>Gen!A41</f>
        <v>43892</v>
      </c>
      <c r="C76" s="63"/>
      <c r="D76" s="432">
        <f t="shared" si="41"/>
        <v>0</v>
      </c>
      <c r="E76" s="6"/>
      <c r="F76" s="432">
        <f t="shared" si="42"/>
        <v>0</v>
      </c>
      <c r="G76" s="649"/>
      <c r="H76" s="432">
        <f t="shared" si="43"/>
        <v>0</v>
      </c>
      <c r="I76" s="6"/>
      <c r="J76" s="432">
        <f t="shared" si="44"/>
        <v>0</v>
      </c>
      <c r="K76" s="438">
        <f t="shared" si="45"/>
        <v>0</v>
      </c>
    </row>
    <row r="77" spans="1:11" ht="14.25" thickBot="1">
      <c r="A77" s="384">
        <f>Gen!A42</f>
        <v>43893</v>
      </c>
      <c r="C77" s="63"/>
      <c r="D77" s="432">
        <f t="shared" si="41"/>
        <v>0</v>
      </c>
      <c r="E77" s="6"/>
      <c r="F77" s="432">
        <f t="shared" si="42"/>
        <v>0</v>
      </c>
      <c r="G77" s="649"/>
      <c r="H77" s="432">
        <f t="shared" si="43"/>
        <v>0</v>
      </c>
      <c r="I77" s="6"/>
      <c r="J77" s="432">
        <f t="shared" si="44"/>
        <v>0</v>
      </c>
      <c r="K77" s="439">
        <f t="shared" si="45"/>
        <v>0</v>
      </c>
    </row>
    <row r="78" spans="1:11" ht="13.5">
      <c r="A78" s="384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60"/>
      <c r="C2" s="589"/>
      <c r="D2" s="589"/>
      <c r="E2" s="58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590" t="s">
        <v>69</v>
      </c>
      <c r="S2" s="59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591"/>
      <c r="U3" s="59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8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9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59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8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9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59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8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9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59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8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9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59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8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9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59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8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9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59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8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9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59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8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9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59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8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9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59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8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9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59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8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9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59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8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9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59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8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9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59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8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9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59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8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9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9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8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9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9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8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9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9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8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9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9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8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9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9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8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9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9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8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9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9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8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9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9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8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9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9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8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9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9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8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9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9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8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9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9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8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9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9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8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9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9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8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9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9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8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9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9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8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9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9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2" t="s">
        <v>181</v>
      </c>
      <c r="B1" s="863"/>
      <c r="C1" s="863"/>
      <c r="D1" s="863"/>
      <c r="E1" s="863"/>
      <c r="F1" s="863"/>
      <c r="G1" s="864"/>
    </row>
    <row r="2" spans="1:7" ht="13.5" thickBot="1">
      <c r="A2" s="394"/>
      <c r="B2" s="865" t="s">
        <v>176</v>
      </c>
      <c r="C2" s="866"/>
      <c r="D2" s="867"/>
      <c r="E2" s="865" t="s">
        <v>177</v>
      </c>
      <c r="F2" s="866"/>
      <c r="G2" s="867"/>
    </row>
    <row r="3" spans="1:7" ht="40.5" customHeight="1" thickBot="1">
      <c r="A3" s="425" t="s">
        <v>7</v>
      </c>
      <c r="B3" s="426" t="s">
        <v>178</v>
      </c>
      <c r="C3" s="426" t="s">
        <v>179</v>
      </c>
      <c r="D3" s="426" t="s">
        <v>180</v>
      </c>
      <c r="E3" s="426" t="s">
        <v>178</v>
      </c>
      <c r="F3" s="426" t="s">
        <v>179</v>
      </c>
      <c r="G3" s="427" t="s">
        <v>180</v>
      </c>
    </row>
    <row r="4" spans="1:7">
      <c r="A4" s="658">
        <v>42095</v>
      </c>
      <c r="B4" s="659">
        <v>0</v>
      </c>
      <c r="C4" s="456">
        <v>193</v>
      </c>
      <c r="D4" s="660">
        <f>C4-B4</f>
        <v>193</v>
      </c>
      <c r="E4" s="661">
        <v>0</v>
      </c>
      <c r="F4" s="662">
        <v>0</v>
      </c>
      <c r="G4" s="457">
        <f>F4-E4</f>
        <v>0</v>
      </c>
    </row>
    <row r="5" spans="1:7" ht="12" customHeight="1">
      <c r="A5" s="323">
        <v>42125</v>
      </c>
      <c r="B5" s="663">
        <f>C4</f>
        <v>193</v>
      </c>
      <c r="C5" s="325">
        <v>1158</v>
      </c>
      <c r="D5" s="428">
        <f t="shared" ref="D5:D68" si="0">C5-B5</f>
        <v>965</v>
      </c>
      <c r="E5" s="429">
        <v>145572</v>
      </c>
      <c r="F5" s="395">
        <v>145572</v>
      </c>
      <c r="G5" s="348">
        <f t="shared" ref="G5:G68" si="1">F5-E5</f>
        <v>0</v>
      </c>
    </row>
    <row r="6" spans="1:7">
      <c r="A6" s="323">
        <v>42156</v>
      </c>
      <c r="B6" s="663">
        <f t="shared" ref="B6:B69" si="2">C5</f>
        <v>1158</v>
      </c>
      <c r="C6" s="325">
        <v>2084</v>
      </c>
      <c r="D6" s="428">
        <f t="shared" si="0"/>
        <v>926</v>
      </c>
      <c r="E6" s="429">
        <f>F5</f>
        <v>145572</v>
      </c>
      <c r="F6" s="395">
        <v>147984</v>
      </c>
      <c r="G6" s="348">
        <f t="shared" si="1"/>
        <v>2412</v>
      </c>
    </row>
    <row r="7" spans="1:7">
      <c r="A7" s="323">
        <v>42186</v>
      </c>
      <c r="B7" s="663">
        <f t="shared" si="2"/>
        <v>2084</v>
      </c>
      <c r="C7" s="325">
        <v>3073</v>
      </c>
      <c r="D7" s="428">
        <f t="shared" si="0"/>
        <v>989</v>
      </c>
      <c r="E7" s="429">
        <f>F6</f>
        <v>147984</v>
      </c>
      <c r="F7" s="359">
        <v>150507</v>
      </c>
      <c r="G7" s="348">
        <f t="shared" si="1"/>
        <v>2523</v>
      </c>
    </row>
    <row r="8" spans="1:7">
      <c r="A8" s="323">
        <v>42217</v>
      </c>
      <c r="B8" s="663">
        <f t="shared" si="2"/>
        <v>3073</v>
      </c>
      <c r="C8" s="325">
        <v>4063</v>
      </c>
      <c r="D8" s="428">
        <f t="shared" si="0"/>
        <v>990</v>
      </c>
      <c r="E8" s="429">
        <f t="shared" ref="E8:E71" si="3">F7</f>
        <v>150507</v>
      </c>
      <c r="F8" s="359">
        <v>152986</v>
      </c>
      <c r="G8" s="348">
        <f t="shared" si="1"/>
        <v>2479</v>
      </c>
    </row>
    <row r="9" spans="1:7">
      <c r="A9" s="323">
        <v>42248</v>
      </c>
      <c r="B9" s="663">
        <f t="shared" si="2"/>
        <v>4063</v>
      </c>
      <c r="C9" s="325">
        <v>5058</v>
      </c>
      <c r="D9" s="428">
        <f t="shared" si="0"/>
        <v>995</v>
      </c>
      <c r="E9" s="429">
        <f t="shared" si="3"/>
        <v>152986</v>
      </c>
      <c r="F9" s="359">
        <v>155468</v>
      </c>
      <c r="G9" s="348">
        <f t="shared" si="1"/>
        <v>2482</v>
      </c>
    </row>
    <row r="10" spans="1:7">
      <c r="A10" s="323">
        <v>42278</v>
      </c>
      <c r="B10" s="663">
        <f t="shared" si="2"/>
        <v>5058</v>
      </c>
      <c r="C10" s="325">
        <v>6049</v>
      </c>
      <c r="D10" s="428">
        <f t="shared" si="0"/>
        <v>991</v>
      </c>
      <c r="E10" s="429">
        <f t="shared" si="3"/>
        <v>155468</v>
      </c>
      <c r="F10" s="359">
        <v>157962</v>
      </c>
      <c r="G10" s="348">
        <f t="shared" si="1"/>
        <v>2494</v>
      </c>
    </row>
    <row r="11" spans="1:7">
      <c r="A11" s="323">
        <v>42309</v>
      </c>
      <c r="B11" s="663">
        <f t="shared" si="2"/>
        <v>6049</v>
      </c>
      <c r="C11" s="325">
        <v>7028</v>
      </c>
      <c r="D11" s="428">
        <f t="shared" si="0"/>
        <v>979</v>
      </c>
      <c r="E11" s="429">
        <f t="shared" si="3"/>
        <v>157962</v>
      </c>
      <c r="F11" s="359">
        <v>160323</v>
      </c>
      <c r="G11" s="348">
        <f t="shared" si="1"/>
        <v>2361</v>
      </c>
    </row>
    <row r="12" spans="1:7">
      <c r="A12" s="323">
        <v>42339</v>
      </c>
      <c r="B12" s="663">
        <f t="shared" si="2"/>
        <v>7028</v>
      </c>
      <c r="C12" s="325">
        <v>7985</v>
      </c>
      <c r="D12" s="428">
        <f t="shared" si="0"/>
        <v>957</v>
      </c>
      <c r="E12" s="429">
        <f t="shared" si="3"/>
        <v>160323</v>
      </c>
      <c r="F12" s="359">
        <v>162813</v>
      </c>
      <c r="G12" s="348">
        <f t="shared" si="1"/>
        <v>2490</v>
      </c>
    </row>
    <row r="13" spans="1:7">
      <c r="A13" s="323">
        <v>42370</v>
      </c>
      <c r="B13" s="663">
        <f t="shared" si="2"/>
        <v>7985</v>
      </c>
      <c r="C13" s="325">
        <v>8952</v>
      </c>
      <c r="D13" s="428">
        <f t="shared" si="0"/>
        <v>967</v>
      </c>
      <c r="E13" s="429">
        <f t="shared" si="3"/>
        <v>162813</v>
      </c>
      <c r="F13" s="359">
        <v>165317</v>
      </c>
      <c r="G13" s="348">
        <f t="shared" si="1"/>
        <v>2504</v>
      </c>
    </row>
    <row r="14" spans="1:7">
      <c r="A14" s="323">
        <v>42401</v>
      </c>
      <c r="B14" s="663">
        <f t="shared" si="2"/>
        <v>8952</v>
      </c>
      <c r="C14" s="325">
        <v>9898</v>
      </c>
      <c r="D14" s="428">
        <f t="shared" si="0"/>
        <v>946</v>
      </c>
      <c r="E14" s="429">
        <f t="shared" si="3"/>
        <v>165317</v>
      </c>
      <c r="F14" s="359">
        <v>167679</v>
      </c>
      <c r="G14" s="348">
        <f t="shared" si="1"/>
        <v>2362</v>
      </c>
    </row>
    <row r="15" spans="1:7">
      <c r="A15" s="323">
        <v>42430</v>
      </c>
      <c r="B15" s="663">
        <f t="shared" si="2"/>
        <v>9898</v>
      </c>
      <c r="C15" s="325">
        <v>10637</v>
      </c>
      <c r="D15" s="428">
        <f t="shared" si="0"/>
        <v>739</v>
      </c>
      <c r="E15" s="429">
        <f t="shared" si="3"/>
        <v>167679</v>
      </c>
      <c r="F15" s="359">
        <v>170134</v>
      </c>
      <c r="G15" s="348">
        <f t="shared" si="1"/>
        <v>2455</v>
      </c>
    </row>
    <row r="16" spans="1:7">
      <c r="A16" s="323">
        <v>42461</v>
      </c>
      <c r="B16" s="663">
        <f t="shared" si="2"/>
        <v>10637</v>
      </c>
      <c r="C16" s="325">
        <v>11352</v>
      </c>
      <c r="D16" s="428">
        <f t="shared" si="0"/>
        <v>715</v>
      </c>
      <c r="E16" s="429">
        <f t="shared" si="3"/>
        <v>170134</v>
      </c>
      <c r="F16" s="359">
        <v>172562</v>
      </c>
      <c r="G16" s="348">
        <f t="shared" si="1"/>
        <v>2428</v>
      </c>
    </row>
    <row r="17" spans="1:7">
      <c r="A17" s="323">
        <v>42491</v>
      </c>
      <c r="B17" s="663">
        <f t="shared" si="2"/>
        <v>11352</v>
      </c>
      <c r="C17" s="325">
        <v>12426</v>
      </c>
      <c r="D17" s="428">
        <f t="shared" si="0"/>
        <v>1074</v>
      </c>
      <c r="E17" s="429">
        <f t="shared" si="3"/>
        <v>172562</v>
      </c>
      <c r="F17" s="359">
        <v>175041</v>
      </c>
      <c r="G17" s="348">
        <f t="shared" si="1"/>
        <v>2479</v>
      </c>
    </row>
    <row r="18" spans="1:7">
      <c r="A18" s="323">
        <v>42522</v>
      </c>
      <c r="B18" s="663">
        <f t="shared" si="2"/>
        <v>12426</v>
      </c>
      <c r="C18" s="325">
        <v>14111</v>
      </c>
      <c r="D18" s="428">
        <f t="shared" si="0"/>
        <v>1685</v>
      </c>
      <c r="E18" s="429">
        <f t="shared" si="3"/>
        <v>175041</v>
      </c>
      <c r="F18" s="359">
        <v>177300</v>
      </c>
      <c r="G18" s="348">
        <f t="shared" si="1"/>
        <v>2259</v>
      </c>
    </row>
    <row r="19" spans="1:7">
      <c r="A19" s="323">
        <v>42552</v>
      </c>
      <c r="B19" s="663">
        <f t="shared" si="2"/>
        <v>14111</v>
      </c>
      <c r="C19" s="325">
        <v>15790</v>
      </c>
      <c r="D19" s="428">
        <f t="shared" si="0"/>
        <v>1679</v>
      </c>
      <c r="E19" s="429">
        <f t="shared" si="3"/>
        <v>177300</v>
      </c>
      <c r="F19" s="359">
        <v>179548</v>
      </c>
      <c r="G19" s="348">
        <f t="shared" si="1"/>
        <v>2248</v>
      </c>
    </row>
    <row r="20" spans="1:7">
      <c r="A20" s="323">
        <v>42583</v>
      </c>
      <c r="B20" s="663">
        <f t="shared" si="2"/>
        <v>15790</v>
      </c>
      <c r="C20" s="325">
        <v>17450</v>
      </c>
      <c r="D20" s="428">
        <f t="shared" si="0"/>
        <v>1660</v>
      </c>
      <c r="E20" s="429">
        <f t="shared" si="3"/>
        <v>179548</v>
      </c>
      <c r="F20" s="359">
        <v>181842</v>
      </c>
      <c r="G20" s="348">
        <f t="shared" si="1"/>
        <v>2294</v>
      </c>
    </row>
    <row r="21" spans="1:7">
      <c r="A21" s="323">
        <v>42614</v>
      </c>
      <c r="B21" s="663">
        <f t="shared" si="2"/>
        <v>17450</v>
      </c>
      <c r="C21" s="325">
        <v>19133</v>
      </c>
      <c r="D21" s="428">
        <f t="shared" si="0"/>
        <v>1683</v>
      </c>
      <c r="E21" s="429">
        <f t="shared" si="3"/>
        <v>181842</v>
      </c>
      <c r="F21" s="359">
        <v>184095</v>
      </c>
      <c r="G21" s="348">
        <f t="shared" si="1"/>
        <v>2253</v>
      </c>
    </row>
    <row r="22" spans="1:7">
      <c r="A22" s="323">
        <v>42644</v>
      </c>
      <c r="B22" s="663">
        <f t="shared" si="2"/>
        <v>19133</v>
      </c>
      <c r="C22" s="325">
        <v>20804</v>
      </c>
      <c r="D22" s="428">
        <f t="shared" si="0"/>
        <v>1671</v>
      </c>
      <c r="E22" s="429">
        <f t="shared" si="3"/>
        <v>184095</v>
      </c>
      <c r="F22" s="359">
        <v>186344</v>
      </c>
      <c r="G22" s="348">
        <f t="shared" si="1"/>
        <v>2249</v>
      </c>
    </row>
    <row r="23" spans="1:7">
      <c r="A23" s="323">
        <v>42675</v>
      </c>
      <c r="B23" s="663">
        <f t="shared" si="2"/>
        <v>20804</v>
      </c>
      <c r="C23" s="325">
        <v>22489</v>
      </c>
      <c r="D23" s="428">
        <f t="shared" si="0"/>
        <v>1685</v>
      </c>
      <c r="E23" s="429">
        <f t="shared" si="3"/>
        <v>186344</v>
      </c>
      <c r="F23" s="359">
        <v>188595</v>
      </c>
      <c r="G23" s="348">
        <f t="shared" si="1"/>
        <v>2251</v>
      </c>
    </row>
    <row r="24" spans="1:7">
      <c r="A24" s="323">
        <v>42705</v>
      </c>
      <c r="B24" s="663">
        <f t="shared" si="2"/>
        <v>22489</v>
      </c>
      <c r="C24" s="325">
        <v>24085</v>
      </c>
      <c r="D24" s="428">
        <f t="shared" si="0"/>
        <v>1596</v>
      </c>
      <c r="E24" s="429">
        <f t="shared" si="3"/>
        <v>188595</v>
      </c>
      <c r="F24" s="359">
        <v>190896</v>
      </c>
      <c r="G24" s="348">
        <f t="shared" si="1"/>
        <v>2301</v>
      </c>
    </row>
    <row r="25" spans="1:7">
      <c r="A25" s="323">
        <v>42736</v>
      </c>
      <c r="B25" s="663">
        <f t="shared" si="2"/>
        <v>24085</v>
      </c>
      <c r="C25" s="325">
        <v>25775</v>
      </c>
      <c r="D25" s="428">
        <f t="shared" si="0"/>
        <v>1690</v>
      </c>
      <c r="E25" s="429">
        <f t="shared" si="3"/>
        <v>190896</v>
      </c>
      <c r="F25" s="359">
        <v>193152</v>
      </c>
      <c r="G25" s="348">
        <f t="shared" si="1"/>
        <v>2256</v>
      </c>
    </row>
    <row r="26" spans="1:7">
      <c r="A26" s="323">
        <v>42767</v>
      </c>
      <c r="B26" s="663">
        <f t="shared" si="2"/>
        <v>25775</v>
      </c>
      <c r="C26" s="325">
        <v>27592</v>
      </c>
      <c r="D26" s="428">
        <f t="shared" si="0"/>
        <v>1817</v>
      </c>
      <c r="E26" s="429">
        <f t="shared" si="3"/>
        <v>193152</v>
      </c>
      <c r="F26" s="359">
        <v>195378</v>
      </c>
      <c r="G26" s="348">
        <f t="shared" si="1"/>
        <v>2226</v>
      </c>
    </row>
    <row r="27" spans="1:7">
      <c r="A27" s="323">
        <v>42795</v>
      </c>
      <c r="B27" s="663">
        <f t="shared" si="2"/>
        <v>27592</v>
      </c>
      <c r="C27" s="359">
        <v>29398</v>
      </c>
      <c r="D27" s="428">
        <f t="shared" si="0"/>
        <v>1806</v>
      </c>
      <c r="E27" s="429">
        <f t="shared" si="3"/>
        <v>195378</v>
      </c>
      <c r="F27" s="359">
        <v>197503</v>
      </c>
      <c r="G27" s="348">
        <f t="shared" si="1"/>
        <v>2125</v>
      </c>
    </row>
    <row r="28" spans="1:7">
      <c r="A28" s="323">
        <v>42826</v>
      </c>
      <c r="B28" s="663">
        <f t="shared" si="2"/>
        <v>29398</v>
      </c>
      <c r="C28" s="325">
        <v>31148</v>
      </c>
      <c r="D28" s="428">
        <f t="shared" si="0"/>
        <v>1750</v>
      </c>
      <c r="E28" s="429">
        <f t="shared" si="3"/>
        <v>197503</v>
      </c>
      <c r="F28" s="359">
        <v>199571</v>
      </c>
      <c r="G28" s="348">
        <f t="shared" si="1"/>
        <v>2068</v>
      </c>
    </row>
    <row r="29" spans="1:7">
      <c r="A29" s="323">
        <v>42856</v>
      </c>
      <c r="B29" s="663">
        <f t="shared" si="2"/>
        <v>31148</v>
      </c>
      <c r="C29" s="325">
        <v>32896</v>
      </c>
      <c r="D29" s="428">
        <f t="shared" si="0"/>
        <v>1748</v>
      </c>
      <c r="E29" s="429">
        <f t="shared" si="3"/>
        <v>199571</v>
      </c>
      <c r="F29" s="359">
        <v>201766</v>
      </c>
      <c r="G29" s="348">
        <f t="shared" si="1"/>
        <v>2195</v>
      </c>
    </row>
    <row r="30" spans="1:7">
      <c r="A30" s="323">
        <v>42887</v>
      </c>
      <c r="B30" s="663">
        <f t="shared" si="2"/>
        <v>32896</v>
      </c>
      <c r="C30" s="325">
        <v>34620</v>
      </c>
      <c r="D30" s="428">
        <f t="shared" si="0"/>
        <v>1724</v>
      </c>
      <c r="E30" s="429">
        <f t="shared" si="3"/>
        <v>201766</v>
      </c>
      <c r="F30" s="359">
        <v>203951</v>
      </c>
      <c r="G30" s="348">
        <f t="shared" si="1"/>
        <v>2185</v>
      </c>
    </row>
    <row r="31" spans="1:7">
      <c r="A31" s="323">
        <v>42917</v>
      </c>
      <c r="B31" s="663">
        <f t="shared" si="2"/>
        <v>34620</v>
      </c>
      <c r="C31" s="325">
        <v>36384</v>
      </c>
      <c r="D31" s="428">
        <f t="shared" si="0"/>
        <v>1764</v>
      </c>
      <c r="E31" s="429">
        <f t="shared" si="3"/>
        <v>203951</v>
      </c>
      <c r="F31" s="359">
        <v>206045</v>
      </c>
      <c r="G31" s="348">
        <f t="shared" si="1"/>
        <v>2094</v>
      </c>
    </row>
    <row r="32" spans="1:7">
      <c r="A32" s="323">
        <v>42948</v>
      </c>
      <c r="B32" s="663">
        <f t="shared" si="2"/>
        <v>36384</v>
      </c>
      <c r="C32" s="325">
        <v>38320</v>
      </c>
      <c r="D32" s="428">
        <f t="shared" si="0"/>
        <v>1936</v>
      </c>
      <c r="E32" s="429">
        <f t="shared" si="3"/>
        <v>206045</v>
      </c>
      <c r="F32" s="359">
        <v>208289</v>
      </c>
      <c r="G32" s="348">
        <f t="shared" si="1"/>
        <v>2244</v>
      </c>
    </row>
    <row r="33" spans="1:7">
      <c r="A33" s="323">
        <v>42979</v>
      </c>
      <c r="B33" s="663">
        <f t="shared" si="2"/>
        <v>38320</v>
      </c>
      <c r="C33" s="325">
        <v>40226</v>
      </c>
      <c r="D33" s="428">
        <f t="shared" si="0"/>
        <v>1906</v>
      </c>
      <c r="E33" s="429">
        <f t="shared" si="3"/>
        <v>208289</v>
      </c>
      <c r="F33" s="359">
        <v>210468</v>
      </c>
      <c r="G33" s="348">
        <f t="shared" si="1"/>
        <v>2179</v>
      </c>
    </row>
    <row r="34" spans="1:7">
      <c r="A34" s="323">
        <v>43009</v>
      </c>
      <c r="B34" s="663">
        <f t="shared" si="2"/>
        <v>40226</v>
      </c>
      <c r="C34" s="325">
        <v>41900</v>
      </c>
      <c r="D34" s="428">
        <f t="shared" si="0"/>
        <v>1674</v>
      </c>
      <c r="E34" s="429">
        <f t="shared" si="3"/>
        <v>210468</v>
      </c>
      <c r="F34" s="359">
        <v>212474</v>
      </c>
      <c r="G34" s="348">
        <f t="shared" si="1"/>
        <v>2006</v>
      </c>
    </row>
    <row r="35" spans="1:7">
      <c r="A35" s="323">
        <v>43040</v>
      </c>
      <c r="B35" s="663">
        <f t="shared" si="2"/>
        <v>41900</v>
      </c>
      <c r="C35" s="325">
        <v>43712</v>
      </c>
      <c r="D35" s="428">
        <f t="shared" si="0"/>
        <v>1812</v>
      </c>
      <c r="E35" s="429">
        <f t="shared" si="3"/>
        <v>212474</v>
      </c>
      <c r="F35" s="359">
        <v>214566</v>
      </c>
      <c r="G35" s="348">
        <f t="shared" si="1"/>
        <v>2092</v>
      </c>
    </row>
    <row r="36" spans="1:7">
      <c r="A36" s="323">
        <v>43070</v>
      </c>
      <c r="B36" s="663">
        <f t="shared" si="2"/>
        <v>43712</v>
      </c>
      <c r="C36" s="325">
        <v>46071</v>
      </c>
      <c r="D36" s="428">
        <f t="shared" si="0"/>
        <v>2359</v>
      </c>
      <c r="E36" s="429">
        <f t="shared" si="3"/>
        <v>214566</v>
      </c>
      <c r="F36" s="359">
        <v>216654</v>
      </c>
      <c r="G36" s="348">
        <f t="shared" si="1"/>
        <v>2088</v>
      </c>
    </row>
    <row r="37" spans="1:7">
      <c r="A37" s="323">
        <v>43101</v>
      </c>
      <c r="B37" s="663">
        <f t="shared" si="2"/>
        <v>46071</v>
      </c>
      <c r="C37" s="325">
        <v>48188</v>
      </c>
      <c r="D37" s="428">
        <f t="shared" si="0"/>
        <v>2117</v>
      </c>
      <c r="E37" s="429">
        <f t="shared" si="3"/>
        <v>216654</v>
      </c>
      <c r="F37" s="359">
        <v>218779</v>
      </c>
      <c r="G37" s="348">
        <f t="shared" si="1"/>
        <v>2125</v>
      </c>
    </row>
    <row r="38" spans="1:7">
      <c r="A38" s="323">
        <v>43132</v>
      </c>
      <c r="B38" s="663">
        <f t="shared" si="2"/>
        <v>48188</v>
      </c>
      <c r="C38" s="325">
        <v>50066</v>
      </c>
      <c r="D38" s="428">
        <f t="shared" si="0"/>
        <v>1878</v>
      </c>
      <c r="E38" s="429">
        <f t="shared" si="3"/>
        <v>218779</v>
      </c>
      <c r="F38" s="359">
        <v>220744</v>
      </c>
      <c r="G38" s="348">
        <f t="shared" si="1"/>
        <v>1965</v>
      </c>
    </row>
    <row r="39" spans="1:7">
      <c r="A39" s="323">
        <v>43160</v>
      </c>
      <c r="B39" s="663">
        <f t="shared" si="2"/>
        <v>50066</v>
      </c>
      <c r="C39" s="325">
        <v>51916</v>
      </c>
      <c r="D39" s="428">
        <f t="shared" si="0"/>
        <v>1850</v>
      </c>
      <c r="E39" s="429">
        <f t="shared" si="3"/>
        <v>220744</v>
      </c>
      <c r="F39" s="359">
        <v>222873</v>
      </c>
      <c r="G39" s="348">
        <f t="shared" si="1"/>
        <v>2129</v>
      </c>
    </row>
    <row r="40" spans="1:7">
      <c r="A40" s="323">
        <v>43191</v>
      </c>
      <c r="B40" s="663">
        <f t="shared" si="2"/>
        <v>51916</v>
      </c>
      <c r="C40" s="325">
        <v>53641</v>
      </c>
      <c r="D40" s="428">
        <f t="shared" si="0"/>
        <v>1725</v>
      </c>
      <c r="E40" s="429">
        <f t="shared" si="3"/>
        <v>222873</v>
      </c>
      <c r="F40" s="359">
        <v>224922</v>
      </c>
      <c r="G40" s="348">
        <f t="shared" si="1"/>
        <v>2049</v>
      </c>
    </row>
    <row r="41" spans="1:7">
      <c r="A41" s="323">
        <v>43221</v>
      </c>
      <c r="B41" s="663">
        <f t="shared" si="2"/>
        <v>53641</v>
      </c>
      <c r="C41" s="325">
        <v>55409</v>
      </c>
      <c r="D41" s="428">
        <f t="shared" si="0"/>
        <v>1768</v>
      </c>
      <c r="E41" s="429">
        <f t="shared" si="3"/>
        <v>224922</v>
      </c>
      <c r="F41" s="359">
        <v>227063</v>
      </c>
      <c r="G41" s="348">
        <f t="shared" si="1"/>
        <v>2141</v>
      </c>
    </row>
    <row r="42" spans="1:7">
      <c r="A42" s="323">
        <v>43252</v>
      </c>
      <c r="B42" s="663">
        <f t="shared" si="2"/>
        <v>55409</v>
      </c>
      <c r="C42" s="325">
        <v>57396</v>
      </c>
      <c r="D42" s="428">
        <f t="shared" si="0"/>
        <v>1987</v>
      </c>
      <c r="E42" s="429">
        <f t="shared" si="3"/>
        <v>227063</v>
      </c>
      <c r="F42" s="359">
        <v>229163</v>
      </c>
      <c r="G42" s="348">
        <f t="shared" si="1"/>
        <v>2100</v>
      </c>
    </row>
    <row r="43" spans="1:7">
      <c r="A43" s="323">
        <v>43282</v>
      </c>
      <c r="B43" s="663">
        <f t="shared" si="2"/>
        <v>57396</v>
      </c>
      <c r="C43" s="325">
        <v>59391</v>
      </c>
      <c r="D43" s="428">
        <f t="shared" si="0"/>
        <v>1995</v>
      </c>
      <c r="E43" s="429">
        <f t="shared" si="3"/>
        <v>229163</v>
      </c>
      <c r="F43" s="359">
        <v>231359</v>
      </c>
      <c r="G43" s="348">
        <f t="shared" si="1"/>
        <v>2196</v>
      </c>
    </row>
    <row r="44" spans="1:7">
      <c r="A44" s="323">
        <v>43313</v>
      </c>
      <c r="B44" s="663">
        <f t="shared" si="2"/>
        <v>59391</v>
      </c>
      <c r="C44" s="325">
        <v>61427</v>
      </c>
      <c r="D44" s="428">
        <f t="shared" si="0"/>
        <v>2036</v>
      </c>
      <c r="E44" s="429">
        <f t="shared" si="3"/>
        <v>231359</v>
      </c>
      <c r="F44" s="359">
        <v>233548</v>
      </c>
      <c r="G44" s="348">
        <f t="shared" si="1"/>
        <v>2189</v>
      </c>
    </row>
    <row r="45" spans="1:7">
      <c r="A45" s="323">
        <v>43344</v>
      </c>
      <c r="B45" s="663">
        <f t="shared" si="2"/>
        <v>61427</v>
      </c>
      <c r="C45" s="325">
        <v>63464</v>
      </c>
      <c r="D45" s="428">
        <f t="shared" si="0"/>
        <v>2037</v>
      </c>
      <c r="E45" s="429">
        <f t="shared" si="3"/>
        <v>233548</v>
      </c>
      <c r="F45" s="359">
        <v>235653</v>
      </c>
      <c r="G45" s="348">
        <f t="shared" si="1"/>
        <v>2105</v>
      </c>
    </row>
    <row r="46" spans="1:7">
      <c r="A46" s="323">
        <v>43374</v>
      </c>
      <c r="B46" s="663">
        <f t="shared" si="2"/>
        <v>63464</v>
      </c>
      <c r="C46" s="325">
        <v>65577</v>
      </c>
      <c r="D46" s="428">
        <f t="shared" si="0"/>
        <v>2113</v>
      </c>
      <c r="E46" s="429">
        <f t="shared" si="3"/>
        <v>235653</v>
      </c>
      <c r="F46" s="359">
        <v>237802</v>
      </c>
      <c r="G46" s="348">
        <f t="shared" si="1"/>
        <v>2149</v>
      </c>
    </row>
    <row r="47" spans="1:7">
      <c r="A47" s="323">
        <v>43405</v>
      </c>
      <c r="B47" s="663">
        <f t="shared" si="2"/>
        <v>65577</v>
      </c>
      <c r="C47" s="325">
        <v>67714</v>
      </c>
      <c r="D47" s="428">
        <f t="shared" si="0"/>
        <v>2137</v>
      </c>
      <c r="E47" s="429">
        <f t="shared" si="3"/>
        <v>237802</v>
      </c>
      <c r="F47" s="359">
        <v>239883</v>
      </c>
      <c r="G47" s="348">
        <f t="shared" si="1"/>
        <v>2081</v>
      </c>
    </row>
    <row r="48" spans="1:7">
      <c r="A48" s="323">
        <v>43435</v>
      </c>
      <c r="B48" s="663">
        <f t="shared" si="2"/>
        <v>67714</v>
      </c>
      <c r="C48" s="325">
        <v>69886</v>
      </c>
      <c r="D48" s="428">
        <f t="shared" si="0"/>
        <v>2172</v>
      </c>
      <c r="E48" s="429">
        <f t="shared" si="3"/>
        <v>239883</v>
      </c>
      <c r="F48" s="359">
        <v>242023</v>
      </c>
      <c r="G48" s="348">
        <f t="shared" si="1"/>
        <v>2140</v>
      </c>
    </row>
    <row r="49" spans="1:7">
      <c r="A49" s="323">
        <v>43466</v>
      </c>
      <c r="B49" s="663">
        <f t="shared" si="2"/>
        <v>69886</v>
      </c>
      <c r="C49" s="325">
        <v>72120</v>
      </c>
      <c r="D49" s="428">
        <f t="shared" si="0"/>
        <v>2234</v>
      </c>
      <c r="E49" s="429">
        <f t="shared" si="3"/>
        <v>242023</v>
      </c>
      <c r="F49" s="359">
        <v>244252</v>
      </c>
      <c r="G49" s="348">
        <f t="shared" si="1"/>
        <v>2229</v>
      </c>
    </row>
    <row r="50" spans="1:7">
      <c r="A50" s="323">
        <v>43497</v>
      </c>
      <c r="B50" s="663">
        <f t="shared" si="2"/>
        <v>72120</v>
      </c>
      <c r="C50" s="325">
        <v>74132</v>
      </c>
      <c r="D50" s="428">
        <f t="shared" si="0"/>
        <v>2012</v>
      </c>
      <c r="E50" s="429">
        <f t="shared" si="3"/>
        <v>244252</v>
      </c>
      <c r="F50" s="359">
        <v>246272</v>
      </c>
      <c r="G50" s="348">
        <f t="shared" si="1"/>
        <v>2020</v>
      </c>
    </row>
    <row r="51" spans="1:7">
      <c r="A51" s="323">
        <v>43525</v>
      </c>
      <c r="B51" s="663">
        <f t="shared" si="2"/>
        <v>74132</v>
      </c>
      <c r="C51" s="325">
        <v>76130</v>
      </c>
      <c r="D51" s="428">
        <f t="shared" si="0"/>
        <v>1998</v>
      </c>
      <c r="E51" s="429">
        <f t="shared" si="3"/>
        <v>246272</v>
      </c>
      <c r="F51" s="359">
        <v>248562</v>
      </c>
      <c r="G51" s="348">
        <f t="shared" si="1"/>
        <v>2290</v>
      </c>
    </row>
    <row r="52" spans="1:7">
      <c r="A52" s="323">
        <v>43556</v>
      </c>
      <c r="B52" s="663">
        <f t="shared" si="2"/>
        <v>76130</v>
      </c>
      <c r="C52" s="325">
        <v>77859</v>
      </c>
      <c r="D52" s="428">
        <f t="shared" si="0"/>
        <v>1729</v>
      </c>
      <c r="E52" s="429">
        <f t="shared" si="3"/>
        <v>248562</v>
      </c>
      <c r="F52" s="359">
        <v>250789</v>
      </c>
      <c r="G52" s="348">
        <f t="shared" si="1"/>
        <v>2227</v>
      </c>
    </row>
    <row r="53" spans="1:7">
      <c r="A53" s="323">
        <v>43586</v>
      </c>
      <c r="B53" s="663">
        <f t="shared" si="2"/>
        <v>77859</v>
      </c>
      <c r="C53" s="325">
        <v>79636</v>
      </c>
      <c r="D53" s="428">
        <f t="shared" si="0"/>
        <v>1777</v>
      </c>
      <c r="E53" s="429">
        <f t="shared" si="3"/>
        <v>250789</v>
      </c>
      <c r="F53" s="359">
        <v>252878</v>
      </c>
      <c r="G53" s="348">
        <f t="shared" si="1"/>
        <v>2089</v>
      </c>
    </row>
    <row r="54" spans="1:7">
      <c r="A54" s="323">
        <v>43617</v>
      </c>
      <c r="B54" s="663">
        <f t="shared" si="2"/>
        <v>79636</v>
      </c>
      <c r="C54" s="325">
        <v>81603</v>
      </c>
      <c r="D54" s="428">
        <f t="shared" si="0"/>
        <v>1967</v>
      </c>
      <c r="E54" s="429">
        <f t="shared" si="3"/>
        <v>252878</v>
      </c>
      <c r="F54" s="359">
        <v>254783</v>
      </c>
      <c r="G54" s="348">
        <f t="shared" si="1"/>
        <v>1905</v>
      </c>
    </row>
    <row r="55" spans="1:7">
      <c r="A55" s="323">
        <v>43647</v>
      </c>
      <c r="B55" s="663">
        <f t="shared" si="2"/>
        <v>81603</v>
      </c>
      <c r="C55" s="325">
        <v>83511</v>
      </c>
      <c r="D55" s="428">
        <f t="shared" si="0"/>
        <v>1908</v>
      </c>
      <c r="E55" s="429">
        <f t="shared" si="3"/>
        <v>254783</v>
      </c>
      <c r="F55" s="325">
        <v>257138</v>
      </c>
      <c r="G55" s="348">
        <f t="shared" si="1"/>
        <v>2355</v>
      </c>
    </row>
    <row r="56" spans="1:7">
      <c r="A56" s="323">
        <v>43678</v>
      </c>
      <c r="B56" s="663">
        <f t="shared" si="2"/>
        <v>83511</v>
      </c>
      <c r="C56" s="325">
        <v>85418</v>
      </c>
      <c r="D56" s="428">
        <f t="shared" si="0"/>
        <v>1907</v>
      </c>
      <c r="E56" s="429">
        <f t="shared" si="3"/>
        <v>257138</v>
      </c>
      <c r="F56" s="325">
        <v>259453</v>
      </c>
      <c r="G56" s="348">
        <f t="shared" si="1"/>
        <v>2315</v>
      </c>
    </row>
    <row r="57" spans="1:7">
      <c r="A57" s="323">
        <v>43709</v>
      </c>
      <c r="B57" s="663">
        <f t="shared" si="2"/>
        <v>85418</v>
      </c>
      <c r="C57" s="325">
        <v>87262</v>
      </c>
      <c r="D57" s="428">
        <f t="shared" si="0"/>
        <v>1844</v>
      </c>
      <c r="E57" s="429">
        <f t="shared" si="3"/>
        <v>259453</v>
      </c>
      <c r="F57" s="325">
        <v>261652</v>
      </c>
      <c r="G57" s="348">
        <f t="shared" si="1"/>
        <v>2199</v>
      </c>
    </row>
    <row r="58" spans="1:7">
      <c r="A58" s="323">
        <v>43739</v>
      </c>
      <c r="B58" s="663">
        <f t="shared" si="2"/>
        <v>87262</v>
      </c>
      <c r="C58" s="325">
        <v>89489</v>
      </c>
      <c r="D58" s="428">
        <f t="shared" si="0"/>
        <v>2227</v>
      </c>
      <c r="E58" s="429">
        <f t="shared" si="3"/>
        <v>261652</v>
      </c>
      <c r="F58" s="325">
        <v>263905</v>
      </c>
      <c r="G58" s="348">
        <f t="shared" si="1"/>
        <v>2253</v>
      </c>
    </row>
    <row r="59" spans="1:7">
      <c r="A59" s="323">
        <v>43770</v>
      </c>
      <c r="B59" s="663">
        <f t="shared" si="2"/>
        <v>89489</v>
      </c>
      <c r="C59" s="325">
        <v>91615</v>
      </c>
      <c r="D59" s="428">
        <f t="shared" si="0"/>
        <v>2126</v>
      </c>
      <c r="E59" s="429">
        <f t="shared" si="3"/>
        <v>263905</v>
      </c>
      <c r="F59" s="325">
        <v>265969</v>
      </c>
      <c r="G59" s="348">
        <f t="shared" si="1"/>
        <v>2064</v>
      </c>
    </row>
    <row r="60" spans="1:7">
      <c r="A60" s="323">
        <v>43800</v>
      </c>
      <c r="B60" s="663">
        <f t="shared" si="2"/>
        <v>91615</v>
      </c>
      <c r="C60" s="325"/>
      <c r="D60" s="428">
        <f t="shared" si="0"/>
        <v>-91615</v>
      </c>
      <c r="E60" s="429">
        <f t="shared" si="3"/>
        <v>265969</v>
      </c>
      <c r="F60" s="325"/>
      <c r="G60" s="348">
        <f t="shared" si="1"/>
        <v>-265969</v>
      </c>
    </row>
    <row r="61" spans="1:7">
      <c r="A61" s="323">
        <v>43831</v>
      </c>
      <c r="B61" s="663">
        <f t="shared" si="2"/>
        <v>0</v>
      </c>
      <c r="C61" s="325"/>
      <c r="D61" s="428">
        <f t="shared" si="0"/>
        <v>0</v>
      </c>
      <c r="E61" s="429">
        <f t="shared" si="3"/>
        <v>0</v>
      </c>
      <c r="F61" s="325"/>
      <c r="G61" s="348">
        <f t="shared" si="1"/>
        <v>0</v>
      </c>
    </row>
    <row r="62" spans="1:7">
      <c r="A62" s="323">
        <v>43862</v>
      </c>
      <c r="B62" s="663">
        <f t="shared" si="2"/>
        <v>0</v>
      </c>
      <c r="C62" s="6"/>
      <c r="D62" s="428">
        <f t="shared" si="0"/>
        <v>0</v>
      </c>
      <c r="E62" s="429">
        <f t="shared" si="3"/>
        <v>0</v>
      </c>
      <c r="F62" s="6"/>
      <c r="G62" s="348">
        <f t="shared" si="1"/>
        <v>0</v>
      </c>
    </row>
    <row r="63" spans="1:7">
      <c r="A63" s="323">
        <v>43891</v>
      </c>
      <c r="B63" s="663">
        <f t="shared" si="2"/>
        <v>0</v>
      </c>
      <c r="C63" s="6"/>
      <c r="D63" s="428">
        <f t="shared" si="0"/>
        <v>0</v>
      </c>
      <c r="E63" s="429">
        <f t="shared" si="3"/>
        <v>0</v>
      </c>
      <c r="F63" s="6"/>
      <c r="G63" s="348">
        <f t="shared" si="1"/>
        <v>0</v>
      </c>
    </row>
    <row r="64" spans="1:7">
      <c r="A64" s="323">
        <v>43922</v>
      </c>
      <c r="B64" s="663">
        <f t="shared" si="2"/>
        <v>0</v>
      </c>
      <c r="C64" s="6"/>
      <c r="D64" s="428">
        <f t="shared" si="0"/>
        <v>0</v>
      </c>
      <c r="E64" s="429">
        <f t="shared" si="3"/>
        <v>0</v>
      </c>
      <c r="F64" s="6"/>
      <c r="G64" s="348">
        <f t="shared" si="1"/>
        <v>0</v>
      </c>
    </row>
    <row r="65" spans="1:7">
      <c r="A65" s="323">
        <v>43952</v>
      </c>
      <c r="B65" s="663">
        <f t="shared" si="2"/>
        <v>0</v>
      </c>
      <c r="C65" s="6"/>
      <c r="D65" s="428">
        <f t="shared" si="0"/>
        <v>0</v>
      </c>
      <c r="E65" s="429">
        <f t="shared" si="3"/>
        <v>0</v>
      </c>
      <c r="F65" s="6"/>
      <c r="G65" s="348">
        <f t="shared" si="1"/>
        <v>0</v>
      </c>
    </row>
    <row r="66" spans="1:7">
      <c r="A66" s="323">
        <v>43983</v>
      </c>
      <c r="B66" s="663">
        <f t="shared" si="2"/>
        <v>0</v>
      </c>
      <c r="C66" s="6"/>
      <c r="D66" s="428">
        <f t="shared" si="0"/>
        <v>0</v>
      </c>
      <c r="E66" s="429">
        <f t="shared" si="3"/>
        <v>0</v>
      </c>
      <c r="F66" s="6"/>
      <c r="G66" s="348">
        <f t="shared" si="1"/>
        <v>0</v>
      </c>
    </row>
    <row r="67" spans="1:7">
      <c r="A67" s="323">
        <v>44013</v>
      </c>
      <c r="B67" s="663">
        <f t="shared" si="2"/>
        <v>0</v>
      </c>
      <c r="C67" s="6"/>
      <c r="D67" s="428">
        <f t="shared" si="0"/>
        <v>0</v>
      </c>
      <c r="E67" s="429">
        <f t="shared" si="3"/>
        <v>0</v>
      </c>
      <c r="F67" s="6"/>
      <c r="G67" s="348">
        <f t="shared" si="1"/>
        <v>0</v>
      </c>
    </row>
    <row r="68" spans="1:7">
      <c r="A68" s="323">
        <v>44044</v>
      </c>
      <c r="B68" s="663">
        <f t="shared" si="2"/>
        <v>0</v>
      </c>
      <c r="C68" s="6"/>
      <c r="D68" s="428">
        <f t="shared" si="0"/>
        <v>0</v>
      </c>
      <c r="E68" s="429">
        <f t="shared" si="3"/>
        <v>0</v>
      </c>
      <c r="F68" s="6"/>
      <c r="G68" s="348">
        <f t="shared" si="1"/>
        <v>0</v>
      </c>
    </row>
    <row r="69" spans="1:7">
      <c r="A69" s="323">
        <v>44075</v>
      </c>
      <c r="B69" s="663">
        <f t="shared" si="2"/>
        <v>0</v>
      </c>
      <c r="C69" s="6"/>
      <c r="D69" s="428">
        <f t="shared" ref="D69:D99" si="4">C69-B69</f>
        <v>0</v>
      </c>
      <c r="E69" s="429">
        <f t="shared" si="3"/>
        <v>0</v>
      </c>
      <c r="F69" s="6"/>
      <c r="G69" s="348">
        <f t="shared" ref="G69:G99" si="5">F69-E69</f>
        <v>0</v>
      </c>
    </row>
    <row r="70" spans="1:7">
      <c r="A70" s="323">
        <v>44105</v>
      </c>
      <c r="B70" s="663">
        <f t="shared" ref="B70:B99" si="6">C69</f>
        <v>0</v>
      </c>
      <c r="C70" s="6"/>
      <c r="D70" s="428">
        <f t="shared" si="4"/>
        <v>0</v>
      </c>
      <c r="E70" s="429">
        <f t="shared" si="3"/>
        <v>0</v>
      </c>
      <c r="F70" s="6"/>
      <c r="G70" s="348">
        <f t="shared" si="5"/>
        <v>0</v>
      </c>
    </row>
    <row r="71" spans="1:7">
      <c r="A71" s="323">
        <v>44136</v>
      </c>
      <c r="B71" s="663">
        <f t="shared" si="6"/>
        <v>0</v>
      </c>
      <c r="C71" s="6"/>
      <c r="D71" s="428">
        <f t="shared" si="4"/>
        <v>0</v>
      </c>
      <c r="E71" s="429">
        <f t="shared" si="3"/>
        <v>0</v>
      </c>
      <c r="F71" s="6"/>
      <c r="G71" s="348">
        <f t="shared" si="5"/>
        <v>0</v>
      </c>
    </row>
    <row r="72" spans="1:7">
      <c r="A72" s="323">
        <v>44166</v>
      </c>
      <c r="B72" s="663">
        <f t="shared" si="6"/>
        <v>0</v>
      </c>
      <c r="C72" s="6"/>
      <c r="D72" s="428">
        <f t="shared" si="4"/>
        <v>0</v>
      </c>
      <c r="E72" s="429">
        <f t="shared" ref="E72:E99" si="7">F71</f>
        <v>0</v>
      </c>
      <c r="F72" s="6"/>
      <c r="G72" s="348">
        <f t="shared" si="5"/>
        <v>0</v>
      </c>
    </row>
    <row r="73" spans="1:7">
      <c r="A73" s="323">
        <v>44197</v>
      </c>
      <c r="B73" s="663">
        <f t="shared" si="6"/>
        <v>0</v>
      </c>
      <c r="C73" s="6"/>
      <c r="D73" s="428">
        <f t="shared" si="4"/>
        <v>0</v>
      </c>
      <c r="E73" s="429">
        <f t="shared" si="7"/>
        <v>0</v>
      </c>
      <c r="F73" s="6"/>
      <c r="G73" s="348">
        <f t="shared" si="5"/>
        <v>0</v>
      </c>
    </row>
    <row r="74" spans="1:7">
      <c r="A74" s="323">
        <v>44228</v>
      </c>
      <c r="B74" s="663">
        <f t="shared" si="6"/>
        <v>0</v>
      </c>
      <c r="C74" s="6"/>
      <c r="D74" s="428">
        <f t="shared" si="4"/>
        <v>0</v>
      </c>
      <c r="E74" s="429">
        <f t="shared" si="7"/>
        <v>0</v>
      </c>
      <c r="F74" s="6"/>
      <c r="G74" s="348">
        <f t="shared" si="5"/>
        <v>0</v>
      </c>
    </row>
    <row r="75" spans="1:7">
      <c r="A75" s="323">
        <v>44256</v>
      </c>
      <c r="B75" s="663">
        <f t="shared" si="6"/>
        <v>0</v>
      </c>
      <c r="C75" s="6"/>
      <c r="D75" s="428">
        <f t="shared" si="4"/>
        <v>0</v>
      </c>
      <c r="E75" s="429">
        <f t="shared" si="7"/>
        <v>0</v>
      </c>
      <c r="F75" s="6"/>
      <c r="G75" s="348">
        <f t="shared" si="5"/>
        <v>0</v>
      </c>
    </row>
    <row r="76" spans="1:7">
      <c r="A76" s="323">
        <v>44287</v>
      </c>
      <c r="B76" s="663">
        <f t="shared" si="6"/>
        <v>0</v>
      </c>
      <c r="C76" s="6"/>
      <c r="D76" s="428">
        <f t="shared" si="4"/>
        <v>0</v>
      </c>
      <c r="E76" s="429">
        <f t="shared" si="7"/>
        <v>0</v>
      </c>
      <c r="F76" s="6"/>
      <c r="G76" s="348">
        <f t="shared" si="5"/>
        <v>0</v>
      </c>
    </row>
    <row r="77" spans="1:7">
      <c r="A77" s="323">
        <v>44317</v>
      </c>
      <c r="B77" s="663">
        <f t="shared" si="6"/>
        <v>0</v>
      </c>
      <c r="C77" s="6"/>
      <c r="D77" s="428">
        <f t="shared" si="4"/>
        <v>0</v>
      </c>
      <c r="E77" s="429">
        <f t="shared" si="7"/>
        <v>0</v>
      </c>
      <c r="F77" s="6"/>
      <c r="G77" s="348">
        <f t="shared" si="5"/>
        <v>0</v>
      </c>
    </row>
    <row r="78" spans="1:7">
      <c r="A78" s="323">
        <v>44348</v>
      </c>
      <c r="B78" s="663">
        <f t="shared" si="6"/>
        <v>0</v>
      </c>
      <c r="C78" s="6"/>
      <c r="D78" s="428">
        <f t="shared" si="4"/>
        <v>0</v>
      </c>
      <c r="E78" s="429">
        <f t="shared" si="7"/>
        <v>0</v>
      </c>
      <c r="F78" s="6"/>
      <c r="G78" s="348">
        <f t="shared" si="5"/>
        <v>0</v>
      </c>
    </row>
    <row r="79" spans="1:7">
      <c r="A79" s="323">
        <v>44378</v>
      </c>
      <c r="B79" s="663">
        <f t="shared" si="6"/>
        <v>0</v>
      </c>
      <c r="C79" s="6"/>
      <c r="D79" s="428">
        <f t="shared" si="4"/>
        <v>0</v>
      </c>
      <c r="E79" s="429">
        <f t="shared" si="7"/>
        <v>0</v>
      </c>
      <c r="F79" s="6"/>
      <c r="G79" s="348">
        <f t="shared" si="5"/>
        <v>0</v>
      </c>
    </row>
    <row r="80" spans="1:7">
      <c r="A80" s="323">
        <v>44409</v>
      </c>
      <c r="B80" s="663">
        <f t="shared" si="6"/>
        <v>0</v>
      </c>
      <c r="C80" s="6"/>
      <c r="D80" s="428">
        <f t="shared" si="4"/>
        <v>0</v>
      </c>
      <c r="E80" s="429">
        <f t="shared" si="7"/>
        <v>0</v>
      </c>
      <c r="F80" s="6"/>
      <c r="G80" s="348">
        <f t="shared" si="5"/>
        <v>0</v>
      </c>
    </row>
    <row r="81" spans="1:7">
      <c r="A81" s="323">
        <v>44440</v>
      </c>
      <c r="B81" s="663">
        <f t="shared" si="6"/>
        <v>0</v>
      </c>
      <c r="C81" s="6"/>
      <c r="D81" s="428">
        <f t="shared" si="4"/>
        <v>0</v>
      </c>
      <c r="E81" s="429">
        <f t="shared" si="7"/>
        <v>0</v>
      </c>
      <c r="F81" s="6"/>
      <c r="G81" s="348">
        <f t="shared" si="5"/>
        <v>0</v>
      </c>
    </row>
    <row r="82" spans="1:7">
      <c r="A82" s="323">
        <v>44470</v>
      </c>
      <c r="B82" s="663">
        <f t="shared" si="6"/>
        <v>0</v>
      </c>
      <c r="C82" s="6"/>
      <c r="D82" s="428">
        <f t="shared" si="4"/>
        <v>0</v>
      </c>
      <c r="E82" s="429">
        <f t="shared" si="7"/>
        <v>0</v>
      </c>
      <c r="F82" s="6"/>
      <c r="G82" s="348">
        <f t="shared" si="5"/>
        <v>0</v>
      </c>
    </row>
    <row r="83" spans="1:7">
      <c r="A83" s="323">
        <v>44501</v>
      </c>
      <c r="B83" s="663">
        <f t="shared" si="6"/>
        <v>0</v>
      </c>
      <c r="C83" s="6"/>
      <c r="D83" s="428">
        <f t="shared" si="4"/>
        <v>0</v>
      </c>
      <c r="E83" s="429">
        <f t="shared" si="7"/>
        <v>0</v>
      </c>
      <c r="F83" s="6"/>
      <c r="G83" s="348">
        <f t="shared" si="5"/>
        <v>0</v>
      </c>
    </row>
    <row r="84" spans="1:7">
      <c r="A84" s="323">
        <v>44531</v>
      </c>
      <c r="B84" s="663">
        <f t="shared" si="6"/>
        <v>0</v>
      </c>
      <c r="C84" s="6"/>
      <c r="D84" s="428">
        <f t="shared" si="4"/>
        <v>0</v>
      </c>
      <c r="E84" s="429">
        <f t="shared" si="7"/>
        <v>0</v>
      </c>
      <c r="F84" s="6"/>
      <c r="G84" s="348">
        <f t="shared" si="5"/>
        <v>0</v>
      </c>
    </row>
    <row r="85" spans="1:7">
      <c r="A85" s="323">
        <v>44562</v>
      </c>
      <c r="B85" s="663">
        <f t="shared" si="6"/>
        <v>0</v>
      </c>
      <c r="C85" s="6"/>
      <c r="D85" s="428">
        <f t="shared" si="4"/>
        <v>0</v>
      </c>
      <c r="E85" s="429">
        <f t="shared" si="7"/>
        <v>0</v>
      </c>
      <c r="F85" s="6"/>
      <c r="G85" s="348">
        <f t="shared" si="5"/>
        <v>0</v>
      </c>
    </row>
    <row r="86" spans="1:7">
      <c r="A86" s="323">
        <v>44593</v>
      </c>
      <c r="B86" s="663">
        <f t="shared" si="6"/>
        <v>0</v>
      </c>
      <c r="C86" s="6"/>
      <c r="D86" s="428">
        <f t="shared" si="4"/>
        <v>0</v>
      </c>
      <c r="E86" s="429">
        <f t="shared" si="7"/>
        <v>0</v>
      </c>
      <c r="F86" s="6"/>
      <c r="G86" s="348">
        <f t="shared" si="5"/>
        <v>0</v>
      </c>
    </row>
    <row r="87" spans="1:7">
      <c r="A87" s="323">
        <v>44621</v>
      </c>
      <c r="B87" s="663">
        <f t="shared" si="6"/>
        <v>0</v>
      </c>
      <c r="C87" s="6"/>
      <c r="D87" s="428">
        <f t="shared" si="4"/>
        <v>0</v>
      </c>
      <c r="E87" s="429">
        <f t="shared" si="7"/>
        <v>0</v>
      </c>
      <c r="F87" s="6"/>
      <c r="G87" s="348">
        <f t="shared" si="5"/>
        <v>0</v>
      </c>
    </row>
    <row r="88" spans="1:7">
      <c r="A88" s="323">
        <v>44652</v>
      </c>
      <c r="B88" s="663">
        <f t="shared" si="6"/>
        <v>0</v>
      </c>
      <c r="C88" s="6"/>
      <c r="D88" s="428">
        <f t="shared" si="4"/>
        <v>0</v>
      </c>
      <c r="E88" s="429">
        <f t="shared" si="7"/>
        <v>0</v>
      </c>
      <c r="F88" s="6"/>
      <c r="G88" s="348">
        <f t="shared" si="5"/>
        <v>0</v>
      </c>
    </row>
    <row r="89" spans="1:7">
      <c r="A89" s="323">
        <v>44682</v>
      </c>
      <c r="B89" s="663">
        <f t="shared" si="6"/>
        <v>0</v>
      </c>
      <c r="C89" s="6"/>
      <c r="D89" s="428">
        <f t="shared" si="4"/>
        <v>0</v>
      </c>
      <c r="E89" s="429">
        <f t="shared" si="7"/>
        <v>0</v>
      </c>
      <c r="F89" s="6"/>
      <c r="G89" s="348">
        <f t="shared" si="5"/>
        <v>0</v>
      </c>
    </row>
    <row r="90" spans="1:7">
      <c r="A90" s="323">
        <v>44713</v>
      </c>
      <c r="B90" s="663">
        <f t="shared" si="6"/>
        <v>0</v>
      </c>
      <c r="C90" s="6"/>
      <c r="D90" s="428">
        <f t="shared" si="4"/>
        <v>0</v>
      </c>
      <c r="E90" s="429">
        <f t="shared" si="7"/>
        <v>0</v>
      </c>
      <c r="F90" s="6"/>
      <c r="G90" s="348">
        <f t="shared" si="5"/>
        <v>0</v>
      </c>
    </row>
    <row r="91" spans="1:7">
      <c r="A91" s="323">
        <v>44743</v>
      </c>
      <c r="B91" s="663">
        <f t="shared" si="6"/>
        <v>0</v>
      </c>
      <c r="C91" s="6"/>
      <c r="D91" s="428">
        <f t="shared" si="4"/>
        <v>0</v>
      </c>
      <c r="E91" s="429">
        <f t="shared" si="7"/>
        <v>0</v>
      </c>
      <c r="F91" s="6"/>
      <c r="G91" s="348">
        <f t="shared" si="5"/>
        <v>0</v>
      </c>
    </row>
    <row r="92" spans="1:7">
      <c r="A92" s="323">
        <v>44774</v>
      </c>
      <c r="B92" s="663">
        <f t="shared" si="6"/>
        <v>0</v>
      </c>
      <c r="C92" s="6"/>
      <c r="D92" s="428">
        <f t="shared" si="4"/>
        <v>0</v>
      </c>
      <c r="E92" s="429">
        <f t="shared" si="7"/>
        <v>0</v>
      </c>
      <c r="F92" s="6"/>
      <c r="G92" s="348">
        <f t="shared" si="5"/>
        <v>0</v>
      </c>
    </row>
    <row r="93" spans="1:7">
      <c r="A93" s="323">
        <v>44805</v>
      </c>
      <c r="B93" s="663">
        <f t="shared" si="6"/>
        <v>0</v>
      </c>
      <c r="C93" s="6"/>
      <c r="D93" s="428">
        <f t="shared" si="4"/>
        <v>0</v>
      </c>
      <c r="E93" s="429">
        <f t="shared" si="7"/>
        <v>0</v>
      </c>
      <c r="F93" s="6"/>
      <c r="G93" s="348">
        <f t="shared" si="5"/>
        <v>0</v>
      </c>
    </row>
    <row r="94" spans="1:7">
      <c r="A94" s="323">
        <v>44835</v>
      </c>
      <c r="B94" s="663">
        <f t="shared" si="6"/>
        <v>0</v>
      </c>
      <c r="C94" s="6"/>
      <c r="D94" s="428">
        <f t="shared" si="4"/>
        <v>0</v>
      </c>
      <c r="E94" s="429">
        <f t="shared" si="7"/>
        <v>0</v>
      </c>
      <c r="F94" s="6"/>
      <c r="G94" s="348">
        <f t="shared" si="5"/>
        <v>0</v>
      </c>
    </row>
    <row r="95" spans="1:7">
      <c r="A95" s="323">
        <v>44866</v>
      </c>
      <c r="B95" s="663">
        <f t="shared" si="6"/>
        <v>0</v>
      </c>
      <c r="C95" s="6"/>
      <c r="D95" s="428">
        <f t="shared" si="4"/>
        <v>0</v>
      </c>
      <c r="E95" s="429">
        <f t="shared" si="7"/>
        <v>0</v>
      </c>
      <c r="F95" s="6"/>
      <c r="G95" s="348">
        <f t="shared" si="5"/>
        <v>0</v>
      </c>
    </row>
    <row r="96" spans="1:7">
      <c r="A96" s="323">
        <v>44896</v>
      </c>
      <c r="B96" s="663">
        <f t="shared" si="6"/>
        <v>0</v>
      </c>
      <c r="C96" s="6"/>
      <c r="D96" s="428">
        <f t="shared" si="4"/>
        <v>0</v>
      </c>
      <c r="E96" s="429">
        <f t="shared" si="7"/>
        <v>0</v>
      </c>
      <c r="F96" s="6"/>
      <c r="G96" s="348">
        <f t="shared" si="5"/>
        <v>0</v>
      </c>
    </row>
    <row r="97" spans="1:7">
      <c r="A97" s="323">
        <v>44927</v>
      </c>
      <c r="B97" s="663">
        <f t="shared" si="6"/>
        <v>0</v>
      </c>
      <c r="C97" s="6"/>
      <c r="D97" s="428">
        <f t="shared" si="4"/>
        <v>0</v>
      </c>
      <c r="E97" s="429">
        <f t="shared" si="7"/>
        <v>0</v>
      </c>
      <c r="F97" s="6"/>
      <c r="G97" s="348">
        <f t="shared" si="5"/>
        <v>0</v>
      </c>
    </row>
    <row r="98" spans="1:7">
      <c r="A98" s="323">
        <v>44958</v>
      </c>
      <c r="B98" s="663">
        <f t="shared" si="6"/>
        <v>0</v>
      </c>
      <c r="C98" s="6"/>
      <c r="D98" s="428">
        <f t="shared" si="4"/>
        <v>0</v>
      </c>
      <c r="E98" s="429">
        <f t="shared" si="7"/>
        <v>0</v>
      </c>
      <c r="F98" s="6"/>
      <c r="G98" s="348">
        <f t="shared" si="5"/>
        <v>0</v>
      </c>
    </row>
    <row r="99" spans="1:7" ht="13.5" thickBot="1">
      <c r="A99" s="323">
        <v>44986</v>
      </c>
      <c r="B99" s="664">
        <f t="shared" si="6"/>
        <v>0</v>
      </c>
      <c r="C99" s="8"/>
      <c r="D99" s="665">
        <f t="shared" si="4"/>
        <v>0</v>
      </c>
      <c r="E99" s="666">
        <f t="shared" si="7"/>
        <v>0</v>
      </c>
      <c r="F99" s="8"/>
      <c r="G99" s="39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2" t="s">
        <v>232</v>
      </c>
      <c r="B1" s="863"/>
      <c r="C1" s="863"/>
      <c r="D1" s="863"/>
      <c r="G1" s="363"/>
      <c r="H1" s="364" t="s">
        <v>233</v>
      </c>
      <c r="I1" s="364"/>
      <c r="J1" s="363"/>
      <c r="K1" s="363"/>
    </row>
    <row r="2" spans="1:12" ht="39" thickBot="1">
      <c r="A2" s="667" t="s">
        <v>7</v>
      </c>
      <c r="B2" s="668" t="s">
        <v>178</v>
      </c>
      <c r="C2" s="668" t="s">
        <v>179</v>
      </c>
      <c r="D2" s="669" t="s">
        <v>196</v>
      </c>
      <c r="E2" s="669" t="s">
        <v>238</v>
      </c>
      <c r="F2" s="670" t="s">
        <v>216</v>
      </c>
      <c r="G2" s="671" t="s">
        <v>234</v>
      </c>
      <c r="H2" s="672" t="s">
        <v>235</v>
      </c>
      <c r="I2" s="673" t="s">
        <v>236</v>
      </c>
      <c r="J2" s="672" t="s">
        <v>237</v>
      </c>
      <c r="K2" s="672" t="s">
        <v>216</v>
      </c>
      <c r="L2" s="674" t="s">
        <v>197</v>
      </c>
    </row>
    <row r="3" spans="1:12">
      <c r="A3" s="346">
        <v>42430</v>
      </c>
      <c r="B3" s="675">
        <v>5000778</v>
      </c>
      <c r="C3" s="676">
        <v>5057715</v>
      </c>
      <c r="D3" s="677">
        <f>C3-B3</f>
        <v>56937</v>
      </c>
      <c r="E3" s="543"/>
      <c r="F3" s="678"/>
      <c r="G3" s="679">
        <f>H3</f>
        <v>0</v>
      </c>
      <c r="H3" s="680"/>
      <c r="I3" s="681">
        <f>H3-G3</f>
        <v>0</v>
      </c>
      <c r="J3" s="680"/>
      <c r="K3" s="682">
        <f>I3-J3</f>
        <v>0</v>
      </c>
      <c r="L3" s="683"/>
    </row>
    <row r="4" spans="1:12">
      <c r="A4" s="323">
        <v>42461</v>
      </c>
      <c r="B4" s="420">
        <f>C3</f>
        <v>5057715</v>
      </c>
      <c r="C4" s="325">
        <v>5111496</v>
      </c>
      <c r="D4" s="527">
        <f t="shared" ref="D4:D67" si="0">C4-B4</f>
        <v>53781</v>
      </c>
      <c r="E4" s="325"/>
      <c r="F4" s="684"/>
      <c r="G4" s="685">
        <f>H3</f>
        <v>0</v>
      </c>
      <c r="H4" s="6"/>
      <c r="I4" s="358">
        <f t="shared" ref="I4:I67" si="1">H4-G4</f>
        <v>0</v>
      </c>
      <c r="J4" s="6"/>
      <c r="K4" s="365">
        <f t="shared" ref="K4:K67" si="2">I4-J4</f>
        <v>0</v>
      </c>
      <c r="L4" s="686"/>
    </row>
    <row r="5" spans="1:12">
      <c r="A5" s="323">
        <v>42491</v>
      </c>
      <c r="B5" s="420">
        <f t="shared" ref="B5:B68" si="3">C4</f>
        <v>5111496</v>
      </c>
      <c r="C5" s="325">
        <v>5169409</v>
      </c>
      <c r="D5" s="527">
        <f t="shared" si="0"/>
        <v>57913</v>
      </c>
      <c r="E5" s="325"/>
      <c r="F5" s="684"/>
      <c r="G5" s="685">
        <f t="shared" ref="G5:G68" si="4">H4</f>
        <v>0</v>
      </c>
      <c r="H5" s="6"/>
      <c r="I5" s="358">
        <f t="shared" si="1"/>
        <v>0</v>
      </c>
      <c r="J5" s="6"/>
      <c r="K5" s="365">
        <f t="shared" si="2"/>
        <v>0</v>
      </c>
      <c r="L5" s="686"/>
    </row>
    <row r="6" spans="1:12">
      <c r="A6" s="323">
        <v>42522</v>
      </c>
      <c r="B6" s="420">
        <f t="shared" si="3"/>
        <v>5169409</v>
      </c>
      <c r="C6" s="325">
        <v>5232162</v>
      </c>
      <c r="D6" s="527">
        <f t="shared" si="0"/>
        <v>62753</v>
      </c>
      <c r="E6" s="325"/>
      <c r="F6" s="684"/>
      <c r="G6" s="685">
        <f t="shared" si="4"/>
        <v>0</v>
      </c>
      <c r="H6" s="6"/>
      <c r="I6" s="358">
        <f t="shared" si="1"/>
        <v>0</v>
      </c>
      <c r="J6" s="6"/>
      <c r="K6" s="365">
        <f t="shared" si="2"/>
        <v>0</v>
      </c>
      <c r="L6" s="686"/>
    </row>
    <row r="7" spans="1:12">
      <c r="A7" s="323">
        <v>42552</v>
      </c>
      <c r="B7" s="420">
        <f t="shared" si="3"/>
        <v>5232162</v>
      </c>
      <c r="C7" s="325">
        <v>5310037</v>
      </c>
      <c r="D7" s="527">
        <f t="shared" si="0"/>
        <v>77875</v>
      </c>
      <c r="E7" s="325"/>
      <c r="F7" s="684"/>
      <c r="G7" s="685">
        <f t="shared" si="4"/>
        <v>0</v>
      </c>
      <c r="H7" s="6"/>
      <c r="I7" s="358">
        <f t="shared" si="1"/>
        <v>0</v>
      </c>
      <c r="J7" s="6"/>
      <c r="K7" s="365">
        <f t="shared" si="2"/>
        <v>0</v>
      </c>
      <c r="L7" s="686"/>
    </row>
    <row r="8" spans="1:12">
      <c r="A8" s="323">
        <v>42583</v>
      </c>
      <c r="B8" s="420">
        <f t="shared" si="3"/>
        <v>5310037</v>
      </c>
      <c r="C8" s="325">
        <v>5382821</v>
      </c>
      <c r="D8" s="527">
        <f t="shared" si="0"/>
        <v>72784</v>
      </c>
      <c r="E8" s="325">
        <f>[4]Gen!AR45</f>
        <v>72766</v>
      </c>
      <c r="F8" s="684">
        <f t="shared" ref="F8:F71" si="5">D8-E8</f>
        <v>18</v>
      </c>
      <c r="G8" s="685">
        <f t="shared" si="4"/>
        <v>0</v>
      </c>
      <c r="H8" s="6"/>
      <c r="I8" s="358">
        <f t="shared" si="1"/>
        <v>0</v>
      </c>
      <c r="J8" s="6"/>
      <c r="K8" s="365">
        <f t="shared" si="2"/>
        <v>0</v>
      </c>
      <c r="L8" s="686"/>
    </row>
    <row r="9" spans="1:12">
      <c r="A9" s="323">
        <v>42614</v>
      </c>
      <c r="B9" s="420">
        <f t="shared" si="3"/>
        <v>5382821</v>
      </c>
      <c r="C9" s="325">
        <v>5446740</v>
      </c>
      <c r="D9" s="527">
        <f t="shared" si="0"/>
        <v>63919</v>
      </c>
      <c r="E9" s="325">
        <f>[5]Gen!AR45</f>
        <v>64036.499999999993</v>
      </c>
      <c r="F9" s="684">
        <f t="shared" si="5"/>
        <v>-117.49999999999272</v>
      </c>
      <c r="G9" s="685">
        <f t="shared" si="4"/>
        <v>0</v>
      </c>
      <c r="H9" s="6"/>
      <c r="I9" s="358">
        <f t="shared" si="1"/>
        <v>0</v>
      </c>
      <c r="J9" s="6"/>
      <c r="K9" s="365">
        <f t="shared" si="2"/>
        <v>0</v>
      </c>
      <c r="L9" s="686"/>
    </row>
    <row r="10" spans="1:12">
      <c r="A10" s="323">
        <v>42644</v>
      </c>
      <c r="B10" s="420">
        <f t="shared" si="3"/>
        <v>5446740</v>
      </c>
      <c r="C10" s="325">
        <v>5521440</v>
      </c>
      <c r="D10" s="527">
        <f t="shared" si="0"/>
        <v>74700</v>
      </c>
      <c r="E10" s="687">
        <v>76057.09</v>
      </c>
      <c r="F10" s="684">
        <f t="shared" si="5"/>
        <v>-1357.0899999999965</v>
      </c>
      <c r="G10" s="685">
        <f t="shared" si="4"/>
        <v>0</v>
      </c>
      <c r="H10" s="6"/>
      <c r="I10" s="358">
        <f t="shared" si="1"/>
        <v>0</v>
      </c>
      <c r="J10" s="6"/>
      <c r="K10" s="365">
        <f t="shared" si="2"/>
        <v>0</v>
      </c>
      <c r="L10" s="686"/>
    </row>
    <row r="11" spans="1:12">
      <c r="A11" s="323">
        <v>42675</v>
      </c>
      <c r="B11" s="420">
        <f t="shared" si="3"/>
        <v>5521440</v>
      </c>
      <c r="C11" s="325">
        <v>5594926</v>
      </c>
      <c r="D11" s="527">
        <f t="shared" si="0"/>
        <v>73486</v>
      </c>
      <c r="E11" s="687">
        <v>73462.489999999991</v>
      </c>
      <c r="F11" s="684">
        <f t="shared" si="5"/>
        <v>23.510000000009313</v>
      </c>
      <c r="G11" s="685">
        <f t="shared" si="4"/>
        <v>0</v>
      </c>
      <c r="H11" s="6"/>
      <c r="I11" s="358">
        <f t="shared" si="1"/>
        <v>0</v>
      </c>
      <c r="J11" s="6"/>
      <c r="K11" s="365">
        <f t="shared" si="2"/>
        <v>0</v>
      </c>
      <c r="L11" s="686"/>
    </row>
    <row r="12" spans="1:12">
      <c r="A12" s="323">
        <v>42705</v>
      </c>
      <c r="B12" s="420">
        <f t="shared" si="3"/>
        <v>5594926</v>
      </c>
      <c r="C12" s="325">
        <v>5670348</v>
      </c>
      <c r="D12" s="527">
        <f t="shared" si="0"/>
        <v>75422</v>
      </c>
      <c r="E12" s="325">
        <v>75421.2</v>
      </c>
      <c r="F12" s="684">
        <f t="shared" si="5"/>
        <v>0.80000000000291038</v>
      </c>
      <c r="G12" s="685">
        <f t="shared" si="4"/>
        <v>0</v>
      </c>
      <c r="H12" s="6"/>
      <c r="I12" s="358">
        <f t="shared" si="1"/>
        <v>0</v>
      </c>
      <c r="J12" s="6"/>
      <c r="K12" s="365">
        <f t="shared" si="2"/>
        <v>0</v>
      </c>
      <c r="L12" s="686"/>
    </row>
    <row r="13" spans="1:12">
      <c r="A13" s="323">
        <v>42736</v>
      </c>
      <c r="B13" s="420">
        <f t="shared" si="3"/>
        <v>5670348</v>
      </c>
      <c r="C13" s="325">
        <v>5735627</v>
      </c>
      <c r="D13" s="527">
        <f t="shared" si="0"/>
        <v>65279</v>
      </c>
      <c r="E13" s="325">
        <v>65276.07</v>
      </c>
      <c r="F13" s="684">
        <f t="shared" si="5"/>
        <v>2.930000000000291</v>
      </c>
      <c r="G13" s="685">
        <f t="shared" si="4"/>
        <v>0</v>
      </c>
      <c r="H13" s="6"/>
      <c r="I13" s="358">
        <f t="shared" si="1"/>
        <v>0</v>
      </c>
      <c r="J13" s="6"/>
      <c r="K13" s="365">
        <f t="shared" si="2"/>
        <v>0</v>
      </c>
      <c r="L13" s="686"/>
    </row>
    <row r="14" spans="1:12">
      <c r="A14" s="323">
        <v>42767</v>
      </c>
      <c r="B14" s="420">
        <f t="shared" si="3"/>
        <v>5735627</v>
      </c>
      <c r="C14" s="325">
        <v>5797781</v>
      </c>
      <c r="D14" s="527">
        <f t="shared" si="0"/>
        <v>62154</v>
      </c>
      <c r="E14" s="325">
        <v>62154.9</v>
      </c>
      <c r="F14" s="684">
        <f t="shared" si="5"/>
        <v>-0.90000000000145519</v>
      </c>
      <c r="G14" s="685">
        <f t="shared" si="4"/>
        <v>0</v>
      </c>
      <c r="H14" s="6"/>
      <c r="I14" s="358">
        <f t="shared" si="1"/>
        <v>0</v>
      </c>
      <c r="J14" s="6"/>
      <c r="K14" s="365">
        <f t="shared" si="2"/>
        <v>0</v>
      </c>
      <c r="L14" s="686"/>
    </row>
    <row r="15" spans="1:12">
      <c r="A15" s="323">
        <v>42795</v>
      </c>
      <c r="B15" s="420">
        <f t="shared" si="3"/>
        <v>5797781</v>
      </c>
      <c r="C15" s="325">
        <v>5864602</v>
      </c>
      <c r="D15" s="527">
        <f t="shared" si="0"/>
        <v>66821</v>
      </c>
      <c r="E15" s="688">
        <v>66820.89</v>
      </c>
      <c r="F15" s="684">
        <f t="shared" si="5"/>
        <v>0.11000000000058208</v>
      </c>
      <c r="G15" s="685">
        <f t="shared" si="4"/>
        <v>0</v>
      </c>
      <c r="H15" s="6"/>
      <c r="I15" s="358">
        <f t="shared" si="1"/>
        <v>0</v>
      </c>
      <c r="J15" s="6"/>
      <c r="K15" s="365">
        <f t="shared" si="2"/>
        <v>0</v>
      </c>
      <c r="L15" s="686"/>
    </row>
    <row r="16" spans="1:12">
      <c r="A16" s="323">
        <v>42826</v>
      </c>
      <c r="B16" s="420">
        <f t="shared" si="3"/>
        <v>5864602</v>
      </c>
      <c r="C16" s="359">
        <v>5927895</v>
      </c>
      <c r="D16" s="527">
        <f t="shared" si="0"/>
        <v>63293</v>
      </c>
      <c r="E16" s="325">
        <v>63292.38</v>
      </c>
      <c r="F16" s="684">
        <f t="shared" si="5"/>
        <v>0.62000000000261934</v>
      </c>
      <c r="G16" s="685">
        <f t="shared" si="4"/>
        <v>0</v>
      </c>
      <c r="H16" s="6"/>
      <c r="I16" s="358">
        <f t="shared" si="1"/>
        <v>0</v>
      </c>
      <c r="J16" s="6"/>
      <c r="K16" s="365">
        <f t="shared" si="2"/>
        <v>0</v>
      </c>
      <c r="L16" s="686"/>
    </row>
    <row r="17" spans="1:12">
      <c r="A17" s="323">
        <v>42856</v>
      </c>
      <c r="B17" s="420">
        <f t="shared" si="3"/>
        <v>5927895</v>
      </c>
      <c r="C17" s="325">
        <v>5995212</v>
      </c>
      <c r="D17" s="527">
        <f t="shared" si="0"/>
        <v>67317</v>
      </c>
      <c r="E17" s="325">
        <v>67313.47</v>
      </c>
      <c r="F17" s="684">
        <f t="shared" si="5"/>
        <v>3.5299999999988358</v>
      </c>
      <c r="G17" s="685">
        <f t="shared" si="4"/>
        <v>0</v>
      </c>
      <c r="H17" s="6"/>
      <c r="I17" s="358">
        <f t="shared" si="1"/>
        <v>0</v>
      </c>
      <c r="J17" s="6"/>
      <c r="K17" s="365">
        <f t="shared" si="2"/>
        <v>0</v>
      </c>
      <c r="L17" s="686"/>
    </row>
    <row r="18" spans="1:12">
      <c r="A18" s="323">
        <v>42887</v>
      </c>
      <c r="B18" s="420">
        <f t="shared" si="3"/>
        <v>5995212</v>
      </c>
      <c r="C18" s="325">
        <v>6065754</v>
      </c>
      <c r="D18" s="527">
        <f t="shared" si="0"/>
        <v>70542</v>
      </c>
      <c r="E18" s="325">
        <v>70542.600000000006</v>
      </c>
      <c r="F18" s="684">
        <f t="shared" si="5"/>
        <v>-0.60000000000582077</v>
      </c>
      <c r="G18" s="685">
        <f t="shared" si="4"/>
        <v>0</v>
      </c>
      <c r="H18" s="6"/>
      <c r="I18" s="358">
        <f t="shared" si="1"/>
        <v>0</v>
      </c>
      <c r="J18" s="325"/>
      <c r="K18" s="365">
        <f t="shared" si="2"/>
        <v>0</v>
      </c>
      <c r="L18" s="686"/>
    </row>
    <row r="19" spans="1:12">
      <c r="A19" s="323">
        <v>42917</v>
      </c>
      <c r="B19" s="420">
        <f t="shared" si="3"/>
        <v>6065754</v>
      </c>
      <c r="C19" s="325">
        <v>6141089</v>
      </c>
      <c r="D19" s="527">
        <f t="shared" si="0"/>
        <v>75335</v>
      </c>
      <c r="E19" s="325">
        <v>75335</v>
      </c>
      <c r="F19" s="684">
        <f t="shared" si="5"/>
        <v>0</v>
      </c>
      <c r="G19" s="685">
        <v>2442</v>
      </c>
      <c r="H19" s="325">
        <v>15003</v>
      </c>
      <c r="I19" s="358">
        <f t="shared" si="1"/>
        <v>12561</v>
      </c>
      <c r="J19" s="325"/>
      <c r="K19" s="365">
        <f t="shared" si="2"/>
        <v>12561</v>
      </c>
      <c r="L19" s="686"/>
    </row>
    <row r="20" spans="1:12">
      <c r="A20" s="323">
        <v>42948</v>
      </c>
      <c r="B20" s="420">
        <f t="shared" si="3"/>
        <v>6141089</v>
      </c>
      <c r="C20" s="325">
        <v>6212470</v>
      </c>
      <c r="D20" s="527">
        <f t="shared" si="0"/>
        <v>71381</v>
      </c>
      <c r="E20" s="325">
        <v>71379.899999999994</v>
      </c>
      <c r="F20" s="684">
        <f t="shared" si="5"/>
        <v>1.1000000000058208</v>
      </c>
      <c r="G20" s="685">
        <f t="shared" si="4"/>
        <v>15003</v>
      </c>
      <c r="H20" s="325">
        <v>25033</v>
      </c>
      <c r="I20" s="358">
        <f t="shared" si="1"/>
        <v>10030</v>
      </c>
      <c r="J20" s="325">
        <v>10029.74</v>
      </c>
      <c r="K20" s="365">
        <f t="shared" si="2"/>
        <v>0.26000000000021828</v>
      </c>
      <c r="L20" s="686">
        <f>I20+D20</f>
        <v>81411</v>
      </c>
    </row>
    <row r="21" spans="1:12">
      <c r="A21" s="323">
        <v>42979</v>
      </c>
      <c r="B21" s="420">
        <f t="shared" si="3"/>
        <v>6212470</v>
      </c>
      <c r="C21" s="359">
        <v>6276921</v>
      </c>
      <c r="D21" s="527">
        <f t="shared" si="0"/>
        <v>64451</v>
      </c>
      <c r="E21" s="359">
        <v>64450.62</v>
      </c>
      <c r="F21" s="684">
        <f t="shared" si="5"/>
        <v>0.37999999999738066</v>
      </c>
      <c r="G21" s="685">
        <f t="shared" si="4"/>
        <v>25033</v>
      </c>
      <c r="H21" s="359">
        <v>32815</v>
      </c>
      <c r="I21" s="358">
        <f t="shared" si="1"/>
        <v>7782</v>
      </c>
      <c r="J21" s="359">
        <v>7781.72</v>
      </c>
      <c r="K21" s="365">
        <f t="shared" si="2"/>
        <v>0.27999999999974534</v>
      </c>
      <c r="L21" s="686">
        <f t="shared" ref="L21:L84" si="6">I21+D21</f>
        <v>72233</v>
      </c>
    </row>
    <row r="22" spans="1:12">
      <c r="A22" s="323">
        <v>43009</v>
      </c>
      <c r="B22" s="420">
        <f t="shared" si="3"/>
        <v>6276921</v>
      </c>
      <c r="C22" s="359">
        <v>6352831</v>
      </c>
      <c r="D22" s="527">
        <f t="shared" si="0"/>
        <v>75910</v>
      </c>
      <c r="E22" s="359">
        <v>75906.789999999994</v>
      </c>
      <c r="F22" s="684">
        <f t="shared" si="5"/>
        <v>3.2100000000064028</v>
      </c>
      <c r="G22" s="685">
        <f t="shared" si="4"/>
        <v>32815</v>
      </c>
      <c r="H22" s="359">
        <v>39587</v>
      </c>
      <c r="I22" s="358">
        <f t="shared" si="1"/>
        <v>6772</v>
      </c>
      <c r="J22" s="359">
        <v>6772.04</v>
      </c>
      <c r="K22" s="365">
        <f t="shared" si="2"/>
        <v>-3.999999999996362E-2</v>
      </c>
      <c r="L22" s="686">
        <f t="shared" si="6"/>
        <v>82682</v>
      </c>
    </row>
    <row r="23" spans="1:12">
      <c r="A23" s="323">
        <v>43040</v>
      </c>
      <c r="B23" s="420">
        <f t="shared" si="3"/>
        <v>6352831</v>
      </c>
      <c r="C23" s="359">
        <v>6410003</v>
      </c>
      <c r="D23" s="527">
        <f t="shared" si="0"/>
        <v>57172</v>
      </c>
      <c r="E23" s="359">
        <v>57171.51</v>
      </c>
      <c r="F23" s="684">
        <f t="shared" si="5"/>
        <v>0.48999999999796273</v>
      </c>
      <c r="G23" s="685">
        <f t="shared" si="4"/>
        <v>39587</v>
      </c>
      <c r="H23" s="359">
        <v>45717</v>
      </c>
      <c r="I23" s="358">
        <f t="shared" si="1"/>
        <v>6130</v>
      </c>
      <c r="J23" s="359">
        <v>6129.55</v>
      </c>
      <c r="K23" s="365">
        <f t="shared" si="2"/>
        <v>0.4499999999998181</v>
      </c>
      <c r="L23" s="686">
        <f t="shared" si="6"/>
        <v>63302</v>
      </c>
    </row>
    <row r="24" spans="1:12">
      <c r="A24" s="323">
        <v>43070</v>
      </c>
      <c r="B24" s="420">
        <f t="shared" si="3"/>
        <v>6410003</v>
      </c>
      <c r="C24" s="325">
        <v>6476953</v>
      </c>
      <c r="D24" s="527">
        <f t="shared" si="0"/>
        <v>66950</v>
      </c>
      <c r="E24" s="325">
        <v>66951.14</v>
      </c>
      <c r="F24" s="684">
        <f t="shared" si="5"/>
        <v>-1.1399999999994179</v>
      </c>
      <c r="G24" s="685">
        <f t="shared" si="4"/>
        <v>45717</v>
      </c>
      <c r="H24" s="325">
        <v>52890</v>
      </c>
      <c r="I24" s="358">
        <f t="shared" si="1"/>
        <v>7173</v>
      </c>
      <c r="J24" s="325">
        <v>7173.94</v>
      </c>
      <c r="K24" s="365">
        <f t="shared" si="2"/>
        <v>-0.93999999999959982</v>
      </c>
      <c r="L24" s="686">
        <f t="shared" si="6"/>
        <v>74123</v>
      </c>
    </row>
    <row r="25" spans="1:12">
      <c r="A25" s="323">
        <v>43101</v>
      </c>
      <c r="B25" s="420">
        <f t="shared" si="3"/>
        <v>6476953</v>
      </c>
      <c r="C25" s="325">
        <v>6542879</v>
      </c>
      <c r="D25" s="527">
        <f t="shared" si="0"/>
        <v>65926</v>
      </c>
      <c r="E25" s="325">
        <v>65927.77</v>
      </c>
      <c r="F25" s="684">
        <f t="shared" si="5"/>
        <v>-1.7700000000040745</v>
      </c>
      <c r="G25" s="685">
        <f t="shared" si="4"/>
        <v>52890</v>
      </c>
      <c r="H25" s="325">
        <v>59763</v>
      </c>
      <c r="I25" s="358">
        <f t="shared" si="1"/>
        <v>6873</v>
      </c>
      <c r="J25" s="325">
        <v>6874.87</v>
      </c>
      <c r="K25" s="365">
        <f t="shared" si="2"/>
        <v>-1.8699999999998909</v>
      </c>
      <c r="L25" s="686">
        <f t="shared" si="6"/>
        <v>72799</v>
      </c>
    </row>
    <row r="26" spans="1:12">
      <c r="A26" s="323">
        <v>43132</v>
      </c>
      <c r="B26" s="420">
        <f t="shared" si="3"/>
        <v>6542879</v>
      </c>
      <c r="C26" s="325">
        <v>6604433</v>
      </c>
      <c r="D26" s="527">
        <f t="shared" si="0"/>
        <v>61554</v>
      </c>
      <c r="E26" s="395">
        <v>61553.03</v>
      </c>
      <c r="F26" s="684">
        <f t="shared" si="5"/>
        <v>0.97000000000116415</v>
      </c>
      <c r="G26" s="685">
        <f t="shared" si="4"/>
        <v>59763</v>
      </c>
      <c r="H26" s="325">
        <v>66652</v>
      </c>
      <c r="I26" s="358">
        <f t="shared" si="1"/>
        <v>6889</v>
      </c>
      <c r="J26" s="325">
        <v>6890.89</v>
      </c>
      <c r="K26" s="365">
        <f t="shared" si="2"/>
        <v>-1.8900000000003274</v>
      </c>
      <c r="L26" s="686">
        <f t="shared" si="6"/>
        <v>68443</v>
      </c>
    </row>
    <row r="27" spans="1:12">
      <c r="A27" s="323">
        <v>43160</v>
      </c>
      <c r="B27" s="420">
        <f t="shared" si="3"/>
        <v>6604433</v>
      </c>
      <c r="C27" s="359">
        <v>6660226</v>
      </c>
      <c r="D27" s="527">
        <f t="shared" si="0"/>
        <v>55793</v>
      </c>
      <c r="E27" s="359">
        <v>55792.75</v>
      </c>
      <c r="F27" s="684">
        <f t="shared" si="5"/>
        <v>0.25</v>
      </c>
      <c r="G27" s="685">
        <f t="shared" si="4"/>
        <v>66652</v>
      </c>
      <c r="H27" s="359">
        <v>77607</v>
      </c>
      <c r="I27" s="358">
        <f t="shared" si="1"/>
        <v>10955</v>
      </c>
      <c r="J27" s="359">
        <v>10955.45</v>
      </c>
      <c r="K27" s="365">
        <f t="shared" si="2"/>
        <v>-0.4500000000007276</v>
      </c>
      <c r="L27" s="686">
        <f t="shared" si="6"/>
        <v>66748</v>
      </c>
    </row>
    <row r="28" spans="1:12">
      <c r="A28" s="323">
        <v>43191</v>
      </c>
      <c r="B28" s="420">
        <f t="shared" si="3"/>
        <v>6660226</v>
      </c>
      <c r="C28" s="325">
        <v>6714539</v>
      </c>
      <c r="D28" s="527">
        <f t="shared" si="0"/>
        <v>54313</v>
      </c>
      <c r="E28" s="359">
        <v>54312.28</v>
      </c>
      <c r="F28" s="684">
        <f t="shared" si="5"/>
        <v>0.72000000000116415</v>
      </c>
      <c r="G28" s="685">
        <f t="shared" si="4"/>
        <v>77607</v>
      </c>
      <c r="H28" s="325">
        <v>82271</v>
      </c>
      <c r="I28" s="358">
        <f t="shared" si="1"/>
        <v>4664</v>
      </c>
      <c r="J28" s="359">
        <v>4665.22</v>
      </c>
      <c r="K28" s="365">
        <f t="shared" si="2"/>
        <v>-1.2200000000002547</v>
      </c>
      <c r="L28" s="686">
        <f t="shared" si="6"/>
        <v>58977</v>
      </c>
    </row>
    <row r="29" spans="1:12">
      <c r="A29" s="347">
        <v>43221</v>
      </c>
      <c r="B29" s="420">
        <f t="shared" si="3"/>
        <v>6714539</v>
      </c>
      <c r="C29" s="325">
        <v>6774547</v>
      </c>
      <c r="D29" s="527">
        <f t="shared" si="0"/>
        <v>60008</v>
      </c>
      <c r="E29" s="325">
        <v>60007.47</v>
      </c>
      <c r="F29" s="684">
        <f t="shared" si="5"/>
        <v>0.52999999999883585</v>
      </c>
      <c r="G29" s="685">
        <f t="shared" si="4"/>
        <v>82271</v>
      </c>
      <c r="H29" s="325">
        <v>88664</v>
      </c>
      <c r="I29" s="358">
        <f t="shared" si="1"/>
        <v>6393</v>
      </c>
      <c r="J29" s="325">
        <v>6392.14</v>
      </c>
      <c r="K29" s="365">
        <f t="shared" si="2"/>
        <v>0.85999999999967258</v>
      </c>
      <c r="L29" s="686">
        <f t="shared" si="6"/>
        <v>66401</v>
      </c>
    </row>
    <row r="30" spans="1:12">
      <c r="A30" s="323">
        <v>43252</v>
      </c>
      <c r="B30" s="420">
        <f t="shared" si="3"/>
        <v>6774547</v>
      </c>
      <c r="C30" s="325">
        <v>6845214</v>
      </c>
      <c r="D30" s="527">
        <f t="shared" si="0"/>
        <v>70667</v>
      </c>
      <c r="E30" s="325">
        <v>70666.289999999994</v>
      </c>
      <c r="F30" s="684">
        <f t="shared" si="5"/>
        <v>0.71000000000640284</v>
      </c>
      <c r="G30" s="685">
        <f t="shared" si="4"/>
        <v>88664</v>
      </c>
      <c r="H30" s="325">
        <v>99683</v>
      </c>
      <c r="I30" s="358">
        <f t="shared" si="1"/>
        <v>11019</v>
      </c>
      <c r="J30" s="359">
        <v>11020.51</v>
      </c>
      <c r="K30" s="365">
        <f t="shared" si="2"/>
        <v>-1.5100000000002183</v>
      </c>
      <c r="L30" s="686">
        <f t="shared" si="6"/>
        <v>81686</v>
      </c>
    </row>
    <row r="31" spans="1:12">
      <c r="A31" s="323">
        <v>43282</v>
      </c>
      <c r="B31" s="420">
        <f t="shared" si="3"/>
        <v>6845214</v>
      </c>
      <c r="C31" s="359">
        <v>6921964</v>
      </c>
      <c r="D31" s="527">
        <f t="shared" si="0"/>
        <v>76750</v>
      </c>
      <c r="E31" s="359">
        <v>76750.25</v>
      </c>
      <c r="F31" s="684">
        <f t="shared" si="5"/>
        <v>-0.25</v>
      </c>
      <c r="G31" s="685">
        <f t="shared" si="4"/>
        <v>99683</v>
      </c>
      <c r="H31" s="359">
        <v>107936</v>
      </c>
      <c r="I31" s="358">
        <f t="shared" si="1"/>
        <v>8253</v>
      </c>
      <c r="J31" s="359">
        <v>8252.24</v>
      </c>
      <c r="K31" s="365">
        <f t="shared" si="2"/>
        <v>0.76000000000021828</v>
      </c>
      <c r="L31" s="686">
        <f t="shared" si="6"/>
        <v>85003</v>
      </c>
    </row>
    <row r="32" spans="1:12">
      <c r="A32" s="323">
        <v>43313</v>
      </c>
      <c r="B32" s="420">
        <f t="shared" si="3"/>
        <v>6921964</v>
      </c>
      <c r="C32" s="359">
        <v>7001142</v>
      </c>
      <c r="D32" s="527">
        <f t="shared" si="0"/>
        <v>79178</v>
      </c>
      <c r="E32" s="359">
        <v>79179.56</v>
      </c>
      <c r="F32" s="684">
        <f t="shared" si="5"/>
        <v>-1.5599999999976717</v>
      </c>
      <c r="G32" s="685">
        <f t="shared" si="4"/>
        <v>107936</v>
      </c>
      <c r="H32" s="359">
        <v>116730</v>
      </c>
      <c r="I32" s="358">
        <f t="shared" si="1"/>
        <v>8794</v>
      </c>
      <c r="J32" s="359">
        <v>8793.1200000000008</v>
      </c>
      <c r="K32" s="365">
        <f t="shared" si="2"/>
        <v>0.87999999999919964</v>
      </c>
      <c r="L32" s="686">
        <f t="shared" si="6"/>
        <v>87972</v>
      </c>
    </row>
    <row r="33" spans="1:12">
      <c r="A33" s="323">
        <v>43344</v>
      </c>
      <c r="B33" s="420">
        <f t="shared" si="3"/>
        <v>7001142</v>
      </c>
      <c r="C33" s="359">
        <v>7074217</v>
      </c>
      <c r="D33" s="527">
        <f t="shared" si="0"/>
        <v>73075</v>
      </c>
      <c r="E33" s="359">
        <v>73076.960000000006</v>
      </c>
      <c r="F33" s="684">
        <f t="shared" si="5"/>
        <v>-1.9600000000064028</v>
      </c>
      <c r="G33" s="685">
        <f t="shared" si="4"/>
        <v>116730</v>
      </c>
      <c r="H33" s="359">
        <v>127346</v>
      </c>
      <c r="I33" s="358">
        <f t="shared" si="1"/>
        <v>10616</v>
      </c>
      <c r="J33" s="359">
        <v>10615.37</v>
      </c>
      <c r="K33" s="365">
        <f t="shared" si="2"/>
        <v>0.62999999999919964</v>
      </c>
      <c r="L33" s="686">
        <f t="shared" si="6"/>
        <v>83691</v>
      </c>
    </row>
    <row r="34" spans="1:12">
      <c r="A34" s="323">
        <v>43374</v>
      </c>
      <c r="B34" s="420">
        <f t="shared" si="3"/>
        <v>7074217</v>
      </c>
      <c r="C34" s="325">
        <v>7154506</v>
      </c>
      <c r="D34" s="527">
        <f t="shared" si="0"/>
        <v>80289</v>
      </c>
      <c r="E34" s="325">
        <v>80287.839999999997</v>
      </c>
      <c r="F34" s="684">
        <f t="shared" si="5"/>
        <v>1.1600000000034925</v>
      </c>
      <c r="G34" s="685">
        <f t="shared" si="4"/>
        <v>127346</v>
      </c>
      <c r="H34" s="325">
        <v>134840</v>
      </c>
      <c r="I34" s="358">
        <f t="shared" si="1"/>
        <v>7494</v>
      </c>
      <c r="J34" s="325">
        <v>7493.99</v>
      </c>
      <c r="K34" s="365">
        <f t="shared" si="2"/>
        <v>1.0000000000218279E-2</v>
      </c>
      <c r="L34" s="686">
        <f t="shared" si="6"/>
        <v>87783</v>
      </c>
    </row>
    <row r="35" spans="1:12">
      <c r="A35" s="323">
        <v>43405</v>
      </c>
      <c r="B35" s="420">
        <f t="shared" si="3"/>
        <v>7154506</v>
      </c>
      <c r="C35" s="325">
        <v>7225359</v>
      </c>
      <c r="D35" s="527">
        <f t="shared" si="0"/>
        <v>70853</v>
      </c>
      <c r="E35" s="325">
        <v>70852.88</v>
      </c>
      <c r="F35" s="684">
        <f t="shared" si="5"/>
        <v>0.11999999999534339</v>
      </c>
      <c r="G35" s="685">
        <f t="shared" si="4"/>
        <v>134840</v>
      </c>
      <c r="H35" s="325">
        <v>145302</v>
      </c>
      <c r="I35" s="358">
        <f t="shared" si="1"/>
        <v>10462</v>
      </c>
      <c r="J35" s="325">
        <v>10462.700000000001</v>
      </c>
      <c r="K35" s="365">
        <f t="shared" si="2"/>
        <v>-0.7000000000007276</v>
      </c>
      <c r="L35" s="686">
        <f t="shared" si="6"/>
        <v>81315</v>
      </c>
    </row>
    <row r="36" spans="1:12">
      <c r="A36" s="323">
        <v>43435</v>
      </c>
      <c r="B36" s="420">
        <f t="shared" si="3"/>
        <v>7225359</v>
      </c>
      <c r="C36" s="325">
        <v>7296581</v>
      </c>
      <c r="D36" s="527">
        <f t="shared" si="0"/>
        <v>71222</v>
      </c>
      <c r="E36" s="325">
        <v>71221.22</v>
      </c>
      <c r="F36" s="684">
        <f t="shared" si="5"/>
        <v>0.77999999999883585</v>
      </c>
      <c r="G36" s="685">
        <f t="shared" si="4"/>
        <v>145302</v>
      </c>
      <c r="H36" s="325">
        <v>154999</v>
      </c>
      <c r="I36" s="358">
        <f t="shared" si="1"/>
        <v>9697</v>
      </c>
      <c r="J36" s="325">
        <v>9696.7999999999993</v>
      </c>
      <c r="K36" s="365">
        <f t="shared" si="2"/>
        <v>0.2000000000007276</v>
      </c>
      <c r="L36" s="686">
        <f t="shared" si="6"/>
        <v>80919</v>
      </c>
    </row>
    <row r="37" spans="1:12">
      <c r="A37" s="323">
        <v>43466</v>
      </c>
      <c r="B37" s="420">
        <f t="shared" si="3"/>
        <v>7296581</v>
      </c>
      <c r="C37" s="325">
        <v>7366625</v>
      </c>
      <c r="D37" s="527">
        <f t="shared" si="0"/>
        <v>70044</v>
      </c>
      <c r="E37" s="325">
        <v>70042.86</v>
      </c>
      <c r="F37" s="684">
        <f t="shared" si="5"/>
        <v>1.1399999999994179</v>
      </c>
      <c r="G37" s="685">
        <f t="shared" si="4"/>
        <v>154999</v>
      </c>
      <c r="H37" s="325">
        <v>161103</v>
      </c>
      <c r="I37" s="358">
        <f t="shared" si="1"/>
        <v>6104</v>
      </c>
      <c r="J37" s="325">
        <v>6107.32</v>
      </c>
      <c r="K37" s="365">
        <f t="shared" si="2"/>
        <v>-3.319999999999709</v>
      </c>
      <c r="L37" s="686">
        <f t="shared" si="6"/>
        <v>76148</v>
      </c>
    </row>
    <row r="38" spans="1:12">
      <c r="A38" s="323">
        <v>43497</v>
      </c>
      <c r="B38" s="420">
        <f t="shared" si="3"/>
        <v>7366625</v>
      </c>
      <c r="C38" s="325">
        <v>7427612</v>
      </c>
      <c r="D38" s="527">
        <f t="shared" si="0"/>
        <v>60987</v>
      </c>
      <c r="E38" s="325">
        <v>60986.27</v>
      </c>
      <c r="F38" s="684">
        <f t="shared" si="5"/>
        <v>0.73000000000320142</v>
      </c>
      <c r="G38" s="685">
        <f t="shared" si="4"/>
        <v>161103</v>
      </c>
      <c r="H38" s="325">
        <v>167784</v>
      </c>
      <c r="I38" s="358">
        <f t="shared" si="1"/>
        <v>6681</v>
      </c>
      <c r="J38" s="325">
        <v>6681</v>
      </c>
      <c r="K38" s="365">
        <f t="shared" si="2"/>
        <v>0</v>
      </c>
      <c r="L38" s="686">
        <f t="shared" si="6"/>
        <v>67668</v>
      </c>
    </row>
    <row r="39" spans="1:12">
      <c r="A39" s="323">
        <v>43525</v>
      </c>
      <c r="B39" s="420">
        <f t="shared" si="3"/>
        <v>7427612</v>
      </c>
      <c r="C39" s="325">
        <v>7494502</v>
      </c>
      <c r="D39" s="527">
        <f t="shared" si="0"/>
        <v>66890</v>
      </c>
      <c r="E39" s="325">
        <v>66888.649999999994</v>
      </c>
      <c r="F39" s="684">
        <f t="shared" si="5"/>
        <v>1.3500000000058208</v>
      </c>
      <c r="G39" s="685">
        <f t="shared" si="4"/>
        <v>167784</v>
      </c>
      <c r="H39" s="325">
        <v>178453</v>
      </c>
      <c r="I39" s="358">
        <f t="shared" si="1"/>
        <v>10669</v>
      </c>
      <c r="J39" s="325">
        <v>10669.59</v>
      </c>
      <c r="K39" s="365">
        <f t="shared" si="2"/>
        <v>-0.59000000000014552</v>
      </c>
      <c r="L39" s="686">
        <f t="shared" si="6"/>
        <v>77559</v>
      </c>
    </row>
    <row r="40" spans="1:12">
      <c r="A40" s="323">
        <v>43556</v>
      </c>
      <c r="B40" s="420">
        <f t="shared" si="3"/>
        <v>7494502</v>
      </c>
      <c r="C40" s="325">
        <v>7567839</v>
      </c>
      <c r="D40" s="527">
        <f t="shared" si="0"/>
        <v>73337</v>
      </c>
      <c r="E40" s="325">
        <v>73336.570000000007</v>
      </c>
      <c r="F40" s="684">
        <f t="shared" si="5"/>
        <v>0.42999999999301508</v>
      </c>
      <c r="G40" s="685">
        <f t="shared" si="4"/>
        <v>178453</v>
      </c>
      <c r="H40" s="325">
        <v>185868</v>
      </c>
      <c r="I40" s="358">
        <f t="shared" si="1"/>
        <v>7415</v>
      </c>
      <c r="J40" s="325">
        <v>7415.91</v>
      </c>
      <c r="K40" s="365">
        <f t="shared" si="2"/>
        <v>-0.90999999999985448</v>
      </c>
      <c r="L40" s="686">
        <f t="shared" si="6"/>
        <v>80752</v>
      </c>
    </row>
    <row r="41" spans="1:12">
      <c r="A41" s="323">
        <v>43586</v>
      </c>
      <c r="B41" s="420">
        <f t="shared" si="3"/>
        <v>7567839</v>
      </c>
      <c r="C41" s="325">
        <v>7635177</v>
      </c>
      <c r="D41" s="527">
        <f t="shared" si="0"/>
        <v>67338</v>
      </c>
      <c r="E41" s="325">
        <v>67338.48</v>
      </c>
      <c r="F41" s="684">
        <f t="shared" si="5"/>
        <v>-0.47999999999592546</v>
      </c>
      <c r="G41" s="685">
        <f t="shared" si="4"/>
        <v>185868</v>
      </c>
      <c r="H41" s="325">
        <v>191580</v>
      </c>
      <c r="I41" s="358">
        <f t="shared" si="1"/>
        <v>5712</v>
      </c>
      <c r="J41" s="325">
        <v>5711.08</v>
      </c>
      <c r="K41" s="365">
        <f t="shared" si="2"/>
        <v>0.92000000000007276</v>
      </c>
      <c r="L41" s="686">
        <f t="shared" si="6"/>
        <v>73050</v>
      </c>
    </row>
    <row r="42" spans="1:12">
      <c r="A42" s="323">
        <v>43617</v>
      </c>
      <c r="B42" s="420">
        <f t="shared" si="3"/>
        <v>7635177</v>
      </c>
      <c r="C42" s="325">
        <v>7705814</v>
      </c>
      <c r="D42" s="527">
        <f t="shared" si="0"/>
        <v>70637</v>
      </c>
      <c r="E42" s="325">
        <v>70631.199999999997</v>
      </c>
      <c r="F42" s="684">
        <f>D42-E42</f>
        <v>5.8000000000029104</v>
      </c>
      <c r="G42" s="685">
        <f t="shared" si="4"/>
        <v>191580</v>
      </c>
      <c r="H42" s="325">
        <v>198910</v>
      </c>
      <c r="I42" s="358">
        <f t="shared" si="1"/>
        <v>7330</v>
      </c>
      <c r="J42" s="325">
        <v>7352.54</v>
      </c>
      <c r="K42" s="365">
        <f t="shared" si="2"/>
        <v>-22.539999999999964</v>
      </c>
      <c r="L42" s="686">
        <f t="shared" si="6"/>
        <v>77967</v>
      </c>
    </row>
    <row r="43" spans="1:12">
      <c r="A43" s="323">
        <v>43647</v>
      </c>
      <c r="B43" s="420">
        <f t="shared" si="3"/>
        <v>7705814</v>
      </c>
      <c r="C43" s="325">
        <v>7789265</v>
      </c>
      <c r="D43" s="527">
        <f t="shared" si="0"/>
        <v>83451</v>
      </c>
      <c r="E43" s="325">
        <v>83450.259999999995</v>
      </c>
      <c r="F43" s="684">
        <f t="shared" si="5"/>
        <v>0.74000000000523869</v>
      </c>
      <c r="G43" s="685">
        <f t="shared" si="4"/>
        <v>198910</v>
      </c>
      <c r="H43" s="325">
        <v>208208</v>
      </c>
      <c r="I43" s="358">
        <f t="shared" si="1"/>
        <v>9298</v>
      </c>
      <c r="J43" s="325">
        <v>8921.51</v>
      </c>
      <c r="K43" s="365">
        <f t="shared" si="2"/>
        <v>376.48999999999978</v>
      </c>
      <c r="L43" s="686">
        <f t="shared" si="6"/>
        <v>92749</v>
      </c>
    </row>
    <row r="44" spans="1:12">
      <c r="A44" s="323">
        <v>43678</v>
      </c>
      <c r="B44" s="420">
        <f t="shared" si="3"/>
        <v>7789265</v>
      </c>
      <c r="C44" s="325">
        <v>7867728</v>
      </c>
      <c r="D44" s="527">
        <f t="shared" si="0"/>
        <v>78463</v>
      </c>
      <c r="E44" s="325">
        <v>78463.600000000006</v>
      </c>
      <c r="F44" s="684">
        <f>D44-E44</f>
        <v>-0.60000000000582077</v>
      </c>
      <c r="G44" s="685">
        <f t="shared" si="4"/>
        <v>208208</v>
      </c>
      <c r="H44" s="325">
        <v>216205</v>
      </c>
      <c r="I44" s="358">
        <f t="shared" si="1"/>
        <v>7997</v>
      </c>
      <c r="J44" s="325">
        <v>7870.33</v>
      </c>
      <c r="K44" s="365">
        <f t="shared" si="2"/>
        <v>126.67000000000007</v>
      </c>
      <c r="L44" s="686">
        <f t="shared" si="6"/>
        <v>86460</v>
      </c>
    </row>
    <row r="45" spans="1:12">
      <c r="A45" s="323">
        <v>43709</v>
      </c>
      <c r="B45" s="420">
        <f t="shared" si="3"/>
        <v>7867728</v>
      </c>
      <c r="C45" s="325">
        <v>7937278</v>
      </c>
      <c r="D45" s="527">
        <f t="shared" si="0"/>
        <v>69550</v>
      </c>
      <c r="E45" s="325">
        <v>69549.31</v>
      </c>
      <c r="F45" s="684">
        <f t="shared" si="5"/>
        <v>0.69000000000232831</v>
      </c>
      <c r="G45" s="685">
        <f t="shared" si="4"/>
        <v>216205</v>
      </c>
      <c r="H45" s="325">
        <v>223195</v>
      </c>
      <c r="I45" s="358">
        <f t="shared" si="1"/>
        <v>6990</v>
      </c>
      <c r="J45" s="325">
        <v>6989.22</v>
      </c>
      <c r="K45" s="365">
        <f t="shared" si="2"/>
        <v>0.77999999999974534</v>
      </c>
      <c r="L45" s="686">
        <f t="shared" si="6"/>
        <v>76540</v>
      </c>
    </row>
    <row r="46" spans="1:12">
      <c r="A46" s="323">
        <v>43739</v>
      </c>
      <c r="B46" s="420">
        <f t="shared" si="3"/>
        <v>7937278</v>
      </c>
      <c r="C46" s="325">
        <v>8009185</v>
      </c>
      <c r="D46" s="527">
        <f t="shared" si="0"/>
        <v>71907</v>
      </c>
      <c r="E46" s="325">
        <v>71906.240000000005</v>
      </c>
      <c r="F46" s="684">
        <f t="shared" si="5"/>
        <v>0.75999999999476131</v>
      </c>
      <c r="G46" s="685">
        <f t="shared" si="4"/>
        <v>223195</v>
      </c>
      <c r="H46" s="325">
        <v>229902</v>
      </c>
      <c r="I46" s="358">
        <f t="shared" si="1"/>
        <v>6707</v>
      </c>
      <c r="J46" s="325">
        <v>6706</v>
      </c>
      <c r="K46" s="365">
        <f t="shared" si="2"/>
        <v>1</v>
      </c>
      <c r="L46" s="686">
        <f t="shared" si="6"/>
        <v>78614</v>
      </c>
    </row>
    <row r="47" spans="1:12">
      <c r="A47" s="323">
        <v>43770</v>
      </c>
      <c r="B47" s="420">
        <f t="shared" si="3"/>
        <v>8009185</v>
      </c>
      <c r="C47" s="325">
        <v>8069975</v>
      </c>
      <c r="D47" s="527">
        <f t="shared" si="0"/>
        <v>60790</v>
      </c>
      <c r="E47" s="325">
        <v>60788.44</v>
      </c>
      <c r="F47" s="684">
        <f t="shared" si="5"/>
        <v>1.5599999999976717</v>
      </c>
      <c r="G47" s="685">
        <f t="shared" si="4"/>
        <v>229902</v>
      </c>
      <c r="H47" s="325">
        <v>235486</v>
      </c>
      <c r="I47" s="358">
        <f t="shared" si="1"/>
        <v>5584</v>
      </c>
      <c r="J47" s="325">
        <v>5584</v>
      </c>
      <c r="K47" s="365">
        <f t="shared" si="2"/>
        <v>0</v>
      </c>
      <c r="L47" s="686">
        <f t="shared" si="6"/>
        <v>66374</v>
      </c>
    </row>
    <row r="48" spans="1:12">
      <c r="A48" s="323">
        <v>43800</v>
      </c>
      <c r="B48" s="420">
        <f t="shared" si="3"/>
        <v>8069975</v>
      </c>
      <c r="C48" s="689">
        <v>8103174</v>
      </c>
      <c r="D48" s="527">
        <f t="shared" si="0"/>
        <v>33199</v>
      </c>
      <c r="E48" s="690">
        <v>33228.35</v>
      </c>
      <c r="F48" s="691">
        <f t="shared" si="5"/>
        <v>-29.349999999998545</v>
      </c>
      <c r="G48" s="685">
        <f t="shared" si="4"/>
        <v>235486</v>
      </c>
      <c r="H48" s="689">
        <v>241845</v>
      </c>
      <c r="I48" s="358">
        <f t="shared" si="1"/>
        <v>6359</v>
      </c>
      <c r="J48" s="689">
        <v>6359.28</v>
      </c>
      <c r="K48" s="692">
        <f t="shared" si="2"/>
        <v>-0.27999999999974534</v>
      </c>
      <c r="L48" s="686">
        <f t="shared" si="6"/>
        <v>39558</v>
      </c>
    </row>
    <row r="49" spans="1:12">
      <c r="A49" s="323">
        <v>43831</v>
      </c>
      <c r="B49" s="420">
        <f t="shared" si="3"/>
        <v>8103174</v>
      </c>
      <c r="C49" s="325"/>
      <c r="D49" s="527">
        <f t="shared" si="0"/>
        <v>-8103174</v>
      </c>
      <c r="E49" s="325"/>
      <c r="F49" s="684">
        <f t="shared" si="5"/>
        <v>-8103174</v>
      </c>
      <c r="G49" s="685">
        <f t="shared" si="4"/>
        <v>241845</v>
      </c>
      <c r="H49" s="325"/>
      <c r="I49" s="358">
        <f t="shared" si="1"/>
        <v>-241845</v>
      </c>
      <c r="J49" s="325"/>
      <c r="K49" s="365">
        <f t="shared" si="2"/>
        <v>-241845</v>
      </c>
      <c r="L49" s="686">
        <f t="shared" si="6"/>
        <v>-8345019</v>
      </c>
    </row>
    <row r="50" spans="1:12">
      <c r="A50" s="323">
        <v>43862</v>
      </c>
      <c r="B50" s="420">
        <f t="shared" si="3"/>
        <v>0</v>
      </c>
      <c r="C50" s="325"/>
      <c r="D50" s="527">
        <f t="shared" si="0"/>
        <v>0</v>
      </c>
      <c r="E50" s="325"/>
      <c r="F50" s="684">
        <f t="shared" si="5"/>
        <v>0</v>
      </c>
      <c r="G50" s="685">
        <f t="shared" si="4"/>
        <v>0</v>
      </c>
      <c r="H50" s="325"/>
      <c r="I50" s="358">
        <f t="shared" si="1"/>
        <v>0</v>
      </c>
      <c r="J50" s="325"/>
      <c r="K50" s="365">
        <f t="shared" si="2"/>
        <v>0</v>
      </c>
      <c r="L50" s="686">
        <f t="shared" si="6"/>
        <v>0</v>
      </c>
    </row>
    <row r="51" spans="1:12">
      <c r="A51" s="323">
        <v>43891</v>
      </c>
      <c r="B51" s="420">
        <f t="shared" si="3"/>
        <v>0</v>
      </c>
      <c r="C51" s="325"/>
      <c r="D51" s="527">
        <f t="shared" si="0"/>
        <v>0</v>
      </c>
      <c r="E51" s="325"/>
      <c r="F51" s="684">
        <f t="shared" si="5"/>
        <v>0</v>
      </c>
      <c r="G51" s="685">
        <f t="shared" si="4"/>
        <v>0</v>
      </c>
      <c r="H51" s="325"/>
      <c r="I51" s="358">
        <f t="shared" si="1"/>
        <v>0</v>
      </c>
      <c r="J51" s="325"/>
      <c r="K51" s="365">
        <f t="shared" si="2"/>
        <v>0</v>
      </c>
      <c r="L51" s="686">
        <f t="shared" si="6"/>
        <v>0</v>
      </c>
    </row>
    <row r="52" spans="1:12">
      <c r="A52" s="323">
        <v>43922</v>
      </c>
      <c r="B52" s="420">
        <f t="shared" si="3"/>
        <v>0</v>
      </c>
      <c r="C52" s="325"/>
      <c r="D52" s="527">
        <f t="shared" si="0"/>
        <v>0</v>
      </c>
      <c r="E52" s="325"/>
      <c r="F52" s="684">
        <f t="shared" si="5"/>
        <v>0</v>
      </c>
      <c r="G52" s="685">
        <f t="shared" si="4"/>
        <v>0</v>
      </c>
      <c r="H52" s="325"/>
      <c r="I52" s="358">
        <f t="shared" si="1"/>
        <v>0</v>
      </c>
      <c r="J52" s="325"/>
      <c r="K52" s="365">
        <f t="shared" si="2"/>
        <v>0</v>
      </c>
      <c r="L52" s="686">
        <f t="shared" si="6"/>
        <v>0</v>
      </c>
    </row>
    <row r="53" spans="1:12">
      <c r="A53" s="323">
        <v>43952</v>
      </c>
      <c r="B53" s="420">
        <f t="shared" si="3"/>
        <v>0</v>
      </c>
      <c r="C53" s="325"/>
      <c r="D53" s="527">
        <f t="shared" si="0"/>
        <v>0</v>
      </c>
      <c r="E53" s="325"/>
      <c r="F53" s="684">
        <f t="shared" si="5"/>
        <v>0</v>
      </c>
      <c r="G53" s="685">
        <f t="shared" si="4"/>
        <v>0</v>
      </c>
      <c r="H53" s="325"/>
      <c r="I53" s="358">
        <f t="shared" si="1"/>
        <v>0</v>
      </c>
      <c r="J53" s="325"/>
      <c r="K53" s="365">
        <f t="shared" si="2"/>
        <v>0</v>
      </c>
      <c r="L53" s="686">
        <f t="shared" si="6"/>
        <v>0</v>
      </c>
    </row>
    <row r="54" spans="1:12">
      <c r="A54" s="323">
        <v>43983</v>
      </c>
      <c r="B54" s="420">
        <f t="shared" si="3"/>
        <v>0</v>
      </c>
      <c r="C54" s="325"/>
      <c r="D54" s="527">
        <f t="shared" si="0"/>
        <v>0</v>
      </c>
      <c r="E54" s="325"/>
      <c r="F54" s="684">
        <f t="shared" si="5"/>
        <v>0</v>
      </c>
      <c r="G54" s="685">
        <f t="shared" si="4"/>
        <v>0</v>
      </c>
      <c r="H54" s="325"/>
      <c r="I54" s="358">
        <f t="shared" si="1"/>
        <v>0</v>
      </c>
      <c r="J54" s="325"/>
      <c r="K54" s="365">
        <f t="shared" si="2"/>
        <v>0</v>
      </c>
      <c r="L54" s="686">
        <f t="shared" si="6"/>
        <v>0</v>
      </c>
    </row>
    <row r="55" spans="1:12">
      <c r="A55" s="323">
        <v>44013</v>
      </c>
      <c r="B55" s="420">
        <f t="shared" si="3"/>
        <v>0</v>
      </c>
      <c r="C55" s="325"/>
      <c r="D55" s="527">
        <f t="shared" si="0"/>
        <v>0</v>
      </c>
      <c r="E55" s="325"/>
      <c r="F55" s="684">
        <f t="shared" si="5"/>
        <v>0</v>
      </c>
      <c r="G55" s="685">
        <f t="shared" si="4"/>
        <v>0</v>
      </c>
      <c r="H55" s="325"/>
      <c r="I55" s="358">
        <f t="shared" si="1"/>
        <v>0</v>
      </c>
      <c r="J55" s="325"/>
      <c r="K55" s="365">
        <f t="shared" si="2"/>
        <v>0</v>
      </c>
      <c r="L55" s="686">
        <f t="shared" si="6"/>
        <v>0</v>
      </c>
    </row>
    <row r="56" spans="1:12">
      <c r="A56" s="323">
        <v>44044</v>
      </c>
      <c r="B56" s="420">
        <f t="shared" si="3"/>
        <v>0</v>
      </c>
      <c r="C56" s="325"/>
      <c r="D56" s="527">
        <f t="shared" si="0"/>
        <v>0</v>
      </c>
      <c r="E56" s="325"/>
      <c r="F56" s="684">
        <f t="shared" si="5"/>
        <v>0</v>
      </c>
      <c r="G56" s="685">
        <f t="shared" si="4"/>
        <v>0</v>
      </c>
      <c r="H56" s="325"/>
      <c r="I56" s="358">
        <f t="shared" si="1"/>
        <v>0</v>
      </c>
      <c r="J56" s="325"/>
      <c r="K56" s="365">
        <f t="shared" si="2"/>
        <v>0</v>
      </c>
      <c r="L56" s="686">
        <f t="shared" si="6"/>
        <v>0</v>
      </c>
    </row>
    <row r="57" spans="1:12">
      <c r="A57" s="323">
        <v>44075</v>
      </c>
      <c r="B57" s="420">
        <f t="shared" si="3"/>
        <v>0</v>
      </c>
      <c r="C57" s="325"/>
      <c r="D57" s="527">
        <f t="shared" si="0"/>
        <v>0</v>
      </c>
      <c r="E57" s="325"/>
      <c r="F57" s="684">
        <f t="shared" si="5"/>
        <v>0</v>
      </c>
      <c r="G57" s="685">
        <f t="shared" si="4"/>
        <v>0</v>
      </c>
      <c r="H57" s="325"/>
      <c r="I57" s="358">
        <f t="shared" si="1"/>
        <v>0</v>
      </c>
      <c r="J57" s="325"/>
      <c r="K57" s="365">
        <f t="shared" si="2"/>
        <v>0</v>
      </c>
      <c r="L57" s="686">
        <f t="shared" si="6"/>
        <v>0</v>
      </c>
    </row>
    <row r="58" spans="1:12">
      <c r="A58" s="323">
        <v>44105</v>
      </c>
      <c r="B58" s="420">
        <f t="shared" si="3"/>
        <v>0</v>
      </c>
      <c r="C58" s="325"/>
      <c r="D58" s="527">
        <f t="shared" si="0"/>
        <v>0</v>
      </c>
      <c r="E58" s="325"/>
      <c r="F58" s="684">
        <f t="shared" si="5"/>
        <v>0</v>
      </c>
      <c r="G58" s="685">
        <f t="shared" si="4"/>
        <v>0</v>
      </c>
      <c r="H58" s="325"/>
      <c r="I58" s="358">
        <f t="shared" si="1"/>
        <v>0</v>
      </c>
      <c r="J58" s="325"/>
      <c r="K58" s="365">
        <f t="shared" si="2"/>
        <v>0</v>
      </c>
      <c r="L58" s="686">
        <f t="shared" si="6"/>
        <v>0</v>
      </c>
    </row>
    <row r="59" spans="1:12">
      <c r="A59" s="323">
        <v>44136</v>
      </c>
      <c r="B59" s="420">
        <f t="shared" si="3"/>
        <v>0</v>
      </c>
      <c r="C59" s="325"/>
      <c r="D59" s="527">
        <f t="shared" si="0"/>
        <v>0</v>
      </c>
      <c r="E59" s="325"/>
      <c r="F59" s="684">
        <f t="shared" si="5"/>
        <v>0</v>
      </c>
      <c r="G59" s="685">
        <f t="shared" si="4"/>
        <v>0</v>
      </c>
      <c r="H59" s="325"/>
      <c r="I59" s="358">
        <f t="shared" si="1"/>
        <v>0</v>
      </c>
      <c r="J59" s="325"/>
      <c r="K59" s="365">
        <f t="shared" si="2"/>
        <v>0</v>
      </c>
      <c r="L59" s="686">
        <f t="shared" si="6"/>
        <v>0</v>
      </c>
    </row>
    <row r="60" spans="1:12">
      <c r="A60" s="323">
        <v>44166</v>
      </c>
      <c r="B60" s="420">
        <f t="shared" si="3"/>
        <v>0</v>
      </c>
      <c r="C60" s="325"/>
      <c r="D60" s="527">
        <f t="shared" si="0"/>
        <v>0</v>
      </c>
      <c r="E60" s="325"/>
      <c r="F60" s="684">
        <f t="shared" si="5"/>
        <v>0</v>
      </c>
      <c r="G60" s="685">
        <f t="shared" si="4"/>
        <v>0</v>
      </c>
      <c r="H60" s="325"/>
      <c r="I60" s="358">
        <f t="shared" si="1"/>
        <v>0</v>
      </c>
      <c r="J60" s="325"/>
      <c r="K60" s="365">
        <f t="shared" si="2"/>
        <v>0</v>
      </c>
      <c r="L60" s="686">
        <f t="shared" si="6"/>
        <v>0</v>
      </c>
    </row>
    <row r="61" spans="1:12">
      <c r="A61" s="323">
        <v>44197</v>
      </c>
      <c r="B61" s="420">
        <f t="shared" si="3"/>
        <v>0</v>
      </c>
      <c r="C61" s="325"/>
      <c r="D61" s="527">
        <f t="shared" si="0"/>
        <v>0</v>
      </c>
      <c r="E61" s="325"/>
      <c r="F61" s="684">
        <f t="shared" si="5"/>
        <v>0</v>
      </c>
      <c r="G61" s="685">
        <f t="shared" si="4"/>
        <v>0</v>
      </c>
      <c r="H61" s="325"/>
      <c r="I61" s="358">
        <f t="shared" si="1"/>
        <v>0</v>
      </c>
      <c r="J61" s="325"/>
      <c r="K61" s="365">
        <f t="shared" si="2"/>
        <v>0</v>
      </c>
      <c r="L61" s="686">
        <f t="shared" si="6"/>
        <v>0</v>
      </c>
    </row>
    <row r="62" spans="1:12">
      <c r="A62" s="323">
        <v>44228</v>
      </c>
      <c r="B62" s="420">
        <f t="shared" si="3"/>
        <v>0</v>
      </c>
      <c r="C62" s="325"/>
      <c r="D62" s="527">
        <f t="shared" si="0"/>
        <v>0</v>
      </c>
      <c r="E62" s="325"/>
      <c r="F62" s="684">
        <f t="shared" si="5"/>
        <v>0</v>
      </c>
      <c r="G62" s="685">
        <f t="shared" si="4"/>
        <v>0</v>
      </c>
      <c r="H62" s="325"/>
      <c r="I62" s="358">
        <f t="shared" si="1"/>
        <v>0</v>
      </c>
      <c r="J62" s="325"/>
      <c r="K62" s="365">
        <f t="shared" si="2"/>
        <v>0</v>
      </c>
      <c r="L62" s="686">
        <f t="shared" si="6"/>
        <v>0</v>
      </c>
    </row>
    <row r="63" spans="1:12">
      <c r="A63" s="323">
        <v>44256</v>
      </c>
      <c r="B63" s="420">
        <f t="shared" si="3"/>
        <v>0</v>
      </c>
      <c r="C63" s="325"/>
      <c r="D63" s="527">
        <f t="shared" si="0"/>
        <v>0</v>
      </c>
      <c r="E63" s="325"/>
      <c r="F63" s="684">
        <f t="shared" si="5"/>
        <v>0</v>
      </c>
      <c r="G63" s="685">
        <f t="shared" si="4"/>
        <v>0</v>
      </c>
      <c r="H63" s="325"/>
      <c r="I63" s="358">
        <f t="shared" si="1"/>
        <v>0</v>
      </c>
      <c r="J63" s="325"/>
      <c r="K63" s="365">
        <f t="shared" si="2"/>
        <v>0</v>
      </c>
      <c r="L63" s="686">
        <f t="shared" si="6"/>
        <v>0</v>
      </c>
    </row>
    <row r="64" spans="1:12">
      <c r="A64" s="323">
        <v>44287</v>
      </c>
      <c r="B64" s="420">
        <f t="shared" si="3"/>
        <v>0</v>
      </c>
      <c r="C64" s="325"/>
      <c r="D64" s="527">
        <f t="shared" si="0"/>
        <v>0</v>
      </c>
      <c r="E64" s="325"/>
      <c r="F64" s="684">
        <f t="shared" si="5"/>
        <v>0</v>
      </c>
      <c r="G64" s="685">
        <f t="shared" si="4"/>
        <v>0</v>
      </c>
      <c r="H64" s="325"/>
      <c r="I64" s="358">
        <f t="shared" si="1"/>
        <v>0</v>
      </c>
      <c r="J64" s="325"/>
      <c r="K64" s="365">
        <f t="shared" si="2"/>
        <v>0</v>
      </c>
      <c r="L64" s="686">
        <f t="shared" si="6"/>
        <v>0</v>
      </c>
    </row>
    <row r="65" spans="1:12">
      <c r="A65" s="323">
        <v>44317</v>
      </c>
      <c r="B65" s="420">
        <f t="shared" si="3"/>
        <v>0</v>
      </c>
      <c r="C65" s="325"/>
      <c r="D65" s="527">
        <f t="shared" si="0"/>
        <v>0</v>
      </c>
      <c r="E65" s="325"/>
      <c r="F65" s="684">
        <f t="shared" si="5"/>
        <v>0</v>
      </c>
      <c r="G65" s="685">
        <f t="shared" si="4"/>
        <v>0</v>
      </c>
      <c r="H65" s="325"/>
      <c r="I65" s="358">
        <f t="shared" si="1"/>
        <v>0</v>
      </c>
      <c r="J65" s="325"/>
      <c r="K65" s="365">
        <f t="shared" si="2"/>
        <v>0</v>
      </c>
      <c r="L65" s="686">
        <f t="shared" si="6"/>
        <v>0</v>
      </c>
    </row>
    <row r="66" spans="1:12" ht="12.75" customHeight="1">
      <c r="A66" s="323">
        <v>44348</v>
      </c>
      <c r="B66" s="420">
        <f t="shared" si="3"/>
        <v>0</v>
      </c>
      <c r="C66" s="325"/>
      <c r="D66" s="527">
        <f t="shared" si="0"/>
        <v>0</v>
      </c>
      <c r="E66" s="325"/>
      <c r="F66" s="684">
        <f t="shared" si="5"/>
        <v>0</v>
      </c>
      <c r="G66" s="685">
        <f t="shared" si="4"/>
        <v>0</v>
      </c>
      <c r="H66" s="325"/>
      <c r="I66" s="358">
        <f t="shared" si="1"/>
        <v>0</v>
      </c>
      <c r="J66" s="325"/>
      <c r="K66" s="365">
        <f t="shared" si="2"/>
        <v>0</v>
      </c>
      <c r="L66" s="686">
        <f t="shared" si="6"/>
        <v>0</v>
      </c>
    </row>
    <row r="67" spans="1:12" ht="13.5" customHeight="1">
      <c r="A67" s="323">
        <v>44378</v>
      </c>
      <c r="B67" s="420">
        <f t="shared" si="3"/>
        <v>0</v>
      </c>
      <c r="C67" s="325"/>
      <c r="D67" s="527">
        <f t="shared" si="0"/>
        <v>0</v>
      </c>
      <c r="E67" s="325"/>
      <c r="F67" s="684">
        <f t="shared" si="5"/>
        <v>0</v>
      </c>
      <c r="G67" s="685">
        <f t="shared" si="4"/>
        <v>0</v>
      </c>
      <c r="H67" s="325"/>
      <c r="I67" s="358">
        <f t="shared" si="1"/>
        <v>0</v>
      </c>
      <c r="J67" s="325"/>
      <c r="K67" s="365">
        <f t="shared" si="2"/>
        <v>0</v>
      </c>
      <c r="L67" s="686">
        <f t="shared" si="6"/>
        <v>0</v>
      </c>
    </row>
    <row r="68" spans="1:12">
      <c r="A68" s="323">
        <v>44409</v>
      </c>
      <c r="B68" s="420">
        <f t="shared" si="3"/>
        <v>0</v>
      </c>
      <c r="C68" s="325"/>
      <c r="D68" s="527">
        <f t="shared" ref="D68:D86" si="7">C68-B68</f>
        <v>0</v>
      </c>
      <c r="E68" s="325"/>
      <c r="F68" s="684">
        <f t="shared" si="5"/>
        <v>0</v>
      </c>
      <c r="G68" s="685">
        <f t="shared" si="4"/>
        <v>0</v>
      </c>
      <c r="H68" s="325"/>
      <c r="I68" s="358">
        <f t="shared" ref="I68:I86" si="8">H68-G68</f>
        <v>0</v>
      </c>
      <c r="J68" s="325"/>
      <c r="K68" s="365">
        <f t="shared" ref="K68:K86" si="9">I68-J68</f>
        <v>0</v>
      </c>
      <c r="L68" s="686">
        <f t="shared" si="6"/>
        <v>0</v>
      </c>
    </row>
    <row r="69" spans="1:12">
      <c r="A69" s="323">
        <v>44440</v>
      </c>
      <c r="B69" s="420">
        <f t="shared" ref="B69:B86" si="10">C68</f>
        <v>0</v>
      </c>
      <c r="C69" s="325"/>
      <c r="D69" s="527">
        <f t="shared" si="7"/>
        <v>0</v>
      </c>
      <c r="E69" s="325"/>
      <c r="F69" s="684">
        <f t="shared" si="5"/>
        <v>0</v>
      </c>
      <c r="G69" s="685">
        <f t="shared" ref="G69:G86" si="11">H68</f>
        <v>0</v>
      </c>
      <c r="H69" s="325"/>
      <c r="I69" s="358">
        <f t="shared" si="8"/>
        <v>0</v>
      </c>
      <c r="J69" s="325"/>
      <c r="K69" s="365">
        <f t="shared" si="9"/>
        <v>0</v>
      </c>
      <c r="L69" s="686">
        <f t="shared" si="6"/>
        <v>0</v>
      </c>
    </row>
    <row r="70" spans="1:12">
      <c r="A70" s="323">
        <v>44470</v>
      </c>
      <c r="B70" s="420">
        <f t="shared" si="10"/>
        <v>0</v>
      </c>
      <c r="C70" s="325"/>
      <c r="D70" s="527">
        <f t="shared" si="7"/>
        <v>0</v>
      </c>
      <c r="E70" s="325"/>
      <c r="F70" s="684">
        <f t="shared" si="5"/>
        <v>0</v>
      </c>
      <c r="G70" s="685">
        <f t="shared" si="11"/>
        <v>0</v>
      </c>
      <c r="H70" s="325"/>
      <c r="I70" s="358">
        <f t="shared" si="8"/>
        <v>0</v>
      </c>
      <c r="J70" s="325"/>
      <c r="K70" s="365">
        <f t="shared" si="9"/>
        <v>0</v>
      </c>
      <c r="L70" s="686">
        <f t="shared" si="6"/>
        <v>0</v>
      </c>
    </row>
    <row r="71" spans="1:12">
      <c r="A71" s="323">
        <v>44501</v>
      </c>
      <c r="B71" s="420">
        <f t="shared" si="10"/>
        <v>0</v>
      </c>
      <c r="C71" s="325"/>
      <c r="D71" s="527">
        <f t="shared" si="7"/>
        <v>0</v>
      </c>
      <c r="E71" s="325"/>
      <c r="F71" s="684">
        <f t="shared" si="5"/>
        <v>0</v>
      </c>
      <c r="G71" s="685">
        <f t="shared" si="11"/>
        <v>0</v>
      </c>
      <c r="H71" s="325"/>
      <c r="I71" s="358">
        <f t="shared" si="8"/>
        <v>0</v>
      </c>
      <c r="J71" s="325"/>
      <c r="K71" s="365">
        <f t="shared" si="9"/>
        <v>0</v>
      </c>
      <c r="L71" s="686">
        <f t="shared" si="6"/>
        <v>0</v>
      </c>
    </row>
    <row r="72" spans="1:12">
      <c r="A72" s="323">
        <v>44531</v>
      </c>
      <c r="B72" s="420">
        <f t="shared" si="10"/>
        <v>0</v>
      </c>
      <c r="C72" s="325"/>
      <c r="D72" s="527">
        <f t="shared" si="7"/>
        <v>0</v>
      </c>
      <c r="E72" s="325"/>
      <c r="F72" s="684">
        <f t="shared" ref="F72:F86" si="12">D72-E72</f>
        <v>0</v>
      </c>
      <c r="G72" s="685">
        <f t="shared" si="11"/>
        <v>0</v>
      </c>
      <c r="H72" s="325"/>
      <c r="I72" s="358">
        <f t="shared" si="8"/>
        <v>0</v>
      </c>
      <c r="J72" s="325"/>
      <c r="K72" s="365">
        <f t="shared" si="9"/>
        <v>0</v>
      </c>
      <c r="L72" s="686">
        <f t="shared" si="6"/>
        <v>0</v>
      </c>
    </row>
    <row r="73" spans="1:12">
      <c r="A73" s="323">
        <v>44562</v>
      </c>
      <c r="B73" s="420">
        <f t="shared" si="10"/>
        <v>0</v>
      </c>
      <c r="C73" s="325"/>
      <c r="D73" s="527">
        <f t="shared" si="7"/>
        <v>0</v>
      </c>
      <c r="E73" s="325"/>
      <c r="F73" s="684">
        <f t="shared" si="12"/>
        <v>0</v>
      </c>
      <c r="G73" s="685">
        <f t="shared" si="11"/>
        <v>0</v>
      </c>
      <c r="H73" s="325"/>
      <c r="I73" s="358">
        <f t="shared" si="8"/>
        <v>0</v>
      </c>
      <c r="J73" s="325"/>
      <c r="K73" s="365">
        <f t="shared" si="9"/>
        <v>0</v>
      </c>
      <c r="L73" s="686">
        <f t="shared" si="6"/>
        <v>0</v>
      </c>
    </row>
    <row r="74" spans="1:12">
      <c r="A74" s="323">
        <v>44593</v>
      </c>
      <c r="B74" s="420">
        <f t="shared" si="10"/>
        <v>0</v>
      </c>
      <c r="C74" s="325"/>
      <c r="D74" s="527">
        <f t="shared" si="7"/>
        <v>0</v>
      </c>
      <c r="E74" s="325"/>
      <c r="F74" s="684">
        <f t="shared" si="12"/>
        <v>0</v>
      </c>
      <c r="G74" s="685">
        <f t="shared" si="11"/>
        <v>0</v>
      </c>
      <c r="H74" s="325"/>
      <c r="I74" s="358">
        <f t="shared" si="8"/>
        <v>0</v>
      </c>
      <c r="J74" s="325"/>
      <c r="K74" s="365">
        <f t="shared" si="9"/>
        <v>0</v>
      </c>
      <c r="L74" s="686">
        <f t="shared" si="6"/>
        <v>0</v>
      </c>
    </row>
    <row r="75" spans="1:12">
      <c r="A75" s="323">
        <v>44621</v>
      </c>
      <c r="B75" s="420">
        <f t="shared" si="10"/>
        <v>0</v>
      </c>
      <c r="C75" s="325"/>
      <c r="D75" s="527">
        <f t="shared" si="7"/>
        <v>0</v>
      </c>
      <c r="E75" s="325"/>
      <c r="F75" s="684">
        <f t="shared" si="12"/>
        <v>0</v>
      </c>
      <c r="G75" s="685">
        <f t="shared" si="11"/>
        <v>0</v>
      </c>
      <c r="H75" s="325"/>
      <c r="I75" s="358">
        <f t="shared" si="8"/>
        <v>0</v>
      </c>
      <c r="J75" s="325"/>
      <c r="K75" s="365">
        <f t="shared" si="9"/>
        <v>0</v>
      </c>
      <c r="L75" s="686">
        <f t="shared" si="6"/>
        <v>0</v>
      </c>
    </row>
    <row r="76" spans="1:12">
      <c r="A76" s="323">
        <v>44652</v>
      </c>
      <c r="B76" s="420">
        <f t="shared" si="10"/>
        <v>0</v>
      </c>
      <c r="C76" s="325"/>
      <c r="D76" s="527">
        <f t="shared" si="7"/>
        <v>0</v>
      </c>
      <c r="E76" s="325"/>
      <c r="F76" s="684">
        <f t="shared" si="12"/>
        <v>0</v>
      </c>
      <c r="G76" s="685">
        <f t="shared" si="11"/>
        <v>0</v>
      </c>
      <c r="H76" s="325"/>
      <c r="I76" s="358">
        <f t="shared" si="8"/>
        <v>0</v>
      </c>
      <c r="J76" s="325"/>
      <c r="K76" s="365">
        <f t="shared" si="9"/>
        <v>0</v>
      </c>
      <c r="L76" s="686">
        <f t="shared" si="6"/>
        <v>0</v>
      </c>
    </row>
    <row r="77" spans="1:12">
      <c r="A77" s="323">
        <v>44682</v>
      </c>
      <c r="B77" s="420">
        <f t="shared" si="10"/>
        <v>0</v>
      </c>
      <c r="C77" s="325"/>
      <c r="D77" s="527">
        <f t="shared" si="7"/>
        <v>0</v>
      </c>
      <c r="E77" s="325"/>
      <c r="F77" s="684">
        <f t="shared" si="12"/>
        <v>0</v>
      </c>
      <c r="G77" s="685">
        <f t="shared" si="11"/>
        <v>0</v>
      </c>
      <c r="H77" s="325"/>
      <c r="I77" s="358">
        <f t="shared" si="8"/>
        <v>0</v>
      </c>
      <c r="J77" s="325"/>
      <c r="K77" s="365">
        <f t="shared" si="9"/>
        <v>0</v>
      </c>
      <c r="L77" s="686">
        <f t="shared" si="6"/>
        <v>0</v>
      </c>
    </row>
    <row r="78" spans="1:12">
      <c r="A78" s="323">
        <v>44713</v>
      </c>
      <c r="B78" s="420">
        <f t="shared" si="10"/>
        <v>0</v>
      </c>
      <c r="C78" s="325"/>
      <c r="D78" s="527">
        <f t="shared" si="7"/>
        <v>0</v>
      </c>
      <c r="E78" s="325"/>
      <c r="F78" s="684">
        <f t="shared" si="12"/>
        <v>0</v>
      </c>
      <c r="G78" s="685">
        <f t="shared" si="11"/>
        <v>0</v>
      </c>
      <c r="H78" s="325"/>
      <c r="I78" s="358">
        <f t="shared" si="8"/>
        <v>0</v>
      </c>
      <c r="J78" s="325"/>
      <c r="K78" s="365">
        <f t="shared" si="9"/>
        <v>0</v>
      </c>
      <c r="L78" s="686">
        <f t="shared" si="6"/>
        <v>0</v>
      </c>
    </row>
    <row r="79" spans="1:12">
      <c r="A79" s="323">
        <v>44743</v>
      </c>
      <c r="B79" s="420">
        <f t="shared" si="10"/>
        <v>0</v>
      </c>
      <c r="C79" s="325"/>
      <c r="D79" s="527">
        <f t="shared" si="7"/>
        <v>0</v>
      </c>
      <c r="E79" s="325"/>
      <c r="F79" s="684">
        <f t="shared" si="12"/>
        <v>0</v>
      </c>
      <c r="G79" s="685">
        <f t="shared" si="11"/>
        <v>0</v>
      </c>
      <c r="H79" s="325"/>
      <c r="I79" s="358">
        <f t="shared" si="8"/>
        <v>0</v>
      </c>
      <c r="J79" s="325"/>
      <c r="K79" s="365">
        <f t="shared" si="9"/>
        <v>0</v>
      </c>
      <c r="L79" s="686">
        <f t="shared" si="6"/>
        <v>0</v>
      </c>
    </row>
    <row r="80" spans="1:12">
      <c r="A80" s="323">
        <v>44774</v>
      </c>
      <c r="B80" s="420">
        <f t="shared" si="10"/>
        <v>0</v>
      </c>
      <c r="C80" s="325"/>
      <c r="D80" s="527">
        <f t="shared" si="7"/>
        <v>0</v>
      </c>
      <c r="E80" s="325"/>
      <c r="F80" s="684">
        <f t="shared" si="12"/>
        <v>0</v>
      </c>
      <c r="G80" s="685">
        <f t="shared" si="11"/>
        <v>0</v>
      </c>
      <c r="H80" s="325"/>
      <c r="I80" s="358">
        <f t="shared" si="8"/>
        <v>0</v>
      </c>
      <c r="J80" s="325"/>
      <c r="K80" s="365">
        <f t="shared" si="9"/>
        <v>0</v>
      </c>
      <c r="L80" s="686">
        <f t="shared" si="6"/>
        <v>0</v>
      </c>
    </row>
    <row r="81" spans="1:12">
      <c r="A81" s="323">
        <v>44805</v>
      </c>
      <c r="B81" s="420">
        <f t="shared" si="10"/>
        <v>0</v>
      </c>
      <c r="C81" s="325"/>
      <c r="D81" s="527">
        <f t="shared" si="7"/>
        <v>0</v>
      </c>
      <c r="E81" s="325"/>
      <c r="F81" s="684">
        <f t="shared" si="12"/>
        <v>0</v>
      </c>
      <c r="G81" s="685">
        <f t="shared" si="11"/>
        <v>0</v>
      </c>
      <c r="H81" s="325"/>
      <c r="I81" s="358">
        <f t="shared" si="8"/>
        <v>0</v>
      </c>
      <c r="J81" s="325"/>
      <c r="K81" s="365">
        <f t="shared" si="9"/>
        <v>0</v>
      </c>
      <c r="L81" s="686">
        <f t="shared" si="6"/>
        <v>0</v>
      </c>
    </row>
    <row r="82" spans="1:12">
      <c r="A82" s="323">
        <v>44835</v>
      </c>
      <c r="B82" s="420">
        <f t="shared" si="10"/>
        <v>0</v>
      </c>
      <c r="C82" s="325"/>
      <c r="D82" s="527">
        <f t="shared" si="7"/>
        <v>0</v>
      </c>
      <c r="E82" s="325"/>
      <c r="F82" s="684">
        <f t="shared" si="12"/>
        <v>0</v>
      </c>
      <c r="G82" s="685">
        <f t="shared" si="11"/>
        <v>0</v>
      </c>
      <c r="H82" s="325"/>
      <c r="I82" s="358">
        <f t="shared" si="8"/>
        <v>0</v>
      </c>
      <c r="J82" s="325"/>
      <c r="K82" s="365">
        <f t="shared" si="9"/>
        <v>0</v>
      </c>
      <c r="L82" s="686">
        <f t="shared" si="6"/>
        <v>0</v>
      </c>
    </row>
    <row r="83" spans="1:12">
      <c r="A83" s="323">
        <v>44866</v>
      </c>
      <c r="B83" s="420">
        <f t="shared" si="10"/>
        <v>0</v>
      </c>
      <c r="C83" s="325"/>
      <c r="D83" s="527">
        <f t="shared" si="7"/>
        <v>0</v>
      </c>
      <c r="E83" s="325"/>
      <c r="F83" s="684">
        <f t="shared" si="12"/>
        <v>0</v>
      </c>
      <c r="G83" s="685">
        <f t="shared" si="11"/>
        <v>0</v>
      </c>
      <c r="H83" s="325"/>
      <c r="I83" s="358">
        <f t="shared" si="8"/>
        <v>0</v>
      </c>
      <c r="J83" s="325"/>
      <c r="K83" s="365">
        <f t="shared" si="9"/>
        <v>0</v>
      </c>
      <c r="L83" s="686">
        <f t="shared" si="6"/>
        <v>0</v>
      </c>
    </row>
    <row r="84" spans="1:12">
      <c r="A84" s="323">
        <v>44896</v>
      </c>
      <c r="B84" s="420">
        <f t="shared" si="10"/>
        <v>0</v>
      </c>
      <c r="C84" s="325"/>
      <c r="D84" s="527">
        <f t="shared" si="7"/>
        <v>0</v>
      </c>
      <c r="E84" s="325"/>
      <c r="F84" s="684">
        <f t="shared" si="12"/>
        <v>0</v>
      </c>
      <c r="G84" s="685">
        <f t="shared" si="11"/>
        <v>0</v>
      </c>
      <c r="H84" s="325"/>
      <c r="I84" s="358">
        <f t="shared" si="8"/>
        <v>0</v>
      </c>
      <c r="J84" s="325"/>
      <c r="K84" s="365">
        <f t="shared" si="9"/>
        <v>0</v>
      </c>
      <c r="L84" s="686">
        <f t="shared" si="6"/>
        <v>0</v>
      </c>
    </row>
    <row r="85" spans="1:12">
      <c r="A85" s="323">
        <v>44927</v>
      </c>
      <c r="B85" s="420">
        <f t="shared" si="10"/>
        <v>0</v>
      </c>
      <c r="C85" s="325"/>
      <c r="D85" s="527">
        <f t="shared" si="7"/>
        <v>0</v>
      </c>
      <c r="E85" s="325"/>
      <c r="F85" s="684">
        <f t="shared" si="12"/>
        <v>0</v>
      </c>
      <c r="G85" s="685">
        <f t="shared" si="11"/>
        <v>0</v>
      </c>
      <c r="H85" s="325"/>
      <c r="I85" s="358">
        <f t="shared" si="8"/>
        <v>0</v>
      </c>
      <c r="J85" s="325"/>
      <c r="K85" s="365">
        <f t="shared" si="9"/>
        <v>0</v>
      </c>
      <c r="L85" s="686">
        <f t="shared" ref="L85:L86" si="13">I85+D85</f>
        <v>0</v>
      </c>
    </row>
    <row r="86" spans="1:12">
      <c r="A86" s="323">
        <v>44958</v>
      </c>
      <c r="B86" s="420">
        <f t="shared" si="10"/>
        <v>0</v>
      </c>
      <c r="C86" s="325"/>
      <c r="D86" s="527">
        <f t="shared" si="7"/>
        <v>0</v>
      </c>
      <c r="E86" s="325"/>
      <c r="F86" s="684">
        <f t="shared" si="12"/>
        <v>0</v>
      </c>
      <c r="G86" s="685">
        <f t="shared" si="11"/>
        <v>0</v>
      </c>
      <c r="H86" s="325"/>
      <c r="I86" s="358">
        <f t="shared" si="8"/>
        <v>0</v>
      </c>
      <c r="J86" s="325"/>
      <c r="K86" s="365">
        <f t="shared" si="9"/>
        <v>0</v>
      </c>
      <c r="L86" s="686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C8" sqref="C8:J9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68" t="s">
        <v>257</v>
      </c>
      <c r="B1" s="868"/>
      <c r="C1" s="868"/>
      <c r="D1" s="868"/>
      <c r="E1" s="868"/>
      <c r="F1" s="868"/>
      <c r="G1" s="868"/>
      <c r="H1" s="868"/>
      <c r="I1" s="868"/>
      <c r="J1" s="868"/>
    </row>
    <row r="2" spans="1:10" ht="19.5" thickBot="1">
      <c r="A2" s="877">
        <v>43831</v>
      </c>
      <c r="B2" s="878"/>
      <c r="C2" s="878"/>
      <c r="D2" s="878"/>
      <c r="E2" s="878"/>
      <c r="F2" s="878"/>
      <c r="G2" s="878"/>
      <c r="H2" s="878"/>
      <c r="I2" s="878"/>
      <c r="J2" s="878"/>
    </row>
    <row r="3" spans="1:10" ht="15.75" thickBot="1">
      <c r="A3" s="869" t="s">
        <v>7</v>
      </c>
      <c r="B3" s="871" t="s">
        <v>258</v>
      </c>
      <c r="C3" s="595"/>
      <c r="D3" s="873" t="s">
        <v>259</v>
      </c>
      <c r="E3" s="874"/>
      <c r="F3" s="875" t="s">
        <v>260</v>
      </c>
      <c r="G3" s="876"/>
      <c r="H3" s="874"/>
      <c r="I3" s="875" t="s">
        <v>261</v>
      </c>
      <c r="J3" s="874"/>
    </row>
    <row r="4" spans="1:10" ht="30.75" thickBot="1">
      <c r="A4" s="870"/>
      <c r="B4" s="872"/>
      <c r="C4" s="602" t="s">
        <v>306</v>
      </c>
      <c r="D4" s="528" t="s">
        <v>262</v>
      </c>
      <c r="E4" s="533" t="s">
        <v>3</v>
      </c>
      <c r="F4" s="528" t="s">
        <v>262</v>
      </c>
      <c r="G4" s="528" t="s">
        <v>263</v>
      </c>
      <c r="H4" s="528" t="s">
        <v>264</v>
      </c>
      <c r="I4" s="528" t="s">
        <v>17</v>
      </c>
      <c r="J4" s="528" t="s">
        <v>265</v>
      </c>
    </row>
    <row r="5" spans="1:10" ht="17.100000000000001" customHeight="1">
      <c r="A5" s="291">
        <v>43862</v>
      </c>
      <c r="B5" s="535">
        <f>Gen!B11</f>
        <v>0.23380000000000001</v>
      </c>
      <c r="C5" s="600">
        <f>Gen!AJ11</f>
        <v>83.21</v>
      </c>
      <c r="D5" s="601">
        <f>Gen!S11</f>
        <v>1824.75</v>
      </c>
      <c r="E5" s="530">
        <f>Gen!C11</f>
        <v>30982.31</v>
      </c>
      <c r="F5" s="531">
        <f>'Water-Meter'!E6</f>
        <v>113</v>
      </c>
      <c r="G5" s="532">
        <f>'Water-Meter'!AN6</f>
        <v>200</v>
      </c>
      <c r="H5" s="530">
        <f>'Utility report '!AC6</f>
        <v>115</v>
      </c>
      <c r="I5" s="529">
        <f>'Kit report'!F4</f>
        <v>444.00000000008731</v>
      </c>
      <c r="J5" s="530">
        <f>'Kit report'!X4</f>
        <v>700</v>
      </c>
    </row>
    <row r="6" spans="1:10" ht="17.100000000000001" customHeight="1">
      <c r="A6" s="291">
        <v>43863</v>
      </c>
      <c r="B6" s="534">
        <f>Gen!B12</f>
        <v>0.23400000000000001</v>
      </c>
      <c r="C6" s="600">
        <f>Gen!AJ12</f>
        <v>130.38999999999999</v>
      </c>
      <c r="D6" s="601">
        <f>Gen!S12</f>
        <v>1802.8500000000001</v>
      </c>
      <c r="E6" s="530">
        <f>Gen!C12</f>
        <v>29074.350000000002</v>
      </c>
      <c r="F6" s="531">
        <f>'Water-Meter'!E7</f>
        <v>97</v>
      </c>
      <c r="G6" s="532">
        <f>'Water-Meter'!AN7</f>
        <v>140</v>
      </c>
      <c r="H6" s="530">
        <f>'Utility report '!AC7</f>
        <v>101</v>
      </c>
      <c r="I6" s="529">
        <f>'Kit report'!F5</f>
        <v>467.99999999995634</v>
      </c>
      <c r="J6" s="530">
        <f>'Kit report'!X5</f>
        <v>700</v>
      </c>
    </row>
    <row r="7" spans="1:10" ht="17.100000000000001" customHeight="1">
      <c r="A7" s="291">
        <v>43864</v>
      </c>
      <c r="B7" s="534">
        <f>Gen!B13</f>
        <v>0.104</v>
      </c>
      <c r="C7" s="600">
        <f>Gen!AJ13</f>
        <v>178.75</v>
      </c>
      <c r="D7" s="601">
        <f>Gen!S13</f>
        <v>1920.92</v>
      </c>
      <c r="E7" s="530">
        <f>Gen!C13</f>
        <v>27141.11</v>
      </c>
      <c r="F7" s="531">
        <f>'Water-Meter'!E8</f>
        <v>107</v>
      </c>
      <c r="G7" s="532">
        <f>'Water-Meter'!AN8</f>
        <v>93</v>
      </c>
      <c r="H7" s="530">
        <f>'Utility report '!AC8</f>
        <v>81</v>
      </c>
      <c r="I7" s="529">
        <f>'Kit report'!F6</f>
        <v>516.00000000013097</v>
      </c>
      <c r="J7" s="530">
        <f>'Kit report'!X6</f>
        <v>960.00000000003638</v>
      </c>
    </row>
    <row r="8" spans="1:10" ht="17.100000000000001" customHeight="1">
      <c r="A8" s="291">
        <v>43865</v>
      </c>
      <c r="B8" s="534">
        <f>Gen!B14</f>
        <v>1</v>
      </c>
      <c r="C8" s="600">
        <f>Gen!AJ14</f>
        <v>89.65</v>
      </c>
      <c r="D8" s="601">
        <f>Gen!S14</f>
        <v>2359.12</v>
      </c>
      <c r="E8" s="530">
        <f>Gen!C14</f>
        <v>43041.440000000002</v>
      </c>
      <c r="F8" s="531">
        <f>'Water-Meter'!E9</f>
        <v>139</v>
      </c>
      <c r="G8" s="532">
        <f>'Water-Meter'!AN9</f>
        <v>94</v>
      </c>
      <c r="H8" s="530">
        <f>'Utility report '!AC9</f>
        <v>100</v>
      </c>
      <c r="I8" s="529">
        <f>'Kit report'!F7</f>
        <v>491.99999999982538</v>
      </c>
      <c r="J8" s="530">
        <f>'Kit report'!X7</f>
        <v>1060.0000000000364</v>
      </c>
    </row>
    <row r="9" spans="1:10" ht="17.100000000000001" customHeight="1">
      <c r="A9" s="291">
        <v>43866</v>
      </c>
      <c r="B9" s="534">
        <f>Gen!B15</f>
        <v>1</v>
      </c>
      <c r="C9" s="600">
        <f>Gen!AJ15</f>
        <v>129.26999999999998</v>
      </c>
      <c r="D9" s="601">
        <f>Gen!S15</f>
        <v>2256.73</v>
      </c>
      <c r="E9" s="530">
        <f>Gen!C15</f>
        <v>40592.670000000006</v>
      </c>
      <c r="F9" s="531">
        <f>'Water-Meter'!E10</f>
        <v>141</v>
      </c>
      <c r="G9" s="532">
        <f>'Water-Meter'!AN10</f>
        <v>178</v>
      </c>
      <c r="H9" s="530">
        <f>'Utility report '!AC10</f>
        <v>98</v>
      </c>
      <c r="I9" s="529">
        <f>'Kit report'!F8</f>
        <v>552.00000000004366</v>
      </c>
      <c r="J9" s="530">
        <f>'Kit report'!X8</f>
        <v>839.99999999996362</v>
      </c>
    </row>
    <row r="10" spans="1:10" ht="17.100000000000001" customHeight="1">
      <c r="A10" s="291">
        <v>43867</v>
      </c>
      <c r="B10" s="534">
        <f>Gen!B16</f>
        <v>1</v>
      </c>
      <c r="C10" s="600">
        <f>Gen!AJ16</f>
        <v>187.64</v>
      </c>
      <c r="D10" s="601">
        <f>Gen!S16</f>
        <v>2491.5099999999998</v>
      </c>
      <c r="E10" s="530">
        <f>Gen!C16</f>
        <v>38206.670000000006</v>
      </c>
      <c r="F10" s="531">
        <f>'Water-Meter'!E11</f>
        <v>129</v>
      </c>
      <c r="G10" s="532">
        <f>'Water-Meter'!AN11</f>
        <v>188</v>
      </c>
      <c r="H10" s="530">
        <f>'Utility report '!AC11</f>
        <v>83</v>
      </c>
      <c r="I10" s="529">
        <f>'Kit report'!F9</f>
        <v>540</v>
      </c>
      <c r="J10" s="530">
        <f>'Kit report'!X9</f>
        <v>1060.0000000000364</v>
      </c>
    </row>
    <row r="11" spans="1:10" ht="17.100000000000001" customHeight="1">
      <c r="A11" s="291">
        <v>43868</v>
      </c>
      <c r="B11" s="534">
        <f>Gen!B17</f>
        <v>1</v>
      </c>
      <c r="C11" s="600">
        <f>Gen!AJ17</f>
        <v>203.15</v>
      </c>
      <c r="D11" s="601">
        <f>Gen!S17</f>
        <v>2244.7399999999998</v>
      </c>
      <c r="E11" s="530">
        <f>Gen!C17</f>
        <v>35527.520000000004</v>
      </c>
      <c r="F11" s="531">
        <f>'Water-Meter'!E12</f>
        <v>129</v>
      </c>
      <c r="G11" s="532">
        <f>'Water-Meter'!AN12</f>
        <v>178</v>
      </c>
      <c r="H11" s="530">
        <f>'Utility report '!AC12</f>
        <v>103</v>
      </c>
      <c r="I11" s="529">
        <f>'Kit report'!F10</f>
        <v>564.00000000008731</v>
      </c>
      <c r="J11" s="530">
        <f>'Kit report'!X10</f>
        <v>1200</v>
      </c>
    </row>
    <row r="12" spans="1:10" ht="17.100000000000001" customHeight="1">
      <c r="A12" s="291">
        <v>43869</v>
      </c>
      <c r="B12" s="534">
        <f>Gen!B18</f>
        <v>0.1429</v>
      </c>
      <c r="C12" s="600">
        <f>Gen!AJ18</f>
        <v>56.74</v>
      </c>
      <c r="D12" s="601">
        <f>Gen!S18</f>
        <v>2569.4499999999998</v>
      </c>
      <c r="E12" s="530">
        <f>Gen!C18</f>
        <v>33079.630000000005</v>
      </c>
      <c r="F12" s="531">
        <f>'Water-Meter'!E13</f>
        <v>128</v>
      </c>
      <c r="G12" s="532">
        <f>'Water-Meter'!AN13</f>
        <v>184</v>
      </c>
      <c r="H12" s="530">
        <f>'Utility report '!AC13</f>
        <v>105</v>
      </c>
      <c r="I12" s="529">
        <f>'Kit report'!F11</f>
        <v>563.99999999986903</v>
      </c>
      <c r="J12" s="530">
        <f>'Kit report'!X11</f>
        <v>1219.9999999998909</v>
      </c>
    </row>
    <row r="13" spans="1:10" ht="17.100000000000001" customHeight="1">
      <c r="A13" s="291">
        <v>43870</v>
      </c>
      <c r="B13" s="534">
        <f>Gen!B19</f>
        <v>0.19500000000000001</v>
      </c>
      <c r="C13" s="600">
        <f>Gen!AJ19</f>
        <v>162.68</v>
      </c>
      <c r="D13" s="601">
        <f>Gen!S19</f>
        <v>2039.82</v>
      </c>
      <c r="E13" s="530">
        <f>Gen!C19</f>
        <v>45453.440000000002</v>
      </c>
      <c r="F13" s="531">
        <f>'Water-Meter'!E14</f>
        <v>96</v>
      </c>
      <c r="G13" s="532">
        <f>'Water-Meter'!AN14</f>
        <v>239</v>
      </c>
      <c r="H13" s="530">
        <f>'Utility report '!AC14</f>
        <v>136</v>
      </c>
      <c r="I13" s="529">
        <f>'Kit report'!F12</f>
        <v>552.00000000004366</v>
      </c>
      <c r="J13" s="530">
        <f>'Kit report'!X12</f>
        <v>1060.0000000000364</v>
      </c>
    </row>
    <row r="14" spans="1:10" ht="17.100000000000001" customHeight="1">
      <c r="A14" s="291">
        <v>43871</v>
      </c>
      <c r="B14" s="534">
        <f>Gen!B20</f>
        <v>0.18179999999999999</v>
      </c>
      <c r="C14" s="600">
        <f>Gen!AJ20</f>
        <v>0</v>
      </c>
      <c r="D14" s="601">
        <f>Gen!S20</f>
        <v>0</v>
      </c>
      <c r="E14" s="530">
        <f>Gen!C20</f>
        <v>43250.94</v>
      </c>
      <c r="F14" s="531" t="str">
        <f>'Water-Meter'!E15</f>
        <v>0</v>
      </c>
      <c r="G14" s="532">
        <f>'Water-Meter'!AN15</f>
        <v>0</v>
      </c>
      <c r="H14" s="530">
        <f>'Utility report '!AC15</f>
        <v>121</v>
      </c>
      <c r="I14" s="529">
        <f>'Kit report'!F13</f>
        <v>-1015188</v>
      </c>
      <c r="J14" s="530">
        <f>'Kit report'!X13</f>
        <v>-1528340</v>
      </c>
    </row>
    <row r="15" spans="1:10" ht="17.100000000000001" customHeight="1">
      <c r="A15" s="291">
        <v>43872</v>
      </c>
      <c r="B15" s="534">
        <f>Gen!B21</f>
        <v>0</v>
      </c>
      <c r="C15" s="600">
        <f>Gen!AJ21</f>
        <v>0</v>
      </c>
      <c r="D15" s="601">
        <f>Gen!S21</f>
        <v>0</v>
      </c>
      <c r="E15" s="530">
        <f>Gen!C21</f>
        <v>43250.94</v>
      </c>
      <c r="F15" s="531">
        <f>'Water-Meter'!E16</f>
        <v>0</v>
      </c>
      <c r="G15" s="532">
        <f>'Water-Meter'!AN16</f>
        <v>0</v>
      </c>
      <c r="H15" s="530">
        <f>'Utility report '!AC16</f>
        <v>-24878</v>
      </c>
      <c r="I15" s="529">
        <f>'Kit report'!F14</f>
        <v>0</v>
      </c>
      <c r="J15" s="530">
        <f>'Kit report'!X14</f>
        <v>0</v>
      </c>
    </row>
    <row r="16" spans="1:10" ht="17.100000000000001" customHeight="1">
      <c r="A16" s="291">
        <v>43873</v>
      </c>
      <c r="B16" s="534">
        <f>Gen!B22</f>
        <v>0</v>
      </c>
      <c r="C16" s="600">
        <f>Gen!AJ22</f>
        <v>0</v>
      </c>
      <c r="D16" s="601">
        <f>Gen!S22</f>
        <v>0</v>
      </c>
      <c r="E16" s="530">
        <f>Gen!C22</f>
        <v>43250.94</v>
      </c>
      <c r="F16" s="531">
        <f>'Water-Meter'!E17</f>
        <v>0</v>
      </c>
      <c r="G16" s="532">
        <f>'Water-Meter'!AN17</f>
        <v>0</v>
      </c>
      <c r="H16" s="530">
        <f>'Utility report '!AC17</f>
        <v>0</v>
      </c>
      <c r="I16" s="529">
        <f>'Kit report'!F15</f>
        <v>0</v>
      </c>
      <c r="J16" s="530">
        <f>'Kit report'!X15</f>
        <v>0</v>
      </c>
    </row>
    <row r="17" spans="1:10" ht="17.100000000000001" customHeight="1">
      <c r="A17" s="291">
        <v>43874</v>
      </c>
      <c r="B17" s="534">
        <f>Gen!B23</f>
        <v>0</v>
      </c>
      <c r="C17" s="600">
        <f>Gen!AJ23</f>
        <v>0</v>
      </c>
      <c r="D17" s="601">
        <f>Gen!S23</f>
        <v>0</v>
      </c>
      <c r="E17" s="530">
        <f>Gen!C23</f>
        <v>43250.94</v>
      </c>
      <c r="F17" s="531">
        <f>'Water-Meter'!E18</f>
        <v>0</v>
      </c>
      <c r="G17" s="532">
        <f>'Water-Meter'!AN18</f>
        <v>0</v>
      </c>
      <c r="H17" s="530">
        <f>'Utility report '!AC18</f>
        <v>0</v>
      </c>
      <c r="I17" s="529">
        <f>'Kit report'!F16</f>
        <v>0</v>
      </c>
      <c r="J17" s="530">
        <f>'Kit report'!X16</f>
        <v>0</v>
      </c>
    </row>
    <row r="18" spans="1:10" ht="17.100000000000001" customHeight="1">
      <c r="A18" s="291">
        <v>43875</v>
      </c>
      <c r="B18" s="534">
        <f>Gen!B24</f>
        <v>0</v>
      </c>
      <c r="C18" s="600">
        <f>Gen!AJ24</f>
        <v>0</v>
      </c>
      <c r="D18" s="601">
        <f>Gen!S24</f>
        <v>0</v>
      </c>
      <c r="E18" s="530">
        <f>Gen!C24</f>
        <v>43250.94</v>
      </c>
      <c r="F18" s="531">
        <f>'Water-Meter'!E19</f>
        <v>0</v>
      </c>
      <c r="G18" s="532">
        <f>'Water-Meter'!AN19</f>
        <v>0</v>
      </c>
      <c r="H18" s="530">
        <f>'Utility report '!AC19</f>
        <v>0</v>
      </c>
      <c r="I18" s="529">
        <f>'Kit report'!F17</f>
        <v>0</v>
      </c>
      <c r="J18" s="530">
        <f>'Kit report'!X17</f>
        <v>0</v>
      </c>
    </row>
    <row r="19" spans="1:10" ht="17.100000000000001" customHeight="1">
      <c r="A19" s="291">
        <v>43876</v>
      </c>
      <c r="B19" s="534">
        <f>Gen!B25</f>
        <v>0</v>
      </c>
      <c r="C19" s="600">
        <f>Gen!AJ25</f>
        <v>0</v>
      </c>
      <c r="D19" s="601">
        <f>Gen!S25</f>
        <v>0</v>
      </c>
      <c r="E19" s="530">
        <f>Gen!C25</f>
        <v>43250.94</v>
      </c>
      <c r="F19" s="531">
        <f>'Water-Meter'!E20</f>
        <v>0</v>
      </c>
      <c r="G19" s="532">
        <f>'Water-Meter'!AN20</f>
        <v>0</v>
      </c>
      <c r="H19" s="530">
        <f>'Utility report '!AC20</f>
        <v>0</v>
      </c>
      <c r="I19" s="529">
        <f>'Kit report'!F18</f>
        <v>0</v>
      </c>
      <c r="J19" s="530">
        <f>'Kit report'!X18</f>
        <v>0</v>
      </c>
    </row>
    <row r="20" spans="1:10" ht="17.100000000000001" customHeight="1">
      <c r="A20" s="291">
        <v>43877</v>
      </c>
      <c r="B20" s="534">
        <f>Gen!B26</f>
        <v>0</v>
      </c>
      <c r="C20" s="600">
        <f>Gen!AJ26</f>
        <v>0</v>
      </c>
      <c r="D20" s="601">
        <f>Gen!S26</f>
        <v>0</v>
      </c>
      <c r="E20" s="530">
        <f>Gen!C26</f>
        <v>43250.94</v>
      </c>
      <c r="F20" s="531">
        <f>'Water-Meter'!E21</f>
        <v>0</v>
      </c>
      <c r="G20" s="532">
        <f>'Water-Meter'!AN21</f>
        <v>0</v>
      </c>
      <c r="H20" s="530">
        <f>'Utility report '!AC21</f>
        <v>0</v>
      </c>
      <c r="I20" s="529">
        <f>'Kit report'!F19</f>
        <v>0</v>
      </c>
      <c r="J20" s="530">
        <f>'Kit report'!X19</f>
        <v>0</v>
      </c>
    </row>
    <row r="21" spans="1:10" ht="15">
      <c r="A21" s="291">
        <v>43878</v>
      </c>
      <c r="B21" s="534">
        <f>Gen!B27</f>
        <v>0</v>
      </c>
      <c r="C21" s="600">
        <f>Gen!AJ27</f>
        <v>0</v>
      </c>
      <c r="D21" s="601">
        <f>Gen!S27</f>
        <v>0</v>
      </c>
      <c r="E21" s="530">
        <f>Gen!C27</f>
        <v>43250.94</v>
      </c>
      <c r="F21" s="531">
        <f>'Water-Meter'!E22</f>
        <v>0</v>
      </c>
      <c r="G21" s="532">
        <f>'Water-Meter'!AN22</f>
        <v>0</v>
      </c>
      <c r="H21" s="530">
        <f>'Utility report '!AC22</f>
        <v>0</v>
      </c>
      <c r="I21" s="529">
        <f>'Kit report'!F20</f>
        <v>0</v>
      </c>
      <c r="J21" s="530">
        <f>'Kit report'!X20</f>
        <v>0</v>
      </c>
    </row>
    <row r="22" spans="1:10" ht="15" customHeight="1">
      <c r="A22" s="291">
        <v>43879</v>
      </c>
      <c r="B22" s="534">
        <f>Gen!B28</f>
        <v>0</v>
      </c>
      <c r="C22" s="600">
        <f>Gen!AJ28</f>
        <v>0</v>
      </c>
      <c r="D22" s="601">
        <f>Gen!S28</f>
        <v>0</v>
      </c>
      <c r="E22" s="530">
        <f>Gen!C28</f>
        <v>43250.94</v>
      </c>
      <c r="F22" s="531">
        <f>'Water-Meter'!E23</f>
        <v>0</v>
      </c>
      <c r="G22" s="532">
        <f>'Water-Meter'!AN23</f>
        <v>0</v>
      </c>
      <c r="H22" s="530">
        <f>'Utility report '!AC23</f>
        <v>0</v>
      </c>
      <c r="I22" s="529">
        <f>'Kit report'!F21</f>
        <v>0</v>
      </c>
      <c r="J22" s="530">
        <f>'Kit report'!X21</f>
        <v>0</v>
      </c>
    </row>
    <row r="23" spans="1:10" ht="15" customHeight="1">
      <c r="A23" s="291">
        <v>43880</v>
      </c>
      <c r="B23" s="534">
        <f>Gen!B29</f>
        <v>0</v>
      </c>
      <c r="C23" s="600">
        <f>Gen!AJ29</f>
        <v>0</v>
      </c>
      <c r="D23" s="601">
        <f>Gen!S29</f>
        <v>0</v>
      </c>
      <c r="E23" s="530">
        <f>Gen!C29</f>
        <v>43250.94</v>
      </c>
      <c r="F23" s="531">
        <f>'Water-Meter'!E24</f>
        <v>0</v>
      </c>
      <c r="G23" s="532">
        <f>'Water-Meter'!AN24</f>
        <v>0</v>
      </c>
      <c r="H23" s="530">
        <f>'Utility report '!AC24</f>
        <v>0</v>
      </c>
      <c r="I23" s="529">
        <f>'Kit report'!F22</f>
        <v>0</v>
      </c>
      <c r="J23" s="530">
        <f>'Kit report'!X22</f>
        <v>0</v>
      </c>
    </row>
    <row r="24" spans="1:10" ht="15" customHeight="1">
      <c r="A24" s="291">
        <v>43881</v>
      </c>
      <c r="B24" s="534">
        <f>Gen!B30</f>
        <v>0</v>
      </c>
      <c r="C24" s="600">
        <f>Gen!AJ30</f>
        <v>0</v>
      </c>
      <c r="D24" s="601">
        <f>Gen!S30</f>
        <v>0</v>
      </c>
      <c r="E24" s="530">
        <f>Gen!C30</f>
        <v>43250.94</v>
      </c>
      <c r="F24" s="531">
        <f>'Water-Meter'!E25</f>
        <v>0</v>
      </c>
      <c r="G24" s="532">
        <f>'Water-Meter'!AN25</f>
        <v>0</v>
      </c>
      <c r="H24" s="530">
        <f>'Utility report '!AC25</f>
        <v>0</v>
      </c>
      <c r="I24" s="529">
        <f>'Kit report'!F23</f>
        <v>0</v>
      </c>
      <c r="J24" s="530">
        <f>'Kit report'!X23</f>
        <v>0</v>
      </c>
    </row>
    <row r="25" spans="1:10" ht="15" customHeight="1">
      <c r="A25" s="291">
        <v>43882</v>
      </c>
      <c r="B25" s="534">
        <f>Gen!B31</f>
        <v>0</v>
      </c>
      <c r="C25" s="600">
        <f>Gen!AJ31</f>
        <v>0</v>
      </c>
      <c r="D25" s="601">
        <f>Gen!S31</f>
        <v>0</v>
      </c>
      <c r="E25" s="530">
        <f>Gen!C31</f>
        <v>43250.94</v>
      </c>
      <c r="F25" s="531">
        <f>'Water-Meter'!E26</f>
        <v>0</v>
      </c>
      <c r="G25" s="532">
        <f>'Water-Meter'!AN26</f>
        <v>0</v>
      </c>
      <c r="H25" s="530">
        <f>'Utility report '!AC26</f>
        <v>0</v>
      </c>
      <c r="I25" s="529">
        <f>'Kit report'!F24</f>
        <v>0</v>
      </c>
      <c r="J25" s="530">
        <f>'Kit report'!X24</f>
        <v>0</v>
      </c>
    </row>
    <row r="26" spans="1:10" ht="15" customHeight="1">
      <c r="A26" s="291">
        <v>43883</v>
      </c>
      <c r="B26" s="534">
        <f>Gen!B32</f>
        <v>0</v>
      </c>
      <c r="C26" s="600">
        <f>Gen!AJ32</f>
        <v>0</v>
      </c>
      <c r="D26" s="601">
        <f>Gen!S32</f>
        <v>0</v>
      </c>
      <c r="E26" s="530">
        <f>Gen!C32</f>
        <v>43250.94</v>
      </c>
      <c r="F26" s="531">
        <f>'Water-Meter'!E27</f>
        <v>0</v>
      </c>
      <c r="G26" s="532">
        <f>'Water-Meter'!AN27</f>
        <v>0</v>
      </c>
      <c r="H26" s="530">
        <f>'Utility report '!AC27</f>
        <v>0</v>
      </c>
      <c r="I26" s="529">
        <f>'Kit report'!F25</f>
        <v>0</v>
      </c>
      <c r="J26" s="530">
        <f>'Kit report'!X25</f>
        <v>0</v>
      </c>
    </row>
    <row r="27" spans="1:10" ht="15" customHeight="1">
      <c r="A27" s="291">
        <v>43884</v>
      </c>
      <c r="B27" s="534">
        <f>Gen!B33</f>
        <v>0</v>
      </c>
      <c r="C27" s="600">
        <f>Gen!AJ33</f>
        <v>0</v>
      </c>
      <c r="D27" s="601">
        <f>Gen!S33</f>
        <v>0</v>
      </c>
      <c r="E27" s="530">
        <f>Gen!C33</f>
        <v>43250.94</v>
      </c>
      <c r="F27" s="531">
        <f>'Water-Meter'!E28</f>
        <v>0</v>
      </c>
      <c r="G27" s="532">
        <f>'Water-Meter'!AN28</f>
        <v>0</v>
      </c>
      <c r="H27" s="530">
        <f>'Utility report '!AC28</f>
        <v>0</v>
      </c>
      <c r="I27" s="529">
        <f>'Kit report'!F26</f>
        <v>0</v>
      </c>
      <c r="J27" s="530">
        <f>'Kit report'!X26</f>
        <v>0</v>
      </c>
    </row>
    <row r="28" spans="1:10" ht="15" customHeight="1">
      <c r="A28" s="291">
        <v>43885</v>
      </c>
      <c r="B28" s="534">
        <v>9.0999999999999998E-2</v>
      </c>
      <c r="C28" s="600">
        <f>Gen!AJ34</f>
        <v>0</v>
      </c>
      <c r="D28" s="601">
        <f>Gen!S34</f>
        <v>0</v>
      </c>
      <c r="E28" s="530">
        <f>Gen!C34</f>
        <v>43250.94</v>
      </c>
      <c r="F28" s="531">
        <f>'Water-Meter'!E29</f>
        <v>0</v>
      </c>
      <c r="G28" s="532">
        <f>'Water-Meter'!AN29</f>
        <v>0</v>
      </c>
      <c r="H28" s="530">
        <f>'Utility report '!AC29</f>
        <v>0</v>
      </c>
      <c r="I28" s="529">
        <f>'Kit report'!F27</f>
        <v>0</v>
      </c>
      <c r="J28" s="530">
        <f>'Kit report'!X27</f>
        <v>0</v>
      </c>
    </row>
    <row r="29" spans="1:10" ht="15" customHeight="1">
      <c r="A29" s="291">
        <v>43886</v>
      </c>
      <c r="B29" s="534">
        <f>Gen!B35</f>
        <v>0</v>
      </c>
      <c r="C29" s="600">
        <f>Gen!AJ35</f>
        <v>0</v>
      </c>
      <c r="D29" s="601">
        <f>Gen!S35</f>
        <v>0</v>
      </c>
      <c r="E29" s="530">
        <f>Gen!C35</f>
        <v>43250.94</v>
      </c>
      <c r="F29" s="531">
        <f>'Water-Meter'!E30</f>
        <v>0</v>
      </c>
      <c r="G29" s="532">
        <f>'Water-Meter'!AN30</f>
        <v>0</v>
      </c>
      <c r="H29" s="530">
        <f>'Utility report '!AC30</f>
        <v>0</v>
      </c>
      <c r="I29" s="529">
        <f>'Kit report'!F28</f>
        <v>0</v>
      </c>
      <c r="J29" s="530">
        <f>'Kit report'!X28</f>
        <v>0</v>
      </c>
    </row>
    <row r="30" spans="1:10" ht="15" customHeight="1">
      <c r="A30" s="291">
        <v>43887</v>
      </c>
      <c r="B30" s="534">
        <f>Gen!B36</f>
        <v>0</v>
      </c>
      <c r="C30" s="600">
        <f>Gen!AJ36</f>
        <v>0</v>
      </c>
      <c r="D30" s="601">
        <f>Gen!S36</f>
        <v>0</v>
      </c>
      <c r="E30" s="530">
        <f>Gen!C36</f>
        <v>43250.94</v>
      </c>
      <c r="F30" s="531">
        <f>'Water-Meter'!E31</f>
        <v>0</v>
      </c>
      <c r="G30" s="532">
        <f>'Water-Meter'!AN31</f>
        <v>0</v>
      </c>
      <c r="H30" s="530">
        <f>'Utility report '!AC31</f>
        <v>0</v>
      </c>
      <c r="I30" s="529">
        <f>'Kit report'!F29</f>
        <v>0</v>
      </c>
      <c r="J30" s="530">
        <f>'Kit report'!X29</f>
        <v>0</v>
      </c>
    </row>
    <row r="31" spans="1:10" ht="15" customHeight="1">
      <c r="A31" s="291">
        <v>43888</v>
      </c>
      <c r="B31" s="534">
        <f>Gen!B37</f>
        <v>0</v>
      </c>
      <c r="C31" s="600">
        <f>Gen!AJ37</f>
        <v>0</v>
      </c>
      <c r="D31" s="601">
        <f>Gen!S37</f>
        <v>0</v>
      </c>
      <c r="E31" s="530">
        <f>Gen!C37</f>
        <v>43250.94</v>
      </c>
      <c r="F31" s="531">
        <f>'Water-Meter'!E32</f>
        <v>0</v>
      </c>
      <c r="G31" s="532">
        <f>'Water-Meter'!AN32</f>
        <v>0</v>
      </c>
      <c r="H31" s="530">
        <f>'Utility report '!AC32</f>
        <v>0</v>
      </c>
      <c r="I31" s="529">
        <f>'Kit report'!F30</f>
        <v>0</v>
      </c>
      <c r="J31" s="530">
        <f>'Kit report'!X30</f>
        <v>0</v>
      </c>
    </row>
    <row r="32" spans="1:10" ht="15" customHeight="1">
      <c r="A32" s="291">
        <v>43889</v>
      </c>
      <c r="B32" s="534">
        <f>Gen!B38</f>
        <v>0</v>
      </c>
      <c r="C32" s="600">
        <f>Gen!AJ38</f>
        <v>0</v>
      </c>
      <c r="D32" s="601">
        <f>Gen!S38</f>
        <v>0</v>
      </c>
      <c r="E32" s="530">
        <f>Gen!C38</f>
        <v>43250.94</v>
      </c>
      <c r="F32" s="531">
        <f>'Water-Meter'!E33</f>
        <v>0</v>
      </c>
      <c r="G32" s="532">
        <f>'Water-Meter'!AN33</f>
        <v>0</v>
      </c>
      <c r="H32" s="530">
        <f>'Utility report '!AC33</f>
        <v>0</v>
      </c>
      <c r="I32" s="529">
        <f>'Kit report'!F31</f>
        <v>0</v>
      </c>
      <c r="J32" s="530">
        <f>'Kit report'!X31</f>
        <v>0</v>
      </c>
    </row>
    <row r="33" spans="1:10" ht="15" customHeight="1">
      <c r="A33" s="291">
        <v>43890</v>
      </c>
      <c r="B33" s="534">
        <f>Gen!B39</f>
        <v>0</v>
      </c>
      <c r="C33" s="600">
        <f>Gen!AJ39</f>
        <v>0</v>
      </c>
      <c r="D33" s="601">
        <f>Gen!S39</f>
        <v>0</v>
      </c>
      <c r="E33" s="530">
        <f>Gen!C39</f>
        <v>43250.94</v>
      </c>
      <c r="F33" s="531">
        <f>'Water-Meter'!E34</f>
        <v>0</v>
      </c>
      <c r="G33" s="532">
        <f>'Water-Meter'!AN34</f>
        <v>0</v>
      </c>
      <c r="H33" s="530">
        <f>'Utility report '!AC34</f>
        <v>0</v>
      </c>
      <c r="I33" s="529">
        <f>'Kit report'!F32</f>
        <v>0</v>
      </c>
      <c r="J33" s="530">
        <f>'Kit report'!X32</f>
        <v>0</v>
      </c>
    </row>
    <row r="34" spans="1:10" ht="15" customHeight="1">
      <c r="A34" s="291">
        <v>43891</v>
      </c>
      <c r="B34" s="598">
        <f>Gen!B40</f>
        <v>0</v>
      </c>
      <c r="C34" s="600">
        <f>Gen!AJ40</f>
        <v>0</v>
      </c>
      <c r="D34" s="601">
        <f>Gen!S40</f>
        <v>0</v>
      </c>
      <c r="E34" s="599">
        <f>Gen!C40</f>
        <v>43250.94</v>
      </c>
      <c r="F34" s="531">
        <f>'Water-Meter'!E35</f>
        <v>0</v>
      </c>
      <c r="G34" s="532">
        <f>'Water-Meter'!AN35</f>
        <v>0</v>
      </c>
      <c r="H34" s="530">
        <f>'Utility report '!AC35</f>
        <v>0</v>
      </c>
      <c r="I34" s="529">
        <f>'Kit report'!F33</f>
        <v>0</v>
      </c>
      <c r="J34" s="530">
        <f>'Kit report'!X33</f>
        <v>0</v>
      </c>
    </row>
    <row r="35" spans="1:10" ht="15" customHeight="1">
      <c r="A35" s="291">
        <v>43892</v>
      </c>
      <c r="B35" s="534">
        <f>Gen!B41</f>
        <v>0</v>
      </c>
      <c r="C35" s="600">
        <f>Gen!AJ41</f>
        <v>0</v>
      </c>
      <c r="D35" s="601">
        <f>Gen!S41</f>
        <v>0</v>
      </c>
      <c r="E35" s="532">
        <f>Gen!C41</f>
        <v>43250.94</v>
      </c>
      <c r="F35" s="531">
        <f>'Water-Meter'!E36</f>
        <v>0</v>
      </c>
      <c r="G35" s="532">
        <f>'Water-Meter'!AN36</f>
        <v>0</v>
      </c>
      <c r="H35" s="530">
        <f>'Utility report '!AC36</f>
        <v>0</v>
      </c>
      <c r="I35" s="529">
        <f>'Kit report'!F34</f>
        <v>0</v>
      </c>
      <c r="J35" s="530">
        <f>'Kit report'!X34</f>
        <v>0</v>
      </c>
    </row>
    <row r="36" spans="1:10" ht="15">
      <c r="A36" s="291">
        <v>43893</v>
      </c>
      <c r="B36" s="18"/>
      <c r="C36" s="600">
        <f>Gen!AJ42</f>
        <v>0</v>
      </c>
      <c r="D36" s="601">
        <f>Gen!S42</f>
        <v>0</v>
      </c>
      <c r="E36" s="532">
        <f>Gen!C42</f>
        <v>43250.94</v>
      </c>
      <c r="F36" s="531">
        <f>'Water-Meter'!E37</f>
        <v>0</v>
      </c>
      <c r="G36" s="532">
        <f>'Water-Meter'!AN37</f>
        <v>330</v>
      </c>
      <c r="H36" s="530">
        <f>'Utility report '!AC37</f>
        <v>0</v>
      </c>
      <c r="I36" s="529">
        <f>'Kit report'!F35</f>
        <v>1428.0000000001746</v>
      </c>
      <c r="J36" s="53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2020-02-10T05:14:47Z</dcterms:modified>
</cp:coreProperties>
</file>