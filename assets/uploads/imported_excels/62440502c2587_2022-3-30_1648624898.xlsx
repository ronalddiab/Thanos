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20" yWindow="90" windowWidth="14325" windowHeight="12060" tabRatio="578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K25" i="3"/>
  <c r="L20"/>
  <c r="L21" s="1"/>
  <c r="L22" s="1"/>
  <c r="L23" s="1"/>
  <c r="L24" s="1"/>
  <c r="L19"/>
  <c r="M19"/>
  <c r="L18"/>
  <c r="M18" s="1"/>
  <c r="M2"/>
  <c r="M3"/>
  <c r="M4"/>
  <c r="M5"/>
  <c r="M6"/>
  <c r="M7"/>
  <c r="M8"/>
  <c r="M9"/>
  <c r="M10"/>
  <c r="M11"/>
  <c r="M12"/>
  <c r="M13"/>
  <c r="M14"/>
  <c r="M15"/>
  <c r="M16"/>
  <c r="M17"/>
  <c r="G27" i="5"/>
  <c r="L25" i="3" l="1"/>
  <c r="M20"/>
  <c r="B25" i="76"/>
  <c r="H25"/>
  <c r="M21" i="3" l="1"/>
  <c r="Y20"/>
  <c r="M22" l="1"/>
  <c r="AG32" i="2"/>
  <c r="M23" i="3" l="1"/>
  <c r="X2"/>
  <c r="X3" s="1"/>
  <c r="B3" i="76" l="1"/>
  <c r="H3" l="1"/>
  <c r="W11"/>
  <c r="V11"/>
  <c r="W10"/>
  <c r="V10"/>
  <c r="W9"/>
  <c r="V9"/>
  <c r="J3"/>
  <c r="F3"/>
  <c r="E3"/>
  <c r="C3"/>
  <c r="D3"/>
  <c r="G3"/>
  <c r="I3"/>
  <c r="K3"/>
  <c r="L3"/>
  <c r="M3"/>
  <c r="N3"/>
  <c r="O3"/>
  <c r="P3"/>
  <c r="Q3"/>
  <c r="R3"/>
  <c r="S3"/>
  <c r="T3"/>
  <c r="BI5" i="7"/>
  <c r="BB5"/>
  <c r="BA5"/>
  <c r="AZ5"/>
  <c r="AY5"/>
  <c r="AX5"/>
  <c r="AW5"/>
  <c r="AV5"/>
  <c r="AU5"/>
  <c r="AT5"/>
  <c r="AS5"/>
  <c r="AR5"/>
  <c r="BC5"/>
  <c r="BD5"/>
  <c r="BE5"/>
  <c r="BF5"/>
  <c r="BG5"/>
  <c r="BH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C2" i="3"/>
  <c r="D2"/>
  <c r="E2"/>
  <c r="F2"/>
  <c r="G2"/>
  <c r="H2"/>
  <c r="I2"/>
  <c r="J2"/>
  <c r="K2"/>
  <c r="L2"/>
  <c r="N2"/>
  <c r="O2"/>
  <c r="P2"/>
  <c r="Q2"/>
  <c r="R2"/>
  <c r="S2"/>
  <c r="T2"/>
  <c r="U2"/>
  <c r="V2"/>
  <c r="W2"/>
  <c r="X4"/>
  <c r="X5" s="1"/>
  <c r="X6" s="1"/>
  <c r="X7" s="1"/>
  <c r="Y2"/>
  <c r="Z2"/>
  <c r="AA2"/>
  <c r="AB2"/>
  <c r="AC2"/>
  <c r="D5" i="79"/>
  <c r="E5"/>
  <c r="F5"/>
  <c r="G5"/>
  <c r="H5"/>
  <c r="C5" i="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B4"/>
  <c r="M3" i="2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E3"/>
  <c r="F3"/>
  <c r="G3"/>
  <c r="H3"/>
  <c r="I3"/>
  <c r="J3"/>
  <c r="K3"/>
  <c r="L3"/>
  <c r="D3"/>
  <c r="B5" i="79"/>
  <c r="C5"/>
  <c r="C20" i="77"/>
  <c r="C18"/>
  <c r="C17"/>
  <c r="C16"/>
  <c r="C15"/>
  <c r="C14"/>
  <c r="X8" i="3" l="1"/>
  <c r="X9" s="1"/>
  <c r="X10" s="1"/>
  <c r="X11" s="1"/>
  <c r="X12" s="1"/>
  <c r="BK34" i="7"/>
  <c r="BK35"/>
  <c r="BK36"/>
  <c r="AS37"/>
  <c r="AU37" s="1"/>
  <c r="G6" i="5"/>
  <c r="G7" s="1"/>
  <c r="G8" s="1"/>
  <c r="G9" s="1"/>
  <c r="G10" s="1"/>
  <c r="G11" s="1"/>
  <c r="G12" s="1"/>
  <c r="G13" s="1"/>
  <c r="G14" s="1"/>
  <c r="G15" s="1"/>
  <c r="G16" s="1"/>
  <c r="G17" s="1"/>
  <c r="G18" s="1"/>
  <c r="G20" s="1"/>
  <c r="G21" s="1"/>
  <c r="G22" s="1"/>
  <c r="G23" s="1"/>
  <c r="G24" s="1"/>
  <c r="G25" s="1"/>
  <c r="G28" s="1"/>
  <c r="G29" s="1"/>
  <c r="G30" s="1"/>
  <c r="G31" s="1"/>
  <c r="G32" s="1"/>
  <c r="G33" s="1"/>
  <c r="G35" s="1"/>
  <c r="G36" s="1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F11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K6" i="5"/>
  <c r="A5" i="79"/>
  <c r="A34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V26" i="76"/>
  <c r="AA19"/>
  <c r="AB19"/>
  <c r="AC19"/>
  <c r="AA12"/>
  <c r="AB12"/>
  <c r="AC12"/>
  <c r="AB13"/>
  <c r="AA16"/>
  <c r="AB16"/>
  <c r="AC16"/>
  <c r="AA17"/>
  <c r="AB17"/>
  <c r="AC17"/>
  <c r="AA18"/>
  <c r="AB18"/>
  <c r="AC18"/>
  <c r="X10"/>
  <c r="Y10"/>
  <c r="Z10"/>
  <c r="AA10"/>
  <c r="AB10"/>
  <c r="AC10"/>
  <c r="AD10"/>
  <c r="X11"/>
  <c r="Y11"/>
  <c r="Z11"/>
  <c r="AA11"/>
  <c r="AB11"/>
  <c r="AC11"/>
  <c r="AD11"/>
  <c r="X9"/>
  <c r="Y9"/>
  <c r="Z9"/>
  <c r="AA9"/>
  <c r="AB9"/>
  <c r="AC9"/>
  <c r="AD9"/>
  <c r="J5"/>
  <c r="J7" s="1"/>
  <c r="J8" s="1"/>
  <c r="J11" s="1"/>
  <c r="J12" s="1"/>
  <c r="J13" s="1"/>
  <c r="J14" s="1"/>
  <c r="J15" s="1"/>
  <c r="J17" s="1"/>
  <c r="J18" s="1"/>
  <c r="J20" s="1"/>
  <c r="J21" s="1"/>
  <c r="J22" s="1"/>
  <c r="J23" s="1"/>
  <c r="J24" s="1"/>
  <c r="J25" s="1"/>
  <c r="J27" s="1"/>
  <c r="J28" s="1"/>
  <c r="J29" s="1"/>
  <c r="J30" s="1"/>
  <c r="J31" s="1"/>
  <c r="J32" s="1"/>
  <c r="H5"/>
  <c r="H7" s="1"/>
  <c r="H8" s="1"/>
  <c r="H14" s="1"/>
  <c r="H15" s="1"/>
  <c r="H17" s="1"/>
  <c r="H21" s="1"/>
  <c r="H22" s="1"/>
  <c r="H27" s="1"/>
  <c r="H28" s="1"/>
  <c r="H29" s="1"/>
  <c r="H31" s="1"/>
  <c r="F5"/>
  <c r="F7" s="1"/>
  <c r="F8" s="1"/>
  <c r="F9" s="1"/>
  <c r="F10" s="1"/>
  <c r="F11" s="1"/>
  <c r="F12" s="1"/>
  <c r="F13" s="1"/>
  <c r="F14" s="1"/>
  <c r="F15" s="1"/>
  <c r="F16" s="1"/>
  <c r="F17" s="1"/>
  <c r="F18" s="1"/>
  <c r="F21" s="1"/>
  <c r="F22" s="1"/>
  <c r="F23" s="1"/>
  <c r="F24" s="1"/>
  <c r="F25" s="1"/>
  <c r="F27" s="1"/>
  <c r="F28" s="1"/>
  <c r="F29" s="1"/>
  <c r="F30" s="1"/>
  <c r="F31" s="1"/>
  <c r="F32" s="1"/>
  <c r="B5"/>
  <c r="B7" s="1"/>
  <c r="B8" s="1"/>
  <c r="B14" s="1"/>
  <c r="B15" s="1"/>
  <c r="B17" s="1"/>
  <c r="B21" s="1"/>
  <c r="B22" s="1"/>
  <c r="B27" s="1"/>
  <c r="B28" s="1"/>
  <c r="B29" s="1"/>
  <c r="B31" s="1"/>
  <c r="A3"/>
  <c r="A32"/>
  <c r="A33"/>
  <c r="A34"/>
  <c r="B5" i="7"/>
  <c r="A5"/>
  <c r="A34"/>
  <c r="BB34"/>
  <c r="BE34"/>
  <c r="BG34" s="1"/>
  <c r="A35"/>
  <c r="BB35"/>
  <c r="BE35"/>
  <c r="BG35" s="1"/>
  <c r="A36"/>
  <c r="BB36"/>
  <c r="BE36"/>
  <c r="BG36" s="1"/>
  <c r="R3" i="3"/>
  <c r="Y3" s="1"/>
  <c r="B6"/>
  <c r="B7" s="1"/>
  <c r="B14" s="1"/>
  <c r="B18" s="1"/>
  <c r="B20" s="1"/>
  <c r="B21" s="1"/>
  <c r="B27" s="1"/>
  <c r="B28" s="1"/>
  <c r="B30" s="1"/>
  <c r="B31" s="1"/>
  <c r="AD2"/>
  <c r="AE2"/>
  <c r="AF2"/>
  <c r="AG2"/>
  <c r="AH2"/>
  <c r="AI2"/>
  <c r="AJ2"/>
  <c r="AK2"/>
  <c r="AL2"/>
  <c r="B2"/>
  <c r="A2"/>
  <c r="A31"/>
  <c r="A32"/>
  <c r="A33"/>
  <c r="AT5" i="5"/>
  <c r="AT6" s="1"/>
  <c r="AT7" s="1"/>
  <c r="AT8" s="1"/>
  <c r="AT9" s="1"/>
  <c r="AT10" s="1"/>
  <c r="AT11" s="1"/>
  <c r="AT12" s="1"/>
  <c r="AT13" s="1"/>
  <c r="AT14" s="1"/>
  <c r="AT17" s="1"/>
  <c r="AT18" s="1"/>
  <c r="AT20" s="1"/>
  <c r="AT22" s="1"/>
  <c r="AT23" s="1"/>
  <c r="AT24" s="1"/>
  <c r="AT25" s="1"/>
  <c r="AT27" s="1"/>
  <c r="AT28" s="1"/>
  <c r="AT29" s="1"/>
  <c r="AT30" s="1"/>
  <c r="AT31" s="1"/>
  <c r="AT32" s="1"/>
  <c r="AT33" s="1"/>
  <c r="AT35" s="1"/>
  <c r="AT36" s="1"/>
  <c r="AU5"/>
  <c r="AV5"/>
  <c r="AV9" s="1"/>
  <c r="AV10" s="1"/>
  <c r="AV12" s="1"/>
  <c r="AV14" s="1"/>
  <c r="AV17" s="1"/>
  <c r="AV18" s="1"/>
  <c r="AV23" s="1"/>
  <c r="AV24" s="1"/>
  <c r="AV30" s="1"/>
  <c r="AV31" s="1"/>
  <c r="AV32" s="1"/>
  <c r="AV35" s="1"/>
  <c r="AV36" s="1"/>
  <c r="AW5"/>
  <c r="AX5"/>
  <c r="AX9" s="1"/>
  <c r="AX10" s="1"/>
  <c r="AX17" s="1"/>
  <c r="AX23" s="1"/>
  <c r="AX24" s="1"/>
  <c r="AX30" s="1"/>
  <c r="AX31" s="1"/>
  <c r="AY5"/>
  <c r="AZ5"/>
  <c r="BA5"/>
  <c r="BB5"/>
  <c r="BC5"/>
  <c r="BD5"/>
  <c r="BE5"/>
  <c r="BF5"/>
  <c r="BG5"/>
  <c r="AS5"/>
  <c r="AR5"/>
  <c r="X6"/>
  <c r="X7" s="1"/>
  <c r="X8" s="1"/>
  <c r="X9" s="1"/>
  <c r="X10" s="1"/>
  <c r="X11" s="1"/>
  <c r="X12" s="1"/>
  <c r="X13" s="1"/>
  <c r="X14" s="1"/>
  <c r="X17" s="1"/>
  <c r="X18" s="1"/>
  <c r="X19" s="1"/>
  <c r="X20" s="1"/>
  <c r="X21" s="1"/>
  <c r="X22" s="1"/>
  <c r="X23" s="1"/>
  <c r="X24" s="1"/>
  <c r="X25" s="1"/>
  <c r="X27" s="1"/>
  <c r="X28" s="1"/>
  <c r="X29" s="1"/>
  <c r="X30" s="1"/>
  <c r="X31" s="1"/>
  <c r="X32" s="1"/>
  <c r="X33" s="1"/>
  <c r="A5"/>
  <c r="AN34"/>
  <c r="AP34"/>
  <c r="AN35"/>
  <c r="AP35"/>
  <c r="AN36"/>
  <c r="AP36"/>
  <c r="AR36"/>
  <c r="A34"/>
  <c r="AR34" s="1"/>
  <c r="A35"/>
  <c r="AR35" s="1"/>
  <c r="A36"/>
  <c r="H8" i="1"/>
  <c r="H9" s="1"/>
  <c r="H16" s="1"/>
  <c r="H22" s="1"/>
  <c r="H23" s="1"/>
  <c r="H28" s="1"/>
  <c r="H29" s="1"/>
  <c r="H30" s="1"/>
  <c r="H31" s="1"/>
  <c r="H32" s="1"/>
  <c r="H33" s="1"/>
  <c r="M5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K5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F8"/>
  <c r="F9" s="1"/>
  <c r="F16" s="1"/>
  <c r="F22" s="1"/>
  <c r="F23" s="1"/>
  <c r="F28" s="1"/>
  <c r="F29" s="1"/>
  <c r="F30" s="1"/>
  <c r="F31" s="1"/>
  <c r="F32" s="1"/>
  <c r="F33" s="1"/>
  <c r="C8"/>
  <c r="C9" s="1"/>
  <c r="C16" s="1"/>
  <c r="C22" s="1"/>
  <c r="C23" s="1"/>
  <c r="C29" s="1"/>
  <c r="C30" s="1"/>
  <c r="B8"/>
  <c r="B9" s="1"/>
  <c r="B16" s="1"/>
  <c r="B22" s="1"/>
  <c r="B23" s="1"/>
  <c r="B29" s="1"/>
  <c r="B30" s="1"/>
  <c r="AS4"/>
  <c r="AT4"/>
  <c r="AU4"/>
  <c r="AV4"/>
  <c r="AW4"/>
  <c r="AX4"/>
  <c r="A4"/>
  <c r="A33"/>
  <c r="A34"/>
  <c r="A35"/>
  <c r="P7" i="2"/>
  <c r="P8" s="1"/>
  <c r="P15" s="1"/>
  <c r="P21" s="1"/>
  <c r="P22" s="1"/>
  <c r="P28" s="1"/>
  <c r="P29" s="1"/>
  <c r="L7"/>
  <c r="L8" s="1"/>
  <c r="L15" s="1"/>
  <c r="L21" s="1"/>
  <c r="L22" s="1"/>
  <c r="L28" s="1"/>
  <c r="L29" s="1"/>
  <c r="H7"/>
  <c r="H8" s="1"/>
  <c r="H15" s="1"/>
  <c r="H21" s="1"/>
  <c r="H22" s="1"/>
  <c r="H28" s="1"/>
  <c r="H29" s="1"/>
  <c r="J7"/>
  <c r="J8" s="1"/>
  <c r="J15" s="1"/>
  <c r="J21" s="1"/>
  <c r="J22" s="1"/>
  <c r="J28" s="1"/>
  <c r="J29" s="1"/>
  <c r="F7"/>
  <c r="F8" s="1"/>
  <c r="F15" s="1"/>
  <c r="F21" s="1"/>
  <c r="F22" s="1"/>
  <c r="F28" s="1"/>
  <c r="F29" s="1"/>
  <c r="D7"/>
  <c r="D8" s="1"/>
  <c r="D15" s="1"/>
  <c r="D21" s="1"/>
  <c r="D22" s="1"/>
  <c r="D28" s="1"/>
  <c r="D29" s="1"/>
  <c r="A32"/>
  <c r="B32" s="1"/>
  <c r="A33"/>
  <c r="B33" s="1"/>
  <c r="A34"/>
  <c r="B34" s="1"/>
  <c r="AG3"/>
  <c r="C3"/>
  <c r="L31" i="82" l="1"/>
  <c r="O31" i="81"/>
  <c r="L30" i="82"/>
  <c r="O30" i="81"/>
  <c r="BA36" i="7"/>
  <c r="L32" i="82"/>
  <c r="O32" i="81"/>
  <c r="AM34" i="5"/>
  <c r="R6" i="3"/>
  <c r="R7" s="1"/>
  <c r="R13" s="1"/>
  <c r="R14" s="1"/>
  <c r="R15" s="1"/>
  <c r="R20" s="1"/>
  <c r="R21" s="1"/>
  <c r="R27" s="1"/>
  <c r="R28" s="1"/>
  <c r="S31" s="1"/>
  <c r="U31" s="1"/>
  <c r="H7" i="79"/>
  <c r="B34" i="1"/>
  <c r="B34" i="7"/>
  <c r="P33" i="2"/>
  <c r="Q32"/>
  <c r="L33"/>
  <c r="M32"/>
  <c r="E30" i="82" s="1"/>
  <c r="J33" i="2"/>
  <c r="K32"/>
  <c r="F30" i="82" s="1"/>
  <c r="H33" i="2"/>
  <c r="I32"/>
  <c r="G30" i="82" s="1"/>
  <c r="F33" i="2"/>
  <c r="G32"/>
  <c r="I30" i="82" s="1"/>
  <c r="D33" i="2"/>
  <c r="E32"/>
  <c r="H30" i="82" s="1"/>
  <c r="AZ34" i="7"/>
  <c r="O32" i="2"/>
  <c r="AZ35" i="7"/>
  <c r="BA35"/>
  <c r="O33" i="2"/>
  <c r="O34"/>
  <c r="AZ36" i="7"/>
  <c r="B33" i="76"/>
  <c r="B34" s="1"/>
  <c r="C34" s="1"/>
  <c r="C32"/>
  <c r="F33"/>
  <c r="F34" s="1"/>
  <c r="W28" s="1"/>
  <c r="G32"/>
  <c r="L32" s="1"/>
  <c r="I32"/>
  <c r="M32" s="1"/>
  <c r="H33"/>
  <c r="K32"/>
  <c r="N32" s="1"/>
  <c r="J33"/>
  <c r="C31" i="3"/>
  <c r="F31" s="1"/>
  <c r="B32"/>
  <c r="AX35" i="5"/>
  <c r="AX36" s="1"/>
  <c r="BA36" s="1"/>
  <c r="BA34"/>
  <c r="X35"/>
  <c r="Y34"/>
  <c r="H34"/>
  <c r="H36"/>
  <c r="N33" i="1"/>
  <c r="M34"/>
  <c r="K34"/>
  <c r="L33"/>
  <c r="H34"/>
  <c r="I33"/>
  <c r="G33"/>
  <c r="F34"/>
  <c r="Z34" i="7"/>
  <c r="J33" i="1"/>
  <c r="C33" i="76" l="1"/>
  <c r="R32" i="3"/>
  <c r="R33" s="1"/>
  <c r="S33" s="1"/>
  <c r="U33" s="1"/>
  <c r="H8" i="79"/>
  <c r="H9" s="1"/>
  <c r="H10" s="1"/>
  <c r="H13" s="1"/>
  <c r="H14" s="1"/>
  <c r="H15" s="1"/>
  <c r="H16" s="1"/>
  <c r="H17" s="1"/>
  <c r="H18" s="1"/>
  <c r="H19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K7" i="5"/>
  <c r="AB34" i="7"/>
  <c r="B35" i="1"/>
  <c r="B36" i="7" s="1"/>
  <c r="B35"/>
  <c r="D34"/>
  <c r="P34" i="2"/>
  <c r="Q34" s="1"/>
  <c r="Q33"/>
  <c r="L34"/>
  <c r="M34" s="1"/>
  <c r="E32" i="82" s="1"/>
  <c r="M33" i="2"/>
  <c r="E31" i="82" s="1"/>
  <c r="J34" i="2"/>
  <c r="K34" s="1"/>
  <c r="F32" i="82" s="1"/>
  <c r="K33" i="2"/>
  <c r="F31" i="82" s="1"/>
  <c r="H34" i="2"/>
  <c r="I34" s="1"/>
  <c r="G32" i="82" s="1"/>
  <c r="I33" i="2"/>
  <c r="G31" i="82" s="1"/>
  <c r="F34" i="2"/>
  <c r="G34" s="1"/>
  <c r="I32" i="82" s="1"/>
  <c r="G33" i="2"/>
  <c r="I31" i="82" s="1"/>
  <c r="D34" i="2"/>
  <c r="E34" s="1"/>
  <c r="E33"/>
  <c r="N32"/>
  <c r="H34" i="76"/>
  <c r="I33"/>
  <c r="M33" s="1"/>
  <c r="D32"/>
  <c r="E32" s="1"/>
  <c r="K33"/>
  <c r="N33" s="1"/>
  <c r="J34"/>
  <c r="G34"/>
  <c r="G33"/>
  <c r="B33" i="3"/>
  <c r="C33" s="1"/>
  <c r="F33" s="1"/>
  <c r="C32"/>
  <c r="F32" s="1"/>
  <c r="BA35" i="5"/>
  <c r="BD35" s="1"/>
  <c r="X36"/>
  <c r="Y36" s="1"/>
  <c r="Y35"/>
  <c r="J30" i="82"/>
  <c r="H35" i="5"/>
  <c r="M35" i="1"/>
  <c r="N35" s="1"/>
  <c r="N34"/>
  <c r="L34"/>
  <c r="K35"/>
  <c r="L35" s="1"/>
  <c r="H35"/>
  <c r="I35" s="1"/>
  <c r="I34"/>
  <c r="F35"/>
  <c r="G35" s="1"/>
  <c r="G34"/>
  <c r="C34"/>
  <c r="D33"/>
  <c r="E33" s="1"/>
  <c r="BD36" i="5" l="1"/>
  <c r="S32" i="3"/>
  <c r="U32" s="1"/>
  <c r="I34" i="76"/>
  <c r="M34" s="1"/>
  <c r="M35" s="1"/>
  <c r="W27"/>
  <c r="K34"/>
  <c r="N34" s="1"/>
  <c r="N35" s="1"/>
  <c r="W26"/>
  <c r="I34" i="79"/>
  <c r="K34" i="5"/>
  <c r="AD34" i="7"/>
  <c r="D34" i="1"/>
  <c r="E34" s="1"/>
  <c r="Z35" i="7"/>
  <c r="D36"/>
  <c r="F34"/>
  <c r="D35"/>
  <c r="H31" i="82"/>
  <c r="N33" i="2"/>
  <c r="H32" i="82"/>
  <c r="N34" i="2"/>
  <c r="E30" i="81"/>
  <c r="S32" i="76"/>
  <c r="R32" i="2"/>
  <c r="L34" i="76"/>
  <c r="D33"/>
  <c r="E33" s="1"/>
  <c r="L33"/>
  <c r="J32" i="82"/>
  <c r="J31"/>
  <c r="J35" i="1"/>
  <c r="J34"/>
  <c r="C35"/>
  <c r="Z36" i="7" s="1"/>
  <c r="D35" i="1" l="1"/>
  <c r="E35" s="1"/>
  <c r="D34" i="76"/>
  <c r="E34" s="1"/>
  <c r="H36" i="79"/>
  <c r="I35"/>
  <c r="K35" i="5"/>
  <c r="L35" s="1"/>
  <c r="AK35" s="1"/>
  <c r="AB35" i="7"/>
  <c r="AB36"/>
  <c r="AF34"/>
  <c r="F36"/>
  <c r="H34"/>
  <c r="F35"/>
  <c r="E32" i="81"/>
  <c r="S34" i="76"/>
  <c r="T34" s="1"/>
  <c r="F32" i="81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D35"/>
  <c r="AD36"/>
  <c r="H36"/>
  <c r="J34"/>
  <c r="H35"/>
  <c r="AF36" l="1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I22"/>
  <c r="K22"/>
  <c r="M22"/>
  <c r="Q22"/>
  <c r="N22" l="1"/>
  <c r="R22" s="1"/>
  <c r="C6" i="3" l="1"/>
  <c r="T6" i="5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P5" i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9" s="1"/>
  <c r="P30" s="1"/>
  <c r="P32" s="1"/>
  <c r="P33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W4" i="2"/>
  <c r="W5" s="1"/>
  <c r="W6" s="1"/>
  <c r="W7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AA4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Q22" i="1" l="1"/>
  <c r="Q23" s="1"/>
  <c r="Q24" s="1"/>
  <c r="Q25" s="1"/>
  <c r="Q26" s="1"/>
  <c r="Q29" s="1"/>
  <c r="Q30" s="1"/>
  <c r="Q32" s="1"/>
  <c r="Q33" s="1"/>
  <c r="R21"/>
  <c r="P34"/>
  <c r="S33"/>
  <c r="X32" i="2"/>
  <c r="W33"/>
  <c r="Z32"/>
  <c r="Y33"/>
  <c r="AA33"/>
  <c r="AB32"/>
  <c r="Q9"/>
  <c r="C10" i="74"/>
  <c r="Q34" i="1" l="1"/>
  <c r="R33"/>
  <c r="V33" s="1"/>
  <c r="S34"/>
  <c r="P35"/>
  <c r="S35" s="1"/>
  <c r="T33"/>
  <c r="U33"/>
  <c r="AL33"/>
  <c r="W34" i="2"/>
  <c r="X34" s="1"/>
  <c r="X33"/>
  <c r="Y34"/>
  <c r="Z34" s="1"/>
  <c r="Z33"/>
  <c r="AB33"/>
  <c r="AA34"/>
  <c r="AB34" s="1"/>
  <c r="W13" i="76"/>
  <c r="Q35" i="1" l="1"/>
  <c r="R35" s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AF34" i="3" l="1"/>
  <c r="F37" i="5"/>
  <c r="AT37" i="7" l="1"/>
  <c r="AT38" s="1"/>
  <c r="C24" i="3" l="1"/>
  <c r="AA26" i="76"/>
  <c r="X5" i="1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Y33" l="1"/>
  <c r="AB33" s="1"/>
  <c r="X34"/>
  <c r="Z34"/>
  <c r="AA33"/>
  <c r="L25"/>
  <c r="E6" i="2"/>
  <c r="Y9" i="3"/>
  <c r="Y10"/>
  <c r="Y11"/>
  <c r="Y12"/>
  <c r="Y13"/>
  <c r="Y14"/>
  <c r="Y15"/>
  <c r="Y16"/>
  <c r="Y17"/>
  <c r="Y18"/>
  <c r="Y19"/>
  <c r="Y34" i="1" l="1"/>
  <c r="AB34" s="1"/>
  <c r="X35"/>
  <c r="Y35" s="1"/>
  <c r="AB35" s="1"/>
  <c r="AA34"/>
  <c r="Z35"/>
  <c r="AA35" s="1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T7" i="5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3" s="1"/>
  <c r="T34" s="1"/>
  <c r="U34" l="1"/>
  <c r="T35"/>
  <c r="E19" i="2"/>
  <c r="K4" i="76"/>
  <c r="AB26"/>
  <c r="AA28"/>
  <c r="AB28" s="1"/>
  <c r="AE28" s="1"/>
  <c r="AF28" s="1"/>
  <c r="U35" i="5" l="1"/>
  <c r="T36"/>
  <c r="U36" s="1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B3"/>
  <c r="A3"/>
  <c r="R19" l="1"/>
  <c r="S19" i="76"/>
  <c r="E30" i="2"/>
  <c r="K21"/>
  <c r="N20"/>
  <c r="R20" s="1"/>
  <c r="G21"/>
  <c r="M21"/>
  <c r="AB21"/>
  <c r="Q21"/>
  <c r="I21"/>
  <c r="Z21"/>
  <c r="X21"/>
  <c r="Q6"/>
  <c r="C27" i="3"/>
  <c r="C26"/>
  <c r="S26"/>
  <c r="E31" i="2" l="1"/>
  <c r="AB22"/>
  <c r="Z22"/>
  <c r="X22"/>
  <c r="N21"/>
  <c r="R21" s="1"/>
  <c r="Q7"/>
  <c r="Q8"/>
  <c r="AD7" i="3" s="1"/>
  <c r="Q10" i="2"/>
  <c r="I5"/>
  <c r="G23" l="1"/>
  <c r="X23"/>
  <c r="AB23"/>
  <c r="Q23"/>
  <c r="M23"/>
  <c r="I23"/>
  <c r="K23"/>
  <c r="Z23"/>
  <c r="Q11"/>
  <c r="I7" i="77"/>
  <c r="I12" s="1"/>
  <c r="N23" i="2" l="1"/>
  <c r="R23" s="1"/>
  <c r="K24"/>
  <c r="Z24"/>
  <c r="Q24"/>
  <c r="X24"/>
  <c r="M24"/>
  <c r="AB24"/>
  <c r="G24"/>
  <c r="Q12"/>
  <c r="AU6" i="5"/>
  <c r="AU7" l="1"/>
  <c r="AZ7" s="1"/>
  <c r="AZ6"/>
  <c r="BC6" s="1"/>
  <c r="AA30" i="1"/>
  <c r="G25" i="2"/>
  <c r="AB25"/>
  <c r="X25"/>
  <c r="K25"/>
  <c r="Q25"/>
  <c r="N24"/>
  <c r="R24" s="1"/>
  <c r="M25"/>
  <c r="I25"/>
  <c r="Z25"/>
  <c r="Y30" i="1"/>
  <c r="AB30" s="1"/>
  <c r="Q13" i="2"/>
  <c r="N25" l="1"/>
  <c r="R25" s="1"/>
  <c r="Z26"/>
  <c r="M26"/>
  <c r="K26"/>
  <c r="X26"/>
  <c r="G26"/>
  <c r="Q26"/>
  <c r="I26"/>
  <c r="AB26"/>
  <c r="Q14"/>
  <c r="N26" l="1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M6" i="79"/>
  <c r="O6" s="1"/>
  <c r="C8" i="77"/>
  <c r="A13" i="1"/>
  <c r="I30" i="2" l="1"/>
  <c r="M30"/>
  <c r="X30"/>
  <c r="K30"/>
  <c r="Q30"/>
  <c r="Z30"/>
  <c r="G30"/>
  <c r="AB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AB31" i="2"/>
  <c r="X31"/>
  <c r="Q31"/>
  <c r="M31"/>
  <c r="G31"/>
  <c r="Z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I8" s="1"/>
  <c r="B16" i="7"/>
  <c r="H9" i="3" l="1"/>
  <c r="B17" i="7"/>
  <c r="H11" i="3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I10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D23" i="1"/>
  <c r="E23" s="1"/>
  <c r="I22"/>
  <c r="R32" i="7" l="1"/>
  <c r="P33"/>
  <c r="R33" l="1"/>
  <c r="U24" i="5"/>
  <c r="R23" i="1"/>
  <c r="V23" s="1"/>
  <c r="S23"/>
  <c r="AL23" s="1"/>
  <c r="AA23"/>
  <c r="Y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T3" s="1"/>
  <c r="I3"/>
  <c r="J2" i="82"/>
  <c r="U6" i="5"/>
  <c r="H6"/>
  <c r="D5" i="75"/>
  <c r="E5" s="1"/>
  <c r="Y5" i="1"/>
  <c r="R5"/>
  <c r="G5"/>
  <c r="AB4" i="2"/>
  <c r="Z4"/>
  <c r="K4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J4" i="63"/>
  <c r="K6" i="76"/>
  <c r="N6" s="1"/>
  <c r="K5"/>
  <c r="N5" s="1"/>
  <c r="M6" i="2"/>
  <c r="E4" i="82" s="1"/>
  <c r="X5" i="2"/>
  <c r="K7" i="76"/>
  <c r="N7" s="1"/>
  <c r="I7"/>
  <c r="M7" s="1"/>
  <c r="G7"/>
  <c r="C7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R10" i="1"/>
  <c r="Z10" i="7"/>
  <c r="Z9" i="2"/>
  <c r="M8"/>
  <c r="E6" i="82" s="1"/>
  <c r="I8" i="1"/>
  <c r="G9"/>
  <c r="X8" i="2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T4" i="3" l="1"/>
  <c r="T5" s="1"/>
  <c r="T6" s="1"/>
  <c r="T7" s="1"/>
  <c r="T8" s="1"/>
  <c r="T9" s="1"/>
  <c r="T10" s="1"/>
  <c r="T11" s="1"/>
  <c r="T12" s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A35" i="76"/>
  <c r="V7" i="1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AO34" i="7" l="1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T13" s="1"/>
  <c r="T14" s="1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E15"/>
  <c r="B15"/>
  <c r="AR34" i="7"/>
  <c r="X34"/>
  <c r="X35"/>
  <c r="AR35"/>
  <c r="X36"/>
  <c r="AR36"/>
  <c r="AR42" s="1"/>
  <c r="U15" i="3"/>
  <c r="T15" s="1"/>
  <c r="T16" s="1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AQ7" s="1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U35"/>
  <c r="AS26" i="7"/>
  <c r="I28" i="3"/>
  <c r="X26" i="7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U36"/>
  <c r="AZ36" s="1"/>
  <c r="AS27" i="7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7" l="1"/>
  <c r="Y8" l="1"/>
  <c r="Y21" l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B6" i="5" l="1"/>
  <c r="C6" l="1"/>
  <c r="B7"/>
  <c r="C7" l="1"/>
  <c r="B8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B10"/>
  <c r="I8"/>
  <c r="D8"/>
  <c r="E8"/>
  <c r="G5" i="63"/>
  <c r="B11" i="5" l="1"/>
  <c r="C10"/>
  <c r="D9"/>
  <c r="G6" i="63"/>
  <c r="I9" i="5"/>
  <c r="E9"/>
  <c r="J8"/>
  <c r="L4" i="81" s="1"/>
  <c r="K4"/>
  <c r="K5" l="1"/>
  <c r="J9" i="5"/>
  <c r="L5" i="81" s="1"/>
  <c r="B12" i="5"/>
  <c r="C11"/>
  <c r="E10"/>
  <c r="I10"/>
  <c r="D10"/>
  <c r="G7" i="63"/>
  <c r="J10" i="5" l="1"/>
  <c r="L6" i="81" s="1"/>
  <c r="K6"/>
  <c r="B13" i="5"/>
  <c r="C12"/>
  <c r="E11"/>
  <c r="G8" i="63"/>
  <c r="D11" i="5"/>
  <c r="I11"/>
  <c r="K7" i="81" l="1"/>
  <c r="J11" i="5"/>
  <c r="L7" i="81" s="1"/>
  <c r="D12" i="5"/>
  <c r="I12"/>
  <c r="E12"/>
  <c r="G9" i="63"/>
  <c r="C13" i="5"/>
  <c r="B14"/>
  <c r="K8" i="81" l="1"/>
  <c r="J12" i="5"/>
  <c r="L8" i="81" s="1"/>
  <c r="C14" i="5"/>
  <c r="B15"/>
  <c r="E13"/>
  <c r="G10" i="63"/>
  <c r="D13" i="5"/>
  <c r="I13"/>
  <c r="J13" l="1"/>
  <c r="L9" i="81" s="1"/>
  <c r="K9"/>
  <c r="C15" i="5"/>
  <c r="B16"/>
  <c r="E14"/>
  <c r="G11" i="63"/>
  <c r="D14" i="5"/>
  <c r="I14"/>
  <c r="D15" l="1"/>
  <c r="E15"/>
  <c r="I15"/>
  <c r="G12" i="63"/>
  <c r="K10" i="81"/>
  <c r="J14" i="5"/>
  <c r="L10" i="81" s="1"/>
  <c r="C16" i="5"/>
  <c r="B17"/>
  <c r="B18" l="1"/>
  <c r="C17"/>
  <c r="J15"/>
  <c r="L11" i="81" s="1"/>
  <c r="K11"/>
  <c r="G13" i="63"/>
  <c r="I16" i="5"/>
  <c r="E16"/>
  <c r="D16"/>
  <c r="C18" l="1"/>
  <c r="B19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B20"/>
  <c r="J18" l="1"/>
  <c r="L14" i="81" s="1"/>
  <c r="K14"/>
  <c r="D19" i="5"/>
  <c r="I19"/>
  <c r="G16" i="63"/>
  <c r="E19" i="5"/>
  <c r="B21"/>
  <c r="C20"/>
  <c r="G2" i="63"/>
  <c r="E20" i="5" l="1"/>
  <c r="I20"/>
  <c r="G17" i="63"/>
  <c r="D20" i="5"/>
  <c r="K15" i="81"/>
  <c r="J19" i="5"/>
  <c r="L15" i="81" s="1"/>
  <c r="C21" i="5"/>
  <c r="B22"/>
  <c r="J20" l="1"/>
  <c r="L16" i="81" s="1"/>
  <c r="K16"/>
  <c r="C22" i="5"/>
  <c r="B23"/>
  <c r="G18" i="63"/>
  <c r="I21" i="5"/>
  <c r="E21"/>
  <c r="D21"/>
  <c r="J21" l="1"/>
  <c r="L17" i="81" s="1"/>
  <c r="K17"/>
  <c r="C23" i="5"/>
  <c r="B24"/>
  <c r="D22"/>
  <c r="E22"/>
  <c r="I22"/>
  <c r="G19" i="63"/>
  <c r="G20" l="1"/>
  <c r="I23" i="5"/>
  <c r="D23"/>
  <c r="E23"/>
  <c r="C24"/>
  <c r="B25"/>
  <c r="J22"/>
  <c r="L18" i="81" s="1"/>
  <c r="K18"/>
  <c r="C25" i="5" l="1"/>
  <c r="B26"/>
  <c r="K19" i="81"/>
  <c r="J23" i="5"/>
  <c r="L19" i="81" s="1"/>
  <c r="I24" i="5"/>
  <c r="D24"/>
  <c r="E24"/>
  <c r="G21" i="63"/>
  <c r="G22" l="1"/>
  <c r="I25" i="5"/>
  <c r="E25"/>
  <c r="D25"/>
  <c r="C26"/>
  <c r="B27"/>
  <c r="J24"/>
  <c r="L20" i="81" s="1"/>
  <c r="K20"/>
  <c r="D26" i="5" l="1"/>
  <c r="E26"/>
  <c r="I26"/>
  <c r="G23" i="63"/>
  <c r="C27" i="5"/>
  <c r="B28"/>
  <c r="J25"/>
  <c r="L21" i="81" s="1"/>
  <c r="K21"/>
  <c r="K22" l="1"/>
  <c r="J26" i="5"/>
  <c r="L22" i="81" s="1"/>
  <c r="E27" i="5"/>
  <c r="I27"/>
  <c r="D27"/>
  <c r="G24" i="63"/>
  <c r="C28" i="5"/>
  <c r="B29"/>
  <c r="E28" l="1"/>
  <c r="I28"/>
  <c r="D28"/>
  <c r="G25" i="63"/>
  <c r="C29" i="5"/>
  <c r="B30"/>
  <c r="K23" i="81"/>
  <c r="J27" i="5"/>
  <c r="L23" i="81" s="1"/>
  <c r="D29" i="5" l="1"/>
  <c r="G26" i="63"/>
  <c r="I29" i="5"/>
  <c r="E29"/>
  <c r="B31"/>
  <c r="B32" s="1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B33"/>
  <c r="B34" s="1"/>
  <c r="B35" l="1"/>
  <c r="C34"/>
  <c r="C33"/>
  <c r="J31"/>
  <c r="L27" i="81" s="1"/>
  <c r="K27"/>
  <c r="I32" i="5"/>
  <c r="D32"/>
  <c r="G29" i="63"/>
  <c r="E32" i="5"/>
  <c r="I34" l="1"/>
  <c r="E34"/>
  <c r="D34"/>
  <c r="B36"/>
  <c r="C36" s="1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K32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14" l="1"/>
  <c r="F20" l="1"/>
  <c r="F21" l="1"/>
  <c r="F27" l="1"/>
  <c r="F30" l="1"/>
  <c r="B36" i="74" l="1"/>
  <c r="B39"/>
  <c r="Z6" i="5" l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7" l="1"/>
  <c r="AJ6"/>
  <c r="K2" i="82" s="1"/>
  <c r="AA6" i="5"/>
  <c r="Z8" l="1"/>
  <c r="AJ7"/>
  <c r="K3" i="82" s="1"/>
  <c r="AA7" i="5"/>
  <c r="Z9" l="1"/>
  <c r="AJ8"/>
  <c r="K4" i="82" s="1"/>
  <c r="AA8" i="5"/>
  <c r="Z10" l="1"/>
  <c r="AJ9"/>
  <c r="K5" i="82" s="1"/>
  <c r="AA9" i="5"/>
  <c r="Z11" l="1"/>
  <c r="AA10"/>
  <c r="AJ10"/>
  <c r="K6" i="82" s="1"/>
  <c r="Z12" i="5" l="1"/>
  <c r="AJ11"/>
  <c r="K7" i="82" s="1"/>
  <c r="AA11" i="5"/>
  <c r="Z13" l="1"/>
  <c r="AA12"/>
  <c r="AJ12"/>
  <c r="K8" i="82" s="1"/>
  <c r="Z14" i="5" l="1"/>
  <c r="AA13"/>
  <c r="AJ13"/>
  <c r="K9" i="82" s="1"/>
  <c r="Z15" i="5" l="1"/>
  <c r="AJ14"/>
  <c r="K10" i="82" s="1"/>
  <c r="AA14" i="5"/>
  <c r="Z16" l="1"/>
  <c r="AA15"/>
  <c r="AJ15"/>
  <c r="K11" i="82" s="1"/>
  <c r="AF11" i="76"/>
  <c r="AE11"/>
  <c r="Z17" i="5" l="1"/>
  <c r="AJ16"/>
  <c r="K12" i="82" s="1"/>
  <c r="AA16" i="5"/>
  <c r="Z18" l="1"/>
  <c r="AA17"/>
  <c r="AJ17"/>
  <c r="K13" i="82" s="1"/>
  <c r="Z19" i="5" l="1"/>
  <c r="AJ18"/>
  <c r="K14" i="82" s="1"/>
  <c r="AA18" i="5"/>
  <c r="Z20" l="1"/>
  <c r="AA19"/>
  <c r="AJ19"/>
  <c r="K15" i="82" s="1"/>
  <c r="Z21" i="5" l="1"/>
  <c r="AA20"/>
  <c r="AJ20"/>
  <c r="K16" i="82" s="1"/>
  <c r="Z22" i="5" l="1"/>
  <c r="AJ21"/>
  <c r="K17" i="82" s="1"/>
  <c r="AA21" i="5"/>
  <c r="Z23" l="1"/>
  <c r="AA22"/>
  <c r="AJ22"/>
  <c r="K18" i="82" s="1"/>
  <c r="Z24" i="5" l="1"/>
  <c r="AJ23"/>
  <c r="K19" i="82" s="1"/>
  <c r="AA23" i="5"/>
  <c r="Z25" l="1"/>
  <c r="AJ24"/>
  <c r="K20" i="82" s="1"/>
  <c r="AA24" i="5"/>
  <c r="AJ25" l="1"/>
  <c r="K21" i="82" s="1"/>
  <c r="AA25" i="5"/>
  <c r="Z27" l="1"/>
  <c r="AA26"/>
  <c r="AJ26"/>
  <c r="K22" i="82" s="1"/>
  <c r="Z28" i="5" l="1"/>
  <c r="AJ27"/>
  <c r="K23" i="82" s="1"/>
  <c r="AA27" i="5"/>
  <c r="Z29" l="1"/>
  <c r="AA28"/>
  <c r="AJ28"/>
  <c r="K24" i="82" s="1"/>
  <c r="Z30" i="5" l="1"/>
  <c r="AA29"/>
  <c r="AJ29"/>
  <c r="K25" i="82" s="1"/>
  <c r="Z31" i="5" l="1"/>
  <c r="AA30"/>
  <c r="AJ30"/>
  <c r="K26" i="82" s="1"/>
  <c r="Z32" i="5" l="1"/>
  <c r="AJ31"/>
  <c r="K27" i="82" s="1"/>
  <c r="AA31" i="5"/>
  <c r="Z33" l="1"/>
  <c r="AJ32"/>
  <c r="K28" i="82" s="1"/>
  <c r="AA32" i="5"/>
  <c r="AA34" l="1"/>
  <c r="Z35"/>
  <c r="AJ34"/>
  <c r="K30" i="82" s="1"/>
  <c r="AA33" i="5"/>
  <c r="AJ33"/>
  <c r="Z36" l="1"/>
  <c r="AJ35"/>
  <c r="K31" i="82" s="1"/>
  <c r="AA35" i="5"/>
  <c r="K29" i="82"/>
  <c r="AJ36" i="5" l="1"/>
  <c r="AA36"/>
  <c r="AC27" i="76"/>
  <c r="AC28"/>
  <c r="AC26"/>
  <c r="K32" i="82" l="1"/>
  <c r="AJ37" i="5"/>
  <c r="Z38" s="1"/>
  <c r="AC29" i="76"/>
  <c r="O32" l="1"/>
  <c r="P32" s="1"/>
  <c r="O34"/>
  <c r="O33"/>
  <c r="P33" s="1"/>
  <c r="O25"/>
  <c r="P25" s="1"/>
  <c r="O13"/>
  <c r="P13" s="1"/>
  <c r="O7"/>
  <c r="P7" s="1"/>
  <c r="O11"/>
  <c r="P11" s="1"/>
  <c r="O18"/>
  <c r="P18" s="1"/>
  <c r="AC33"/>
  <c r="O8"/>
  <c r="P8" s="1"/>
  <c r="O12"/>
  <c r="P12" s="1"/>
  <c r="O21"/>
  <c r="P21" s="1"/>
  <c r="O26"/>
  <c r="P26" s="1"/>
  <c r="O10"/>
  <c r="P10" s="1"/>
  <c r="O14"/>
  <c r="P14" s="1"/>
  <c r="O4"/>
  <c r="P4" s="1"/>
  <c r="O30"/>
  <c r="P30" s="1"/>
  <c r="O20"/>
  <c r="P20" s="1"/>
  <c r="O5"/>
  <c r="P5" s="1"/>
  <c r="O16"/>
  <c r="P16" s="1"/>
  <c r="O24"/>
  <c r="P24" s="1"/>
  <c r="O9"/>
  <c r="P9" s="1"/>
  <c r="O17"/>
  <c r="P17" s="1"/>
  <c r="O28"/>
  <c r="P28" s="1"/>
  <c r="O19"/>
  <c r="P19" s="1"/>
  <c r="AB30"/>
  <c r="O23"/>
  <c r="P23" s="1"/>
  <c r="O31"/>
  <c r="P31" s="1"/>
  <c r="O29"/>
  <c r="P29" s="1"/>
  <c r="O27"/>
  <c r="P27" s="1"/>
  <c r="O22"/>
  <c r="P22" s="1"/>
  <c r="O6"/>
  <c r="P6" s="1"/>
  <c r="O15"/>
  <c r="P15" s="1"/>
  <c r="O35" l="1"/>
  <c r="P34"/>
  <c r="D10" i="77"/>
  <c r="E10" s="1"/>
  <c r="E12" s="1"/>
  <c r="AB33" i="76"/>
  <c r="AB34" s="1"/>
  <c r="AB36"/>
  <c r="AB38" s="1"/>
  <c r="F10" i="77" l="1"/>
  <c r="F12" s="1"/>
  <c r="G10"/>
  <c r="G12" s="1"/>
  <c r="H14" l="1"/>
  <c r="I14"/>
  <c r="AC6" i="5" l="1"/>
  <c r="AC7" s="1"/>
  <c r="AC8" l="1"/>
  <c r="AD7"/>
  <c r="AG6"/>
  <c r="AE6"/>
  <c r="U4" i="2"/>
  <c r="AE5" i="1"/>
  <c r="S4" i="2"/>
  <c r="AC5" i="1"/>
  <c r="AC4" i="2"/>
  <c r="AE6" i="1" l="1"/>
  <c r="AF5"/>
  <c r="AH5" s="1"/>
  <c r="AC6"/>
  <c r="AD5"/>
  <c r="AE7" i="5"/>
  <c r="AF6"/>
  <c r="AC9"/>
  <c r="AD8"/>
  <c r="AG7"/>
  <c r="AH6"/>
  <c r="T4" i="2"/>
  <c r="S5"/>
  <c r="AC5"/>
  <c r="AD4"/>
  <c r="U5"/>
  <c r="V4"/>
  <c r="F5" i="75"/>
  <c r="G5" s="1"/>
  <c r="C5" i="65" l="1"/>
  <c r="E5" s="1"/>
  <c r="AI5" i="1"/>
  <c r="AC7"/>
  <c r="AD6"/>
  <c r="AC6" i="2"/>
  <c r="AD5"/>
  <c r="AH7" i="5"/>
  <c r="AG8"/>
  <c r="AG5" i="1"/>
  <c r="AM5"/>
  <c r="AC10" i="5"/>
  <c r="AD9"/>
  <c r="AE4" i="2"/>
  <c r="AG4" s="1"/>
  <c r="A2" i="63"/>
  <c r="AF7" i="5"/>
  <c r="AE8"/>
  <c r="AE7" i="1"/>
  <c r="AF6"/>
  <c r="AH6" s="1"/>
  <c r="U6" i="2"/>
  <c r="V5"/>
  <c r="AF5" s="1"/>
  <c r="S6"/>
  <c r="T5"/>
  <c r="AF4"/>
  <c r="AI6" i="5"/>
  <c r="AI7" l="1"/>
  <c r="H6" i="65"/>
  <c r="B3" i="63"/>
  <c r="AH8" i="5"/>
  <c r="AG9"/>
  <c r="T6" i="2"/>
  <c r="S7"/>
  <c r="AC8" i="1"/>
  <c r="AD7"/>
  <c r="AD10" i="5"/>
  <c r="AC11"/>
  <c r="B2" i="63"/>
  <c r="H5" i="65"/>
  <c r="AE8" i="1"/>
  <c r="AF7"/>
  <c r="AH7" s="1"/>
  <c r="AC7" i="2"/>
  <c r="AD6"/>
  <c r="C6" i="65"/>
  <c r="E6" s="1"/>
  <c r="AI6" i="1"/>
  <c r="AW7" i="7" s="1"/>
  <c r="AW6"/>
  <c r="F6" i="75"/>
  <c r="G6" s="1"/>
  <c r="A3" i="63"/>
  <c r="AE5" i="2"/>
  <c r="AG5" s="1"/>
  <c r="AF8" i="5"/>
  <c r="AE9"/>
  <c r="AM6" i="1"/>
  <c r="F7" i="75" s="1"/>
  <c r="G7" s="1"/>
  <c r="AG6" i="1"/>
  <c r="V6" i="2"/>
  <c r="U7"/>
  <c r="AF6" l="1"/>
  <c r="B4" i="63" s="1"/>
  <c r="AC12" i="5"/>
  <c r="AD11"/>
  <c r="U8" i="2"/>
  <c r="V7"/>
  <c r="AF8" i="1"/>
  <c r="AH8" s="1"/>
  <c r="AE9"/>
  <c r="AI7"/>
  <c r="AW8" i="7" s="1"/>
  <c r="C7" i="65"/>
  <c r="E7" s="1"/>
  <c r="T7" i="2"/>
  <c r="S8"/>
  <c r="AG10" i="5"/>
  <c r="AH9"/>
  <c r="AF9"/>
  <c r="AE10"/>
  <c r="AE6" i="2"/>
  <c r="AG6" s="1"/>
  <c r="A4" i="63"/>
  <c r="AD8" i="1"/>
  <c r="AC9"/>
  <c r="AJ6"/>
  <c r="AK6" s="1"/>
  <c r="G3" i="81"/>
  <c r="AX7" i="7"/>
  <c r="AX6"/>
  <c r="Q4" i="76" s="1"/>
  <c r="G2" i="81"/>
  <c r="AJ5" i="1"/>
  <c r="AK5" s="1"/>
  <c r="AD7" i="2"/>
  <c r="AC8"/>
  <c r="AM7" i="1"/>
  <c r="AG7"/>
  <c r="AI8" i="5"/>
  <c r="H7" i="65" l="1"/>
  <c r="AC9" i="2"/>
  <c r="AD8"/>
  <c r="AG8" i="1"/>
  <c r="AM8"/>
  <c r="F9" i="75" s="1"/>
  <c r="G9" s="1"/>
  <c r="U9" i="2"/>
  <c r="V8"/>
  <c r="AG11" i="5"/>
  <c r="AH10"/>
  <c r="AF9" i="1"/>
  <c r="AH9" s="1"/>
  <c r="AE10"/>
  <c r="AI9" i="5"/>
  <c r="AD12"/>
  <c r="AC13"/>
  <c r="AE7" i="2"/>
  <c r="AG7" s="1"/>
  <c r="A5" i="63"/>
  <c r="S9" i="2"/>
  <c r="T8"/>
  <c r="C8" i="65"/>
  <c r="E8" s="1"/>
  <c r="AI8" i="1"/>
  <c r="F8" i="75"/>
  <c r="G8" s="1"/>
  <c r="BJ7" i="7"/>
  <c r="AY7"/>
  <c r="Q5" i="76"/>
  <c r="R5" s="1"/>
  <c r="T5" s="1"/>
  <c r="F3" i="81" s="1"/>
  <c r="AE11" i="5"/>
  <c r="AF10"/>
  <c r="G4" i="81"/>
  <c r="AJ7" i="1"/>
  <c r="AK7" s="1"/>
  <c r="AX8" i="7"/>
  <c r="AF7" i="2"/>
  <c r="AC10" i="1"/>
  <c r="AD9"/>
  <c r="BJ6" i="7"/>
  <c r="R4" i="76"/>
  <c r="AY6" i="7"/>
  <c r="T4" i="76" l="1"/>
  <c r="F2" i="81" s="1"/>
  <c r="AI10" i="5"/>
  <c r="C9" i="65"/>
  <c r="E9" s="1"/>
  <c r="AI9" i="1"/>
  <c r="AW10" i="7" s="1"/>
  <c r="AC14" i="5"/>
  <c r="AD13"/>
  <c r="U10" i="2"/>
  <c r="V9"/>
  <c r="H8" i="65"/>
  <c r="B5" i="63"/>
  <c r="AF8" i="2"/>
  <c r="AE12" i="5"/>
  <c r="AF11"/>
  <c r="AE8" i="2"/>
  <c r="AG8" s="1"/>
  <c r="A6" i="63"/>
  <c r="AW9" i="7"/>
  <c r="AD10" i="1"/>
  <c r="AC11"/>
  <c r="AH11" i="5"/>
  <c r="AG12"/>
  <c r="AD9" i="2"/>
  <c r="AC10"/>
  <c r="AE11" i="1"/>
  <c r="AF10"/>
  <c r="AH10" s="1"/>
  <c r="Q6" i="76"/>
  <c r="R6" s="1"/>
  <c r="T6" s="1"/>
  <c r="F4" i="81" s="1"/>
  <c r="BJ8" i="7"/>
  <c r="AY8"/>
  <c r="AG9" i="1"/>
  <c r="AM9"/>
  <c r="F10" i="75" s="1"/>
  <c r="G10" s="1"/>
  <c r="S10" i="2"/>
  <c r="T9"/>
  <c r="AI10" i="1" l="1"/>
  <c r="C10" i="65"/>
  <c r="E10" s="1"/>
  <c r="AJ9" i="1"/>
  <c r="AK9" s="1"/>
  <c r="AX10" i="7"/>
  <c r="G6" i="81"/>
  <c r="AD11" i="1"/>
  <c r="AC12"/>
  <c r="AI11" i="5"/>
  <c r="AF12"/>
  <c r="AE13"/>
  <c r="AC15"/>
  <c r="AD14"/>
  <c r="V10" i="2"/>
  <c r="U11"/>
  <c r="H9" i="65"/>
  <c r="B6" i="63"/>
  <c r="S11" i="2"/>
  <c r="T10"/>
  <c r="AF9"/>
  <c r="AG10" i="1"/>
  <c r="AM10"/>
  <c r="F11" i="75" s="1"/>
  <c r="G11" s="1"/>
  <c r="AH12" i="5"/>
  <c r="AG13"/>
  <c r="AC11" i="2"/>
  <c r="AD10"/>
  <c r="AE9"/>
  <c r="AG9" s="1"/>
  <c r="A7" i="63"/>
  <c r="AE12" i="1"/>
  <c r="AF11"/>
  <c r="AH11" s="1"/>
  <c r="AJ8"/>
  <c r="AK8" s="1"/>
  <c r="AX9" i="7"/>
  <c r="G5" i="81"/>
  <c r="AI12" i="5" l="1"/>
  <c r="AW11" i="7"/>
  <c r="AI11" i="1"/>
  <c r="AW12" i="7" s="1"/>
  <c r="C11" i="65"/>
  <c r="E11" s="1"/>
  <c r="AF13" i="5"/>
  <c r="AE14"/>
  <c r="AD15"/>
  <c r="AC16"/>
  <c r="AF12" i="1"/>
  <c r="AH12" s="1"/>
  <c r="AE13"/>
  <c r="U12" i="2"/>
  <c r="V11"/>
  <c r="AM11" i="1"/>
  <c r="AG11"/>
  <c r="H10" i="65"/>
  <c r="B7" i="63"/>
  <c r="Q8" i="76"/>
  <c r="R8" s="1"/>
  <c r="T8" s="1"/>
  <c r="F6" i="81" s="1"/>
  <c r="BJ10" i="7"/>
  <c r="AY10"/>
  <c r="AY9"/>
  <c r="Q7" i="76"/>
  <c r="R7" s="1"/>
  <c r="T7" s="1"/>
  <c r="F5" i="81" s="1"/>
  <c r="BJ9" i="7"/>
  <c r="AC13" i="1"/>
  <c r="AD12"/>
  <c r="AF10" i="2"/>
  <c r="S12"/>
  <c r="T11"/>
  <c r="A8" i="63"/>
  <c r="AE10" i="2"/>
  <c r="AG10" s="1"/>
  <c r="AH13" i="5"/>
  <c r="AG14"/>
  <c r="AC12" i="2"/>
  <c r="AD11"/>
  <c r="AI13" i="5" l="1"/>
  <c r="AC13" i="2"/>
  <c r="AD12"/>
  <c r="AG12" i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S13" i="2"/>
  <c r="T12"/>
  <c r="A9" i="63"/>
  <c r="AE11" i="2"/>
  <c r="AG11" s="1"/>
  <c r="AE15" i="5"/>
  <c r="AF14"/>
  <c r="AE14" i="1"/>
  <c r="AF13"/>
  <c r="AH13" s="1"/>
  <c r="AI12"/>
  <c r="C12" i="65"/>
  <c r="E12" s="1"/>
  <c r="B8" i="63"/>
  <c r="H11" i="65"/>
  <c r="V12" i="2"/>
  <c r="U13"/>
  <c r="AH14" i="5"/>
  <c r="AG15"/>
  <c r="AC14" i="1"/>
  <c r="AD13"/>
  <c r="AC17" i="5"/>
  <c r="AD16"/>
  <c r="AF11" i="2"/>
  <c r="AI14" i="5" l="1"/>
  <c r="AF12" i="2"/>
  <c r="B10" i="63" s="1"/>
  <c r="AF15" i="5"/>
  <c r="AE16"/>
  <c r="AC14" i="2"/>
  <c r="AD13"/>
  <c r="H12" i="65"/>
  <c r="B9" i="63"/>
  <c r="U14" i="2"/>
  <c r="V13"/>
  <c r="AE15" i="1"/>
  <c r="AF14"/>
  <c r="AH14" s="1"/>
  <c r="C13" i="65"/>
  <c r="E13" s="1"/>
  <c r="AI13" i="1"/>
  <c r="AW14" i="7" s="1"/>
  <c r="AH15" i="5"/>
  <c r="AG16"/>
  <c r="AW13" i="7"/>
  <c r="S14" i="2"/>
  <c r="T13"/>
  <c r="Q9" i="76"/>
  <c r="R9" s="1"/>
  <c r="T9" s="1"/>
  <c r="F7" i="81" s="1"/>
  <c r="AY11" i="7"/>
  <c r="BJ11"/>
  <c r="BJ12"/>
  <c r="Q10" i="76"/>
  <c r="R10" s="1"/>
  <c r="T10" s="1"/>
  <c r="F8" i="81" s="1"/>
  <c r="AY12" i="7"/>
  <c r="AD14" i="1"/>
  <c r="AC15"/>
  <c r="AE12" i="2"/>
  <c r="AG12" s="1"/>
  <c r="A10" i="63"/>
  <c r="AG13" i="1"/>
  <c r="AM13"/>
  <c r="F14" i="75" s="1"/>
  <c r="G14" s="1"/>
  <c r="AC18" i="5"/>
  <c r="AD17"/>
  <c r="H13" i="65" l="1"/>
  <c r="AI15" i="5"/>
  <c r="AI14" i="1"/>
  <c r="AW15" i="7" s="1"/>
  <c r="C14" i="65"/>
  <c r="E14" s="1"/>
  <c r="AE13" i="2"/>
  <c r="AG13" s="1"/>
  <c r="A11" i="63"/>
  <c r="AC15" i="2"/>
  <c r="AD14"/>
  <c r="AG14" i="1"/>
  <c r="AM14"/>
  <c r="F15" i="75" s="1"/>
  <c r="G15" s="1"/>
  <c r="AC16" i="1"/>
  <c r="AD15"/>
  <c r="AX14" i="7"/>
  <c r="AJ13" i="1"/>
  <c r="AK13" s="1"/>
  <c r="G10" i="81"/>
  <c r="AG17" i="5"/>
  <c r="AH16"/>
  <c r="AE16" i="1"/>
  <c r="AF15"/>
  <c r="AH15" s="1"/>
  <c r="AC19" i="5"/>
  <c r="AD18"/>
  <c r="AX13" i="7"/>
  <c r="AJ12" i="1"/>
  <c r="AK12" s="1"/>
  <c r="G9" i="81"/>
  <c r="V14" i="2"/>
  <c r="U15"/>
  <c r="T14"/>
  <c r="S15"/>
  <c r="AF16" i="5"/>
  <c r="AE17"/>
  <c r="AF13" i="2"/>
  <c r="AI16" i="5" l="1"/>
  <c r="AD16" i="1"/>
  <c r="AC17"/>
  <c r="Q12" i="76"/>
  <c r="R12" s="1"/>
  <c r="T12" s="1"/>
  <c r="F10" i="81" s="1"/>
  <c r="AY14" i="7"/>
  <c r="BJ14"/>
  <c r="C15" i="65"/>
  <c r="E15" s="1"/>
  <c r="AI15" i="1"/>
  <c r="AW16" i="7" s="1"/>
  <c r="AM15" i="1"/>
  <c r="F16" i="75" s="1"/>
  <c r="G16" s="1"/>
  <c r="AG15" i="1"/>
  <c r="AC16" i="2"/>
  <c r="AD15"/>
  <c r="G11" i="81"/>
  <c r="AJ14" i="1"/>
  <c r="AK14" s="1"/>
  <c r="AX15" i="7"/>
  <c r="Q13" i="76" s="1"/>
  <c r="AD19" i="5"/>
  <c r="AC20"/>
  <c r="AF17"/>
  <c r="AE18"/>
  <c r="B11" i="63"/>
  <c r="H14" i="65"/>
  <c r="AG18" i="5"/>
  <c r="AH17"/>
  <c r="S16" i="2"/>
  <c r="T15"/>
  <c r="AF14"/>
  <c r="A12" i="63"/>
  <c r="AE14" i="2"/>
  <c r="AG14" s="1"/>
  <c r="Q11" i="76"/>
  <c r="R11" s="1"/>
  <c r="T11" s="1"/>
  <c r="F9" i="81" s="1"/>
  <c r="BJ13" i="7"/>
  <c r="AY13"/>
  <c r="U16" i="2"/>
  <c r="V15"/>
  <c r="AF16" i="1"/>
  <c r="AH16" s="1"/>
  <c r="AE17"/>
  <c r="AI17" i="5" l="1"/>
  <c r="AF15" i="2"/>
  <c r="H16" i="65" s="1"/>
  <c r="H15"/>
  <c r="B12" i="63"/>
  <c r="AM16" i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AE18"/>
  <c r="BJ15" i="7"/>
  <c r="AY15"/>
  <c r="R13" i="76"/>
  <c r="T13" s="1"/>
  <c r="F11" i="81" s="1"/>
  <c r="S17" i="2"/>
  <c r="T16"/>
  <c r="AX16" i="7"/>
  <c r="AJ15" i="1"/>
  <c r="AK15" s="1"/>
  <c r="G12" i="81"/>
  <c r="AF18" i="5"/>
  <c r="AE19"/>
  <c r="AC17" i="2"/>
  <c r="AD16"/>
  <c r="U17"/>
  <c r="V16"/>
  <c r="AE15"/>
  <c r="AG15" s="1"/>
  <c r="A13" i="63"/>
  <c r="AC21" i="5"/>
  <c r="AD20"/>
  <c r="AI18" l="1"/>
  <c r="B13" i="63"/>
  <c r="A14"/>
  <c r="AE16" i="2"/>
  <c r="AG16" s="1"/>
  <c r="AC19" i="1"/>
  <c r="AD18"/>
  <c r="AY16" i="7"/>
  <c r="BJ16"/>
  <c r="Q14" i="76"/>
  <c r="R14" s="1"/>
  <c r="T14" s="1"/>
  <c r="F12" i="81" s="1"/>
  <c r="AC18" i="2"/>
  <c r="AD17"/>
  <c r="AM17" i="1"/>
  <c r="F18" i="75" s="1"/>
  <c r="G18" s="1"/>
  <c r="AG17" i="1"/>
  <c r="AX17" i="7"/>
  <c r="AJ16" i="1"/>
  <c r="AK16" s="1"/>
  <c r="G13" i="81"/>
  <c r="S18" i="2"/>
  <c r="T17"/>
  <c r="V17"/>
  <c r="U18"/>
  <c r="AF16"/>
  <c r="AI17" i="1"/>
  <c r="AW18" i="7" s="1"/>
  <c r="C17" i="65"/>
  <c r="E17" s="1"/>
  <c r="AE19" i="1"/>
  <c r="AF18"/>
  <c r="AH18" s="1"/>
  <c r="AC22" i="5"/>
  <c r="AD21"/>
  <c r="AE20"/>
  <c r="AF19"/>
  <c r="AG20"/>
  <c r="AH19"/>
  <c r="AI19" l="1"/>
  <c r="AF17" i="2"/>
  <c r="H18" i="65" s="1"/>
  <c r="AC19" i="2"/>
  <c r="AD18"/>
  <c r="AD22" i="5"/>
  <c r="AC23"/>
  <c r="AE21"/>
  <c r="AF20"/>
  <c r="V18" i="2"/>
  <c r="U19"/>
  <c r="AC20" i="1"/>
  <c r="AD19"/>
  <c r="AH20" i="5"/>
  <c r="AG21"/>
  <c r="G14" i="81"/>
  <c r="AJ17" i="1"/>
  <c r="AK17" s="1"/>
  <c r="AX18" i="7"/>
  <c r="BJ17"/>
  <c r="Q15" i="76"/>
  <c r="R15" s="1"/>
  <c r="T15" s="1"/>
  <c r="F13" i="81" s="1"/>
  <c r="AY17" i="7"/>
  <c r="AE17" i="2"/>
  <c r="AG17" s="1"/>
  <c r="A15" i="63"/>
  <c r="B14"/>
  <c r="H17" i="65"/>
  <c r="AG18" i="1"/>
  <c r="AM18"/>
  <c r="F19" i="75" s="1"/>
  <c r="G19" s="1"/>
  <c r="AF19" i="1"/>
  <c r="AH19" s="1"/>
  <c r="AI18"/>
  <c r="AW19" i="7" s="1"/>
  <c r="C18" i="65"/>
  <c r="E18" s="1"/>
  <c r="T18" i="2"/>
  <c r="S19"/>
  <c r="B15" i="63" l="1"/>
  <c r="AD23" i="5"/>
  <c r="AC24"/>
  <c r="AX19" i="7"/>
  <c r="G15" i="81"/>
  <c r="AJ18" i="1"/>
  <c r="AK18" s="1"/>
  <c r="AF21" i="5"/>
  <c r="AE22"/>
  <c r="AG19" i="1"/>
  <c r="AM19"/>
  <c r="F20" i="75" s="1"/>
  <c r="G20" s="1"/>
  <c r="AE21" i="1"/>
  <c r="AF20"/>
  <c r="AH20" s="1"/>
  <c r="AI20" i="5"/>
  <c r="AD20" i="1"/>
  <c r="AC21"/>
  <c r="AC20" i="2"/>
  <c r="AD19"/>
  <c r="A16" i="63"/>
  <c r="AE18" i="2"/>
  <c r="AG18" s="1"/>
  <c r="BJ18" i="7"/>
  <c r="Q16" i="76"/>
  <c r="R16" s="1"/>
  <c r="T16" s="1"/>
  <c r="F14" i="81" s="1"/>
  <c r="AY18" i="7"/>
  <c r="AF18" i="2"/>
  <c r="C19" i="65"/>
  <c r="E19" s="1"/>
  <c r="AI19" i="1"/>
  <c r="AW20" i="7" s="1"/>
  <c r="AX20" s="1"/>
  <c r="AG22" i="5"/>
  <c r="AH21"/>
  <c r="T19" i="2"/>
  <c r="S20"/>
  <c r="V19"/>
  <c r="U20"/>
  <c r="AF19" l="1"/>
  <c r="H20" i="65" s="1"/>
  <c r="AD24" i="5"/>
  <c r="AC25"/>
  <c r="AF21" i="1"/>
  <c r="AH21" s="1"/>
  <c r="AE22"/>
  <c r="AY19" i="7"/>
  <c r="BJ19"/>
  <c r="Q17" i="76"/>
  <c r="R17" s="1"/>
  <c r="T17" s="1"/>
  <c r="F15" i="81" s="1"/>
  <c r="AG20" i="1"/>
  <c r="AM20"/>
  <c r="F21" i="75" s="1"/>
  <c r="G21" s="1"/>
  <c r="U21" i="2"/>
  <c r="V20"/>
  <c r="B16" i="63"/>
  <c r="H19" i="65"/>
  <c r="AD21" i="1"/>
  <c r="AC22"/>
  <c r="AI21" i="5"/>
  <c r="AC21" i="2"/>
  <c r="AD20"/>
  <c r="AF22" i="5"/>
  <c r="AE23"/>
  <c r="AG23"/>
  <c r="AH22"/>
  <c r="AE19" i="2"/>
  <c r="AG19" s="1"/>
  <c r="A17" i="63"/>
  <c r="C20" i="65"/>
  <c r="E20" s="1"/>
  <c r="AI20" i="1"/>
  <c r="AW21" i="7" s="1"/>
  <c r="S21" i="2"/>
  <c r="S22" s="1"/>
  <c r="T20"/>
  <c r="AJ19" i="1"/>
  <c r="AK19" s="1"/>
  <c r="G16" i="81"/>
  <c r="B17" i="63" l="1"/>
  <c r="AI22" i="5"/>
  <c r="AD21" i="2"/>
  <c r="AC22"/>
  <c r="V21"/>
  <c r="U22"/>
  <c r="AF20"/>
  <c r="AD22" i="1"/>
  <c r="AC23"/>
  <c r="AC26" i="5"/>
  <c r="AD25"/>
  <c r="AX21" i="7"/>
  <c r="G17" i="81"/>
  <c r="AJ20" i="1"/>
  <c r="AK20" s="1"/>
  <c r="AF22"/>
  <c r="AH22" s="1"/>
  <c r="AE23"/>
  <c r="T21" i="2"/>
  <c r="AE20"/>
  <c r="AG20" s="1"/>
  <c r="A18" i="63"/>
  <c r="AE24" i="5"/>
  <c r="AF23"/>
  <c r="AG24"/>
  <c r="AH23"/>
  <c r="AI21" i="1"/>
  <c r="AW22" i="7" s="1"/>
  <c r="C21" i="65"/>
  <c r="E21" s="1"/>
  <c r="AY20" i="7"/>
  <c r="Q18" i="76"/>
  <c r="R18" s="1"/>
  <c r="T18" s="1"/>
  <c r="F16" i="81" s="1"/>
  <c r="BJ20" i="7"/>
  <c r="AM21" i="1"/>
  <c r="F22" i="75" s="1"/>
  <c r="G22" s="1"/>
  <c r="AG21" i="1"/>
  <c r="AI23" i="5" l="1"/>
  <c r="AC23" i="2"/>
  <c r="AD22"/>
  <c r="AH24" i="5"/>
  <c r="AG25"/>
  <c r="C22" i="65"/>
  <c r="E22" s="1"/>
  <c r="AI22" i="1"/>
  <c r="AW23" i="7" s="1"/>
  <c r="H21" i="65"/>
  <c r="B18" i="63"/>
  <c r="Q19" i="76"/>
  <c r="R19" s="1"/>
  <c r="T19" s="1"/>
  <c r="F17" i="81" s="1"/>
  <c r="AY21" i="7"/>
  <c r="BJ21"/>
  <c r="AF23" i="1"/>
  <c r="AH23" s="1"/>
  <c r="AE24"/>
  <c r="AG22"/>
  <c r="AM22"/>
  <c r="F23" i="75" s="1"/>
  <c r="G23" s="1"/>
  <c r="AF24" i="5"/>
  <c r="AE25"/>
  <c r="U23" i="2"/>
  <c r="V22"/>
  <c r="AX22" i="7"/>
  <c r="AJ21" i="1"/>
  <c r="AK21" s="1"/>
  <c r="G18" i="81"/>
  <c r="AE21" i="2"/>
  <c r="AG21" s="1"/>
  <c r="A19" i="63"/>
  <c r="AD23" i="1"/>
  <c r="AC24"/>
  <c r="AS6" i="5"/>
  <c r="S23" i="2"/>
  <c r="T22"/>
  <c r="AD26" i="5"/>
  <c r="AC27"/>
  <c r="AF21" i="2"/>
  <c r="B19" i="63" l="1"/>
  <c r="H22" i="65"/>
  <c r="AF25" i="5"/>
  <c r="AE26"/>
  <c r="AC24" i="2"/>
  <c r="AD23"/>
  <c r="U24"/>
  <c r="V23"/>
  <c r="AF24" i="1"/>
  <c r="AH24" s="1"/>
  <c r="AF22" i="2"/>
  <c r="AM23" i="1"/>
  <c r="F24" i="75" s="1"/>
  <c r="G24" s="1"/>
  <c r="AG23" i="1"/>
  <c r="AY22" i="7"/>
  <c r="Q20" i="76"/>
  <c r="R20" s="1"/>
  <c r="T20" s="1"/>
  <c r="F18" i="81" s="1"/>
  <c r="BJ22" i="7"/>
  <c r="S24" i="2"/>
  <c r="T23"/>
  <c r="AE22"/>
  <c r="AG22" s="1"/>
  <c r="A20" i="63"/>
  <c r="AX23" i="7"/>
  <c r="AJ22" i="1"/>
  <c r="AK22" s="1"/>
  <c r="G19" i="81"/>
  <c r="AY6" i="5"/>
  <c r="BB6" s="1"/>
  <c r="BE6" s="1"/>
  <c r="BF6" s="1"/>
  <c r="AS7"/>
  <c r="AG26"/>
  <c r="AH25"/>
  <c r="AD24" i="1"/>
  <c r="AI23"/>
  <c r="AW24" i="7" s="1"/>
  <c r="C23" i="65"/>
  <c r="E23" s="1"/>
  <c r="AD27" i="5"/>
  <c r="AC28"/>
  <c r="AI24"/>
  <c r="AI25" l="1"/>
  <c r="AE26" i="1"/>
  <c r="AF25"/>
  <c r="AH25" s="1"/>
  <c r="AI24"/>
  <c r="AW25" i="7" s="1"/>
  <c r="C24" i="65"/>
  <c r="E24" s="1"/>
  <c r="AC29" i="5"/>
  <c r="AD28"/>
  <c r="AY23" i="7"/>
  <c r="Q21" i="76"/>
  <c r="R21" s="1"/>
  <c r="T21" s="1"/>
  <c r="F19" i="81" s="1"/>
  <c r="BJ23" i="7"/>
  <c r="AC25" i="2"/>
  <c r="AD24"/>
  <c r="S25"/>
  <c r="T24"/>
  <c r="A21" i="63"/>
  <c r="AE23" i="2"/>
  <c r="AG23" s="1"/>
  <c r="AS8" i="5"/>
  <c r="AY7"/>
  <c r="BB7" s="1"/>
  <c r="BE7" s="1"/>
  <c r="AD25" i="1"/>
  <c r="AC26"/>
  <c r="BG6" i="5"/>
  <c r="G6" i="65" s="1"/>
  <c r="I2" i="63"/>
  <c r="H23" i="65"/>
  <c r="B20" i="63"/>
  <c r="AE27" i="5"/>
  <c r="AF26"/>
  <c r="AG24" i="1"/>
  <c r="AM24"/>
  <c r="F25" i="75" s="1"/>
  <c r="G25" s="1"/>
  <c r="V24" i="2"/>
  <c r="U25"/>
  <c r="AH26" i="5"/>
  <c r="AG27"/>
  <c r="AX24" i="7"/>
  <c r="AJ23" i="1"/>
  <c r="AK23" s="1"/>
  <c r="G20" i="81"/>
  <c r="AF23" i="2"/>
  <c r="AI26" i="5" l="1"/>
  <c r="AF26" i="1"/>
  <c r="AH26" s="1"/>
  <c r="AE27"/>
  <c r="O6" i="5"/>
  <c r="AC27" i="1"/>
  <c r="AD26"/>
  <c r="AC26" i="2"/>
  <c r="AD25"/>
  <c r="T25"/>
  <c r="S26"/>
  <c r="AG25" i="1"/>
  <c r="AM25"/>
  <c r="F26" i="75" s="1"/>
  <c r="G26" s="1"/>
  <c r="AX25" i="7"/>
  <c r="G21" i="81"/>
  <c r="AJ24" i="1"/>
  <c r="AK24" s="1"/>
  <c r="H24" i="65"/>
  <c r="B21" i="63"/>
  <c r="U26" i="2"/>
  <c r="V25"/>
  <c r="AE24"/>
  <c r="AG24" s="1"/>
  <c r="A22" i="63"/>
  <c r="AC30" i="5"/>
  <c r="AD29"/>
  <c r="M6"/>
  <c r="AG28"/>
  <c r="AH27"/>
  <c r="AF24" i="2"/>
  <c r="I3" i="63"/>
  <c r="BF7" i="5"/>
  <c r="BG7" s="1"/>
  <c r="G7" i="65" s="1"/>
  <c r="AI25" i="1"/>
  <c r="AW26" i="7" s="1"/>
  <c r="C25" i="65"/>
  <c r="E25" s="1"/>
  <c r="G5"/>
  <c r="AY24" i="7"/>
  <c r="Q22" i="76"/>
  <c r="R22" s="1"/>
  <c r="T22" s="1"/>
  <c r="F20" i="81" s="1"/>
  <c r="BJ24" i="7"/>
  <c r="AE28" i="5"/>
  <c r="AF27"/>
  <c r="AS9"/>
  <c r="AY8"/>
  <c r="BB8" s="1"/>
  <c r="BE8" s="1"/>
  <c r="AF25" i="2" l="1"/>
  <c r="B23" i="63" s="1"/>
  <c r="AD27" i="1"/>
  <c r="AC28"/>
  <c r="U27" i="2"/>
  <c r="V26"/>
  <c r="AE28" i="1"/>
  <c r="AF27"/>
  <c r="AH27" s="1"/>
  <c r="H25" i="65"/>
  <c r="B22" i="63"/>
  <c r="O7" i="5"/>
  <c r="P6"/>
  <c r="AE29"/>
  <c r="AF28"/>
  <c r="AD30"/>
  <c r="AC31"/>
  <c r="AG26" i="1"/>
  <c r="AM26"/>
  <c r="F27" i="75" s="1"/>
  <c r="G27" s="1"/>
  <c r="I4" i="63"/>
  <c r="BF8" i="5"/>
  <c r="BG8" s="1"/>
  <c r="G8" i="65" s="1"/>
  <c r="C26"/>
  <c r="E26" s="1"/>
  <c r="AI26" i="1"/>
  <c r="AW27" i="7" s="1"/>
  <c r="S27" i="2"/>
  <c r="T26"/>
  <c r="V6" i="5"/>
  <c r="AX26" i="7"/>
  <c r="AJ25" i="1"/>
  <c r="AK25" s="1"/>
  <c r="G22" i="81"/>
  <c r="AD26" i="2"/>
  <c r="AC27"/>
  <c r="M7" i="5"/>
  <c r="N6"/>
  <c r="A23" i="63"/>
  <c r="AE25" i="2"/>
  <c r="AG25" s="1"/>
  <c r="AH28" i="5"/>
  <c r="AG29"/>
  <c r="AY25" i="7"/>
  <c r="BJ25"/>
  <c r="Q23" i="76"/>
  <c r="R23" s="1"/>
  <c r="T23" s="1"/>
  <c r="F21" i="81" s="1"/>
  <c r="AY9" i="5"/>
  <c r="BB9" s="1"/>
  <c r="BE9" s="1"/>
  <c r="AS10"/>
  <c r="AI27"/>
  <c r="H26" i="65" l="1"/>
  <c r="Q6" i="5"/>
  <c r="M2" i="81" s="1"/>
  <c r="I5" i="63"/>
  <c r="BF9" i="5"/>
  <c r="BG9" s="1"/>
  <c r="G9" i="65" s="1"/>
  <c r="O8" i="5"/>
  <c r="P7"/>
  <c r="AS11"/>
  <c r="AY10"/>
  <c r="BB10" s="1"/>
  <c r="BE10" s="1"/>
  <c r="AC29" i="1"/>
  <c r="AD28"/>
  <c r="AG30" i="5"/>
  <c r="AH29"/>
  <c r="U28" i="2"/>
  <c r="V27"/>
  <c r="BJ26" i="7"/>
  <c r="Q24" i="76"/>
  <c r="R24" s="1"/>
  <c r="T24" s="1"/>
  <c r="F22" i="81" s="1"/>
  <c r="AY26" i="7"/>
  <c r="AE30" i="5"/>
  <c r="AF29"/>
  <c r="AX27" i="7"/>
  <c r="G23" i="81"/>
  <c r="AJ26" i="1"/>
  <c r="AK26" s="1"/>
  <c r="M8" i="5"/>
  <c r="N7"/>
  <c r="AE26" i="2"/>
  <c r="AG26" s="1"/>
  <c r="A24" i="63"/>
  <c r="AC32" i="5"/>
  <c r="AD31"/>
  <c r="AI27" i="1"/>
  <c r="AW28" i="7" s="1"/>
  <c r="C27" i="65"/>
  <c r="E27" s="1"/>
  <c r="AF26" i="2"/>
  <c r="AD27"/>
  <c r="AC28"/>
  <c r="S28"/>
  <c r="T27"/>
  <c r="AE29" i="1"/>
  <c r="AF28"/>
  <c r="AH28" s="1"/>
  <c r="AI28" i="5"/>
  <c r="AM27" i="1"/>
  <c r="F28" i="75" s="1"/>
  <c r="G28" s="1"/>
  <c r="AG27" i="1"/>
  <c r="V7" i="5"/>
  <c r="W6"/>
  <c r="AL6" s="1"/>
  <c r="AI29" l="1"/>
  <c r="AF27" i="2"/>
  <c r="B25" i="63" s="1"/>
  <c r="Q7" i="5"/>
  <c r="M3" i="81" s="1"/>
  <c r="AG31" i="5"/>
  <c r="AH30"/>
  <c r="AX28" i="7"/>
  <c r="G24" i="81"/>
  <c r="AJ27" i="1"/>
  <c r="AK27" s="1"/>
  <c r="O9" i="5"/>
  <c r="P8"/>
  <c r="I6" i="63"/>
  <c r="BF10" i="5"/>
  <c r="BG10" s="1"/>
  <c r="G10" i="65" s="1"/>
  <c r="AC29" i="2"/>
  <c r="AD28"/>
  <c r="AC33" i="5"/>
  <c r="AD32"/>
  <c r="AY27" i="7"/>
  <c r="Q25" i="76"/>
  <c r="R25" s="1"/>
  <c r="T25" s="1"/>
  <c r="F23" i="81" s="1"/>
  <c r="BJ27" i="7"/>
  <c r="AE27" i="2"/>
  <c r="AG27" s="1"/>
  <c r="A25" i="63"/>
  <c r="V28" i="2"/>
  <c r="U29"/>
  <c r="AI28" i="1"/>
  <c r="AW29" i="7" s="1"/>
  <c r="C28" i="65"/>
  <c r="E28" s="1"/>
  <c r="H27"/>
  <c r="B24" i="63"/>
  <c r="N8" i="5"/>
  <c r="M9"/>
  <c r="AY11"/>
  <c r="BB11" s="1"/>
  <c r="BE11" s="1"/>
  <c r="AS12"/>
  <c r="AD29" i="1"/>
  <c r="AC30"/>
  <c r="T28" i="2"/>
  <c r="S29"/>
  <c r="W7" i="5"/>
  <c r="AL7" s="1"/>
  <c r="V8"/>
  <c r="AF29" i="1"/>
  <c r="AH29" s="1"/>
  <c r="AE30"/>
  <c r="AF30" i="5"/>
  <c r="AE31"/>
  <c r="AG28" i="1"/>
  <c r="AM28"/>
  <c r="F29" i="75" s="1"/>
  <c r="G29" s="1"/>
  <c r="AF28" i="2" l="1"/>
  <c r="B26" i="63" s="1"/>
  <c r="AD33" i="5"/>
  <c r="AC34"/>
  <c r="H28" i="65"/>
  <c r="AF30" i="1"/>
  <c r="AH30" s="1"/>
  <c r="AE31"/>
  <c r="AC30" i="2"/>
  <c r="AD29"/>
  <c r="AE28"/>
  <c r="AG28" s="1"/>
  <c r="A26" i="63"/>
  <c r="U30" i="2"/>
  <c r="V29"/>
  <c r="S30"/>
  <c r="T29"/>
  <c r="O10" i="5"/>
  <c r="P9"/>
  <c r="AI30"/>
  <c r="Q26" i="76"/>
  <c r="R26" s="1"/>
  <c r="T26" s="1"/>
  <c r="F24" i="81" s="1"/>
  <c r="AY28" i="7"/>
  <c r="BJ28"/>
  <c r="AE32" i="5"/>
  <c r="AF31"/>
  <c r="M10"/>
  <c r="N9"/>
  <c r="I7" i="63"/>
  <c r="BF11" i="5"/>
  <c r="BG11" s="1"/>
  <c r="G11" i="65" s="1"/>
  <c r="AY12" i="5"/>
  <c r="BB12" s="1"/>
  <c r="BE12" s="1"/>
  <c r="AS13"/>
  <c r="Q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H29" i="65" l="1"/>
  <c r="AC35" i="5"/>
  <c r="AD34"/>
  <c r="Q9"/>
  <c r="M5" i="81" s="1"/>
  <c r="AI31" i="5"/>
  <c r="AI30" i="1"/>
  <c r="AW31" i="7" s="1"/>
  <c r="C30" i="65"/>
  <c r="E30" s="1"/>
  <c r="P10" i="5"/>
  <c r="O11"/>
  <c r="I8" i="63"/>
  <c r="BF12" i="5"/>
  <c r="BG12" s="1"/>
  <c r="G12" i="65" s="1"/>
  <c r="S31" i="2"/>
  <c r="T30"/>
  <c r="AS14" i="5"/>
  <c r="AY13"/>
  <c r="BB13" s="1"/>
  <c r="BE13" s="1"/>
  <c r="AE32" i="1"/>
  <c r="AF31"/>
  <c r="AH31" s="1"/>
  <c r="AJ29"/>
  <c r="AK29" s="1"/>
  <c r="AX30" i="7"/>
  <c r="G26" i="81"/>
  <c r="AD31" i="1"/>
  <c r="AC32"/>
  <c r="A27" i="63"/>
  <c r="AE29" i="2"/>
  <c r="AG29" s="1"/>
  <c r="M4" i="81"/>
  <c r="V10" i="5"/>
  <c r="W9"/>
  <c r="AL9" s="1"/>
  <c r="M11"/>
  <c r="N10"/>
  <c r="AG33"/>
  <c r="AH32"/>
  <c r="BJ29" i="7"/>
  <c r="AY29"/>
  <c r="Q27" i="76"/>
  <c r="R27" s="1"/>
  <c r="T27" s="1"/>
  <c r="F25" i="81" s="1"/>
  <c r="V30" i="2"/>
  <c r="U31"/>
  <c r="AF32" i="5"/>
  <c r="AE33"/>
  <c r="AM30" i="1"/>
  <c r="F31" i="75" s="1"/>
  <c r="G31" s="1"/>
  <c r="AG30" i="1"/>
  <c r="AC31" i="2"/>
  <c r="AD30"/>
  <c r="AF29"/>
  <c r="AD31" l="1"/>
  <c r="AC32"/>
  <c r="U32"/>
  <c r="V31"/>
  <c r="T31"/>
  <c r="A29" i="63" s="1"/>
  <c r="S32" i="2"/>
  <c r="AC36" i="5"/>
  <c r="AD36" s="1"/>
  <c r="AD35"/>
  <c r="AH33"/>
  <c r="AF33"/>
  <c r="AE34"/>
  <c r="AD32" i="1"/>
  <c r="AG32" s="1"/>
  <c r="AC33"/>
  <c r="AF32"/>
  <c r="AH32" s="1"/>
  <c r="C32" i="65" s="1"/>
  <c r="E32" s="1"/>
  <c r="AE33" i="1"/>
  <c r="AI32" i="5"/>
  <c r="AX31" i="7"/>
  <c r="G27" i="81"/>
  <c r="AJ30" i="1"/>
  <c r="AK30" s="1"/>
  <c r="M12" i="5"/>
  <c r="N11"/>
  <c r="Q10"/>
  <c r="A28" i="63"/>
  <c r="AE30" i="2"/>
  <c r="AG30" s="1"/>
  <c r="AY14" i="5"/>
  <c r="BB14" s="1"/>
  <c r="BE14" s="1"/>
  <c r="AS15"/>
  <c r="O12"/>
  <c r="P11"/>
  <c r="W10"/>
  <c r="AL10" s="1"/>
  <c r="V11"/>
  <c r="BJ30" i="7"/>
  <c r="Q28" i="76"/>
  <c r="R28" s="1"/>
  <c r="T28" s="1"/>
  <c r="F26" i="81" s="1"/>
  <c r="AY30" i="7"/>
  <c r="AG31" i="1"/>
  <c r="AM31"/>
  <c r="F32" i="75" s="1"/>
  <c r="G32" s="1"/>
  <c r="I9" i="63"/>
  <c r="BF13" i="5"/>
  <c r="BG13" s="1"/>
  <c r="G13" i="65" s="1"/>
  <c r="AI31" i="1"/>
  <c r="AW32" i="7" s="1"/>
  <c r="C31" i="65"/>
  <c r="E31" s="1"/>
  <c r="H30"/>
  <c r="B27" i="63"/>
  <c r="AF30" i="2"/>
  <c r="AI32" i="1" l="1"/>
  <c r="AW33" i="7" s="1"/>
  <c r="AF31" i="2"/>
  <c r="H32" i="65" s="1"/>
  <c r="AE31" i="2"/>
  <c r="AG31" s="1"/>
  <c r="AI33" i="5"/>
  <c r="S33" i="2"/>
  <c r="T32"/>
  <c r="AE32" s="1"/>
  <c r="AC33"/>
  <c r="AD32"/>
  <c r="U33"/>
  <c r="V32"/>
  <c r="AH34" i="5"/>
  <c r="AG35"/>
  <c r="AF34"/>
  <c r="AE35"/>
  <c r="AD33" i="1"/>
  <c r="AC34"/>
  <c r="AF33"/>
  <c r="AH33" s="1"/>
  <c r="AI33" s="1"/>
  <c r="AE34"/>
  <c r="AM32"/>
  <c r="F33" i="75" s="1"/>
  <c r="G33" s="1"/>
  <c r="Q11" i="5"/>
  <c r="M7" i="81" s="1"/>
  <c r="AY31" i="7"/>
  <c r="Q29" i="76"/>
  <c r="R29" s="1"/>
  <c r="T29" s="1"/>
  <c r="F27" i="81" s="1"/>
  <c r="BJ31" i="7"/>
  <c r="AY15" i="5"/>
  <c r="BB15" s="1"/>
  <c r="BE15" s="1"/>
  <c r="AS16"/>
  <c r="G28" i="81"/>
  <c r="AJ31" i="1"/>
  <c r="AK31" s="1"/>
  <c r="AX32" i="7"/>
  <c r="M13" i="5"/>
  <c r="N12"/>
  <c r="I10" i="63"/>
  <c r="BF14" i="5"/>
  <c r="BG14" s="1"/>
  <c r="G14" i="65" s="1"/>
  <c r="V12" i="5"/>
  <c r="W11"/>
  <c r="AL11" s="1"/>
  <c r="H31" i="65"/>
  <c r="B28" i="63"/>
  <c r="M6" i="81"/>
  <c r="P12" i="5"/>
  <c r="O13"/>
  <c r="AF32" i="2" l="1"/>
  <c r="B29" i="63"/>
  <c r="AW34" i="7"/>
  <c r="S34" i="2"/>
  <c r="T34" s="1"/>
  <c r="AE34" s="1"/>
  <c r="AG34" s="1"/>
  <c r="T33"/>
  <c r="AE33" s="1"/>
  <c r="AG33" s="1"/>
  <c r="AC34"/>
  <c r="AD34" s="1"/>
  <c r="AD33"/>
  <c r="U34"/>
  <c r="V34" s="1"/>
  <c r="V33"/>
  <c r="AI34" i="5"/>
  <c r="AG36"/>
  <c r="AH36" s="1"/>
  <c r="AH35"/>
  <c r="AF35"/>
  <c r="AE36"/>
  <c r="AF36" s="1"/>
  <c r="AG33" i="1"/>
  <c r="AM33"/>
  <c r="AD34"/>
  <c r="AC35"/>
  <c r="AD35" s="1"/>
  <c r="AE35"/>
  <c r="AF35" s="1"/>
  <c r="AH35" s="1"/>
  <c r="AI35" s="1"/>
  <c r="AF34"/>
  <c r="AH34" s="1"/>
  <c r="V13" i="5"/>
  <c r="W12"/>
  <c r="AL12" s="1"/>
  <c r="G29" i="81"/>
  <c r="AX33" i="7"/>
  <c r="AJ32" i="1"/>
  <c r="AK32" s="1"/>
  <c r="M14" i="5"/>
  <c r="N13"/>
  <c r="AS17"/>
  <c r="AY16"/>
  <c r="BB16" s="1"/>
  <c r="BE16" s="1"/>
  <c r="Q12"/>
  <c r="BJ32" i="7"/>
  <c r="Q30" i="76"/>
  <c r="R30" s="1"/>
  <c r="T30" s="1"/>
  <c r="F28" i="81" s="1"/>
  <c r="AY32" i="7"/>
  <c r="I11" i="63"/>
  <c r="BF15" i="5"/>
  <c r="BG15" s="1"/>
  <c r="G15" i="65" s="1"/>
  <c r="O14" i="5"/>
  <c r="P13"/>
  <c r="AF33" i="2" l="1"/>
  <c r="AW36" i="7"/>
  <c r="AJ33" i="1"/>
  <c r="AK33" s="1"/>
  <c r="G30" i="81"/>
  <c r="AX34" i="7"/>
  <c r="AF34" i="2"/>
  <c r="AI35" i="5"/>
  <c r="AI36"/>
  <c r="AG34" i="1"/>
  <c r="AM34"/>
  <c r="AG35"/>
  <c r="AM35"/>
  <c r="AI34"/>
  <c r="AW35" i="7" s="1"/>
  <c r="AH36" i="1"/>
  <c r="Q13" i="5"/>
  <c r="M9" i="81" s="1"/>
  <c r="M8"/>
  <c r="V14" i="5"/>
  <c r="W13"/>
  <c r="AL13" s="1"/>
  <c r="I12" i="63"/>
  <c r="BF16" i="5"/>
  <c r="BG16" s="1"/>
  <c r="G16" i="65" s="1"/>
  <c r="BJ33" i="7"/>
  <c r="AY33"/>
  <c r="Q31" i="76"/>
  <c r="R31" s="1"/>
  <c r="T31" s="1"/>
  <c r="F29" i="81" s="1"/>
  <c r="M15" i="5"/>
  <c r="N14"/>
  <c r="P14"/>
  <c r="O15"/>
  <c r="AS18"/>
  <c r="AY17"/>
  <c r="BB17" s="1"/>
  <c r="BE17" s="1"/>
  <c r="AM36" i="1" l="1"/>
  <c r="G31" i="81"/>
  <c r="AJ34" i="1"/>
  <c r="AK34" s="1"/>
  <c r="AX35" i="7"/>
  <c r="AJ35" i="1"/>
  <c r="AK35" s="1"/>
  <c r="G32" i="81"/>
  <c r="AX36" i="7"/>
  <c r="AY34"/>
  <c r="BJ34"/>
  <c r="Q32" i="76"/>
  <c r="R32" s="1"/>
  <c r="T32" s="1"/>
  <c r="F30" i="81" s="1"/>
  <c r="AI37" i="1"/>
  <c r="Q14" i="5"/>
  <c r="M10" i="81" s="1"/>
  <c r="M16" i="5"/>
  <c r="N15"/>
  <c r="P15"/>
  <c r="O16"/>
  <c r="AY18"/>
  <c r="BB18" s="1"/>
  <c r="BE18" s="1"/>
  <c r="AS19"/>
  <c r="W14"/>
  <c r="AL14" s="1"/>
  <c r="V15"/>
  <c r="I13" i="63"/>
  <c r="BF17" i="5"/>
  <c r="BG17" s="1"/>
  <c r="G17" i="65" s="1"/>
  <c r="AX37" i="7" l="1"/>
  <c r="AX42" s="1"/>
  <c r="AY35"/>
  <c r="BJ35"/>
  <c r="Q33" i="76"/>
  <c r="R33" s="1"/>
  <c r="BJ36" i="7"/>
  <c r="AY36"/>
  <c r="Q34" i="76"/>
  <c r="R34" s="1"/>
  <c r="W15" i="5"/>
  <c r="AL15" s="1"/>
  <c r="V16"/>
  <c r="L3" i="3"/>
  <c r="I14" i="63"/>
  <c r="BF18" i="5"/>
  <c r="BG18" s="1"/>
  <c r="G18" i="65" s="1"/>
  <c r="AY19" i="5"/>
  <c r="BB19" s="1"/>
  <c r="BE19" s="1"/>
  <c r="AS20"/>
  <c r="Q15"/>
  <c r="M11" i="81" s="1"/>
  <c r="M17" i="5"/>
  <c r="N16"/>
  <c r="P16"/>
  <c r="O17"/>
  <c r="AY37" i="7" l="1"/>
  <c r="Q16" i="5"/>
  <c r="M12" i="81" s="1"/>
  <c r="N17" i="5"/>
  <c r="M18"/>
  <c r="V17"/>
  <c r="W16"/>
  <c r="AL16" s="1"/>
  <c r="L4" i="3"/>
  <c r="I15" i="63"/>
  <c r="BF19" i="5"/>
  <c r="BG19" s="1"/>
  <c r="G19" i="65" s="1"/>
  <c r="O18" i="5"/>
  <c r="P17"/>
  <c r="J3" i="3"/>
  <c r="AY20" i="5"/>
  <c r="BB20" s="1"/>
  <c r="BE20" s="1"/>
  <c r="AS21"/>
  <c r="O19" l="1"/>
  <c r="P18"/>
  <c r="M19"/>
  <c r="N18"/>
  <c r="K3" i="3"/>
  <c r="J4"/>
  <c r="Q17" i="5"/>
  <c r="M13" i="81" s="1"/>
  <c r="V18" i="5"/>
  <c r="W17"/>
  <c r="AL17" s="1"/>
  <c r="I16" i="63"/>
  <c r="BF20" i="5"/>
  <c r="BG20" s="1"/>
  <c r="G20" i="65" s="1"/>
  <c r="AY21" i="5"/>
  <c r="BB21" s="1"/>
  <c r="BE21" s="1"/>
  <c r="AS22"/>
  <c r="L5" i="3"/>
  <c r="F2" i="63"/>
  <c r="Q18" i="5" l="1"/>
  <c r="M14" i="81" s="1"/>
  <c r="O20" i="5"/>
  <c r="P19"/>
  <c r="V19"/>
  <c r="W18"/>
  <c r="AL18" s="1"/>
  <c r="I17" i="63"/>
  <c r="BF21" i="5"/>
  <c r="BG21" s="1"/>
  <c r="G21" i="65" s="1"/>
  <c r="AS23" i="5"/>
  <c r="AY22"/>
  <c r="BB22" s="1"/>
  <c r="BE22" s="1"/>
  <c r="J5" i="3"/>
  <c r="K4"/>
  <c r="L6"/>
  <c r="N19" i="5"/>
  <c r="M20"/>
  <c r="Z3" i="3"/>
  <c r="N3"/>
  <c r="I18" i="63" l="1"/>
  <c r="BF22" i="5"/>
  <c r="BG22" s="1"/>
  <c r="G22" i="65" s="1"/>
  <c r="V20" i="5"/>
  <c r="W19"/>
  <c r="AL19" s="1"/>
  <c r="AS24"/>
  <c r="AY23"/>
  <c r="BB23" s="1"/>
  <c r="BE23" s="1"/>
  <c r="O21"/>
  <c r="P20"/>
  <c r="J6" i="3"/>
  <c r="K5"/>
  <c r="F3" i="63"/>
  <c r="AK3" i="3"/>
  <c r="AE3"/>
  <c r="AF3" s="1"/>
  <c r="H5" i="75"/>
  <c r="AL3" i="3"/>
  <c r="L7"/>
  <c r="Q19" i="5"/>
  <c r="M15" i="81" s="1"/>
  <c r="M21" i="5"/>
  <c r="N20"/>
  <c r="N4" i="3"/>
  <c r="Z4"/>
  <c r="AL4" l="1"/>
  <c r="AK4"/>
  <c r="AE4"/>
  <c r="AF4" s="1"/>
  <c r="F4" i="63"/>
  <c r="Z5" i="3"/>
  <c r="N5"/>
  <c r="AS25" i="5"/>
  <c r="AY24"/>
  <c r="BB24" s="1"/>
  <c r="BE24" s="1"/>
  <c r="BK6" i="7"/>
  <c r="AG3" i="3"/>
  <c r="J7"/>
  <c r="K6"/>
  <c r="L8"/>
  <c r="V21" i="5"/>
  <c r="W20"/>
  <c r="AL20" s="1"/>
  <c r="W15" i="76"/>
  <c r="I19" i="63"/>
  <c r="BF23" i="5"/>
  <c r="BG23" s="1"/>
  <c r="G23" i="65" s="1"/>
  <c r="N21" i="5"/>
  <c r="M22"/>
  <c r="O22"/>
  <c r="P21"/>
  <c r="Q20"/>
  <c r="M16" i="81" s="1"/>
  <c r="I20" i="63" l="1"/>
  <c r="BF24" i="5"/>
  <c r="BG24" s="1"/>
  <c r="G24" i="65" s="1"/>
  <c r="Y15" i="76"/>
  <c r="X15"/>
  <c r="BK7" i="7"/>
  <c r="AG4" i="3"/>
  <c r="W21" i="5"/>
  <c r="AL21" s="1"/>
  <c r="V22"/>
  <c r="F5" i="63"/>
  <c r="AE5" i="3"/>
  <c r="AF5" s="1"/>
  <c r="AK5"/>
  <c r="AL5"/>
  <c r="J8"/>
  <c r="K7"/>
  <c r="N22" i="5"/>
  <c r="M23"/>
  <c r="L9" i="3"/>
  <c r="AS26" i="5"/>
  <c r="AY25"/>
  <c r="BB25" s="1"/>
  <c r="BE25" s="1"/>
  <c r="P22"/>
  <c r="O23"/>
  <c r="N6" i="3"/>
  <c r="Z6"/>
  <c r="Q21" i="5"/>
  <c r="M17" i="81" s="1"/>
  <c r="Q22" i="5" l="1"/>
  <c r="M18" i="81" s="1"/>
  <c r="I21" i="63"/>
  <c r="BF25" i="5"/>
  <c r="BG25" s="1"/>
  <c r="G25" i="65" s="1"/>
  <c r="J9" i="3"/>
  <c r="K8"/>
  <c r="L10"/>
  <c r="AY26" i="5"/>
  <c r="BB26" s="1"/>
  <c r="BE26" s="1"/>
  <c r="AS27"/>
  <c r="N7" i="3"/>
  <c r="AB7" s="1"/>
  <c r="Z7"/>
  <c r="W22" i="5"/>
  <c r="AL22" s="1"/>
  <c r="V23"/>
  <c r="BK8" i="7"/>
  <c r="AG5" i="3"/>
  <c r="O24" i="5"/>
  <c r="P23"/>
  <c r="AE6" i="3"/>
  <c r="AF6" s="1"/>
  <c r="F6" i="63"/>
  <c r="AK6" i="3"/>
  <c r="AL6"/>
  <c r="M24" i="5"/>
  <c r="N23"/>
  <c r="Q23" l="1"/>
  <c r="M19" i="81" s="1"/>
  <c r="AG6" i="3"/>
  <c r="BK9" i="7"/>
  <c r="J10" i="3"/>
  <c r="K9"/>
  <c r="AS28" i="5"/>
  <c r="AY27"/>
  <c r="BB27" s="1"/>
  <c r="BE27" s="1"/>
  <c r="N24"/>
  <c r="M25"/>
  <c r="L11" i="3"/>
  <c r="AE7"/>
  <c r="AF7" s="1"/>
  <c r="AK7"/>
  <c r="AL7"/>
  <c r="F7" i="63"/>
  <c r="N8" i="3"/>
  <c r="Z8"/>
  <c r="W23" i="5"/>
  <c r="AL23" s="1"/>
  <c r="V24"/>
  <c r="O25"/>
  <c r="P24"/>
  <c r="I22" i="63"/>
  <c r="BF26" i="5"/>
  <c r="BG26" s="1"/>
  <c r="G26" i="65" s="1"/>
  <c r="Q24" i="5" l="1"/>
  <c r="M20" i="81" s="1"/>
  <c r="W24" i="5"/>
  <c r="AL24" s="1"/>
  <c r="V25"/>
  <c r="BK10" i="7"/>
  <c r="AG7" i="3"/>
  <c r="I23" i="63"/>
  <c r="BF27" i="5"/>
  <c r="BG27" s="1"/>
  <c r="G27" i="65" s="1"/>
  <c r="N25" i="5"/>
  <c r="M26"/>
  <c r="L12" i="3"/>
  <c r="AK8"/>
  <c r="F8" i="63"/>
  <c r="AL8" i="3"/>
  <c r="AE8"/>
  <c r="AF8" s="1"/>
  <c r="J11"/>
  <c r="K10"/>
  <c r="Z9"/>
  <c r="N9"/>
  <c r="O26" i="5"/>
  <c r="P25"/>
  <c r="AY28"/>
  <c r="BB28" s="1"/>
  <c r="BE28" s="1"/>
  <c r="AS29"/>
  <c r="Q25" l="1"/>
  <c r="M21" i="81" s="1"/>
  <c r="J12" i="3"/>
  <c r="K11"/>
  <c r="L13"/>
  <c r="AE9"/>
  <c r="AF9" s="1"/>
  <c r="F9" i="63"/>
  <c r="AK9" i="3"/>
  <c r="AL9"/>
  <c r="O27" i="5"/>
  <c r="P26"/>
  <c r="AY29"/>
  <c r="BB29" s="1"/>
  <c r="BE29" s="1"/>
  <c r="AS30"/>
  <c r="Z10" i="3"/>
  <c r="N10"/>
  <c r="W25" i="5"/>
  <c r="AL25" s="1"/>
  <c r="N26"/>
  <c r="M27"/>
  <c r="BK11" i="7"/>
  <c r="AG8" i="3"/>
  <c r="I24" i="63"/>
  <c r="BF28" i="5"/>
  <c r="BG28" s="1"/>
  <c r="G28" i="65" s="1"/>
  <c r="J13" i="3" l="1"/>
  <c r="K12"/>
  <c r="M28" i="5"/>
  <c r="N27"/>
  <c r="L14" i="3"/>
  <c r="W26" i="5"/>
  <c r="AL26" s="1"/>
  <c r="V27"/>
  <c r="O28"/>
  <c r="P27"/>
  <c r="AS31"/>
  <c r="AY30"/>
  <c r="BB30" s="1"/>
  <c r="BE30" s="1"/>
  <c r="AL10" i="3"/>
  <c r="AK10"/>
  <c r="F10" i="63"/>
  <c r="AE10" i="3"/>
  <c r="AF10" s="1"/>
  <c r="Q26" i="5"/>
  <c r="M22" i="81" s="1"/>
  <c r="Z11" i="3"/>
  <c r="N11"/>
  <c r="I25" i="63"/>
  <c r="BF29" i="5"/>
  <c r="BG29" s="1"/>
  <c r="G29" i="65" s="1"/>
  <c r="AG9" i="3"/>
  <c r="BK12" i="7"/>
  <c r="Q27" i="5" l="1"/>
  <c r="M23" i="81" s="1"/>
  <c r="W27" i="5"/>
  <c r="AL27" s="1"/>
  <c r="V28"/>
  <c r="O29"/>
  <c r="P28"/>
  <c r="AE11" i="3"/>
  <c r="AF11" s="1"/>
  <c r="F11" i="63"/>
  <c r="AL11" i="3"/>
  <c r="AK11"/>
  <c r="M29" i="5"/>
  <c r="N28"/>
  <c r="AG10" i="3"/>
  <c r="BK13" i="7"/>
  <c r="J14" i="3"/>
  <c r="K13"/>
  <c r="AS32" i="5"/>
  <c r="AY31"/>
  <c r="BB31" s="1"/>
  <c r="BE31" s="1"/>
  <c r="I26" i="63"/>
  <c r="BF30" i="5"/>
  <c r="BG30" s="1"/>
  <c r="G30" i="65" s="1"/>
  <c r="L15" i="3"/>
  <c r="N12"/>
  <c r="Z12"/>
  <c r="N29" i="5" l="1"/>
  <c r="M30"/>
  <c r="V29"/>
  <c r="W28"/>
  <c r="AL28" s="1"/>
  <c r="O30"/>
  <c r="P29"/>
  <c r="K14" i="3"/>
  <c r="J15"/>
  <c r="Q28" i="5"/>
  <c r="M24" i="81" s="1"/>
  <c r="I27" i="63"/>
  <c r="BF31" i="5"/>
  <c r="BG31" s="1"/>
  <c r="G31" i="65" s="1"/>
  <c r="L16" i="3"/>
  <c r="BK14" i="7"/>
  <c r="AG11" i="3"/>
  <c r="Z13"/>
  <c r="N13"/>
  <c r="AL12"/>
  <c r="AK12"/>
  <c r="AE12"/>
  <c r="AF12" s="1"/>
  <c r="F12" i="63"/>
  <c r="AY32" i="5"/>
  <c r="BB32" s="1"/>
  <c r="BE32" s="1"/>
  <c r="AS33"/>
  <c r="AY33" l="1"/>
  <c r="BB33" s="1"/>
  <c r="BE33" s="1"/>
  <c r="BF33" s="1"/>
  <c r="BG33" s="1"/>
  <c r="G33" i="65" s="1"/>
  <c r="AS34" i="5"/>
  <c r="J16" i="3"/>
  <c r="K15"/>
  <c r="F13" i="63"/>
  <c r="AL13" i="3"/>
  <c r="AK13"/>
  <c r="AE13"/>
  <c r="AF13" s="1"/>
  <c r="V30" i="5"/>
  <c r="W29"/>
  <c r="AL29" s="1"/>
  <c r="O31"/>
  <c r="P30"/>
  <c r="M31"/>
  <c r="N30"/>
  <c r="AG12" i="3"/>
  <c r="BK15" i="7"/>
  <c r="L17" i="3"/>
  <c r="I28" i="63"/>
  <c r="BF32" i="5"/>
  <c r="BG32" s="1"/>
  <c r="G32" i="65" s="1"/>
  <c r="Z14" i="3"/>
  <c r="N14"/>
  <c r="AB14" s="1"/>
  <c r="Q29" i="5"/>
  <c r="M25" i="81" s="1"/>
  <c r="AY34" i="5" l="1"/>
  <c r="BB34" s="1"/>
  <c r="BE34" s="1"/>
  <c r="BF34" s="1"/>
  <c r="BG34" s="1"/>
  <c r="AS35"/>
  <c r="Q30"/>
  <c r="M26" i="81" s="1"/>
  <c r="I29" i="63"/>
  <c r="AG13" i="3"/>
  <c r="BK16" i="7"/>
  <c r="K16" i="3"/>
  <c r="J17"/>
  <c r="AL14"/>
  <c r="AE14"/>
  <c r="AF14" s="1"/>
  <c r="F14" i="63"/>
  <c r="AK14" i="3"/>
  <c r="W30" i="5"/>
  <c r="AL30" s="1"/>
  <c r="V31"/>
  <c r="P31"/>
  <c r="O32"/>
  <c r="N15" i="3"/>
  <c r="Z15"/>
  <c r="N31" i="5"/>
  <c r="M32"/>
  <c r="AS36" l="1"/>
  <c r="AY36" s="1"/>
  <c r="AY35"/>
  <c r="BB35" s="1"/>
  <c r="BE35" s="1"/>
  <c r="BF35" s="1"/>
  <c r="BG35" s="1"/>
  <c r="N32"/>
  <c r="M33"/>
  <c r="W31"/>
  <c r="AL31" s="1"/>
  <c r="V32"/>
  <c r="BK17" i="7"/>
  <c r="AG14" i="3"/>
  <c r="F15" i="63"/>
  <c r="AK15" i="3"/>
  <c r="AL15"/>
  <c r="AE15"/>
  <c r="AF15" s="1"/>
  <c r="Z16"/>
  <c r="N16"/>
  <c r="K17"/>
  <c r="P32" i="5"/>
  <c r="O33"/>
  <c r="Q31"/>
  <c r="M27" i="81" s="1"/>
  <c r="BB36" i="5" l="1"/>
  <c r="BE36" s="1"/>
  <c r="BF36" s="1"/>
  <c r="BG36" s="1"/>
  <c r="P33"/>
  <c r="O34"/>
  <c r="N33"/>
  <c r="M34"/>
  <c r="BK18" i="7"/>
  <c r="AG15" i="3"/>
  <c r="AK16"/>
  <c r="AL16"/>
  <c r="AE16"/>
  <c r="AF16" s="1"/>
  <c r="F16" i="63"/>
  <c r="V33" i="5"/>
  <c r="W32"/>
  <c r="AL32" s="1"/>
  <c r="Z17" i="3"/>
  <c r="N17"/>
  <c r="K18"/>
  <c r="Q32" i="5"/>
  <c r="M28" i="81" s="1"/>
  <c r="Q33" i="5" l="1"/>
  <c r="M29" i="81" s="1"/>
  <c r="P34" i="5"/>
  <c r="O35"/>
  <c r="W33"/>
  <c r="AL33" s="1"/>
  <c r="V34"/>
  <c r="N34"/>
  <c r="M35"/>
  <c r="AK17" i="3"/>
  <c r="AE17"/>
  <c r="AF17" s="1"/>
  <c r="F17" i="63"/>
  <c r="AL17" i="3"/>
  <c r="BK19" i="7"/>
  <c r="AG16" i="3"/>
  <c r="J20"/>
  <c r="K19"/>
  <c r="Z18"/>
  <c r="N18"/>
  <c r="Q34" i="5" l="1"/>
  <c r="M30" i="81" s="1"/>
  <c r="N35" i="5"/>
  <c r="M36"/>
  <c r="N36" s="1"/>
  <c r="O36"/>
  <c r="P36" s="1"/>
  <c r="P35"/>
  <c r="V35"/>
  <c r="W34"/>
  <c r="AL34" s="1"/>
  <c r="J21" i="3"/>
  <c r="K20"/>
  <c r="N19"/>
  <c r="Z19"/>
  <c r="AE18"/>
  <c r="AF18" s="1"/>
  <c r="AL18"/>
  <c r="F18" i="63"/>
  <c r="AK18" i="3"/>
  <c r="BK20" i="7"/>
  <c r="AG17" i="3"/>
  <c r="V36" i="5" l="1"/>
  <c r="W36" s="1"/>
  <c r="AL36" s="1"/>
  <c r="W35"/>
  <c r="AL35" s="1"/>
  <c r="Q36"/>
  <c r="M32" i="81" s="1"/>
  <c r="Q35" i="5"/>
  <c r="M31" i="81" s="1"/>
  <c r="Z20" i="3"/>
  <c r="N20"/>
  <c r="AB20" s="1"/>
  <c r="J22"/>
  <c r="K21"/>
  <c r="AA22"/>
  <c r="F19" i="63"/>
  <c r="AE19" i="3"/>
  <c r="AF19" s="1"/>
  <c r="AL19"/>
  <c r="AK19"/>
  <c r="BK21" i="7"/>
  <c r="AG18" i="3"/>
  <c r="AA23" l="1"/>
  <c r="M24"/>
  <c r="AL37" i="5"/>
  <c r="Q37"/>
  <c r="O38" s="1"/>
  <c r="BK22" i="7"/>
  <c r="AG19" i="3"/>
  <c r="AE20"/>
  <c r="AF20" s="1"/>
  <c r="F20" i="63"/>
  <c r="AK20" i="3"/>
  <c r="AL20"/>
  <c r="J23"/>
  <c r="K22"/>
  <c r="N21"/>
  <c r="AB21" s="1"/>
  <c r="Z21"/>
  <c r="F21" i="63" l="1"/>
  <c r="AE21" i="3"/>
  <c r="AF21" s="1"/>
  <c r="AK21"/>
  <c r="AL21"/>
  <c r="BK23" i="7"/>
  <c r="AG20" i="3"/>
  <c r="M25"/>
  <c r="K23"/>
  <c r="N22"/>
  <c r="AB22" s="1"/>
  <c r="Z22"/>
  <c r="Z23" l="1"/>
  <c r="N23"/>
  <c r="AB23" s="1"/>
  <c r="K24"/>
  <c r="BK24" i="7"/>
  <c r="AG21" i="3"/>
  <c r="AL22"/>
  <c r="F22" i="63"/>
  <c r="AE22" i="3"/>
  <c r="AF22" s="1"/>
  <c r="AK22"/>
  <c r="AC22"/>
  <c r="N24" l="1"/>
  <c r="Z24"/>
  <c r="J26"/>
  <c r="K26" s="1"/>
  <c r="L26" s="1"/>
  <c r="F23" i="63"/>
  <c r="AC23" i="3"/>
  <c r="AL23"/>
  <c r="AE23"/>
  <c r="AF23" s="1"/>
  <c r="AK23"/>
  <c r="BK25" i="7"/>
  <c r="AG22" i="3"/>
  <c r="AH22" s="1"/>
  <c r="M26" l="1"/>
  <c r="BK26" i="7"/>
  <c r="AG23" i="3"/>
  <c r="AH23" s="1"/>
  <c r="AL24"/>
  <c r="AK24"/>
  <c r="F24" i="63"/>
  <c r="AE24" i="3"/>
  <c r="AF24" s="1"/>
  <c r="J27"/>
  <c r="K27" s="1"/>
  <c r="L27" s="1"/>
  <c r="Z25"/>
  <c r="N25"/>
  <c r="L28" l="1"/>
  <c r="M27"/>
  <c r="J28"/>
  <c r="K28" s="1"/>
  <c r="Z26"/>
  <c r="N26"/>
  <c r="F25" i="63"/>
  <c r="AK25" i="3"/>
  <c r="AE25"/>
  <c r="AF25" s="1"/>
  <c r="AL25"/>
  <c r="BK27" i="7"/>
  <c r="AG24" i="3"/>
  <c r="L29" l="1"/>
  <c r="M28"/>
  <c r="J29"/>
  <c r="K29" s="1"/>
  <c r="Z27"/>
  <c r="N27"/>
  <c r="AB27" s="1"/>
  <c r="F26" i="63"/>
  <c r="AE26" i="3"/>
  <c r="AF26" s="1"/>
  <c r="AK26"/>
  <c r="AL26"/>
  <c r="BK28" i="7"/>
  <c r="AG25" i="3"/>
  <c r="M29" l="1"/>
  <c r="Z28"/>
  <c r="N28"/>
  <c r="AB28" s="1"/>
  <c r="J30"/>
  <c r="BK29" i="7"/>
  <c r="AG26" i="3"/>
  <c r="AK27"/>
  <c r="F27" i="63"/>
  <c r="AE27" i="3"/>
  <c r="AF27" s="1"/>
  <c r="AL27"/>
  <c r="K31" l="1"/>
  <c r="K30"/>
  <c r="L30" s="1"/>
  <c r="N29"/>
  <c r="Z29"/>
  <c r="BK30" i="7"/>
  <c r="AG27" i="3"/>
  <c r="AK28"/>
  <c r="F28" i="63"/>
  <c r="AC28" i="3"/>
  <c r="AE28"/>
  <c r="AF28" s="1"/>
  <c r="AL28"/>
  <c r="L31" l="1"/>
  <c r="M30"/>
  <c r="J32"/>
  <c r="K32" s="1"/>
  <c r="Z31"/>
  <c r="F29" i="63"/>
  <c r="AE29" i="3"/>
  <c r="AF29" s="1"/>
  <c r="AL29"/>
  <c r="AK29"/>
  <c r="N30"/>
  <c r="AB30" s="1"/>
  <c r="Z30"/>
  <c r="BK31" i="7"/>
  <c r="AG28" i="3"/>
  <c r="AH28" s="1"/>
  <c r="L32" l="1"/>
  <c r="M31"/>
  <c r="N31" s="1"/>
  <c r="AB31" s="1"/>
  <c r="J33"/>
  <c r="K33" s="1"/>
  <c r="K35" s="1"/>
  <c r="U34" s="1"/>
  <c r="N32"/>
  <c r="AB32" s="1"/>
  <c r="Z32"/>
  <c r="AC32" s="1"/>
  <c r="BK32" i="7"/>
  <c r="AG29" i="3"/>
  <c r="AL30"/>
  <c r="AL34" s="1"/>
  <c r="B19" i="77" s="1"/>
  <c r="F30" i="63"/>
  <c r="AK30" i="3"/>
  <c r="AE30"/>
  <c r="AF30" s="1"/>
  <c r="L33" l="1"/>
  <c r="M33" s="1"/>
  <c r="M32"/>
  <c r="N33"/>
  <c r="AB33" s="1"/>
  <c r="Z33"/>
  <c r="Z34" s="1"/>
  <c r="BK33" i="7"/>
  <c r="AG30" i="3"/>
  <c r="AC33" l="1"/>
  <c r="B18" i="77"/>
  <c r="D3" i="3"/>
  <c r="F18" i="77" l="1"/>
  <c r="E18"/>
  <c r="W32" i="76"/>
  <c r="X32" s="1"/>
  <c r="Y32" s="1"/>
  <c r="B20" i="77"/>
  <c r="D4" i="3"/>
  <c r="E3"/>
  <c r="AA3" l="1"/>
  <c r="AC3" s="1"/>
  <c r="AH3" s="1"/>
  <c r="F3"/>
  <c r="AB3" s="1"/>
  <c r="D5"/>
  <c r="E4"/>
  <c r="AA4" l="1"/>
  <c r="AC4" s="1"/>
  <c r="AH4" s="1"/>
  <c r="F4"/>
  <c r="AB4" s="1"/>
  <c r="D6"/>
  <c r="E5"/>
  <c r="AA5" l="1"/>
  <c r="AC5" s="1"/>
  <c r="AH5" s="1"/>
  <c r="F5"/>
  <c r="AB5" s="1"/>
  <c r="D7"/>
  <c r="E6"/>
  <c r="AA6" l="1"/>
  <c r="AC6" s="1"/>
  <c r="AH6" s="1"/>
  <c r="F6"/>
  <c r="AB6" s="1"/>
  <c r="D8"/>
  <c r="E7"/>
  <c r="AA7" s="1"/>
  <c r="AC7" s="1"/>
  <c r="AH7" s="1"/>
  <c r="D9" l="1"/>
  <c r="E8"/>
  <c r="AA8" l="1"/>
  <c r="AC8" s="1"/>
  <c r="AH8" s="1"/>
  <c r="F8"/>
  <c r="AB8" s="1"/>
  <c r="D10"/>
  <c r="E9"/>
  <c r="AA9" l="1"/>
  <c r="AC9" s="1"/>
  <c r="AH9" s="1"/>
  <c r="F9"/>
  <c r="AB9" s="1"/>
  <c r="E10"/>
  <c r="D11"/>
  <c r="AA10" l="1"/>
  <c r="AC10" s="1"/>
  <c r="AH10" s="1"/>
  <c r="F10"/>
  <c r="AB10" s="1"/>
  <c r="E11"/>
  <c r="D12"/>
  <c r="AA11" l="1"/>
  <c r="AC11" s="1"/>
  <c r="AH11" s="1"/>
  <c r="F11"/>
  <c r="AB11" s="1"/>
  <c r="E12"/>
  <c r="D13"/>
  <c r="AA12" l="1"/>
  <c r="AC12" s="1"/>
  <c r="AH12" s="1"/>
  <c r="F12"/>
  <c r="AB12" s="1"/>
  <c r="E13"/>
  <c r="D14"/>
  <c r="AA13" l="1"/>
  <c r="AC13" s="1"/>
  <c r="AH13" s="1"/>
  <c r="F13"/>
  <c r="AB13" s="1"/>
  <c r="D15"/>
  <c r="E14"/>
  <c r="AA14" s="1"/>
  <c r="AC14" s="1"/>
  <c r="AH14" s="1"/>
  <c r="E15" l="1"/>
  <c r="D16"/>
  <c r="AA15" l="1"/>
  <c r="AC15" s="1"/>
  <c r="AH15" s="1"/>
  <c r="F15"/>
  <c r="AB15" s="1"/>
  <c r="E16"/>
  <c r="D17"/>
  <c r="AA16" l="1"/>
  <c r="AC16" s="1"/>
  <c r="AH16" s="1"/>
  <c r="F16"/>
  <c r="AB16" s="1"/>
  <c r="E17"/>
  <c r="D18"/>
  <c r="AA17" l="1"/>
  <c r="AC17" s="1"/>
  <c r="AH17" s="1"/>
  <c r="F17"/>
  <c r="AB17" s="1"/>
  <c r="E18"/>
  <c r="D19"/>
  <c r="AA18" l="1"/>
  <c r="AC18" s="1"/>
  <c r="AH18" s="1"/>
  <c r="F18"/>
  <c r="AB18" s="1"/>
  <c r="E19"/>
  <c r="D20"/>
  <c r="AA19" l="1"/>
  <c r="AC19" s="1"/>
  <c r="AH19" s="1"/>
  <c r="F19"/>
  <c r="AB19" s="1"/>
  <c r="D21"/>
  <c r="E20"/>
  <c r="AA20" s="1"/>
  <c r="AC20" s="1"/>
  <c r="AH20" s="1"/>
  <c r="D22" l="1"/>
  <c r="D23" s="1"/>
  <c r="D24" s="1"/>
  <c r="E21"/>
  <c r="AA21" s="1"/>
  <c r="AC21" s="1"/>
  <c r="AH21" s="1"/>
  <c r="E24" l="1"/>
  <c r="D25"/>
  <c r="AA24" l="1"/>
  <c r="AC24" s="1"/>
  <c r="AH24" s="1"/>
  <c r="F24"/>
  <c r="AB24" s="1"/>
  <c r="E25"/>
  <c r="D26"/>
  <c r="AA25" l="1"/>
  <c r="AC25" s="1"/>
  <c r="AH25" s="1"/>
  <c r="F25"/>
  <c r="AB25" s="1"/>
  <c r="D27"/>
  <c r="E26"/>
  <c r="AA26" l="1"/>
  <c r="AC26" s="1"/>
  <c r="AH26" s="1"/>
  <c r="F26"/>
  <c r="AB26" s="1"/>
  <c r="D28"/>
  <c r="E27"/>
  <c r="AA27" s="1"/>
  <c r="AC27" s="1"/>
  <c r="AH27" s="1"/>
  <c r="D29" l="1"/>
  <c r="E28"/>
  <c r="AA28" s="1"/>
  <c r="E29" l="1"/>
  <c r="D30"/>
  <c r="E30" l="1"/>
  <c r="AA30" s="1"/>
  <c r="AC30" s="1"/>
  <c r="AH30" s="1"/>
  <c r="D31"/>
  <c r="AA29"/>
  <c r="AC29" s="1"/>
  <c r="AH29" s="1"/>
  <c r="F29"/>
  <c r="AB29" s="1"/>
  <c r="AN5" i="1"/>
  <c r="AR5"/>
  <c r="AP5"/>
  <c r="D32" i="3" l="1"/>
  <c r="E31"/>
  <c r="AA31" s="1"/>
  <c r="AC31" s="1"/>
  <c r="AR6" i="1"/>
  <c r="AS5"/>
  <c r="AN6"/>
  <c r="AO5"/>
  <c r="AP6"/>
  <c r="AQ5"/>
  <c r="D33" i="3" l="1"/>
  <c r="E33" s="1"/>
  <c r="AA33" s="1"/>
  <c r="E32"/>
  <c r="AA32" s="1"/>
  <c r="AN7" i="1"/>
  <c r="AO6"/>
  <c r="AR7"/>
  <c r="AS6"/>
  <c r="AP7"/>
  <c r="AQ6"/>
  <c r="AT5"/>
  <c r="AU5" s="1"/>
  <c r="AT6" l="1"/>
  <c r="AU6" s="1"/>
  <c r="I3" i="81" s="1"/>
  <c r="I2"/>
  <c r="AN8" i="1"/>
  <c r="AO7"/>
  <c r="AR8"/>
  <c r="AS7"/>
  <c r="P3" i="3"/>
  <c r="AP8" i="1"/>
  <c r="AQ7"/>
  <c r="P4" i="3" l="1"/>
  <c r="Q3"/>
  <c r="AP9" i="1"/>
  <c r="AQ8"/>
  <c r="AN9"/>
  <c r="AO8"/>
  <c r="AS8"/>
  <c r="AR9"/>
  <c r="AT7"/>
  <c r="AU7" s="1"/>
  <c r="I4" i="81" s="1"/>
  <c r="AS9" i="1" l="1"/>
  <c r="AR10"/>
  <c r="P5" i="3"/>
  <c r="Q4"/>
  <c r="AP10" i="1"/>
  <c r="AQ9"/>
  <c r="AN10"/>
  <c r="AO9"/>
  <c r="AT8"/>
  <c r="AU8" s="1"/>
  <c r="I5" i="81" s="1"/>
  <c r="AT9" i="1" l="1"/>
  <c r="AU9" s="1"/>
  <c r="I6" i="81" s="1"/>
  <c r="AS10" i="1"/>
  <c r="AR11"/>
  <c r="P6" i="3"/>
  <c r="Q5"/>
  <c r="AP11" i="1"/>
  <c r="AQ10"/>
  <c r="AN11"/>
  <c r="AO10"/>
  <c r="AT10" s="1"/>
  <c r="AU10" s="1"/>
  <c r="I7" i="81" s="1"/>
  <c r="AR12" i="1" l="1"/>
  <c r="AS11"/>
  <c r="P7" i="3"/>
  <c r="Q6"/>
  <c r="AP12" i="1"/>
  <c r="AQ11"/>
  <c r="AO11"/>
  <c r="AN12"/>
  <c r="P8" i="3" l="1"/>
  <c r="Q7"/>
  <c r="AR13" i="1"/>
  <c r="AS12"/>
  <c r="AP13"/>
  <c r="AQ12"/>
  <c r="AN13"/>
  <c r="AO12"/>
  <c r="AT11"/>
  <c r="AU11" s="1"/>
  <c r="I8" i="81" s="1"/>
  <c r="P9" i="3" l="1"/>
  <c r="Q8"/>
  <c r="AR14" i="1"/>
  <c r="AS13"/>
  <c r="AP14"/>
  <c r="AQ13"/>
  <c r="AN14"/>
  <c r="AO13"/>
  <c r="AT12"/>
  <c r="AU12" s="1"/>
  <c r="I9" i="81" s="1"/>
  <c r="P10" i="3" l="1"/>
  <c r="Q9"/>
  <c r="AR15" i="1"/>
  <c r="AS14"/>
  <c r="AQ14"/>
  <c r="AP15"/>
  <c r="AN15"/>
  <c r="AO14"/>
  <c r="AT13"/>
  <c r="AU13" s="1"/>
  <c r="I10" i="81" s="1"/>
  <c r="P11" i="3" l="1"/>
  <c r="Q10"/>
  <c r="AR16" i="1"/>
  <c r="AS15"/>
  <c r="AP16"/>
  <c r="AQ15"/>
  <c r="AN16"/>
  <c r="AO15"/>
  <c r="AT14"/>
  <c r="AU14" s="1"/>
  <c r="I11" i="81" s="1"/>
  <c r="P12" i="3" l="1"/>
  <c r="Q11"/>
  <c r="AR17" i="1"/>
  <c r="AS16"/>
  <c r="AP17"/>
  <c r="AQ16"/>
  <c r="AN17"/>
  <c r="AO16"/>
  <c r="AT15"/>
  <c r="AU15" s="1"/>
  <c r="I12" i="81" s="1"/>
  <c r="P13" i="3" l="1"/>
  <c r="Q12"/>
  <c r="AS17" i="1"/>
  <c r="AR18"/>
  <c r="AP18"/>
  <c r="AQ17"/>
  <c r="AN18"/>
  <c r="AO17"/>
  <c r="AT16"/>
  <c r="AU16" s="1"/>
  <c r="I13" i="81" s="1"/>
  <c r="P14" i="3" l="1"/>
  <c r="Q13"/>
  <c r="AR19" i="1"/>
  <c r="AS18"/>
  <c r="AP19"/>
  <c r="AQ18"/>
  <c r="AN19"/>
  <c r="AO18"/>
  <c r="AT17"/>
  <c r="AU17" s="1"/>
  <c r="I14" i="81" s="1"/>
  <c r="P15" i="3" l="1"/>
  <c r="Q14"/>
  <c r="Q18"/>
  <c r="AR20" i="1"/>
  <c r="AS19"/>
  <c r="AP20"/>
  <c r="AQ19"/>
  <c r="AN20"/>
  <c r="AO19"/>
  <c r="AT18"/>
  <c r="AU18" s="1"/>
  <c r="I15" i="81" s="1"/>
  <c r="AT19" i="1" l="1"/>
  <c r="AU19" s="1"/>
  <c r="I16" i="81" s="1"/>
  <c r="P16" i="3"/>
  <c r="Q15"/>
  <c r="AR21" i="1"/>
  <c r="AS20"/>
  <c r="AP21"/>
  <c r="AQ20"/>
  <c r="AN21"/>
  <c r="AO20"/>
  <c r="P17" i="3" l="1"/>
  <c r="Q16"/>
  <c r="AR22" i="1"/>
  <c r="AS21"/>
  <c r="AQ21"/>
  <c r="AP22"/>
  <c r="AO21"/>
  <c r="AN22"/>
  <c r="AT20"/>
  <c r="AU20" s="1"/>
  <c r="I17" i="81" s="1"/>
  <c r="P18" i="3" l="1"/>
  <c r="P19" s="1"/>
  <c r="Q17"/>
  <c r="AR23" i="1"/>
  <c r="AS22"/>
  <c r="AP23"/>
  <c r="AQ22"/>
  <c r="AO22"/>
  <c r="AN23"/>
  <c r="AT21"/>
  <c r="AU21" s="1"/>
  <c r="I18" i="81" s="1"/>
  <c r="P20" i="3" l="1"/>
  <c r="Q19"/>
  <c r="AR24" i="1"/>
  <c r="AS23"/>
  <c r="AP24"/>
  <c r="AQ23"/>
  <c r="AN24"/>
  <c r="AO23"/>
  <c r="AT22"/>
  <c r="AU22" s="1"/>
  <c r="I19" i="81" s="1"/>
  <c r="P21" i="3" l="1"/>
  <c r="Q20"/>
  <c r="AR25" i="1"/>
  <c r="AS24"/>
  <c r="AQ24"/>
  <c r="AP25"/>
  <c r="AN25"/>
  <c r="AO24"/>
  <c r="AT23"/>
  <c r="AU23" s="1"/>
  <c r="I20" i="81" s="1"/>
  <c r="P22" i="3" l="1"/>
  <c r="Q21"/>
  <c r="AR26" i="1"/>
  <c r="AS25"/>
  <c r="AP26"/>
  <c r="AQ25"/>
  <c r="AO25"/>
  <c r="AN26"/>
  <c r="AT24"/>
  <c r="AU24" s="1"/>
  <c r="I21" i="81" s="1"/>
  <c r="P23" i="3" l="1"/>
  <c r="Q22"/>
  <c r="AR27" i="1"/>
  <c r="AS26"/>
  <c r="AP27"/>
  <c r="AQ26"/>
  <c r="AO26"/>
  <c r="AN27"/>
  <c r="AT25"/>
  <c r="AU25" s="1"/>
  <c r="I22" i="81" s="1"/>
  <c r="P24" i="3" l="1"/>
  <c r="Q23"/>
  <c r="AR28" i="1"/>
  <c r="AS27"/>
  <c r="AP28"/>
  <c r="AQ27"/>
  <c r="AO27"/>
  <c r="AN28"/>
  <c r="AT26"/>
  <c r="AU26" s="1"/>
  <c r="I23" i="81" s="1"/>
  <c r="P25" i="3" l="1"/>
  <c r="Q24"/>
  <c r="AR29" i="1"/>
  <c r="AS28"/>
  <c r="AQ28"/>
  <c r="AP29"/>
  <c r="AN29"/>
  <c r="AO28"/>
  <c r="AT27"/>
  <c r="AU27" s="1"/>
  <c r="I24" i="81" s="1"/>
  <c r="P26" i="3" l="1"/>
  <c r="Q25"/>
  <c r="AS29" i="1"/>
  <c r="AR30"/>
  <c r="AQ29"/>
  <c r="AP30"/>
  <c r="AO29"/>
  <c r="AN30"/>
  <c r="AT28"/>
  <c r="AU28" s="1"/>
  <c r="I25" i="81" s="1"/>
  <c r="P27" i="3" l="1"/>
  <c r="Q26"/>
  <c r="AS30" i="1"/>
  <c r="AR31"/>
  <c r="AQ30"/>
  <c r="AP31"/>
  <c r="AN31"/>
  <c r="AO30"/>
  <c r="AT29"/>
  <c r="AU29" s="1"/>
  <c r="I26" i="81" s="1"/>
  <c r="P28" i="3" l="1"/>
  <c r="Q27"/>
  <c r="AN32" i="1"/>
  <c r="AO31"/>
  <c r="AR32"/>
  <c r="AS31"/>
  <c r="AP32"/>
  <c r="AQ31"/>
  <c r="AT30"/>
  <c r="AU30" s="1"/>
  <c r="I27" i="81" s="1"/>
  <c r="AQ32" i="1" l="1"/>
  <c r="AP33"/>
  <c r="AO32"/>
  <c r="AN33"/>
  <c r="AS32"/>
  <c r="AR33"/>
  <c r="AT31"/>
  <c r="AU31" s="1"/>
  <c r="I28" i="81" s="1"/>
  <c r="P29" i="3"/>
  <c r="Q28"/>
  <c r="AT32" i="1" l="1"/>
  <c r="AU32" s="1"/>
  <c r="I29" i="81" s="1"/>
  <c r="AP34" i="1"/>
  <c r="AQ33"/>
  <c r="AO33"/>
  <c r="AN34"/>
  <c r="AS33"/>
  <c r="AR34"/>
  <c r="P30" i="3"/>
  <c r="Q29"/>
  <c r="Q30" l="1"/>
  <c r="P31"/>
  <c r="AQ34" i="1"/>
  <c r="AP35"/>
  <c r="AQ35" s="1"/>
  <c r="AO34"/>
  <c r="AN35"/>
  <c r="AO35" s="1"/>
  <c r="AS34"/>
  <c r="AR35"/>
  <c r="AS35" s="1"/>
  <c r="AT33"/>
  <c r="AX5"/>
  <c r="P32" i="3" l="1"/>
  <c r="Q31"/>
  <c r="AU34" i="1"/>
  <c r="I31" i="81" s="1"/>
  <c r="AU33" i="1"/>
  <c r="AT34"/>
  <c r="AT35"/>
  <c r="AX6"/>
  <c r="J2" i="81"/>
  <c r="AU35" i="1" l="1"/>
  <c r="I32" i="81" s="1"/>
  <c r="P33" i="3"/>
  <c r="Q33" s="1"/>
  <c r="Q32"/>
  <c r="I30" i="8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J29" i="81" l="1"/>
  <c r="AX33" i="1"/>
  <c r="AV6" i="7"/>
  <c r="H2" i="81" s="1"/>
  <c r="J30" l="1"/>
  <c r="AX34" i="1"/>
  <c r="AV7" i="7"/>
  <c r="H3" i="81" s="1"/>
  <c r="AX35" i="1" l="1"/>
  <c r="J32" i="81" s="1"/>
  <c r="J31"/>
  <c r="AV8" i="7"/>
  <c r="H4" i="81" s="1"/>
  <c r="AV9" i="7" l="1"/>
  <c r="H5" i="81" s="1"/>
  <c r="AV10" i="7" l="1"/>
  <c r="H6" i="81" s="1"/>
  <c r="AV11" i="7" l="1"/>
  <c r="H7" i="81" s="1"/>
  <c r="AV12" i="7" l="1"/>
  <c r="H8" i="81" s="1"/>
  <c r="AV13" i="7" l="1"/>
  <c r="H9" i="81" s="1"/>
  <c r="AV14" i="7" l="1"/>
  <c r="H10" i="81" s="1"/>
  <c r="AV15" i="7" l="1"/>
  <c r="H11" i="81" s="1"/>
  <c r="AV16" i="7" l="1"/>
  <c r="H12" i="81" s="1"/>
  <c r="AV17" i="7" l="1"/>
  <c r="H13" i="81" s="1"/>
  <c r="AV18" i="7" l="1"/>
  <c r="H14" i="81" s="1"/>
  <c r="AV19" i="7" l="1"/>
  <c r="H15" i="81" s="1"/>
  <c r="AV20" i="7" l="1"/>
  <c r="H16" i="81" s="1"/>
  <c r="AV21" i="7" l="1"/>
  <c r="H17" i="81" s="1"/>
  <c r="AV22" i="7" l="1"/>
  <c r="H18" i="81" s="1"/>
  <c r="AV23" i="7" l="1"/>
  <c r="H19" i="81" s="1"/>
  <c r="AV24" i="7" l="1"/>
  <c r="H20" i="81" s="1"/>
  <c r="AV25" i="7" l="1"/>
  <c r="H21" i="81" s="1"/>
  <c r="AV26" i="7" l="1"/>
  <c r="H22" i="81" s="1"/>
  <c r="AV27" i="7" l="1"/>
  <c r="H23" i="81" s="1"/>
  <c r="AV28" i="7" l="1"/>
  <c r="H24" i="81" s="1"/>
  <c r="AV29" i="7" l="1"/>
  <c r="H25" i="81" s="1"/>
  <c r="AV30" i="7" l="1"/>
  <c r="H26" i="81" s="1"/>
  <c r="AV31" i="7" l="1"/>
  <c r="H27" i="81" s="1"/>
  <c r="AV32" i="7" l="1"/>
  <c r="H28" i="81" s="1"/>
  <c r="AV33" i="7" l="1"/>
  <c r="H29" i="81" s="1"/>
  <c r="AV34" i="7" l="1"/>
  <c r="H30" i="81" s="1"/>
  <c r="AV35" i="7" l="1"/>
  <c r="H31" i="81" s="1"/>
  <c r="AV36" i="7" l="1"/>
  <c r="H32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<sst xmlns="http://schemas.openxmlformats.org/spreadsheetml/2006/main" count="666" uniqueCount="418">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</sst>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43" fontId="0" fillId="0" borderId="43" xfId="1" applyNumberFormat="1" applyFont="1" applyBorder="1" applyAlignment="1">
      <alignment horizontal="center"/>
    </xf>
    <xf numFmtId="167" fontId="0" fillId="0" borderId="43" xfId="1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1" xfId="0" applyBorder="1" applyAlignment="1">
      <alignment horizont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5888</c:v>
                </c:pt>
                <c:pt idx="3">
                  <c:v>5727</c:v>
                </c:pt>
                <c:pt idx="4">
                  <c:v>0</c:v>
                </c:pt>
                <c:pt idx="5">
                  <c:v>0</c:v>
                </c:pt>
                <c:pt idx="6">
                  <c:v>6030</c:v>
                </c:pt>
                <c:pt idx="7">
                  <c:v>4353</c:v>
                </c:pt>
                <c:pt idx="8">
                  <c:v>5098</c:v>
                </c:pt>
                <c:pt idx="9">
                  <c:v>4939</c:v>
                </c:pt>
                <c:pt idx="10">
                  <c:v>5500</c:v>
                </c:pt>
                <c:pt idx="11">
                  <c:v>5222</c:v>
                </c:pt>
                <c:pt idx="12">
                  <c:v>0</c:v>
                </c:pt>
                <c:pt idx="13">
                  <c:v>3565</c:v>
                </c:pt>
                <c:pt idx="14">
                  <c:v>5257</c:v>
                </c:pt>
                <c:pt idx="15">
                  <c:v>5713</c:v>
                </c:pt>
                <c:pt idx="16">
                  <c:v>5689</c:v>
                </c:pt>
                <c:pt idx="17">
                  <c:v>5365</c:v>
                </c:pt>
                <c:pt idx="18">
                  <c:v>0</c:v>
                </c:pt>
                <c:pt idx="19">
                  <c:v>0</c:v>
                </c:pt>
                <c:pt idx="20">
                  <c:v>5488</c:v>
                </c:pt>
                <c:pt idx="21">
                  <c:v>5011</c:v>
                </c:pt>
                <c:pt idx="22">
                  <c:v>5054</c:v>
                </c:pt>
                <c:pt idx="23">
                  <c:v>5601</c:v>
                </c:pt>
                <c:pt idx="24">
                  <c:v>5300</c:v>
                </c:pt>
                <c:pt idx="25">
                  <c:v>0</c:v>
                </c:pt>
                <c:pt idx="26">
                  <c:v>0</c:v>
                </c:pt>
                <c:pt idx="27">
                  <c:v>5202</c:v>
                </c:pt>
                <c:pt idx="28">
                  <c:v>4634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76704896"/>
        <c:axId val="130036864"/>
      </c:lineChart>
      <c:catAx>
        <c:axId val="17670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036864"/>
        <c:crosses val="autoZero"/>
        <c:auto val="1"/>
        <c:lblAlgn val="ctr"/>
        <c:lblOffset val="100"/>
      </c:catAx>
      <c:valAx>
        <c:axId val="1300368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70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274</c:v>
                </c:pt>
                <c:pt idx="9">
                  <c:v>13</c:v>
                </c:pt>
                <c:pt idx="10">
                  <c:v>191</c:v>
                </c:pt>
                <c:pt idx="11">
                  <c:v>0</c:v>
                </c:pt>
                <c:pt idx="12">
                  <c:v>0</c:v>
                </c:pt>
                <c:pt idx="13">
                  <c:v>269</c:v>
                </c:pt>
                <c:pt idx="14">
                  <c:v>0</c:v>
                </c:pt>
                <c:pt idx="15">
                  <c:v>144</c:v>
                </c:pt>
                <c:pt idx="16">
                  <c:v>233</c:v>
                </c:pt>
                <c:pt idx="17">
                  <c:v>177</c:v>
                </c:pt>
                <c:pt idx="18">
                  <c:v>0</c:v>
                </c:pt>
                <c:pt idx="19">
                  <c:v>0</c:v>
                </c:pt>
                <c:pt idx="20">
                  <c:v>61</c:v>
                </c:pt>
                <c:pt idx="21">
                  <c:v>182</c:v>
                </c:pt>
                <c:pt idx="22">
                  <c:v>0</c:v>
                </c:pt>
                <c:pt idx="23">
                  <c:v>260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618</c:v>
                </c:pt>
                <c:pt idx="28">
                  <c:v>0</c:v>
                </c:pt>
                <c:pt idx="29">
                  <c:v>223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0061440"/>
        <c:axId val="130062976"/>
      </c:lineChart>
      <c:catAx>
        <c:axId val="13006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062976"/>
        <c:crosses val="autoZero"/>
        <c:auto val="1"/>
        <c:lblAlgn val="ctr"/>
        <c:lblOffset val="100"/>
      </c:catAx>
      <c:valAx>
        <c:axId val="130062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06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374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097"/>
          <c:w val="0.77663126001867322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30075264"/>
        <c:axId val="130081152"/>
      </c:lineChart>
      <c:catAx>
        <c:axId val="130075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081152"/>
        <c:crosses val="autoZero"/>
        <c:auto val="1"/>
        <c:lblAlgn val="ctr"/>
        <c:lblOffset val="100"/>
      </c:catAx>
      <c:valAx>
        <c:axId val="1300811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07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29319296"/>
        <c:axId val="129320832"/>
      </c:lineChart>
      <c:catAx>
        <c:axId val="12931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20832"/>
        <c:crosses val="autoZero"/>
        <c:auto val="1"/>
        <c:lblAlgn val="ctr"/>
        <c:lblOffset val="100"/>
      </c:catAx>
      <c:valAx>
        <c:axId val="1293208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1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355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29337216"/>
        <c:axId val="129338752"/>
      </c:lineChart>
      <c:catAx>
        <c:axId val="129337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38752"/>
        <c:crosses val="autoZero"/>
        <c:auto val="1"/>
        <c:lblAlgn val="ctr"/>
        <c:lblOffset val="100"/>
      </c:catAx>
      <c:valAx>
        <c:axId val="1293387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337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225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30334720"/>
        <c:axId val="130336256"/>
      </c:lineChart>
      <c:catAx>
        <c:axId val="13033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36256"/>
        <c:crosses val="autoZero"/>
        <c:auto val="1"/>
        <c:lblAlgn val="ctr"/>
        <c:lblOffset val="100"/>
      </c:catAx>
      <c:valAx>
        <c:axId val="130336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3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30430464"/>
        <c:axId val="130432000"/>
      </c:lineChart>
      <c:catAx>
        <c:axId val="130430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32000"/>
        <c:crosses val="autoZero"/>
        <c:auto val="1"/>
        <c:lblAlgn val="ctr"/>
        <c:lblOffset val="100"/>
      </c:catAx>
      <c:valAx>
        <c:axId val="130432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30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250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181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30448384"/>
        <c:axId val="130462464"/>
      </c:lineChart>
      <c:catAx>
        <c:axId val="130448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62464"/>
        <c:crosses val="autoZero"/>
        <c:auto val="1"/>
        <c:lblAlgn val="ctr"/>
        <c:lblOffset val="100"/>
      </c:catAx>
      <c:valAx>
        <c:axId val="130462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48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15</c:v>
                </c:pt>
                <c:pt idx="9">
                  <c:v>12.5</c:v>
                </c:pt>
                <c:pt idx="10">
                  <c:v>11.5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7.5</c:v>
                </c:pt>
                <c:pt idx="15">
                  <c:v>0</c:v>
                </c:pt>
                <c:pt idx="16">
                  <c:v>12.5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11</c:v>
                </c:pt>
                <c:pt idx="21">
                  <c:v>13</c:v>
                </c:pt>
                <c:pt idx="22">
                  <c:v>12</c:v>
                </c:pt>
                <c:pt idx="23">
                  <c:v>11</c:v>
                </c:pt>
                <c:pt idx="24">
                  <c:v>0</c:v>
                </c:pt>
                <c:pt idx="25">
                  <c:v>0</c:v>
                </c:pt>
                <c:pt idx="26">
                  <c:v>14.5</c:v>
                </c:pt>
                <c:pt idx="27">
                  <c:v>14.5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30478848"/>
        <c:axId val="130480384"/>
      </c:lineChart>
      <c:catAx>
        <c:axId val="13047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80384"/>
        <c:crosses val="autoZero"/>
        <c:auto val="1"/>
        <c:lblAlgn val="ctr"/>
        <c:lblOffset val="100"/>
      </c:catAx>
      <c:valAx>
        <c:axId val="1304803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7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6726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30504960"/>
        <c:axId val="130523136"/>
      </c:lineChart>
      <c:catAx>
        <c:axId val="130504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23136"/>
        <c:crosses val="autoZero"/>
        <c:auto val="1"/>
        <c:lblAlgn val="ctr"/>
        <c:lblOffset val="100"/>
      </c:catAx>
      <c:valAx>
        <c:axId val="130523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04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7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0</c:v>
                </c:pt>
                <c:pt idx="18">
                  <c:v>0</c:v>
                </c:pt>
                <c:pt idx="19">
                  <c:v>11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10</c:v>
                </c:pt>
                <c:pt idx="24">
                  <c:v>0</c:v>
                </c:pt>
                <c:pt idx="25">
                  <c:v>0</c:v>
                </c:pt>
                <c:pt idx="26">
                  <c:v>10</c:v>
                </c:pt>
                <c:pt idx="27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30707456"/>
        <c:axId val="130708992"/>
      </c:lineChart>
      <c:catAx>
        <c:axId val="130707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08992"/>
        <c:crosses val="autoZero"/>
        <c:auto val="1"/>
        <c:lblAlgn val="ctr"/>
        <c:lblOffset val="100"/>
      </c:catAx>
      <c:valAx>
        <c:axId val="1307089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07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274</c:v>
                </c:pt>
                <c:pt idx="9">
                  <c:v>13</c:v>
                </c:pt>
                <c:pt idx="10">
                  <c:v>191</c:v>
                </c:pt>
                <c:pt idx="11">
                  <c:v>0</c:v>
                </c:pt>
                <c:pt idx="12">
                  <c:v>0</c:v>
                </c:pt>
                <c:pt idx="13">
                  <c:v>269</c:v>
                </c:pt>
                <c:pt idx="14">
                  <c:v>0</c:v>
                </c:pt>
                <c:pt idx="15">
                  <c:v>144</c:v>
                </c:pt>
                <c:pt idx="16">
                  <c:v>233</c:v>
                </c:pt>
                <c:pt idx="17">
                  <c:v>177</c:v>
                </c:pt>
                <c:pt idx="18">
                  <c:v>0</c:v>
                </c:pt>
                <c:pt idx="19">
                  <c:v>0</c:v>
                </c:pt>
                <c:pt idx="20">
                  <c:v>61</c:v>
                </c:pt>
                <c:pt idx="21">
                  <c:v>182</c:v>
                </c:pt>
                <c:pt idx="22">
                  <c:v>0</c:v>
                </c:pt>
                <c:pt idx="23">
                  <c:v>260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618</c:v>
                </c:pt>
                <c:pt idx="28">
                  <c:v>0</c:v>
                </c:pt>
                <c:pt idx="29">
                  <c:v>223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30553728"/>
        <c:axId val="130555264"/>
      </c:lineChart>
      <c:catAx>
        <c:axId val="13055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55264"/>
        <c:crosses val="autoZero"/>
        <c:auto val="1"/>
        <c:lblAlgn val="ctr"/>
        <c:lblOffset val="100"/>
      </c:catAx>
      <c:valAx>
        <c:axId val="130555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55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58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415</c:v>
                </c:pt>
                <c:pt idx="1">
                  <c:v>343</c:v>
                </c:pt>
                <c:pt idx="2">
                  <c:v>425</c:v>
                </c:pt>
                <c:pt idx="3">
                  <c:v>337</c:v>
                </c:pt>
                <c:pt idx="4">
                  <c:v>0</c:v>
                </c:pt>
                <c:pt idx="5">
                  <c:v>0</c:v>
                </c:pt>
                <c:pt idx="6">
                  <c:v>528</c:v>
                </c:pt>
                <c:pt idx="7">
                  <c:v>219</c:v>
                </c:pt>
                <c:pt idx="8">
                  <c:v>318</c:v>
                </c:pt>
                <c:pt idx="9">
                  <c:v>304</c:v>
                </c:pt>
                <c:pt idx="10">
                  <c:v>218</c:v>
                </c:pt>
                <c:pt idx="11">
                  <c:v>425</c:v>
                </c:pt>
                <c:pt idx="12">
                  <c:v>0</c:v>
                </c:pt>
                <c:pt idx="13">
                  <c:v>295</c:v>
                </c:pt>
                <c:pt idx="14">
                  <c:v>570</c:v>
                </c:pt>
                <c:pt idx="15">
                  <c:v>515</c:v>
                </c:pt>
                <c:pt idx="16">
                  <c:v>653</c:v>
                </c:pt>
                <c:pt idx="17">
                  <c:v>414</c:v>
                </c:pt>
                <c:pt idx="18">
                  <c:v>0</c:v>
                </c:pt>
                <c:pt idx="19">
                  <c:v>0</c:v>
                </c:pt>
                <c:pt idx="20">
                  <c:v>426</c:v>
                </c:pt>
                <c:pt idx="21">
                  <c:v>452</c:v>
                </c:pt>
                <c:pt idx="22">
                  <c:v>348</c:v>
                </c:pt>
                <c:pt idx="23">
                  <c:v>378</c:v>
                </c:pt>
                <c:pt idx="24">
                  <c:v>393</c:v>
                </c:pt>
                <c:pt idx="25">
                  <c:v>0</c:v>
                </c:pt>
                <c:pt idx="26">
                  <c:v>0</c:v>
                </c:pt>
                <c:pt idx="27">
                  <c:v>450</c:v>
                </c:pt>
                <c:pt idx="28">
                  <c:v>347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31149824"/>
        <c:axId val="131151360"/>
      </c:lineChart>
      <c:catAx>
        <c:axId val="131149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51360"/>
        <c:crosses val="autoZero"/>
        <c:auto val="1"/>
        <c:lblAlgn val="ctr"/>
        <c:lblOffset val="100"/>
      </c:catAx>
      <c:valAx>
        <c:axId val="131151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4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08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31192320"/>
        <c:axId val="131193856"/>
      </c:lineChart>
      <c:catAx>
        <c:axId val="131192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93856"/>
        <c:crosses val="autoZero"/>
        <c:auto val="1"/>
        <c:lblAlgn val="ctr"/>
        <c:lblOffset val="100"/>
      </c:catAx>
      <c:valAx>
        <c:axId val="1311938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192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6604</c:v>
                </c:pt>
                <c:pt idx="1">
                  <c:v>6721</c:v>
                </c:pt>
                <c:pt idx="2">
                  <c:v>5888</c:v>
                </c:pt>
                <c:pt idx="3">
                  <c:v>5727</c:v>
                </c:pt>
                <c:pt idx="4">
                  <c:v>0</c:v>
                </c:pt>
                <c:pt idx="5">
                  <c:v>0</c:v>
                </c:pt>
                <c:pt idx="6">
                  <c:v>6030</c:v>
                </c:pt>
                <c:pt idx="7">
                  <c:v>4353</c:v>
                </c:pt>
                <c:pt idx="8">
                  <c:v>5098</c:v>
                </c:pt>
                <c:pt idx="9">
                  <c:v>4939</c:v>
                </c:pt>
                <c:pt idx="10">
                  <c:v>5500</c:v>
                </c:pt>
                <c:pt idx="11">
                  <c:v>5222</c:v>
                </c:pt>
                <c:pt idx="12">
                  <c:v>0</c:v>
                </c:pt>
                <c:pt idx="13">
                  <c:v>3565</c:v>
                </c:pt>
                <c:pt idx="14">
                  <c:v>5257</c:v>
                </c:pt>
                <c:pt idx="15">
                  <c:v>5713</c:v>
                </c:pt>
                <c:pt idx="16">
                  <c:v>5689</c:v>
                </c:pt>
                <c:pt idx="17">
                  <c:v>5365</c:v>
                </c:pt>
                <c:pt idx="18">
                  <c:v>0</c:v>
                </c:pt>
                <c:pt idx="19">
                  <c:v>0</c:v>
                </c:pt>
                <c:pt idx="20">
                  <c:v>5488</c:v>
                </c:pt>
                <c:pt idx="21">
                  <c:v>5011</c:v>
                </c:pt>
                <c:pt idx="22">
                  <c:v>5054</c:v>
                </c:pt>
                <c:pt idx="23">
                  <c:v>5601</c:v>
                </c:pt>
                <c:pt idx="24">
                  <c:v>5300</c:v>
                </c:pt>
                <c:pt idx="25">
                  <c:v>0</c:v>
                </c:pt>
                <c:pt idx="26">
                  <c:v>0</c:v>
                </c:pt>
                <c:pt idx="27">
                  <c:v>5202</c:v>
                </c:pt>
                <c:pt idx="28">
                  <c:v>4634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30096512"/>
        <c:axId val="130118784"/>
      </c:lineChart>
      <c:catAx>
        <c:axId val="130096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18784"/>
        <c:crosses val="autoZero"/>
        <c:auto val="1"/>
        <c:lblAlgn val="ctr"/>
        <c:lblOffset val="100"/>
      </c:catAx>
      <c:valAx>
        <c:axId val="1301187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096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46</c:v>
                </c:pt>
                <c:pt idx="1">
                  <c:v>106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  <c:pt idx="6">
                  <c:v>244</c:v>
                </c:pt>
                <c:pt idx="7">
                  <c:v>179</c:v>
                </c:pt>
                <c:pt idx="8">
                  <c:v>274</c:v>
                </c:pt>
                <c:pt idx="9">
                  <c:v>13</c:v>
                </c:pt>
                <c:pt idx="10">
                  <c:v>191</c:v>
                </c:pt>
                <c:pt idx="11">
                  <c:v>0</c:v>
                </c:pt>
                <c:pt idx="12">
                  <c:v>0</c:v>
                </c:pt>
                <c:pt idx="13">
                  <c:v>269</c:v>
                </c:pt>
                <c:pt idx="14">
                  <c:v>0</c:v>
                </c:pt>
                <c:pt idx="15">
                  <c:v>144</c:v>
                </c:pt>
                <c:pt idx="16">
                  <c:v>233</c:v>
                </c:pt>
                <c:pt idx="17">
                  <c:v>177</c:v>
                </c:pt>
                <c:pt idx="18">
                  <c:v>0</c:v>
                </c:pt>
                <c:pt idx="19">
                  <c:v>0</c:v>
                </c:pt>
                <c:pt idx="20">
                  <c:v>61</c:v>
                </c:pt>
                <c:pt idx="21">
                  <c:v>182</c:v>
                </c:pt>
                <c:pt idx="22">
                  <c:v>0</c:v>
                </c:pt>
                <c:pt idx="23">
                  <c:v>260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618</c:v>
                </c:pt>
                <c:pt idx="28">
                  <c:v>0</c:v>
                </c:pt>
                <c:pt idx="29">
                  <c:v>223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30147456"/>
        <c:axId val="130148992"/>
      </c:lineChart>
      <c:catAx>
        <c:axId val="130147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48992"/>
        <c:crosses val="autoZero"/>
        <c:auto val="1"/>
        <c:lblAlgn val="ctr"/>
        <c:lblOffset val="100"/>
      </c:catAx>
      <c:valAx>
        <c:axId val="130148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47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08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  <c:pt idx="9">
                  <c:v>11</c:v>
                </c:pt>
                <c:pt idx="10">
                  <c:v>10</c:v>
                </c:pt>
                <c:pt idx="11">
                  <c:v>0</c:v>
                </c:pt>
                <c:pt idx="12">
                  <c:v>7</c:v>
                </c:pt>
                <c:pt idx="13">
                  <c:v>11</c:v>
                </c:pt>
                <c:pt idx="14">
                  <c:v>12</c:v>
                </c:pt>
                <c:pt idx="15">
                  <c:v>13</c:v>
                </c:pt>
                <c:pt idx="16">
                  <c:v>12</c:v>
                </c:pt>
                <c:pt idx="17">
                  <c:v>0</c:v>
                </c:pt>
                <c:pt idx="18">
                  <c:v>0</c:v>
                </c:pt>
                <c:pt idx="19">
                  <c:v>11</c:v>
                </c:pt>
                <c:pt idx="20">
                  <c:v>10</c:v>
                </c:pt>
                <c:pt idx="21">
                  <c:v>10</c:v>
                </c:pt>
                <c:pt idx="22">
                  <c:v>11</c:v>
                </c:pt>
                <c:pt idx="23">
                  <c:v>10</c:v>
                </c:pt>
                <c:pt idx="24">
                  <c:v>0</c:v>
                </c:pt>
                <c:pt idx="25">
                  <c:v>0</c:v>
                </c:pt>
                <c:pt idx="26">
                  <c:v>10</c:v>
                </c:pt>
                <c:pt idx="27">
                  <c:v>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31226240"/>
        <c:axId val="131228032"/>
      </c:lineChart>
      <c:catAx>
        <c:axId val="131226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28032"/>
        <c:crosses val="autoZero"/>
        <c:auto val="1"/>
        <c:lblAlgn val="ctr"/>
        <c:lblOffset val="100"/>
      </c:catAx>
      <c:valAx>
        <c:axId val="1312280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26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4855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-1767.7741935483791</c:v>
                </c:pt>
                <c:pt idx="1">
                  <c:v>-2760.0967741935383</c:v>
                </c:pt>
                <c:pt idx="2">
                  <c:v>-2383.4193548387266</c:v>
                </c:pt>
                <c:pt idx="3">
                  <c:v>0</c:v>
                </c:pt>
                <c:pt idx="4">
                  <c:v>0</c:v>
                </c:pt>
                <c:pt idx="5">
                  <c:v>-2453.419354838712</c:v>
                </c:pt>
                <c:pt idx="6">
                  <c:v>-1910.0645161290231</c:v>
                </c:pt>
                <c:pt idx="7">
                  <c:v>-1840.0645161290377</c:v>
                </c:pt>
                <c:pt idx="8">
                  <c:v>-831.70967741935601</c:v>
                </c:pt>
                <c:pt idx="9">
                  <c:v>943.99999999999272</c:v>
                </c:pt>
                <c:pt idx="10">
                  <c:v>-2216.7419354838639</c:v>
                </c:pt>
                <c:pt idx="11">
                  <c:v>0</c:v>
                </c:pt>
                <c:pt idx="12">
                  <c:v>-1226.7096774193342</c:v>
                </c:pt>
                <c:pt idx="13">
                  <c:v>-2690.0967741935747</c:v>
                </c:pt>
                <c:pt idx="14">
                  <c:v>-2996.7741935483646</c:v>
                </c:pt>
                <c:pt idx="15">
                  <c:v>-1616.5806451613025</c:v>
                </c:pt>
                <c:pt idx="16">
                  <c:v>-1479.8064516129089</c:v>
                </c:pt>
                <c:pt idx="17">
                  <c:v>0</c:v>
                </c:pt>
                <c:pt idx="18">
                  <c:v>0</c:v>
                </c:pt>
                <c:pt idx="19">
                  <c:v>-1723.2903225806513</c:v>
                </c:pt>
                <c:pt idx="20">
                  <c:v>-2453.4193548386975</c:v>
                </c:pt>
                <c:pt idx="21">
                  <c:v>-1910.0645161290449</c:v>
                </c:pt>
                <c:pt idx="22">
                  <c:v>-1863.2258064516063</c:v>
                </c:pt>
                <c:pt idx="23">
                  <c:v>-1910.0645161290158</c:v>
                </c:pt>
                <c:pt idx="24">
                  <c:v>0</c:v>
                </c:pt>
                <c:pt idx="25">
                  <c:v>0</c:v>
                </c:pt>
                <c:pt idx="26">
                  <c:v>-1840.0645161290449</c:v>
                </c:pt>
                <c:pt idx="27">
                  <c:v>-2146.7419354838785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31260800"/>
        <c:axId val="131262336"/>
      </c:lineChart>
      <c:catAx>
        <c:axId val="13126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62336"/>
        <c:crosses val="autoZero"/>
        <c:auto val="1"/>
        <c:lblAlgn val="ctr"/>
        <c:lblOffset val="100"/>
      </c:catAx>
      <c:valAx>
        <c:axId val="131262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6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31299584"/>
        <c:axId val="131301376"/>
      </c:lineChart>
      <c:catAx>
        <c:axId val="131299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01376"/>
        <c:crosses val="autoZero"/>
        <c:auto val="1"/>
        <c:lblAlgn val="ctr"/>
        <c:lblOffset val="100"/>
      </c:catAx>
      <c:valAx>
        <c:axId val="131301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99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11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31330048"/>
        <c:axId val="131331584"/>
      </c:lineChart>
      <c:catAx>
        <c:axId val="131330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31584"/>
        <c:crosses val="autoZero"/>
        <c:auto val="1"/>
        <c:lblAlgn val="ctr"/>
        <c:lblOffset val="100"/>
      </c:catAx>
      <c:valAx>
        <c:axId val="1313315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30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31364352"/>
        <c:axId val="131365888"/>
      </c:lineChart>
      <c:catAx>
        <c:axId val="13136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65888"/>
        <c:crosses val="autoZero"/>
        <c:auto val="1"/>
        <c:lblAlgn val="ctr"/>
        <c:lblOffset val="100"/>
      </c:catAx>
      <c:valAx>
        <c:axId val="1313658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6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31476480"/>
        <c:axId val="131482368"/>
      </c:lineChart>
      <c:catAx>
        <c:axId val="13147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82368"/>
        <c:crosses val="autoZero"/>
        <c:auto val="1"/>
        <c:lblAlgn val="ctr"/>
        <c:lblOffset val="100"/>
      </c:catAx>
      <c:valAx>
        <c:axId val="131482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7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7602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250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181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31511040"/>
        <c:axId val="131512576"/>
      </c:lineChart>
      <c:catAx>
        <c:axId val="131511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12576"/>
        <c:crosses val="autoZero"/>
        <c:auto val="1"/>
        <c:lblAlgn val="ctr"/>
        <c:lblOffset val="100"/>
      </c:catAx>
      <c:valAx>
        <c:axId val="131512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11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15</c:v>
                </c:pt>
                <c:pt idx="9">
                  <c:v>12.5</c:v>
                </c:pt>
                <c:pt idx="10">
                  <c:v>11.5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7.5</c:v>
                </c:pt>
                <c:pt idx="15">
                  <c:v>0</c:v>
                </c:pt>
                <c:pt idx="16">
                  <c:v>12.5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11</c:v>
                </c:pt>
                <c:pt idx="21">
                  <c:v>13</c:v>
                </c:pt>
                <c:pt idx="22">
                  <c:v>12</c:v>
                </c:pt>
                <c:pt idx="23">
                  <c:v>11</c:v>
                </c:pt>
                <c:pt idx="24">
                  <c:v>0</c:v>
                </c:pt>
                <c:pt idx="25">
                  <c:v>0</c:v>
                </c:pt>
                <c:pt idx="26">
                  <c:v>14.5</c:v>
                </c:pt>
                <c:pt idx="27">
                  <c:v>14.5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31537152"/>
        <c:axId val="131543040"/>
      </c:lineChart>
      <c:catAx>
        <c:axId val="131537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43040"/>
        <c:crosses val="autoZero"/>
        <c:auto val="1"/>
        <c:lblAlgn val="ctr"/>
        <c:lblOffset val="100"/>
      </c:catAx>
      <c:valAx>
        <c:axId val="131543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37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3551"/>
          <c:w val="0.1234311819809452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31576960"/>
        <c:axId val="131578496"/>
      </c:lineChart>
      <c:catAx>
        <c:axId val="13157696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78496"/>
        <c:crosses val="autoZero"/>
        <c:auto val="1"/>
        <c:lblAlgn val="ctr"/>
        <c:lblOffset val="100"/>
      </c:catAx>
      <c:valAx>
        <c:axId val="13157849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76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693"/>
          <c:w val="0.15690398532824545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31414272"/>
        <c:axId val="131420160"/>
      </c:lineChart>
      <c:catAx>
        <c:axId val="131414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20160"/>
        <c:crosses val="autoZero"/>
        <c:auto val="1"/>
        <c:lblAlgn val="ctr"/>
        <c:lblOffset val="100"/>
      </c:catAx>
      <c:valAx>
        <c:axId val="1314201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14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34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15.5</c:v>
                </c:pt>
                <c:pt idx="1">
                  <c:v>19.5</c:v>
                </c:pt>
                <c:pt idx="2">
                  <c:v>16.5</c:v>
                </c:pt>
                <c:pt idx="3">
                  <c:v>0</c:v>
                </c:pt>
                <c:pt idx="4">
                  <c:v>0</c:v>
                </c:pt>
                <c:pt idx="5">
                  <c:v>17.5</c:v>
                </c:pt>
                <c:pt idx="6">
                  <c:v>15</c:v>
                </c:pt>
                <c:pt idx="7">
                  <c:v>10.5</c:v>
                </c:pt>
                <c:pt idx="8">
                  <c:v>15</c:v>
                </c:pt>
                <c:pt idx="9">
                  <c:v>12.5</c:v>
                </c:pt>
                <c:pt idx="10">
                  <c:v>11.5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7.5</c:v>
                </c:pt>
                <c:pt idx="15">
                  <c:v>0</c:v>
                </c:pt>
                <c:pt idx="16">
                  <c:v>12.5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11</c:v>
                </c:pt>
                <c:pt idx="21">
                  <c:v>13</c:v>
                </c:pt>
                <c:pt idx="22">
                  <c:v>12</c:v>
                </c:pt>
                <c:pt idx="23">
                  <c:v>11</c:v>
                </c:pt>
                <c:pt idx="24">
                  <c:v>0</c:v>
                </c:pt>
                <c:pt idx="25">
                  <c:v>0</c:v>
                </c:pt>
                <c:pt idx="26">
                  <c:v>14.5</c:v>
                </c:pt>
                <c:pt idx="27">
                  <c:v>14.5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31621248"/>
        <c:axId val="131622784"/>
      </c:lineChart>
      <c:catAx>
        <c:axId val="131621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22784"/>
        <c:crosses val="autoZero"/>
        <c:auto val="1"/>
        <c:lblAlgn val="ctr"/>
        <c:lblOffset val="100"/>
      </c:catAx>
      <c:valAx>
        <c:axId val="131622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2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5536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32205952"/>
        <c:axId val="132228224"/>
      </c:lineChart>
      <c:catAx>
        <c:axId val="1322059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28224"/>
        <c:crosses val="autoZero"/>
        <c:auto val="1"/>
        <c:lblAlgn val="ctr"/>
        <c:lblOffset val="100"/>
      </c:catAx>
      <c:valAx>
        <c:axId val="13222822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0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69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RCH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1">
          <cell r="C31">
            <v>44620</v>
          </cell>
          <cell r="D31">
            <v>210460</v>
          </cell>
          <cell r="E31">
            <v>2660</v>
          </cell>
          <cell r="F31">
            <v>4119812</v>
          </cell>
          <cell r="G31">
            <v>320</v>
          </cell>
          <cell r="H31">
            <v>18019414</v>
          </cell>
          <cell r="I31">
            <v>520</v>
          </cell>
          <cell r="J31">
            <v>29718110</v>
          </cell>
          <cell r="K31">
            <v>1960</v>
          </cell>
          <cell r="L31">
            <v>24539766</v>
          </cell>
          <cell r="M31">
            <v>1144</v>
          </cell>
          <cell r="N31">
            <v>6604</v>
          </cell>
          <cell r="O31">
            <v>0</v>
          </cell>
          <cell r="P31">
            <v>18998.87</v>
          </cell>
          <cell r="Q31">
            <v>6474.9999999985448</v>
          </cell>
          <cell r="R31">
            <v>129.00000000145519</v>
          </cell>
          <cell r="S31">
            <v>10175</v>
          </cell>
          <cell r="T31">
            <v>0</v>
          </cell>
          <cell r="U31">
            <v>429166</v>
          </cell>
          <cell r="V31">
            <v>0</v>
          </cell>
          <cell r="W31">
            <v>33484</v>
          </cell>
          <cell r="X31">
            <v>0</v>
          </cell>
          <cell r="Y31">
            <v>996900</v>
          </cell>
          <cell r="Z31">
            <v>0</v>
          </cell>
          <cell r="AA31">
            <v>36796</v>
          </cell>
          <cell r="AB31">
            <v>0</v>
          </cell>
          <cell r="AC31">
            <v>1170505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</sheetData>
      <sheetData sheetId="3">
        <row r="32">
          <cell r="A32">
            <v>44620</v>
          </cell>
          <cell r="B32">
            <v>166</v>
          </cell>
          <cell r="C32">
            <v>158</v>
          </cell>
          <cell r="D32">
            <v>18</v>
          </cell>
          <cell r="E32">
            <v>150.84</v>
          </cell>
          <cell r="F32">
            <v>2110</v>
          </cell>
          <cell r="G32">
            <v>6</v>
          </cell>
          <cell r="H32">
            <v>33475</v>
          </cell>
          <cell r="I32">
            <v>415</v>
          </cell>
          <cell r="J32">
            <v>69.166666666666671</v>
          </cell>
          <cell r="K32">
            <v>2390</v>
          </cell>
          <cell r="L32">
            <v>0</v>
          </cell>
          <cell r="M32">
            <v>176670</v>
          </cell>
          <cell r="N32">
            <v>0</v>
          </cell>
          <cell r="O32">
            <v>1869</v>
          </cell>
          <cell r="P32">
            <v>2180</v>
          </cell>
          <cell r="Q32">
            <v>182533</v>
          </cell>
          <cell r="R32">
            <v>0</v>
          </cell>
          <cell r="S32">
            <v>0</v>
          </cell>
          <cell r="T32">
            <v>0</v>
          </cell>
          <cell r="U32">
            <v>6</v>
          </cell>
          <cell r="V32">
            <v>415</v>
          </cell>
          <cell r="X32">
            <v>2471</v>
          </cell>
          <cell r="Y32">
            <v>0</v>
          </cell>
          <cell r="Z32">
            <v>1392127</v>
          </cell>
          <cell r="AA32">
            <v>0</v>
          </cell>
          <cell r="AB32">
            <v>0</v>
          </cell>
          <cell r="AC32">
            <v>1943</v>
          </cell>
          <cell r="AD32">
            <v>0</v>
          </cell>
          <cell r="AE32">
            <v>366210</v>
          </cell>
          <cell r="AF32">
            <v>0</v>
          </cell>
          <cell r="AG32">
            <v>0</v>
          </cell>
          <cell r="AH32">
            <v>0</v>
          </cell>
          <cell r="AI32">
            <v>415</v>
          </cell>
          <cell r="AJ32">
            <v>415</v>
          </cell>
          <cell r="AK32">
            <v>0</v>
          </cell>
          <cell r="AL32">
            <v>6</v>
          </cell>
          <cell r="AM32">
            <v>0</v>
          </cell>
          <cell r="AN32">
            <v>65</v>
          </cell>
          <cell r="AO32">
            <v>1950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5430</v>
          </cell>
          <cell r="AU32">
            <v>0</v>
          </cell>
          <cell r="AX32">
            <v>0.8</v>
          </cell>
        </row>
      </sheetData>
      <sheetData sheetId="4">
        <row r="33">
          <cell r="A33">
            <v>44620</v>
          </cell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627273</v>
          </cell>
          <cell r="H33">
            <v>0</v>
          </cell>
          <cell r="I33">
            <v>0</v>
          </cell>
          <cell r="J33">
            <v>0</v>
          </cell>
          <cell r="K33">
            <v>7020</v>
          </cell>
          <cell r="L33">
            <v>5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5181</v>
          </cell>
          <cell r="U33">
            <v>0</v>
          </cell>
          <cell r="V33">
            <v>478</v>
          </cell>
          <cell r="W33">
            <v>0</v>
          </cell>
          <cell r="X33">
            <v>154864</v>
          </cell>
          <cell r="Y33">
            <v>0</v>
          </cell>
          <cell r="Z33">
            <v>99301</v>
          </cell>
          <cell r="AA33">
            <v>0</v>
          </cell>
          <cell r="AB33">
            <v>238</v>
          </cell>
          <cell r="AC33">
            <v>790</v>
          </cell>
          <cell r="AD33">
            <v>0</v>
          </cell>
          <cell r="AE33">
            <v>239.96</v>
          </cell>
          <cell r="AF33">
            <v>0</v>
          </cell>
          <cell r="AG33">
            <v>2218.1999999999998</v>
          </cell>
          <cell r="AH33">
            <v>0</v>
          </cell>
          <cell r="AI33">
            <v>0</v>
          </cell>
          <cell r="AJ33">
            <v>0</v>
          </cell>
          <cell r="AK33">
            <v>-5</v>
          </cell>
          <cell r="AL33">
            <v>0</v>
          </cell>
          <cell r="AM33">
            <v>14.5</v>
          </cell>
          <cell r="AN33">
            <v>0</v>
          </cell>
          <cell r="AP33">
            <v>0</v>
          </cell>
          <cell r="AR33">
            <v>44620</v>
          </cell>
          <cell r="AS33">
            <v>0.9</v>
          </cell>
          <cell r="AT33">
            <v>183</v>
          </cell>
          <cell r="AU33">
            <v>1.1000000000000001</v>
          </cell>
          <cell r="AV33">
            <v>123</v>
          </cell>
          <cell r="AW33">
            <v>2.9</v>
          </cell>
          <cell r="AX33">
            <v>99</v>
          </cell>
          <cell r="AY33">
            <v>164.70000000000002</v>
          </cell>
          <cell r="AZ33">
            <v>135.30000000000001</v>
          </cell>
          <cell r="BA33">
            <v>287.09999999999997</v>
          </cell>
          <cell r="BB33">
            <v>0</v>
          </cell>
          <cell r="BC33">
            <v>-1.0999999999999943</v>
          </cell>
          <cell r="BD33">
            <v>-8.7000000000000455</v>
          </cell>
          <cell r="BE33">
            <v>-9.8000000000000398</v>
          </cell>
          <cell r="BF33">
            <v>9.8000000000000398</v>
          </cell>
          <cell r="BG33">
            <v>-9.8000000000000398</v>
          </cell>
        </row>
      </sheetData>
      <sheetData sheetId="5">
        <row r="30">
          <cell r="A30">
            <v>44620</v>
          </cell>
          <cell r="B30">
            <v>11505</v>
          </cell>
          <cell r="C30">
            <v>0</v>
          </cell>
          <cell r="D30">
            <v>639266</v>
          </cell>
          <cell r="E30">
            <v>0</v>
          </cell>
          <cell r="F30">
            <v>0</v>
          </cell>
          <cell r="H30">
            <v>11528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N30">
            <v>0</v>
          </cell>
          <cell r="P30">
            <v>10873</v>
          </cell>
          <cell r="Q30" t="str">
            <v>ok</v>
          </cell>
          <cell r="R30">
            <v>13667</v>
          </cell>
          <cell r="S30">
            <v>13</v>
          </cell>
          <cell r="T30">
            <v>356262</v>
          </cell>
          <cell r="U30">
            <v>3250</v>
          </cell>
          <cell r="V30">
            <v>250</v>
          </cell>
          <cell r="X30">
            <v>13719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6474.9999999985448</v>
          </cell>
          <cell r="AE30">
            <v>498.07692307681111</v>
          </cell>
          <cell r="AF30">
            <v>0.31129807692300693</v>
          </cell>
          <cell r="AG30">
            <v>1.9456129807687934E-4</v>
          </cell>
          <cell r="AH30">
            <v>249.99980543870191</v>
          </cell>
          <cell r="AI30">
            <v>1666.5611814342246</v>
          </cell>
          <cell r="AJ30">
            <v>0.25738396624472576</v>
          </cell>
          <cell r="AK30">
            <v>128.19701395647883</v>
          </cell>
          <cell r="AL30">
            <v>1</v>
          </cell>
        </row>
      </sheetData>
      <sheetData sheetId="6">
        <row r="33">
          <cell r="A33">
            <v>44620</v>
          </cell>
          <cell r="B33">
            <v>166</v>
          </cell>
          <cell r="C33">
            <v>3571.6774193548385</v>
          </cell>
          <cell r="D33">
            <v>166</v>
          </cell>
          <cell r="E33">
            <v>3571.6774193548385</v>
          </cell>
          <cell r="F33">
            <v>166</v>
          </cell>
          <cell r="G33">
            <v>3571.6774193548385</v>
          </cell>
          <cell r="H33">
            <v>166</v>
          </cell>
          <cell r="I33">
            <v>3571.6774193548385</v>
          </cell>
          <cell r="J33">
            <v>166</v>
          </cell>
          <cell r="K33">
            <v>3571.6774193548385</v>
          </cell>
          <cell r="L33">
            <v>166</v>
          </cell>
          <cell r="M33">
            <v>3571.6774193548385</v>
          </cell>
          <cell r="N33">
            <v>166</v>
          </cell>
          <cell r="O33">
            <v>3571.6774193548385</v>
          </cell>
          <cell r="P33">
            <v>166</v>
          </cell>
          <cell r="Q33">
            <v>3571.6774193548385</v>
          </cell>
          <cell r="R33">
            <v>166</v>
          </cell>
          <cell r="S33">
            <v>3571.6774193548385</v>
          </cell>
          <cell r="T33">
            <v>166</v>
          </cell>
          <cell r="U33">
            <v>3571.6774193548385</v>
          </cell>
          <cell r="V33">
            <v>166</v>
          </cell>
          <cell r="W33">
            <v>3571.6774193548385</v>
          </cell>
          <cell r="X33">
            <v>0.53548387096774186</v>
          </cell>
          <cell r="Y33">
            <v>39288.45161290322</v>
          </cell>
          <cell r="Z33">
            <v>158</v>
          </cell>
          <cell r="AA33">
            <v>1580</v>
          </cell>
          <cell r="AB33">
            <v>158</v>
          </cell>
          <cell r="AC33">
            <v>1580</v>
          </cell>
          <cell r="AD33">
            <v>158</v>
          </cell>
          <cell r="AE33">
            <v>1580</v>
          </cell>
          <cell r="AF33">
            <v>158</v>
          </cell>
          <cell r="AG33">
            <v>1580</v>
          </cell>
          <cell r="AH33">
            <v>158</v>
          </cell>
          <cell r="AI33">
            <v>1580</v>
          </cell>
          <cell r="AJ33">
            <v>158</v>
          </cell>
          <cell r="AK33">
            <v>1580</v>
          </cell>
          <cell r="AL33">
            <v>158</v>
          </cell>
          <cell r="AM33">
            <v>1580</v>
          </cell>
          <cell r="AN33">
            <v>0.56428571428571428</v>
          </cell>
          <cell r="AO33">
            <v>11060</v>
          </cell>
          <cell r="AQ33">
            <v>0.54155589558893424</v>
          </cell>
          <cell r="AR33">
            <v>50348.45161290322</v>
          </cell>
          <cell r="AS33">
            <v>-1733.3548387096889</v>
          </cell>
          <cell r="AV33">
            <v>0.74</v>
          </cell>
          <cell r="AW33">
            <v>-415</v>
          </cell>
          <cell r="AX33">
            <v>-1318.3548387096889</v>
          </cell>
          <cell r="AY33">
            <v>-1733.3548387096889</v>
          </cell>
          <cell r="AZ33">
            <v>0</v>
          </cell>
          <cell r="BA33">
            <v>14.5</v>
          </cell>
          <cell r="BB33">
            <v>0.66</v>
          </cell>
        </row>
      </sheetData>
      <sheetData sheetId="7">
        <row r="26">
          <cell r="V26">
            <v>400529</v>
          </cell>
          <cell r="W26">
            <v>400976</v>
          </cell>
          <cell r="X26" t="str">
            <v>Night</v>
          </cell>
          <cell r="Y26">
            <v>80</v>
          </cell>
          <cell r="Z26">
            <v>1</v>
          </cell>
          <cell r="AA26">
            <v>447</v>
          </cell>
          <cell r="AB26">
            <v>35760</v>
          </cell>
          <cell r="AC26">
            <v>1033333</v>
          </cell>
          <cell r="AD26">
            <v>0.16747845635069314</v>
          </cell>
        </row>
        <row r="27">
          <cell r="V27">
            <v>548374</v>
          </cell>
          <cell r="W27">
            <v>550000</v>
          </cell>
          <cell r="X27" t="str">
            <v>day</v>
          </cell>
          <cell r="Y27">
            <v>112</v>
          </cell>
          <cell r="Z27">
            <v>1</v>
          </cell>
          <cell r="AA27">
            <v>1626</v>
          </cell>
          <cell r="AB27">
            <v>182112</v>
          </cell>
          <cell r="AC27">
            <v>6200000</v>
          </cell>
          <cell r="AD27">
            <v>0.60921693518171605</v>
          </cell>
        </row>
        <row r="28">
          <cell r="V28">
            <v>160439</v>
          </cell>
          <cell r="W28">
            <v>161035</v>
          </cell>
          <cell r="X28" t="str">
            <v>Peak</v>
          </cell>
          <cell r="Y28">
            <v>320</v>
          </cell>
          <cell r="Z28">
            <v>1</v>
          </cell>
          <cell r="AA28">
            <v>596</v>
          </cell>
          <cell r="AB28">
            <v>190720</v>
          </cell>
          <cell r="AC28">
            <v>1000</v>
          </cell>
          <cell r="AD28">
            <v>0.22330460846759087</v>
          </cell>
        </row>
        <row r="29">
          <cell r="AA29">
            <v>2669</v>
          </cell>
          <cell r="AB29">
            <v>408592</v>
          </cell>
          <cell r="AC29">
            <v>7234333</v>
          </cell>
        </row>
        <row r="30">
          <cell r="AB30">
            <v>7642925</v>
          </cell>
        </row>
        <row r="31">
          <cell r="A31">
            <v>44620</v>
          </cell>
          <cell r="B31">
            <v>1112011</v>
          </cell>
          <cell r="C31">
            <v>46</v>
          </cell>
          <cell r="D31">
            <v>47</v>
          </cell>
          <cell r="E31">
            <v>1112012</v>
          </cell>
          <cell r="F31">
            <v>161035</v>
          </cell>
          <cell r="G31">
            <v>0</v>
          </cell>
          <cell r="H31">
            <v>550000</v>
          </cell>
          <cell r="I31">
            <v>47</v>
          </cell>
          <cell r="J31">
            <v>400976</v>
          </cell>
          <cell r="K31">
            <v>0</v>
          </cell>
          <cell r="L31">
            <v>0</v>
          </cell>
          <cell r="M31">
            <v>3.4918739635157547</v>
          </cell>
          <cell r="N31">
            <v>0</v>
          </cell>
          <cell r="O31">
            <v>171.38907841743662</v>
          </cell>
          <cell r="P31">
            <v>174.88095238095238</v>
          </cell>
          <cell r="Q31">
            <v>1008.7611774193637</v>
          </cell>
          <cell r="R31">
            <v>1183.6421298003161</v>
          </cell>
          <cell r="S31">
            <v>6604</v>
          </cell>
          <cell r="T31">
            <v>0.17923109173233132</v>
          </cell>
        </row>
        <row r="33">
          <cell r="AA33">
            <v>0.11</v>
          </cell>
          <cell r="AB33">
            <v>840721.75</v>
          </cell>
          <cell r="AC33">
            <v>7234333</v>
          </cell>
        </row>
        <row r="34">
          <cell r="AB34">
            <v>8483646.75</v>
          </cell>
          <cell r="AC34">
            <v>0</v>
          </cell>
        </row>
        <row r="36">
          <cell r="AA36" t="str">
            <v>$ without VAT</v>
          </cell>
          <cell r="AB36">
            <v>5069.9336650082914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3">
          <cell r="A33">
            <v>44620</v>
          </cell>
          <cell r="B33">
            <v>4</v>
          </cell>
          <cell r="C33">
            <v>7.8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7020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44592</v>
          </cell>
        </row>
      </sheetData>
      <sheetData sheetId="3">
        <row r="35">
          <cell r="A35">
            <v>44592</v>
          </cell>
        </row>
      </sheetData>
      <sheetData sheetId="4">
        <row r="36">
          <cell r="A36">
            <v>44592</v>
          </cell>
        </row>
      </sheetData>
      <sheetData sheetId="5">
        <row r="33">
          <cell r="A33">
            <v>44592</v>
          </cell>
        </row>
      </sheetData>
      <sheetData sheetId="6">
        <row r="36">
          <cell r="A36">
            <v>44592</v>
          </cell>
          <cell r="BI36">
            <v>23</v>
          </cell>
        </row>
      </sheetData>
      <sheetData sheetId="7">
        <row r="26">
          <cell r="V26">
            <v>400225</v>
          </cell>
        </row>
        <row r="28">
          <cell r="AE28">
            <v>5600</v>
          </cell>
          <cell r="AF28">
            <v>24800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44592</v>
          </cell>
        </row>
      </sheetData>
      <sheetData sheetId="14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11.499999999999996</v>
          </cell>
        </row>
        <row r="15">
          <cell r="B15">
            <v>-64.799999999999983</v>
          </cell>
        </row>
        <row r="16">
          <cell r="B16">
            <v>15.064516129032258</v>
          </cell>
        </row>
        <row r="17">
          <cell r="B17">
            <v>0</v>
          </cell>
        </row>
        <row r="18">
          <cell r="B18">
            <v>229</v>
          </cell>
        </row>
        <row r="19">
          <cell r="B19">
            <v>7.387096774193548</v>
          </cell>
        </row>
      </sheetData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S22" sqref="S2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3</v>
      </c>
      <c r="D2">
        <v>2022</v>
      </c>
      <c r="E2" s="203">
        <f>ELEC!N4</f>
        <v>6721</v>
      </c>
      <c r="F2" s="315">
        <f>SUM('EDl log'!T4)</f>
        <v>0.24351528712952084</v>
      </c>
      <c r="G2" s="203">
        <f>-tanks!AW6</f>
        <v>343</v>
      </c>
      <c r="H2" s="315">
        <f>tanks!AV6</f>
        <v>0.75700000000000001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3</v>
      </c>
      <c r="D3">
        <f>D2</f>
        <v>2022</v>
      </c>
      <c r="E3" s="203">
        <f>ELEC!N5</f>
        <v>5888</v>
      </c>
      <c r="F3" s="315">
        <f>SUM('EDl log'!T5)</f>
        <v>0.43665836033752575</v>
      </c>
      <c r="G3" s="203">
        <f>-tanks!AW7</f>
        <v>425</v>
      </c>
      <c r="H3" s="315">
        <f>tanks!AV7</f>
        <v>0.75700000000000001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3</v>
      </c>
      <c r="D4">
        <f t="shared" ref="D4:D32" si="1">D3</f>
        <v>2022</v>
      </c>
      <c r="E4" s="203">
        <f>ELEC!N6</f>
        <v>5727</v>
      </c>
      <c r="F4" s="315">
        <f>SUM('EDl log'!T6)</f>
        <v>0.403338260676116</v>
      </c>
      <c r="G4" s="203">
        <f>-tanks!AW8</f>
        <v>337</v>
      </c>
      <c r="H4" s="315">
        <f>tanks!AV8</f>
        <v>0.75700000000000001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3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tanks!AV9</f>
        <v>0.75700000000000001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3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tanks!AV10</f>
        <v>0.75700000000000001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3</v>
      </c>
      <c r="D7">
        <f t="shared" si="1"/>
        <v>2022</v>
      </c>
      <c r="E7" s="203">
        <f>ELEC!N9</f>
        <v>6030</v>
      </c>
      <c r="F7" s="315">
        <f>SUM('EDl log'!T9)</f>
        <v>0.3589772040136347</v>
      </c>
      <c r="G7" s="203">
        <f>-tanks!AW11</f>
        <v>528</v>
      </c>
      <c r="H7" s="315">
        <f>tanks!AV11</f>
        <v>0.75700000000000001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3</v>
      </c>
      <c r="D8">
        <f t="shared" si="1"/>
        <v>2022</v>
      </c>
      <c r="E8" s="203">
        <f>ELEC!N10</f>
        <v>4353</v>
      </c>
      <c r="F8" s="315">
        <f>SUM('EDl log'!T10)</f>
        <v>0.44058272239421703</v>
      </c>
      <c r="G8" s="203">
        <f>-tanks!AW12</f>
        <v>219</v>
      </c>
      <c r="H8" s="315">
        <f>tanks!AV12</f>
        <v>0.75700000000000001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3</v>
      </c>
      <c r="D9">
        <f t="shared" si="1"/>
        <v>2022</v>
      </c>
      <c r="E9" s="203">
        <f>ELEC!N11</f>
        <v>5098</v>
      </c>
      <c r="F9" s="315">
        <f>SUM('EDl log'!T11)</f>
        <v>0.3432946604336013</v>
      </c>
      <c r="G9" s="203">
        <f>-tanks!AW13</f>
        <v>318</v>
      </c>
      <c r="H9" s="315">
        <f>tanks!AV13</f>
        <v>0.75700000000000001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3</v>
      </c>
      <c r="D10">
        <f t="shared" si="1"/>
        <v>2022</v>
      </c>
      <c r="E10" s="203">
        <f>ELEC!N12</f>
        <v>4939</v>
      </c>
      <c r="F10" s="315">
        <f>SUM('EDl log'!T12)</f>
        <v>0.14209687482476957</v>
      </c>
      <c r="G10" s="203">
        <f>-tanks!AW14</f>
        <v>304</v>
      </c>
      <c r="H10" s="315">
        <f>tanks!AV14</f>
        <v>1.1000000000000001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3</v>
      </c>
      <c r="D11">
        <f t="shared" si="1"/>
        <v>2022</v>
      </c>
      <c r="E11" s="203">
        <f>ELEC!N13</f>
        <v>5500</v>
      </c>
      <c r="F11" s="315">
        <f>SUM('EDl log'!T13)</f>
        <v>-0.18788837818240042</v>
      </c>
      <c r="G11" s="203">
        <f>-tanks!AW15</f>
        <v>218</v>
      </c>
      <c r="H11" s="315">
        <f>tanks!AV15</f>
        <v>1.2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3</v>
      </c>
      <c r="D12">
        <f t="shared" si="1"/>
        <v>2022</v>
      </c>
      <c r="E12" s="203">
        <f>ELEC!N14</f>
        <v>5222</v>
      </c>
      <c r="F12" s="315">
        <f>SUM('EDl log'!T14)</f>
        <v>0.38468173234632635</v>
      </c>
      <c r="G12" s="203">
        <f>-tanks!AW16</f>
        <v>425</v>
      </c>
      <c r="H12" s="315">
        <f>tanks!AV16</f>
        <v>1.2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3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1.2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3</v>
      </c>
      <c r="D14">
        <f t="shared" si="1"/>
        <v>2022</v>
      </c>
      <c r="E14" s="203">
        <f>ELEC!N16</f>
        <v>3565</v>
      </c>
      <c r="F14" s="315">
        <f>SUM('EDl log'!T16)</f>
        <v>0.318995599492015</v>
      </c>
      <c r="G14" s="203">
        <f>-tanks!AW18</f>
        <v>295</v>
      </c>
      <c r="H14" s="315">
        <f>tanks!AV18</f>
        <v>1.2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3</v>
      </c>
      <c r="D15">
        <f t="shared" si="1"/>
        <v>2022</v>
      </c>
      <c r="E15" s="203">
        <f>ELEC!N17</f>
        <v>5257</v>
      </c>
      <c r="F15" s="315">
        <f>SUM('EDl log'!T17)</f>
        <v>0.44675160275202386</v>
      </c>
      <c r="G15" s="203">
        <f>-tanks!AW19</f>
        <v>570</v>
      </c>
      <c r="H15" s="315">
        <f>tanks!AV19</f>
        <v>1.2</v>
      </c>
      <c r="I15" s="10">
        <f>('B5'!AU18)*0.51</f>
        <v>0</v>
      </c>
      <c r="J15" s="296">
        <f>'B5'!AX18/0.51</f>
        <v>1.5686274509803921</v>
      </c>
      <c r="K15" s="203">
        <f>WATER!I19</f>
        <v>250</v>
      </c>
      <c r="L15" s="316">
        <f>SUM(WATER!J19)</f>
        <v>0.967741935483871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3</v>
      </c>
      <c r="D16">
        <f t="shared" si="1"/>
        <v>2022</v>
      </c>
      <c r="E16" s="203">
        <f>ELEC!N18</f>
        <v>5713</v>
      </c>
      <c r="F16" s="315">
        <f>SUM('EDl log'!T18)</f>
        <v>0.47846019562694414</v>
      </c>
      <c r="G16" s="203">
        <f>-tanks!AW20</f>
        <v>515</v>
      </c>
      <c r="H16" s="315">
        <f>tanks!AV20</f>
        <v>1.2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3</v>
      </c>
      <c r="D17">
        <f t="shared" si="1"/>
        <v>2022</v>
      </c>
      <c r="E17" s="203">
        <f>ELEC!N19</f>
        <v>5689</v>
      </c>
      <c r="F17" s="315">
        <f>SUM('EDl log'!T19)</f>
        <v>0.20813319907295455</v>
      </c>
      <c r="G17" s="203">
        <f>-tanks!AW21</f>
        <v>653</v>
      </c>
      <c r="H17" s="315">
        <f>tanks!AV21</f>
        <v>1.07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3</v>
      </c>
      <c r="D18">
        <f t="shared" si="1"/>
        <v>2022</v>
      </c>
      <c r="E18" s="203">
        <f>ELEC!N20</f>
        <v>5365</v>
      </c>
      <c r="F18" s="315">
        <f>SUM('EDl log'!T20)</f>
        <v>0.23671561342691894</v>
      </c>
      <c r="G18" s="203">
        <f>-tanks!AW22</f>
        <v>414</v>
      </c>
      <c r="H18" s="315">
        <f>tanks!AV22</f>
        <v>0.97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3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0.97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3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0.97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3</v>
      </c>
      <c r="D21">
        <f t="shared" si="1"/>
        <v>2022</v>
      </c>
      <c r="E21" s="203">
        <f>ELEC!N23</f>
        <v>5488</v>
      </c>
      <c r="F21" s="315">
        <f>SUM('EDl log'!T23)</f>
        <v>0.27363451284519241</v>
      </c>
      <c r="G21" s="203">
        <f>-tanks!AW25</f>
        <v>426</v>
      </c>
      <c r="H21" s="315">
        <f>tanks!AV25</f>
        <v>0.98499999999999999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3</v>
      </c>
      <c r="D22">
        <f t="shared" si="1"/>
        <v>2022</v>
      </c>
      <c r="E22" s="203">
        <f>ELEC!N24</f>
        <v>5011</v>
      </c>
      <c r="F22" s="315">
        <f>SUM('EDl log'!T24)</f>
        <v>0.44686073548373606</v>
      </c>
      <c r="G22" s="203">
        <f>-tanks!AW26</f>
        <v>452</v>
      </c>
      <c r="H22" s="315">
        <f>tanks!AV26</f>
        <v>0.98499999999999999</v>
      </c>
      <c r="I22" s="10">
        <f>('B5'!AU25)*0.51</f>
        <v>0</v>
      </c>
      <c r="J22" s="296">
        <f>'B5'!AX25/0.51</f>
        <v>1.5686274509803921</v>
      </c>
      <c r="K22" s="203">
        <f>WATER!I26</f>
        <v>181</v>
      </c>
      <c r="L22" s="316">
        <f>SUM(WATER!J26)</f>
        <v>1.3366601318837996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3</v>
      </c>
      <c r="D23">
        <f t="shared" si="1"/>
        <v>2022</v>
      </c>
      <c r="E23" s="203">
        <f>ELEC!N25</f>
        <v>5054</v>
      </c>
      <c r="F23" s="315">
        <f>SUM('EDl log'!T25)</f>
        <v>0.35044505275724519</v>
      </c>
      <c r="G23" s="203">
        <f>-tanks!AW27</f>
        <v>348</v>
      </c>
      <c r="H23" s="315">
        <f>tanks!AV27</f>
        <v>0.98499999999999999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3</v>
      </c>
      <c r="D24">
        <f t="shared" si="1"/>
        <v>2022</v>
      </c>
      <c r="E24" s="203">
        <f>ELEC!N26</f>
        <v>5601</v>
      </c>
      <c r="F24" s="315">
        <f>SUM('EDl log'!T26)</f>
        <v>0.30681324864199561</v>
      </c>
      <c r="G24" s="203">
        <f>-tanks!AW28</f>
        <v>378</v>
      </c>
      <c r="H24" s="315">
        <f>tanks!AV28</f>
        <v>1.026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3</v>
      </c>
      <c r="D25">
        <f t="shared" si="1"/>
        <v>2022</v>
      </c>
      <c r="E25" s="203">
        <f>ELEC!N27</f>
        <v>5300</v>
      </c>
      <c r="F25" s="315">
        <f>SUM('EDl log'!T27)</f>
        <v>0.32539349936511081</v>
      </c>
      <c r="G25" s="203">
        <f>-tanks!AW29</f>
        <v>393</v>
      </c>
      <c r="H25" s="315">
        <f>tanks!AV29</f>
        <v>1.026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3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1.026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3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1.026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3</v>
      </c>
      <c r="D28">
        <f t="shared" si="1"/>
        <v>2022</v>
      </c>
      <c r="E28" s="203">
        <f>ELEC!N30</f>
        <v>5202</v>
      </c>
      <c r="F28" s="315">
        <f>SUM('EDl log'!T30)</f>
        <v>0.31508779786540059</v>
      </c>
      <c r="G28" s="203">
        <f>-tanks!AW32</f>
        <v>450</v>
      </c>
      <c r="H28" s="315">
        <f>tanks!AV32</f>
        <v>1.026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3</v>
      </c>
      <c r="D29">
        <f t="shared" si="1"/>
        <v>2022</v>
      </c>
      <c r="E29" s="203">
        <f>ELEC!N31</f>
        <v>4634</v>
      </c>
      <c r="F29" s="315">
        <f>SUM('EDl log'!T31)</f>
        <v>0.43527967335186257</v>
      </c>
      <c r="G29" s="203">
        <f>-tanks!AW33</f>
        <v>347</v>
      </c>
      <c r="H29" s="315">
        <f>tanks!AV33</f>
        <v>1.026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3</v>
      </c>
      <c r="D30">
        <f t="shared" si="1"/>
        <v>2022</v>
      </c>
      <c r="E30" s="203">
        <f>ELEC!N32</f>
        <v>4539</v>
      </c>
      <c r="F30" s="315">
        <f>SUM('EDl log'!T32)</f>
        <v>0.20468879389377617</v>
      </c>
      <c r="G30" s="203">
        <f>-tanks!AW34</f>
        <v>281</v>
      </c>
      <c r="H30" s="315">
        <f>tanks!AV34</f>
        <v>1.17</v>
      </c>
      <c r="I30" s="10">
        <f>('B5'!AU33)*0.51</f>
        <v>0</v>
      </c>
      <c r="J30" s="296">
        <f>'B5'!AX33/0.51</f>
        <v>1.5686274509803921</v>
      </c>
      <c r="K30" s="203">
        <f>WATER!I34</f>
        <v>228</v>
      </c>
      <c r="L30" s="316">
        <f>SUM(WATER!J34)</f>
        <v>1.0611205432937181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3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1.17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3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1.17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3</v>
      </c>
      <c r="D2">
        <v>2022</v>
      </c>
      <c r="E2" s="203">
        <f>ELEC!M4</f>
        <v>1106</v>
      </c>
      <c r="F2" s="203">
        <f>ELEC!K4</f>
        <v>1808</v>
      </c>
      <c r="G2" s="203">
        <f>ELEC!I4</f>
        <v>532</v>
      </c>
      <c r="H2" s="203">
        <f>ELEC!E4</f>
        <v>2970</v>
      </c>
      <c r="I2" s="203">
        <f>ELEC!G4</f>
        <v>305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3</v>
      </c>
      <c r="D3">
        <v>2022</v>
      </c>
      <c r="E3" s="203">
        <f>ELEC!M5</f>
        <v>976</v>
      </c>
      <c r="F3" s="203">
        <f>ELEC!K5</f>
        <v>1560</v>
      </c>
      <c r="G3" s="203">
        <f>ELEC!I5</f>
        <v>472</v>
      </c>
      <c r="H3" s="203">
        <f>ELEC!E5</f>
        <v>2610</v>
      </c>
      <c r="I3" s="203">
        <f>ELEC!G5</f>
        <v>270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3</v>
      </c>
      <c r="D4">
        <v>2022</v>
      </c>
      <c r="E4" s="203">
        <f>ELEC!M6</f>
        <v>910</v>
      </c>
      <c r="F4" s="203">
        <f>ELEC!K6</f>
        <v>1512</v>
      </c>
      <c r="G4" s="203">
        <f>ELEC!I6</f>
        <v>484</v>
      </c>
      <c r="H4" s="203">
        <f>ELEC!E6</f>
        <v>2550</v>
      </c>
      <c r="I4" s="203">
        <f>ELEC!G6</f>
        <v>271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3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3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3</v>
      </c>
      <c r="D7">
        <v>2022</v>
      </c>
      <c r="E7" s="203">
        <f>ELEC!M9</f>
        <v>1004</v>
      </c>
      <c r="F7" s="203">
        <f>ELEC!K9</f>
        <v>1636</v>
      </c>
      <c r="G7" s="203">
        <f>ELEC!I9</f>
        <v>520</v>
      </c>
      <c r="H7" s="203">
        <f>ELEC!E9</f>
        <v>2570</v>
      </c>
      <c r="I7" s="203">
        <f>ELEC!G9</f>
        <v>300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3</v>
      </c>
      <c r="D8">
        <v>2022</v>
      </c>
      <c r="E8" s="203">
        <f>ELEC!M10</f>
        <v>736</v>
      </c>
      <c r="F8" s="203">
        <f>ELEC!K10</f>
        <v>1196</v>
      </c>
      <c r="G8" s="203">
        <f>ELEC!I10</f>
        <v>392</v>
      </c>
      <c r="H8" s="203">
        <f>ELEC!E10</f>
        <v>1800</v>
      </c>
      <c r="I8" s="203">
        <f>ELEC!G10</f>
        <v>229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3</v>
      </c>
      <c r="D9">
        <v>2022</v>
      </c>
      <c r="E9" s="203">
        <f>ELEC!M11</f>
        <v>868</v>
      </c>
      <c r="F9" s="203">
        <f>ELEC!K11</f>
        <v>1420</v>
      </c>
      <c r="G9" s="203">
        <f>ELEC!I11</f>
        <v>444</v>
      </c>
      <c r="H9" s="203">
        <f>ELEC!E11</f>
        <v>2110</v>
      </c>
      <c r="I9" s="203">
        <f>ELEC!G11</f>
        <v>256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3</v>
      </c>
      <c r="D10">
        <v>2022</v>
      </c>
      <c r="E10" s="203">
        <f>ELEC!M12</f>
        <v>876</v>
      </c>
      <c r="F10" s="203">
        <f>ELEC!K12</f>
        <v>1430</v>
      </c>
      <c r="G10" s="203">
        <f>ELEC!I12</f>
        <v>404</v>
      </c>
      <c r="H10" s="203">
        <f>ELEC!E12</f>
        <v>1970</v>
      </c>
      <c r="I10" s="203">
        <f>ELEC!G12</f>
        <v>259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3</v>
      </c>
      <c r="D11">
        <v>2022</v>
      </c>
      <c r="E11" s="203">
        <f>ELEC!M13</f>
        <v>1024</v>
      </c>
      <c r="F11" s="203">
        <f>ELEC!K13</f>
        <v>1498</v>
      </c>
      <c r="G11" s="203">
        <f>ELEC!I13</f>
        <v>466</v>
      </c>
      <c r="H11" s="203">
        <f>ELEC!E13</f>
        <v>2210</v>
      </c>
      <c r="I11" s="203">
        <f>ELEC!G13</f>
        <v>302</v>
      </c>
      <c r="J11" s="203">
        <f>WATER!Y15</f>
        <v>70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3</v>
      </c>
      <c r="D12">
        <v>2022</v>
      </c>
      <c r="E12" s="203">
        <f>ELEC!M14</f>
        <v>972</v>
      </c>
      <c r="F12" s="203">
        <f>ELEC!K14</f>
        <v>1408</v>
      </c>
      <c r="G12" s="203">
        <f>ELEC!I14</f>
        <v>422</v>
      </c>
      <c r="H12" s="203">
        <f>ELEC!E14</f>
        <v>2150</v>
      </c>
      <c r="I12" s="203">
        <f>ELEC!G14</f>
        <v>270</v>
      </c>
      <c r="J12" s="203">
        <f>WATER!Y16</f>
        <v>83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3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3</v>
      </c>
      <c r="D14">
        <v>2022</v>
      </c>
      <c r="E14" s="203">
        <f>ELEC!M16</f>
        <v>620</v>
      </c>
      <c r="F14" s="203">
        <f>ELEC!K16</f>
        <v>1042</v>
      </c>
      <c r="G14" s="203">
        <f>ELEC!I16</f>
        <v>292</v>
      </c>
      <c r="H14" s="203">
        <f>ELEC!E16</f>
        <v>1470</v>
      </c>
      <c r="I14" s="203">
        <f>ELEC!G16</f>
        <v>141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3</v>
      </c>
      <c r="D15">
        <v>2022</v>
      </c>
      <c r="E15" s="203">
        <f>ELEC!M17</f>
        <v>952</v>
      </c>
      <c r="F15" s="203">
        <f>ELEC!K17</f>
        <v>1540</v>
      </c>
      <c r="G15" s="203">
        <f>ELEC!I17</f>
        <v>432</v>
      </c>
      <c r="H15" s="203">
        <f>ELEC!E17</f>
        <v>2110</v>
      </c>
      <c r="I15" s="203">
        <f>ELEC!G17</f>
        <v>223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3</v>
      </c>
      <c r="D16">
        <v>2022</v>
      </c>
      <c r="E16" s="203">
        <f>ELEC!M18</f>
        <v>982</v>
      </c>
      <c r="F16" s="203">
        <f>ELEC!K18</f>
        <v>1776</v>
      </c>
      <c r="G16" s="203">
        <f>ELEC!I18</f>
        <v>448</v>
      </c>
      <c r="H16" s="203">
        <f>ELEC!E18</f>
        <v>2280</v>
      </c>
      <c r="I16" s="203">
        <f>ELEC!G18</f>
        <v>227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3</v>
      </c>
      <c r="D17">
        <v>2022</v>
      </c>
      <c r="E17" s="203">
        <f>ELEC!M19</f>
        <v>1002</v>
      </c>
      <c r="F17" s="203">
        <f>ELEC!K19</f>
        <v>1774</v>
      </c>
      <c r="G17" s="203">
        <f>ELEC!I19</f>
        <v>456</v>
      </c>
      <c r="H17" s="203">
        <f>ELEC!E19</f>
        <v>2170</v>
      </c>
      <c r="I17" s="203">
        <f>ELEC!G19</f>
        <v>287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3</v>
      </c>
      <c r="D18">
        <v>2022</v>
      </c>
      <c r="E18" s="203">
        <f>ELEC!M20</f>
        <v>1054</v>
      </c>
      <c r="F18" s="203">
        <f>ELEC!K20</f>
        <v>1880</v>
      </c>
      <c r="G18" s="203">
        <f>ELEC!I20</f>
        <v>454</v>
      </c>
      <c r="H18" s="203">
        <f>ELEC!E20</f>
        <v>1690</v>
      </c>
      <c r="I18" s="203">
        <f>ELEC!G20</f>
        <v>287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3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3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3</v>
      </c>
      <c r="D21">
        <v>2022</v>
      </c>
      <c r="E21" s="203">
        <f>ELEC!M23</f>
        <v>982</v>
      </c>
      <c r="F21" s="203">
        <f>ELEC!K23</f>
        <v>1752</v>
      </c>
      <c r="G21" s="203">
        <f>ELEC!I23</f>
        <v>440</v>
      </c>
      <c r="H21" s="203">
        <f>ELEC!E23</f>
        <v>2060</v>
      </c>
      <c r="I21" s="203">
        <f>ELEC!G23</f>
        <v>254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3</v>
      </c>
      <c r="D22">
        <v>2022</v>
      </c>
      <c r="E22" s="203">
        <f>ELEC!M24</f>
        <v>970</v>
      </c>
      <c r="F22" s="203">
        <f>ELEC!K24</f>
        <v>1560</v>
      </c>
      <c r="G22" s="203">
        <f>ELEC!I24</f>
        <v>444</v>
      </c>
      <c r="H22" s="203">
        <f>ELEC!E24</f>
        <v>1790</v>
      </c>
      <c r="I22" s="203">
        <f>ELEC!G24</f>
        <v>247</v>
      </c>
      <c r="J22" s="203">
        <f>WATER!Y26</f>
        <v>101</v>
      </c>
      <c r="K22" s="203">
        <f>WATER!AJ26</f>
        <v>26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3</v>
      </c>
      <c r="D23">
        <v>2022</v>
      </c>
      <c r="E23" s="203">
        <f>ELEC!M25</f>
        <v>914</v>
      </c>
      <c r="F23" s="203">
        <f>ELEC!K25</f>
        <v>1648</v>
      </c>
      <c r="G23" s="203">
        <f>ELEC!I25</f>
        <v>418</v>
      </c>
      <c r="H23" s="203">
        <f>ELEC!E25</f>
        <v>1840</v>
      </c>
      <c r="I23" s="203">
        <f>ELEC!G25</f>
        <v>234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3</v>
      </c>
      <c r="D24">
        <v>2022</v>
      </c>
      <c r="E24" s="203">
        <f>ELEC!M26</f>
        <v>908</v>
      </c>
      <c r="F24" s="203">
        <f>ELEC!K26</f>
        <v>1640</v>
      </c>
      <c r="G24" s="203">
        <f>ELEC!I26</f>
        <v>444</v>
      </c>
      <c r="H24" s="203">
        <f>ELEC!E26</f>
        <v>2360</v>
      </c>
      <c r="I24" s="203">
        <f>ELEC!G26</f>
        <v>249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3</v>
      </c>
      <c r="D25">
        <v>2022</v>
      </c>
      <c r="E25" s="203">
        <f>ELEC!M27</f>
        <v>888</v>
      </c>
      <c r="F25" s="203">
        <f>ELEC!K27</f>
        <v>1566</v>
      </c>
      <c r="G25" s="203">
        <f>ELEC!I27</f>
        <v>440</v>
      </c>
      <c r="H25" s="203">
        <f>ELEC!E27</f>
        <v>2160</v>
      </c>
      <c r="I25" s="203">
        <f>ELEC!G27</f>
        <v>246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3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3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3</v>
      </c>
      <c r="D28">
        <v>2022</v>
      </c>
      <c r="E28" s="203">
        <f>ELEC!M30</f>
        <v>980</v>
      </c>
      <c r="F28" s="203">
        <f>ELEC!K30</f>
        <v>1826</v>
      </c>
      <c r="G28" s="203">
        <f>ELEC!I30</f>
        <v>460</v>
      </c>
      <c r="H28" s="203">
        <f>ELEC!E30</f>
        <v>1700</v>
      </c>
      <c r="I28" s="203">
        <f>ELEC!G30</f>
        <v>236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3</v>
      </c>
      <c r="D29">
        <v>2022</v>
      </c>
      <c r="E29" s="203">
        <f>ELEC!M31</f>
        <v>920</v>
      </c>
      <c r="F29" s="203">
        <f>ELEC!K31</f>
        <v>1536</v>
      </c>
      <c r="G29" s="203">
        <f>ELEC!I31</f>
        <v>448</v>
      </c>
      <c r="H29" s="203">
        <f>ELEC!E31</f>
        <v>1480</v>
      </c>
      <c r="I29" s="203">
        <f>ELEC!G31</f>
        <v>250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3</v>
      </c>
      <c r="D30">
        <v>2022</v>
      </c>
      <c r="E30" s="203">
        <f>ELEC!M32</f>
        <v>892</v>
      </c>
      <c r="F30" s="203">
        <f>ELEC!K32</f>
        <v>1520</v>
      </c>
      <c r="G30" s="203">
        <f>ELEC!I32</f>
        <v>432</v>
      </c>
      <c r="H30" s="203">
        <f>ELEC!E32</f>
        <v>1450</v>
      </c>
      <c r="I30" s="203">
        <f>ELEC!G32</f>
        <v>245</v>
      </c>
      <c r="J30" s="203">
        <f>WATER!Y34</f>
        <v>91</v>
      </c>
      <c r="K30" s="203">
        <f>WATER!AJ34</f>
        <v>29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3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3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AA32" sqref="AA32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[2]ELEC!$C$31</f>
        <v>44620</v>
      </c>
      <c r="D3" s="591">
        <f>[2]ELEC!D31</f>
        <v>210460</v>
      </c>
      <c r="E3" s="591">
        <f>[2]ELEC!E31</f>
        <v>2660</v>
      </c>
      <c r="F3" s="591">
        <f>[2]ELEC!F31</f>
        <v>4119812</v>
      </c>
      <c r="G3" s="591">
        <f>[2]ELEC!G31</f>
        <v>320</v>
      </c>
      <c r="H3" s="591">
        <f>[2]ELEC!H31</f>
        <v>18019414</v>
      </c>
      <c r="I3" s="591">
        <f>[2]ELEC!I31</f>
        <v>520</v>
      </c>
      <c r="J3" s="591">
        <f>[2]ELEC!J31</f>
        <v>29718110</v>
      </c>
      <c r="K3" s="591">
        <f>[2]ELEC!K31</f>
        <v>1960</v>
      </c>
      <c r="L3" s="591">
        <f>[2]ELEC!L31</f>
        <v>24539766</v>
      </c>
      <c r="M3" s="591">
        <f>[2]ELEC!M31</f>
        <v>1144</v>
      </c>
      <c r="N3" s="591">
        <f>[2]ELEC!N31</f>
        <v>6604</v>
      </c>
      <c r="O3" s="591">
        <f>[2]ELEC!O31</f>
        <v>0</v>
      </c>
      <c r="P3" s="591">
        <f>[2]ELEC!P31</f>
        <v>18998.87</v>
      </c>
      <c r="Q3" s="591">
        <f>[2]ELEC!Q31</f>
        <v>6474.9999999985448</v>
      </c>
      <c r="R3" s="591">
        <f>[2]ELEC!R31</f>
        <v>129.00000000145519</v>
      </c>
      <c r="S3" s="591">
        <f>[2]ELEC!S31</f>
        <v>10175</v>
      </c>
      <c r="T3" s="591">
        <f>[2]ELEC!T31</f>
        <v>0</v>
      </c>
      <c r="U3" s="591">
        <f>[2]ELEC!U31</f>
        <v>429166</v>
      </c>
      <c r="V3" s="591">
        <f>[2]ELEC!V31</f>
        <v>0</v>
      </c>
      <c r="W3" s="591">
        <f>[2]ELEC!W31</f>
        <v>33484</v>
      </c>
      <c r="X3" s="591">
        <f>[2]ELEC!X31</f>
        <v>0</v>
      </c>
      <c r="Y3" s="591">
        <f>[2]ELEC!Y31</f>
        <v>996900</v>
      </c>
      <c r="Z3" s="591">
        <f>[2]ELEC!Z31</f>
        <v>0</v>
      </c>
      <c r="AA3" s="591">
        <f>[2]ELEC!AA31</f>
        <v>36796</v>
      </c>
      <c r="AB3" s="591">
        <f>[2]ELEC!AB31</f>
        <v>0</v>
      </c>
      <c r="AC3" s="591">
        <f>[2]ELEC!AC31</f>
        <v>1170505</v>
      </c>
      <c r="AD3" s="591">
        <f>[2]ELEC!AD31</f>
        <v>0</v>
      </c>
      <c r="AE3" s="591">
        <f>[2]ELEC!AE31</f>
        <v>0</v>
      </c>
      <c r="AF3" s="591">
        <f>[2]ELEC!AF31</f>
        <v>0</v>
      </c>
      <c r="AG3" s="591">
        <f>[2]ELEC!AG31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44621</v>
      </c>
      <c r="D4" s="592">
        <v>213430</v>
      </c>
      <c r="E4" s="580">
        <f>D4-D3</f>
        <v>2970</v>
      </c>
      <c r="F4" s="569">
        <v>4120117</v>
      </c>
      <c r="G4" s="581">
        <f>F4-F3</f>
        <v>305</v>
      </c>
      <c r="H4" s="426">
        <v>18019946</v>
      </c>
      <c r="I4" s="581">
        <f>H4-H3</f>
        <v>532</v>
      </c>
      <c r="J4" s="426">
        <v>29719918</v>
      </c>
      <c r="K4" s="581">
        <f>J4-J3</f>
        <v>1808</v>
      </c>
      <c r="L4" s="426">
        <v>24540872</v>
      </c>
      <c r="M4" s="581">
        <f>L4-L3</f>
        <v>1106</v>
      </c>
      <c r="N4" s="427">
        <f>M4+K4+I4+G4+E4</f>
        <v>6721</v>
      </c>
      <c r="O4" s="438">
        <f t="shared" ref="O4:O10" si="0">IF(B4&gt;0,N4/B4,0)</f>
        <v>0</v>
      </c>
      <c r="P4" s="563">
        <v>19005.046999999999</v>
      </c>
      <c r="Q4" s="446">
        <f t="shared" ref="Q4:Q31" si="1">(P4-P3)*1000</f>
        <v>6176.9999999996799</v>
      </c>
      <c r="R4" s="547">
        <f>+N4-Q4</f>
        <v>544.00000000032014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44622</v>
      </c>
      <c r="D5" s="592">
        <v>216040</v>
      </c>
      <c r="E5" s="580">
        <f t="shared" ref="E5:E34" si="7">D5-D4</f>
        <v>2610</v>
      </c>
      <c r="F5" s="569">
        <v>4120387</v>
      </c>
      <c r="G5" s="449">
        <f>F5-F4</f>
        <v>270</v>
      </c>
      <c r="H5" s="426">
        <v>18020418</v>
      </c>
      <c r="I5" s="449">
        <f>H5-H4</f>
        <v>472</v>
      </c>
      <c r="J5" s="426">
        <v>29721478</v>
      </c>
      <c r="K5" s="449">
        <f>J5-J4</f>
        <v>1560</v>
      </c>
      <c r="L5" s="426">
        <v>24541848</v>
      </c>
      <c r="M5" s="449">
        <f>L5-L4</f>
        <v>976</v>
      </c>
      <c r="N5" s="297">
        <f>M5+K5+I5+G5+E5</f>
        <v>5888</v>
      </c>
      <c r="O5" s="445">
        <f t="shared" si="0"/>
        <v>0</v>
      </c>
      <c r="P5" s="563">
        <v>19011.003000000001</v>
      </c>
      <c r="Q5" s="446">
        <f t="shared" si="1"/>
        <v>5956.00000000195</v>
      </c>
      <c r="R5" s="428">
        <f>N5-Q5</f>
        <v>-68.000000001949957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1170505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44623</v>
      </c>
      <c r="D6" s="592">
        <v>218590</v>
      </c>
      <c r="E6" s="580">
        <f t="shared" si="7"/>
        <v>2550</v>
      </c>
      <c r="F6" s="569">
        <v>4120658</v>
      </c>
      <c r="G6" s="449">
        <f t="shared" ref="G6:G34" si="15">F6-F5</f>
        <v>271</v>
      </c>
      <c r="H6" s="426">
        <v>18020902</v>
      </c>
      <c r="I6" s="449">
        <f t="shared" ref="I6:I34" si="16">H6-H5</f>
        <v>484</v>
      </c>
      <c r="J6" s="426">
        <v>29722990</v>
      </c>
      <c r="K6" s="449">
        <f t="shared" ref="K6:K34" si="17">J6-J5</f>
        <v>1512</v>
      </c>
      <c r="L6" s="426">
        <v>24542758</v>
      </c>
      <c r="M6" s="449">
        <f t="shared" ref="M6:M31" si="18">L6-L5</f>
        <v>910</v>
      </c>
      <c r="N6" s="297">
        <f t="shared" ref="N6:N31" si="19">M6+K6+I6+G6+E6</f>
        <v>5727</v>
      </c>
      <c r="O6" s="445">
        <f t="shared" si="0"/>
        <v>0</v>
      </c>
      <c r="P6" s="563">
        <v>19016.59</v>
      </c>
      <c r="Q6" s="446">
        <f t="shared" si="1"/>
        <v>5586.9999999995343</v>
      </c>
      <c r="R6" s="428">
        <f>N6-Q6</f>
        <v>140.00000000046566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0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21">AA6-AA5</f>
        <v>0</v>
      </c>
      <c r="AC6" s="426">
        <f t="shared" si="13"/>
        <v>1170505</v>
      </c>
      <c r="AD6" s="428">
        <f t="shared" ref="AD6:AD17" si="22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44624</v>
      </c>
      <c r="D7" s="592">
        <f t="shared" ref="D7:D34" si="23">D6</f>
        <v>218590</v>
      </c>
      <c r="E7" s="580">
        <f t="shared" si="7"/>
        <v>0</v>
      </c>
      <c r="F7" s="569">
        <f t="shared" ref="F7:F34" si="24">F6</f>
        <v>4120658</v>
      </c>
      <c r="G7" s="449">
        <f t="shared" si="15"/>
        <v>0</v>
      </c>
      <c r="H7" s="426">
        <f t="shared" ref="H7:H34" si="25">H6</f>
        <v>18020902</v>
      </c>
      <c r="I7" s="449">
        <f t="shared" si="16"/>
        <v>0</v>
      </c>
      <c r="J7" s="426">
        <f t="shared" ref="J7:J34" si="26">J6</f>
        <v>29722990</v>
      </c>
      <c r="K7" s="449">
        <f t="shared" si="17"/>
        <v>0</v>
      </c>
      <c r="L7" s="426">
        <f t="shared" ref="L7:L34" si="27">L6</f>
        <v>24542758</v>
      </c>
      <c r="M7" s="449">
        <f t="shared" si="18"/>
        <v>0</v>
      </c>
      <c r="N7" s="297">
        <f t="shared" si="19"/>
        <v>0</v>
      </c>
      <c r="O7" s="445">
        <f t="shared" si="0"/>
        <v>0</v>
      </c>
      <c r="P7" s="563">
        <f t="shared" ref="P7:P34" si="28">P6</f>
        <v>19016.59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0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0">Y7-Y6</f>
        <v>0</v>
      </c>
      <c r="AA7" s="426">
        <f t="shared" si="12"/>
        <v>36796</v>
      </c>
      <c r="AB7" s="428">
        <f t="shared" si="21"/>
        <v>0</v>
      </c>
      <c r="AC7" s="426">
        <f t="shared" si="13"/>
        <v>1170505</v>
      </c>
      <c r="AD7" s="428">
        <f t="shared" si="22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44625</v>
      </c>
      <c r="D8" s="592">
        <f t="shared" si="23"/>
        <v>218590</v>
      </c>
      <c r="E8" s="580">
        <f t="shared" si="7"/>
        <v>0</v>
      </c>
      <c r="F8" s="569">
        <f t="shared" si="24"/>
        <v>4120658</v>
      </c>
      <c r="G8" s="449">
        <f t="shared" si="15"/>
        <v>0</v>
      </c>
      <c r="H8" s="426">
        <f t="shared" si="25"/>
        <v>18020902</v>
      </c>
      <c r="I8" s="449">
        <f t="shared" si="16"/>
        <v>0</v>
      </c>
      <c r="J8" s="426">
        <f t="shared" si="26"/>
        <v>29722990</v>
      </c>
      <c r="K8" s="449">
        <f t="shared" si="17"/>
        <v>0</v>
      </c>
      <c r="L8" s="426">
        <f t="shared" si="27"/>
        <v>24542758</v>
      </c>
      <c r="M8" s="449">
        <f t="shared" si="18"/>
        <v>0</v>
      </c>
      <c r="N8" s="297">
        <f t="shared" si="19"/>
        <v>0</v>
      </c>
      <c r="O8" s="445">
        <f t="shared" si="0"/>
        <v>0</v>
      </c>
      <c r="P8" s="563">
        <f t="shared" si="28"/>
        <v>19016.59</v>
      </c>
      <c r="Q8" s="446">
        <f t="shared" si="1"/>
        <v>0</v>
      </c>
      <c r="R8" s="428">
        <f t="shared" si="29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0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0"/>
        <v>0</v>
      </c>
      <c r="AA8" s="426">
        <f t="shared" si="12"/>
        <v>36796</v>
      </c>
      <c r="AB8" s="428">
        <f t="shared" si="21"/>
        <v>0</v>
      </c>
      <c r="AC8" s="426">
        <f t="shared" si="13"/>
        <v>1170505</v>
      </c>
      <c r="AD8" s="428">
        <f t="shared" si="22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44626</v>
      </c>
      <c r="D9" s="592">
        <v>221160</v>
      </c>
      <c r="E9" s="580">
        <f t="shared" si="7"/>
        <v>2570</v>
      </c>
      <c r="F9" s="569">
        <v>4120958</v>
      </c>
      <c r="G9" s="449">
        <f t="shared" si="15"/>
        <v>300</v>
      </c>
      <c r="H9" s="426">
        <v>18021422</v>
      </c>
      <c r="I9" s="449">
        <f t="shared" si="16"/>
        <v>520</v>
      </c>
      <c r="J9" s="426">
        <v>29724626</v>
      </c>
      <c r="K9" s="449">
        <f t="shared" si="17"/>
        <v>1636</v>
      </c>
      <c r="L9" s="426">
        <v>24543762</v>
      </c>
      <c r="M9" s="449">
        <f t="shared" si="18"/>
        <v>1004</v>
      </c>
      <c r="N9" s="297">
        <f t="shared" si="19"/>
        <v>6030</v>
      </c>
      <c r="O9" s="445">
        <f t="shared" si="0"/>
        <v>0</v>
      </c>
      <c r="P9" s="563">
        <v>19022.474999999999</v>
      </c>
      <c r="Q9" s="446">
        <f t="shared" si="1"/>
        <v>5884.9999999983993</v>
      </c>
      <c r="R9" s="428">
        <f t="shared" si="29"/>
        <v>145.00000000160071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0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0"/>
        <v>0</v>
      </c>
      <c r="AA9" s="426">
        <f t="shared" si="12"/>
        <v>36796</v>
      </c>
      <c r="AB9" s="428">
        <f t="shared" si="21"/>
        <v>0</v>
      </c>
      <c r="AC9" s="426">
        <f t="shared" si="13"/>
        <v>1170505</v>
      </c>
      <c r="AD9" s="428">
        <f t="shared" si="22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44627</v>
      </c>
      <c r="D10" s="592">
        <v>222960</v>
      </c>
      <c r="E10" s="580">
        <f t="shared" si="7"/>
        <v>1800</v>
      </c>
      <c r="F10" s="569">
        <v>4121187</v>
      </c>
      <c r="G10" s="449">
        <f t="shared" si="15"/>
        <v>229</v>
      </c>
      <c r="H10" s="426">
        <v>18021814</v>
      </c>
      <c r="I10" s="449">
        <f t="shared" si="16"/>
        <v>392</v>
      </c>
      <c r="J10" s="426">
        <v>29725822</v>
      </c>
      <c r="K10" s="449">
        <f t="shared" si="17"/>
        <v>1196</v>
      </c>
      <c r="L10" s="426">
        <v>24544498</v>
      </c>
      <c r="M10" s="449">
        <f t="shared" si="18"/>
        <v>736</v>
      </c>
      <c r="N10" s="297">
        <f t="shared" si="19"/>
        <v>4353</v>
      </c>
      <c r="O10" s="445">
        <f t="shared" si="0"/>
        <v>0</v>
      </c>
      <c r="P10" s="563">
        <v>19026.422999999999</v>
      </c>
      <c r="Q10" s="446">
        <f t="shared" si="1"/>
        <v>3948.0000000003201</v>
      </c>
      <c r="R10" s="428">
        <f t="shared" si="29"/>
        <v>404.99999999967986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0"/>
        <v>0</v>
      </c>
      <c r="W10" s="426">
        <f t="shared" si="10"/>
        <v>33484</v>
      </c>
      <c r="X10" s="428">
        <f t="shared" ref="X10:X31" si="31">W10-W9</f>
        <v>0</v>
      </c>
      <c r="Y10" s="426">
        <f t="shared" si="11"/>
        <v>996900</v>
      </c>
      <c r="Z10" s="428">
        <f t="shared" si="30"/>
        <v>0</v>
      </c>
      <c r="AA10" s="426">
        <f t="shared" si="12"/>
        <v>36796</v>
      </c>
      <c r="AB10" s="428">
        <f t="shared" si="21"/>
        <v>0</v>
      </c>
      <c r="AC10" s="426">
        <f t="shared" si="13"/>
        <v>1170505</v>
      </c>
      <c r="AD10" s="428">
        <f t="shared" si="22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44628</v>
      </c>
      <c r="D11" s="592">
        <v>225070</v>
      </c>
      <c r="E11" s="580">
        <f t="shared" si="7"/>
        <v>2110</v>
      </c>
      <c r="F11" s="569">
        <v>4121443</v>
      </c>
      <c r="G11" s="449">
        <f t="shared" si="15"/>
        <v>256</v>
      </c>
      <c r="H11" s="426">
        <v>18022258</v>
      </c>
      <c r="I11" s="449">
        <f t="shared" si="16"/>
        <v>444</v>
      </c>
      <c r="J11" s="426">
        <v>29727242</v>
      </c>
      <c r="K11" s="449">
        <f t="shared" si="17"/>
        <v>1420</v>
      </c>
      <c r="L11" s="426">
        <v>24545366</v>
      </c>
      <c r="M11" s="449">
        <f t="shared" si="18"/>
        <v>868</v>
      </c>
      <c r="N11" s="297">
        <f t="shared" si="19"/>
        <v>5098</v>
      </c>
      <c r="O11" s="445">
        <f t="shared" ref="O11:O31" si="32">IF(B11&gt;0,N11/B11,0)</f>
        <v>0</v>
      </c>
      <c r="P11" s="563">
        <v>19031.34</v>
      </c>
      <c r="Q11" s="446">
        <f t="shared" si="1"/>
        <v>4917.0000000012806</v>
      </c>
      <c r="R11" s="428">
        <f t="shared" si="29"/>
        <v>180.99999999871943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0"/>
        <v>0</v>
      </c>
      <c r="W11" s="426">
        <f t="shared" si="10"/>
        <v>33484</v>
      </c>
      <c r="X11" s="428">
        <f t="shared" si="31"/>
        <v>0</v>
      </c>
      <c r="Y11" s="426">
        <f t="shared" si="11"/>
        <v>996900</v>
      </c>
      <c r="Z11" s="428">
        <f t="shared" si="30"/>
        <v>0</v>
      </c>
      <c r="AA11" s="426">
        <f t="shared" si="12"/>
        <v>36796</v>
      </c>
      <c r="AB11" s="428">
        <f t="shared" si="21"/>
        <v>0</v>
      </c>
      <c r="AC11" s="426">
        <f t="shared" si="13"/>
        <v>1170505</v>
      </c>
      <c r="AD11" s="428">
        <f t="shared" si="22"/>
        <v>0</v>
      </c>
      <c r="AE11" s="450">
        <f t="shared" si="14"/>
        <v>0</v>
      </c>
      <c r="AF11" s="451">
        <f t="shared" si="4"/>
        <v>0</v>
      </c>
      <c r="AG11" s="443">
        <f t="shared" ref="AG11:AG32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44629</v>
      </c>
      <c r="D12" s="592">
        <v>227040</v>
      </c>
      <c r="E12" s="580">
        <f>D12-D11</f>
        <v>1970</v>
      </c>
      <c r="F12" s="569">
        <v>4121702</v>
      </c>
      <c r="G12" s="449">
        <f t="shared" si="15"/>
        <v>259</v>
      </c>
      <c r="H12" s="426">
        <v>18022662</v>
      </c>
      <c r="I12" s="449">
        <f t="shared" si="16"/>
        <v>404</v>
      </c>
      <c r="J12" s="426">
        <v>29728672</v>
      </c>
      <c r="K12" s="449">
        <f t="shared" si="17"/>
        <v>1430</v>
      </c>
      <c r="L12" s="426">
        <v>24546242</v>
      </c>
      <c r="M12" s="449">
        <f t="shared" si="18"/>
        <v>876</v>
      </c>
      <c r="N12" s="297">
        <f>M12+K12+I12+G12+E12</f>
        <v>4939</v>
      </c>
      <c r="O12" s="445">
        <f t="shared" si="32"/>
        <v>0</v>
      </c>
      <c r="P12" s="563">
        <v>19035.971000000001</v>
      </c>
      <c r="Q12" s="446">
        <f t="shared" si="1"/>
        <v>4631.0000000012224</v>
      </c>
      <c r="R12" s="428">
        <f t="shared" si="29"/>
        <v>307.99999999877764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0"/>
        <v>0</v>
      </c>
      <c r="W12" s="426">
        <f t="shared" si="10"/>
        <v>33484</v>
      </c>
      <c r="X12" s="428">
        <f t="shared" si="31"/>
        <v>0</v>
      </c>
      <c r="Y12" s="426">
        <f t="shared" si="11"/>
        <v>996900</v>
      </c>
      <c r="Z12" s="428">
        <f t="shared" si="30"/>
        <v>0</v>
      </c>
      <c r="AA12" s="426">
        <f t="shared" si="12"/>
        <v>36796</v>
      </c>
      <c r="AB12" s="428">
        <f t="shared" si="21"/>
        <v>0</v>
      </c>
      <c r="AC12" s="426">
        <f t="shared" si="13"/>
        <v>1170505</v>
      </c>
      <c r="AD12" s="428">
        <f t="shared" si="22"/>
        <v>0</v>
      </c>
      <c r="AE12" s="450">
        <f t="shared" si="14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44630</v>
      </c>
      <c r="D13" s="592">
        <v>229250</v>
      </c>
      <c r="E13" s="580">
        <f t="shared" si="7"/>
        <v>2210</v>
      </c>
      <c r="F13" s="569">
        <v>4122004</v>
      </c>
      <c r="G13" s="449">
        <f t="shared" si="15"/>
        <v>302</v>
      </c>
      <c r="H13" s="426">
        <v>18023128</v>
      </c>
      <c r="I13" s="449">
        <f t="shared" si="16"/>
        <v>466</v>
      </c>
      <c r="J13" s="426">
        <v>29730170</v>
      </c>
      <c r="K13" s="449">
        <f t="shared" si="17"/>
        <v>1498</v>
      </c>
      <c r="L13" s="426">
        <v>24547266</v>
      </c>
      <c r="M13" s="449">
        <f t="shared" si="18"/>
        <v>1024</v>
      </c>
      <c r="N13" s="297">
        <f>M13+K13+I13+G13+E13</f>
        <v>5500</v>
      </c>
      <c r="O13" s="445">
        <f t="shared" si="32"/>
        <v>0</v>
      </c>
      <c r="P13" s="563">
        <v>19041.350999999999</v>
      </c>
      <c r="Q13" s="446">
        <f t="shared" si="1"/>
        <v>5379.9999999973807</v>
      </c>
      <c r="R13" s="428">
        <f t="shared" si="29"/>
        <v>120.00000000261934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0"/>
        <v>0</v>
      </c>
      <c r="W13" s="426">
        <f t="shared" si="10"/>
        <v>33484</v>
      </c>
      <c r="X13" s="428">
        <f t="shared" si="31"/>
        <v>0</v>
      </c>
      <c r="Y13" s="426">
        <f t="shared" si="11"/>
        <v>996900</v>
      </c>
      <c r="Z13" s="428">
        <f t="shared" si="30"/>
        <v>0</v>
      </c>
      <c r="AA13" s="426">
        <f t="shared" si="12"/>
        <v>36796</v>
      </c>
      <c r="AB13" s="428">
        <f t="shared" si="21"/>
        <v>0</v>
      </c>
      <c r="AC13" s="426">
        <f t="shared" si="13"/>
        <v>1170505</v>
      </c>
      <c r="AD13" s="428">
        <f t="shared" si="22"/>
        <v>0</v>
      </c>
      <c r="AE13" s="450">
        <f t="shared" si="14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44631</v>
      </c>
      <c r="D14" s="592">
        <v>231400</v>
      </c>
      <c r="E14" s="580">
        <f t="shared" si="7"/>
        <v>2150</v>
      </c>
      <c r="F14" s="569">
        <v>4122274</v>
      </c>
      <c r="G14" s="449">
        <f t="shared" si="15"/>
        <v>270</v>
      </c>
      <c r="H14" s="426">
        <v>18023550</v>
      </c>
      <c r="I14" s="449">
        <f t="shared" si="16"/>
        <v>422</v>
      </c>
      <c r="J14" s="426">
        <v>29731578</v>
      </c>
      <c r="K14" s="449">
        <f t="shared" si="17"/>
        <v>1408</v>
      </c>
      <c r="L14" s="426">
        <v>24548238</v>
      </c>
      <c r="M14" s="449">
        <f t="shared" si="18"/>
        <v>972</v>
      </c>
      <c r="N14" s="297">
        <f t="shared" si="19"/>
        <v>5222</v>
      </c>
      <c r="O14" s="445">
        <f t="shared" si="32"/>
        <v>0</v>
      </c>
      <c r="P14" s="563">
        <v>19046.246999999999</v>
      </c>
      <c r="Q14" s="446">
        <f t="shared" si="1"/>
        <v>4896.0000000006403</v>
      </c>
      <c r="R14" s="428">
        <f t="shared" si="29"/>
        <v>325.99999999935972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0"/>
        <v>0</v>
      </c>
      <c r="W14" s="426">
        <f t="shared" si="10"/>
        <v>33484</v>
      </c>
      <c r="X14" s="428">
        <f t="shared" si="31"/>
        <v>0</v>
      </c>
      <c r="Y14" s="426">
        <f t="shared" si="11"/>
        <v>996900</v>
      </c>
      <c r="Z14" s="428">
        <f t="shared" si="30"/>
        <v>0</v>
      </c>
      <c r="AA14" s="426">
        <f t="shared" si="12"/>
        <v>36796</v>
      </c>
      <c r="AB14" s="428">
        <f t="shared" si="21"/>
        <v>0</v>
      </c>
      <c r="AC14" s="426">
        <f t="shared" si="13"/>
        <v>1170505</v>
      </c>
      <c r="AD14" s="428">
        <f t="shared" si="22"/>
        <v>0</v>
      </c>
      <c r="AE14" s="450">
        <f t="shared" si="14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44632</v>
      </c>
      <c r="D15" s="592">
        <f t="shared" si="23"/>
        <v>231400</v>
      </c>
      <c r="E15" s="580">
        <f t="shared" si="7"/>
        <v>0</v>
      </c>
      <c r="F15" s="569">
        <f t="shared" si="24"/>
        <v>4122274</v>
      </c>
      <c r="G15" s="449">
        <f t="shared" si="15"/>
        <v>0</v>
      </c>
      <c r="H15" s="426">
        <f t="shared" si="25"/>
        <v>18023550</v>
      </c>
      <c r="I15" s="449">
        <f t="shared" si="16"/>
        <v>0</v>
      </c>
      <c r="J15" s="426">
        <f t="shared" si="26"/>
        <v>29731578</v>
      </c>
      <c r="K15" s="449">
        <f t="shared" si="17"/>
        <v>0</v>
      </c>
      <c r="L15" s="426">
        <f t="shared" si="27"/>
        <v>24548238</v>
      </c>
      <c r="M15" s="449">
        <f t="shared" si="18"/>
        <v>0</v>
      </c>
      <c r="N15" s="297">
        <f t="shared" si="19"/>
        <v>0</v>
      </c>
      <c r="O15" s="445">
        <f t="shared" si="32"/>
        <v>0</v>
      </c>
      <c r="P15" s="563">
        <f t="shared" si="28"/>
        <v>19046.246999999999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0"/>
        <v>0</v>
      </c>
      <c r="W15" s="426">
        <f t="shared" si="10"/>
        <v>33484</v>
      </c>
      <c r="X15" s="428">
        <f t="shared" si="31"/>
        <v>0</v>
      </c>
      <c r="Y15" s="426">
        <f t="shared" si="11"/>
        <v>996900</v>
      </c>
      <c r="Z15" s="428">
        <f t="shared" si="30"/>
        <v>0</v>
      </c>
      <c r="AA15" s="426">
        <f t="shared" si="12"/>
        <v>36796</v>
      </c>
      <c r="AB15" s="428">
        <f t="shared" si="21"/>
        <v>0</v>
      </c>
      <c r="AC15" s="426">
        <f t="shared" si="13"/>
        <v>1170505</v>
      </c>
      <c r="AD15" s="428">
        <f t="shared" si="22"/>
        <v>0</v>
      </c>
      <c r="AE15" s="450">
        <f t="shared" si="14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44633</v>
      </c>
      <c r="D16" s="592">
        <v>232870</v>
      </c>
      <c r="E16" s="580">
        <f t="shared" si="7"/>
        <v>1470</v>
      </c>
      <c r="F16" s="569">
        <v>4122415</v>
      </c>
      <c r="G16" s="449">
        <f t="shared" si="15"/>
        <v>141</v>
      </c>
      <c r="H16" s="426">
        <v>18023842</v>
      </c>
      <c r="I16" s="449">
        <f t="shared" si="16"/>
        <v>292</v>
      </c>
      <c r="J16" s="426">
        <v>29732620</v>
      </c>
      <c r="K16" s="449">
        <f t="shared" si="17"/>
        <v>1042</v>
      </c>
      <c r="L16" s="426">
        <v>24548858</v>
      </c>
      <c r="M16" s="449">
        <f t="shared" si="18"/>
        <v>620</v>
      </c>
      <c r="N16" s="297">
        <f t="shared" si="19"/>
        <v>3565</v>
      </c>
      <c r="O16" s="445">
        <f t="shared" si="32"/>
        <v>0</v>
      </c>
      <c r="P16" s="563">
        <v>19049.883000000002</v>
      </c>
      <c r="Q16" s="446">
        <f t="shared" si="1"/>
        <v>3636.000000002241</v>
      </c>
      <c r="R16" s="428">
        <f t="shared" si="29"/>
        <v>-71.000000002240995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0"/>
        <v>0</v>
      </c>
      <c r="W16" s="426">
        <f t="shared" si="10"/>
        <v>33484</v>
      </c>
      <c r="X16" s="428">
        <f t="shared" si="31"/>
        <v>0</v>
      </c>
      <c r="Y16" s="426">
        <f t="shared" si="11"/>
        <v>996900</v>
      </c>
      <c r="Z16" s="428">
        <f t="shared" si="30"/>
        <v>0</v>
      </c>
      <c r="AA16" s="426">
        <f t="shared" si="12"/>
        <v>36796</v>
      </c>
      <c r="AB16" s="428">
        <f t="shared" si="21"/>
        <v>0</v>
      </c>
      <c r="AC16" s="426">
        <f t="shared" si="13"/>
        <v>1170505</v>
      </c>
      <c r="AD16" s="428">
        <f t="shared" si="22"/>
        <v>0</v>
      </c>
      <c r="AE16" s="450">
        <f t="shared" si="14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44634</v>
      </c>
      <c r="D17" s="592">
        <v>234980</v>
      </c>
      <c r="E17" s="580">
        <f t="shared" si="7"/>
        <v>2110</v>
      </c>
      <c r="F17" s="569">
        <v>4122638</v>
      </c>
      <c r="G17" s="449">
        <f t="shared" si="15"/>
        <v>223</v>
      </c>
      <c r="H17" s="426">
        <v>18024274</v>
      </c>
      <c r="I17" s="449">
        <f t="shared" si="16"/>
        <v>432</v>
      </c>
      <c r="J17" s="426">
        <v>29734160</v>
      </c>
      <c r="K17" s="449">
        <f t="shared" si="17"/>
        <v>1540</v>
      </c>
      <c r="L17" s="426">
        <v>24549810</v>
      </c>
      <c r="M17" s="449">
        <f t="shared" si="18"/>
        <v>952</v>
      </c>
      <c r="N17" s="297">
        <f t="shared" si="19"/>
        <v>5257</v>
      </c>
      <c r="O17" s="445">
        <f t="shared" si="32"/>
        <v>0</v>
      </c>
      <c r="P17" s="563">
        <v>19054.998</v>
      </c>
      <c r="Q17" s="446">
        <f t="shared" si="1"/>
        <v>5114.9999999979627</v>
      </c>
      <c r="R17" s="428">
        <f t="shared" si="29"/>
        <v>142.00000000203727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0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1170505</v>
      </c>
      <c r="AD17" s="428">
        <f t="shared" si="22"/>
        <v>0</v>
      </c>
      <c r="AE17" s="450">
        <f t="shared" si="14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44635</v>
      </c>
      <c r="D18" s="592">
        <v>237260</v>
      </c>
      <c r="E18" s="580">
        <f t="shared" si="7"/>
        <v>2280</v>
      </c>
      <c r="F18" s="569">
        <v>4122865</v>
      </c>
      <c r="G18" s="449">
        <f t="shared" si="15"/>
        <v>227</v>
      </c>
      <c r="H18" s="426">
        <v>18024722</v>
      </c>
      <c r="I18" s="449">
        <f t="shared" si="16"/>
        <v>448</v>
      </c>
      <c r="J18" s="426">
        <v>29735936</v>
      </c>
      <c r="K18" s="449">
        <f t="shared" si="17"/>
        <v>1776</v>
      </c>
      <c r="L18" s="426">
        <v>24550792</v>
      </c>
      <c r="M18" s="449">
        <f t="shared" si="18"/>
        <v>982</v>
      </c>
      <c r="N18" s="297">
        <f>M18+K18+I18+G18+E18</f>
        <v>5713</v>
      </c>
      <c r="O18" s="445">
        <f t="shared" si="32"/>
        <v>0</v>
      </c>
      <c r="P18" s="563">
        <v>19060.795999999998</v>
      </c>
      <c r="Q18" s="446">
        <f t="shared" si="1"/>
        <v>5797.999999998865</v>
      </c>
      <c r="R18" s="428">
        <f t="shared" si="29"/>
        <v>-84.999999998864951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0"/>
        <v>0</v>
      </c>
      <c r="W18" s="426">
        <f t="shared" si="10"/>
        <v>33484</v>
      </c>
      <c r="X18" s="428">
        <f t="shared" si="31"/>
        <v>0</v>
      </c>
      <c r="Y18" s="426">
        <f t="shared" si="11"/>
        <v>996900</v>
      </c>
      <c r="Z18" s="428">
        <f t="shared" si="30"/>
        <v>0</v>
      </c>
      <c r="AA18" s="426">
        <f t="shared" si="12"/>
        <v>36796</v>
      </c>
      <c r="AB18" s="428">
        <f t="shared" si="21"/>
        <v>0</v>
      </c>
      <c r="AC18" s="426">
        <f t="shared" si="13"/>
        <v>1170505</v>
      </c>
      <c r="AD18" s="428">
        <f t="shared" ref="AD18:AD31" si="34">AC18-AC17</f>
        <v>0</v>
      </c>
      <c r="AE18" s="450">
        <f t="shared" si="14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44636</v>
      </c>
      <c r="D19" s="592">
        <v>239430</v>
      </c>
      <c r="E19" s="580">
        <f t="shared" si="7"/>
        <v>2170</v>
      </c>
      <c r="F19" s="569">
        <v>4123152</v>
      </c>
      <c r="G19" s="449">
        <f t="shared" si="15"/>
        <v>287</v>
      </c>
      <c r="H19" s="426">
        <v>18025178</v>
      </c>
      <c r="I19" s="449">
        <f t="shared" si="16"/>
        <v>456</v>
      </c>
      <c r="J19" s="426">
        <v>29737710</v>
      </c>
      <c r="K19" s="449">
        <f t="shared" si="17"/>
        <v>1774</v>
      </c>
      <c r="L19" s="426">
        <v>24551794</v>
      </c>
      <c r="M19" s="449">
        <f t="shared" si="18"/>
        <v>1002</v>
      </c>
      <c r="N19" s="297">
        <f t="shared" si="19"/>
        <v>5689</v>
      </c>
      <c r="O19" s="445">
        <f t="shared" si="32"/>
        <v>0</v>
      </c>
      <c r="P19" s="563">
        <v>19066.173999999999</v>
      </c>
      <c r="Q19" s="446">
        <f>(P19-P18)*1000</f>
        <v>5378.0000000006112</v>
      </c>
      <c r="R19" s="594">
        <f>N19-Q19</f>
        <v>310.99999999938882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0"/>
        <v>0</v>
      </c>
      <c r="W19" s="426">
        <f t="shared" si="10"/>
        <v>33484</v>
      </c>
      <c r="X19" s="428">
        <f t="shared" si="31"/>
        <v>0</v>
      </c>
      <c r="Y19" s="426">
        <f t="shared" si="11"/>
        <v>996900</v>
      </c>
      <c r="Z19" s="428">
        <f t="shared" si="30"/>
        <v>0</v>
      </c>
      <c r="AA19" s="426">
        <f t="shared" si="12"/>
        <v>36796</v>
      </c>
      <c r="AB19" s="428">
        <f t="shared" si="21"/>
        <v>0</v>
      </c>
      <c r="AC19" s="426">
        <f t="shared" si="13"/>
        <v>1170505</v>
      </c>
      <c r="AD19" s="428">
        <f t="shared" si="34"/>
        <v>0</v>
      </c>
      <c r="AE19" s="450">
        <f t="shared" si="14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44637</v>
      </c>
      <c r="D20" s="592">
        <v>241120</v>
      </c>
      <c r="E20" s="580">
        <f t="shared" si="7"/>
        <v>1690</v>
      </c>
      <c r="F20" s="569">
        <v>4123439</v>
      </c>
      <c r="G20" s="449">
        <f t="shared" si="15"/>
        <v>287</v>
      </c>
      <c r="H20" s="426">
        <v>18025632</v>
      </c>
      <c r="I20" s="449">
        <f t="shared" si="16"/>
        <v>454</v>
      </c>
      <c r="J20" s="426">
        <v>29739590</v>
      </c>
      <c r="K20" s="449">
        <f t="shared" si="17"/>
        <v>1880</v>
      </c>
      <c r="L20" s="426">
        <v>24552848</v>
      </c>
      <c r="M20" s="449">
        <f t="shared" si="18"/>
        <v>1054</v>
      </c>
      <c r="N20" s="297">
        <f t="shared" si="19"/>
        <v>5365</v>
      </c>
      <c r="O20" s="445">
        <f t="shared" si="32"/>
        <v>0</v>
      </c>
      <c r="P20" s="563">
        <v>19071.48</v>
      </c>
      <c r="Q20" s="446">
        <f>(P20-P19)*1000</f>
        <v>5306.0000000004948</v>
      </c>
      <c r="R20" s="594">
        <f>N20-Q20</f>
        <v>58.999999999505235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0"/>
        <v>0</v>
      </c>
      <c r="W20" s="426">
        <f t="shared" si="10"/>
        <v>33484</v>
      </c>
      <c r="X20" s="428">
        <f t="shared" si="31"/>
        <v>0</v>
      </c>
      <c r="Y20" s="426">
        <f t="shared" si="11"/>
        <v>996900</v>
      </c>
      <c r="Z20" s="428">
        <f t="shared" si="30"/>
        <v>0</v>
      </c>
      <c r="AA20" s="426">
        <f t="shared" si="12"/>
        <v>36796</v>
      </c>
      <c r="AB20" s="428">
        <f t="shared" si="21"/>
        <v>0</v>
      </c>
      <c r="AC20" s="426">
        <f t="shared" si="13"/>
        <v>1170505</v>
      </c>
      <c r="AD20" s="428">
        <f t="shared" si="34"/>
        <v>0</v>
      </c>
      <c r="AE20" s="450">
        <f t="shared" si="14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44638</v>
      </c>
      <c r="D21" s="592">
        <f t="shared" si="23"/>
        <v>241120</v>
      </c>
      <c r="E21" s="580">
        <f t="shared" si="7"/>
        <v>0</v>
      </c>
      <c r="F21" s="569">
        <f t="shared" si="24"/>
        <v>4123439</v>
      </c>
      <c r="G21" s="449">
        <f t="shared" si="15"/>
        <v>0</v>
      </c>
      <c r="H21" s="426">
        <f t="shared" si="25"/>
        <v>18025632</v>
      </c>
      <c r="I21" s="449">
        <f t="shared" si="16"/>
        <v>0</v>
      </c>
      <c r="J21" s="426">
        <f t="shared" si="26"/>
        <v>29739590</v>
      </c>
      <c r="K21" s="449">
        <f t="shared" si="17"/>
        <v>0</v>
      </c>
      <c r="L21" s="426">
        <f t="shared" si="27"/>
        <v>24552848</v>
      </c>
      <c r="M21" s="449">
        <f t="shared" si="18"/>
        <v>0</v>
      </c>
      <c r="N21" s="297">
        <f t="shared" si="19"/>
        <v>0</v>
      </c>
      <c r="O21" s="445">
        <f t="shared" si="32"/>
        <v>0</v>
      </c>
      <c r="P21" s="563">
        <f t="shared" si="28"/>
        <v>19071.48</v>
      </c>
      <c r="Q21" s="446">
        <f t="shared" si="1"/>
        <v>0</v>
      </c>
      <c r="R21" s="594">
        <f t="shared" ref="R21:R31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0"/>
        <v>0</v>
      </c>
      <c r="W21" s="426">
        <f t="shared" si="10"/>
        <v>33484</v>
      </c>
      <c r="X21" s="428">
        <f t="shared" si="31"/>
        <v>0</v>
      </c>
      <c r="Y21" s="426">
        <f t="shared" si="11"/>
        <v>996900</v>
      </c>
      <c r="Z21" s="428">
        <f t="shared" si="30"/>
        <v>0</v>
      </c>
      <c r="AA21" s="426">
        <f t="shared" si="12"/>
        <v>36796</v>
      </c>
      <c r="AB21" s="428">
        <f t="shared" si="21"/>
        <v>0</v>
      </c>
      <c r="AC21" s="426">
        <f t="shared" si="13"/>
        <v>1170505</v>
      </c>
      <c r="AD21" s="428">
        <f t="shared" si="34"/>
        <v>0</v>
      </c>
      <c r="AE21" s="450">
        <f t="shared" si="14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44639</v>
      </c>
      <c r="D22" s="592">
        <f t="shared" si="23"/>
        <v>241120</v>
      </c>
      <c r="E22" s="580">
        <f t="shared" ref="E22" si="36">D22-D21</f>
        <v>0</v>
      </c>
      <c r="F22" s="569">
        <f t="shared" si="24"/>
        <v>4123439</v>
      </c>
      <c r="G22" s="449">
        <f t="shared" ref="G22" si="37">F22-F21</f>
        <v>0</v>
      </c>
      <c r="H22" s="426">
        <f t="shared" si="25"/>
        <v>18025632</v>
      </c>
      <c r="I22" s="449">
        <f t="shared" ref="I22" si="38">H22-H21</f>
        <v>0</v>
      </c>
      <c r="J22" s="426">
        <f t="shared" si="26"/>
        <v>29739590</v>
      </c>
      <c r="K22" s="449">
        <f t="shared" ref="K22" si="39">J22-J21</f>
        <v>0</v>
      </c>
      <c r="L22" s="426">
        <f t="shared" si="27"/>
        <v>24552848</v>
      </c>
      <c r="M22" s="449">
        <f t="shared" ref="M22" si="40">L22-L21</f>
        <v>0</v>
      </c>
      <c r="N22" s="297">
        <f t="shared" ref="N22" si="41">M22+K22+I22+G22+E22</f>
        <v>0</v>
      </c>
      <c r="O22" s="445">
        <f t="shared" ref="O22" si="42">IF(B22&gt;0,N22/B22,0)</f>
        <v>0</v>
      </c>
      <c r="P22" s="563">
        <f t="shared" si="28"/>
        <v>19071.48</v>
      </c>
      <c r="Q22" s="446">
        <f t="shared" ref="Q22" si="43">(P22-P21)*1000</f>
        <v>0</v>
      </c>
      <c r="R22" s="594">
        <f t="shared" ref="R22" si="44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0"/>
        <v>0</v>
      </c>
      <c r="W22" s="426">
        <f t="shared" si="10"/>
        <v>33484</v>
      </c>
      <c r="X22" s="428">
        <f t="shared" si="31"/>
        <v>0</v>
      </c>
      <c r="Y22" s="426">
        <f t="shared" si="11"/>
        <v>996900</v>
      </c>
      <c r="Z22" s="428">
        <f t="shared" si="30"/>
        <v>0</v>
      </c>
      <c r="AA22" s="426">
        <f t="shared" si="12"/>
        <v>36796</v>
      </c>
      <c r="AB22" s="428">
        <f t="shared" si="21"/>
        <v>0</v>
      </c>
      <c r="AC22" s="426">
        <f t="shared" si="13"/>
        <v>1170505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44640</v>
      </c>
      <c r="D23" s="592">
        <v>243180</v>
      </c>
      <c r="E23" s="580">
        <f t="shared" si="7"/>
        <v>2060</v>
      </c>
      <c r="F23" s="569">
        <v>4123693</v>
      </c>
      <c r="G23" s="449">
        <f t="shared" si="15"/>
        <v>254</v>
      </c>
      <c r="H23" s="426">
        <v>18026072</v>
      </c>
      <c r="I23" s="449">
        <f t="shared" si="16"/>
        <v>440</v>
      </c>
      <c r="J23" s="426">
        <v>29741342</v>
      </c>
      <c r="K23" s="449">
        <f t="shared" si="17"/>
        <v>1752</v>
      </c>
      <c r="L23" s="426">
        <v>24553830</v>
      </c>
      <c r="M23" s="449">
        <f t="shared" si="18"/>
        <v>982</v>
      </c>
      <c r="N23" s="297">
        <f t="shared" si="19"/>
        <v>5488</v>
      </c>
      <c r="O23" s="445">
        <f t="shared" si="32"/>
        <v>0</v>
      </c>
      <c r="P23" s="563">
        <v>19076.701000000001</v>
      </c>
      <c r="Q23" s="446">
        <f t="shared" si="1"/>
        <v>5221.0000000013679</v>
      </c>
      <c r="R23" s="594">
        <f t="shared" si="35"/>
        <v>266.99999999863212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0"/>
        <v>0</v>
      </c>
      <c r="W23" s="426">
        <f t="shared" si="10"/>
        <v>33484</v>
      </c>
      <c r="X23" s="428">
        <f t="shared" si="31"/>
        <v>0</v>
      </c>
      <c r="Y23" s="426">
        <f t="shared" si="11"/>
        <v>996900</v>
      </c>
      <c r="Z23" s="428">
        <f t="shared" si="30"/>
        <v>0</v>
      </c>
      <c r="AA23" s="426">
        <f t="shared" si="12"/>
        <v>36796</v>
      </c>
      <c r="AB23" s="428">
        <f t="shared" si="21"/>
        <v>0</v>
      </c>
      <c r="AC23" s="426">
        <f t="shared" si="13"/>
        <v>1170505</v>
      </c>
      <c r="AD23" s="428">
        <f t="shared" si="34"/>
        <v>0</v>
      </c>
      <c r="AE23" s="450">
        <f t="shared" si="14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44641</v>
      </c>
      <c r="D24" s="592">
        <v>244970</v>
      </c>
      <c r="E24" s="580">
        <f t="shared" si="7"/>
        <v>1790</v>
      </c>
      <c r="F24" s="569">
        <v>4123940</v>
      </c>
      <c r="G24" s="449">
        <f t="shared" si="15"/>
        <v>247</v>
      </c>
      <c r="H24" s="426">
        <v>18026516</v>
      </c>
      <c r="I24" s="599">
        <f t="shared" si="16"/>
        <v>444</v>
      </c>
      <c r="J24" s="426">
        <v>29742902</v>
      </c>
      <c r="K24" s="449">
        <f t="shared" si="17"/>
        <v>1560</v>
      </c>
      <c r="L24" s="426">
        <v>24554800</v>
      </c>
      <c r="M24" s="449">
        <f t="shared" si="18"/>
        <v>970</v>
      </c>
      <c r="N24" s="297">
        <f t="shared" si="19"/>
        <v>5011</v>
      </c>
      <c r="O24" s="445">
        <f t="shared" si="32"/>
        <v>0</v>
      </c>
      <c r="P24" s="563">
        <v>19081.34</v>
      </c>
      <c r="Q24" s="446">
        <f t="shared" si="1"/>
        <v>4638.9999999992142</v>
      </c>
      <c r="R24" s="594">
        <f t="shared" si="35"/>
        <v>372.0000000007858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0"/>
        <v>0</v>
      </c>
      <c r="W24" s="426">
        <f t="shared" si="10"/>
        <v>33484</v>
      </c>
      <c r="X24" s="428">
        <f t="shared" si="31"/>
        <v>0</v>
      </c>
      <c r="Y24" s="426">
        <f t="shared" si="11"/>
        <v>996900</v>
      </c>
      <c r="Z24" s="428">
        <f t="shared" si="30"/>
        <v>0</v>
      </c>
      <c r="AA24" s="426">
        <f t="shared" si="12"/>
        <v>36796</v>
      </c>
      <c r="AB24" s="428">
        <f t="shared" si="21"/>
        <v>0</v>
      </c>
      <c r="AC24" s="426">
        <f t="shared" si="13"/>
        <v>1170505</v>
      </c>
      <c r="AD24" s="428">
        <f t="shared" si="34"/>
        <v>0</v>
      </c>
      <c r="AE24" s="450">
        <f t="shared" si="14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44642</v>
      </c>
      <c r="D25" s="592">
        <v>246810</v>
      </c>
      <c r="E25" s="580">
        <f t="shared" si="7"/>
        <v>1840</v>
      </c>
      <c r="F25" s="569">
        <v>4124174</v>
      </c>
      <c r="G25" s="449">
        <f t="shared" si="15"/>
        <v>234</v>
      </c>
      <c r="H25" s="426">
        <v>18026934</v>
      </c>
      <c r="I25" s="449">
        <f t="shared" si="16"/>
        <v>418</v>
      </c>
      <c r="J25" s="426">
        <v>29744550</v>
      </c>
      <c r="K25" s="449">
        <f t="shared" si="17"/>
        <v>1648</v>
      </c>
      <c r="L25" s="426">
        <v>24555714</v>
      </c>
      <c r="M25" s="449">
        <f t="shared" si="18"/>
        <v>914</v>
      </c>
      <c r="N25" s="297">
        <f t="shared" si="19"/>
        <v>5054</v>
      </c>
      <c r="O25" s="445">
        <f t="shared" si="32"/>
        <v>0</v>
      </c>
      <c r="P25" s="563">
        <v>19086.322</v>
      </c>
      <c r="Q25" s="446">
        <f t="shared" si="1"/>
        <v>4981.9999999999709</v>
      </c>
      <c r="R25" s="594">
        <f t="shared" si="35"/>
        <v>72.000000000029104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0"/>
        <v>0</v>
      </c>
      <c r="W25" s="426">
        <f t="shared" si="10"/>
        <v>33484</v>
      </c>
      <c r="X25" s="428">
        <f t="shared" si="31"/>
        <v>0</v>
      </c>
      <c r="Y25" s="426">
        <f t="shared" si="11"/>
        <v>996900</v>
      </c>
      <c r="Z25" s="428">
        <f t="shared" si="30"/>
        <v>0</v>
      </c>
      <c r="AA25" s="426">
        <f t="shared" si="12"/>
        <v>36796</v>
      </c>
      <c r="AB25" s="428">
        <f t="shared" si="21"/>
        <v>0</v>
      </c>
      <c r="AC25" s="426">
        <f t="shared" si="13"/>
        <v>1170505</v>
      </c>
      <c r="AD25" s="428">
        <f t="shared" si="34"/>
        <v>0</v>
      </c>
      <c r="AE25" s="450">
        <f t="shared" si="14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44643</v>
      </c>
      <c r="D26" s="592">
        <v>249170</v>
      </c>
      <c r="E26" s="580">
        <f t="shared" si="7"/>
        <v>2360</v>
      </c>
      <c r="F26" s="569">
        <v>4124423</v>
      </c>
      <c r="G26" s="449">
        <f t="shared" si="15"/>
        <v>249</v>
      </c>
      <c r="H26" s="426">
        <v>18027378</v>
      </c>
      <c r="I26" s="449">
        <f t="shared" si="16"/>
        <v>444</v>
      </c>
      <c r="J26" s="426">
        <v>29746190</v>
      </c>
      <c r="K26" s="449">
        <f t="shared" si="17"/>
        <v>1640</v>
      </c>
      <c r="L26" s="426">
        <v>24556622</v>
      </c>
      <c r="M26" s="449">
        <f t="shared" si="18"/>
        <v>908</v>
      </c>
      <c r="N26" s="297">
        <f t="shared" si="19"/>
        <v>5601</v>
      </c>
      <c r="O26" s="445">
        <f t="shared" si="32"/>
        <v>0</v>
      </c>
      <c r="P26" s="563">
        <v>19091.789000000001</v>
      </c>
      <c r="Q26" s="446">
        <f t="shared" si="1"/>
        <v>5467.000000000553</v>
      </c>
      <c r="R26" s="594">
        <f t="shared" si="35"/>
        <v>133.99999999944703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0"/>
        <v>0</v>
      </c>
      <c r="W26" s="426">
        <f t="shared" si="10"/>
        <v>33484</v>
      </c>
      <c r="X26" s="428">
        <f t="shared" si="31"/>
        <v>0</v>
      </c>
      <c r="Y26" s="426">
        <f t="shared" si="11"/>
        <v>996900</v>
      </c>
      <c r="Z26" s="428">
        <f t="shared" si="30"/>
        <v>0</v>
      </c>
      <c r="AA26" s="426">
        <f t="shared" si="12"/>
        <v>36796</v>
      </c>
      <c r="AB26" s="428">
        <f t="shared" si="21"/>
        <v>0</v>
      </c>
      <c r="AC26" s="426">
        <f t="shared" si="13"/>
        <v>1170505</v>
      </c>
      <c r="AD26" s="428">
        <f t="shared" si="34"/>
        <v>0</v>
      </c>
      <c r="AE26" s="450">
        <f t="shared" si="14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44644</v>
      </c>
      <c r="D27" s="592">
        <v>251330</v>
      </c>
      <c r="E27" s="580">
        <f t="shared" si="7"/>
        <v>2160</v>
      </c>
      <c r="F27" s="569">
        <v>4124669</v>
      </c>
      <c r="G27" s="449">
        <f t="shared" si="15"/>
        <v>246</v>
      </c>
      <c r="H27" s="426">
        <v>18027818</v>
      </c>
      <c r="I27" s="449">
        <f t="shared" si="16"/>
        <v>440</v>
      </c>
      <c r="J27" s="426">
        <v>29747756</v>
      </c>
      <c r="K27" s="449">
        <f t="shared" si="17"/>
        <v>1566</v>
      </c>
      <c r="L27" s="426">
        <v>24557510</v>
      </c>
      <c r="M27" s="449">
        <f t="shared" si="18"/>
        <v>888</v>
      </c>
      <c r="N27" s="297">
        <f t="shared" si="19"/>
        <v>5300</v>
      </c>
      <c r="O27" s="445">
        <f t="shared" si="32"/>
        <v>0</v>
      </c>
      <c r="P27" s="563">
        <v>19096.955999999998</v>
      </c>
      <c r="Q27" s="446">
        <f t="shared" si="1"/>
        <v>5166.9999999976426</v>
      </c>
      <c r="R27" s="594">
        <f t="shared" si="35"/>
        <v>133.00000000235741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0"/>
        <v>0</v>
      </c>
      <c r="W27" s="426">
        <f t="shared" si="10"/>
        <v>33484</v>
      </c>
      <c r="X27" s="428">
        <f t="shared" si="31"/>
        <v>0</v>
      </c>
      <c r="Y27" s="426">
        <f t="shared" si="11"/>
        <v>996900</v>
      </c>
      <c r="Z27" s="428">
        <f t="shared" si="30"/>
        <v>0</v>
      </c>
      <c r="AA27" s="426">
        <f t="shared" si="12"/>
        <v>36796</v>
      </c>
      <c r="AB27" s="428">
        <f t="shared" si="21"/>
        <v>0</v>
      </c>
      <c r="AC27" s="426">
        <f t="shared" si="13"/>
        <v>1170505</v>
      </c>
      <c r="AD27" s="428">
        <f t="shared" si="34"/>
        <v>0</v>
      </c>
      <c r="AE27" s="450">
        <f t="shared" si="14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44645</v>
      </c>
      <c r="D28" s="592">
        <f t="shared" si="23"/>
        <v>251330</v>
      </c>
      <c r="E28" s="580">
        <f t="shared" si="7"/>
        <v>0</v>
      </c>
      <c r="F28" s="569">
        <f t="shared" si="24"/>
        <v>4124669</v>
      </c>
      <c r="G28" s="449">
        <f>F28-F27</f>
        <v>0</v>
      </c>
      <c r="H28" s="426">
        <f t="shared" si="25"/>
        <v>18027818</v>
      </c>
      <c r="I28" s="449">
        <f t="shared" si="16"/>
        <v>0</v>
      </c>
      <c r="J28" s="426">
        <f t="shared" si="26"/>
        <v>29747756</v>
      </c>
      <c r="K28" s="449">
        <f t="shared" si="17"/>
        <v>0</v>
      </c>
      <c r="L28" s="426">
        <f t="shared" si="27"/>
        <v>24557510</v>
      </c>
      <c r="M28" s="449">
        <f t="shared" si="18"/>
        <v>0</v>
      </c>
      <c r="N28" s="297">
        <f t="shared" si="19"/>
        <v>0</v>
      </c>
      <c r="O28" s="445">
        <f t="shared" si="32"/>
        <v>0</v>
      </c>
      <c r="P28" s="563">
        <f t="shared" si="28"/>
        <v>19096.955999999998</v>
      </c>
      <c r="Q28" s="446">
        <f t="shared" si="1"/>
        <v>0</v>
      </c>
      <c r="R28" s="594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0"/>
        <v>0</v>
      </c>
      <c r="W28" s="426">
        <f t="shared" si="10"/>
        <v>33484</v>
      </c>
      <c r="X28" s="428">
        <f t="shared" si="31"/>
        <v>0</v>
      </c>
      <c r="Y28" s="426">
        <f t="shared" si="11"/>
        <v>996900</v>
      </c>
      <c r="Z28" s="428">
        <f t="shared" si="30"/>
        <v>0</v>
      </c>
      <c r="AA28" s="426">
        <f t="shared" si="12"/>
        <v>36796</v>
      </c>
      <c r="AB28" s="428">
        <f t="shared" si="21"/>
        <v>0</v>
      </c>
      <c r="AC28" s="426">
        <f t="shared" si="13"/>
        <v>1170505</v>
      </c>
      <c r="AD28" s="428">
        <f t="shared" si="34"/>
        <v>0</v>
      </c>
      <c r="AE28" s="450">
        <f t="shared" si="14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44646</v>
      </c>
      <c r="D29" s="592">
        <f t="shared" si="23"/>
        <v>251330</v>
      </c>
      <c r="E29" s="580">
        <f t="shared" si="7"/>
        <v>0</v>
      </c>
      <c r="F29" s="569">
        <f t="shared" si="24"/>
        <v>4124669</v>
      </c>
      <c r="G29" s="449">
        <f>F29-F28</f>
        <v>0</v>
      </c>
      <c r="H29" s="426">
        <f t="shared" si="25"/>
        <v>18027818</v>
      </c>
      <c r="I29" s="449">
        <f>H29-H28</f>
        <v>0</v>
      </c>
      <c r="J29" s="426">
        <f t="shared" si="26"/>
        <v>29747756</v>
      </c>
      <c r="K29" s="449">
        <f>J29-J28</f>
        <v>0</v>
      </c>
      <c r="L29" s="426">
        <f t="shared" si="27"/>
        <v>24557510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28"/>
        <v>19096.955999999998</v>
      </c>
      <c r="Q29" s="446">
        <f>(P29-P28)*1000</f>
        <v>0</v>
      </c>
      <c r="R29" s="594">
        <f t="shared" si="35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44647</v>
      </c>
      <c r="D30" s="592">
        <v>253030</v>
      </c>
      <c r="E30" s="580">
        <f t="shared" si="7"/>
        <v>1700</v>
      </c>
      <c r="F30" s="569">
        <v>4124905</v>
      </c>
      <c r="G30" s="449">
        <f t="shared" si="15"/>
        <v>236</v>
      </c>
      <c r="H30" s="426">
        <v>18028278</v>
      </c>
      <c r="I30" s="449">
        <f t="shared" si="16"/>
        <v>460</v>
      </c>
      <c r="J30" s="426">
        <v>29749582</v>
      </c>
      <c r="K30" s="449">
        <f t="shared" si="17"/>
        <v>1826</v>
      </c>
      <c r="L30" s="426">
        <v>24558490</v>
      </c>
      <c r="M30" s="449">
        <f t="shared" si="18"/>
        <v>980</v>
      </c>
      <c r="N30" s="297">
        <f>M30+K30+I30+G30+E30</f>
        <v>5202</v>
      </c>
      <c r="O30" s="445">
        <f t="shared" si="32"/>
        <v>0</v>
      </c>
      <c r="P30" s="563">
        <v>19101.342000000001</v>
      </c>
      <c r="Q30" s="446">
        <f t="shared" si="1"/>
        <v>4386.000000002241</v>
      </c>
      <c r="R30" s="594">
        <f>N30-Q30</f>
        <v>815.99999999775901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0"/>
        <v>0</v>
      </c>
      <c r="W30" s="426">
        <f t="shared" si="10"/>
        <v>33484</v>
      </c>
      <c r="X30" s="428">
        <f t="shared" si="31"/>
        <v>0</v>
      </c>
      <c r="Y30" s="426">
        <f t="shared" si="11"/>
        <v>996900</v>
      </c>
      <c r="Z30" s="428">
        <f t="shared" si="30"/>
        <v>0</v>
      </c>
      <c r="AA30" s="426">
        <f t="shared" si="12"/>
        <v>36796</v>
      </c>
      <c r="AB30" s="428">
        <f t="shared" si="21"/>
        <v>0</v>
      </c>
      <c r="AC30" s="426">
        <f t="shared" si="13"/>
        <v>1170505</v>
      </c>
      <c r="AD30" s="428">
        <f t="shared" si="34"/>
        <v>0</v>
      </c>
      <c r="AE30" s="450">
        <f t="shared" si="14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44648</v>
      </c>
      <c r="D31" s="592">
        <v>254510</v>
      </c>
      <c r="E31" s="580">
        <f t="shared" si="7"/>
        <v>1480</v>
      </c>
      <c r="F31" s="569">
        <v>4125155</v>
      </c>
      <c r="G31" s="449">
        <f t="shared" si="15"/>
        <v>250</v>
      </c>
      <c r="H31" s="426">
        <v>18028726</v>
      </c>
      <c r="I31" s="449">
        <f t="shared" si="16"/>
        <v>448</v>
      </c>
      <c r="J31" s="426">
        <v>29751118</v>
      </c>
      <c r="K31" s="449">
        <f t="shared" si="17"/>
        <v>1536</v>
      </c>
      <c r="L31" s="426">
        <v>24559410</v>
      </c>
      <c r="M31" s="449">
        <f t="shared" si="18"/>
        <v>920</v>
      </c>
      <c r="N31" s="297">
        <f t="shared" si="19"/>
        <v>4634</v>
      </c>
      <c r="O31" s="445">
        <f t="shared" si="32"/>
        <v>0</v>
      </c>
      <c r="P31" s="563">
        <v>19105.789000000001</v>
      </c>
      <c r="Q31" s="446">
        <f t="shared" si="1"/>
        <v>4447.0000000001164</v>
      </c>
      <c r="R31" s="594">
        <f t="shared" si="35"/>
        <v>186.99999999988358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33484</v>
      </c>
      <c r="X31" s="448">
        <f t="shared" si="31"/>
        <v>0</v>
      </c>
      <c r="Y31" s="426">
        <f t="shared" si="11"/>
        <v>996900</v>
      </c>
      <c r="Z31" s="428">
        <f t="shared" si="30"/>
        <v>0</v>
      </c>
      <c r="AA31" s="426">
        <f t="shared" si="12"/>
        <v>36796</v>
      </c>
      <c r="AB31" s="428">
        <f t="shared" si="21"/>
        <v>0</v>
      </c>
      <c r="AC31" s="426">
        <f t="shared" si="13"/>
        <v>1170505</v>
      </c>
      <c r="AD31" s="428">
        <f t="shared" si="34"/>
        <v>0</v>
      </c>
      <c r="AE31" s="450">
        <f t="shared" si="14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44649</v>
      </c>
      <c r="D32" s="592">
        <v>255960</v>
      </c>
      <c r="E32" s="580">
        <f t="shared" si="7"/>
        <v>1450</v>
      </c>
      <c r="F32" s="569">
        <v>4125400</v>
      </c>
      <c r="G32" s="449">
        <f t="shared" si="15"/>
        <v>245</v>
      </c>
      <c r="H32" s="426">
        <v>18029158</v>
      </c>
      <c r="I32" s="449">
        <f t="shared" si="16"/>
        <v>432</v>
      </c>
      <c r="J32" s="426">
        <v>29752638</v>
      </c>
      <c r="K32" s="449">
        <f t="shared" si="17"/>
        <v>1520</v>
      </c>
      <c r="L32" s="426">
        <v>24560302</v>
      </c>
      <c r="M32" s="449">
        <f t="shared" ref="M32:M34" si="46">L32-L31</f>
        <v>892</v>
      </c>
      <c r="N32" s="297">
        <f t="shared" ref="N32:N34" si="47">M32+K32+I32+G32+E32</f>
        <v>4539</v>
      </c>
      <c r="O32" s="445">
        <f t="shared" ref="O32:O34" si="48">IF(B32&gt;0,N32/B32,0)</f>
        <v>0</v>
      </c>
      <c r="P32" s="563">
        <v>19110.024000000001</v>
      </c>
      <c r="Q32" s="446">
        <f t="shared" ref="Q32:Q34" si="49">(P32-P31)*1000</f>
        <v>4235.0000000005821</v>
      </c>
      <c r="R32" s="594">
        <f t="shared" ref="R32:R34" si="50">N32-Q32</f>
        <v>303.99999999941792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33484</v>
      </c>
      <c r="X32" s="448">
        <f t="shared" ref="X32:X34" si="51">W32-W31</f>
        <v>0</v>
      </c>
      <c r="Y32" s="426">
        <f t="shared" si="11"/>
        <v>996900</v>
      </c>
      <c r="Z32" s="428">
        <f t="shared" ref="Z32:Z34" si="52">Y32-Y31</f>
        <v>0</v>
      </c>
      <c r="AA32" s="426">
        <f t="shared" si="12"/>
        <v>36796</v>
      </c>
      <c r="AB32" s="428">
        <f t="shared" ref="AB32:AB34" si="53">AA32-AA31</f>
        <v>0</v>
      </c>
      <c r="AC32" s="426">
        <f t="shared" si="13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>
        <f t="shared" si="33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44650</v>
      </c>
      <c r="D33" s="592">
        <f t="shared" si="23"/>
        <v>255960</v>
      </c>
      <c r="E33" s="580">
        <f t="shared" si="7"/>
        <v>0</v>
      </c>
      <c r="F33" s="569">
        <f t="shared" si="24"/>
        <v>4125400</v>
      </c>
      <c r="G33" s="449">
        <f t="shared" si="15"/>
        <v>0</v>
      </c>
      <c r="H33" s="426">
        <f t="shared" si="25"/>
        <v>18029158</v>
      </c>
      <c r="I33" s="449">
        <f t="shared" si="16"/>
        <v>0</v>
      </c>
      <c r="J33" s="426">
        <f t="shared" si="26"/>
        <v>29752638</v>
      </c>
      <c r="K33" s="449">
        <f t="shared" si="17"/>
        <v>0</v>
      </c>
      <c r="L33" s="426">
        <f t="shared" si="27"/>
        <v>24560302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28"/>
        <v>19110.024000000001</v>
      </c>
      <c r="Q33" s="446">
        <f t="shared" si="49"/>
        <v>0</v>
      </c>
      <c r="R33" s="594">
        <f t="shared" si="50"/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57">U33-U32</f>
        <v>0</v>
      </c>
      <c r="W33" s="426">
        <f t="shared" si="10"/>
        <v>33484</v>
      </c>
      <c r="X33" s="448">
        <f t="shared" si="51"/>
        <v>0</v>
      </c>
      <c r="Y33" s="426">
        <f t="shared" si="11"/>
        <v>996900</v>
      </c>
      <c r="Z33" s="428">
        <f t="shared" si="52"/>
        <v>0</v>
      </c>
      <c r="AA33" s="426">
        <f t="shared" si="12"/>
        <v>36796</v>
      </c>
      <c r="AB33" s="428">
        <f t="shared" si="53"/>
        <v>0</v>
      </c>
      <c r="AC33" s="426">
        <f t="shared" si="13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44651</v>
      </c>
      <c r="D34" s="592">
        <f t="shared" si="23"/>
        <v>255960</v>
      </c>
      <c r="E34" s="580">
        <f t="shared" si="7"/>
        <v>0</v>
      </c>
      <c r="F34" s="569">
        <f t="shared" si="24"/>
        <v>4125400</v>
      </c>
      <c r="G34" s="449">
        <f t="shared" si="15"/>
        <v>0</v>
      </c>
      <c r="H34" s="426">
        <f t="shared" si="25"/>
        <v>18029158</v>
      </c>
      <c r="I34" s="449">
        <f t="shared" si="16"/>
        <v>0</v>
      </c>
      <c r="J34" s="426">
        <f t="shared" si="26"/>
        <v>29752638</v>
      </c>
      <c r="K34" s="449">
        <f t="shared" si="17"/>
        <v>0</v>
      </c>
      <c r="L34" s="426">
        <f t="shared" si="27"/>
        <v>24560302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28"/>
        <v>19110.024000000001</v>
      </c>
      <c r="Q34" s="446">
        <f t="shared" si="49"/>
        <v>0</v>
      </c>
      <c r="R34" s="594">
        <f t="shared" si="50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33484</v>
      </c>
      <c r="X34" s="448">
        <f t="shared" si="51"/>
        <v>0</v>
      </c>
      <c r="Y34" s="426">
        <f t="shared" si="11"/>
        <v>996900</v>
      </c>
      <c r="Z34" s="428">
        <f t="shared" si="52"/>
        <v>0</v>
      </c>
      <c r="AA34" s="426">
        <f t="shared" si="12"/>
        <v>36796</v>
      </c>
      <c r="AB34" s="428">
        <f t="shared" si="53"/>
        <v>0</v>
      </c>
      <c r="AC34" s="426">
        <f t="shared" si="13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B1" zoomScale="90" zoomScaleNormal="90" workbookViewId="0">
      <pane ySplit="1" topLeftCell="A2" activePane="bottomLeft" state="frozen"/>
      <selection activeCell="K1" sqref="K1"/>
      <selection pane="bottomLeft" activeCell="N33" sqref="N33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6" t="s">
        <v>2</v>
      </c>
      <c r="G1" s="637"/>
      <c r="H1" s="637"/>
      <c r="I1" s="638"/>
      <c r="J1" s="271">
        <f>J36</f>
        <v>71.907605820105829</v>
      </c>
      <c r="K1" s="639" t="s">
        <v>4</v>
      </c>
      <c r="L1" s="640"/>
      <c r="M1" s="640"/>
      <c r="N1" s="640"/>
      <c r="O1" s="641"/>
      <c r="P1" s="630" t="s">
        <v>6</v>
      </c>
      <c r="Q1" s="631"/>
      <c r="R1" s="631"/>
      <c r="S1" s="631"/>
      <c r="T1" s="632"/>
      <c r="U1" s="381"/>
      <c r="V1" s="27" t="s">
        <v>104</v>
      </c>
      <c r="W1" s="382"/>
      <c r="X1" s="630" t="s">
        <v>8</v>
      </c>
      <c r="Y1" s="631"/>
      <c r="Z1" s="631"/>
      <c r="AA1" s="631"/>
      <c r="AB1" s="631"/>
      <c r="AC1" s="633" t="s">
        <v>10</v>
      </c>
      <c r="AD1" s="634"/>
      <c r="AE1" s="634"/>
      <c r="AF1" s="635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8"/>
      <c r="R2" s="629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[2]B5!$A$32</f>
        <v>44620</v>
      </c>
      <c r="B4" s="379">
        <f>[2]B5!B32</f>
        <v>166</v>
      </c>
      <c r="C4" s="379">
        <f>[2]B5!C32</f>
        <v>158</v>
      </c>
      <c r="D4" s="379">
        <f>[2]B5!D32</f>
        <v>18</v>
      </c>
      <c r="E4" s="379">
        <f>[2]B5!E32</f>
        <v>150.84</v>
      </c>
      <c r="F4" s="379">
        <f>[2]B5!F32</f>
        <v>2110</v>
      </c>
      <c r="G4" s="379">
        <f>[2]B5!G32</f>
        <v>6</v>
      </c>
      <c r="H4" s="379">
        <f>[2]B5!H32</f>
        <v>33475</v>
      </c>
      <c r="I4" s="379">
        <f>[2]B5!I32</f>
        <v>415</v>
      </c>
      <c r="J4" s="379">
        <f>[2]B5!J32</f>
        <v>69.166666666666671</v>
      </c>
      <c r="K4" s="379">
        <f>[2]B5!K32</f>
        <v>2390</v>
      </c>
      <c r="L4" s="379">
        <f>[2]B5!L32</f>
        <v>0</v>
      </c>
      <c r="M4" s="379">
        <f>[2]B5!M32</f>
        <v>176670</v>
      </c>
      <c r="N4" s="379">
        <f>[2]B5!N32</f>
        <v>0</v>
      </c>
      <c r="O4" s="379">
        <f>[2]B5!O32</f>
        <v>1869</v>
      </c>
      <c r="P4" s="379">
        <f>[2]B5!P32</f>
        <v>2180</v>
      </c>
      <c r="Q4" s="379">
        <f>[2]B5!Q32</f>
        <v>182533</v>
      </c>
      <c r="R4" s="379">
        <f>[2]B5!R32</f>
        <v>0</v>
      </c>
      <c r="S4" s="379">
        <f>[2]B5!S32</f>
        <v>0</v>
      </c>
      <c r="T4" s="379">
        <f>[2]B5!T32</f>
        <v>0</v>
      </c>
      <c r="U4" s="379">
        <f>[2]B5!U32</f>
        <v>6</v>
      </c>
      <c r="V4" s="379">
        <f>[2]B5!V32</f>
        <v>415</v>
      </c>
      <c r="W4" s="379">
        <f>[2]B5!W32</f>
        <v>0</v>
      </c>
      <c r="X4" s="379">
        <f>[2]B5!X32</f>
        <v>2471</v>
      </c>
      <c r="Y4" s="379">
        <f>[2]B5!Y32</f>
        <v>0</v>
      </c>
      <c r="Z4" s="379">
        <f>[2]B5!Z32</f>
        <v>1392127</v>
      </c>
      <c r="AA4" s="379">
        <f>[2]B5!AA32</f>
        <v>0</v>
      </c>
      <c r="AB4" s="379">
        <f>[2]B5!AB32</f>
        <v>0</v>
      </c>
      <c r="AC4" s="379">
        <f>[2]B5!AC32</f>
        <v>1943</v>
      </c>
      <c r="AD4" s="379">
        <f>[2]B5!AD32</f>
        <v>0</v>
      </c>
      <c r="AE4" s="379">
        <f>[2]B5!AE32</f>
        <v>366210</v>
      </c>
      <c r="AF4" s="379">
        <f>[2]B5!AF32</f>
        <v>0</v>
      </c>
      <c r="AG4" s="379">
        <f>[2]B5!AG32</f>
        <v>0</v>
      </c>
      <c r="AH4" s="379">
        <f>[2]B5!AH32</f>
        <v>0</v>
      </c>
      <c r="AI4" s="379">
        <f>[2]B5!AI32</f>
        <v>415</v>
      </c>
      <c r="AJ4" s="379">
        <f>[2]B5!AJ32</f>
        <v>415</v>
      </c>
      <c r="AK4" s="379">
        <f>[2]B5!AK32</f>
        <v>0</v>
      </c>
      <c r="AL4" s="379">
        <f>[2]B5!AL32</f>
        <v>6</v>
      </c>
      <c r="AM4" s="379">
        <f>[2]B5!AM32</f>
        <v>0</v>
      </c>
      <c r="AN4" s="379">
        <f>[2]B5!AN32</f>
        <v>65</v>
      </c>
      <c r="AO4" s="379">
        <f>[2]B5!AO32</f>
        <v>1950</v>
      </c>
      <c r="AP4" s="379">
        <f>[2]B5!AP32</f>
        <v>55</v>
      </c>
      <c r="AQ4" s="379">
        <f>[2]B5!AQ32</f>
        <v>1650.0000000000002</v>
      </c>
      <c r="AR4" s="379">
        <f>[2]B5!AR32</f>
        <v>61</v>
      </c>
      <c r="AS4" s="379">
        <f>[2]B5!AS32</f>
        <v>1830</v>
      </c>
      <c r="AT4" s="379">
        <f>[2]B5!AT32</f>
        <v>5430</v>
      </c>
      <c r="AU4" s="379">
        <f>[2]B5!AU32</f>
        <v>0</v>
      </c>
      <c r="AV4" s="379">
        <f>[2]B5!AV32</f>
        <v>0</v>
      </c>
      <c r="AW4" s="379">
        <f>[2]B5!AW32</f>
        <v>0</v>
      </c>
      <c r="AX4" s="379">
        <f>[2]B5!AX32</f>
        <v>0.8</v>
      </c>
    </row>
    <row r="5" spans="1:52">
      <c r="A5" s="63">
        <f>ELEC!C4</f>
        <v>44621</v>
      </c>
      <c r="B5" s="537">
        <v>187</v>
      </c>
      <c r="C5" s="537">
        <v>194</v>
      </c>
      <c r="D5" s="45">
        <f>C4-C5</f>
        <v>-36</v>
      </c>
      <c r="E5" s="45">
        <f>D5*8.38</f>
        <v>-301.68</v>
      </c>
      <c r="F5" s="537">
        <v>2114</v>
      </c>
      <c r="G5" s="52">
        <f t="shared" ref="G5:G32" si="0">F5-F4</f>
        <v>4</v>
      </c>
      <c r="H5" s="537">
        <v>33818</v>
      </c>
      <c r="I5" s="380">
        <f t="shared" ref="I5:I32" si="1">SUM(H5-H4)</f>
        <v>343</v>
      </c>
      <c r="J5" s="66">
        <v>1</v>
      </c>
      <c r="K5" s="537">
        <f>K4</f>
        <v>2390</v>
      </c>
      <c r="L5" s="52">
        <f>K5-K4</f>
        <v>0</v>
      </c>
      <c r="M5" s="537">
        <f>M4</f>
        <v>176670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2180</v>
      </c>
      <c r="Q5" s="537">
        <f>Q4</f>
        <v>182533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4</v>
      </c>
      <c r="V5" s="62">
        <f>R5+N5+I5:I5</f>
        <v>343</v>
      </c>
      <c r="W5" s="384">
        <f>SUM(V5/U5)</f>
        <v>85.75</v>
      </c>
      <c r="X5" s="537">
        <f>X4</f>
        <v>2471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343</v>
      </c>
      <c r="AJ5" s="303">
        <f>-tanks!AW6</f>
        <v>343</v>
      </c>
      <c r="AK5" s="303">
        <f>SUM(AJ5-AI5)</f>
        <v>0</v>
      </c>
      <c r="AL5" s="303">
        <f t="shared" ref="AL5:AL32" si="8">S5+L5+G5</f>
        <v>4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44622</v>
      </c>
      <c r="B6" s="537">
        <v>178</v>
      </c>
      <c r="C6" s="537">
        <v>185</v>
      </c>
      <c r="D6" s="45">
        <f>C5-C6</f>
        <v>9</v>
      </c>
      <c r="E6" s="45">
        <f t="shared" ref="E6:E32" si="12">D6*8.38</f>
        <v>75.42</v>
      </c>
      <c r="F6" s="537">
        <v>2120</v>
      </c>
      <c r="G6" s="52">
        <f t="shared" si="0"/>
        <v>6</v>
      </c>
      <c r="H6" s="537">
        <v>34243</v>
      </c>
      <c r="I6" s="380">
        <f t="shared" si="1"/>
        <v>425</v>
      </c>
      <c r="J6" s="66">
        <f t="shared" ref="J6:J32" si="13">IF(G6&gt;0,I6/G6,0)</f>
        <v>70.833333333333329</v>
      </c>
      <c r="K6" s="537">
        <f t="shared" ref="K6:K35" si="14">K5</f>
        <v>2390</v>
      </c>
      <c r="L6" s="52">
        <f t="shared" ref="L6:L32" si="15">K6-K5</f>
        <v>0</v>
      </c>
      <c r="M6" s="537">
        <f t="shared" ref="M6:M35" si="16">M5</f>
        <v>176670</v>
      </c>
      <c r="N6" s="380">
        <f t="shared" si="2"/>
        <v>0</v>
      </c>
      <c r="O6" s="64">
        <f t="shared" si="3"/>
        <v>1869</v>
      </c>
      <c r="P6" s="537">
        <f t="shared" si="3"/>
        <v>2180</v>
      </c>
      <c r="Q6" s="537">
        <f t="shared" si="3"/>
        <v>182533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7">SUM(G6+L6+S6)</f>
        <v>6</v>
      </c>
      <c r="V6" s="62">
        <f t="shared" ref="V6:V32" si="18">R6+N6+I6:I6</f>
        <v>425</v>
      </c>
      <c r="W6" s="384">
        <f t="shared" ref="W6:W16" si="19">SUM(V6/U6)</f>
        <v>70.833333333333329</v>
      </c>
      <c r="X6" s="537">
        <f t="shared" ref="X6:X35" si="20">X5</f>
        <v>2471</v>
      </c>
      <c r="Y6" s="52">
        <f t="shared" ref="Y6:Y32" si="21">X6-X5</f>
        <v>0</v>
      </c>
      <c r="Z6" s="537">
        <f t="shared" ref="Z6:Z35" si="22">Z5</f>
        <v>1392127</v>
      </c>
      <c r="AA6" s="65">
        <f t="shared" si="6"/>
        <v>0</v>
      </c>
      <c r="AB6" s="273">
        <f>SUM(Y6*$AB$2)</f>
        <v>0</v>
      </c>
      <c r="AC6" s="537">
        <f t="shared" ref="AC6:AC35" si="23">AC5</f>
        <v>1943</v>
      </c>
      <c r="AD6" s="45">
        <f t="shared" si="7"/>
        <v>0</v>
      </c>
      <c r="AE6" s="537">
        <f t="shared" ref="AE6:AE35" si="24">AE5</f>
        <v>366210</v>
      </c>
      <c r="AF6" s="293">
        <f t="shared" ref="AF6:AF32" si="25">AE6-AE5</f>
        <v>0</v>
      </c>
      <c r="AG6" s="209">
        <f>IF(AD6&gt;0,AF6/AD6,0)</f>
        <v>0</v>
      </c>
      <c r="AH6" s="62">
        <f>AF6+AA6</f>
        <v>0</v>
      </c>
      <c r="AI6" s="303">
        <f t="shared" ref="AI6:AI32" si="26">SUM(AH6+V6)</f>
        <v>425</v>
      </c>
      <c r="AJ6" s="303">
        <f>-tanks!AW7</f>
        <v>425</v>
      </c>
      <c r="AK6" s="303">
        <f t="shared" ref="AK6:AK32" si="27">SUM(AJ6-AI6)</f>
        <v>0</v>
      </c>
      <c r="AL6" s="303">
        <f t="shared" si="8"/>
        <v>6</v>
      </c>
      <c r="AM6" s="303">
        <f t="shared" ref="AM6:AM32" si="28">Y6+AD6</f>
        <v>0</v>
      </c>
      <c r="AN6" s="537">
        <f t="shared" si="9"/>
        <v>65</v>
      </c>
      <c r="AO6" s="305">
        <f t="shared" ref="AO6:AO26" si="29">(AN6/100)*3000</f>
        <v>1950</v>
      </c>
      <c r="AP6" s="537">
        <f t="shared" si="10"/>
        <v>55</v>
      </c>
      <c r="AQ6" s="305">
        <f t="shared" ref="AQ6:AQ24" si="30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1">IF(AV6&gt;0,AW6,AX5)</f>
        <v>0.8</v>
      </c>
    </row>
    <row r="7" spans="1:52">
      <c r="A7" s="63">
        <f>ELEC!C6</f>
        <v>44623</v>
      </c>
      <c r="B7" s="537">
        <v>170</v>
      </c>
      <c r="C7" s="537">
        <v>178</v>
      </c>
      <c r="D7" s="45">
        <f t="shared" ref="D7:D19" si="32">C6-C7</f>
        <v>7</v>
      </c>
      <c r="E7" s="45">
        <f t="shared" si="12"/>
        <v>58.660000000000004</v>
      </c>
      <c r="F7" s="537">
        <v>2124</v>
      </c>
      <c r="G7" s="52">
        <f t="shared" si="0"/>
        <v>4</v>
      </c>
      <c r="H7" s="537">
        <v>34580</v>
      </c>
      <c r="I7" s="380">
        <f t="shared" si="1"/>
        <v>337</v>
      </c>
      <c r="J7" s="66">
        <f t="shared" si="13"/>
        <v>84.25</v>
      </c>
      <c r="K7" s="537">
        <f t="shared" si="14"/>
        <v>2390</v>
      </c>
      <c r="L7" s="52">
        <f t="shared" si="15"/>
        <v>0</v>
      </c>
      <c r="M7" s="537">
        <f t="shared" si="16"/>
        <v>176670</v>
      </c>
      <c r="N7" s="380">
        <f t="shared" si="2"/>
        <v>0</v>
      </c>
      <c r="O7" s="64">
        <f t="shared" si="3"/>
        <v>1869</v>
      </c>
      <c r="P7" s="537">
        <f t="shared" si="3"/>
        <v>2180</v>
      </c>
      <c r="Q7" s="537">
        <f t="shared" si="3"/>
        <v>182533</v>
      </c>
      <c r="R7" s="379">
        <f t="shared" si="4"/>
        <v>0</v>
      </c>
      <c r="S7" s="52">
        <f t="shared" si="5"/>
        <v>0</v>
      </c>
      <c r="T7" s="67">
        <f t="shared" ref="T7:T32" si="33">SUM(S7*$T$2)</f>
        <v>0</v>
      </c>
      <c r="U7" s="386">
        <f t="shared" si="17"/>
        <v>4</v>
      </c>
      <c r="V7" s="62">
        <f>R7+N7+I7:I7</f>
        <v>337</v>
      </c>
      <c r="W7" s="384">
        <f t="shared" si="19"/>
        <v>84.25</v>
      </c>
      <c r="X7" s="537">
        <f t="shared" si="20"/>
        <v>2471</v>
      </c>
      <c r="Y7" s="52">
        <f t="shared" si="21"/>
        <v>0</v>
      </c>
      <c r="Z7" s="537">
        <f t="shared" si="22"/>
        <v>1392127</v>
      </c>
      <c r="AA7" s="65">
        <f t="shared" si="6"/>
        <v>0</v>
      </c>
      <c r="AB7" s="273">
        <f t="shared" ref="AB7:AB17" si="34">SUM(Y7*$AB$2)</f>
        <v>0</v>
      </c>
      <c r="AC7" s="537">
        <f t="shared" si="23"/>
        <v>1943</v>
      </c>
      <c r="AD7" s="45">
        <f t="shared" si="7"/>
        <v>0</v>
      </c>
      <c r="AE7" s="537">
        <f t="shared" si="24"/>
        <v>366210</v>
      </c>
      <c r="AF7" s="293">
        <f t="shared" si="25"/>
        <v>0</v>
      </c>
      <c r="AG7" s="209">
        <f t="shared" ref="AG7:AG32" si="35">IF(AD7&gt;0,AF7/AD7,0)</f>
        <v>0</v>
      </c>
      <c r="AH7" s="62">
        <f t="shared" ref="AH7:AH32" si="36">AF7+AA7</f>
        <v>0</v>
      </c>
      <c r="AI7" s="303">
        <f t="shared" si="26"/>
        <v>337</v>
      </c>
      <c r="AJ7" s="303">
        <f>-tanks!AW8</f>
        <v>337</v>
      </c>
      <c r="AK7" s="303">
        <f t="shared" si="27"/>
        <v>0</v>
      </c>
      <c r="AL7" s="303">
        <f t="shared" si="8"/>
        <v>4</v>
      </c>
      <c r="AM7" s="303">
        <f t="shared" si="28"/>
        <v>0</v>
      </c>
      <c r="AN7" s="537">
        <f t="shared" si="9"/>
        <v>65</v>
      </c>
      <c r="AO7" s="305">
        <f t="shared" si="29"/>
        <v>1950</v>
      </c>
      <c r="AP7" s="537">
        <f t="shared" si="10"/>
        <v>55</v>
      </c>
      <c r="AQ7" s="305">
        <f t="shared" si="30"/>
        <v>1650.0000000000002</v>
      </c>
      <c r="AR7" s="537">
        <f t="shared" si="11"/>
        <v>61</v>
      </c>
      <c r="AS7" s="305">
        <f t="shared" ref="AS7:AS32" si="37">(AR7/100)*3000</f>
        <v>1830</v>
      </c>
      <c r="AT7" s="305">
        <f t="shared" ref="AT7:AT23" si="38">SUM(AO7+AQ7+AS7)</f>
        <v>5430</v>
      </c>
      <c r="AU7" s="305">
        <f t="shared" ref="AU7:AU32" si="39">AT6-AT7+AV7</f>
        <v>0</v>
      </c>
      <c r="AV7" s="259"/>
      <c r="AW7" s="259"/>
      <c r="AX7" s="298">
        <f t="shared" si="31"/>
        <v>0.8</v>
      </c>
      <c r="AZ7" s="42" t="s">
        <v>407</v>
      </c>
    </row>
    <row r="8" spans="1:52">
      <c r="A8" s="63">
        <f>ELEC!C7</f>
        <v>44624</v>
      </c>
      <c r="B8" s="537">
        <f t="shared" ref="B8:B35" si="40">B7</f>
        <v>170</v>
      </c>
      <c r="C8" s="537">
        <f t="shared" ref="C8:C35" si="41">C7</f>
        <v>178</v>
      </c>
      <c r="D8" s="45">
        <f t="shared" si="32"/>
        <v>0</v>
      </c>
      <c r="E8" s="45">
        <f t="shared" si="12"/>
        <v>0</v>
      </c>
      <c r="F8" s="537">
        <f t="shared" ref="F8:F35" si="42">F7</f>
        <v>2124</v>
      </c>
      <c r="G8" s="52">
        <f t="shared" si="0"/>
        <v>0</v>
      </c>
      <c r="H8" s="537">
        <f t="shared" ref="H8:H35" si="43">H7</f>
        <v>34580</v>
      </c>
      <c r="I8" s="380">
        <f t="shared" si="1"/>
        <v>0</v>
      </c>
      <c r="J8" s="66">
        <f t="shared" si="13"/>
        <v>0</v>
      </c>
      <c r="K8" s="537">
        <f t="shared" si="14"/>
        <v>2390</v>
      </c>
      <c r="L8" s="52">
        <f t="shared" si="15"/>
        <v>0</v>
      </c>
      <c r="M8" s="537">
        <f t="shared" si="16"/>
        <v>176670</v>
      </c>
      <c r="N8" s="380">
        <f t="shared" si="2"/>
        <v>0</v>
      </c>
      <c r="O8" s="64">
        <f t="shared" si="3"/>
        <v>1869</v>
      </c>
      <c r="P8" s="537">
        <f t="shared" si="3"/>
        <v>2180</v>
      </c>
      <c r="Q8" s="537">
        <f t="shared" si="3"/>
        <v>182533</v>
      </c>
      <c r="R8" s="379">
        <f t="shared" si="4"/>
        <v>0</v>
      </c>
      <c r="S8" s="52">
        <f t="shared" si="5"/>
        <v>0</v>
      </c>
      <c r="T8" s="67">
        <f t="shared" si="33"/>
        <v>0</v>
      </c>
      <c r="U8" s="386">
        <f t="shared" si="17"/>
        <v>0</v>
      </c>
      <c r="V8" s="62">
        <v>0</v>
      </c>
      <c r="W8" s="384" t="e">
        <f t="shared" si="19"/>
        <v>#DIV/0!</v>
      </c>
      <c r="X8" s="537">
        <v>2471</v>
      </c>
      <c r="Y8" s="52">
        <f t="shared" si="21"/>
        <v>0</v>
      </c>
      <c r="Z8" s="537">
        <f t="shared" si="22"/>
        <v>1392127</v>
      </c>
      <c r="AA8" s="65">
        <f t="shared" si="6"/>
        <v>0</v>
      </c>
      <c r="AB8" s="273">
        <f t="shared" si="34"/>
        <v>0</v>
      </c>
      <c r="AC8" s="537">
        <f t="shared" si="23"/>
        <v>1943</v>
      </c>
      <c r="AD8" s="45">
        <f t="shared" si="7"/>
        <v>0</v>
      </c>
      <c r="AE8" s="537">
        <f t="shared" si="24"/>
        <v>366210</v>
      </c>
      <c r="AF8" s="293">
        <f t="shared" si="25"/>
        <v>0</v>
      </c>
      <c r="AG8" s="209">
        <f t="shared" si="35"/>
        <v>0</v>
      </c>
      <c r="AH8" s="62">
        <f t="shared" si="36"/>
        <v>0</v>
      </c>
      <c r="AI8" s="303">
        <f t="shared" si="26"/>
        <v>0</v>
      </c>
      <c r="AJ8" s="303">
        <f>-tanks!AW9</f>
        <v>0</v>
      </c>
      <c r="AK8" s="303">
        <f t="shared" si="27"/>
        <v>0</v>
      </c>
      <c r="AL8" s="303">
        <f t="shared" si="8"/>
        <v>0</v>
      </c>
      <c r="AM8" s="303">
        <f t="shared" si="28"/>
        <v>0</v>
      </c>
      <c r="AN8" s="537">
        <f t="shared" si="9"/>
        <v>65</v>
      </c>
      <c r="AO8" s="305">
        <f t="shared" si="29"/>
        <v>1950</v>
      </c>
      <c r="AP8" s="537">
        <f t="shared" si="10"/>
        <v>55</v>
      </c>
      <c r="AQ8" s="305">
        <f t="shared" si="30"/>
        <v>1650.0000000000002</v>
      </c>
      <c r="AR8" s="537">
        <f t="shared" si="11"/>
        <v>61</v>
      </c>
      <c r="AS8" s="305">
        <f t="shared" si="37"/>
        <v>1830</v>
      </c>
      <c r="AT8" s="305">
        <f t="shared" si="38"/>
        <v>5430</v>
      </c>
      <c r="AU8" s="305">
        <f t="shared" si="39"/>
        <v>0</v>
      </c>
      <c r="AV8" s="259"/>
      <c r="AW8" s="259"/>
      <c r="AX8" s="298">
        <f t="shared" si="31"/>
        <v>0.8</v>
      </c>
    </row>
    <row r="9" spans="1:52" ht="15.75" customHeight="1">
      <c r="A9" s="63">
        <f>ELEC!C8</f>
        <v>44625</v>
      </c>
      <c r="B9" s="537">
        <f t="shared" si="40"/>
        <v>170</v>
      </c>
      <c r="C9" s="537">
        <f t="shared" si="41"/>
        <v>178</v>
      </c>
      <c r="D9" s="45">
        <f t="shared" si="32"/>
        <v>0</v>
      </c>
      <c r="E9" s="45">
        <f t="shared" si="12"/>
        <v>0</v>
      </c>
      <c r="F9" s="537">
        <f t="shared" si="42"/>
        <v>2124</v>
      </c>
      <c r="G9" s="52">
        <f t="shared" si="0"/>
        <v>0</v>
      </c>
      <c r="H9" s="537">
        <f t="shared" si="43"/>
        <v>34580</v>
      </c>
      <c r="I9" s="380">
        <f t="shared" si="1"/>
        <v>0</v>
      </c>
      <c r="J9" s="66">
        <f t="shared" si="13"/>
        <v>0</v>
      </c>
      <c r="K9" s="537">
        <f t="shared" si="14"/>
        <v>2390</v>
      </c>
      <c r="L9" s="52">
        <f t="shared" si="15"/>
        <v>0</v>
      </c>
      <c r="M9" s="537">
        <f t="shared" si="16"/>
        <v>176670</v>
      </c>
      <c r="N9" s="380">
        <f t="shared" si="2"/>
        <v>0</v>
      </c>
      <c r="O9" s="64">
        <f t="shared" si="3"/>
        <v>1869</v>
      </c>
      <c r="P9" s="537">
        <f t="shared" si="3"/>
        <v>2180</v>
      </c>
      <c r="Q9" s="537">
        <f t="shared" si="3"/>
        <v>182533</v>
      </c>
      <c r="R9" s="379">
        <f t="shared" si="4"/>
        <v>0</v>
      </c>
      <c r="S9" s="52">
        <f t="shared" si="5"/>
        <v>0</v>
      </c>
      <c r="T9" s="67">
        <f t="shared" si="33"/>
        <v>0</v>
      </c>
      <c r="U9" s="386">
        <f t="shared" si="17"/>
        <v>0</v>
      </c>
      <c r="V9" s="62">
        <f t="shared" si="18"/>
        <v>0</v>
      </c>
      <c r="W9" s="384" t="e">
        <f t="shared" si="19"/>
        <v>#DIV/0!</v>
      </c>
      <c r="X9" s="537">
        <f t="shared" si="20"/>
        <v>2471</v>
      </c>
      <c r="Y9" s="52">
        <f t="shared" si="21"/>
        <v>0</v>
      </c>
      <c r="Z9" s="537">
        <f t="shared" si="22"/>
        <v>1392127</v>
      </c>
      <c r="AA9" s="65">
        <f t="shared" si="6"/>
        <v>0</v>
      </c>
      <c r="AB9" s="273">
        <f t="shared" si="34"/>
        <v>0</v>
      </c>
      <c r="AC9" s="537">
        <f t="shared" si="23"/>
        <v>1943</v>
      </c>
      <c r="AD9" s="45">
        <f t="shared" si="7"/>
        <v>0</v>
      </c>
      <c r="AE9" s="537">
        <f t="shared" si="24"/>
        <v>366210</v>
      </c>
      <c r="AF9" s="293">
        <f t="shared" si="25"/>
        <v>0</v>
      </c>
      <c r="AG9" s="209">
        <f t="shared" si="35"/>
        <v>0</v>
      </c>
      <c r="AH9" s="62">
        <f t="shared" si="36"/>
        <v>0</v>
      </c>
      <c r="AI9" s="303">
        <f t="shared" si="26"/>
        <v>0</v>
      </c>
      <c r="AJ9" s="303">
        <f>-tanks!AW10</f>
        <v>0</v>
      </c>
      <c r="AK9" s="303">
        <f t="shared" si="27"/>
        <v>0</v>
      </c>
      <c r="AL9" s="303">
        <f t="shared" si="8"/>
        <v>0</v>
      </c>
      <c r="AM9" s="303">
        <f t="shared" si="28"/>
        <v>0</v>
      </c>
      <c r="AN9" s="537">
        <f t="shared" si="9"/>
        <v>65</v>
      </c>
      <c r="AO9" s="305">
        <f t="shared" si="29"/>
        <v>1950</v>
      </c>
      <c r="AP9" s="537">
        <f t="shared" si="10"/>
        <v>55</v>
      </c>
      <c r="AQ9" s="305">
        <f t="shared" si="30"/>
        <v>1650.0000000000002</v>
      </c>
      <c r="AR9" s="537">
        <f t="shared" si="11"/>
        <v>61</v>
      </c>
      <c r="AS9" s="305">
        <f>(AR9/100)*3000</f>
        <v>1830</v>
      </c>
      <c r="AT9" s="305">
        <f t="shared" si="38"/>
        <v>5430</v>
      </c>
      <c r="AU9" s="305">
        <f t="shared" si="39"/>
        <v>0</v>
      </c>
      <c r="AV9" s="259"/>
      <c r="AW9" s="259"/>
      <c r="AX9" s="298">
        <f t="shared" si="31"/>
        <v>0.8</v>
      </c>
    </row>
    <row r="10" spans="1:52">
      <c r="A10" s="63">
        <f>ELEC!C9</f>
        <v>44626</v>
      </c>
      <c r="B10" s="537">
        <v>162</v>
      </c>
      <c r="C10" s="537">
        <v>170</v>
      </c>
      <c r="D10" s="45">
        <f t="shared" si="32"/>
        <v>8</v>
      </c>
      <c r="E10" s="45">
        <f t="shared" si="12"/>
        <v>67.040000000000006</v>
      </c>
      <c r="F10" s="537">
        <v>2131</v>
      </c>
      <c r="G10" s="52">
        <f t="shared" si="0"/>
        <v>7</v>
      </c>
      <c r="H10" s="537">
        <v>35108</v>
      </c>
      <c r="I10" s="380">
        <f t="shared" si="1"/>
        <v>528</v>
      </c>
      <c r="J10" s="66">
        <f t="shared" si="13"/>
        <v>75.428571428571431</v>
      </c>
      <c r="K10" s="537">
        <f t="shared" si="14"/>
        <v>2390</v>
      </c>
      <c r="L10" s="52">
        <f t="shared" si="15"/>
        <v>0</v>
      </c>
      <c r="M10" s="537">
        <f t="shared" si="16"/>
        <v>176670</v>
      </c>
      <c r="N10" s="380">
        <f t="shared" si="2"/>
        <v>0</v>
      </c>
      <c r="O10" s="64">
        <f t="shared" si="3"/>
        <v>1869</v>
      </c>
      <c r="P10" s="537">
        <f t="shared" si="3"/>
        <v>2180</v>
      </c>
      <c r="Q10" s="537">
        <f t="shared" si="3"/>
        <v>182533</v>
      </c>
      <c r="R10" s="379">
        <f t="shared" si="4"/>
        <v>0</v>
      </c>
      <c r="S10" s="52">
        <f t="shared" si="5"/>
        <v>0</v>
      </c>
      <c r="T10" s="67">
        <f t="shared" si="33"/>
        <v>0</v>
      </c>
      <c r="U10" s="386">
        <f t="shared" si="17"/>
        <v>7</v>
      </c>
      <c r="V10" s="62">
        <f t="shared" si="18"/>
        <v>528</v>
      </c>
      <c r="W10" s="384">
        <f t="shared" si="19"/>
        <v>75.428571428571431</v>
      </c>
      <c r="X10" s="537">
        <f t="shared" si="20"/>
        <v>2471</v>
      </c>
      <c r="Y10" s="52">
        <f t="shared" si="21"/>
        <v>0</v>
      </c>
      <c r="Z10" s="537">
        <f t="shared" si="22"/>
        <v>1392127</v>
      </c>
      <c r="AA10" s="65">
        <f t="shared" si="6"/>
        <v>0</v>
      </c>
      <c r="AB10" s="273">
        <f t="shared" si="34"/>
        <v>0</v>
      </c>
      <c r="AC10" s="537">
        <f t="shared" si="23"/>
        <v>1943</v>
      </c>
      <c r="AD10" s="45">
        <f t="shared" si="7"/>
        <v>0</v>
      </c>
      <c r="AE10" s="537">
        <f t="shared" si="24"/>
        <v>366210</v>
      </c>
      <c r="AF10" s="293">
        <f t="shared" si="25"/>
        <v>0</v>
      </c>
      <c r="AG10" s="209">
        <f t="shared" si="35"/>
        <v>0</v>
      </c>
      <c r="AH10" s="62">
        <f t="shared" si="36"/>
        <v>0</v>
      </c>
      <c r="AI10" s="303">
        <f>SUM(AH10+V10)</f>
        <v>528</v>
      </c>
      <c r="AJ10" s="303">
        <f>-tanks!AW11</f>
        <v>528</v>
      </c>
      <c r="AK10" s="303">
        <f t="shared" si="27"/>
        <v>0</v>
      </c>
      <c r="AL10" s="303">
        <f t="shared" si="8"/>
        <v>7</v>
      </c>
      <c r="AM10" s="303">
        <f t="shared" si="28"/>
        <v>0</v>
      </c>
      <c r="AN10" s="537">
        <f t="shared" si="9"/>
        <v>65</v>
      </c>
      <c r="AO10" s="305">
        <f t="shared" si="29"/>
        <v>1950</v>
      </c>
      <c r="AP10" s="537">
        <f t="shared" si="10"/>
        <v>55</v>
      </c>
      <c r="AQ10" s="305">
        <f t="shared" si="30"/>
        <v>1650.0000000000002</v>
      </c>
      <c r="AR10" s="537">
        <f t="shared" si="11"/>
        <v>61</v>
      </c>
      <c r="AS10" s="305">
        <f t="shared" si="37"/>
        <v>1830</v>
      </c>
      <c r="AT10" s="305">
        <f t="shared" si="38"/>
        <v>5430</v>
      </c>
      <c r="AU10" s="305">
        <f t="shared" si="39"/>
        <v>0</v>
      </c>
      <c r="AV10" s="259"/>
      <c r="AW10" s="259"/>
      <c r="AX10" s="298">
        <f t="shared" si="31"/>
        <v>0.8</v>
      </c>
    </row>
    <row r="11" spans="1:52">
      <c r="A11" s="63">
        <f>ELEC!C10</f>
        <v>44627</v>
      </c>
      <c r="B11" s="537">
        <v>156</v>
      </c>
      <c r="C11" s="537">
        <v>163</v>
      </c>
      <c r="D11" s="45">
        <f t="shared" si="32"/>
        <v>7</v>
      </c>
      <c r="E11" s="45">
        <f t="shared" si="12"/>
        <v>58.660000000000004</v>
      </c>
      <c r="F11" s="537">
        <v>2134</v>
      </c>
      <c r="G11" s="52">
        <f t="shared" si="0"/>
        <v>3</v>
      </c>
      <c r="H11" s="537">
        <v>35327</v>
      </c>
      <c r="I11" s="380">
        <f t="shared" si="1"/>
        <v>219</v>
      </c>
      <c r="J11" s="66">
        <f t="shared" si="13"/>
        <v>73</v>
      </c>
      <c r="K11" s="537">
        <f t="shared" si="14"/>
        <v>2390</v>
      </c>
      <c r="L11" s="52">
        <f t="shared" si="15"/>
        <v>0</v>
      </c>
      <c r="M11" s="537">
        <f t="shared" si="16"/>
        <v>176670</v>
      </c>
      <c r="N11" s="380">
        <f t="shared" si="2"/>
        <v>0</v>
      </c>
      <c r="O11" s="64">
        <f t="shared" si="3"/>
        <v>1869</v>
      </c>
      <c r="P11" s="537">
        <f t="shared" si="3"/>
        <v>2180</v>
      </c>
      <c r="Q11" s="537">
        <f t="shared" si="3"/>
        <v>182533</v>
      </c>
      <c r="R11" s="379">
        <f t="shared" ref="R11:R32" si="44">Q11-Q10</f>
        <v>0</v>
      </c>
      <c r="S11" s="52">
        <f t="shared" si="5"/>
        <v>0</v>
      </c>
      <c r="T11" s="67">
        <f t="shared" si="33"/>
        <v>0</v>
      </c>
      <c r="U11" s="386">
        <f t="shared" si="17"/>
        <v>3</v>
      </c>
      <c r="V11" s="62">
        <f t="shared" si="18"/>
        <v>219</v>
      </c>
      <c r="W11" s="384">
        <f t="shared" si="19"/>
        <v>73</v>
      </c>
      <c r="X11" s="537">
        <f t="shared" si="20"/>
        <v>2471</v>
      </c>
      <c r="Y11" s="52">
        <f t="shared" si="21"/>
        <v>0</v>
      </c>
      <c r="Z11" s="537">
        <f t="shared" si="22"/>
        <v>1392127</v>
      </c>
      <c r="AA11" s="65">
        <f t="shared" si="6"/>
        <v>0</v>
      </c>
      <c r="AB11" s="273">
        <f t="shared" si="34"/>
        <v>0</v>
      </c>
      <c r="AC11" s="537">
        <f t="shared" si="23"/>
        <v>1943</v>
      </c>
      <c r="AD11" s="45">
        <f t="shared" si="7"/>
        <v>0</v>
      </c>
      <c r="AE11" s="537">
        <f t="shared" si="24"/>
        <v>366210</v>
      </c>
      <c r="AF11" s="293">
        <f t="shared" si="25"/>
        <v>0</v>
      </c>
      <c r="AG11" s="209">
        <f t="shared" si="35"/>
        <v>0</v>
      </c>
      <c r="AH11" s="62">
        <f>AF11+AA11</f>
        <v>0</v>
      </c>
      <c r="AI11" s="303">
        <f>SUM(AH11+V11)</f>
        <v>219</v>
      </c>
      <c r="AJ11" s="303">
        <f>-tanks!AW12</f>
        <v>219</v>
      </c>
      <c r="AK11" s="303">
        <f t="shared" si="27"/>
        <v>0</v>
      </c>
      <c r="AL11" s="303">
        <f t="shared" si="8"/>
        <v>3</v>
      </c>
      <c r="AM11" s="303">
        <f t="shared" si="28"/>
        <v>0</v>
      </c>
      <c r="AN11" s="537">
        <f t="shared" si="9"/>
        <v>65</v>
      </c>
      <c r="AO11" s="305">
        <f t="shared" si="29"/>
        <v>1950</v>
      </c>
      <c r="AP11" s="537">
        <f t="shared" si="10"/>
        <v>55</v>
      </c>
      <c r="AQ11" s="305">
        <f t="shared" si="30"/>
        <v>1650.0000000000002</v>
      </c>
      <c r="AR11" s="537">
        <f t="shared" si="11"/>
        <v>61</v>
      </c>
      <c r="AS11" s="305">
        <f t="shared" si="37"/>
        <v>1830</v>
      </c>
      <c r="AT11" s="305">
        <f t="shared" si="38"/>
        <v>5430</v>
      </c>
      <c r="AU11" s="305">
        <f t="shared" si="39"/>
        <v>0</v>
      </c>
      <c r="AV11" s="259"/>
      <c r="AW11" s="259"/>
      <c r="AX11" s="298">
        <f t="shared" si="31"/>
        <v>0.8</v>
      </c>
    </row>
    <row r="12" spans="1:52">
      <c r="A12" s="63">
        <f>ELEC!C11</f>
        <v>44628</v>
      </c>
      <c r="B12" s="537">
        <v>150</v>
      </c>
      <c r="C12" s="537">
        <v>157</v>
      </c>
      <c r="D12" s="45">
        <f t="shared" si="32"/>
        <v>6</v>
      </c>
      <c r="E12" s="45">
        <f t="shared" si="12"/>
        <v>50.28</v>
      </c>
      <c r="F12" s="537">
        <v>2138</v>
      </c>
      <c r="G12" s="52">
        <f t="shared" si="0"/>
        <v>4</v>
      </c>
      <c r="H12" s="537">
        <v>35645</v>
      </c>
      <c r="I12" s="380">
        <f t="shared" si="1"/>
        <v>318</v>
      </c>
      <c r="J12" s="66">
        <f t="shared" si="13"/>
        <v>79.5</v>
      </c>
      <c r="K12" s="537">
        <f t="shared" si="14"/>
        <v>2390</v>
      </c>
      <c r="L12" s="52">
        <f t="shared" si="15"/>
        <v>0</v>
      </c>
      <c r="M12" s="537">
        <f t="shared" si="16"/>
        <v>176670</v>
      </c>
      <c r="N12" s="380">
        <f t="shared" si="2"/>
        <v>0</v>
      </c>
      <c r="O12" s="64">
        <f t="shared" si="3"/>
        <v>1869</v>
      </c>
      <c r="P12" s="537">
        <f t="shared" si="3"/>
        <v>2180</v>
      </c>
      <c r="Q12" s="537">
        <f t="shared" si="3"/>
        <v>182533</v>
      </c>
      <c r="R12" s="379">
        <f t="shared" si="44"/>
        <v>0</v>
      </c>
      <c r="S12" s="52">
        <f t="shared" si="5"/>
        <v>0</v>
      </c>
      <c r="T12" s="67">
        <f t="shared" si="33"/>
        <v>0</v>
      </c>
      <c r="U12" s="386">
        <f t="shared" si="17"/>
        <v>4</v>
      </c>
      <c r="V12" s="62">
        <f t="shared" si="18"/>
        <v>318</v>
      </c>
      <c r="W12" s="384">
        <f t="shared" si="19"/>
        <v>79.5</v>
      </c>
      <c r="X12" s="537">
        <f t="shared" si="20"/>
        <v>2471</v>
      </c>
      <c r="Y12" s="52">
        <f t="shared" si="21"/>
        <v>0</v>
      </c>
      <c r="Z12" s="537">
        <f t="shared" si="22"/>
        <v>1392127</v>
      </c>
      <c r="AA12" s="65">
        <f t="shared" si="6"/>
        <v>0</v>
      </c>
      <c r="AB12" s="273">
        <f t="shared" si="34"/>
        <v>0</v>
      </c>
      <c r="AC12" s="537">
        <f t="shared" si="23"/>
        <v>1943</v>
      </c>
      <c r="AD12" s="45">
        <f t="shared" si="7"/>
        <v>0</v>
      </c>
      <c r="AE12" s="537">
        <f t="shared" si="24"/>
        <v>366210</v>
      </c>
      <c r="AF12" s="293">
        <f t="shared" si="25"/>
        <v>0</v>
      </c>
      <c r="AG12" s="209">
        <f t="shared" si="35"/>
        <v>0</v>
      </c>
      <c r="AH12" s="62">
        <f t="shared" si="36"/>
        <v>0</v>
      </c>
      <c r="AI12" s="303">
        <f t="shared" si="26"/>
        <v>318</v>
      </c>
      <c r="AJ12" s="303">
        <f>-tanks!AW13</f>
        <v>318</v>
      </c>
      <c r="AK12" s="303">
        <f t="shared" si="27"/>
        <v>0</v>
      </c>
      <c r="AL12" s="303">
        <f t="shared" si="8"/>
        <v>4</v>
      </c>
      <c r="AM12" s="303">
        <f t="shared" si="28"/>
        <v>0</v>
      </c>
      <c r="AN12" s="537">
        <f t="shared" si="9"/>
        <v>65</v>
      </c>
      <c r="AO12" s="305">
        <f t="shared" si="29"/>
        <v>1950</v>
      </c>
      <c r="AP12" s="537">
        <f t="shared" si="10"/>
        <v>55</v>
      </c>
      <c r="AQ12" s="305">
        <f t="shared" si="30"/>
        <v>1650.0000000000002</v>
      </c>
      <c r="AR12" s="537">
        <f t="shared" si="11"/>
        <v>61</v>
      </c>
      <c r="AS12" s="305">
        <f t="shared" si="37"/>
        <v>1830</v>
      </c>
      <c r="AT12" s="305">
        <f t="shared" si="38"/>
        <v>5430</v>
      </c>
      <c r="AU12" s="305">
        <f t="shared" si="39"/>
        <v>0</v>
      </c>
      <c r="AV12" s="259"/>
      <c r="AW12" s="259"/>
      <c r="AX12" s="298">
        <f t="shared" si="31"/>
        <v>0.8</v>
      </c>
    </row>
    <row r="13" spans="1:52">
      <c r="A13" s="63">
        <f>ELEC!C12</f>
        <v>44629</v>
      </c>
      <c r="B13" s="537">
        <v>177</v>
      </c>
      <c r="C13" s="537">
        <v>185</v>
      </c>
      <c r="D13" s="45">
        <f t="shared" si="32"/>
        <v>-28</v>
      </c>
      <c r="E13" s="45">
        <f t="shared" si="12"/>
        <v>-234.64000000000001</v>
      </c>
      <c r="F13" s="537">
        <v>2142</v>
      </c>
      <c r="G13" s="52">
        <f t="shared" si="0"/>
        <v>4</v>
      </c>
      <c r="H13" s="537">
        <v>35949</v>
      </c>
      <c r="I13" s="380">
        <f t="shared" si="1"/>
        <v>304</v>
      </c>
      <c r="J13" s="66">
        <f t="shared" si="13"/>
        <v>76</v>
      </c>
      <c r="K13" s="537">
        <f t="shared" si="14"/>
        <v>2390</v>
      </c>
      <c r="L13" s="52">
        <f t="shared" si="15"/>
        <v>0</v>
      </c>
      <c r="M13" s="537">
        <f t="shared" si="16"/>
        <v>176670</v>
      </c>
      <c r="N13" s="380">
        <f t="shared" si="2"/>
        <v>0</v>
      </c>
      <c r="O13" s="64">
        <f t="shared" si="3"/>
        <v>1869</v>
      </c>
      <c r="P13" s="537">
        <f t="shared" si="3"/>
        <v>2180</v>
      </c>
      <c r="Q13" s="537">
        <f t="shared" si="3"/>
        <v>182533</v>
      </c>
      <c r="R13" s="379">
        <f t="shared" si="44"/>
        <v>0</v>
      </c>
      <c r="S13" s="52">
        <f t="shared" si="5"/>
        <v>0</v>
      </c>
      <c r="T13" s="67">
        <f t="shared" si="33"/>
        <v>0</v>
      </c>
      <c r="U13" s="386">
        <f t="shared" si="17"/>
        <v>4</v>
      </c>
      <c r="V13" s="62">
        <f t="shared" si="18"/>
        <v>304</v>
      </c>
      <c r="W13" s="384">
        <f t="shared" si="19"/>
        <v>76</v>
      </c>
      <c r="X13" s="537">
        <f t="shared" si="20"/>
        <v>2471</v>
      </c>
      <c r="Y13" s="52">
        <f t="shared" si="21"/>
        <v>0</v>
      </c>
      <c r="Z13" s="537">
        <f t="shared" si="22"/>
        <v>1392127</v>
      </c>
      <c r="AA13" s="273">
        <f t="shared" si="6"/>
        <v>0</v>
      </c>
      <c r="AB13" s="273">
        <f t="shared" si="34"/>
        <v>0</v>
      </c>
      <c r="AC13" s="537">
        <f t="shared" si="23"/>
        <v>1943</v>
      </c>
      <c r="AD13" s="45">
        <f t="shared" si="7"/>
        <v>0</v>
      </c>
      <c r="AE13" s="537">
        <f t="shared" si="24"/>
        <v>366210</v>
      </c>
      <c r="AF13" s="293">
        <f t="shared" si="25"/>
        <v>0</v>
      </c>
      <c r="AG13" s="209">
        <f t="shared" si="35"/>
        <v>0</v>
      </c>
      <c r="AH13" s="62">
        <f t="shared" si="36"/>
        <v>0</v>
      </c>
      <c r="AI13" s="303">
        <f t="shared" si="26"/>
        <v>304</v>
      </c>
      <c r="AJ13" s="303">
        <f>-tanks!AW14</f>
        <v>304</v>
      </c>
      <c r="AK13" s="303">
        <f t="shared" si="27"/>
        <v>0</v>
      </c>
      <c r="AL13" s="303">
        <f t="shared" si="8"/>
        <v>4</v>
      </c>
      <c r="AM13" s="303">
        <f t="shared" si="28"/>
        <v>0</v>
      </c>
      <c r="AN13" s="537">
        <f t="shared" si="9"/>
        <v>65</v>
      </c>
      <c r="AO13" s="305">
        <f t="shared" si="29"/>
        <v>1950</v>
      </c>
      <c r="AP13" s="537">
        <f t="shared" si="10"/>
        <v>55</v>
      </c>
      <c r="AQ13" s="305">
        <f t="shared" si="30"/>
        <v>1650.0000000000002</v>
      </c>
      <c r="AR13" s="537">
        <f t="shared" si="11"/>
        <v>61</v>
      </c>
      <c r="AS13" s="305">
        <f t="shared" si="37"/>
        <v>1830</v>
      </c>
      <c r="AT13" s="305">
        <f t="shared" si="38"/>
        <v>5430</v>
      </c>
      <c r="AU13" s="305">
        <f t="shared" si="39"/>
        <v>0</v>
      </c>
      <c r="AV13" s="259"/>
      <c r="AW13" s="259"/>
      <c r="AX13" s="298">
        <f t="shared" si="31"/>
        <v>0.8</v>
      </c>
    </row>
    <row r="14" spans="1:52">
      <c r="A14" s="63">
        <f>ELEC!C13</f>
        <v>44630</v>
      </c>
      <c r="B14" s="537">
        <v>239</v>
      </c>
      <c r="C14" s="537">
        <v>246</v>
      </c>
      <c r="D14" s="45">
        <f t="shared" si="32"/>
        <v>-61</v>
      </c>
      <c r="E14" s="45">
        <f t="shared" si="12"/>
        <v>-511.18000000000006</v>
      </c>
      <c r="F14" s="537">
        <v>2145</v>
      </c>
      <c r="G14" s="52">
        <f t="shared" si="0"/>
        <v>3</v>
      </c>
      <c r="H14" s="537">
        <v>36167</v>
      </c>
      <c r="I14" s="380">
        <f t="shared" si="1"/>
        <v>218</v>
      </c>
      <c r="J14" s="66">
        <f t="shared" si="13"/>
        <v>72.666666666666671</v>
      </c>
      <c r="K14" s="537">
        <f t="shared" si="14"/>
        <v>2390</v>
      </c>
      <c r="L14" s="52">
        <f t="shared" si="15"/>
        <v>0</v>
      </c>
      <c r="M14" s="537">
        <f t="shared" si="16"/>
        <v>176670</v>
      </c>
      <c r="N14" s="380">
        <f t="shared" si="2"/>
        <v>0</v>
      </c>
      <c r="O14" s="64">
        <f t="shared" si="3"/>
        <v>1869</v>
      </c>
      <c r="P14" s="537">
        <f t="shared" si="3"/>
        <v>2180</v>
      </c>
      <c r="Q14" s="537">
        <f t="shared" si="3"/>
        <v>182533</v>
      </c>
      <c r="R14" s="379">
        <f t="shared" si="44"/>
        <v>0</v>
      </c>
      <c r="S14" s="52">
        <f t="shared" si="5"/>
        <v>0</v>
      </c>
      <c r="T14" s="67">
        <f t="shared" si="33"/>
        <v>0</v>
      </c>
      <c r="U14" s="386">
        <f t="shared" si="17"/>
        <v>3</v>
      </c>
      <c r="V14" s="62">
        <f t="shared" si="18"/>
        <v>218</v>
      </c>
      <c r="W14" s="384">
        <f t="shared" si="19"/>
        <v>72.666666666666671</v>
      </c>
      <c r="X14" s="537">
        <f t="shared" si="20"/>
        <v>2471</v>
      </c>
      <c r="Y14" s="52">
        <f t="shared" si="21"/>
        <v>0</v>
      </c>
      <c r="Z14" s="537">
        <f t="shared" si="22"/>
        <v>1392127</v>
      </c>
      <c r="AA14" s="65">
        <f t="shared" si="6"/>
        <v>0</v>
      </c>
      <c r="AB14" s="273">
        <f t="shared" si="34"/>
        <v>0</v>
      </c>
      <c r="AC14" s="537">
        <f t="shared" si="23"/>
        <v>1943</v>
      </c>
      <c r="AD14" s="45">
        <f t="shared" si="7"/>
        <v>0</v>
      </c>
      <c r="AE14" s="537">
        <f t="shared" si="24"/>
        <v>366210</v>
      </c>
      <c r="AF14" s="293">
        <f>AE14-AE13</f>
        <v>0</v>
      </c>
      <c r="AG14" s="209">
        <f t="shared" si="35"/>
        <v>0</v>
      </c>
      <c r="AH14" s="62">
        <f>AF14+AA14</f>
        <v>0</v>
      </c>
      <c r="AI14" s="303">
        <f>SUM(AH14+V14)</f>
        <v>218</v>
      </c>
      <c r="AJ14" s="303">
        <f>-tanks!AW15</f>
        <v>218</v>
      </c>
      <c r="AK14" s="303">
        <f t="shared" si="27"/>
        <v>0</v>
      </c>
      <c r="AL14" s="303">
        <f t="shared" si="8"/>
        <v>3</v>
      </c>
      <c r="AM14" s="303">
        <f t="shared" si="28"/>
        <v>0</v>
      </c>
      <c r="AN14" s="537">
        <f t="shared" si="9"/>
        <v>65</v>
      </c>
      <c r="AO14" s="305">
        <f t="shared" si="29"/>
        <v>1950</v>
      </c>
      <c r="AP14" s="537">
        <f t="shared" si="10"/>
        <v>55</v>
      </c>
      <c r="AQ14" s="305">
        <f t="shared" si="30"/>
        <v>1650.0000000000002</v>
      </c>
      <c r="AR14" s="537">
        <f t="shared" si="11"/>
        <v>61</v>
      </c>
      <c r="AS14" s="305">
        <f t="shared" si="37"/>
        <v>1830</v>
      </c>
      <c r="AT14" s="305">
        <f t="shared" si="38"/>
        <v>5430</v>
      </c>
      <c r="AU14" s="305">
        <f t="shared" si="39"/>
        <v>0</v>
      </c>
      <c r="AV14" s="259"/>
      <c r="AW14" s="259"/>
      <c r="AX14" s="298">
        <f t="shared" si="31"/>
        <v>0.8</v>
      </c>
    </row>
    <row r="15" spans="1:52" ht="15" customHeight="1">
      <c r="A15" s="63">
        <f>ELEC!C14</f>
        <v>44631</v>
      </c>
      <c r="B15" s="537">
        <v>232</v>
      </c>
      <c r="C15" s="537">
        <v>238</v>
      </c>
      <c r="D15" s="45">
        <f t="shared" si="32"/>
        <v>8</v>
      </c>
      <c r="E15" s="45">
        <f t="shared" si="12"/>
        <v>67.040000000000006</v>
      </c>
      <c r="F15" s="537">
        <v>2150</v>
      </c>
      <c r="G15" s="52">
        <f t="shared" si="0"/>
        <v>5</v>
      </c>
      <c r="H15" s="537">
        <v>36592</v>
      </c>
      <c r="I15" s="380">
        <f t="shared" si="1"/>
        <v>425</v>
      </c>
      <c r="J15" s="66">
        <f t="shared" si="13"/>
        <v>85</v>
      </c>
      <c r="K15" s="537">
        <f t="shared" si="14"/>
        <v>2390</v>
      </c>
      <c r="L15" s="52">
        <f t="shared" si="15"/>
        <v>0</v>
      </c>
      <c r="M15" s="537">
        <f t="shared" si="16"/>
        <v>176670</v>
      </c>
      <c r="N15" s="380">
        <f t="shared" si="2"/>
        <v>0</v>
      </c>
      <c r="O15" s="64">
        <f t="shared" si="3"/>
        <v>1869</v>
      </c>
      <c r="P15" s="537">
        <f t="shared" si="3"/>
        <v>2180</v>
      </c>
      <c r="Q15" s="537">
        <f t="shared" si="3"/>
        <v>182533</v>
      </c>
      <c r="R15" s="379">
        <f t="shared" si="44"/>
        <v>0</v>
      </c>
      <c r="S15" s="52">
        <f t="shared" si="5"/>
        <v>0</v>
      </c>
      <c r="T15" s="67">
        <f t="shared" si="33"/>
        <v>0</v>
      </c>
      <c r="U15" s="386">
        <f t="shared" si="17"/>
        <v>5</v>
      </c>
      <c r="V15" s="62">
        <f t="shared" si="18"/>
        <v>425</v>
      </c>
      <c r="W15" s="384">
        <f t="shared" si="19"/>
        <v>85</v>
      </c>
      <c r="X15" s="537">
        <f t="shared" si="20"/>
        <v>2471</v>
      </c>
      <c r="Y15" s="52">
        <f t="shared" si="21"/>
        <v>0</v>
      </c>
      <c r="Z15" s="537">
        <f t="shared" si="22"/>
        <v>1392127</v>
      </c>
      <c r="AA15" s="65">
        <f t="shared" si="6"/>
        <v>0</v>
      </c>
      <c r="AB15" s="273">
        <f t="shared" si="34"/>
        <v>0</v>
      </c>
      <c r="AC15" s="537">
        <f t="shared" si="23"/>
        <v>1943</v>
      </c>
      <c r="AD15" s="45">
        <f t="shared" si="7"/>
        <v>0</v>
      </c>
      <c r="AE15" s="537">
        <f t="shared" si="24"/>
        <v>366210</v>
      </c>
      <c r="AF15" s="293">
        <f t="shared" si="25"/>
        <v>0</v>
      </c>
      <c r="AG15" s="209">
        <f t="shared" si="35"/>
        <v>0</v>
      </c>
      <c r="AH15" s="62">
        <f t="shared" si="36"/>
        <v>0</v>
      </c>
      <c r="AI15" s="303">
        <f t="shared" si="26"/>
        <v>425</v>
      </c>
      <c r="AJ15" s="303">
        <f>-tanks!AW16</f>
        <v>425</v>
      </c>
      <c r="AK15" s="303">
        <f t="shared" si="27"/>
        <v>0</v>
      </c>
      <c r="AL15" s="303">
        <f t="shared" si="8"/>
        <v>5</v>
      </c>
      <c r="AM15" s="303">
        <f t="shared" si="28"/>
        <v>0</v>
      </c>
      <c r="AN15" s="537">
        <f t="shared" si="9"/>
        <v>65</v>
      </c>
      <c r="AO15" s="305">
        <f t="shared" si="29"/>
        <v>1950</v>
      </c>
      <c r="AP15" s="537">
        <f t="shared" si="10"/>
        <v>55</v>
      </c>
      <c r="AQ15" s="305">
        <f t="shared" si="30"/>
        <v>1650.0000000000002</v>
      </c>
      <c r="AR15" s="537">
        <f t="shared" si="11"/>
        <v>61</v>
      </c>
      <c r="AS15" s="305">
        <f t="shared" si="37"/>
        <v>1830</v>
      </c>
      <c r="AT15" s="305">
        <f t="shared" si="38"/>
        <v>5430</v>
      </c>
      <c r="AU15" s="305">
        <f t="shared" si="39"/>
        <v>0</v>
      </c>
      <c r="AV15" s="259"/>
      <c r="AW15" s="259"/>
      <c r="AX15" s="298">
        <f t="shared" si="31"/>
        <v>0.8</v>
      </c>
    </row>
    <row r="16" spans="1:52">
      <c r="A16" s="63">
        <f>ELEC!C15</f>
        <v>44632</v>
      </c>
      <c r="B16" s="537">
        <f t="shared" si="40"/>
        <v>232</v>
      </c>
      <c r="C16" s="537">
        <f t="shared" si="41"/>
        <v>238</v>
      </c>
      <c r="D16" s="45">
        <f t="shared" si="32"/>
        <v>0</v>
      </c>
      <c r="E16" s="45">
        <f t="shared" si="12"/>
        <v>0</v>
      </c>
      <c r="F16" s="537">
        <f t="shared" si="42"/>
        <v>2150</v>
      </c>
      <c r="G16" s="52">
        <f t="shared" si="0"/>
        <v>0</v>
      </c>
      <c r="H16" s="537">
        <f t="shared" si="43"/>
        <v>36592</v>
      </c>
      <c r="I16" s="380">
        <f t="shared" si="1"/>
        <v>0</v>
      </c>
      <c r="J16" s="66">
        <f t="shared" si="13"/>
        <v>0</v>
      </c>
      <c r="K16" s="537">
        <f t="shared" si="14"/>
        <v>2390</v>
      </c>
      <c r="L16" s="52">
        <f t="shared" si="15"/>
        <v>0</v>
      </c>
      <c r="M16" s="537">
        <f t="shared" si="16"/>
        <v>176670</v>
      </c>
      <c r="N16" s="380">
        <f t="shared" si="2"/>
        <v>0</v>
      </c>
      <c r="O16" s="64">
        <f t="shared" si="3"/>
        <v>1869</v>
      </c>
      <c r="P16" s="537">
        <f t="shared" si="3"/>
        <v>2180</v>
      </c>
      <c r="Q16" s="537">
        <f t="shared" si="3"/>
        <v>182533</v>
      </c>
      <c r="R16" s="379">
        <f t="shared" si="44"/>
        <v>0</v>
      </c>
      <c r="S16" s="52">
        <f t="shared" si="5"/>
        <v>0</v>
      </c>
      <c r="T16" s="67">
        <f t="shared" si="33"/>
        <v>0</v>
      </c>
      <c r="U16" s="386">
        <f t="shared" si="17"/>
        <v>0</v>
      </c>
      <c r="V16" s="62">
        <f t="shared" si="18"/>
        <v>0</v>
      </c>
      <c r="W16" s="384" t="e">
        <f t="shared" si="19"/>
        <v>#DIV/0!</v>
      </c>
      <c r="X16" s="537">
        <f t="shared" si="20"/>
        <v>2471</v>
      </c>
      <c r="Y16" s="52">
        <f t="shared" si="21"/>
        <v>0</v>
      </c>
      <c r="Z16" s="537">
        <f t="shared" si="22"/>
        <v>1392127</v>
      </c>
      <c r="AA16" s="65">
        <f t="shared" si="6"/>
        <v>0</v>
      </c>
      <c r="AB16" s="273">
        <f t="shared" si="34"/>
        <v>0</v>
      </c>
      <c r="AC16" s="537">
        <f t="shared" si="23"/>
        <v>1943</v>
      </c>
      <c r="AD16" s="45">
        <f t="shared" si="7"/>
        <v>0</v>
      </c>
      <c r="AE16" s="537">
        <f t="shared" si="24"/>
        <v>366210</v>
      </c>
      <c r="AF16" s="293">
        <f t="shared" si="25"/>
        <v>0</v>
      </c>
      <c r="AG16" s="209">
        <f t="shared" si="35"/>
        <v>0</v>
      </c>
      <c r="AH16" s="62">
        <f t="shared" si="36"/>
        <v>0</v>
      </c>
      <c r="AI16" s="303">
        <f t="shared" si="26"/>
        <v>0</v>
      </c>
      <c r="AJ16" s="303">
        <f>-tanks!AW17</f>
        <v>0</v>
      </c>
      <c r="AK16" s="303">
        <f t="shared" si="27"/>
        <v>0</v>
      </c>
      <c r="AL16" s="303">
        <f t="shared" si="8"/>
        <v>0</v>
      </c>
      <c r="AM16" s="303">
        <f t="shared" si="28"/>
        <v>0</v>
      </c>
      <c r="AN16" s="537">
        <f t="shared" si="9"/>
        <v>65</v>
      </c>
      <c r="AO16" s="305">
        <f t="shared" si="29"/>
        <v>1950</v>
      </c>
      <c r="AP16" s="537">
        <f t="shared" si="10"/>
        <v>55</v>
      </c>
      <c r="AQ16" s="305">
        <f t="shared" si="30"/>
        <v>1650.0000000000002</v>
      </c>
      <c r="AR16" s="537">
        <f t="shared" si="11"/>
        <v>61</v>
      </c>
      <c r="AS16" s="305">
        <f t="shared" si="37"/>
        <v>1830</v>
      </c>
      <c r="AT16" s="305">
        <f t="shared" si="38"/>
        <v>5430</v>
      </c>
      <c r="AU16" s="305">
        <f t="shared" si="39"/>
        <v>0</v>
      </c>
      <c r="AV16" s="259"/>
      <c r="AW16" s="259"/>
      <c r="AX16" s="298">
        <f t="shared" si="31"/>
        <v>0.8</v>
      </c>
    </row>
    <row r="17" spans="1:50">
      <c r="A17" s="63">
        <f>ELEC!C16</f>
        <v>44633</v>
      </c>
      <c r="B17" s="537">
        <v>228</v>
      </c>
      <c r="C17" s="537">
        <v>234</v>
      </c>
      <c r="D17" s="45">
        <f t="shared" si="32"/>
        <v>4</v>
      </c>
      <c r="E17" s="45">
        <f t="shared" si="12"/>
        <v>33.520000000000003</v>
      </c>
      <c r="F17" s="537">
        <v>2154</v>
      </c>
      <c r="G17" s="52">
        <f t="shared" si="0"/>
        <v>4</v>
      </c>
      <c r="H17" s="537">
        <v>36887</v>
      </c>
      <c r="I17" s="380">
        <f t="shared" si="1"/>
        <v>295</v>
      </c>
      <c r="J17" s="66">
        <f t="shared" si="13"/>
        <v>73.75</v>
      </c>
      <c r="K17" s="537">
        <f t="shared" si="14"/>
        <v>2390</v>
      </c>
      <c r="L17" s="52">
        <f t="shared" si="15"/>
        <v>0</v>
      </c>
      <c r="M17" s="537">
        <f t="shared" si="16"/>
        <v>176670</v>
      </c>
      <c r="N17" s="380">
        <f t="shared" si="2"/>
        <v>0</v>
      </c>
      <c r="O17" s="64">
        <f t="shared" si="3"/>
        <v>1869</v>
      </c>
      <c r="P17" s="537">
        <f t="shared" si="3"/>
        <v>2180</v>
      </c>
      <c r="Q17" s="537">
        <f t="shared" si="3"/>
        <v>182533</v>
      </c>
      <c r="R17" s="379">
        <f t="shared" si="44"/>
        <v>0</v>
      </c>
      <c r="S17" s="52">
        <f t="shared" si="5"/>
        <v>0</v>
      </c>
      <c r="T17" s="67">
        <f t="shared" si="33"/>
        <v>0</v>
      </c>
      <c r="U17" s="386">
        <f t="shared" si="17"/>
        <v>4</v>
      </c>
      <c r="V17" s="62">
        <f t="shared" si="18"/>
        <v>295</v>
      </c>
      <c r="W17" s="384"/>
      <c r="X17" s="537">
        <f t="shared" si="20"/>
        <v>2471</v>
      </c>
      <c r="Y17" s="52">
        <f t="shared" si="21"/>
        <v>0</v>
      </c>
      <c r="Z17" s="537">
        <f t="shared" si="22"/>
        <v>1392127</v>
      </c>
      <c r="AA17" s="65">
        <f t="shared" si="6"/>
        <v>0</v>
      </c>
      <c r="AB17" s="273">
        <f t="shared" si="34"/>
        <v>0</v>
      </c>
      <c r="AC17" s="537">
        <f t="shared" si="23"/>
        <v>1943</v>
      </c>
      <c r="AD17" s="45">
        <f t="shared" si="7"/>
        <v>0</v>
      </c>
      <c r="AE17" s="537">
        <f t="shared" si="24"/>
        <v>366210</v>
      </c>
      <c r="AF17" s="293">
        <f t="shared" si="25"/>
        <v>0</v>
      </c>
      <c r="AG17" s="209">
        <f t="shared" si="35"/>
        <v>0</v>
      </c>
      <c r="AH17" s="62">
        <f t="shared" si="36"/>
        <v>0</v>
      </c>
      <c r="AI17" s="303">
        <f t="shared" si="26"/>
        <v>295</v>
      </c>
      <c r="AJ17" s="303">
        <f>-tanks!AW18</f>
        <v>295</v>
      </c>
      <c r="AK17" s="303">
        <f t="shared" si="27"/>
        <v>0</v>
      </c>
      <c r="AL17" s="303">
        <f t="shared" si="8"/>
        <v>4</v>
      </c>
      <c r="AM17" s="303">
        <f t="shared" si="28"/>
        <v>0</v>
      </c>
      <c r="AN17" s="537">
        <f t="shared" si="9"/>
        <v>65</v>
      </c>
      <c r="AO17" s="305">
        <f t="shared" si="29"/>
        <v>1950</v>
      </c>
      <c r="AP17" s="537">
        <f t="shared" si="10"/>
        <v>55</v>
      </c>
      <c r="AQ17" s="305">
        <f t="shared" si="30"/>
        <v>1650.0000000000002</v>
      </c>
      <c r="AR17" s="537">
        <f t="shared" si="11"/>
        <v>61</v>
      </c>
      <c r="AS17" s="305">
        <f t="shared" si="37"/>
        <v>1830</v>
      </c>
      <c r="AT17" s="305">
        <f t="shared" si="38"/>
        <v>5430</v>
      </c>
      <c r="AU17" s="305">
        <f t="shared" si="39"/>
        <v>0</v>
      </c>
      <c r="AV17" s="259"/>
      <c r="AW17" s="259"/>
      <c r="AX17" s="298">
        <f t="shared" si="31"/>
        <v>0.8</v>
      </c>
    </row>
    <row r="18" spans="1:50">
      <c r="A18" s="63">
        <f>ELEC!C17</f>
        <v>44634</v>
      </c>
      <c r="B18" s="537">
        <v>219</v>
      </c>
      <c r="C18" s="537">
        <v>226</v>
      </c>
      <c r="D18" s="45">
        <f t="shared" si="32"/>
        <v>8</v>
      </c>
      <c r="E18" s="45">
        <f t="shared" si="12"/>
        <v>67.040000000000006</v>
      </c>
      <c r="F18" s="537">
        <v>2162</v>
      </c>
      <c r="G18" s="52">
        <f t="shared" si="0"/>
        <v>8</v>
      </c>
      <c r="H18" s="537">
        <v>37457</v>
      </c>
      <c r="I18" s="380">
        <f t="shared" si="1"/>
        <v>570</v>
      </c>
      <c r="J18" s="66">
        <f t="shared" si="13"/>
        <v>71.25</v>
      </c>
      <c r="K18" s="537">
        <f t="shared" si="14"/>
        <v>2390</v>
      </c>
      <c r="L18" s="52">
        <f t="shared" si="15"/>
        <v>0</v>
      </c>
      <c r="M18" s="537">
        <f t="shared" si="16"/>
        <v>176670</v>
      </c>
      <c r="N18" s="380">
        <f t="shared" si="2"/>
        <v>0</v>
      </c>
      <c r="O18" s="64">
        <v>1869</v>
      </c>
      <c r="P18" s="537">
        <f t="shared" ref="P18:P35" si="45">P17</f>
        <v>2180</v>
      </c>
      <c r="Q18" s="537">
        <f t="shared" ref="Q18:Q35" si="46">Q17</f>
        <v>182533</v>
      </c>
      <c r="R18" s="379">
        <f t="shared" si="44"/>
        <v>0</v>
      </c>
      <c r="S18" s="52">
        <f t="shared" si="5"/>
        <v>0</v>
      </c>
      <c r="T18" s="67">
        <f t="shared" si="33"/>
        <v>0</v>
      </c>
      <c r="U18" s="386">
        <f t="shared" si="17"/>
        <v>8</v>
      </c>
      <c r="V18" s="62">
        <f t="shared" si="18"/>
        <v>570</v>
      </c>
      <c r="W18" s="384"/>
      <c r="X18" s="537">
        <f t="shared" si="20"/>
        <v>2471</v>
      </c>
      <c r="Y18" s="52">
        <f t="shared" si="21"/>
        <v>0</v>
      </c>
      <c r="Z18" s="537">
        <f t="shared" si="22"/>
        <v>1392127</v>
      </c>
      <c r="AA18" s="65">
        <f t="shared" si="6"/>
        <v>0</v>
      </c>
      <c r="AB18" s="273">
        <f t="shared" ref="AB18:AB23" si="47">SUM(Y18*$AB$2)</f>
        <v>0</v>
      </c>
      <c r="AC18" s="537">
        <f t="shared" si="23"/>
        <v>1943</v>
      </c>
      <c r="AD18" s="45">
        <f t="shared" si="7"/>
        <v>0</v>
      </c>
      <c r="AE18" s="537">
        <f t="shared" si="24"/>
        <v>366210</v>
      </c>
      <c r="AF18" s="293">
        <f t="shared" si="25"/>
        <v>0</v>
      </c>
      <c r="AG18" s="209">
        <f t="shared" si="35"/>
        <v>0</v>
      </c>
      <c r="AH18" s="62">
        <f t="shared" si="36"/>
        <v>0</v>
      </c>
      <c r="AI18" s="303">
        <f t="shared" si="26"/>
        <v>570</v>
      </c>
      <c r="AJ18" s="303">
        <f>-tanks!AW19</f>
        <v>570</v>
      </c>
      <c r="AK18" s="303">
        <f t="shared" si="27"/>
        <v>0</v>
      </c>
      <c r="AL18" s="303">
        <f t="shared" si="8"/>
        <v>8</v>
      </c>
      <c r="AM18" s="303">
        <f t="shared" si="28"/>
        <v>0</v>
      </c>
      <c r="AN18" s="537">
        <f t="shared" si="9"/>
        <v>65</v>
      </c>
      <c r="AO18" s="305">
        <f t="shared" si="29"/>
        <v>1950</v>
      </c>
      <c r="AP18" s="537">
        <f t="shared" si="10"/>
        <v>55</v>
      </c>
      <c r="AQ18" s="305">
        <f t="shared" si="30"/>
        <v>1650.0000000000002</v>
      </c>
      <c r="AR18" s="537">
        <f t="shared" si="11"/>
        <v>61</v>
      </c>
      <c r="AS18" s="305">
        <f t="shared" si="37"/>
        <v>1830</v>
      </c>
      <c r="AT18" s="305">
        <f t="shared" si="38"/>
        <v>5430</v>
      </c>
      <c r="AU18" s="305">
        <f t="shared" si="39"/>
        <v>0</v>
      </c>
      <c r="AV18" s="259"/>
      <c r="AW18" s="259"/>
      <c r="AX18" s="298">
        <f t="shared" si="31"/>
        <v>0.8</v>
      </c>
    </row>
    <row r="19" spans="1:50">
      <c r="A19" s="63">
        <f>ELEC!C18</f>
        <v>44635</v>
      </c>
      <c r="B19" s="537">
        <v>209</v>
      </c>
      <c r="C19" s="537">
        <v>217</v>
      </c>
      <c r="D19" s="45">
        <f t="shared" si="32"/>
        <v>9</v>
      </c>
      <c r="E19" s="45">
        <f t="shared" si="12"/>
        <v>75.42</v>
      </c>
      <c r="F19" s="537">
        <v>2168</v>
      </c>
      <c r="G19" s="52">
        <f t="shared" si="0"/>
        <v>6</v>
      </c>
      <c r="H19" s="537">
        <v>37972</v>
      </c>
      <c r="I19" s="380">
        <f t="shared" si="1"/>
        <v>515</v>
      </c>
      <c r="J19" s="66">
        <f t="shared" si="13"/>
        <v>85.833333333333329</v>
      </c>
      <c r="K19" s="537">
        <f t="shared" si="14"/>
        <v>2390</v>
      </c>
      <c r="L19" s="52">
        <f t="shared" si="15"/>
        <v>0</v>
      </c>
      <c r="M19" s="537">
        <f t="shared" si="16"/>
        <v>176670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2180</v>
      </c>
      <c r="Q19" s="537">
        <f t="shared" si="46"/>
        <v>182533</v>
      </c>
      <c r="R19" s="379">
        <f t="shared" si="44"/>
        <v>0</v>
      </c>
      <c r="S19" s="52">
        <f t="shared" si="5"/>
        <v>0</v>
      </c>
      <c r="T19" s="67">
        <f t="shared" si="33"/>
        <v>0</v>
      </c>
      <c r="U19" s="386">
        <f t="shared" si="17"/>
        <v>6</v>
      </c>
      <c r="V19" s="62">
        <f t="shared" si="18"/>
        <v>515</v>
      </c>
      <c r="W19" s="384"/>
      <c r="X19" s="537">
        <f t="shared" si="20"/>
        <v>2471</v>
      </c>
      <c r="Y19" s="52">
        <f t="shared" si="21"/>
        <v>0</v>
      </c>
      <c r="Z19" s="537">
        <f t="shared" si="22"/>
        <v>1392127</v>
      </c>
      <c r="AA19" s="65">
        <f t="shared" si="6"/>
        <v>0</v>
      </c>
      <c r="AB19" s="273">
        <f t="shared" si="47"/>
        <v>0</v>
      </c>
      <c r="AC19" s="537">
        <f t="shared" si="23"/>
        <v>1943</v>
      </c>
      <c r="AD19" s="45">
        <f t="shared" si="7"/>
        <v>0</v>
      </c>
      <c r="AE19" s="537">
        <f t="shared" si="24"/>
        <v>366210</v>
      </c>
      <c r="AF19" s="293">
        <f t="shared" si="25"/>
        <v>0</v>
      </c>
      <c r="AG19" s="209">
        <f t="shared" si="35"/>
        <v>0</v>
      </c>
      <c r="AH19" s="62">
        <f t="shared" si="36"/>
        <v>0</v>
      </c>
      <c r="AI19" s="303">
        <f t="shared" si="26"/>
        <v>515</v>
      </c>
      <c r="AJ19" s="303">
        <f>-tanks!AW20</f>
        <v>515</v>
      </c>
      <c r="AK19" s="303">
        <f t="shared" si="27"/>
        <v>0</v>
      </c>
      <c r="AL19" s="303">
        <f t="shared" si="8"/>
        <v>6</v>
      </c>
      <c r="AM19" s="303">
        <f t="shared" si="28"/>
        <v>0</v>
      </c>
      <c r="AN19" s="537">
        <f t="shared" si="9"/>
        <v>65</v>
      </c>
      <c r="AO19" s="305">
        <f t="shared" si="29"/>
        <v>1950</v>
      </c>
      <c r="AP19" s="537">
        <f t="shared" si="10"/>
        <v>55</v>
      </c>
      <c r="AQ19" s="305">
        <f t="shared" si="30"/>
        <v>1650.0000000000002</v>
      </c>
      <c r="AR19" s="537">
        <f t="shared" si="11"/>
        <v>61</v>
      </c>
      <c r="AS19" s="305">
        <f t="shared" si="37"/>
        <v>1830</v>
      </c>
      <c r="AT19" s="305">
        <f t="shared" si="38"/>
        <v>5430</v>
      </c>
      <c r="AU19" s="305">
        <f t="shared" si="39"/>
        <v>0</v>
      </c>
      <c r="AV19" s="259"/>
      <c r="AW19" s="259"/>
      <c r="AX19" s="298">
        <f t="shared" si="31"/>
        <v>0.8</v>
      </c>
    </row>
    <row r="20" spans="1:50">
      <c r="A20" s="63">
        <f>ELEC!C19</f>
        <v>44636</v>
      </c>
      <c r="B20" s="537">
        <v>217</v>
      </c>
      <c r="C20" s="537">
        <v>224</v>
      </c>
      <c r="D20" s="45">
        <f>C19-C20</f>
        <v>-7</v>
      </c>
      <c r="E20" s="45">
        <f t="shared" si="12"/>
        <v>-58.660000000000004</v>
      </c>
      <c r="F20" s="537">
        <v>2176</v>
      </c>
      <c r="G20" s="52">
        <f t="shared" si="0"/>
        <v>8</v>
      </c>
      <c r="H20" s="537">
        <v>38561</v>
      </c>
      <c r="I20" s="380">
        <f t="shared" si="1"/>
        <v>589</v>
      </c>
      <c r="J20" s="66">
        <f t="shared" si="13"/>
        <v>73.625</v>
      </c>
      <c r="K20" s="537">
        <f t="shared" si="14"/>
        <v>2390</v>
      </c>
      <c r="L20" s="52">
        <f t="shared" si="15"/>
        <v>0</v>
      </c>
      <c r="M20" s="537">
        <f t="shared" si="16"/>
        <v>176670</v>
      </c>
      <c r="N20" s="380">
        <f t="shared" si="2"/>
        <v>0</v>
      </c>
      <c r="O20" s="64">
        <f t="shared" si="48"/>
        <v>1869</v>
      </c>
      <c r="P20" s="537">
        <f t="shared" si="45"/>
        <v>2180</v>
      </c>
      <c r="Q20" s="537">
        <f t="shared" si="46"/>
        <v>182533</v>
      </c>
      <c r="R20" s="379">
        <f t="shared" si="44"/>
        <v>0</v>
      </c>
      <c r="S20" s="52">
        <f t="shared" si="5"/>
        <v>0</v>
      </c>
      <c r="T20" s="67">
        <f t="shared" si="33"/>
        <v>0</v>
      </c>
      <c r="U20" s="386">
        <f t="shared" si="17"/>
        <v>8</v>
      </c>
      <c r="V20" s="62">
        <f t="shared" si="18"/>
        <v>589</v>
      </c>
      <c r="W20" s="384"/>
      <c r="X20" s="537">
        <f t="shared" si="20"/>
        <v>2471</v>
      </c>
      <c r="Y20" s="52">
        <f t="shared" si="21"/>
        <v>0</v>
      </c>
      <c r="Z20" s="537">
        <v>1392155</v>
      </c>
      <c r="AA20" s="65">
        <f t="shared" si="6"/>
        <v>28</v>
      </c>
      <c r="AB20" s="273">
        <f t="shared" si="47"/>
        <v>0</v>
      </c>
      <c r="AC20" s="537">
        <f t="shared" si="23"/>
        <v>1943</v>
      </c>
      <c r="AD20" s="45">
        <f t="shared" si="7"/>
        <v>0</v>
      </c>
      <c r="AE20" s="537">
        <v>366246</v>
      </c>
      <c r="AF20" s="293">
        <f t="shared" si="25"/>
        <v>36</v>
      </c>
      <c r="AG20" s="209">
        <f t="shared" si="35"/>
        <v>0</v>
      </c>
      <c r="AH20" s="62">
        <f t="shared" si="36"/>
        <v>64</v>
      </c>
      <c r="AI20" s="303">
        <f t="shared" si="26"/>
        <v>653</v>
      </c>
      <c r="AJ20" s="303">
        <f>-tanks!AW21</f>
        <v>653</v>
      </c>
      <c r="AK20" s="303">
        <f t="shared" si="27"/>
        <v>0</v>
      </c>
      <c r="AL20" s="303">
        <f t="shared" si="8"/>
        <v>8</v>
      </c>
      <c r="AM20" s="303">
        <f t="shared" si="28"/>
        <v>0</v>
      </c>
      <c r="AN20" s="537">
        <f t="shared" si="9"/>
        <v>65</v>
      </c>
      <c r="AO20" s="305">
        <f t="shared" si="29"/>
        <v>1950</v>
      </c>
      <c r="AP20" s="537">
        <f t="shared" si="10"/>
        <v>55</v>
      </c>
      <c r="AQ20" s="305">
        <f t="shared" si="30"/>
        <v>1650.0000000000002</v>
      </c>
      <c r="AR20" s="537">
        <f t="shared" si="11"/>
        <v>61</v>
      </c>
      <c r="AS20" s="305">
        <f t="shared" si="37"/>
        <v>1830</v>
      </c>
      <c r="AT20" s="305">
        <f t="shared" si="38"/>
        <v>5430</v>
      </c>
      <c r="AU20" s="305">
        <f t="shared" si="39"/>
        <v>0</v>
      </c>
      <c r="AV20" s="259"/>
      <c r="AW20" s="259"/>
      <c r="AX20" s="298">
        <f t="shared" si="31"/>
        <v>0.8</v>
      </c>
    </row>
    <row r="21" spans="1:50">
      <c r="A21" s="63">
        <f>ELEC!C20</f>
        <v>44637</v>
      </c>
      <c r="B21" s="537">
        <v>235</v>
      </c>
      <c r="C21" s="537">
        <v>242</v>
      </c>
      <c r="D21" s="45">
        <f t="shared" ref="D21:D32" si="49">C20-C21</f>
        <v>-18</v>
      </c>
      <c r="E21" s="45">
        <f t="shared" si="12"/>
        <v>-150.84</v>
      </c>
      <c r="F21" s="537">
        <v>2182</v>
      </c>
      <c r="G21" s="52">
        <f t="shared" si="0"/>
        <v>6</v>
      </c>
      <c r="H21" s="537">
        <v>38975</v>
      </c>
      <c r="I21" s="380">
        <f t="shared" si="1"/>
        <v>414</v>
      </c>
      <c r="J21" s="66">
        <f t="shared" si="13"/>
        <v>69</v>
      </c>
      <c r="K21" s="537">
        <f t="shared" si="14"/>
        <v>2390</v>
      </c>
      <c r="L21" s="52">
        <f t="shared" si="15"/>
        <v>0</v>
      </c>
      <c r="M21" s="537">
        <f t="shared" si="16"/>
        <v>176670</v>
      </c>
      <c r="N21" s="380">
        <f t="shared" si="2"/>
        <v>0</v>
      </c>
      <c r="O21" s="64">
        <f t="shared" si="48"/>
        <v>1869</v>
      </c>
      <c r="P21" s="537">
        <f t="shared" si="45"/>
        <v>2180</v>
      </c>
      <c r="Q21" s="537">
        <f t="shared" si="46"/>
        <v>182533</v>
      </c>
      <c r="R21" s="379">
        <f t="shared" si="44"/>
        <v>0</v>
      </c>
      <c r="S21" s="52">
        <f t="shared" si="5"/>
        <v>0</v>
      </c>
      <c r="T21" s="67">
        <f t="shared" si="33"/>
        <v>0</v>
      </c>
      <c r="U21" s="386">
        <f t="shared" si="17"/>
        <v>6</v>
      </c>
      <c r="V21" s="62">
        <f t="shared" si="18"/>
        <v>414</v>
      </c>
      <c r="W21" s="384"/>
      <c r="X21" s="537">
        <f t="shared" si="20"/>
        <v>2471</v>
      </c>
      <c r="Y21" s="52">
        <f t="shared" si="21"/>
        <v>0</v>
      </c>
      <c r="Z21" s="537">
        <f t="shared" si="22"/>
        <v>1392155</v>
      </c>
      <c r="AA21" s="65">
        <f t="shared" si="6"/>
        <v>0</v>
      </c>
      <c r="AB21" s="273">
        <f t="shared" si="47"/>
        <v>0</v>
      </c>
      <c r="AC21" s="537">
        <f t="shared" si="23"/>
        <v>1943</v>
      </c>
      <c r="AD21" s="45">
        <f t="shared" si="7"/>
        <v>0</v>
      </c>
      <c r="AE21" s="537">
        <f t="shared" si="24"/>
        <v>366246</v>
      </c>
      <c r="AF21" s="293">
        <f t="shared" si="25"/>
        <v>0</v>
      </c>
      <c r="AG21" s="209">
        <f t="shared" si="35"/>
        <v>0</v>
      </c>
      <c r="AH21" s="62">
        <f t="shared" si="36"/>
        <v>0</v>
      </c>
      <c r="AI21" s="303">
        <f t="shared" si="26"/>
        <v>414</v>
      </c>
      <c r="AJ21" s="303">
        <f>-tanks!AW22</f>
        <v>414</v>
      </c>
      <c r="AK21" s="303">
        <f t="shared" si="27"/>
        <v>0</v>
      </c>
      <c r="AL21" s="303">
        <f t="shared" si="8"/>
        <v>6</v>
      </c>
      <c r="AM21" s="303">
        <f t="shared" si="28"/>
        <v>0</v>
      </c>
      <c r="AN21" s="537">
        <f t="shared" si="9"/>
        <v>65</v>
      </c>
      <c r="AO21" s="305">
        <f t="shared" si="29"/>
        <v>1950</v>
      </c>
      <c r="AP21" s="537">
        <f t="shared" si="10"/>
        <v>55</v>
      </c>
      <c r="AQ21" s="305">
        <f t="shared" si="30"/>
        <v>1650.0000000000002</v>
      </c>
      <c r="AR21" s="537">
        <f t="shared" si="11"/>
        <v>61</v>
      </c>
      <c r="AS21" s="305">
        <f t="shared" si="37"/>
        <v>1830</v>
      </c>
      <c r="AT21" s="305">
        <f t="shared" si="38"/>
        <v>5430</v>
      </c>
      <c r="AU21" s="305">
        <f t="shared" si="39"/>
        <v>0</v>
      </c>
      <c r="AV21" s="259"/>
      <c r="AW21" s="259"/>
      <c r="AX21" s="298">
        <f t="shared" si="31"/>
        <v>0.8</v>
      </c>
    </row>
    <row r="22" spans="1:50" ht="16.5" customHeight="1">
      <c r="A22" s="63">
        <f>ELEC!C21</f>
        <v>44638</v>
      </c>
      <c r="B22" s="537">
        <f t="shared" si="40"/>
        <v>235</v>
      </c>
      <c r="C22" s="537">
        <f t="shared" si="41"/>
        <v>242</v>
      </c>
      <c r="D22" s="45">
        <f t="shared" si="49"/>
        <v>0</v>
      </c>
      <c r="E22" s="45">
        <f t="shared" si="12"/>
        <v>0</v>
      </c>
      <c r="F22" s="537">
        <f t="shared" si="42"/>
        <v>2182</v>
      </c>
      <c r="G22" s="52">
        <f t="shared" si="0"/>
        <v>0</v>
      </c>
      <c r="H22" s="537">
        <f t="shared" si="43"/>
        <v>38975</v>
      </c>
      <c r="I22" s="380">
        <f t="shared" si="1"/>
        <v>0</v>
      </c>
      <c r="J22" s="66">
        <f t="shared" si="13"/>
        <v>0</v>
      </c>
      <c r="K22" s="537">
        <f t="shared" si="14"/>
        <v>2390</v>
      </c>
      <c r="L22" s="52">
        <f t="shared" si="15"/>
        <v>0</v>
      </c>
      <c r="M22" s="537">
        <f t="shared" si="16"/>
        <v>176670</v>
      </c>
      <c r="N22" s="380">
        <f t="shared" si="2"/>
        <v>0</v>
      </c>
      <c r="O22" s="64">
        <f t="shared" si="48"/>
        <v>1869</v>
      </c>
      <c r="P22" s="537">
        <f t="shared" si="45"/>
        <v>2180</v>
      </c>
      <c r="Q22" s="537">
        <f t="shared" si="46"/>
        <v>182533</v>
      </c>
      <c r="R22" s="379">
        <f t="shared" si="44"/>
        <v>0</v>
      </c>
      <c r="S22" s="52">
        <f t="shared" si="5"/>
        <v>0</v>
      </c>
      <c r="T22" s="67">
        <f t="shared" si="33"/>
        <v>0</v>
      </c>
      <c r="U22" s="386">
        <f t="shared" si="17"/>
        <v>0</v>
      </c>
      <c r="V22" s="62">
        <f t="shared" si="18"/>
        <v>0</v>
      </c>
      <c r="W22" s="384"/>
      <c r="X22" s="537">
        <f t="shared" si="20"/>
        <v>2471</v>
      </c>
      <c r="Y22" s="52">
        <f t="shared" si="21"/>
        <v>0</v>
      </c>
      <c r="Z22" s="537">
        <f t="shared" si="22"/>
        <v>1392155</v>
      </c>
      <c r="AA22" s="65">
        <f t="shared" si="6"/>
        <v>0</v>
      </c>
      <c r="AB22" s="273">
        <f t="shared" si="47"/>
        <v>0</v>
      </c>
      <c r="AC22" s="537">
        <f t="shared" si="23"/>
        <v>1943</v>
      </c>
      <c r="AD22" s="45">
        <f t="shared" si="7"/>
        <v>0</v>
      </c>
      <c r="AE22" s="537">
        <f t="shared" si="24"/>
        <v>366246</v>
      </c>
      <c r="AF22" s="293">
        <f t="shared" si="25"/>
        <v>0</v>
      </c>
      <c r="AG22" s="209">
        <f t="shared" si="35"/>
        <v>0</v>
      </c>
      <c r="AH22" s="62">
        <f t="shared" si="36"/>
        <v>0</v>
      </c>
      <c r="AI22" s="303">
        <f t="shared" si="26"/>
        <v>0</v>
      </c>
      <c r="AJ22" s="303">
        <f>-tanks!AW23</f>
        <v>0</v>
      </c>
      <c r="AK22" s="303">
        <f t="shared" si="27"/>
        <v>0</v>
      </c>
      <c r="AL22" s="303">
        <f t="shared" si="8"/>
        <v>0</v>
      </c>
      <c r="AM22" s="303">
        <f t="shared" si="28"/>
        <v>0</v>
      </c>
      <c r="AN22" s="537">
        <f t="shared" si="9"/>
        <v>65</v>
      </c>
      <c r="AO22" s="305">
        <f t="shared" si="29"/>
        <v>1950</v>
      </c>
      <c r="AP22" s="537">
        <f t="shared" si="10"/>
        <v>55</v>
      </c>
      <c r="AQ22" s="305">
        <f t="shared" si="30"/>
        <v>1650.0000000000002</v>
      </c>
      <c r="AR22" s="537">
        <f t="shared" si="11"/>
        <v>61</v>
      </c>
      <c r="AS22" s="305">
        <f t="shared" si="37"/>
        <v>1830</v>
      </c>
      <c r="AT22" s="305">
        <f t="shared" si="38"/>
        <v>5430</v>
      </c>
      <c r="AU22" s="305">
        <f t="shared" si="39"/>
        <v>0</v>
      </c>
      <c r="AV22" s="259"/>
      <c r="AW22" s="259"/>
      <c r="AX22" s="298">
        <f t="shared" si="31"/>
        <v>0.8</v>
      </c>
    </row>
    <row r="23" spans="1:50">
      <c r="A23" s="63">
        <f>ELEC!C22</f>
        <v>44639</v>
      </c>
      <c r="B23" s="537">
        <f t="shared" si="40"/>
        <v>235</v>
      </c>
      <c r="C23" s="537">
        <f t="shared" si="41"/>
        <v>242</v>
      </c>
      <c r="D23" s="45">
        <f t="shared" si="49"/>
        <v>0</v>
      </c>
      <c r="E23" s="45">
        <f t="shared" si="12"/>
        <v>0</v>
      </c>
      <c r="F23" s="537">
        <f t="shared" si="42"/>
        <v>2182</v>
      </c>
      <c r="G23" s="52">
        <f t="shared" si="0"/>
        <v>0</v>
      </c>
      <c r="H23" s="537">
        <f t="shared" si="43"/>
        <v>38975</v>
      </c>
      <c r="I23" s="380">
        <f t="shared" si="1"/>
        <v>0</v>
      </c>
      <c r="J23" s="66">
        <f t="shared" si="13"/>
        <v>0</v>
      </c>
      <c r="K23" s="537">
        <f t="shared" si="14"/>
        <v>2390</v>
      </c>
      <c r="L23" s="52">
        <f t="shared" si="15"/>
        <v>0</v>
      </c>
      <c r="M23" s="537">
        <f t="shared" si="16"/>
        <v>176670</v>
      </c>
      <c r="N23" s="380">
        <f t="shared" si="2"/>
        <v>0</v>
      </c>
      <c r="O23" s="64">
        <f t="shared" si="48"/>
        <v>1869</v>
      </c>
      <c r="P23" s="537">
        <f t="shared" si="45"/>
        <v>2180</v>
      </c>
      <c r="Q23" s="537">
        <f t="shared" si="46"/>
        <v>182533</v>
      </c>
      <c r="R23" s="379">
        <f t="shared" si="44"/>
        <v>0</v>
      </c>
      <c r="S23" s="52">
        <f t="shared" si="5"/>
        <v>0</v>
      </c>
      <c r="T23" s="67">
        <f t="shared" si="33"/>
        <v>0</v>
      </c>
      <c r="U23" s="386">
        <f t="shared" si="17"/>
        <v>0</v>
      </c>
      <c r="V23" s="62">
        <f t="shared" si="18"/>
        <v>0</v>
      </c>
      <c r="W23" s="384"/>
      <c r="X23" s="537">
        <f t="shared" si="20"/>
        <v>2471</v>
      </c>
      <c r="Y23" s="52">
        <f t="shared" si="21"/>
        <v>0</v>
      </c>
      <c r="Z23" s="537">
        <f t="shared" si="22"/>
        <v>1392155</v>
      </c>
      <c r="AA23" s="65">
        <f t="shared" si="6"/>
        <v>0</v>
      </c>
      <c r="AB23" s="273">
        <f t="shared" si="47"/>
        <v>0</v>
      </c>
      <c r="AC23" s="537">
        <f t="shared" si="23"/>
        <v>1943</v>
      </c>
      <c r="AD23" s="45">
        <f t="shared" si="7"/>
        <v>0</v>
      </c>
      <c r="AE23" s="537">
        <f t="shared" si="24"/>
        <v>366246</v>
      </c>
      <c r="AF23" s="293">
        <f t="shared" si="25"/>
        <v>0</v>
      </c>
      <c r="AG23" s="209">
        <f t="shared" si="35"/>
        <v>0</v>
      </c>
      <c r="AH23" s="62">
        <f t="shared" si="36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29"/>
        <v>1950</v>
      </c>
      <c r="AP23" s="537">
        <f t="shared" si="10"/>
        <v>55</v>
      </c>
      <c r="AQ23" s="305">
        <f t="shared" si="30"/>
        <v>1650.0000000000002</v>
      </c>
      <c r="AR23" s="537">
        <f t="shared" si="11"/>
        <v>61</v>
      </c>
      <c r="AS23" s="305">
        <f t="shared" si="37"/>
        <v>1830</v>
      </c>
      <c r="AT23" s="305">
        <f t="shared" si="38"/>
        <v>5430</v>
      </c>
      <c r="AU23" s="305">
        <f t="shared" si="39"/>
        <v>0</v>
      </c>
      <c r="AV23" s="259"/>
      <c r="AW23" s="259"/>
      <c r="AX23" s="298">
        <f t="shared" si="31"/>
        <v>0.8</v>
      </c>
    </row>
    <row r="24" spans="1:50">
      <c r="A24" s="63">
        <f>ELEC!C23</f>
        <v>44640</v>
      </c>
      <c r="B24" s="537">
        <v>239</v>
      </c>
      <c r="C24" s="537">
        <v>246</v>
      </c>
      <c r="D24" s="45">
        <f t="shared" si="49"/>
        <v>-4</v>
      </c>
      <c r="E24" s="45">
        <f t="shared" si="12"/>
        <v>-33.520000000000003</v>
      </c>
      <c r="F24" s="537">
        <v>2188</v>
      </c>
      <c r="G24" s="52">
        <f t="shared" si="0"/>
        <v>6</v>
      </c>
      <c r="H24" s="537">
        <v>39401</v>
      </c>
      <c r="I24" s="380">
        <f t="shared" si="1"/>
        <v>426</v>
      </c>
      <c r="J24" s="66">
        <f t="shared" si="13"/>
        <v>71</v>
      </c>
      <c r="K24" s="537">
        <f t="shared" si="14"/>
        <v>2390</v>
      </c>
      <c r="L24" s="52">
        <f t="shared" si="15"/>
        <v>0</v>
      </c>
      <c r="M24" s="537">
        <f t="shared" si="16"/>
        <v>176670</v>
      </c>
      <c r="N24" s="380">
        <f t="shared" si="2"/>
        <v>0</v>
      </c>
      <c r="O24" s="64">
        <f t="shared" si="48"/>
        <v>1869</v>
      </c>
      <c r="P24" s="537">
        <f t="shared" si="45"/>
        <v>2180</v>
      </c>
      <c r="Q24" s="537">
        <f t="shared" si="46"/>
        <v>182533</v>
      </c>
      <c r="R24" s="379">
        <f t="shared" si="44"/>
        <v>0</v>
      </c>
      <c r="S24" s="52">
        <f t="shared" si="5"/>
        <v>0</v>
      </c>
      <c r="T24" s="67">
        <f t="shared" si="33"/>
        <v>0</v>
      </c>
      <c r="U24" s="386">
        <f t="shared" si="17"/>
        <v>6</v>
      </c>
      <c r="V24" s="62">
        <f t="shared" si="18"/>
        <v>426</v>
      </c>
      <c r="W24" s="384"/>
      <c r="X24" s="537">
        <f t="shared" si="20"/>
        <v>2471</v>
      </c>
      <c r="Y24" s="52">
        <f t="shared" si="21"/>
        <v>0</v>
      </c>
      <c r="Z24" s="537">
        <f t="shared" si="22"/>
        <v>1392155</v>
      </c>
      <c r="AA24" s="65">
        <f t="shared" si="6"/>
        <v>0</v>
      </c>
      <c r="AB24" s="273">
        <f t="shared" ref="AB24:AB32" si="50">SUM(Y24*$AB$2)</f>
        <v>0</v>
      </c>
      <c r="AC24" s="537">
        <f t="shared" si="23"/>
        <v>1943</v>
      </c>
      <c r="AD24" s="45">
        <f t="shared" si="7"/>
        <v>0</v>
      </c>
      <c r="AE24" s="537">
        <f t="shared" si="24"/>
        <v>366246</v>
      </c>
      <c r="AF24" s="293">
        <f t="shared" si="25"/>
        <v>0</v>
      </c>
      <c r="AG24" s="209">
        <f t="shared" si="35"/>
        <v>0</v>
      </c>
      <c r="AH24" s="62">
        <f t="shared" si="36"/>
        <v>0</v>
      </c>
      <c r="AI24" s="303">
        <f t="shared" si="26"/>
        <v>426</v>
      </c>
      <c r="AJ24" s="303">
        <f>-tanks!AW25</f>
        <v>426</v>
      </c>
      <c r="AK24" s="303">
        <f t="shared" si="27"/>
        <v>0</v>
      </c>
      <c r="AL24" s="303">
        <f t="shared" si="8"/>
        <v>6</v>
      </c>
      <c r="AM24" s="303">
        <f t="shared" si="28"/>
        <v>0</v>
      </c>
      <c r="AN24" s="537">
        <f t="shared" si="9"/>
        <v>65</v>
      </c>
      <c r="AO24" s="305">
        <f t="shared" si="29"/>
        <v>1950</v>
      </c>
      <c r="AP24" s="537">
        <f t="shared" si="10"/>
        <v>55</v>
      </c>
      <c r="AQ24" s="305">
        <f t="shared" si="30"/>
        <v>1650.0000000000002</v>
      </c>
      <c r="AR24" s="537">
        <f t="shared" si="11"/>
        <v>61</v>
      </c>
      <c r="AS24" s="305">
        <f t="shared" si="37"/>
        <v>1830</v>
      </c>
      <c r="AT24" s="305">
        <f t="shared" ref="AT24:AT32" si="51">SUM(AO24+AQ24+AS24)</f>
        <v>5430</v>
      </c>
      <c r="AU24" s="305">
        <f t="shared" si="39"/>
        <v>0</v>
      </c>
      <c r="AV24" s="259"/>
      <c r="AW24" s="259"/>
      <c r="AX24" s="298">
        <f t="shared" si="31"/>
        <v>0.8</v>
      </c>
    </row>
    <row r="25" spans="1:50" ht="13.5" customHeight="1">
      <c r="A25" s="63">
        <f>ELEC!C24</f>
        <v>44641</v>
      </c>
      <c r="B25" s="537">
        <v>231</v>
      </c>
      <c r="C25" s="537">
        <v>238</v>
      </c>
      <c r="D25" s="45">
        <f t="shared" si="49"/>
        <v>8</v>
      </c>
      <c r="E25" s="45">
        <f t="shared" si="12"/>
        <v>67.040000000000006</v>
      </c>
      <c r="F25" s="537">
        <v>2193</v>
      </c>
      <c r="G25" s="52">
        <f t="shared" si="0"/>
        <v>5</v>
      </c>
      <c r="H25" s="537">
        <v>39787</v>
      </c>
      <c r="I25" s="380">
        <f t="shared" si="1"/>
        <v>386</v>
      </c>
      <c r="J25" s="66">
        <f t="shared" si="13"/>
        <v>77.2</v>
      </c>
      <c r="K25" s="537">
        <f t="shared" si="14"/>
        <v>2390</v>
      </c>
      <c r="L25" s="52">
        <f t="shared" si="15"/>
        <v>0</v>
      </c>
      <c r="M25" s="537">
        <f t="shared" si="16"/>
        <v>176670</v>
      </c>
      <c r="N25" s="380">
        <f t="shared" si="2"/>
        <v>0</v>
      </c>
      <c r="O25" s="64">
        <f t="shared" si="48"/>
        <v>1869</v>
      </c>
      <c r="P25" s="537">
        <f t="shared" si="45"/>
        <v>2180</v>
      </c>
      <c r="Q25" s="537">
        <f t="shared" si="46"/>
        <v>182533</v>
      </c>
      <c r="R25" s="379">
        <f t="shared" si="44"/>
        <v>0</v>
      </c>
      <c r="S25" s="52">
        <f t="shared" si="5"/>
        <v>0</v>
      </c>
      <c r="T25" s="67">
        <f t="shared" si="33"/>
        <v>0</v>
      </c>
      <c r="U25" s="386">
        <f t="shared" si="17"/>
        <v>5</v>
      </c>
      <c r="V25" s="62">
        <f t="shared" si="18"/>
        <v>386</v>
      </c>
      <c r="W25" s="384"/>
      <c r="X25" s="537">
        <f t="shared" si="20"/>
        <v>2471</v>
      </c>
      <c r="Y25" s="52">
        <f t="shared" si="21"/>
        <v>0</v>
      </c>
      <c r="Z25" s="537">
        <f t="shared" si="22"/>
        <v>1392155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1</v>
      </c>
      <c r="AE25" s="537">
        <v>366312</v>
      </c>
      <c r="AF25" s="293">
        <f t="shared" si="25"/>
        <v>66</v>
      </c>
      <c r="AG25" s="209">
        <f t="shared" si="35"/>
        <v>66</v>
      </c>
      <c r="AH25" s="62">
        <f t="shared" si="36"/>
        <v>66</v>
      </c>
      <c r="AI25" s="303">
        <f t="shared" si="26"/>
        <v>452</v>
      </c>
      <c r="AJ25" s="303">
        <f>-tanks!AW26</f>
        <v>452</v>
      </c>
      <c r="AK25" s="303">
        <f t="shared" si="27"/>
        <v>0</v>
      </c>
      <c r="AL25" s="303">
        <f t="shared" si="8"/>
        <v>5</v>
      </c>
      <c r="AM25" s="303">
        <f t="shared" si="28"/>
        <v>1</v>
      </c>
      <c r="AN25" s="537">
        <f t="shared" si="9"/>
        <v>65</v>
      </c>
      <c r="AO25" s="305">
        <f t="shared" si="29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37"/>
        <v>1830</v>
      </c>
      <c r="AT25" s="305">
        <f t="shared" si="51"/>
        <v>5430</v>
      </c>
      <c r="AU25" s="305">
        <f t="shared" si="39"/>
        <v>0</v>
      </c>
      <c r="AV25" s="259"/>
      <c r="AW25" s="259"/>
      <c r="AX25" s="298">
        <f t="shared" si="31"/>
        <v>0.8</v>
      </c>
    </row>
    <row r="26" spans="1:50" ht="14.25" customHeight="1">
      <c r="A26" s="63">
        <f>ELEC!C25</f>
        <v>44642</v>
      </c>
      <c r="B26" s="537">
        <v>225</v>
      </c>
      <c r="C26" s="537">
        <v>231</v>
      </c>
      <c r="D26" s="45">
        <f t="shared" si="49"/>
        <v>7</v>
      </c>
      <c r="E26" s="45">
        <f t="shared" si="12"/>
        <v>58.660000000000004</v>
      </c>
      <c r="F26" s="537">
        <v>2197</v>
      </c>
      <c r="G26" s="52">
        <f t="shared" si="0"/>
        <v>4</v>
      </c>
      <c r="H26" s="537">
        <v>40135</v>
      </c>
      <c r="I26" s="380">
        <f t="shared" si="1"/>
        <v>348</v>
      </c>
      <c r="J26" s="66">
        <f t="shared" si="13"/>
        <v>87</v>
      </c>
      <c r="K26" s="537">
        <f t="shared" si="14"/>
        <v>2390</v>
      </c>
      <c r="L26" s="52">
        <f t="shared" si="15"/>
        <v>0</v>
      </c>
      <c r="M26" s="537">
        <f t="shared" si="16"/>
        <v>176670</v>
      </c>
      <c r="N26" s="380">
        <f t="shared" si="2"/>
        <v>0</v>
      </c>
      <c r="O26" s="64">
        <f t="shared" si="48"/>
        <v>1869</v>
      </c>
      <c r="P26" s="537">
        <f t="shared" si="45"/>
        <v>2180</v>
      </c>
      <c r="Q26" s="537">
        <f t="shared" si="46"/>
        <v>182533</v>
      </c>
      <c r="R26" s="379">
        <f t="shared" si="44"/>
        <v>0</v>
      </c>
      <c r="S26" s="52">
        <f t="shared" si="5"/>
        <v>0</v>
      </c>
      <c r="T26" s="67">
        <f t="shared" si="33"/>
        <v>0</v>
      </c>
      <c r="U26" s="386">
        <f t="shared" si="17"/>
        <v>4</v>
      </c>
      <c r="V26" s="62">
        <f t="shared" si="18"/>
        <v>348</v>
      </c>
      <c r="W26" s="384"/>
      <c r="X26" s="537">
        <f t="shared" si="20"/>
        <v>2471</v>
      </c>
      <c r="Y26" s="52">
        <f t="shared" si="21"/>
        <v>0</v>
      </c>
      <c r="Z26" s="537">
        <f t="shared" si="22"/>
        <v>1392155</v>
      </c>
      <c r="AA26" s="65">
        <f t="shared" si="6"/>
        <v>0</v>
      </c>
      <c r="AB26" s="273">
        <f t="shared" si="50"/>
        <v>0</v>
      </c>
      <c r="AC26" s="537">
        <f t="shared" si="23"/>
        <v>1944</v>
      </c>
      <c r="AD26" s="45">
        <f t="shared" si="7"/>
        <v>0</v>
      </c>
      <c r="AE26" s="537">
        <f t="shared" si="24"/>
        <v>366312</v>
      </c>
      <c r="AF26" s="293">
        <f t="shared" si="25"/>
        <v>0</v>
      </c>
      <c r="AG26" s="209">
        <f t="shared" si="35"/>
        <v>0</v>
      </c>
      <c r="AH26" s="62">
        <f t="shared" si="36"/>
        <v>0</v>
      </c>
      <c r="AI26" s="303">
        <f t="shared" si="26"/>
        <v>348</v>
      </c>
      <c r="AJ26" s="303">
        <f>-tanks!AW27</f>
        <v>348</v>
      </c>
      <c r="AK26" s="303">
        <f t="shared" si="27"/>
        <v>0</v>
      </c>
      <c r="AL26" s="303">
        <f t="shared" si="8"/>
        <v>4</v>
      </c>
      <c r="AM26" s="303">
        <f t="shared" si="28"/>
        <v>0</v>
      </c>
      <c r="AN26" s="537">
        <f t="shared" si="9"/>
        <v>65</v>
      </c>
      <c r="AO26" s="305">
        <f t="shared" si="29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37"/>
        <v>1830</v>
      </c>
      <c r="AT26" s="305">
        <f t="shared" si="51"/>
        <v>5430</v>
      </c>
      <c r="AU26" s="305">
        <f t="shared" si="39"/>
        <v>0</v>
      </c>
      <c r="AV26" s="259"/>
      <c r="AW26" s="259"/>
      <c r="AX26" s="298">
        <f t="shared" si="31"/>
        <v>0.8</v>
      </c>
    </row>
    <row r="27" spans="1:50">
      <c r="A27" s="63">
        <f>ELEC!C26</f>
        <v>44643</v>
      </c>
      <c r="B27" s="537">
        <v>235</v>
      </c>
      <c r="C27" s="537">
        <v>243</v>
      </c>
      <c r="D27" s="45">
        <f t="shared" si="49"/>
        <v>-12</v>
      </c>
      <c r="E27" s="45">
        <f t="shared" si="12"/>
        <v>-100.56</v>
      </c>
      <c r="F27" s="537">
        <v>2202</v>
      </c>
      <c r="G27" s="52">
        <f t="shared" si="0"/>
        <v>5</v>
      </c>
      <c r="H27" s="537">
        <v>40475</v>
      </c>
      <c r="I27" s="380">
        <f t="shared" si="1"/>
        <v>340</v>
      </c>
      <c r="J27" s="66">
        <f t="shared" si="13"/>
        <v>68</v>
      </c>
      <c r="K27" s="537">
        <f t="shared" si="14"/>
        <v>2390</v>
      </c>
      <c r="L27" s="52">
        <f t="shared" si="15"/>
        <v>0</v>
      </c>
      <c r="M27" s="537">
        <f t="shared" si="16"/>
        <v>176670</v>
      </c>
      <c r="N27" s="380">
        <f t="shared" si="2"/>
        <v>0</v>
      </c>
      <c r="O27" s="64">
        <f t="shared" si="48"/>
        <v>1869</v>
      </c>
      <c r="P27" s="537">
        <v>2181</v>
      </c>
      <c r="Q27" s="537">
        <v>182571</v>
      </c>
      <c r="R27" s="379">
        <f t="shared" si="44"/>
        <v>38</v>
      </c>
      <c r="S27" s="52">
        <f t="shared" si="5"/>
        <v>1</v>
      </c>
      <c r="T27" s="67">
        <f t="shared" si="33"/>
        <v>0</v>
      </c>
      <c r="U27" s="386">
        <f t="shared" si="17"/>
        <v>6</v>
      </c>
      <c r="V27" s="62">
        <f t="shared" si="18"/>
        <v>378</v>
      </c>
      <c r="W27" s="384"/>
      <c r="X27" s="537">
        <f t="shared" si="20"/>
        <v>2471</v>
      </c>
      <c r="Y27" s="52">
        <f t="shared" si="21"/>
        <v>0</v>
      </c>
      <c r="Z27" s="537">
        <f t="shared" si="22"/>
        <v>1392155</v>
      </c>
      <c r="AA27" s="65">
        <f t="shared" si="6"/>
        <v>0</v>
      </c>
      <c r="AB27" s="273">
        <f t="shared" si="50"/>
        <v>0</v>
      </c>
      <c r="AC27" s="537">
        <f t="shared" si="23"/>
        <v>1944</v>
      </c>
      <c r="AD27" s="45">
        <f t="shared" si="7"/>
        <v>0</v>
      </c>
      <c r="AE27" s="537">
        <f t="shared" si="24"/>
        <v>366312</v>
      </c>
      <c r="AF27" s="293">
        <f t="shared" si="25"/>
        <v>0</v>
      </c>
      <c r="AG27" s="209">
        <f t="shared" si="35"/>
        <v>0</v>
      </c>
      <c r="AH27" s="62">
        <f t="shared" si="36"/>
        <v>0</v>
      </c>
      <c r="AI27" s="303">
        <f t="shared" si="26"/>
        <v>378</v>
      </c>
      <c r="AJ27" s="303">
        <f>-tanks!AW28</f>
        <v>378</v>
      </c>
      <c r="AK27" s="303">
        <f t="shared" si="27"/>
        <v>0</v>
      </c>
      <c r="AL27" s="303">
        <f t="shared" si="8"/>
        <v>6</v>
      </c>
      <c r="AM27" s="303">
        <f t="shared" si="28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37"/>
        <v>1830</v>
      </c>
      <c r="AT27" s="305">
        <f t="shared" si="51"/>
        <v>5430</v>
      </c>
      <c r="AU27" s="305">
        <f t="shared" si="39"/>
        <v>0</v>
      </c>
      <c r="AV27" s="259"/>
      <c r="AW27" s="473"/>
      <c r="AX27" s="298">
        <f t="shared" si="31"/>
        <v>0.8</v>
      </c>
    </row>
    <row r="28" spans="1:50">
      <c r="A28" s="63">
        <f>ELEC!C27</f>
        <v>44644</v>
      </c>
      <c r="B28" s="537">
        <v>229</v>
      </c>
      <c r="C28" s="537">
        <v>236</v>
      </c>
      <c r="D28" s="45">
        <f t="shared" si="49"/>
        <v>7</v>
      </c>
      <c r="E28" s="45">
        <f t="shared" si="12"/>
        <v>58.660000000000004</v>
      </c>
      <c r="F28" s="537">
        <f t="shared" si="42"/>
        <v>2202</v>
      </c>
      <c r="G28" s="52">
        <f t="shared" si="0"/>
        <v>0</v>
      </c>
      <c r="H28" s="537">
        <f t="shared" si="43"/>
        <v>40475</v>
      </c>
      <c r="I28" s="380">
        <f t="shared" si="1"/>
        <v>0</v>
      </c>
      <c r="J28" s="66">
        <f t="shared" si="13"/>
        <v>0</v>
      </c>
      <c r="K28" s="537">
        <f t="shared" si="14"/>
        <v>2390</v>
      </c>
      <c r="L28" s="52">
        <f t="shared" si="15"/>
        <v>0</v>
      </c>
      <c r="M28" s="537">
        <f t="shared" si="16"/>
        <v>176670</v>
      </c>
      <c r="N28" s="380">
        <f t="shared" si="2"/>
        <v>0</v>
      </c>
      <c r="O28" s="64">
        <f t="shared" si="48"/>
        <v>1869</v>
      </c>
      <c r="P28" s="537">
        <v>2185</v>
      </c>
      <c r="Q28" s="537">
        <v>182964</v>
      </c>
      <c r="R28" s="379">
        <f t="shared" si="44"/>
        <v>393</v>
      </c>
      <c r="S28" s="52">
        <f t="shared" si="5"/>
        <v>4</v>
      </c>
      <c r="T28" s="67">
        <f t="shared" si="33"/>
        <v>0</v>
      </c>
      <c r="U28" s="386">
        <f t="shared" si="17"/>
        <v>4</v>
      </c>
      <c r="V28" s="62">
        <f t="shared" si="18"/>
        <v>393</v>
      </c>
      <c r="W28" s="384"/>
      <c r="X28" s="537">
        <f t="shared" si="20"/>
        <v>2471</v>
      </c>
      <c r="Y28" s="52">
        <f t="shared" si="21"/>
        <v>0</v>
      </c>
      <c r="Z28" s="537">
        <f t="shared" si="22"/>
        <v>1392155</v>
      </c>
      <c r="AA28" s="65">
        <f t="shared" si="6"/>
        <v>0</v>
      </c>
      <c r="AB28" s="273">
        <f t="shared" si="50"/>
        <v>0</v>
      </c>
      <c r="AC28" s="537">
        <f t="shared" si="23"/>
        <v>1944</v>
      </c>
      <c r="AD28" s="45">
        <f t="shared" si="7"/>
        <v>0</v>
      </c>
      <c r="AE28" s="537">
        <f t="shared" si="24"/>
        <v>366312</v>
      </c>
      <c r="AF28" s="293">
        <f t="shared" si="25"/>
        <v>0</v>
      </c>
      <c r="AG28" s="209">
        <f t="shared" si="35"/>
        <v>0</v>
      </c>
      <c r="AH28" s="62">
        <f t="shared" si="36"/>
        <v>0</v>
      </c>
      <c r="AI28" s="303">
        <f t="shared" si="26"/>
        <v>393</v>
      </c>
      <c r="AJ28" s="303">
        <f>-tanks!AW29</f>
        <v>393</v>
      </c>
      <c r="AK28" s="303">
        <f t="shared" si="27"/>
        <v>0</v>
      </c>
      <c r="AL28" s="303">
        <f t="shared" si="8"/>
        <v>4</v>
      </c>
      <c r="AM28" s="303">
        <f t="shared" si="28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37"/>
        <v>1830</v>
      </c>
      <c r="AT28" s="305">
        <f t="shared" si="51"/>
        <v>5430</v>
      </c>
      <c r="AU28" s="305">
        <f t="shared" si="39"/>
        <v>0</v>
      </c>
      <c r="AV28" s="259"/>
      <c r="AW28" s="259"/>
      <c r="AX28" s="298">
        <f t="shared" si="31"/>
        <v>0.8</v>
      </c>
    </row>
    <row r="29" spans="1:50">
      <c r="A29" s="63">
        <f>ELEC!C28</f>
        <v>44645</v>
      </c>
      <c r="B29" s="537">
        <f t="shared" si="40"/>
        <v>229</v>
      </c>
      <c r="C29" s="537">
        <f t="shared" si="41"/>
        <v>236</v>
      </c>
      <c r="D29" s="45">
        <f t="shared" si="49"/>
        <v>0</v>
      </c>
      <c r="E29" s="45">
        <f t="shared" si="12"/>
        <v>0</v>
      </c>
      <c r="F29" s="537">
        <f t="shared" si="42"/>
        <v>2202</v>
      </c>
      <c r="G29" s="52">
        <f t="shared" si="0"/>
        <v>0</v>
      </c>
      <c r="H29" s="537">
        <f t="shared" si="43"/>
        <v>40475</v>
      </c>
      <c r="I29" s="380">
        <f t="shared" si="1"/>
        <v>0</v>
      </c>
      <c r="J29" s="66">
        <f t="shared" si="13"/>
        <v>0</v>
      </c>
      <c r="K29" s="537">
        <f t="shared" si="14"/>
        <v>2390</v>
      </c>
      <c r="L29" s="52">
        <f t="shared" si="15"/>
        <v>0</v>
      </c>
      <c r="M29" s="537">
        <f t="shared" si="16"/>
        <v>176670</v>
      </c>
      <c r="N29" s="380">
        <f t="shared" si="2"/>
        <v>0</v>
      </c>
      <c r="O29" s="64">
        <f t="shared" si="48"/>
        <v>1869</v>
      </c>
      <c r="P29" s="537">
        <f t="shared" si="45"/>
        <v>2185</v>
      </c>
      <c r="Q29" s="537">
        <f t="shared" si="46"/>
        <v>182964</v>
      </c>
      <c r="R29" s="379">
        <f t="shared" si="44"/>
        <v>0</v>
      </c>
      <c r="S29" s="52">
        <f t="shared" si="5"/>
        <v>0</v>
      </c>
      <c r="T29" s="67">
        <f t="shared" si="33"/>
        <v>0</v>
      </c>
      <c r="U29" s="386">
        <f t="shared" si="17"/>
        <v>0</v>
      </c>
      <c r="V29" s="62">
        <f t="shared" si="18"/>
        <v>0</v>
      </c>
      <c r="W29" s="384"/>
      <c r="X29" s="537">
        <f t="shared" si="20"/>
        <v>2471</v>
      </c>
      <c r="Y29" s="52">
        <f t="shared" si="21"/>
        <v>0</v>
      </c>
      <c r="Z29" s="537">
        <f t="shared" si="22"/>
        <v>1392155</v>
      </c>
      <c r="AA29" s="65">
        <f t="shared" si="6"/>
        <v>0</v>
      </c>
      <c r="AB29" s="273">
        <f t="shared" si="50"/>
        <v>0</v>
      </c>
      <c r="AC29" s="537">
        <f t="shared" si="23"/>
        <v>1944</v>
      </c>
      <c r="AD29" s="45">
        <f t="shared" si="7"/>
        <v>0</v>
      </c>
      <c r="AE29" s="537">
        <f t="shared" si="24"/>
        <v>366312</v>
      </c>
      <c r="AF29" s="293">
        <f t="shared" si="25"/>
        <v>0</v>
      </c>
      <c r="AG29" s="209">
        <f t="shared" si="35"/>
        <v>0</v>
      </c>
      <c r="AH29" s="62">
        <f t="shared" si="36"/>
        <v>0</v>
      </c>
      <c r="AI29" s="303">
        <f t="shared" si="26"/>
        <v>0</v>
      </c>
      <c r="AJ29" s="303">
        <f>-tanks!AW30</f>
        <v>0</v>
      </c>
      <c r="AK29" s="303">
        <f t="shared" si="27"/>
        <v>0</v>
      </c>
      <c r="AL29" s="303">
        <f t="shared" si="8"/>
        <v>0</v>
      </c>
      <c r="AM29" s="303">
        <f t="shared" si="28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37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1"/>
        <v>0.8</v>
      </c>
    </row>
    <row r="30" spans="1:50">
      <c r="A30" s="63">
        <f>ELEC!C29</f>
        <v>44646</v>
      </c>
      <c r="B30" s="537">
        <f t="shared" si="40"/>
        <v>229</v>
      </c>
      <c r="C30" s="537">
        <f t="shared" si="41"/>
        <v>236</v>
      </c>
      <c r="D30" s="45">
        <f>C29-C30</f>
        <v>0</v>
      </c>
      <c r="E30" s="45">
        <f>D30*8.38</f>
        <v>0</v>
      </c>
      <c r="F30" s="537">
        <f t="shared" si="42"/>
        <v>2202</v>
      </c>
      <c r="G30" s="52">
        <f>F30-F29</f>
        <v>0</v>
      </c>
      <c r="H30" s="537">
        <f t="shared" si="43"/>
        <v>40475</v>
      </c>
      <c r="I30" s="380">
        <f>SUM(H30-H29)</f>
        <v>0</v>
      </c>
      <c r="J30" s="66">
        <f>IF(G30&gt;0,I30/G30,0)</f>
        <v>0</v>
      </c>
      <c r="K30" s="537">
        <f t="shared" si="14"/>
        <v>2390</v>
      </c>
      <c r="L30" s="52">
        <f>K30-K29</f>
        <v>0</v>
      </c>
      <c r="M30" s="537">
        <f t="shared" si="16"/>
        <v>176670</v>
      </c>
      <c r="N30" s="380">
        <f>M30-M29</f>
        <v>0</v>
      </c>
      <c r="O30" s="64">
        <f t="shared" si="48"/>
        <v>1869</v>
      </c>
      <c r="P30" s="537">
        <f t="shared" si="45"/>
        <v>2185</v>
      </c>
      <c r="Q30" s="537">
        <f t="shared" si="46"/>
        <v>182964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8"/>
        <v>0</v>
      </c>
      <c r="W30" s="384"/>
      <c r="X30" s="537">
        <f t="shared" si="20"/>
        <v>2471</v>
      </c>
      <c r="Y30" s="52">
        <f>X30-X29</f>
        <v>0</v>
      </c>
      <c r="Z30" s="537">
        <f t="shared" si="22"/>
        <v>1392155</v>
      </c>
      <c r="AA30" s="65">
        <f>Z30-Z29</f>
        <v>0</v>
      </c>
      <c r="AB30" s="273">
        <f>SUM(Y30*$AB$2)</f>
        <v>0</v>
      </c>
      <c r="AC30" s="537">
        <f t="shared" si="23"/>
        <v>1944</v>
      </c>
      <c r="AD30" s="259">
        <f>AC30-AC29</f>
        <v>0</v>
      </c>
      <c r="AE30" s="537">
        <f t="shared" si="24"/>
        <v>366312</v>
      </c>
      <c r="AF30" s="293">
        <f>AE30-AE29</f>
        <v>0</v>
      </c>
      <c r="AG30" s="209">
        <f t="shared" si="35"/>
        <v>0</v>
      </c>
      <c r="AH30" s="62">
        <f t="shared" si="36"/>
        <v>0</v>
      </c>
      <c r="AI30" s="303">
        <f t="shared" si="26"/>
        <v>0</v>
      </c>
      <c r="AJ30" s="303">
        <f>-tanks!AW31</f>
        <v>0</v>
      </c>
      <c r="AK30" s="303">
        <f t="shared" si="27"/>
        <v>0</v>
      </c>
      <c r="AL30" s="303">
        <f t="shared" si="8"/>
        <v>0</v>
      </c>
      <c r="AM30" s="303">
        <f t="shared" si="28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37"/>
        <v>1830</v>
      </c>
      <c r="AT30" s="305">
        <f t="shared" si="51"/>
        <v>5430</v>
      </c>
      <c r="AU30" s="305">
        <f t="shared" si="39"/>
        <v>0</v>
      </c>
      <c r="AV30" s="259"/>
      <c r="AW30" s="259"/>
      <c r="AX30" s="298">
        <f t="shared" si="31"/>
        <v>0.8</v>
      </c>
    </row>
    <row r="31" spans="1:50">
      <c r="A31" s="63">
        <f>ELEC!C30</f>
        <v>44647</v>
      </c>
      <c r="B31" s="537">
        <v>223</v>
      </c>
      <c r="C31" s="537">
        <v>230</v>
      </c>
      <c r="D31" s="45">
        <f t="shared" si="49"/>
        <v>6</v>
      </c>
      <c r="E31" s="45">
        <f t="shared" si="12"/>
        <v>50.28</v>
      </c>
      <c r="F31" s="537">
        <f t="shared" si="42"/>
        <v>2202</v>
      </c>
      <c r="G31" s="52">
        <f t="shared" si="0"/>
        <v>0</v>
      </c>
      <c r="H31" s="537">
        <f t="shared" si="43"/>
        <v>40475</v>
      </c>
      <c r="I31" s="380">
        <f t="shared" si="1"/>
        <v>0</v>
      </c>
      <c r="J31" s="66">
        <f t="shared" si="13"/>
        <v>0</v>
      </c>
      <c r="K31" s="537">
        <v>2392</v>
      </c>
      <c r="L31" s="52">
        <f t="shared" si="15"/>
        <v>2</v>
      </c>
      <c r="M31" s="537">
        <v>176849</v>
      </c>
      <c r="N31" s="380">
        <f t="shared" si="2"/>
        <v>179</v>
      </c>
      <c r="O31" s="64">
        <f t="shared" si="48"/>
        <v>1869</v>
      </c>
      <c r="P31" s="537">
        <v>2189</v>
      </c>
      <c r="Q31" s="537">
        <v>183235</v>
      </c>
      <c r="R31" s="379">
        <f t="shared" si="44"/>
        <v>271</v>
      </c>
      <c r="S31" s="52">
        <f t="shared" si="5"/>
        <v>4</v>
      </c>
      <c r="T31" s="67">
        <f t="shared" si="33"/>
        <v>0</v>
      </c>
      <c r="U31" s="386">
        <f t="shared" si="17"/>
        <v>6</v>
      </c>
      <c r="V31" s="62">
        <f t="shared" si="18"/>
        <v>450</v>
      </c>
      <c r="W31" s="384"/>
      <c r="X31" s="537">
        <f t="shared" si="20"/>
        <v>2471</v>
      </c>
      <c r="Y31" s="52">
        <f t="shared" si="21"/>
        <v>0</v>
      </c>
      <c r="Z31" s="537">
        <f t="shared" si="22"/>
        <v>1392155</v>
      </c>
      <c r="AA31" s="65">
        <f t="shared" si="6"/>
        <v>0</v>
      </c>
      <c r="AB31" s="273">
        <f t="shared" si="50"/>
        <v>0</v>
      </c>
      <c r="AC31" s="537">
        <f t="shared" si="23"/>
        <v>1944</v>
      </c>
      <c r="AD31" s="259">
        <f t="shared" si="7"/>
        <v>0</v>
      </c>
      <c r="AE31" s="537">
        <f t="shared" si="24"/>
        <v>366312</v>
      </c>
      <c r="AF31" s="293">
        <f t="shared" si="25"/>
        <v>0</v>
      </c>
      <c r="AG31" s="209">
        <f t="shared" si="35"/>
        <v>0</v>
      </c>
      <c r="AH31" s="62">
        <f t="shared" si="36"/>
        <v>0</v>
      </c>
      <c r="AI31" s="303">
        <f t="shared" si="26"/>
        <v>450</v>
      </c>
      <c r="AJ31" s="303">
        <f>-tanks!AW32</f>
        <v>450</v>
      </c>
      <c r="AK31" s="303">
        <f t="shared" si="27"/>
        <v>0</v>
      </c>
      <c r="AL31" s="303">
        <f t="shared" si="8"/>
        <v>6</v>
      </c>
      <c r="AM31" s="303">
        <f t="shared" si="28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37"/>
        <v>1830</v>
      </c>
      <c r="AT31" s="305">
        <f t="shared" si="51"/>
        <v>5430</v>
      </c>
      <c r="AU31" s="305">
        <f t="shared" si="39"/>
        <v>0</v>
      </c>
      <c r="AV31" s="259"/>
      <c r="AW31" s="259"/>
      <c r="AX31" s="298">
        <f t="shared" si="31"/>
        <v>0.8</v>
      </c>
    </row>
    <row r="32" spans="1:50">
      <c r="A32" s="63">
        <f>ELEC!C31</f>
        <v>44648</v>
      </c>
      <c r="B32" s="537">
        <v>216</v>
      </c>
      <c r="C32" s="537">
        <v>223</v>
      </c>
      <c r="D32" s="45">
        <f t="shared" si="49"/>
        <v>7</v>
      </c>
      <c r="E32" s="45">
        <f t="shared" si="12"/>
        <v>58.660000000000004</v>
      </c>
      <c r="F32" s="537">
        <f t="shared" si="42"/>
        <v>2202</v>
      </c>
      <c r="G32" s="52">
        <f t="shared" si="0"/>
        <v>0</v>
      </c>
      <c r="H32" s="537">
        <f t="shared" si="43"/>
        <v>40475</v>
      </c>
      <c r="I32" s="380">
        <f t="shared" si="1"/>
        <v>0</v>
      </c>
      <c r="J32" s="66">
        <f t="shared" si="13"/>
        <v>0</v>
      </c>
      <c r="K32" s="537">
        <v>2396</v>
      </c>
      <c r="L32" s="52">
        <f t="shared" si="15"/>
        <v>4</v>
      </c>
      <c r="M32" s="537">
        <v>177196</v>
      </c>
      <c r="N32" s="380">
        <f t="shared" si="2"/>
        <v>347</v>
      </c>
      <c r="O32" s="64">
        <f t="shared" si="48"/>
        <v>1869</v>
      </c>
      <c r="P32" s="537">
        <f t="shared" si="45"/>
        <v>2189</v>
      </c>
      <c r="Q32" s="537">
        <f t="shared" si="46"/>
        <v>183235</v>
      </c>
      <c r="R32" s="379">
        <f t="shared" si="44"/>
        <v>0</v>
      </c>
      <c r="S32" s="52">
        <f t="shared" si="5"/>
        <v>0</v>
      </c>
      <c r="T32" s="67">
        <f t="shared" si="33"/>
        <v>0</v>
      </c>
      <c r="U32" s="386">
        <f t="shared" si="17"/>
        <v>4</v>
      </c>
      <c r="V32" s="62">
        <f t="shared" si="18"/>
        <v>347</v>
      </c>
      <c r="W32" s="384"/>
      <c r="X32" s="537">
        <f t="shared" si="20"/>
        <v>2471</v>
      </c>
      <c r="Y32" s="52">
        <f t="shared" si="21"/>
        <v>0</v>
      </c>
      <c r="Z32" s="537">
        <f t="shared" si="22"/>
        <v>1392155</v>
      </c>
      <c r="AA32" s="65">
        <f t="shared" si="6"/>
        <v>0</v>
      </c>
      <c r="AB32" s="273">
        <f t="shared" si="50"/>
        <v>0</v>
      </c>
      <c r="AC32" s="537">
        <f t="shared" si="23"/>
        <v>1944</v>
      </c>
      <c r="AD32" s="259">
        <f t="shared" si="7"/>
        <v>0</v>
      </c>
      <c r="AE32" s="537">
        <f t="shared" si="24"/>
        <v>366312</v>
      </c>
      <c r="AF32" s="293">
        <f t="shared" si="25"/>
        <v>0</v>
      </c>
      <c r="AG32" s="209">
        <f t="shared" si="35"/>
        <v>0</v>
      </c>
      <c r="AH32" s="62">
        <f t="shared" si="36"/>
        <v>0</v>
      </c>
      <c r="AI32" s="303">
        <f t="shared" si="26"/>
        <v>347</v>
      </c>
      <c r="AJ32" s="303">
        <f>-tanks!AW33</f>
        <v>347</v>
      </c>
      <c r="AK32" s="303">
        <f t="shared" si="27"/>
        <v>0</v>
      </c>
      <c r="AL32" s="303">
        <f t="shared" si="8"/>
        <v>4</v>
      </c>
      <c r="AM32" s="303">
        <f t="shared" si="28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37"/>
        <v>1830</v>
      </c>
      <c r="AT32" s="305">
        <f t="shared" si="51"/>
        <v>5430</v>
      </c>
      <c r="AU32" s="305">
        <f t="shared" si="39"/>
        <v>0</v>
      </c>
      <c r="AV32" s="259"/>
      <c r="AW32" s="259"/>
      <c r="AX32" s="298">
        <f t="shared" si="31"/>
        <v>0.8</v>
      </c>
    </row>
    <row r="33" spans="1:50">
      <c r="A33" s="63">
        <f>ELEC!C32</f>
        <v>44649</v>
      </c>
      <c r="B33" s="537">
        <v>229</v>
      </c>
      <c r="C33" s="537">
        <v>236</v>
      </c>
      <c r="D33" s="45">
        <f t="shared" ref="D33:D35" si="54">C32-C33</f>
        <v>-13</v>
      </c>
      <c r="E33" s="45">
        <f t="shared" ref="E33:E35" si="55">D33*8.38</f>
        <v>-108.94000000000001</v>
      </c>
      <c r="F33" s="537">
        <f t="shared" si="42"/>
        <v>2202</v>
      </c>
      <c r="G33" s="52">
        <f t="shared" ref="G33:G35" si="56">F33-F32</f>
        <v>0</v>
      </c>
      <c r="H33" s="537">
        <f t="shared" si="43"/>
        <v>40475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v>2400</v>
      </c>
      <c r="L33" s="52">
        <f t="shared" ref="L33:L35" si="59">K33-K32</f>
        <v>4</v>
      </c>
      <c r="M33" s="537">
        <v>177477</v>
      </c>
      <c r="N33" s="380">
        <f t="shared" ref="N33:N35" si="60">M33-M32</f>
        <v>281</v>
      </c>
      <c r="O33" s="64">
        <f t="shared" si="48"/>
        <v>1869</v>
      </c>
      <c r="P33" s="537">
        <f t="shared" si="45"/>
        <v>2189</v>
      </c>
      <c r="Q33" s="537">
        <f t="shared" si="46"/>
        <v>183235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4</v>
      </c>
      <c r="V33" s="62">
        <f t="shared" ref="V33:V35" si="65">R33+N33+I33:I33</f>
        <v>281</v>
      </c>
      <c r="W33" s="384"/>
      <c r="X33" s="537">
        <f t="shared" si="20"/>
        <v>2471</v>
      </c>
      <c r="Y33" s="52">
        <f t="shared" ref="Y33:Y35" si="66">X33-X32</f>
        <v>0</v>
      </c>
      <c r="Z33" s="537">
        <f t="shared" si="22"/>
        <v>1392155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3"/>
        <v>1944</v>
      </c>
      <c r="AD33" s="259">
        <f t="shared" ref="AD33:AD35" si="69">AC33-AC32</f>
        <v>0</v>
      </c>
      <c r="AE33" s="537">
        <f t="shared" si="24"/>
        <v>366312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281</v>
      </c>
      <c r="AJ33" s="303">
        <f>-tanks!AW34</f>
        <v>281</v>
      </c>
      <c r="AK33" s="303">
        <f t="shared" ref="AK33:AK35" si="74">SUM(AJ33-AI33)</f>
        <v>0</v>
      </c>
      <c r="AL33" s="303">
        <f t="shared" ref="AL33:AL35" si="75">S33+L33+G33</f>
        <v>4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44650</v>
      </c>
      <c r="B34" s="537">
        <f t="shared" si="40"/>
        <v>229</v>
      </c>
      <c r="C34" s="537">
        <f t="shared" si="41"/>
        <v>236</v>
      </c>
      <c r="D34" s="45">
        <f t="shared" si="54"/>
        <v>0</v>
      </c>
      <c r="E34" s="45">
        <f t="shared" si="55"/>
        <v>0</v>
      </c>
      <c r="F34" s="537">
        <f t="shared" si="42"/>
        <v>2202</v>
      </c>
      <c r="G34" s="52">
        <f t="shared" si="56"/>
        <v>0</v>
      </c>
      <c r="H34" s="537">
        <f t="shared" si="43"/>
        <v>40475</v>
      </c>
      <c r="I34" s="380">
        <f t="shared" si="57"/>
        <v>0</v>
      </c>
      <c r="J34" s="66">
        <f t="shared" si="58"/>
        <v>0</v>
      </c>
      <c r="K34" s="537">
        <f t="shared" si="14"/>
        <v>2400</v>
      </c>
      <c r="L34" s="52">
        <f t="shared" si="59"/>
        <v>0</v>
      </c>
      <c r="M34" s="537">
        <f t="shared" si="16"/>
        <v>177477</v>
      </c>
      <c r="N34" s="380">
        <f t="shared" si="60"/>
        <v>0</v>
      </c>
      <c r="O34" s="64">
        <f t="shared" si="48"/>
        <v>1869</v>
      </c>
      <c r="P34" s="537">
        <f t="shared" si="45"/>
        <v>2189</v>
      </c>
      <c r="Q34" s="537">
        <f t="shared" si="46"/>
        <v>183235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0"/>
        <v>2471</v>
      </c>
      <c r="Y34" s="52">
        <f t="shared" si="66"/>
        <v>0</v>
      </c>
      <c r="Z34" s="537">
        <f t="shared" si="22"/>
        <v>1392155</v>
      </c>
      <c r="AA34" s="65">
        <f t="shared" si="67"/>
        <v>0</v>
      </c>
      <c r="AB34" s="273">
        <f t="shared" si="68"/>
        <v>0</v>
      </c>
      <c r="AC34" s="537">
        <f t="shared" si="23"/>
        <v>1944</v>
      </c>
      <c r="AD34" s="259">
        <f t="shared" si="69"/>
        <v>0</v>
      </c>
      <c r="AE34" s="537">
        <f t="shared" si="24"/>
        <v>366312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44651</v>
      </c>
      <c r="B35" s="537">
        <f t="shared" si="40"/>
        <v>229</v>
      </c>
      <c r="C35" s="537">
        <f t="shared" si="41"/>
        <v>236</v>
      </c>
      <c r="D35" s="45">
        <f t="shared" si="54"/>
        <v>0</v>
      </c>
      <c r="E35" s="45">
        <f t="shared" si="55"/>
        <v>0</v>
      </c>
      <c r="F35" s="537">
        <f t="shared" si="42"/>
        <v>2202</v>
      </c>
      <c r="G35" s="52">
        <f t="shared" si="56"/>
        <v>0</v>
      </c>
      <c r="H35" s="537">
        <f t="shared" si="43"/>
        <v>40475</v>
      </c>
      <c r="I35" s="380">
        <f t="shared" si="57"/>
        <v>0</v>
      </c>
      <c r="J35" s="66">
        <f t="shared" si="58"/>
        <v>0</v>
      </c>
      <c r="K35" s="537">
        <f t="shared" si="14"/>
        <v>2400</v>
      </c>
      <c r="L35" s="52">
        <f t="shared" si="59"/>
        <v>0</v>
      </c>
      <c r="M35" s="537">
        <f t="shared" si="16"/>
        <v>177477</v>
      </c>
      <c r="N35" s="380">
        <f t="shared" si="60"/>
        <v>0</v>
      </c>
      <c r="O35" s="64">
        <f t="shared" si="48"/>
        <v>1869</v>
      </c>
      <c r="P35" s="537">
        <f t="shared" si="45"/>
        <v>2189</v>
      </c>
      <c r="Q35" s="537">
        <f t="shared" si="46"/>
        <v>183235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0"/>
        <v>2471</v>
      </c>
      <c r="Y35" s="52">
        <f t="shared" si="66"/>
        <v>0</v>
      </c>
      <c r="Z35" s="537">
        <f t="shared" si="22"/>
        <v>1392155</v>
      </c>
      <c r="AA35" s="65">
        <f t="shared" si="67"/>
        <v>0</v>
      </c>
      <c r="AB35" s="273">
        <f t="shared" si="68"/>
        <v>0</v>
      </c>
      <c r="AC35" s="537">
        <f t="shared" si="23"/>
        <v>1944</v>
      </c>
      <c r="AD35" s="259">
        <f t="shared" si="69"/>
        <v>0</v>
      </c>
      <c r="AE35" s="537">
        <f t="shared" si="24"/>
        <v>366312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71.907605820105829</v>
      </c>
      <c r="U36" s="70">
        <f>SUM(U5:U35)</f>
        <v>111</v>
      </c>
      <c r="V36" s="62">
        <f>SUM(V5:V35)</f>
        <v>8509</v>
      </c>
      <c r="AE36" s="71" t="s">
        <v>379</v>
      </c>
      <c r="AG36" s="329"/>
      <c r="AH36" s="62">
        <f>SUM(AH5:AH35)</f>
        <v>130</v>
      </c>
      <c r="AL36" s="62">
        <f>SUM(AL5:AL35)</f>
        <v>111</v>
      </c>
      <c r="AM36" s="62">
        <f>SUM(AM5:AM35)</f>
        <v>1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76.657657657657651</v>
      </c>
      <c r="AH37" s="62">
        <f>AF37+AA37</f>
        <v>0</v>
      </c>
      <c r="AI37" s="306">
        <f>SUM(AI5:AI35)</f>
        <v>8639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="90" zoomScaleNormal="90" workbookViewId="0">
      <pane ySplit="3" topLeftCell="A4" activePane="bottomLeft" state="frozen"/>
      <selection pane="bottomLeft" activeCell="AY34" sqref="AY3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8159247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5" t="s">
        <v>95</v>
      </c>
      <c r="AS2" s="646"/>
      <c r="AT2" s="646"/>
      <c r="AU2" s="646"/>
      <c r="AV2" s="647"/>
      <c r="AW2" s="645" t="s">
        <v>96</v>
      </c>
      <c r="AX2" s="646"/>
      <c r="AY2" s="647"/>
      <c r="AZ2" s="645" t="s">
        <v>98</v>
      </c>
      <c r="BA2" s="646"/>
      <c r="BB2" s="647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2" t="s">
        <v>126</v>
      </c>
      <c r="AO3" s="643"/>
      <c r="AP3" s="644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[2]WATER!$A$33</f>
        <v>44620</v>
      </c>
      <c r="B5" s="393">
        <f>[2]WATER!B33</f>
        <v>109443</v>
      </c>
      <c r="C5" s="393">
        <f>[2]WATER!C33</f>
        <v>0</v>
      </c>
      <c r="D5" s="393">
        <f>[2]WATER!D33</f>
        <v>0</v>
      </c>
      <c r="E5" s="393">
        <f>[2]WATER!E33</f>
        <v>267.85714285714283</v>
      </c>
      <c r="F5" s="393">
        <f>[2]WATER!F33</f>
        <v>0</v>
      </c>
      <c r="G5" s="393">
        <f>[2]WATER!G33</f>
        <v>627273</v>
      </c>
      <c r="H5" s="393">
        <f>[2]WATER!H33</f>
        <v>0</v>
      </c>
      <c r="I5" s="393">
        <f>[2]WATER!I33</f>
        <v>0</v>
      </c>
      <c r="J5" s="393">
        <f>[2]WATER!J33</f>
        <v>0</v>
      </c>
      <c r="K5" s="393">
        <f>[2]WATER!K33</f>
        <v>7020</v>
      </c>
      <c r="L5" s="393">
        <f>[2]WATER!L33</f>
        <v>5</v>
      </c>
      <c r="M5" s="393">
        <f>[2]WATER!M33</f>
        <v>457.44</v>
      </c>
      <c r="N5" s="393">
        <f>[2]WATER!N33</f>
        <v>0</v>
      </c>
      <c r="O5" s="393">
        <f>[2]WATER!O33</f>
        <v>529.52</v>
      </c>
      <c r="P5" s="393">
        <f>[2]WATER!P33</f>
        <v>0</v>
      </c>
      <c r="Q5" s="393">
        <f>[2]WATER!Q33</f>
        <v>0</v>
      </c>
      <c r="R5" s="393">
        <f>[2]WATER!R33</f>
        <v>0</v>
      </c>
      <c r="S5" s="393">
        <f>[2]WATER!S33</f>
        <v>0</v>
      </c>
      <c r="T5" s="393">
        <f>[2]WATER!T33</f>
        <v>5181</v>
      </c>
      <c r="U5" s="393">
        <f>[2]WATER!U33</f>
        <v>0</v>
      </c>
      <c r="V5" s="393">
        <f>[2]WATER!V33</f>
        <v>478</v>
      </c>
      <c r="W5" s="393">
        <f>[2]WATER!W33</f>
        <v>0</v>
      </c>
      <c r="X5" s="393">
        <f>[2]WATER!X33</f>
        <v>154864</v>
      </c>
      <c r="Y5" s="393">
        <f>[2]WATER!Y33</f>
        <v>0</v>
      </c>
      <c r="Z5" s="393">
        <f>[2]WATER!Z33</f>
        <v>99301</v>
      </c>
      <c r="AA5" s="393">
        <f>[2]WATER!AA33</f>
        <v>0</v>
      </c>
      <c r="AB5" s="393">
        <f>[2]WATER!AB33</f>
        <v>238</v>
      </c>
      <c r="AC5" s="393">
        <f>[2]WATER!AC33</f>
        <v>790</v>
      </c>
      <c r="AD5" s="393">
        <f>[2]WATER!AD33</f>
        <v>0</v>
      </c>
      <c r="AE5" s="393">
        <f>[2]WATER!AE33</f>
        <v>239.96</v>
      </c>
      <c r="AF5" s="393">
        <f>[2]WATER!AF33</f>
        <v>0</v>
      </c>
      <c r="AG5" s="393">
        <f>[2]WATER!AG33</f>
        <v>2218.1999999999998</v>
      </c>
      <c r="AH5" s="393">
        <f>[2]WATER!AH33</f>
        <v>0</v>
      </c>
      <c r="AI5" s="393">
        <f>[2]WATER!AI33</f>
        <v>0</v>
      </c>
      <c r="AJ5" s="393">
        <f>[2]WATER!AJ33</f>
        <v>0</v>
      </c>
      <c r="AK5" s="393">
        <f>[2]WATER!AK33</f>
        <v>-5</v>
      </c>
      <c r="AL5" s="393">
        <f>[2]WATER!AL33</f>
        <v>0</v>
      </c>
      <c r="AM5" s="393">
        <f>[2]WATER!AM33</f>
        <v>14.5</v>
      </c>
      <c r="AN5" s="393">
        <f>[2]WATER!AN33</f>
        <v>0</v>
      </c>
      <c r="AO5" s="393">
        <f>[2]WATER!AO33</f>
        <v>0</v>
      </c>
      <c r="AP5" s="393">
        <f>[2]WATER!AP33</f>
        <v>0</v>
      </c>
      <c r="AR5" s="543">
        <f>[2]WATER!$AR$33</f>
        <v>44620</v>
      </c>
      <c r="AS5" s="393">
        <f>[2]WATER!AS33</f>
        <v>0.9</v>
      </c>
      <c r="AT5" s="393">
        <f>[2]WATER!AT33</f>
        <v>183</v>
      </c>
      <c r="AU5" s="393">
        <f>[2]WATER!AU33</f>
        <v>1.1000000000000001</v>
      </c>
      <c r="AV5" s="393">
        <f>[2]WATER!AV33</f>
        <v>123</v>
      </c>
      <c r="AW5" s="393">
        <f>[2]WATER!AW33</f>
        <v>2.9</v>
      </c>
      <c r="AX5" s="393">
        <f>[2]WATER!AX33</f>
        <v>99</v>
      </c>
      <c r="AY5" s="393">
        <f>[2]WATER!AY33</f>
        <v>164.70000000000002</v>
      </c>
      <c r="AZ5" s="393">
        <f>[2]WATER!AZ33</f>
        <v>135.30000000000001</v>
      </c>
      <c r="BA5" s="393">
        <f>[2]WATER!BA33</f>
        <v>287.09999999999997</v>
      </c>
      <c r="BB5" s="393">
        <f>[2]WATER!BB33</f>
        <v>0</v>
      </c>
      <c r="BC5" s="393">
        <f>[2]WATER!BC33</f>
        <v>-1.0999999999999943</v>
      </c>
      <c r="BD5" s="393">
        <f>[2]WATER!BD33</f>
        <v>-8.7000000000000455</v>
      </c>
      <c r="BE5" s="393">
        <f>[2]WATER!BE33</f>
        <v>-9.8000000000000398</v>
      </c>
      <c r="BF5" s="393">
        <f>[2]WATER!BF33</f>
        <v>9.8000000000000398</v>
      </c>
      <c r="BG5" s="393">
        <f>[2]WATER!BG33</f>
        <v>-9.8000000000000398</v>
      </c>
    </row>
    <row r="6" spans="1:65" ht="15.75" thickBot="1">
      <c r="A6" s="6">
        <f>ELEC!C4</f>
        <v>44621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627273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7021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5181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154864</v>
      </c>
      <c r="Y6" s="309">
        <f>SUM(X6-X5)</f>
        <v>0</v>
      </c>
      <c r="Z6" s="5">
        <f>Z5</f>
        <v>99301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239.96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15.5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44621</v>
      </c>
      <c r="AS6" s="407">
        <f>AS5</f>
        <v>0.9</v>
      </c>
      <c r="AT6" s="201">
        <f>AT5</f>
        <v>183</v>
      </c>
      <c r="AU6" s="408">
        <f>AU5</f>
        <v>1.1000000000000001</v>
      </c>
      <c r="AV6" s="201">
        <v>122</v>
      </c>
      <c r="AW6" s="5">
        <v>2.9</v>
      </c>
      <c r="AX6" s="201">
        <v>97</v>
      </c>
      <c r="AY6" s="409">
        <f>AS6*AT6</f>
        <v>164.70000000000002</v>
      </c>
      <c r="AZ6" s="409">
        <f>AU6*AV6</f>
        <v>134.20000000000002</v>
      </c>
      <c r="BA6" s="409">
        <f>AW6*AX6</f>
        <v>281.3</v>
      </c>
      <c r="BB6" s="21">
        <f>AY6-AY5</f>
        <v>0</v>
      </c>
      <c r="BC6" s="21">
        <f>AZ6-AZ5</f>
        <v>-1.0999999999999943</v>
      </c>
      <c r="BD6" s="21">
        <f>BA6-BA5</f>
        <v>-5.7999999999999545</v>
      </c>
      <c r="BE6" s="24">
        <f>SUM(BB6:BD6)</f>
        <v>-6.8999999999999488</v>
      </c>
      <c r="BF6" s="96">
        <f>SUM(I6-BE6)</f>
        <v>6.8999999999999488</v>
      </c>
      <c r="BG6" s="82">
        <f t="shared" ref="BG6:BG33" si="4">SUM(I6-BF6)</f>
        <v>-6.8999999999999488</v>
      </c>
      <c r="BI6" s="17"/>
      <c r="BJ6" s="17"/>
      <c r="BK6" s="17"/>
      <c r="BL6" s="17"/>
      <c r="BM6" s="17"/>
    </row>
    <row r="7" spans="1:65" ht="15.75" thickBot="1">
      <c r="A7" s="6">
        <f>ELEC!C5</f>
        <v>44622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627273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7021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5181</v>
      </c>
      <c r="U7" s="5">
        <f t="shared" si="3"/>
        <v>0</v>
      </c>
      <c r="V7" s="5">
        <f t="shared" ref="V7:V36" si="14">V6</f>
        <v>478</v>
      </c>
      <c r="W7" s="309">
        <f t="shared" ref="W7:W33" si="15">+V7-V6</f>
        <v>0</v>
      </c>
      <c r="X7" s="5">
        <f t="shared" ref="X7:X36" si="16">X6</f>
        <v>154864</v>
      </c>
      <c r="Y7" s="309">
        <f>SUM(X7-X6)</f>
        <v>0</v>
      </c>
      <c r="Z7" s="5">
        <f t="shared" ref="Z7:Z36" si="17">Z6</f>
        <v>99301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239.96</v>
      </c>
      <c r="AF7" s="83">
        <f t="shared" ref="AF7:AF32" si="22">AE7-AE6</f>
        <v>0</v>
      </c>
      <c r="AG7" s="5">
        <f t="shared" ref="AG7:AG36" si="23">AG6</f>
        <v>2218.1999999999998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19.5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44622</v>
      </c>
      <c r="AS7" s="407">
        <f t="shared" ref="AS7:AT21" si="29">AS6</f>
        <v>0.9</v>
      </c>
      <c r="AT7" s="201">
        <f t="shared" si="29"/>
        <v>183</v>
      </c>
      <c r="AU7" s="408">
        <f>AU6</f>
        <v>1.1000000000000001</v>
      </c>
      <c r="AV7" s="201">
        <v>119</v>
      </c>
      <c r="AW7" s="5">
        <v>2.9</v>
      </c>
      <c r="AX7" s="201">
        <v>94</v>
      </c>
      <c r="AY7" s="409">
        <f>AS7*AT7</f>
        <v>164.70000000000002</v>
      </c>
      <c r="AZ7" s="409">
        <f>AU7*AV7</f>
        <v>130.9</v>
      </c>
      <c r="BA7" s="409">
        <f>AW7*AX7</f>
        <v>272.59999999999997</v>
      </c>
      <c r="BB7" s="21">
        <f>AY7-AY6</f>
        <v>0</v>
      </c>
      <c r="BC7" s="21">
        <f t="shared" ref="BC7:BD21" si="30">AZ7-AZ6</f>
        <v>-3.3000000000000114</v>
      </c>
      <c r="BD7" s="21">
        <f t="shared" si="30"/>
        <v>-8.7000000000000455</v>
      </c>
      <c r="BE7" s="24">
        <f t="shared" ref="BE7:BE33" si="31">SUM(BB7:BD7)</f>
        <v>-12.000000000000057</v>
      </c>
      <c r="BF7" s="96">
        <f t="shared" ref="BF7:BF33" si="32">SUM(I7-BE7)</f>
        <v>12.000000000000057</v>
      </c>
      <c r="BG7" s="82">
        <f t="shared" si="4"/>
        <v>-12.000000000000057</v>
      </c>
      <c r="BI7" s="86"/>
      <c r="BJ7" s="17"/>
      <c r="BK7" s="17"/>
      <c r="BL7" s="17"/>
      <c r="BM7" s="17"/>
    </row>
    <row r="8" spans="1:65" ht="15.75" thickBot="1">
      <c r="A8" s="6">
        <f>ELEC!C6</f>
        <v>44623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627273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7021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5181</v>
      </c>
      <c r="U8" s="5">
        <f t="shared" si="3"/>
        <v>0</v>
      </c>
      <c r="V8" s="5">
        <f t="shared" si="14"/>
        <v>478</v>
      </c>
      <c r="W8" s="309">
        <f t="shared" si="15"/>
        <v>0</v>
      </c>
      <c r="X8" s="5">
        <f t="shared" si="16"/>
        <v>154864</v>
      </c>
      <c r="Y8" s="309">
        <f>SUM(X8-X7)</f>
        <v>0</v>
      </c>
      <c r="Z8" s="5">
        <f t="shared" si="17"/>
        <v>99301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3">AC8-AC7</f>
        <v>0</v>
      </c>
      <c r="AE8" s="5">
        <f t="shared" si="21"/>
        <v>239.96</v>
      </c>
      <c r="AF8" s="83">
        <f t="shared" si="22"/>
        <v>0</v>
      </c>
      <c r="AG8" s="5">
        <f t="shared" si="23"/>
        <v>2218.1999999999998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16.5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44623</v>
      </c>
      <c r="AS8" s="407">
        <f t="shared" si="29"/>
        <v>0.9</v>
      </c>
      <c r="AT8" s="201">
        <f t="shared" si="29"/>
        <v>183</v>
      </c>
      <c r="AU8" s="408">
        <v>1.1000000000000001</v>
      </c>
      <c r="AV8" s="201">
        <v>118</v>
      </c>
      <c r="AW8" s="5">
        <v>2.9</v>
      </c>
      <c r="AX8" s="201">
        <v>92</v>
      </c>
      <c r="AY8" s="409">
        <f t="shared" ref="AY8:AY33" si="35">AS8*AT8</f>
        <v>164.70000000000002</v>
      </c>
      <c r="AZ8" s="409">
        <f t="shared" ref="AZ8:AZ33" si="36">AU8*AV8</f>
        <v>129.80000000000001</v>
      </c>
      <c r="BA8" s="409">
        <f t="shared" ref="BA8:BA33" si="37">AW8*AX8</f>
        <v>266.8</v>
      </c>
      <c r="BB8" s="21">
        <f t="shared" ref="BB8:BB19" si="38">AY8-AY7</f>
        <v>0</v>
      </c>
      <c r="BC8" s="21">
        <f t="shared" si="30"/>
        <v>-1.0999999999999943</v>
      </c>
      <c r="BD8" s="21">
        <f t="shared" si="30"/>
        <v>-5.7999999999999545</v>
      </c>
      <c r="BE8" s="24">
        <f t="shared" si="31"/>
        <v>-6.8999999999999488</v>
      </c>
      <c r="BF8" s="96">
        <f t="shared" si="32"/>
        <v>6.8999999999999488</v>
      </c>
      <c r="BG8" s="82">
        <f t="shared" si="4"/>
        <v>-6.8999999999999488</v>
      </c>
      <c r="BI8" s="86"/>
      <c r="BJ8" s="17"/>
      <c r="BK8" s="17"/>
    </row>
    <row r="9" spans="1:65" ht="15.75" thickBot="1">
      <c r="A9" s="6">
        <f>ELEC!C7</f>
        <v>44624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f t="shared" si="8"/>
        <v>627273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7021</v>
      </c>
      <c r="L9" s="83">
        <f t="shared" ref="L9:L33" si="39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5181</v>
      </c>
      <c r="U9" s="5">
        <f t="shared" si="3"/>
        <v>0</v>
      </c>
      <c r="V9" s="5">
        <f t="shared" si="14"/>
        <v>478</v>
      </c>
      <c r="W9" s="309">
        <f t="shared" si="15"/>
        <v>0</v>
      </c>
      <c r="X9" s="5">
        <f t="shared" si="16"/>
        <v>154864</v>
      </c>
      <c r="Y9" s="309">
        <f t="shared" ref="Y9:Y33" si="40">SUM(X9-X8)</f>
        <v>0</v>
      </c>
      <c r="Z9" s="5">
        <f t="shared" si="17"/>
        <v>99301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3"/>
        <v>0</v>
      </c>
      <c r="AE9" s="5">
        <f t="shared" si="21"/>
        <v>239.96</v>
      </c>
      <c r="AF9" s="83">
        <f t="shared" si="22"/>
        <v>0</v>
      </c>
      <c r="AG9" s="5">
        <f t="shared" si="23"/>
        <v>2218.1999999999998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44624</v>
      </c>
      <c r="AS9" s="407">
        <f t="shared" si="29"/>
        <v>0.9</v>
      </c>
      <c r="AT9" s="201">
        <f t="shared" si="29"/>
        <v>183</v>
      </c>
      <c r="AU9" s="408">
        <f t="shared" ref="AU9:AU36" si="41">AU8</f>
        <v>1.1000000000000001</v>
      </c>
      <c r="AV9" s="201">
        <f t="shared" ref="AV9:AV36" si="42">AV8</f>
        <v>118</v>
      </c>
      <c r="AW9" s="5">
        <v>2.9</v>
      </c>
      <c r="AX9" s="201">
        <f t="shared" ref="AX9:AX36" si="43">AX8</f>
        <v>92</v>
      </c>
      <c r="AY9" s="409">
        <f t="shared" si="35"/>
        <v>164.70000000000002</v>
      </c>
      <c r="AZ9" s="409">
        <f t="shared" si="36"/>
        <v>129.80000000000001</v>
      </c>
      <c r="BA9" s="409">
        <f t="shared" si="37"/>
        <v>266.8</v>
      </c>
      <c r="BB9" s="21">
        <f t="shared" si="38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32"/>
        <v>0</v>
      </c>
      <c r="BG9" s="82">
        <f t="shared" si="4"/>
        <v>0</v>
      </c>
    </row>
    <row r="10" spans="1:65" ht="15.75" thickBot="1">
      <c r="A10" s="6">
        <f>ELEC!C8</f>
        <v>44625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627273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7021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5181</v>
      </c>
      <c r="U10" s="5">
        <f t="shared" si="3"/>
        <v>0</v>
      </c>
      <c r="V10" s="5">
        <f t="shared" si="14"/>
        <v>478</v>
      </c>
      <c r="W10" s="309">
        <f t="shared" si="15"/>
        <v>0</v>
      </c>
      <c r="X10" s="5">
        <f t="shared" si="16"/>
        <v>154864</v>
      </c>
      <c r="Y10" s="309">
        <f t="shared" si="40"/>
        <v>0</v>
      </c>
      <c r="Z10" s="5">
        <f t="shared" si="17"/>
        <v>99301</v>
      </c>
      <c r="AA10" s="83">
        <f t="shared" si="18"/>
        <v>0</v>
      </c>
      <c r="AB10" s="5">
        <f t="shared" si="19"/>
        <v>238</v>
      </c>
      <c r="AC10" s="5">
        <f t="shared" si="20"/>
        <v>790</v>
      </c>
      <c r="AD10" s="83">
        <f t="shared" si="33"/>
        <v>0</v>
      </c>
      <c r="AE10" s="5">
        <f t="shared" si="21"/>
        <v>239.96</v>
      </c>
      <c r="AF10" s="83">
        <f t="shared" si="22"/>
        <v>0</v>
      </c>
      <c r="AG10" s="5">
        <f t="shared" si="23"/>
        <v>2218.1999999999998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0</v>
      </c>
      <c r="AL10" s="312">
        <f t="shared" si="27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44625</v>
      </c>
      <c r="AS10" s="407">
        <f t="shared" si="29"/>
        <v>0.9</v>
      </c>
      <c r="AT10" s="201">
        <f t="shared" si="29"/>
        <v>183</v>
      </c>
      <c r="AU10" s="408">
        <f t="shared" si="41"/>
        <v>1.1000000000000001</v>
      </c>
      <c r="AV10" s="201">
        <f t="shared" si="42"/>
        <v>118</v>
      </c>
      <c r="AW10" s="5">
        <v>2.9</v>
      </c>
      <c r="AX10" s="201">
        <f t="shared" si="43"/>
        <v>92</v>
      </c>
      <c r="AY10" s="409">
        <f t="shared" si="35"/>
        <v>164.70000000000002</v>
      </c>
      <c r="AZ10" s="409">
        <f t="shared" si="36"/>
        <v>129.80000000000001</v>
      </c>
      <c r="BA10" s="409">
        <f t="shared" si="37"/>
        <v>266.8</v>
      </c>
      <c r="BB10" s="21">
        <f t="shared" si="38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44626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627273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7022</v>
      </c>
      <c r="L11" s="83">
        <f t="shared" si="39"/>
        <v>1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5181</v>
      </c>
      <c r="U11" s="5">
        <f t="shared" si="3"/>
        <v>0</v>
      </c>
      <c r="V11" s="5">
        <f t="shared" si="14"/>
        <v>478</v>
      </c>
      <c r="W11" s="309">
        <f t="shared" si="15"/>
        <v>0</v>
      </c>
      <c r="X11" s="5">
        <f t="shared" si="16"/>
        <v>154864</v>
      </c>
      <c r="Y11" s="309">
        <f t="shared" si="40"/>
        <v>0</v>
      </c>
      <c r="Z11" s="5">
        <f t="shared" si="17"/>
        <v>99301</v>
      </c>
      <c r="AA11" s="83">
        <f t="shared" si="18"/>
        <v>0</v>
      </c>
      <c r="AB11" s="5">
        <f t="shared" si="19"/>
        <v>238</v>
      </c>
      <c r="AC11" s="5">
        <f t="shared" si="20"/>
        <v>790</v>
      </c>
      <c r="AD11" s="83">
        <f t="shared" si="33"/>
        <v>0</v>
      </c>
      <c r="AE11" s="5">
        <f t="shared" si="21"/>
        <v>239.96</v>
      </c>
      <c r="AF11" s="83">
        <f t="shared" si="22"/>
        <v>0</v>
      </c>
      <c r="AG11" s="5">
        <f t="shared" si="23"/>
        <v>2218.1999999999998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-1</v>
      </c>
      <c r="AL11" s="312">
        <f t="shared" si="27"/>
        <v>0</v>
      </c>
      <c r="AM11" s="312">
        <f>'General information '!D10</f>
        <v>17.5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44626</v>
      </c>
      <c r="AS11" s="407">
        <f t="shared" si="29"/>
        <v>0.9</v>
      </c>
      <c r="AT11" s="201">
        <f t="shared" si="29"/>
        <v>183</v>
      </c>
      <c r="AU11" s="408">
        <f t="shared" si="41"/>
        <v>1.1000000000000001</v>
      </c>
      <c r="AV11" s="201">
        <v>116</v>
      </c>
      <c r="AW11" s="5">
        <v>2.9</v>
      </c>
      <c r="AX11" s="201">
        <v>89</v>
      </c>
      <c r="AY11" s="409">
        <f t="shared" si="35"/>
        <v>164.70000000000002</v>
      </c>
      <c r="AZ11" s="409">
        <f t="shared" si="36"/>
        <v>127.60000000000001</v>
      </c>
      <c r="BA11" s="409">
        <f t="shared" si="37"/>
        <v>258.09999999999997</v>
      </c>
      <c r="BB11" s="21">
        <f t="shared" si="38"/>
        <v>0</v>
      </c>
      <c r="BC11" s="21">
        <f t="shared" si="30"/>
        <v>-2.2000000000000028</v>
      </c>
      <c r="BD11" s="21">
        <f t="shared" si="30"/>
        <v>-8.7000000000000455</v>
      </c>
      <c r="BE11" s="24">
        <f t="shared" si="31"/>
        <v>-10.900000000000048</v>
      </c>
      <c r="BF11" s="96">
        <f t="shared" si="32"/>
        <v>10.900000000000048</v>
      </c>
      <c r="BG11" s="82">
        <f t="shared" si="4"/>
        <v>-10.900000000000048</v>
      </c>
    </row>
    <row r="12" spans="1:65" ht="15.75" thickBot="1">
      <c r="A12" s="6">
        <f>ELEC!C10</f>
        <v>44627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627273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7023</v>
      </c>
      <c r="L12" s="83">
        <f t="shared" si="39"/>
        <v>1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5181</v>
      </c>
      <c r="U12" s="5">
        <f t="shared" si="3"/>
        <v>0</v>
      </c>
      <c r="V12" s="5">
        <f t="shared" si="14"/>
        <v>478</v>
      </c>
      <c r="W12" s="309">
        <f t="shared" si="15"/>
        <v>0</v>
      </c>
      <c r="X12" s="5">
        <f t="shared" si="16"/>
        <v>154864</v>
      </c>
      <c r="Y12" s="309">
        <f t="shared" si="40"/>
        <v>0</v>
      </c>
      <c r="Z12" s="5">
        <f t="shared" si="17"/>
        <v>99301</v>
      </c>
      <c r="AA12" s="83">
        <f t="shared" si="18"/>
        <v>0</v>
      </c>
      <c r="AB12" s="5">
        <f t="shared" si="19"/>
        <v>238</v>
      </c>
      <c r="AC12" s="5">
        <f t="shared" si="20"/>
        <v>790</v>
      </c>
      <c r="AD12" s="83">
        <f t="shared" si="33"/>
        <v>0</v>
      </c>
      <c r="AE12" s="5">
        <f t="shared" si="21"/>
        <v>239.96</v>
      </c>
      <c r="AF12" s="83">
        <f t="shared" si="22"/>
        <v>0</v>
      </c>
      <c r="AG12" s="5">
        <f t="shared" si="23"/>
        <v>2218.1999999999998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-1</v>
      </c>
      <c r="AL12" s="312">
        <f t="shared" si="27"/>
        <v>0</v>
      </c>
      <c r="AM12" s="312">
        <f>'General information '!D11</f>
        <v>15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44627</v>
      </c>
      <c r="AS12" s="407">
        <f t="shared" si="29"/>
        <v>0.9</v>
      </c>
      <c r="AT12" s="201">
        <f t="shared" si="29"/>
        <v>183</v>
      </c>
      <c r="AU12" s="408">
        <f t="shared" si="41"/>
        <v>1.1000000000000001</v>
      </c>
      <c r="AV12" s="201">
        <f t="shared" si="42"/>
        <v>116</v>
      </c>
      <c r="AW12" s="5">
        <v>2.9</v>
      </c>
      <c r="AX12" s="201">
        <v>85</v>
      </c>
      <c r="AY12" s="409">
        <f t="shared" si="35"/>
        <v>164.70000000000002</v>
      </c>
      <c r="AZ12" s="409">
        <f t="shared" si="36"/>
        <v>127.60000000000001</v>
      </c>
      <c r="BA12" s="409">
        <f t="shared" si="37"/>
        <v>246.5</v>
      </c>
      <c r="BB12" s="21">
        <f t="shared" si="38"/>
        <v>0</v>
      </c>
      <c r="BC12" s="21">
        <f t="shared" si="30"/>
        <v>0</v>
      </c>
      <c r="BD12" s="21">
        <f t="shared" si="30"/>
        <v>-11.599999999999966</v>
      </c>
      <c r="BE12" s="24">
        <f t="shared" si="31"/>
        <v>-11.599999999999966</v>
      </c>
      <c r="BF12" s="96">
        <f t="shared" si="32"/>
        <v>11.599999999999966</v>
      </c>
      <c r="BG12" s="82">
        <f t="shared" si="4"/>
        <v>-11.599999999999966</v>
      </c>
    </row>
    <row r="13" spans="1:65" ht="15.75" thickBot="1">
      <c r="A13" s="6">
        <f>ELEC!C11</f>
        <v>44628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627273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7023</v>
      </c>
      <c r="L13" s="83">
        <f t="shared" si="39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5181</v>
      </c>
      <c r="U13" s="5">
        <f t="shared" si="3"/>
        <v>0</v>
      </c>
      <c r="V13" s="5">
        <f t="shared" si="14"/>
        <v>478</v>
      </c>
      <c r="W13" s="309">
        <f t="shared" si="15"/>
        <v>0</v>
      </c>
      <c r="X13" s="5">
        <f t="shared" si="16"/>
        <v>154864</v>
      </c>
      <c r="Y13" s="309">
        <f t="shared" si="40"/>
        <v>0</v>
      </c>
      <c r="Z13" s="5">
        <f t="shared" si="17"/>
        <v>99301</v>
      </c>
      <c r="AA13" s="83">
        <f t="shared" si="18"/>
        <v>0</v>
      </c>
      <c r="AB13" s="5">
        <f t="shared" si="19"/>
        <v>238</v>
      </c>
      <c r="AC13" s="5">
        <f t="shared" si="20"/>
        <v>790</v>
      </c>
      <c r="AD13" s="83">
        <f t="shared" si="33"/>
        <v>0</v>
      </c>
      <c r="AE13" s="5">
        <f t="shared" si="21"/>
        <v>239.96</v>
      </c>
      <c r="AF13" s="83">
        <f t="shared" si="22"/>
        <v>0</v>
      </c>
      <c r="AG13" s="5">
        <f t="shared" si="23"/>
        <v>2218.1999999999998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10.5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44628</v>
      </c>
      <c r="AS13" s="407">
        <f t="shared" si="29"/>
        <v>0.9</v>
      </c>
      <c r="AT13" s="201">
        <f t="shared" si="29"/>
        <v>183</v>
      </c>
      <c r="AU13" s="408">
        <f t="shared" si="41"/>
        <v>1.1000000000000001</v>
      </c>
      <c r="AV13" s="201">
        <v>113</v>
      </c>
      <c r="AW13" s="5">
        <v>2.9</v>
      </c>
      <c r="AX13" s="201">
        <v>83</v>
      </c>
      <c r="AY13" s="409">
        <f t="shared" si="35"/>
        <v>164.70000000000002</v>
      </c>
      <c r="AZ13" s="409">
        <f t="shared" si="36"/>
        <v>124.30000000000001</v>
      </c>
      <c r="BA13" s="409">
        <f t="shared" si="37"/>
        <v>240.7</v>
      </c>
      <c r="BB13" s="21">
        <f t="shared" si="38"/>
        <v>0</v>
      </c>
      <c r="BC13" s="21">
        <f t="shared" si="30"/>
        <v>-3.2999999999999972</v>
      </c>
      <c r="BD13" s="21">
        <f t="shared" si="30"/>
        <v>-5.8000000000000114</v>
      </c>
      <c r="BE13" s="24">
        <f t="shared" si="31"/>
        <v>-9.1000000000000085</v>
      </c>
      <c r="BF13" s="96">
        <f t="shared" si="32"/>
        <v>9.1000000000000085</v>
      </c>
      <c r="BG13" s="82">
        <f t="shared" si="4"/>
        <v>-9.1000000000000085</v>
      </c>
    </row>
    <row r="14" spans="1:65" ht="15.75" thickBot="1">
      <c r="A14" s="6">
        <f>ELEC!C12</f>
        <v>44629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627273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7023</v>
      </c>
      <c r="L14" s="83">
        <f t="shared" si="39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5181</v>
      </c>
      <c r="U14" s="5">
        <f t="shared" si="3"/>
        <v>0</v>
      </c>
      <c r="V14" s="5">
        <f t="shared" si="14"/>
        <v>478</v>
      </c>
      <c r="W14" s="309">
        <f t="shared" si="15"/>
        <v>0</v>
      </c>
      <c r="X14" s="5">
        <f t="shared" si="16"/>
        <v>154864</v>
      </c>
      <c r="Y14" s="309">
        <f t="shared" si="40"/>
        <v>0</v>
      </c>
      <c r="Z14" s="5">
        <f t="shared" si="17"/>
        <v>99301</v>
      </c>
      <c r="AA14" s="83">
        <f t="shared" si="18"/>
        <v>0</v>
      </c>
      <c r="AB14" s="5">
        <f t="shared" si="19"/>
        <v>238</v>
      </c>
      <c r="AC14" s="5">
        <f t="shared" si="20"/>
        <v>790</v>
      </c>
      <c r="AD14" s="83">
        <f t="shared" si="33"/>
        <v>0</v>
      </c>
      <c r="AE14" s="5">
        <f t="shared" si="21"/>
        <v>239.96</v>
      </c>
      <c r="AF14" s="83">
        <f t="shared" si="22"/>
        <v>0</v>
      </c>
      <c r="AG14" s="5">
        <f t="shared" si="23"/>
        <v>2218.1999999999998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0</v>
      </c>
      <c r="AL14" s="312">
        <f t="shared" si="27"/>
        <v>0</v>
      </c>
      <c r="AM14" s="312">
        <f>'General information '!D13</f>
        <v>15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44629</v>
      </c>
      <c r="AS14" s="407">
        <f t="shared" si="29"/>
        <v>0.9</v>
      </c>
      <c r="AT14" s="201">
        <f t="shared" si="29"/>
        <v>183</v>
      </c>
      <c r="AU14" s="408">
        <f t="shared" si="41"/>
        <v>1.1000000000000001</v>
      </c>
      <c r="AV14" s="201">
        <f t="shared" si="42"/>
        <v>113</v>
      </c>
      <c r="AW14" s="5">
        <v>2.9</v>
      </c>
      <c r="AX14" s="201">
        <v>81</v>
      </c>
      <c r="AY14" s="409">
        <f t="shared" si="35"/>
        <v>164.70000000000002</v>
      </c>
      <c r="AZ14" s="409">
        <f t="shared" si="36"/>
        <v>124.30000000000001</v>
      </c>
      <c r="BA14" s="409">
        <f t="shared" si="37"/>
        <v>234.9</v>
      </c>
      <c r="BB14" s="21">
        <f t="shared" si="38"/>
        <v>0</v>
      </c>
      <c r="BC14" s="21">
        <f t="shared" si="30"/>
        <v>0</v>
      </c>
      <c r="BD14" s="21">
        <f t="shared" si="30"/>
        <v>-5.7999999999999829</v>
      </c>
      <c r="BE14" s="24">
        <f t="shared" si="31"/>
        <v>-5.7999999999999829</v>
      </c>
      <c r="BF14" s="96">
        <f t="shared" si="32"/>
        <v>5.7999999999999829</v>
      </c>
      <c r="BG14" s="82">
        <f t="shared" si="4"/>
        <v>-5.7999999999999829</v>
      </c>
    </row>
    <row r="15" spans="1:65" ht="16.5" customHeight="1" thickBot="1">
      <c r="A15" s="6">
        <f>ELEC!C13</f>
        <v>44630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627273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7023</v>
      </c>
      <c r="L15" s="83">
        <f t="shared" si="39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5181</v>
      </c>
      <c r="U15" s="5">
        <f t="shared" si="3"/>
        <v>0</v>
      </c>
      <c r="V15" s="5">
        <f t="shared" si="14"/>
        <v>478</v>
      </c>
      <c r="W15" s="309">
        <f t="shared" si="15"/>
        <v>0</v>
      </c>
      <c r="X15" s="5">
        <v>154934</v>
      </c>
      <c r="Y15" s="309">
        <f t="shared" si="40"/>
        <v>70</v>
      </c>
      <c r="Z15" s="5">
        <f t="shared" si="17"/>
        <v>99301</v>
      </c>
      <c r="AA15" s="83">
        <f t="shared" si="18"/>
        <v>0</v>
      </c>
      <c r="AB15" s="5">
        <f t="shared" si="19"/>
        <v>238</v>
      </c>
      <c r="AC15" s="5">
        <f t="shared" si="20"/>
        <v>790</v>
      </c>
      <c r="AD15" s="83">
        <f t="shared" si="33"/>
        <v>0</v>
      </c>
      <c r="AE15" s="5">
        <f t="shared" si="21"/>
        <v>239.96</v>
      </c>
      <c r="AF15" s="83">
        <f t="shared" si="22"/>
        <v>0</v>
      </c>
      <c r="AG15" s="5">
        <f t="shared" si="23"/>
        <v>2218.1999999999998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70</v>
      </c>
      <c r="AL15" s="312">
        <f t="shared" si="27"/>
        <v>0</v>
      </c>
      <c r="AM15" s="312">
        <f>'General information '!D14</f>
        <v>12.5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44630</v>
      </c>
      <c r="AS15" s="407">
        <f t="shared" si="29"/>
        <v>0.9</v>
      </c>
      <c r="AT15" s="201">
        <v>110</v>
      </c>
      <c r="AU15" s="408">
        <f t="shared" si="41"/>
        <v>1.1000000000000001</v>
      </c>
      <c r="AV15" s="201">
        <v>112</v>
      </c>
      <c r="AW15" s="5">
        <v>2.9</v>
      </c>
      <c r="AX15" s="201">
        <v>97</v>
      </c>
      <c r="AY15" s="409">
        <f t="shared" si="35"/>
        <v>99</v>
      </c>
      <c r="AZ15" s="409">
        <f t="shared" si="36"/>
        <v>123.20000000000002</v>
      </c>
      <c r="BA15" s="409">
        <f t="shared" si="37"/>
        <v>281.3</v>
      </c>
      <c r="BB15" s="21">
        <f t="shared" si="38"/>
        <v>-65.700000000000017</v>
      </c>
      <c r="BC15" s="21">
        <f t="shared" si="30"/>
        <v>-1.0999999999999943</v>
      </c>
      <c r="BD15" s="21">
        <f t="shared" si="30"/>
        <v>46.400000000000006</v>
      </c>
      <c r="BE15" s="24">
        <f t="shared" si="31"/>
        <v>-20.400000000000006</v>
      </c>
      <c r="BF15" s="96">
        <f t="shared" si="32"/>
        <v>20.400000000000006</v>
      </c>
      <c r="BG15" s="82">
        <f t="shared" si="4"/>
        <v>-20.400000000000006</v>
      </c>
    </row>
    <row r="16" spans="1:65" ht="15.75" thickBot="1">
      <c r="A16" s="6">
        <f>ELEC!C14</f>
        <v>44631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627273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7023</v>
      </c>
      <c r="L16" s="263">
        <f t="shared" si="39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5181</v>
      </c>
      <c r="U16" s="5">
        <f t="shared" si="3"/>
        <v>0</v>
      </c>
      <c r="V16" s="5">
        <f t="shared" si="14"/>
        <v>478</v>
      </c>
      <c r="W16" s="309">
        <f t="shared" si="15"/>
        <v>0</v>
      </c>
      <c r="X16" s="5">
        <v>155017</v>
      </c>
      <c r="Y16" s="309">
        <f t="shared" si="40"/>
        <v>83</v>
      </c>
      <c r="Z16" s="5">
        <f t="shared" si="17"/>
        <v>99301</v>
      </c>
      <c r="AA16" s="83">
        <f t="shared" si="18"/>
        <v>0</v>
      </c>
      <c r="AB16" s="5">
        <f t="shared" si="19"/>
        <v>238</v>
      </c>
      <c r="AC16" s="5">
        <f t="shared" si="20"/>
        <v>790</v>
      </c>
      <c r="AD16" s="83">
        <f t="shared" si="33"/>
        <v>0</v>
      </c>
      <c r="AE16" s="5">
        <f t="shared" si="21"/>
        <v>239.96</v>
      </c>
      <c r="AF16" s="83">
        <f t="shared" si="22"/>
        <v>0</v>
      </c>
      <c r="AG16" s="5">
        <f t="shared" si="23"/>
        <v>2218.1999999999998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83</v>
      </c>
      <c r="AL16" s="312">
        <f t="shared" si="27"/>
        <v>0</v>
      </c>
      <c r="AM16" s="312">
        <f>'General information '!D15</f>
        <v>11.5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44631</v>
      </c>
      <c r="AS16" s="407">
        <f t="shared" si="29"/>
        <v>0.9</v>
      </c>
      <c r="AT16" s="201">
        <v>18</v>
      </c>
      <c r="AU16" s="408">
        <f t="shared" si="41"/>
        <v>1.1000000000000001</v>
      </c>
      <c r="AV16" s="201">
        <v>111</v>
      </c>
      <c r="AW16" s="5">
        <v>2.9</v>
      </c>
      <c r="AX16" s="201">
        <v>117</v>
      </c>
      <c r="AY16" s="409">
        <f t="shared" si="35"/>
        <v>16.2</v>
      </c>
      <c r="AZ16" s="409">
        <f t="shared" si="36"/>
        <v>122.10000000000001</v>
      </c>
      <c r="BA16" s="409">
        <f t="shared" si="37"/>
        <v>339.3</v>
      </c>
      <c r="BB16" s="21">
        <f t="shared" si="38"/>
        <v>-82.8</v>
      </c>
      <c r="BC16" s="21">
        <f t="shared" si="30"/>
        <v>-1.1000000000000085</v>
      </c>
      <c r="BD16" s="21">
        <f t="shared" si="30"/>
        <v>58</v>
      </c>
      <c r="BE16" s="24">
        <f t="shared" si="31"/>
        <v>-25.900000000000006</v>
      </c>
      <c r="BF16" s="96">
        <f t="shared" si="32"/>
        <v>25.900000000000006</v>
      </c>
      <c r="BG16" s="82">
        <f t="shared" si="4"/>
        <v>-25.900000000000006</v>
      </c>
    </row>
    <row r="17" spans="1:61" ht="15.75" thickBot="1">
      <c r="A17" s="6">
        <f>ELEC!C15</f>
        <v>44632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627273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7023</v>
      </c>
      <c r="L17" s="83">
        <f t="shared" si="39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5181</v>
      </c>
      <c r="U17" s="5">
        <f t="shared" si="3"/>
        <v>0</v>
      </c>
      <c r="V17" s="5">
        <f t="shared" si="14"/>
        <v>478</v>
      </c>
      <c r="W17" s="309">
        <f t="shared" si="15"/>
        <v>0</v>
      </c>
      <c r="X17" s="5">
        <f t="shared" si="16"/>
        <v>155017</v>
      </c>
      <c r="Y17" s="309">
        <f t="shared" si="40"/>
        <v>0</v>
      </c>
      <c r="Z17" s="5">
        <f t="shared" si="17"/>
        <v>99301</v>
      </c>
      <c r="AA17" s="83">
        <f t="shared" si="18"/>
        <v>0</v>
      </c>
      <c r="AB17" s="5">
        <f t="shared" si="19"/>
        <v>238</v>
      </c>
      <c r="AC17" s="5">
        <f t="shared" si="20"/>
        <v>790</v>
      </c>
      <c r="AD17" s="83">
        <f t="shared" si="33"/>
        <v>0</v>
      </c>
      <c r="AE17" s="5">
        <f t="shared" si="21"/>
        <v>239.96</v>
      </c>
      <c r="AF17" s="83">
        <f t="shared" si="22"/>
        <v>0</v>
      </c>
      <c r="AG17" s="5">
        <f t="shared" si="23"/>
        <v>2218.1999999999998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44632</v>
      </c>
      <c r="AS17" s="407">
        <f t="shared" si="29"/>
        <v>0.9</v>
      </c>
      <c r="AT17" s="201">
        <f t="shared" si="29"/>
        <v>18</v>
      </c>
      <c r="AU17" s="408">
        <f t="shared" si="41"/>
        <v>1.1000000000000001</v>
      </c>
      <c r="AV17" s="201">
        <f t="shared" si="42"/>
        <v>111</v>
      </c>
      <c r="AW17" s="5">
        <v>2.9</v>
      </c>
      <c r="AX17" s="201">
        <f t="shared" si="43"/>
        <v>117</v>
      </c>
      <c r="AY17" s="409">
        <f t="shared" si="35"/>
        <v>16.2</v>
      </c>
      <c r="AZ17" s="409">
        <f t="shared" si="36"/>
        <v>122.10000000000001</v>
      </c>
      <c r="BA17" s="409">
        <f t="shared" si="37"/>
        <v>339.3</v>
      </c>
      <c r="BB17" s="21">
        <f t="shared" si="38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44633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627273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7023</v>
      </c>
      <c r="L18" s="83">
        <f t="shared" si="39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5181</v>
      </c>
      <c r="U18" s="5">
        <f t="shared" si="3"/>
        <v>0</v>
      </c>
      <c r="V18" s="5">
        <f t="shared" si="14"/>
        <v>478</v>
      </c>
      <c r="W18" s="309">
        <f t="shared" si="15"/>
        <v>0</v>
      </c>
      <c r="X18" s="5">
        <f t="shared" si="16"/>
        <v>155017</v>
      </c>
      <c r="Y18" s="309">
        <f t="shared" si="40"/>
        <v>0</v>
      </c>
      <c r="Z18" s="5">
        <f t="shared" si="17"/>
        <v>99301</v>
      </c>
      <c r="AA18" s="83">
        <f t="shared" si="18"/>
        <v>0</v>
      </c>
      <c r="AB18" s="5">
        <f t="shared" si="19"/>
        <v>238</v>
      </c>
      <c r="AC18" s="5">
        <f t="shared" si="20"/>
        <v>790</v>
      </c>
      <c r="AD18" s="83">
        <f t="shared" si="33"/>
        <v>0</v>
      </c>
      <c r="AE18" s="5">
        <f t="shared" si="21"/>
        <v>239.96</v>
      </c>
      <c r="AF18" s="83">
        <f t="shared" si="22"/>
        <v>0</v>
      </c>
      <c r="AG18" s="5">
        <f t="shared" si="23"/>
        <v>2218.1999999999998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11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44633</v>
      </c>
      <c r="AS18" s="407">
        <f t="shared" si="29"/>
        <v>0.9</v>
      </c>
      <c r="AT18" s="201">
        <f t="shared" si="29"/>
        <v>18</v>
      </c>
      <c r="AU18" s="408">
        <f t="shared" si="41"/>
        <v>1.1000000000000001</v>
      </c>
      <c r="AV18" s="201">
        <f t="shared" si="42"/>
        <v>111</v>
      </c>
      <c r="AW18" s="5">
        <v>2.9</v>
      </c>
      <c r="AX18" s="201">
        <v>116</v>
      </c>
      <c r="AY18" s="409">
        <f t="shared" si="35"/>
        <v>16.2</v>
      </c>
      <c r="AZ18" s="409">
        <f t="shared" si="36"/>
        <v>122.10000000000001</v>
      </c>
      <c r="BA18" s="409">
        <f t="shared" si="37"/>
        <v>336.4</v>
      </c>
      <c r="BB18" s="21">
        <f t="shared" si="38"/>
        <v>0</v>
      </c>
      <c r="BC18" s="21">
        <f t="shared" si="30"/>
        <v>0</v>
      </c>
      <c r="BD18" s="21">
        <f t="shared" si="30"/>
        <v>-2.9000000000000341</v>
      </c>
      <c r="BE18" s="24">
        <f t="shared" si="31"/>
        <v>-2.9000000000000341</v>
      </c>
      <c r="BF18" s="96">
        <f t="shared" si="32"/>
        <v>2.9000000000000341</v>
      </c>
      <c r="BG18" s="82">
        <f t="shared" si="4"/>
        <v>-2.9000000000000341</v>
      </c>
    </row>
    <row r="19" spans="1:61" ht="15.75" thickBot="1">
      <c r="A19" s="6">
        <f>ELEC!C17</f>
        <v>44634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v>627523</v>
      </c>
      <c r="H19" s="5">
        <f t="shared" si="9"/>
        <v>250</v>
      </c>
      <c r="I19" s="5">
        <f t="shared" si="10"/>
        <v>250</v>
      </c>
      <c r="J19" s="319">
        <f t="shared" si="0"/>
        <v>0.967741935483871</v>
      </c>
      <c r="K19" s="5">
        <f>'Swimming Pool quality check '!H19</f>
        <v>7023</v>
      </c>
      <c r="L19" s="83">
        <f t="shared" si="39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5181</v>
      </c>
      <c r="U19" s="5">
        <f t="shared" si="3"/>
        <v>0</v>
      </c>
      <c r="V19" s="5">
        <f t="shared" si="14"/>
        <v>478</v>
      </c>
      <c r="W19" s="309">
        <f t="shared" si="15"/>
        <v>0</v>
      </c>
      <c r="X19" s="5">
        <f t="shared" si="16"/>
        <v>155017</v>
      </c>
      <c r="Y19" s="309">
        <f t="shared" si="40"/>
        <v>0</v>
      </c>
      <c r="Z19" s="5">
        <f t="shared" si="17"/>
        <v>99301</v>
      </c>
      <c r="AA19" s="83">
        <f t="shared" si="18"/>
        <v>0</v>
      </c>
      <c r="AB19" s="5">
        <f t="shared" si="19"/>
        <v>238</v>
      </c>
      <c r="AC19" s="5">
        <f t="shared" si="20"/>
        <v>790</v>
      </c>
      <c r="AD19" s="83">
        <f t="shared" si="33"/>
        <v>0</v>
      </c>
      <c r="AE19" s="5">
        <f t="shared" si="21"/>
        <v>239.96</v>
      </c>
      <c r="AF19" s="83">
        <f t="shared" si="22"/>
        <v>0</v>
      </c>
      <c r="AG19" s="5">
        <f t="shared" si="23"/>
        <v>2218.1999999999998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10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44634</v>
      </c>
      <c r="AS19" s="407">
        <f t="shared" si="29"/>
        <v>0.9</v>
      </c>
      <c r="AT19" s="201">
        <v>178</v>
      </c>
      <c r="AU19" s="408">
        <f t="shared" si="41"/>
        <v>1.1000000000000001</v>
      </c>
      <c r="AV19" s="201">
        <v>110</v>
      </c>
      <c r="AW19" s="5">
        <v>2.9</v>
      </c>
      <c r="AX19" s="201">
        <v>114</v>
      </c>
      <c r="AY19" s="409">
        <f>AS19*AT19</f>
        <v>160.20000000000002</v>
      </c>
      <c r="AZ19" s="409">
        <f>AU19*AV19</f>
        <v>121.00000000000001</v>
      </c>
      <c r="BA19" s="409">
        <f>AW19*AX19</f>
        <v>330.59999999999997</v>
      </c>
      <c r="BB19" s="21">
        <f t="shared" si="38"/>
        <v>144.00000000000003</v>
      </c>
      <c r="BC19" s="21">
        <f t="shared" ref="BB19:BD20" si="47">AZ19-AZ18</f>
        <v>-1.0999999999999943</v>
      </c>
      <c r="BD19" s="21">
        <f t="shared" si="47"/>
        <v>-5.8000000000000114</v>
      </c>
      <c r="BE19" s="24">
        <f>SUM(BB19:BD19)</f>
        <v>137.10000000000002</v>
      </c>
      <c r="BF19" s="96">
        <f t="shared" si="32"/>
        <v>112.89999999999998</v>
      </c>
      <c r="BG19" s="82">
        <f t="shared" si="4"/>
        <v>137.10000000000002</v>
      </c>
    </row>
    <row r="20" spans="1:61" ht="15.75" thickBot="1">
      <c r="A20" s="6">
        <f>ELEC!C18</f>
        <v>44635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627523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7033</v>
      </c>
      <c r="L20" s="83">
        <f t="shared" si="39"/>
        <v>10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5181</v>
      </c>
      <c r="U20" s="5">
        <f t="shared" si="3"/>
        <v>0</v>
      </c>
      <c r="V20" s="5">
        <f t="shared" si="14"/>
        <v>478</v>
      </c>
      <c r="W20" s="309">
        <f t="shared" si="15"/>
        <v>0</v>
      </c>
      <c r="X20" s="5">
        <f t="shared" si="16"/>
        <v>155017</v>
      </c>
      <c r="Y20" s="309">
        <f t="shared" si="40"/>
        <v>0</v>
      </c>
      <c r="Z20" s="5">
        <f t="shared" si="17"/>
        <v>99301</v>
      </c>
      <c r="AA20" s="83">
        <f t="shared" si="18"/>
        <v>0</v>
      </c>
      <c r="AB20" s="5">
        <f t="shared" si="19"/>
        <v>238</v>
      </c>
      <c r="AC20" s="5">
        <f t="shared" si="20"/>
        <v>790</v>
      </c>
      <c r="AD20" s="83">
        <f t="shared" si="33"/>
        <v>0</v>
      </c>
      <c r="AE20" s="5">
        <f t="shared" si="21"/>
        <v>239.96</v>
      </c>
      <c r="AF20" s="83">
        <f t="shared" si="22"/>
        <v>0</v>
      </c>
      <c r="AG20" s="5">
        <f t="shared" si="23"/>
        <v>2218.1999999999998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-10</v>
      </c>
      <c r="AL20" s="312">
        <f t="shared" si="27"/>
        <v>0</v>
      </c>
      <c r="AM20" s="312">
        <f>'General information '!D19</f>
        <v>7.5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44635</v>
      </c>
      <c r="AS20" s="407">
        <f t="shared" si="29"/>
        <v>0.9</v>
      </c>
      <c r="AT20" s="201">
        <f t="shared" si="29"/>
        <v>178</v>
      </c>
      <c r="AU20" s="408">
        <f t="shared" si="41"/>
        <v>1.1000000000000001</v>
      </c>
      <c r="AV20" s="201">
        <v>109</v>
      </c>
      <c r="AW20" s="5">
        <v>2.9</v>
      </c>
      <c r="AX20" s="201">
        <v>111</v>
      </c>
      <c r="AY20" s="409">
        <f>AS20*AT20</f>
        <v>160.20000000000002</v>
      </c>
      <c r="AZ20" s="409">
        <f>AU20*AV20</f>
        <v>119.9</v>
      </c>
      <c r="BA20" s="409">
        <f>AW20*AX20</f>
        <v>321.89999999999998</v>
      </c>
      <c r="BB20" s="21">
        <f t="shared" si="47"/>
        <v>0</v>
      </c>
      <c r="BC20" s="21">
        <f t="shared" si="47"/>
        <v>-1.1000000000000085</v>
      </c>
      <c r="BD20" s="21">
        <f t="shared" si="47"/>
        <v>-8.6999999999999886</v>
      </c>
      <c r="BE20" s="24">
        <f>SUM(BB20:BD20)</f>
        <v>-9.7999999999999972</v>
      </c>
      <c r="BF20" s="96">
        <f t="shared" si="32"/>
        <v>9.7999999999999972</v>
      </c>
      <c r="BG20" s="82">
        <f t="shared" si="4"/>
        <v>-9.7999999999999972</v>
      </c>
    </row>
    <row r="21" spans="1:61" ht="15.75" thickBot="1">
      <c r="A21" s="6">
        <f>ELEC!C19</f>
        <v>44636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627523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7033</v>
      </c>
      <c r="L21" s="83">
        <f t="shared" si="39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5181</v>
      </c>
      <c r="U21" s="5">
        <f t="shared" si="3"/>
        <v>0</v>
      </c>
      <c r="V21" s="5">
        <f t="shared" si="14"/>
        <v>478</v>
      </c>
      <c r="W21" s="309">
        <f t="shared" si="15"/>
        <v>0</v>
      </c>
      <c r="X21" s="5">
        <f t="shared" si="16"/>
        <v>155017</v>
      </c>
      <c r="Y21" s="309">
        <f>SUM(X21-X20)</f>
        <v>0</v>
      </c>
      <c r="Z21" s="5">
        <f t="shared" si="17"/>
        <v>99301</v>
      </c>
      <c r="AA21" s="83">
        <f t="shared" si="18"/>
        <v>0</v>
      </c>
      <c r="AB21" s="5">
        <f t="shared" si="19"/>
        <v>238</v>
      </c>
      <c r="AC21" s="5">
        <f t="shared" si="20"/>
        <v>790</v>
      </c>
      <c r="AD21" s="83">
        <f t="shared" si="33"/>
        <v>0</v>
      </c>
      <c r="AE21" s="5">
        <f t="shared" si="21"/>
        <v>239.96</v>
      </c>
      <c r="AF21" s="83">
        <f t="shared" si="22"/>
        <v>0</v>
      </c>
      <c r="AG21" s="5">
        <f t="shared" si="23"/>
        <v>2218.1999999999998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44636</v>
      </c>
      <c r="AS21" s="407">
        <f t="shared" si="29"/>
        <v>0.9</v>
      </c>
      <c r="AT21" s="201">
        <v>176</v>
      </c>
      <c r="AU21" s="408">
        <f t="shared" si="41"/>
        <v>1.1000000000000001</v>
      </c>
      <c r="AV21" s="201">
        <v>106</v>
      </c>
      <c r="AW21" s="5">
        <v>2.9</v>
      </c>
      <c r="AX21" s="201">
        <v>109</v>
      </c>
      <c r="AY21" s="409">
        <f>AS21*AT21</f>
        <v>158.4</v>
      </c>
      <c r="AZ21" s="409">
        <f>AU21*AV21</f>
        <v>116.60000000000001</v>
      </c>
      <c r="BA21" s="409">
        <f>AW21*AX21</f>
        <v>316.09999999999997</v>
      </c>
      <c r="BB21" s="21">
        <f t="shared" ref="BB21:BD33" si="48">AY21-AY20</f>
        <v>-1.8000000000000114</v>
      </c>
      <c r="BC21" s="21">
        <f t="shared" si="30"/>
        <v>-3.2999999999999972</v>
      </c>
      <c r="BD21" s="21">
        <f t="shared" si="30"/>
        <v>-5.8000000000000114</v>
      </c>
      <c r="BE21" s="24">
        <f t="shared" si="31"/>
        <v>-10.90000000000002</v>
      </c>
      <c r="BF21" s="96">
        <f t="shared" si="32"/>
        <v>10.90000000000002</v>
      </c>
      <c r="BG21" s="82">
        <f t="shared" si="4"/>
        <v>-10.90000000000002</v>
      </c>
    </row>
    <row r="22" spans="1:61" ht="15.75" thickBot="1">
      <c r="A22" s="6">
        <f>ELEC!C20</f>
        <v>44637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627523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7033</v>
      </c>
      <c r="L22" s="83">
        <f t="shared" si="39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5181</v>
      </c>
      <c r="U22" s="5">
        <f t="shared" si="3"/>
        <v>0</v>
      </c>
      <c r="V22" s="5">
        <f t="shared" si="14"/>
        <v>478</v>
      </c>
      <c r="W22" s="309">
        <f t="shared" si="15"/>
        <v>0</v>
      </c>
      <c r="X22" s="5">
        <f t="shared" si="16"/>
        <v>155017</v>
      </c>
      <c r="Y22" s="309">
        <f t="shared" si="40"/>
        <v>0</v>
      </c>
      <c r="Z22" s="5">
        <f t="shared" si="17"/>
        <v>99301</v>
      </c>
      <c r="AA22" s="83">
        <f t="shared" si="18"/>
        <v>0</v>
      </c>
      <c r="AB22" s="5">
        <f t="shared" si="19"/>
        <v>238</v>
      </c>
      <c r="AC22" s="5">
        <f t="shared" si="20"/>
        <v>790</v>
      </c>
      <c r="AD22" s="83">
        <f t="shared" si="33"/>
        <v>0</v>
      </c>
      <c r="AE22" s="5">
        <f t="shared" si="21"/>
        <v>239.96</v>
      </c>
      <c r="AF22" s="83">
        <f t="shared" si="22"/>
        <v>0</v>
      </c>
      <c r="AG22" s="5">
        <f t="shared" si="23"/>
        <v>2218.1999999999998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12.5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44637</v>
      </c>
      <c r="AS22" s="407">
        <f t="shared" ref="AS22:AT33" si="49">AS21</f>
        <v>0.9</v>
      </c>
      <c r="AT22" s="201">
        <f t="shared" si="49"/>
        <v>176</v>
      </c>
      <c r="AU22" s="408">
        <f t="shared" si="41"/>
        <v>1.1000000000000001</v>
      </c>
      <c r="AV22" s="201">
        <v>105</v>
      </c>
      <c r="AW22" s="5">
        <v>2.9</v>
      </c>
      <c r="AX22" s="201">
        <v>105</v>
      </c>
      <c r="AY22" s="409">
        <f t="shared" si="35"/>
        <v>158.4</v>
      </c>
      <c r="AZ22" s="409">
        <f t="shared" si="36"/>
        <v>115.50000000000001</v>
      </c>
      <c r="BA22" s="409">
        <f t="shared" si="37"/>
        <v>304.5</v>
      </c>
      <c r="BB22" s="21">
        <f>AY22-AY21</f>
        <v>0</v>
      </c>
      <c r="BC22" s="21">
        <f t="shared" si="48"/>
        <v>-1.0999999999999943</v>
      </c>
      <c r="BD22" s="21">
        <f t="shared" si="48"/>
        <v>-11.599999999999966</v>
      </c>
      <c r="BE22" s="24">
        <f t="shared" si="31"/>
        <v>-12.69999999999996</v>
      </c>
      <c r="BF22" s="96">
        <f t="shared" si="32"/>
        <v>12.69999999999996</v>
      </c>
      <c r="BG22" s="82">
        <f t="shared" si="4"/>
        <v>-12.69999999999996</v>
      </c>
    </row>
    <row r="23" spans="1:61" ht="15.75" thickBot="1">
      <c r="A23" s="6">
        <f>ELEC!C21</f>
        <v>44638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627523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7033</v>
      </c>
      <c r="L23" s="263">
        <f t="shared" si="39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5181</v>
      </c>
      <c r="U23" s="5">
        <f t="shared" si="3"/>
        <v>0</v>
      </c>
      <c r="V23" s="5">
        <f t="shared" si="14"/>
        <v>478</v>
      </c>
      <c r="W23" s="309">
        <f t="shared" si="15"/>
        <v>0</v>
      </c>
      <c r="X23" s="5">
        <f t="shared" si="16"/>
        <v>155017</v>
      </c>
      <c r="Y23" s="309">
        <f t="shared" si="40"/>
        <v>0</v>
      </c>
      <c r="Z23" s="5">
        <f t="shared" si="17"/>
        <v>99301</v>
      </c>
      <c r="AA23" s="83">
        <f t="shared" si="18"/>
        <v>0</v>
      </c>
      <c r="AB23" s="5">
        <f t="shared" si="19"/>
        <v>238</v>
      </c>
      <c r="AC23" s="5">
        <f t="shared" si="20"/>
        <v>790</v>
      </c>
      <c r="AD23" s="83">
        <f t="shared" si="33"/>
        <v>0</v>
      </c>
      <c r="AE23" s="5">
        <f t="shared" si="21"/>
        <v>239.96</v>
      </c>
      <c r="AF23" s="83">
        <f t="shared" si="22"/>
        <v>0</v>
      </c>
      <c r="AG23" s="5">
        <f t="shared" si="23"/>
        <v>2218.1999999999998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44638</v>
      </c>
      <c r="AS23" s="407">
        <f t="shared" si="49"/>
        <v>0.9</v>
      </c>
      <c r="AT23" s="201">
        <f t="shared" si="49"/>
        <v>176</v>
      </c>
      <c r="AU23" s="408">
        <f t="shared" si="41"/>
        <v>1.1000000000000001</v>
      </c>
      <c r="AV23" s="201">
        <f t="shared" si="42"/>
        <v>105</v>
      </c>
      <c r="AW23" s="5">
        <v>2.9</v>
      </c>
      <c r="AX23" s="201">
        <f t="shared" si="43"/>
        <v>105</v>
      </c>
      <c r="AY23" s="409">
        <f t="shared" si="35"/>
        <v>158.4</v>
      </c>
      <c r="AZ23" s="409">
        <f t="shared" si="36"/>
        <v>115.50000000000001</v>
      </c>
      <c r="BA23" s="409">
        <f t="shared" si="37"/>
        <v>304.5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44639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627523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7033</v>
      </c>
      <c r="L24" s="263">
        <f t="shared" si="39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5181</v>
      </c>
      <c r="U24" s="5">
        <f t="shared" si="3"/>
        <v>0</v>
      </c>
      <c r="V24" s="5">
        <f t="shared" si="14"/>
        <v>478</v>
      </c>
      <c r="W24" s="309">
        <f t="shared" si="15"/>
        <v>0</v>
      </c>
      <c r="X24" s="5">
        <f t="shared" si="16"/>
        <v>155017</v>
      </c>
      <c r="Y24" s="309">
        <f t="shared" si="40"/>
        <v>0</v>
      </c>
      <c r="Z24" s="5">
        <f t="shared" si="17"/>
        <v>99301</v>
      </c>
      <c r="AA24" s="83">
        <f t="shared" si="18"/>
        <v>0</v>
      </c>
      <c r="AB24" s="5">
        <f t="shared" si="19"/>
        <v>238</v>
      </c>
      <c r="AC24" s="5">
        <f t="shared" si="20"/>
        <v>790</v>
      </c>
      <c r="AD24" s="83">
        <f t="shared" si="33"/>
        <v>0</v>
      </c>
      <c r="AE24" s="5">
        <f t="shared" si="21"/>
        <v>239.96</v>
      </c>
      <c r="AF24" s="83">
        <f t="shared" si="22"/>
        <v>0</v>
      </c>
      <c r="AG24" s="5">
        <f t="shared" si="23"/>
        <v>2218.1999999999998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44639</v>
      </c>
      <c r="AS24" s="407">
        <f t="shared" si="49"/>
        <v>0.9</v>
      </c>
      <c r="AT24" s="201">
        <f t="shared" si="49"/>
        <v>176</v>
      </c>
      <c r="AU24" s="408">
        <f t="shared" si="41"/>
        <v>1.1000000000000001</v>
      </c>
      <c r="AV24" s="201">
        <f t="shared" si="42"/>
        <v>105</v>
      </c>
      <c r="AW24" s="5">
        <v>2.9</v>
      </c>
      <c r="AX24" s="201">
        <f t="shared" si="43"/>
        <v>105</v>
      </c>
      <c r="AY24" s="409">
        <f t="shared" si="35"/>
        <v>158.4</v>
      </c>
      <c r="AZ24" s="409">
        <f t="shared" si="36"/>
        <v>115.50000000000001</v>
      </c>
      <c r="BA24" s="409">
        <f t="shared" si="37"/>
        <v>304.5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44640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627523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7033</v>
      </c>
      <c r="L25" s="263">
        <f t="shared" si="39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5181</v>
      </c>
      <c r="U25" s="5">
        <f t="shared" si="3"/>
        <v>0</v>
      </c>
      <c r="V25" s="5">
        <f t="shared" si="14"/>
        <v>478</v>
      </c>
      <c r="W25" s="309">
        <f t="shared" si="15"/>
        <v>0</v>
      </c>
      <c r="X25" s="5">
        <f t="shared" si="16"/>
        <v>155017</v>
      </c>
      <c r="Y25" s="309">
        <f t="shared" si="40"/>
        <v>0</v>
      </c>
      <c r="Z25" s="5">
        <f t="shared" si="17"/>
        <v>99301</v>
      </c>
      <c r="AA25" s="83">
        <f t="shared" si="18"/>
        <v>0</v>
      </c>
      <c r="AB25" s="5">
        <f t="shared" si="19"/>
        <v>238</v>
      </c>
      <c r="AC25" s="5">
        <f t="shared" si="20"/>
        <v>790</v>
      </c>
      <c r="AD25" s="83">
        <f t="shared" si="33"/>
        <v>0</v>
      </c>
      <c r="AE25" s="5">
        <f t="shared" si="21"/>
        <v>239.96</v>
      </c>
      <c r="AF25" s="83">
        <f t="shared" si="22"/>
        <v>0</v>
      </c>
      <c r="AG25" s="5">
        <f t="shared" si="23"/>
        <v>2218.1999999999998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0</v>
      </c>
      <c r="AL25" s="312">
        <f t="shared" si="27"/>
        <v>0</v>
      </c>
      <c r="AM25" s="312">
        <f>'General information '!D24</f>
        <v>10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44640</v>
      </c>
      <c r="AS25" s="407">
        <f t="shared" si="49"/>
        <v>0.9</v>
      </c>
      <c r="AT25" s="201">
        <f t="shared" si="49"/>
        <v>176</v>
      </c>
      <c r="AU25" s="408">
        <f t="shared" si="41"/>
        <v>1.1000000000000001</v>
      </c>
      <c r="AV25" s="201">
        <v>100</v>
      </c>
      <c r="AW25" s="5">
        <v>2.9</v>
      </c>
      <c r="AX25" s="201">
        <v>101</v>
      </c>
      <c r="AY25" s="409">
        <f t="shared" si="35"/>
        <v>158.4</v>
      </c>
      <c r="AZ25" s="409">
        <f t="shared" si="36"/>
        <v>110.00000000000001</v>
      </c>
      <c r="BA25" s="409">
        <f t="shared" si="37"/>
        <v>292.89999999999998</v>
      </c>
      <c r="BB25" s="21">
        <f t="shared" si="48"/>
        <v>0</v>
      </c>
      <c r="BC25" s="21">
        <f t="shared" si="48"/>
        <v>-5.5</v>
      </c>
      <c r="BD25" s="21">
        <f t="shared" si="48"/>
        <v>-11.600000000000023</v>
      </c>
      <c r="BE25" s="24">
        <f t="shared" si="31"/>
        <v>-17.100000000000023</v>
      </c>
      <c r="BF25" s="96">
        <f t="shared" si="32"/>
        <v>17.100000000000023</v>
      </c>
      <c r="BG25" s="82">
        <f t="shared" si="4"/>
        <v>-17.100000000000023</v>
      </c>
    </row>
    <row r="26" spans="1:61" ht="15.75" thickBot="1">
      <c r="A26" s="6">
        <f>ELEC!C24</f>
        <v>44641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v>627704</v>
      </c>
      <c r="H26" s="5">
        <f>G26-G25</f>
        <v>181</v>
      </c>
      <c r="I26" s="5">
        <f t="shared" si="10"/>
        <v>181</v>
      </c>
      <c r="J26" s="319">
        <f t="shared" si="0"/>
        <v>1.3366601318837996</v>
      </c>
      <c r="K26" s="5">
        <f>'Swimming Pool quality check '!H26</f>
        <v>7033</v>
      </c>
      <c r="L26" s="263">
        <f t="shared" si="39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5181</v>
      </c>
      <c r="U26" s="5">
        <f t="shared" si="3"/>
        <v>0</v>
      </c>
      <c r="V26" s="5">
        <v>482</v>
      </c>
      <c r="W26" s="309">
        <f t="shared" si="15"/>
        <v>4</v>
      </c>
      <c r="X26" s="5">
        <v>155118</v>
      </c>
      <c r="Y26" s="309">
        <f t="shared" si="40"/>
        <v>101</v>
      </c>
      <c r="Z26" s="5">
        <v>99327</v>
      </c>
      <c r="AA26" s="83">
        <f t="shared" si="18"/>
        <v>26</v>
      </c>
      <c r="AB26" s="5">
        <f t="shared" si="19"/>
        <v>238</v>
      </c>
      <c r="AC26" s="5">
        <f t="shared" si="20"/>
        <v>790</v>
      </c>
      <c r="AD26" s="83">
        <f t="shared" si="33"/>
        <v>0</v>
      </c>
      <c r="AE26" s="5">
        <f t="shared" si="21"/>
        <v>239.96</v>
      </c>
      <c r="AF26" s="83">
        <f t="shared" si="22"/>
        <v>0</v>
      </c>
      <c r="AG26" s="5">
        <f t="shared" si="23"/>
        <v>2218.1999999999998</v>
      </c>
      <c r="AH26" s="83">
        <f t="shared" si="24"/>
        <v>0</v>
      </c>
      <c r="AI26" s="83">
        <f t="shared" si="25"/>
        <v>0</v>
      </c>
      <c r="AJ26" s="311">
        <f t="shared" si="26"/>
        <v>26</v>
      </c>
      <c r="AK26" s="312">
        <f>SUM(Y26-L26)</f>
        <v>101</v>
      </c>
      <c r="AL26" s="312">
        <f>SUM(AJ26-W26)</f>
        <v>22</v>
      </c>
      <c r="AM26" s="312">
        <f>'General information '!D25</f>
        <v>11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44641</v>
      </c>
      <c r="AS26" s="407">
        <f t="shared" si="49"/>
        <v>0.9</v>
      </c>
      <c r="AT26" s="201">
        <v>137</v>
      </c>
      <c r="AU26" s="408">
        <f t="shared" si="41"/>
        <v>1.1000000000000001</v>
      </c>
      <c r="AV26" s="201">
        <v>121</v>
      </c>
      <c r="AW26" s="5">
        <v>2.9</v>
      </c>
      <c r="AX26" s="201">
        <v>127</v>
      </c>
      <c r="AY26" s="409">
        <f t="shared" si="35"/>
        <v>123.3</v>
      </c>
      <c r="AZ26" s="409">
        <f t="shared" si="36"/>
        <v>133.10000000000002</v>
      </c>
      <c r="BA26" s="409">
        <f t="shared" si="37"/>
        <v>368.3</v>
      </c>
      <c r="BB26" s="21">
        <f>AY26-AY25</f>
        <v>-35.100000000000009</v>
      </c>
      <c r="BC26" s="21">
        <f t="shared" si="48"/>
        <v>23.100000000000009</v>
      </c>
      <c r="BD26" s="21">
        <f t="shared" si="48"/>
        <v>75.400000000000034</v>
      </c>
      <c r="BE26" s="24">
        <f t="shared" si="31"/>
        <v>63.400000000000034</v>
      </c>
      <c r="BF26" s="96">
        <f t="shared" si="32"/>
        <v>117.59999999999997</v>
      </c>
      <c r="BG26" s="82">
        <f t="shared" si="4"/>
        <v>63.400000000000034</v>
      </c>
    </row>
    <row r="27" spans="1:61" ht="15.75" thickBot="1">
      <c r="A27" s="6">
        <f>ELEC!C25</f>
        <v>44642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627704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7033</v>
      </c>
      <c r="L27" s="263">
        <f t="shared" si="39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5181</v>
      </c>
      <c r="U27" s="5">
        <f t="shared" si="3"/>
        <v>0</v>
      </c>
      <c r="V27" s="5">
        <f t="shared" si="14"/>
        <v>482</v>
      </c>
      <c r="W27" s="309">
        <f t="shared" si="15"/>
        <v>0</v>
      </c>
      <c r="X27" s="5">
        <f t="shared" si="16"/>
        <v>155118</v>
      </c>
      <c r="Y27" s="309">
        <f t="shared" si="40"/>
        <v>0</v>
      </c>
      <c r="Z27" s="5">
        <f t="shared" si="17"/>
        <v>99327</v>
      </c>
      <c r="AA27" s="83">
        <f t="shared" si="18"/>
        <v>0</v>
      </c>
      <c r="AB27" s="5">
        <f t="shared" si="19"/>
        <v>238</v>
      </c>
      <c r="AC27" s="5">
        <f t="shared" si="20"/>
        <v>790</v>
      </c>
      <c r="AD27" s="83">
        <f t="shared" si="33"/>
        <v>0</v>
      </c>
      <c r="AE27" s="5">
        <f t="shared" si="21"/>
        <v>239.96</v>
      </c>
      <c r="AF27" s="83">
        <f t="shared" si="22"/>
        <v>0</v>
      </c>
      <c r="AG27" s="5">
        <f t="shared" si="23"/>
        <v>2218.1999999999998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13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44642</v>
      </c>
      <c r="AS27" s="407">
        <f t="shared" si="49"/>
        <v>0.9</v>
      </c>
      <c r="AT27" s="201">
        <f t="shared" si="49"/>
        <v>137</v>
      </c>
      <c r="AU27" s="408">
        <f t="shared" si="41"/>
        <v>1.1000000000000001</v>
      </c>
      <c r="AV27" s="201">
        <v>117</v>
      </c>
      <c r="AW27" s="5">
        <v>2.9</v>
      </c>
      <c r="AX27" s="201">
        <v>124</v>
      </c>
      <c r="AY27" s="409">
        <f t="shared" si="35"/>
        <v>123.3</v>
      </c>
      <c r="AZ27" s="409">
        <f t="shared" si="36"/>
        <v>128.70000000000002</v>
      </c>
      <c r="BA27" s="409">
        <f t="shared" si="37"/>
        <v>359.59999999999997</v>
      </c>
      <c r="BB27" s="21">
        <f t="shared" si="48"/>
        <v>0</v>
      </c>
      <c r="BC27" s="21">
        <f t="shared" si="48"/>
        <v>-4.4000000000000057</v>
      </c>
      <c r="BD27" s="21">
        <f t="shared" si="48"/>
        <v>-8.7000000000000455</v>
      </c>
      <c r="BE27" s="24">
        <f t="shared" si="31"/>
        <v>-13.100000000000051</v>
      </c>
      <c r="BF27" s="96">
        <f t="shared" si="32"/>
        <v>13.100000000000051</v>
      </c>
      <c r="BG27" s="82">
        <f t="shared" si="4"/>
        <v>-13.100000000000051</v>
      </c>
    </row>
    <row r="28" spans="1:61" ht="15.75" thickBot="1">
      <c r="A28" s="6">
        <f>ELEC!C26</f>
        <v>44643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627704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7033</v>
      </c>
      <c r="L28" s="263">
        <f t="shared" si="39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5181</v>
      </c>
      <c r="U28" s="5">
        <f t="shared" si="3"/>
        <v>0</v>
      </c>
      <c r="V28" s="5">
        <f t="shared" si="14"/>
        <v>482</v>
      </c>
      <c r="W28" s="309">
        <f t="shared" si="15"/>
        <v>0</v>
      </c>
      <c r="X28" s="5">
        <f t="shared" si="16"/>
        <v>155118</v>
      </c>
      <c r="Y28" s="309">
        <f t="shared" si="40"/>
        <v>0</v>
      </c>
      <c r="Z28" s="5">
        <f t="shared" si="17"/>
        <v>99327</v>
      </c>
      <c r="AA28" s="83">
        <f t="shared" si="18"/>
        <v>0</v>
      </c>
      <c r="AB28" s="5">
        <f t="shared" si="19"/>
        <v>238</v>
      </c>
      <c r="AC28" s="5">
        <f t="shared" si="20"/>
        <v>790</v>
      </c>
      <c r="AD28" s="83">
        <f t="shared" si="33"/>
        <v>0</v>
      </c>
      <c r="AE28" s="5">
        <f t="shared" si="21"/>
        <v>239.96</v>
      </c>
      <c r="AF28" s="83">
        <f t="shared" si="22"/>
        <v>0</v>
      </c>
      <c r="AG28" s="5">
        <f t="shared" si="23"/>
        <v>2218.1999999999998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12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44643</v>
      </c>
      <c r="AS28" s="407">
        <f t="shared" si="49"/>
        <v>0.9</v>
      </c>
      <c r="AT28" s="201">
        <f t="shared" si="49"/>
        <v>137</v>
      </c>
      <c r="AU28" s="408">
        <f t="shared" si="41"/>
        <v>1.1000000000000001</v>
      </c>
      <c r="AV28" s="201">
        <v>116</v>
      </c>
      <c r="AW28" s="5">
        <v>2.9</v>
      </c>
      <c r="AX28" s="201">
        <v>120</v>
      </c>
      <c r="AY28" s="409">
        <f t="shared" si="35"/>
        <v>123.3</v>
      </c>
      <c r="AZ28" s="409">
        <f t="shared" si="36"/>
        <v>127.60000000000001</v>
      </c>
      <c r="BA28" s="409">
        <f t="shared" si="37"/>
        <v>348</v>
      </c>
      <c r="BB28" s="21">
        <f t="shared" si="48"/>
        <v>0</v>
      </c>
      <c r="BC28" s="21">
        <f t="shared" si="48"/>
        <v>-1.1000000000000085</v>
      </c>
      <c r="BD28" s="21">
        <f t="shared" si="48"/>
        <v>-11.599999999999966</v>
      </c>
      <c r="BE28" s="24">
        <f t="shared" si="31"/>
        <v>-12.699999999999974</v>
      </c>
      <c r="BF28" s="96">
        <f t="shared" si="32"/>
        <v>12.699999999999974</v>
      </c>
      <c r="BG28" s="82">
        <f t="shared" si="4"/>
        <v>-12.699999999999974</v>
      </c>
    </row>
    <row r="29" spans="1:61" ht="15.75" thickBot="1">
      <c r="A29" s="6">
        <f>ELEC!C27</f>
        <v>44644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627704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7033</v>
      </c>
      <c r="L29" s="263">
        <f t="shared" si="39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5181</v>
      </c>
      <c r="U29" s="5">
        <f t="shared" si="3"/>
        <v>0</v>
      </c>
      <c r="V29" s="5">
        <f t="shared" si="14"/>
        <v>482</v>
      </c>
      <c r="W29" s="309">
        <f t="shared" si="15"/>
        <v>0</v>
      </c>
      <c r="X29" s="5">
        <f t="shared" si="16"/>
        <v>155118</v>
      </c>
      <c r="Y29" s="309">
        <f t="shared" si="40"/>
        <v>0</v>
      </c>
      <c r="Z29" s="5">
        <f t="shared" si="17"/>
        <v>99327</v>
      </c>
      <c r="AA29" s="83">
        <f t="shared" si="18"/>
        <v>0</v>
      </c>
      <c r="AB29" s="5">
        <f t="shared" si="19"/>
        <v>238</v>
      </c>
      <c r="AC29" s="5">
        <f t="shared" si="20"/>
        <v>790</v>
      </c>
      <c r="AD29" s="83">
        <f t="shared" si="33"/>
        <v>0</v>
      </c>
      <c r="AE29" s="5">
        <f t="shared" si="21"/>
        <v>239.96</v>
      </c>
      <c r="AF29" s="83">
        <f t="shared" si="22"/>
        <v>0</v>
      </c>
      <c r="AG29" s="5">
        <f t="shared" si="23"/>
        <v>2218.1999999999998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11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44644</v>
      </c>
      <c r="AS29" s="407">
        <f t="shared" si="49"/>
        <v>0.9</v>
      </c>
      <c r="AT29" s="201">
        <f t="shared" si="49"/>
        <v>137</v>
      </c>
      <c r="AU29" s="408">
        <f t="shared" si="41"/>
        <v>1.1000000000000001</v>
      </c>
      <c r="AV29" s="201">
        <v>111</v>
      </c>
      <c r="AW29" s="5">
        <v>2.9</v>
      </c>
      <c r="AX29" s="201">
        <v>118</v>
      </c>
      <c r="AY29" s="409">
        <f t="shared" si="35"/>
        <v>123.3</v>
      </c>
      <c r="AZ29" s="409">
        <f t="shared" si="36"/>
        <v>122.10000000000001</v>
      </c>
      <c r="BA29" s="409">
        <f t="shared" si="37"/>
        <v>342.2</v>
      </c>
      <c r="BB29" s="21">
        <f t="shared" si="48"/>
        <v>0</v>
      </c>
      <c r="BC29" s="21">
        <f t="shared" si="48"/>
        <v>-5.5</v>
      </c>
      <c r="BD29" s="21">
        <f t="shared" si="48"/>
        <v>-5.8000000000000114</v>
      </c>
      <c r="BE29" s="24">
        <f t="shared" si="31"/>
        <v>-11.300000000000011</v>
      </c>
      <c r="BF29" s="96">
        <f t="shared" si="32"/>
        <v>11.300000000000011</v>
      </c>
      <c r="BG29" s="82">
        <f t="shared" si="4"/>
        <v>-11.300000000000011</v>
      </c>
    </row>
    <row r="30" spans="1:61" ht="15.75" thickBot="1">
      <c r="A30" s="6">
        <f>ELEC!C28</f>
        <v>44645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627704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7033</v>
      </c>
      <c r="L30" s="263">
        <f t="shared" si="39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5181</v>
      </c>
      <c r="U30" s="5">
        <f t="shared" si="3"/>
        <v>0</v>
      </c>
      <c r="V30" s="5">
        <f t="shared" si="14"/>
        <v>482</v>
      </c>
      <c r="W30" s="309">
        <f t="shared" si="15"/>
        <v>0</v>
      </c>
      <c r="X30" s="5">
        <f t="shared" si="16"/>
        <v>155118</v>
      </c>
      <c r="Y30" s="309">
        <f t="shared" si="40"/>
        <v>0</v>
      </c>
      <c r="Z30" s="5">
        <f t="shared" si="17"/>
        <v>99327</v>
      </c>
      <c r="AA30" s="83">
        <f t="shared" si="18"/>
        <v>0</v>
      </c>
      <c r="AB30" s="5">
        <f t="shared" si="19"/>
        <v>238</v>
      </c>
      <c r="AC30" s="5">
        <f t="shared" si="20"/>
        <v>790</v>
      </c>
      <c r="AD30" s="83">
        <f t="shared" si="33"/>
        <v>0</v>
      </c>
      <c r="AE30" s="5">
        <f t="shared" si="21"/>
        <v>239.96</v>
      </c>
      <c r="AF30" s="83">
        <f t="shared" si="22"/>
        <v>0</v>
      </c>
      <c r="AG30" s="5">
        <f t="shared" si="23"/>
        <v>2218.1999999999998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44645</v>
      </c>
      <c r="AS30" s="407">
        <f t="shared" si="49"/>
        <v>0.9</v>
      </c>
      <c r="AT30" s="201">
        <f t="shared" si="49"/>
        <v>137</v>
      </c>
      <c r="AU30" s="408">
        <f t="shared" si="41"/>
        <v>1.1000000000000001</v>
      </c>
      <c r="AV30" s="201">
        <f t="shared" si="42"/>
        <v>111</v>
      </c>
      <c r="AW30" s="5">
        <v>2.9</v>
      </c>
      <c r="AX30" s="201">
        <f t="shared" si="43"/>
        <v>118</v>
      </c>
      <c r="AY30" s="409">
        <f t="shared" si="35"/>
        <v>123.3</v>
      </c>
      <c r="AZ30" s="409">
        <f t="shared" si="36"/>
        <v>122.10000000000001</v>
      </c>
      <c r="BA30" s="409">
        <f t="shared" si="37"/>
        <v>342.2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44646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627704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7033</v>
      </c>
      <c r="L31" s="263">
        <f t="shared" si="39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5181</v>
      </c>
      <c r="U31" s="5">
        <f t="shared" si="3"/>
        <v>0</v>
      </c>
      <c r="V31" s="5">
        <f t="shared" si="14"/>
        <v>482</v>
      </c>
      <c r="W31" s="309">
        <f t="shared" si="15"/>
        <v>0</v>
      </c>
      <c r="X31" s="5">
        <f t="shared" si="16"/>
        <v>155118</v>
      </c>
      <c r="Y31" s="309">
        <f t="shared" si="40"/>
        <v>0</v>
      </c>
      <c r="Z31" s="5">
        <f t="shared" si="17"/>
        <v>99327</v>
      </c>
      <c r="AA31" s="83">
        <f t="shared" si="18"/>
        <v>0</v>
      </c>
      <c r="AB31" s="5">
        <f t="shared" si="19"/>
        <v>238</v>
      </c>
      <c r="AC31" s="5">
        <f t="shared" si="20"/>
        <v>790</v>
      </c>
      <c r="AD31" s="83">
        <f t="shared" si="33"/>
        <v>0</v>
      </c>
      <c r="AE31" s="5">
        <f t="shared" si="21"/>
        <v>239.96</v>
      </c>
      <c r="AF31" s="83">
        <f t="shared" si="22"/>
        <v>0</v>
      </c>
      <c r="AG31" s="5">
        <f t="shared" si="23"/>
        <v>2218.1999999999998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44646</v>
      </c>
      <c r="AS31" s="407">
        <f t="shared" si="49"/>
        <v>0.9</v>
      </c>
      <c r="AT31" s="201">
        <f t="shared" si="49"/>
        <v>137</v>
      </c>
      <c r="AU31" s="408">
        <f t="shared" si="41"/>
        <v>1.1000000000000001</v>
      </c>
      <c r="AV31" s="201">
        <f t="shared" si="42"/>
        <v>111</v>
      </c>
      <c r="AW31" s="5">
        <v>2.9</v>
      </c>
      <c r="AX31" s="201">
        <f t="shared" si="43"/>
        <v>118</v>
      </c>
      <c r="AY31" s="409">
        <f t="shared" si="35"/>
        <v>123.3</v>
      </c>
      <c r="AZ31" s="409">
        <f>AU31*AV31</f>
        <v>122.10000000000001</v>
      </c>
      <c r="BA31" s="409">
        <f t="shared" si="37"/>
        <v>342.2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44647</v>
      </c>
      <c r="B32" s="5">
        <f>B31</f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627704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7033</v>
      </c>
      <c r="L32" s="263">
        <f t="shared" si="39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v>5182</v>
      </c>
      <c r="U32" s="5">
        <f t="shared" si="3"/>
        <v>1</v>
      </c>
      <c r="V32" s="5">
        <f t="shared" si="14"/>
        <v>482</v>
      </c>
      <c r="W32" s="309">
        <f t="shared" si="15"/>
        <v>0</v>
      </c>
      <c r="X32" s="5">
        <f t="shared" si="16"/>
        <v>155118</v>
      </c>
      <c r="Y32" s="309">
        <f t="shared" si="40"/>
        <v>0</v>
      </c>
      <c r="Z32" s="5">
        <f t="shared" si="17"/>
        <v>99327</v>
      </c>
      <c r="AA32" s="83">
        <f t="shared" si="18"/>
        <v>0</v>
      </c>
      <c r="AB32" s="5">
        <f t="shared" si="19"/>
        <v>238</v>
      </c>
      <c r="AC32" s="5">
        <f t="shared" si="20"/>
        <v>790</v>
      </c>
      <c r="AD32" s="83">
        <f t="shared" si="33"/>
        <v>0</v>
      </c>
      <c r="AE32" s="5">
        <f t="shared" si="21"/>
        <v>239.96</v>
      </c>
      <c r="AF32" s="83">
        <f t="shared" si="22"/>
        <v>0</v>
      </c>
      <c r="AG32" s="5">
        <f t="shared" si="23"/>
        <v>2218.1999999999998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14.5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44647</v>
      </c>
      <c r="AS32" s="407">
        <f t="shared" si="49"/>
        <v>0.9</v>
      </c>
      <c r="AT32" s="201">
        <f t="shared" si="49"/>
        <v>137</v>
      </c>
      <c r="AU32" s="408">
        <f t="shared" si="41"/>
        <v>1.1000000000000001</v>
      </c>
      <c r="AV32" s="201">
        <f t="shared" si="42"/>
        <v>111</v>
      </c>
      <c r="AW32" s="5">
        <v>2.9</v>
      </c>
      <c r="AX32" s="201">
        <v>104</v>
      </c>
      <c r="AY32" s="409">
        <f t="shared" si="35"/>
        <v>123.3</v>
      </c>
      <c r="AZ32" s="409">
        <f t="shared" si="36"/>
        <v>122.10000000000001</v>
      </c>
      <c r="BA32" s="409">
        <f t="shared" si="37"/>
        <v>301.59999999999997</v>
      </c>
      <c r="BB32" s="21">
        <f t="shared" si="48"/>
        <v>0</v>
      </c>
      <c r="BC32" s="21">
        <f t="shared" si="48"/>
        <v>0</v>
      </c>
      <c r="BD32" s="21">
        <f t="shared" si="48"/>
        <v>-40.600000000000023</v>
      </c>
      <c r="BE32" s="24">
        <f t="shared" si="31"/>
        <v>-40.600000000000023</v>
      </c>
      <c r="BF32" s="96">
        <f t="shared" si="32"/>
        <v>40.600000000000023</v>
      </c>
      <c r="BG32" s="82">
        <f t="shared" si="4"/>
        <v>-40.600000000000023</v>
      </c>
    </row>
    <row r="33" spans="1:59" ht="15.75" thickBot="1">
      <c r="A33" s="6">
        <f>ELEC!C31</f>
        <v>44648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627704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7033</v>
      </c>
      <c r="L33" s="263">
        <f t="shared" si="39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5182</v>
      </c>
      <c r="U33" s="5">
        <f t="shared" si="3"/>
        <v>0</v>
      </c>
      <c r="V33" s="5">
        <f t="shared" si="14"/>
        <v>482</v>
      </c>
      <c r="W33" s="309">
        <f t="shared" si="15"/>
        <v>0</v>
      </c>
      <c r="X33" s="5">
        <f t="shared" si="16"/>
        <v>155118</v>
      </c>
      <c r="Y33" s="309">
        <f t="shared" si="40"/>
        <v>0</v>
      </c>
      <c r="Z33" s="5">
        <f t="shared" si="17"/>
        <v>99327</v>
      </c>
      <c r="AA33" s="83">
        <f t="shared" si="18"/>
        <v>0</v>
      </c>
      <c r="AB33" s="5">
        <f t="shared" si="19"/>
        <v>238</v>
      </c>
      <c r="AC33" s="5">
        <f t="shared" si="20"/>
        <v>790</v>
      </c>
      <c r="AD33" s="83">
        <f t="shared" si="33"/>
        <v>0</v>
      </c>
      <c r="AE33" s="5">
        <f t="shared" si="21"/>
        <v>239.96</v>
      </c>
      <c r="AF33" s="83">
        <f>AE33-AE32</f>
        <v>0</v>
      </c>
      <c r="AG33" s="5">
        <f t="shared" si="23"/>
        <v>2218.1999999999998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14.5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44648</v>
      </c>
      <c r="AS33" s="407">
        <f t="shared" si="49"/>
        <v>0.9</v>
      </c>
      <c r="AT33" s="201">
        <f t="shared" si="49"/>
        <v>137</v>
      </c>
      <c r="AU33" s="408">
        <f t="shared" si="41"/>
        <v>1.1000000000000001</v>
      </c>
      <c r="AV33" s="201">
        <v>110</v>
      </c>
      <c r="AW33" s="5">
        <v>2.9</v>
      </c>
      <c r="AX33" s="201">
        <v>101</v>
      </c>
      <c r="AY33" s="409">
        <f t="shared" si="35"/>
        <v>123.3</v>
      </c>
      <c r="AZ33" s="409">
        <f t="shared" si="36"/>
        <v>121.00000000000001</v>
      </c>
      <c r="BA33" s="409">
        <f t="shared" si="37"/>
        <v>292.89999999999998</v>
      </c>
      <c r="BB33" s="21">
        <f t="shared" si="48"/>
        <v>0</v>
      </c>
      <c r="BC33" s="21">
        <f t="shared" si="48"/>
        <v>-1.0999999999999943</v>
      </c>
      <c r="BD33" s="21">
        <f t="shared" si="48"/>
        <v>-8.6999999999999886</v>
      </c>
      <c r="BE33" s="24">
        <f t="shared" si="31"/>
        <v>-9.7999999999999829</v>
      </c>
      <c r="BF33" s="96">
        <f t="shared" si="32"/>
        <v>9.7999999999999829</v>
      </c>
      <c r="BG33" s="82">
        <f t="shared" si="4"/>
        <v>-9.7999999999999829</v>
      </c>
    </row>
    <row r="34" spans="1:59" ht="15.75" thickBot="1">
      <c r="A34" s="6">
        <f>ELEC!C32</f>
        <v>44649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v>627932</v>
      </c>
      <c r="H34" s="5">
        <f t="shared" ref="H34:H36" si="52">G34-G33</f>
        <v>228</v>
      </c>
      <c r="I34" s="5">
        <f t="shared" ref="I34:I36" si="53">C34+H34</f>
        <v>228</v>
      </c>
      <c r="J34" s="319">
        <f t="shared" ref="J34:J36" si="54">IF(I34&gt;0,E34/I34,0)</f>
        <v>1.0611205432937181</v>
      </c>
      <c r="K34" s="5">
        <f>'Swimming Pool quality check '!H34</f>
        <v>7041</v>
      </c>
      <c r="L34" s="263">
        <f t="shared" ref="L34:L36" si="55">K34-K33</f>
        <v>8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5182</v>
      </c>
      <c r="U34" s="5">
        <f t="shared" ref="U34:U36" si="59">SUM(T34-T33)</f>
        <v>0</v>
      </c>
      <c r="V34" s="5">
        <f t="shared" si="14"/>
        <v>482</v>
      </c>
      <c r="W34" s="309">
        <f t="shared" ref="W34:W36" si="60">+V34-V33</f>
        <v>0</v>
      </c>
      <c r="X34" s="5">
        <v>155209</v>
      </c>
      <c r="Y34" s="309">
        <f t="shared" ref="Y34:Y36" si="61">SUM(X34-X33)</f>
        <v>91</v>
      </c>
      <c r="Z34" s="5">
        <v>99356</v>
      </c>
      <c r="AA34" s="83">
        <f t="shared" ref="AA34:AA36" si="62">Z34-Z33</f>
        <v>29</v>
      </c>
      <c r="AB34" s="5">
        <f t="shared" si="19"/>
        <v>238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239.96</v>
      </c>
      <c r="AF34" s="83">
        <f t="shared" ref="AF34:AF36" si="64">AE34-AE33</f>
        <v>0</v>
      </c>
      <c r="AG34" s="5">
        <v>2222.14</v>
      </c>
      <c r="AH34" s="83">
        <f t="shared" ref="AH34:AH36" si="65">AG34-AG33</f>
        <v>3.9400000000000546</v>
      </c>
      <c r="AI34" s="83">
        <f t="shared" ref="AI34:AI36" si="66">AF34+AH34</f>
        <v>3.9400000000000546</v>
      </c>
      <c r="AJ34" s="311">
        <f t="shared" ref="AJ34:AJ36" si="67">+Z34-Z33</f>
        <v>29</v>
      </c>
      <c r="AK34" s="312">
        <f>SUM(Y34-L34)</f>
        <v>83</v>
      </c>
      <c r="AL34" s="312">
        <f t="shared" ref="AL34:AL36" si="68">SUM(AJ34-W34)</f>
        <v>29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44649</v>
      </c>
      <c r="AS34" s="407">
        <f t="shared" ref="AS34:AT34" si="70">AS33</f>
        <v>0.9</v>
      </c>
      <c r="AT34" s="201">
        <v>154</v>
      </c>
      <c r="AU34" s="408">
        <f t="shared" si="41"/>
        <v>1.1000000000000001</v>
      </c>
      <c r="AV34" s="201">
        <v>131</v>
      </c>
      <c r="AW34" s="5">
        <v>2.9</v>
      </c>
      <c r="AX34" s="201">
        <v>136</v>
      </c>
      <c r="AY34" s="409">
        <f t="shared" ref="AY34:AY36" si="71">AS34*AT34</f>
        <v>138.6</v>
      </c>
      <c r="AZ34" s="409">
        <f t="shared" ref="AZ34:AZ36" si="72">AU34*AV34</f>
        <v>144.10000000000002</v>
      </c>
      <c r="BA34" s="409">
        <f t="shared" ref="BA34:BA36" si="73">AW34*AX34</f>
        <v>394.4</v>
      </c>
      <c r="BB34" s="21">
        <f t="shared" ref="BB34:BB36" si="74">AY34-AY33</f>
        <v>15.299999999999997</v>
      </c>
      <c r="BC34" s="21">
        <f t="shared" ref="BC34:BC36" si="75">AZ34-AZ33</f>
        <v>23.100000000000009</v>
      </c>
      <c r="BD34" s="21">
        <f t="shared" ref="BD34:BD36" si="76">BA34-BA33</f>
        <v>101.5</v>
      </c>
      <c r="BE34" s="24">
        <f t="shared" ref="BE34:BE36" si="77">SUM(BB34:BD34)</f>
        <v>139.9</v>
      </c>
      <c r="BF34" s="96">
        <f t="shared" ref="BF34:BF36" si="78">SUM(I34-BE34)</f>
        <v>88.1</v>
      </c>
      <c r="BG34" s="82">
        <f t="shared" ref="BG34:BG36" si="79">SUM(I34-BF34)</f>
        <v>139.9</v>
      </c>
    </row>
    <row r="35" spans="1:59" ht="15.75" thickBot="1">
      <c r="A35" s="6">
        <f>ELEC!C33</f>
        <v>44650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627932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7046</v>
      </c>
      <c r="L35" s="263">
        <f t="shared" si="55"/>
        <v>5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5182</v>
      </c>
      <c r="U35" s="5">
        <f t="shared" si="59"/>
        <v>0</v>
      </c>
      <c r="V35" s="5">
        <f t="shared" si="14"/>
        <v>482</v>
      </c>
      <c r="W35" s="309">
        <f t="shared" si="60"/>
        <v>0</v>
      </c>
      <c r="X35" s="5">
        <f t="shared" si="16"/>
        <v>155209</v>
      </c>
      <c r="Y35" s="309">
        <f t="shared" si="61"/>
        <v>0</v>
      </c>
      <c r="Z35" s="5">
        <f t="shared" si="17"/>
        <v>99356</v>
      </c>
      <c r="AA35" s="83">
        <f t="shared" si="62"/>
        <v>0</v>
      </c>
      <c r="AB35" s="5">
        <f t="shared" si="19"/>
        <v>238</v>
      </c>
      <c r="AC35" s="5">
        <f t="shared" si="20"/>
        <v>790</v>
      </c>
      <c r="AD35" s="83">
        <f t="shared" si="63"/>
        <v>0</v>
      </c>
      <c r="AE35" s="5">
        <f t="shared" si="21"/>
        <v>239.96</v>
      </c>
      <c r="AF35" s="83">
        <f t="shared" si="64"/>
        <v>0</v>
      </c>
      <c r="AG35" s="5">
        <f t="shared" si="23"/>
        <v>2222.14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-5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44650</v>
      </c>
      <c r="AS35" s="407">
        <f t="shared" ref="AS35:AT35" si="81">AS34</f>
        <v>0.9</v>
      </c>
      <c r="AT35" s="201">
        <f t="shared" si="81"/>
        <v>154</v>
      </c>
      <c r="AU35" s="408">
        <f t="shared" si="41"/>
        <v>1.1000000000000001</v>
      </c>
      <c r="AV35" s="201">
        <f t="shared" si="42"/>
        <v>131</v>
      </c>
      <c r="AW35" s="5">
        <v>2.9</v>
      </c>
      <c r="AX35" s="201">
        <f t="shared" si="43"/>
        <v>136</v>
      </c>
      <c r="AY35" s="409">
        <f t="shared" si="71"/>
        <v>138.6</v>
      </c>
      <c r="AZ35" s="409">
        <f t="shared" si="72"/>
        <v>144.10000000000002</v>
      </c>
      <c r="BA35" s="409">
        <f t="shared" si="73"/>
        <v>394.4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44651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627932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7046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5182</v>
      </c>
      <c r="U36" s="5">
        <f t="shared" si="59"/>
        <v>0</v>
      </c>
      <c r="V36" s="5">
        <f t="shared" si="14"/>
        <v>482</v>
      </c>
      <c r="W36" s="309">
        <f t="shared" si="60"/>
        <v>0</v>
      </c>
      <c r="X36" s="5">
        <f t="shared" si="16"/>
        <v>155209</v>
      </c>
      <c r="Y36" s="309">
        <f t="shared" si="61"/>
        <v>0</v>
      </c>
      <c r="Z36" s="5">
        <f t="shared" si="17"/>
        <v>99356</v>
      </c>
      <c r="AA36" s="83">
        <f t="shared" si="62"/>
        <v>0</v>
      </c>
      <c r="AB36" s="5">
        <f t="shared" si="19"/>
        <v>238</v>
      </c>
      <c r="AC36" s="5">
        <f t="shared" si="20"/>
        <v>790</v>
      </c>
      <c r="AD36" s="83">
        <f t="shared" si="63"/>
        <v>0</v>
      </c>
      <c r="AE36" s="5">
        <f t="shared" si="21"/>
        <v>239.96</v>
      </c>
      <c r="AF36" s="83">
        <f t="shared" si="64"/>
        <v>0</v>
      </c>
      <c r="AG36" s="5">
        <f t="shared" si="23"/>
        <v>2222.14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44651</v>
      </c>
      <c r="AS36" s="407">
        <f t="shared" ref="AS36:AT36" si="82">AS35</f>
        <v>0.9</v>
      </c>
      <c r="AT36" s="201">
        <f t="shared" si="82"/>
        <v>154</v>
      </c>
      <c r="AU36" s="408">
        <f t="shared" si="41"/>
        <v>1.1000000000000001</v>
      </c>
      <c r="AV36" s="201">
        <f t="shared" si="42"/>
        <v>131</v>
      </c>
      <c r="AW36" s="5">
        <v>2.9</v>
      </c>
      <c r="AX36" s="201">
        <f t="shared" si="43"/>
        <v>136</v>
      </c>
      <c r="AY36" s="409">
        <f t="shared" si="71"/>
        <v>138.6</v>
      </c>
      <c r="AZ36" s="409">
        <f t="shared" si="72"/>
        <v>144.10000000000002</v>
      </c>
      <c r="BA36" s="409">
        <f t="shared" si="73"/>
        <v>394.4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659</v>
      </c>
      <c r="I37" s="395">
        <f>SUM(I6:I36)</f>
        <v>659</v>
      </c>
      <c r="L37" s="258">
        <f>SUM(L7:L36)</f>
        <v>25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1</v>
      </c>
      <c r="X37" s="308"/>
      <c r="Y37" s="307">
        <f>SUM(Y6,Y33,Y31,Y29,Y27,Y25,Y23,Y21,Y19,Y17,Y15,Y13,Y11,Y9,Y7,Y34,Y35,Y36)</f>
        <v>161</v>
      </c>
      <c r="AJ37" s="307">
        <f>SUM(AJ6:AJ36)</f>
        <v>55</v>
      </c>
      <c r="AK37" s="312">
        <f>SUM(Y37-L37)</f>
        <v>136</v>
      </c>
      <c r="AL37" s="307">
        <f>SUM(AL6:AL36)</f>
        <v>51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659</v>
      </c>
      <c r="Z38" s="307">
        <f>SUM(Y37:AJ37)</f>
        <v>216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659</v>
      </c>
      <c r="H39" s="1">
        <f>SUM(H38+C38)</f>
        <v>7500</v>
      </c>
      <c r="K39" s="1">
        <f>SUM(H39/G39)</f>
        <v>11.380880121396055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S31" sqref="S31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85546875" bestFit="1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[2]GEN!$A$30</f>
        <v>44620</v>
      </c>
      <c r="B2" s="260">
        <f>[2]GEN!B30</f>
        <v>11505</v>
      </c>
      <c r="C2" s="260">
        <f>[2]GEN!C30</f>
        <v>0</v>
      </c>
      <c r="D2" s="260">
        <f>[2]GEN!D30</f>
        <v>639266</v>
      </c>
      <c r="E2" s="260">
        <f>[2]GEN!E30</f>
        <v>0</v>
      </c>
      <c r="F2" s="260">
        <f>[2]GEN!F30</f>
        <v>0</v>
      </c>
      <c r="G2" s="260">
        <f>[2]GEN!G30</f>
        <v>0</v>
      </c>
      <c r="H2" s="260">
        <f>[2]GEN!H30</f>
        <v>11528</v>
      </c>
      <c r="I2" s="260" t="str">
        <f>[2]GEN!I30</f>
        <v>ok</v>
      </c>
      <c r="J2" s="260">
        <f>[2]GEN!J30</f>
        <v>10698</v>
      </c>
      <c r="K2" s="260">
        <f>[2]GEN!K30</f>
        <v>0</v>
      </c>
      <c r="L2" s="260">
        <f>[2]GEN!L30</f>
        <v>357691</v>
      </c>
      <c r="M2" s="276" t="e">
        <f t="shared" ref="M2:M33" si="0">SUM(L2-L1)</f>
        <v>#VALUE!</v>
      </c>
      <c r="N2" s="260">
        <f>[2]GEN!N30</f>
        <v>0</v>
      </c>
      <c r="O2" s="260">
        <f>[2]GEN!O30</f>
        <v>0</v>
      </c>
      <c r="P2" s="260">
        <f>[2]GEN!P30</f>
        <v>10873</v>
      </c>
      <c r="Q2" s="260" t="str">
        <f>[2]GEN!Q30</f>
        <v>ok</v>
      </c>
      <c r="R2" s="260">
        <f>[2]GEN!R30</f>
        <v>13667</v>
      </c>
      <c r="S2" s="260">
        <f>[2]GEN!S30</f>
        <v>13</v>
      </c>
      <c r="T2" s="260">
        <f>[2]GEN!T30</f>
        <v>356262</v>
      </c>
      <c r="U2" s="260">
        <f>[2]GEN!U30</f>
        <v>3250</v>
      </c>
      <c r="V2" s="260">
        <f>[2]GEN!V30</f>
        <v>250</v>
      </c>
      <c r="W2" s="260">
        <f>[2]GEN!W30</f>
        <v>0</v>
      </c>
      <c r="X2" s="260">
        <f>[2]GEN!X30</f>
        <v>13719</v>
      </c>
      <c r="Y2" s="260" t="str">
        <f>[2]GEN!Y30</f>
        <v>ok</v>
      </c>
      <c r="Z2" s="260">
        <f>[2]GEN!Z30</f>
        <v>13</v>
      </c>
      <c r="AA2" s="260">
        <f>[2]GEN!AA30</f>
        <v>3250</v>
      </c>
      <c r="AB2" s="260">
        <f>[2]GEN!AB30</f>
        <v>250</v>
      </c>
      <c r="AC2" s="260">
        <f>[2]GEN!AC30</f>
        <v>250</v>
      </c>
      <c r="AD2" s="260">
        <f>[2]GEN!AD30</f>
        <v>6474.9999999985448</v>
      </c>
      <c r="AE2" s="260">
        <f>[2]GEN!AE30</f>
        <v>498.07692307681111</v>
      </c>
      <c r="AF2" s="260">
        <f>[2]GEN!AF30</f>
        <v>0.31129807692300693</v>
      </c>
      <c r="AG2" s="260">
        <f>[2]GEN!AG30</f>
        <v>1.9456129807687934E-4</v>
      </c>
      <c r="AH2" s="260">
        <f>[2]GEN!AH30</f>
        <v>249.99980543870191</v>
      </c>
      <c r="AI2" s="260">
        <f>[2]GEN!AI30</f>
        <v>1666.5611814342246</v>
      </c>
      <c r="AJ2" s="260">
        <f>[2]GEN!AJ30</f>
        <v>0.25738396624472576</v>
      </c>
      <c r="AK2" s="260">
        <f>[2]GEN!AK30</f>
        <v>128.19701395647883</v>
      </c>
      <c r="AL2" s="260">
        <f>[2]GEN!AL30</f>
        <v>1</v>
      </c>
    </row>
    <row r="3" spans="1:38" ht="15.75" thickBot="1">
      <c r="A3" s="4">
        <f>ELEC!C4</f>
        <v>44621</v>
      </c>
      <c r="B3" s="502">
        <v>11516</v>
      </c>
      <c r="C3" s="276">
        <f>B3-B2</f>
        <v>11</v>
      </c>
      <c r="D3" s="503">
        <f>D2+C3*250</f>
        <v>642016</v>
      </c>
      <c r="E3" s="276">
        <f>SUM(D3-D2)</f>
        <v>2750</v>
      </c>
      <c r="F3" s="276">
        <f t="shared" ref="F3:F30" si="1">IF(C3&gt;0,E3/C3,0)</f>
        <v>250</v>
      </c>
      <c r="G3" s="260">
        <f>[4]GEN!G32</f>
        <v>0</v>
      </c>
      <c r="H3" s="260">
        <f>H2</f>
        <v>11528</v>
      </c>
      <c r="I3" s="276" t="str">
        <f t="shared" ref="I3:I30" si="2">IF(B3-H3&lt;=0,"ok","oil change")</f>
        <v>ok</v>
      </c>
      <c r="J3" s="502">
        <f>J2</f>
        <v>10698</v>
      </c>
      <c r="K3" s="276">
        <f t="shared" ref="K3:K33" si="3">J3-J2</f>
        <v>0</v>
      </c>
      <c r="L3" s="503">
        <f>L2</f>
        <v>357691</v>
      </c>
      <c r="M3" s="276">
        <f t="shared" si="0"/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13667</v>
      </c>
      <c r="S3" s="276">
        <f t="shared" ref="S3:S30" si="5">R3-R2</f>
        <v>0</v>
      </c>
      <c r="T3" s="503">
        <f>T2+U3</f>
        <v>356262</v>
      </c>
      <c r="U3" s="276">
        <f t="shared" ref="U3:U8" si="6">V3*S3</f>
        <v>0</v>
      </c>
      <c r="V3" s="276">
        <v>250</v>
      </c>
      <c r="W3" s="260">
        <f>[4]GEN!W32</f>
        <v>0</v>
      </c>
      <c r="X3" s="260">
        <f>X2</f>
        <v>13719</v>
      </c>
      <c r="Y3" s="276" t="str">
        <f>IF(R3-X3&lt;=0,"ok","oil change")</f>
        <v>ok</v>
      </c>
      <c r="Z3" s="276">
        <f t="shared" ref="Z3:Z30" si="7">C3+K3+S3</f>
        <v>11</v>
      </c>
      <c r="AA3" s="276">
        <f>U3+M3+E3</f>
        <v>2750</v>
      </c>
      <c r="AB3" s="276">
        <f>V3+N3+F3</f>
        <v>500</v>
      </c>
      <c r="AC3" s="276">
        <f>IF(Z3&gt;0,AA3/Z3,0)</f>
        <v>250</v>
      </c>
      <c r="AD3" s="73">
        <f>ELEC!Q4</f>
        <v>6176.9999999996799</v>
      </c>
      <c r="AE3" s="73">
        <f>SUM(AD3/Z3)</f>
        <v>561.5454545454254</v>
      </c>
      <c r="AF3" s="387">
        <f>SUM(AE3/1600)</f>
        <v>0.35096590909089087</v>
      </c>
      <c r="AG3" s="388">
        <f>SUM(360*AF3)</f>
        <v>126.34772727272072</v>
      </c>
      <c r="AH3" s="388">
        <f>SUM(AC3-AG3)</f>
        <v>123.65227272727928</v>
      </c>
      <c r="AI3" s="73">
        <f>AD3*AJ3</f>
        <v>1589.8607594935886</v>
      </c>
      <c r="AJ3" s="278">
        <f t="shared" ref="AJ3:AJ30" si="8">305/1185</f>
        <v>0.25738396624472576</v>
      </c>
      <c r="AK3" s="278">
        <f t="shared" ref="AK3:AK30" si="9">AI3/Z3</f>
        <v>144.53279631759895</v>
      </c>
      <c r="AL3">
        <f>IF(Z3=0,0,1)</f>
        <v>1</v>
      </c>
    </row>
    <row r="4" spans="1:38" ht="15.75" thickBot="1">
      <c r="A4" s="4">
        <f>ELEC!C5</f>
        <v>44622</v>
      </c>
      <c r="B4" s="502">
        <v>11525</v>
      </c>
      <c r="C4" s="276">
        <f t="shared" ref="C4:C30" si="10">B4-B3</f>
        <v>9</v>
      </c>
      <c r="D4" s="503">
        <f t="shared" ref="D4:D30" si="11">D3+C4*250</f>
        <v>644266</v>
      </c>
      <c r="E4" s="276">
        <f t="shared" ref="E4:E25" si="12">SUM(D4-D3)</f>
        <v>2250</v>
      </c>
      <c r="F4" s="276">
        <f t="shared" si="1"/>
        <v>250</v>
      </c>
      <c r="G4" s="196"/>
      <c r="H4" s="260">
        <f t="shared" ref="H4:H33" si="13">H3</f>
        <v>11528</v>
      </c>
      <c r="I4" s="276" t="str">
        <f t="shared" si="2"/>
        <v>ok</v>
      </c>
      <c r="J4" s="502">
        <f t="shared" ref="J4:J33" si="14">J3</f>
        <v>10698</v>
      </c>
      <c r="K4" s="276">
        <f t="shared" si="3"/>
        <v>0</v>
      </c>
      <c r="L4" s="503">
        <f t="shared" ref="L4:L17" si="15">L3</f>
        <v>357691</v>
      </c>
      <c r="M4" s="276">
        <f t="shared" si="0"/>
        <v>0</v>
      </c>
      <c r="N4" s="276">
        <f t="shared" ref="N4:N30" si="16">IF(K4&gt;0,M4/K4,0)</f>
        <v>0</v>
      </c>
      <c r="O4" s="196"/>
      <c r="P4" s="277">
        <f t="shared" ref="P4:P33" si="17">P3</f>
        <v>10873</v>
      </c>
      <c r="Q4" s="276" t="str">
        <f t="shared" si="4"/>
        <v>ok</v>
      </c>
      <c r="R4" s="502">
        <v>13670</v>
      </c>
      <c r="S4" s="276">
        <f t="shared" si="5"/>
        <v>3</v>
      </c>
      <c r="T4" s="503">
        <f>T3+U4</f>
        <v>357012</v>
      </c>
      <c r="U4" s="276">
        <f t="shared" si="6"/>
        <v>750</v>
      </c>
      <c r="V4" s="276">
        <v>250</v>
      </c>
      <c r="W4" s="196"/>
      <c r="X4" s="260">
        <f t="shared" ref="X4:X12" si="18">X3</f>
        <v>13719</v>
      </c>
      <c r="Y4" s="276" t="str">
        <f t="shared" ref="Y4:Y19" si="19">IF(R4-X4&lt;=0,"ok","oil change")</f>
        <v>ok</v>
      </c>
      <c r="Z4" s="276">
        <f t="shared" si="7"/>
        <v>12</v>
      </c>
      <c r="AA4" s="276">
        <f t="shared" ref="AA4:AA30" si="20">U4+M4+E4</f>
        <v>3000</v>
      </c>
      <c r="AB4" s="276">
        <f t="shared" ref="AB4:AB30" si="21">V4+N4+F4</f>
        <v>500</v>
      </c>
      <c r="AC4" s="276">
        <f t="shared" ref="AC4:AC30" si="22">IF(Z4&gt;0,AA4/Z4,0)</f>
        <v>250</v>
      </c>
      <c r="AD4" s="73">
        <f>ELEC!Q5</f>
        <v>5956.00000000195</v>
      </c>
      <c r="AE4" s="73">
        <f>SUM(AD4/Z4)</f>
        <v>496.33333333349583</v>
      </c>
      <c r="AF4" s="387">
        <f>SUM(AE4/1600)</f>
        <v>0.31020833333343489</v>
      </c>
      <c r="AG4" s="388">
        <f>SUM(360*AF4)</f>
        <v>111.67500000003656</v>
      </c>
      <c r="AH4" s="388">
        <f t="shared" ref="AH4:AH30" si="23">SUM(AC4-AG4)</f>
        <v>138.32499999996344</v>
      </c>
      <c r="AI4" s="73">
        <f>AD4*AJ4</f>
        <v>1532.9789029540884</v>
      </c>
      <c r="AJ4" s="278">
        <f t="shared" si="8"/>
        <v>0.25738396624472576</v>
      </c>
      <c r="AK4" s="278">
        <f t="shared" si="9"/>
        <v>127.7482419128407</v>
      </c>
      <c r="AL4">
        <f t="shared" ref="AL4:AL30" si="24">IF(Z4=0,0,1)</f>
        <v>1</v>
      </c>
    </row>
    <row r="5" spans="1:38" ht="15.75" thickBot="1">
      <c r="A5" s="4">
        <f>ELEC!C6</f>
        <v>44623</v>
      </c>
      <c r="B5" s="502">
        <v>11526</v>
      </c>
      <c r="C5" s="276">
        <f t="shared" si="10"/>
        <v>1</v>
      </c>
      <c r="D5" s="503">
        <f t="shared" si="11"/>
        <v>644516</v>
      </c>
      <c r="E5" s="276">
        <f t="shared" si="12"/>
        <v>250</v>
      </c>
      <c r="F5" s="276">
        <f t="shared" si="1"/>
        <v>250</v>
      </c>
      <c r="G5" s="274"/>
      <c r="H5" s="260">
        <f t="shared" si="13"/>
        <v>11528</v>
      </c>
      <c r="I5" s="276" t="str">
        <f t="shared" si="2"/>
        <v>ok</v>
      </c>
      <c r="J5" s="502">
        <f t="shared" si="14"/>
        <v>10698</v>
      </c>
      <c r="K5" s="276">
        <f t="shared" si="3"/>
        <v>0</v>
      </c>
      <c r="L5" s="503">
        <f t="shared" si="15"/>
        <v>357691</v>
      </c>
      <c r="M5" s="276">
        <f t="shared" si="0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4"/>
        <v>ok</v>
      </c>
      <c r="R5" s="502">
        <v>13681</v>
      </c>
      <c r="S5" s="276">
        <f t="shared" si="5"/>
        <v>11</v>
      </c>
      <c r="T5" s="503">
        <f>T4+U5</f>
        <v>359762</v>
      </c>
      <c r="U5" s="276">
        <f t="shared" si="6"/>
        <v>2750</v>
      </c>
      <c r="V5" s="276">
        <v>250</v>
      </c>
      <c r="W5" s="196"/>
      <c r="X5" s="260">
        <f t="shared" si="18"/>
        <v>13719</v>
      </c>
      <c r="Y5" s="276" t="str">
        <f t="shared" si="19"/>
        <v>ok</v>
      </c>
      <c r="Z5" s="276">
        <f t="shared" si="7"/>
        <v>12</v>
      </c>
      <c r="AA5" s="276">
        <f t="shared" si="20"/>
        <v>3000</v>
      </c>
      <c r="AB5" s="276">
        <f t="shared" si="21"/>
        <v>500</v>
      </c>
      <c r="AC5" s="276">
        <f t="shared" si="22"/>
        <v>250</v>
      </c>
      <c r="AD5" s="73">
        <f>ELEC!Q6</f>
        <v>5586.9999999995343</v>
      </c>
      <c r="AE5" s="73">
        <f t="shared" ref="AE5:AE30" si="25">SUM(AD5/Z5)</f>
        <v>465.58333333329455</v>
      </c>
      <c r="AF5" s="387">
        <f t="shared" ref="AF5:AG30" si="26">SUM(AE5/1600)</f>
        <v>0.2909895833333091</v>
      </c>
      <c r="AG5" s="388">
        <f>SUM(320*AF5)</f>
        <v>93.116666666658915</v>
      </c>
      <c r="AH5" s="388">
        <f t="shared" si="23"/>
        <v>156.88333333334108</v>
      </c>
      <c r="AI5" s="73">
        <f t="shared" ref="AI5:AI30" si="27">AD5*AJ5</f>
        <v>1438.0042194091629</v>
      </c>
      <c r="AJ5" s="278">
        <f t="shared" si="8"/>
        <v>0.25738396624472576</v>
      </c>
      <c r="AK5" s="278">
        <f t="shared" si="9"/>
        <v>119.83368495076358</v>
      </c>
      <c r="AL5">
        <f t="shared" si="24"/>
        <v>1</v>
      </c>
    </row>
    <row r="6" spans="1:38" ht="15.75" thickBot="1">
      <c r="A6" s="4">
        <f>ELEC!C7</f>
        <v>44624</v>
      </c>
      <c r="B6" s="502">
        <f t="shared" ref="B6:B33" si="28">B5</f>
        <v>11526</v>
      </c>
      <c r="C6" s="276">
        <f>B6-B5</f>
        <v>0</v>
      </c>
      <c r="D6" s="503">
        <f t="shared" si="11"/>
        <v>644516</v>
      </c>
      <c r="E6" s="276">
        <f t="shared" si="12"/>
        <v>0</v>
      </c>
      <c r="F6" s="276">
        <f t="shared" si="1"/>
        <v>0</v>
      </c>
      <c r="G6" s="196"/>
      <c r="H6" s="260">
        <f t="shared" si="13"/>
        <v>11528</v>
      </c>
      <c r="I6" s="276" t="str">
        <f t="shared" si="2"/>
        <v>ok</v>
      </c>
      <c r="J6" s="502">
        <f t="shared" si="14"/>
        <v>10698</v>
      </c>
      <c r="K6" s="276">
        <f t="shared" si="3"/>
        <v>0</v>
      </c>
      <c r="L6" s="503">
        <f t="shared" si="15"/>
        <v>357691</v>
      </c>
      <c r="M6" s="276">
        <f t="shared" si="0"/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4"/>
        <v>ok</v>
      </c>
      <c r="R6" s="502">
        <f t="shared" ref="R6:R33" si="29">R5</f>
        <v>13681</v>
      </c>
      <c r="S6" s="276">
        <f t="shared" si="5"/>
        <v>0</v>
      </c>
      <c r="T6" s="503">
        <f t="shared" ref="T6:T33" si="30">T5+U6</f>
        <v>359762</v>
      </c>
      <c r="U6" s="276">
        <f t="shared" si="6"/>
        <v>0</v>
      </c>
      <c r="V6" s="276">
        <v>250</v>
      </c>
      <c r="W6" s="294"/>
      <c r="X6" s="260">
        <f t="shared" si="18"/>
        <v>13719</v>
      </c>
      <c r="Y6" s="276" t="str">
        <f t="shared" si="19"/>
        <v>ok</v>
      </c>
      <c r="Z6" s="276">
        <f t="shared" si="7"/>
        <v>0</v>
      </c>
      <c r="AA6" s="276">
        <f t="shared" si="20"/>
        <v>0</v>
      </c>
      <c r="AB6" s="276">
        <f t="shared" si="21"/>
        <v>250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6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7"/>
        <v>0</v>
      </c>
      <c r="AJ6" s="278">
        <f t="shared" si="8"/>
        <v>0.25738396624472576</v>
      </c>
      <c r="AK6" s="278" t="e">
        <f t="shared" si="9"/>
        <v>#DIV/0!</v>
      </c>
      <c r="AL6">
        <f t="shared" si="24"/>
        <v>0</v>
      </c>
    </row>
    <row r="7" spans="1:38" ht="15.75" thickBot="1">
      <c r="A7" s="4">
        <f>ELEC!C8</f>
        <v>44625</v>
      </c>
      <c r="B7" s="502">
        <f t="shared" si="28"/>
        <v>11526</v>
      </c>
      <c r="C7" s="276">
        <f t="shared" si="10"/>
        <v>0</v>
      </c>
      <c r="D7" s="503">
        <f t="shared" si="11"/>
        <v>644516</v>
      </c>
      <c r="E7" s="276">
        <f t="shared" si="12"/>
        <v>0</v>
      </c>
      <c r="F7" s="276">
        <f t="shared" si="1"/>
        <v>0</v>
      </c>
      <c r="G7" s="196"/>
      <c r="H7" s="260">
        <f>H6</f>
        <v>11528</v>
      </c>
      <c r="I7" s="276" t="str">
        <f t="shared" si="2"/>
        <v>ok</v>
      </c>
      <c r="J7" s="502">
        <f t="shared" si="14"/>
        <v>10698</v>
      </c>
      <c r="K7" s="276">
        <f t="shared" si="3"/>
        <v>0</v>
      </c>
      <c r="L7" s="503">
        <f t="shared" si="15"/>
        <v>357691</v>
      </c>
      <c r="M7" s="276">
        <f t="shared" si="0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4"/>
        <v>ok</v>
      </c>
      <c r="R7" s="502">
        <f t="shared" si="29"/>
        <v>13681</v>
      </c>
      <c r="S7" s="276">
        <f t="shared" si="5"/>
        <v>0</v>
      </c>
      <c r="T7" s="503">
        <f t="shared" si="30"/>
        <v>359762</v>
      </c>
      <c r="U7" s="276">
        <f t="shared" si="6"/>
        <v>0</v>
      </c>
      <c r="V7" s="276">
        <v>250</v>
      </c>
      <c r="W7" s="196"/>
      <c r="X7" s="260">
        <f t="shared" si="18"/>
        <v>13719</v>
      </c>
      <c r="Y7" s="276" t="str">
        <f t="shared" si="19"/>
        <v>ok</v>
      </c>
      <c r="Z7" s="276">
        <f t="shared" si="7"/>
        <v>0</v>
      </c>
      <c r="AA7" s="276">
        <f>U7+M7+E7</f>
        <v>0</v>
      </c>
      <c r="AB7" s="276">
        <f t="shared" si="21"/>
        <v>250</v>
      </c>
      <c r="AC7" s="276">
        <f t="shared" si="22"/>
        <v>0</v>
      </c>
      <c r="AD7" s="73">
        <f>ELEC!Q8</f>
        <v>0</v>
      </c>
      <c r="AE7" s="73" t="e">
        <f t="shared" si="25"/>
        <v>#DIV/0!</v>
      </c>
      <c r="AF7" s="387" t="e">
        <f t="shared" si="26"/>
        <v>#DIV/0!</v>
      </c>
      <c r="AG7" s="387" t="e">
        <f t="shared" si="26"/>
        <v>#DIV/0!</v>
      </c>
      <c r="AH7" s="388" t="e">
        <f t="shared" si="23"/>
        <v>#DIV/0!</v>
      </c>
      <c r="AI7" s="73">
        <f t="shared" si="27"/>
        <v>0</v>
      </c>
      <c r="AJ7" s="278">
        <f t="shared" si="8"/>
        <v>0.25738396624472576</v>
      </c>
      <c r="AK7" s="278" t="e">
        <f t="shared" si="9"/>
        <v>#DIV/0!</v>
      </c>
      <c r="AL7">
        <f t="shared" si="24"/>
        <v>0</v>
      </c>
    </row>
    <row r="8" spans="1:38" ht="15.75" thickBot="1">
      <c r="A8" s="4">
        <f>ELEC!C9</f>
        <v>44626</v>
      </c>
      <c r="B8" s="502">
        <v>11534</v>
      </c>
      <c r="C8" s="276">
        <f t="shared" si="10"/>
        <v>8</v>
      </c>
      <c r="D8" s="503">
        <f t="shared" si="11"/>
        <v>646516</v>
      </c>
      <c r="E8" s="276">
        <f t="shared" si="12"/>
        <v>2000</v>
      </c>
      <c r="F8" s="276">
        <f t="shared" si="1"/>
        <v>250</v>
      </c>
      <c r="G8" s="196"/>
      <c r="H8" s="260">
        <f t="shared" si="13"/>
        <v>11528</v>
      </c>
      <c r="I8" s="276" t="str">
        <f>IF(B8-H8&lt;=0,"ok","oil change")</f>
        <v>oil change</v>
      </c>
      <c r="J8" s="502">
        <f t="shared" si="14"/>
        <v>10698</v>
      </c>
      <c r="K8" s="276">
        <f t="shared" si="3"/>
        <v>0</v>
      </c>
      <c r="L8" s="503">
        <f t="shared" si="15"/>
        <v>357691</v>
      </c>
      <c r="M8" s="276">
        <f t="shared" si="0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4"/>
        <v>ok</v>
      </c>
      <c r="R8" s="502">
        <v>13684</v>
      </c>
      <c r="S8" s="276">
        <f t="shared" si="5"/>
        <v>3</v>
      </c>
      <c r="T8" s="503">
        <f>T7+U8</f>
        <v>360512</v>
      </c>
      <c r="U8" s="276">
        <f t="shared" si="6"/>
        <v>750</v>
      </c>
      <c r="V8" s="276">
        <v>250</v>
      </c>
      <c r="W8" s="196"/>
      <c r="X8" s="260">
        <f>X7</f>
        <v>13719</v>
      </c>
      <c r="Y8" s="276" t="str">
        <f t="shared" si="19"/>
        <v>ok</v>
      </c>
      <c r="Z8" s="276">
        <f t="shared" si="7"/>
        <v>11</v>
      </c>
      <c r="AA8" s="276">
        <f t="shared" si="20"/>
        <v>2750</v>
      </c>
      <c r="AB8" s="276">
        <f t="shared" si="21"/>
        <v>500</v>
      </c>
      <c r="AC8" s="276">
        <f t="shared" si="22"/>
        <v>250</v>
      </c>
      <c r="AD8" s="73">
        <f>ELEC!Q9</f>
        <v>5884.9999999983993</v>
      </c>
      <c r="AE8" s="73">
        <f>SUM(AD8/Z8)</f>
        <v>534.99999999985448</v>
      </c>
      <c r="AF8" s="387">
        <f t="shared" si="26"/>
        <v>0.33437499999990905</v>
      </c>
      <c r="AG8" s="387">
        <f t="shared" si="26"/>
        <v>2.0898437499994316E-4</v>
      </c>
      <c r="AH8" s="388">
        <f t="shared" si="23"/>
        <v>249.99979101562499</v>
      </c>
      <c r="AI8" s="73">
        <f t="shared" si="27"/>
        <v>1514.7046413497992</v>
      </c>
      <c r="AJ8" s="278">
        <f t="shared" si="8"/>
        <v>0.25738396624472576</v>
      </c>
      <c r="AK8" s="278">
        <f t="shared" si="9"/>
        <v>137.70042194089083</v>
      </c>
      <c r="AL8">
        <f t="shared" si="24"/>
        <v>1</v>
      </c>
    </row>
    <row r="9" spans="1:38" ht="15.75" thickBot="1">
      <c r="A9" s="4">
        <f>ELEC!C10</f>
        <v>44627</v>
      </c>
      <c r="B9" s="502">
        <v>11540</v>
      </c>
      <c r="C9" s="276">
        <f t="shared" si="10"/>
        <v>6</v>
      </c>
      <c r="D9" s="503">
        <f t="shared" si="11"/>
        <v>648016</v>
      </c>
      <c r="E9" s="276">
        <f t="shared" si="12"/>
        <v>1500</v>
      </c>
      <c r="F9" s="276">
        <f t="shared" si="1"/>
        <v>250</v>
      </c>
      <c r="G9" s="196"/>
      <c r="H9" s="260">
        <f t="shared" si="13"/>
        <v>11528</v>
      </c>
      <c r="I9" s="276" t="str">
        <f t="shared" si="2"/>
        <v>oil change</v>
      </c>
      <c r="J9" s="502">
        <f t="shared" si="14"/>
        <v>10698</v>
      </c>
      <c r="K9" s="276">
        <f t="shared" si="3"/>
        <v>0</v>
      </c>
      <c r="L9" s="503">
        <f t="shared" si="15"/>
        <v>357691</v>
      </c>
      <c r="M9" s="276">
        <f t="shared" si="0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4"/>
        <v>ok</v>
      </c>
      <c r="R9" s="502">
        <v>13686</v>
      </c>
      <c r="S9" s="276">
        <f t="shared" si="5"/>
        <v>2</v>
      </c>
      <c r="T9" s="503">
        <f t="shared" si="30"/>
        <v>361012</v>
      </c>
      <c r="U9" s="276">
        <f t="shared" ref="U9:U30" si="31">V9*S9</f>
        <v>500</v>
      </c>
      <c r="V9" s="276">
        <v>250</v>
      </c>
      <c r="W9" s="196"/>
      <c r="X9" s="260">
        <f t="shared" si="18"/>
        <v>13719</v>
      </c>
      <c r="Y9" s="276" t="str">
        <f t="shared" si="19"/>
        <v>ok</v>
      </c>
      <c r="Z9" s="276">
        <f t="shared" si="7"/>
        <v>8</v>
      </c>
      <c r="AA9" s="276">
        <f t="shared" si="20"/>
        <v>2000</v>
      </c>
      <c r="AB9" s="276">
        <f t="shared" si="21"/>
        <v>500</v>
      </c>
      <c r="AC9" s="276">
        <f t="shared" si="22"/>
        <v>250</v>
      </c>
      <c r="AD9" s="73">
        <f>ELEC!Q10</f>
        <v>3948.0000000003201</v>
      </c>
      <c r="AE9" s="73">
        <f t="shared" si="25"/>
        <v>493.50000000004002</v>
      </c>
      <c r="AF9" s="387">
        <f t="shared" si="26"/>
        <v>0.30843750000002501</v>
      </c>
      <c r="AG9" s="387">
        <f t="shared" si="26"/>
        <v>1.9277343750001563E-4</v>
      </c>
      <c r="AH9" s="388">
        <f t="shared" si="23"/>
        <v>249.9998072265625</v>
      </c>
      <c r="AI9" s="73">
        <f t="shared" si="27"/>
        <v>1016.1518987342597</v>
      </c>
      <c r="AJ9" s="278">
        <f t="shared" si="8"/>
        <v>0.25738396624472576</v>
      </c>
      <c r="AK9" s="278">
        <f t="shared" si="9"/>
        <v>127.01898734178246</v>
      </c>
      <c r="AL9">
        <f t="shared" si="24"/>
        <v>1</v>
      </c>
    </row>
    <row r="10" spans="1:38" ht="15.75" thickBot="1">
      <c r="A10" s="4">
        <f>ELEC!C11</f>
        <v>44628</v>
      </c>
      <c r="B10" s="502">
        <v>11541</v>
      </c>
      <c r="C10" s="276">
        <f t="shared" si="10"/>
        <v>1</v>
      </c>
      <c r="D10" s="503">
        <f t="shared" si="11"/>
        <v>648266</v>
      </c>
      <c r="E10" s="276">
        <f>SUM(D10-D9)</f>
        <v>250</v>
      </c>
      <c r="F10" s="276">
        <f t="shared" si="1"/>
        <v>250</v>
      </c>
      <c r="G10" s="196"/>
      <c r="H10" s="260">
        <v>11690</v>
      </c>
      <c r="I10" s="276" t="str">
        <f>IF(B10-H10&lt;=0,"ok","oil change")</f>
        <v>ok</v>
      </c>
      <c r="J10" s="502">
        <f t="shared" si="14"/>
        <v>10698</v>
      </c>
      <c r="K10" s="276">
        <f t="shared" si="3"/>
        <v>0</v>
      </c>
      <c r="L10" s="503">
        <f t="shared" si="15"/>
        <v>357691</v>
      </c>
      <c r="M10" s="276">
        <f t="shared" si="0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4"/>
        <v>ok</v>
      </c>
      <c r="R10" s="502">
        <v>13695</v>
      </c>
      <c r="S10" s="276">
        <f t="shared" si="5"/>
        <v>9</v>
      </c>
      <c r="T10" s="503">
        <f t="shared" si="30"/>
        <v>363262</v>
      </c>
      <c r="U10" s="276">
        <f t="shared" si="31"/>
        <v>2250</v>
      </c>
      <c r="V10" s="276">
        <v>250</v>
      </c>
      <c r="W10" s="323"/>
      <c r="X10" s="260">
        <f t="shared" si="18"/>
        <v>13719</v>
      </c>
      <c r="Y10" s="276" t="str">
        <f t="shared" si="19"/>
        <v>ok</v>
      </c>
      <c r="Z10" s="276">
        <f t="shared" si="7"/>
        <v>10</v>
      </c>
      <c r="AA10" s="276">
        <f t="shared" si="20"/>
        <v>2500</v>
      </c>
      <c r="AB10" s="276">
        <f t="shared" si="21"/>
        <v>500</v>
      </c>
      <c r="AC10" s="276">
        <f t="shared" si="22"/>
        <v>250</v>
      </c>
      <c r="AD10" s="73">
        <f>ELEC!Q11</f>
        <v>4917.0000000012806</v>
      </c>
      <c r="AE10" s="73">
        <f t="shared" si="25"/>
        <v>491.70000000012806</v>
      </c>
      <c r="AF10" s="387">
        <f t="shared" si="26"/>
        <v>0.30731250000008004</v>
      </c>
      <c r="AG10" s="387">
        <f t="shared" si="26"/>
        <v>1.9207031250005003E-4</v>
      </c>
      <c r="AH10" s="388">
        <f t="shared" si="23"/>
        <v>249.99980792968751</v>
      </c>
      <c r="AI10" s="73">
        <f t="shared" si="27"/>
        <v>1265.556962025646</v>
      </c>
      <c r="AJ10" s="278">
        <f t="shared" si="8"/>
        <v>0.25738396624472576</v>
      </c>
      <c r="AK10" s="278">
        <f t="shared" si="9"/>
        <v>126.5556962025646</v>
      </c>
      <c r="AL10">
        <f t="shared" si="24"/>
        <v>1</v>
      </c>
    </row>
    <row r="11" spans="1:38" ht="15.75" thickBot="1">
      <c r="A11" s="4">
        <f>ELEC!C12</f>
        <v>44629</v>
      </c>
      <c r="B11" s="502">
        <v>11550</v>
      </c>
      <c r="C11" s="276">
        <f t="shared" si="10"/>
        <v>9</v>
      </c>
      <c r="D11" s="503">
        <f t="shared" si="11"/>
        <v>650516</v>
      </c>
      <c r="E11" s="276">
        <f t="shared" si="12"/>
        <v>2250</v>
      </c>
      <c r="F11" s="276">
        <f>IF(C11&gt;0,E11/C11,0)</f>
        <v>250</v>
      </c>
      <c r="G11" s="196"/>
      <c r="H11" s="260">
        <f t="shared" si="13"/>
        <v>11690</v>
      </c>
      <c r="I11" s="276" t="str">
        <f t="shared" si="2"/>
        <v>ok</v>
      </c>
      <c r="J11" s="502">
        <f t="shared" si="14"/>
        <v>10698</v>
      </c>
      <c r="K11" s="276">
        <f t="shared" si="3"/>
        <v>0</v>
      </c>
      <c r="L11" s="503">
        <f t="shared" si="15"/>
        <v>357691</v>
      </c>
      <c r="M11" s="276">
        <f t="shared" si="0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4"/>
        <v>ok</v>
      </c>
      <c r="R11" s="502">
        <v>13695</v>
      </c>
      <c r="S11" s="276">
        <f t="shared" si="5"/>
        <v>0</v>
      </c>
      <c r="T11" s="503">
        <f t="shared" si="30"/>
        <v>363262</v>
      </c>
      <c r="U11" s="276">
        <f t="shared" si="31"/>
        <v>0</v>
      </c>
      <c r="V11" s="276">
        <v>250</v>
      </c>
      <c r="W11" s="323"/>
      <c r="X11" s="260">
        <f t="shared" si="18"/>
        <v>13719</v>
      </c>
      <c r="Y11" s="276" t="str">
        <f t="shared" si="19"/>
        <v>ok</v>
      </c>
      <c r="Z11" s="276">
        <f t="shared" si="7"/>
        <v>9</v>
      </c>
      <c r="AA11" s="276">
        <f t="shared" si="20"/>
        <v>2250</v>
      </c>
      <c r="AB11" s="276">
        <f t="shared" si="21"/>
        <v>500</v>
      </c>
      <c r="AC11" s="276">
        <f t="shared" si="22"/>
        <v>250</v>
      </c>
      <c r="AD11" s="73">
        <f>ELEC!Q12</f>
        <v>4631.0000000012224</v>
      </c>
      <c r="AE11" s="73">
        <f t="shared" si="25"/>
        <v>514.5555555556914</v>
      </c>
      <c r="AF11" s="387">
        <f t="shared" si="26"/>
        <v>0.32159722222230713</v>
      </c>
      <c r="AG11" s="387">
        <f t="shared" si="26"/>
        <v>2.0099826388894195E-4</v>
      </c>
      <c r="AH11" s="388">
        <f t="shared" si="23"/>
        <v>249.99979900173611</v>
      </c>
      <c r="AI11" s="73">
        <f t="shared" si="27"/>
        <v>1191.9451476796396</v>
      </c>
      <c r="AJ11" s="278">
        <f t="shared" si="8"/>
        <v>0.25738396624472576</v>
      </c>
      <c r="AK11" s="278">
        <f t="shared" si="9"/>
        <v>132.43834974218217</v>
      </c>
      <c r="AL11">
        <f t="shared" si="24"/>
        <v>1</v>
      </c>
    </row>
    <row r="12" spans="1:38" ht="15.75" thickBot="1">
      <c r="A12" s="4">
        <f>ELEC!C13</f>
        <v>44630</v>
      </c>
      <c r="B12" s="502">
        <v>11552</v>
      </c>
      <c r="C12" s="276">
        <f t="shared" si="10"/>
        <v>2</v>
      </c>
      <c r="D12" s="503">
        <f t="shared" si="11"/>
        <v>651016</v>
      </c>
      <c r="E12" s="276">
        <f t="shared" si="12"/>
        <v>500</v>
      </c>
      <c r="F12" s="276">
        <f t="shared" si="1"/>
        <v>250</v>
      </c>
      <c r="G12" s="196"/>
      <c r="H12" s="260">
        <f t="shared" si="13"/>
        <v>11690</v>
      </c>
      <c r="I12" s="276" t="str">
        <f t="shared" si="2"/>
        <v>ok</v>
      </c>
      <c r="J12" s="502">
        <f t="shared" si="14"/>
        <v>10698</v>
      </c>
      <c r="K12" s="276">
        <f t="shared" si="3"/>
        <v>0</v>
      </c>
      <c r="L12" s="503">
        <f t="shared" si="15"/>
        <v>357691</v>
      </c>
      <c r="M12" s="276">
        <f t="shared" si="0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4"/>
        <v>ok</v>
      </c>
      <c r="R12" s="502">
        <v>13704</v>
      </c>
      <c r="S12" s="276">
        <f t="shared" si="5"/>
        <v>9</v>
      </c>
      <c r="T12" s="503">
        <f t="shared" si="30"/>
        <v>365512</v>
      </c>
      <c r="U12" s="276">
        <f t="shared" si="31"/>
        <v>2250</v>
      </c>
      <c r="V12" s="276">
        <v>250</v>
      </c>
      <c r="W12" s="323"/>
      <c r="X12" s="260">
        <f t="shared" si="18"/>
        <v>13719</v>
      </c>
      <c r="Y12" s="276" t="str">
        <f t="shared" si="19"/>
        <v>ok</v>
      </c>
      <c r="Z12" s="276">
        <f t="shared" si="7"/>
        <v>11</v>
      </c>
      <c r="AA12" s="276">
        <f t="shared" si="20"/>
        <v>2750</v>
      </c>
      <c r="AB12" s="276">
        <f t="shared" si="21"/>
        <v>500</v>
      </c>
      <c r="AC12" s="276">
        <f t="shared" si="22"/>
        <v>250</v>
      </c>
      <c r="AD12" s="73">
        <f>ELEC!Q13</f>
        <v>5379.9999999973807</v>
      </c>
      <c r="AE12" s="73">
        <f t="shared" si="25"/>
        <v>489.09090909067095</v>
      </c>
      <c r="AF12" s="387">
        <f t="shared" si="26"/>
        <v>0.30568181818166934</v>
      </c>
      <c r="AG12" s="387">
        <f t="shared" si="26"/>
        <v>1.9105113636354334E-4</v>
      </c>
      <c r="AH12" s="388">
        <f t="shared" si="23"/>
        <v>249.99980894886363</v>
      </c>
      <c r="AI12" s="73">
        <f t="shared" si="27"/>
        <v>1384.7257383959504</v>
      </c>
      <c r="AJ12" s="278">
        <f t="shared" si="8"/>
        <v>0.25738396624472576</v>
      </c>
      <c r="AK12" s="278">
        <f t="shared" si="9"/>
        <v>125.8841580359955</v>
      </c>
      <c r="AL12">
        <f t="shared" si="24"/>
        <v>1</v>
      </c>
    </row>
    <row r="13" spans="1:38" ht="15.75" thickBot="1">
      <c r="A13" s="4">
        <f>ELEC!C14</f>
        <v>44631</v>
      </c>
      <c r="B13" s="502">
        <v>11562</v>
      </c>
      <c r="C13" s="276">
        <f t="shared" si="10"/>
        <v>10</v>
      </c>
      <c r="D13" s="503">
        <f t="shared" si="11"/>
        <v>653516</v>
      </c>
      <c r="E13" s="276">
        <f t="shared" si="12"/>
        <v>2500</v>
      </c>
      <c r="F13" s="276">
        <f t="shared" si="1"/>
        <v>250</v>
      </c>
      <c r="G13" s="196"/>
      <c r="H13" s="260">
        <f t="shared" si="13"/>
        <v>11690</v>
      </c>
      <c r="I13" s="276" t="str">
        <f t="shared" si="2"/>
        <v>ok</v>
      </c>
      <c r="J13" s="502">
        <f t="shared" si="14"/>
        <v>10698</v>
      </c>
      <c r="K13" s="276">
        <f t="shared" si="3"/>
        <v>0</v>
      </c>
      <c r="L13" s="503">
        <f t="shared" si="15"/>
        <v>357691</v>
      </c>
      <c r="M13" s="276">
        <f t="shared" si="0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4"/>
        <v>ok</v>
      </c>
      <c r="R13" s="502">
        <f t="shared" si="29"/>
        <v>13704</v>
      </c>
      <c r="S13" s="276">
        <f t="shared" si="5"/>
        <v>0</v>
      </c>
      <c r="T13" s="503">
        <f t="shared" si="30"/>
        <v>365512</v>
      </c>
      <c r="U13" s="276">
        <f t="shared" si="31"/>
        <v>0</v>
      </c>
      <c r="V13" s="276">
        <v>250</v>
      </c>
      <c r="W13" s="323"/>
      <c r="X13" s="260">
        <v>13719</v>
      </c>
      <c r="Y13" s="276" t="str">
        <f t="shared" si="19"/>
        <v>ok</v>
      </c>
      <c r="Z13" s="276">
        <f t="shared" si="7"/>
        <v>10</v>
      </c>
      <c r="AA13" s="276">
        <f t="shared" si="20"/>
        <v>2500</v>
      </c>
      <c r="AB13" s="276">
        <f t="shared" si="21"/>
        <v>500</v>
      </c>
      <c r="AC13" s="276">
        <f t="shared" si="22"/>
        <v>250</v>
      </c>
      <c r="AD13" s="73">
        <f>ELEC!Q14</f>
        <v>4896.0000000006403</v>
      </c>
      <c r="AE13" s="73">
        <f t="shared" si="25"/>
        <v>489.60000000006403</v>
      </c>
      <c r="AF13" s="387">
        <f t="shared" si="26"/>
        <v>0.30600000000004002</v>
      </c>
      <c r="AG13" s="387">
        <f t="shared" si="26"/>
        <v>1.91250000000025E-4</v>
      </c>
      <c r="AH13" s="388">
        <f t="shared" si="23"/>
        <v>249.99980875</v>
      </c>
      <c r="AI13" s="73">
        <f t="shared" si="27"/>
        <v>1260.151898734342</v>
      </c>
      <c r="AJ13" s="278">
        <f t="shared" si="8"/>
        <v>0.25738396624472576</v>
      </c>
      <c r="AK13" s="278">
        <f t="shared" si="9"/>
        <v>126.0151898734342</v>
      </c>
      <c r="AL13">
        <f t="shared" si="24"/>
        <v>1</v>
      </c>
    </row>
    <row r="14" spans="1:38" ht="15.75" thickBot="1">
      <c r="A14" s="4">
        <f>ELEC!C15</f>
        <v>44632</v>
      </c>
      <c r="B14" s="502">
        <f t="shared" si="28"/>
        <v>11562</v>
      </c>
      <c r="C14" s="276">
        <f t="shared" si="10"/>
        <v>0</v>
      </c>
      <c r="D14" s="503">
        <f t="shared" si="11"/>
        <v>653516</v>
      </c>
      <c r="E14" s="276">
        <f t="shared" si="12"/>
        <v>0</v>
      </c>
      <c r="F14" s="276">
        <f t="shared" si="1"/>
        <v>0</v>
      </c>
      <c r="G14" s="196"/>
      <c r="H14" s="260">
        <f t="shared" si="13"/>
        <v>11690</v>
      </c>
      <c r="I14" s="276" t="str">
        <f t="shared" si="2"/>
        <v>ok</v>
      </c>
      <c r="J14" s="502">
        <f t="shared" si="14"/>
        <v>10698</v>
      </c>
      <c r="K14" s="276">
        <f t="shared" si="3"/>
        <v>0</v>
      </c>
      <c r="L14" s="503">
        <f t="shared" si="15"/>
        <v>357691</v>
      </c>
      <c r="M14" s="276">
        <f t="shared" si="0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4"/>
        <v>ok</v>
      </c>
      <c r="R14" s="502">
        <f t="shared" si="29"/>
        <v>13704</v>
      </c>
      <c r="S14" s="276">
        <f t="shared" si="5"/>
        <v>0</v>
      </c>
      <c r="T14" s="503">
        <f t="shared" si="30"/>
        <v>365512</v>
      </c>
      <c r="U14" s="276">
        <f t="shared" si="31"/>
        <v>0</v>
      </c>
      <c r="V14" s="276">
        <v>250</v>
      </c>
      <c r="W14" s="323"/>
      <c r="X14" s="260">
        <v>13719</v>
      </c>
      <c r="Y14" s="276" t="str">
        <f t="shared" si="19"/>
        <v>ok</v>
      </c>
      <c r="Z14" s="276">
        <f t="shared" si="7"/>
        <v>0</v>
      </c>
      <c r="AA14" s="276">
        <f t="shared" si="20"/>
        <v>0</v>
      </c>
      <c r="AB14" s="276">
        <f t="shared" si="21"/>
        <v>250</v>
      </c>
      <c r="AC14" s="276">
        <f t="shared" si="22"/>
        <v>0</v>
      </c>
      <c r="AD14" s="73">
        <f>ELEC!Q15</f>
        <v>0</v>
      </c>
      <c r="AE14" s="73" t="e">
        <f t="shared" si="25"/>
        <v>#DIV/0!</v>
      </c>
      <c r="AF14" s="387" t="e">
        <f t="shared" si="26"/>
        <v>#DIV/0!</v>
      </c>
      <c r="AG14" s="387" t="e">
        <f t="shared" si="26"/>
        <v>#DIV/0!</v>
      </c>
      <c r="AH14" s="388" t="e">
        <f t="shared" si="23"/>
        <v>#DIV/0!</v>
      </c>
      <c r="AI14" s="73">
        <f t="shared" si="27"/>
        <v>0</v>
      </c>
      <c r="AJ14" s="278">
        <f t="shared" si="8"/>
        <v>0.25738396624472576</v>
      </c>
      <c r="AK14" s="278" t="e">
        <f t="shared" si="9"/>
        <v>#DIV/0!</v>
      </c>
      <c r="AL14">
        <f t="shared" si="24"/>
        <v>0</v>
      </c>
    </row>
    <row r="15" spans="1:38" ht="15.75" thickBot="1">
      <c r="A15" s="4">
        <f>ELEC!C16</f>
        <v>44633</v>
      </c>
      <c r="B15" s="502">
        <v>11569</v>
      </c>
      <c r="C15" s="276">
        <f t="shared" si="10"/>
        <v>7</v>
      </c>
      <c r="D15" s="503">
        <f t="shared" si="11"/>
        <v>655266</v>
      </c>
      <c r="E15" s="276">
        <f t="shared" si="12"/>
        <v>1750</v>
      </c>
      <c r="F15" s="276">
        <f t="shared" si="1"/>
        <v>250</v>
      </c>
      <c r="G15" s="196"/>
      <c r="H15" s="260">
        <f t="shared" si="13"/>
        <v>11690</v>
      </c>
      <c r="I15" s="276" t="str">
        <f t="shared" si="2"/>
        <v>ok</v>
      </c>
      <c r="J15" s="502">
        <f t="shared" si="14"/>
        <v>10698</v>
      </c>
      <c r="K15" s="276">
        <f t="shared" si="3"/>
        <v>0</v>
      </c>
      <c r="L15" s="503">
        <f t="shared" si="15"/>
        <v>357691</v>
      </c>
      <c r="M15" s="276">
        <f t="shared" si="0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4"/>
        <v>ok</v>
      </c>
      <c r="R15" s="502">
        <f t="shared" si="29"/>
        <v>13704</v>
      </c>
      <c r="S15" s="276">
        <f t="shared" si="5"/>
        <v>0</v>
      </c>
      <c r="T15" s="503">
        <f t="shared" si="30"/>
        <v>365512</v>
      </c>
      <c r="U15" s="276">
        <f t="shared" si="31"/>
        <v>0</v>
      </c>
      <c r="V15" s="276">
        <v>250</v>
      </c>
      <c r="W15" s="323"/>
      <c r="X15" s="260">
        <v>13719</v>
      </c>
      <c r="Y15" s="276" t="str">
        <f t="shared" si="19"/>
        <v>ok</v>
      </c>
      <c r="Z15" s="276">
        <f t="shared" si="7"/>
        <v>7</v>
      </c>
      <c r="AA15" s="276">
        <f t="shared" si="20"/>
        <v>1750</v>
      </c>
      <c r="AB15" s="276">
        <f t="shared" si="21"/>
        <v>500</v>
      </c>
      <c r="AC15" s="276">
        <f t="shared" si="22"/>
        <v>250</v>
      </c>
      <c r="AD15" s="73">
        <f>ELEC!Q16</f>
        <v>3636.000000002241</v>
      </c>
      <c r="AE15" s="73">
        <f t="shared" si="25"/>
        <v>519.42857142889159</v>
      </c>
      <c r="AF15" s="387">
        <f t="shared" si="26"/>
        <v>0.32464285714305724</v>
      </c>
      <c r="AG15" s="387">
        <f t="shared" si="26"/>
        <v>2.0290178571441078E-4</v>
      </c>
      <c r="AH15" s="388">
        <f t="shared" si="23"/>
        <v>249.99979709821429</v>
      </c>
      <c r="AI15" s="73">
        <f t="shared" si="27"/>
        <v>935.84810126639968</v>
      </c>
      <c r="AJ15" s="278">
        <f t="shared" si="8"/>
        <v>0.25738396624472576</v>
      </c>
      <c r="AK15" s="278">
        <f t="shared" si="9"/>
        <v>133.69258589519995</v>
      </c>
      <c r="AL15">
        <f t="shared" si="24"/>
        <v>1</v>
      </c>
    </row>
    <row r="16" spans="1:38" ht="15.75" thickBot="1">
      <c r="A16" s="4">
        <f>ELEC!C17</f>
        <v>44634</v>
      </c>
      <c r="B16" s="502">
        <v>11579</v>
      </c>
      <c r="C16" s="276">
        <f t="shared" si="10"/>
        <v>10</v>
      </c>
      <c r="D16" s="503">
        <f t="shared" si="11"/>
        <v>657766</v>
      </c>
      <c r="E16" s="276">
        <f t="shared" si="12"/>
        <v>2500</v>
      </c>
      <c r="F16" s="276">
        <f t="shared" si="1"/>
        <v>250</v>
      </c>
      <c r="G16" s="196"/>
      <c r="H16" s="260">
        <f t="shared" si="13"/>
        <v>11690</v>
      </c>
      <c r="I16" s="276" t="str">
        <f t="shared" si="2"/>
        <v>ok</v>
      </c>
      <c r="J16" s="502">
        <f t="shared" si="14"/>
        <v>10698</v>
      </c>
      <c r="K16" s="276">
        <f t="shared" si="3"/>
        <v>0</v>
      </c>
      <c r="L16" s="503">
        <f t="shared" si="15"/>
        <v>357691</v>
      </c>
      <c r="M16" s="276">
        <f t="shared" si="0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4"/>
        <v>ok</v>
      </c>
      <c r="R16" s="502">
        <v>13705</v>
      </c>
      <c r="S16" s="276">
        <f t="shared" si="5"/>
        <v>1</v>
      </c>
      <c r="T16" s="503">
        <f t="shared" si="30"/>
        <v>365762</v>
      </c>
      <c r="U16" s="276">
        <f t="shared" si="31"/>
        <v>250</v>
      </c>
      <c r="V16" s="276">
        <v>250</v>
      </c>
      <c r="W16" s="323"/>
      <c r="X16" s="260">
        <v>13719</v>
      </c>
      <c r="Y16" s="276" t="str">
        <f t="shared" si="19"/>
        <v>ok</v>
      </c>
      <c r="Z16" s="276">
        <f t="shared" si="7"/>
        <v>11</v>
      </c>
      <c r="AA16" s="276">
        <f t="shared" si="20"/>
        <v>2750</v>
      </c>
      <c r="AB16" s="276">
        <f t="shared" si="21"/>
        <v>500</v>
      </c>
      <c r="AC16" s="276">
        <f t="shared" si="22"/>
        <v>250</v>
      </c>
      <c r="AD16" s="73">
        <f>ELEC!Q17</f>
        <v>5114.9999999979627</v>
      </c>
      <c r="AE16" s="73">
        <f t="shared" si="25"/>
        <v>464.9999999998148</v>
      </c>
      <c r="AF16" s="387">
        <f t="shared" si="26"/>
        <v>0.29062499999988423</v>
      </c>
      <c r="AG16" s="387">
        <f t="shared" si="26"/>
        <v>1.8164062499992763E-4</v>
      </c>
      <c r="AH16" s="388">
        <f t="shared" si="23"/>
        <v>249.99981835937501</v>
      </c>
      <c r="AI16" s="73">
        <f t="shared" si="27"/>
        <v>1316.5189873412478</v>
      </c>
      <c r="AJ16" s="278">
        <f t="shared" si="8"/>
        <v>0.25738396624472576</v>
      </c>
      <c r="AK16" s="278">
        <f t="shared" si="9"/>
        <v>119.6835443037498</v>
      </c>
      <c r="AL16">
        <f t="shared" si="24"/>
        <v>1</v>
      </c>
    </row>
    <row r="17" spans="1:38" ht="15.75" thickBot="1">
      <c r="A17" s="4">
        <f>ELEC!C18</f>
        <v>44635</v>
      </c>
      <c r="B17" s="502">
        <v>11586</v>
      </c>
      <c r="C17" s="276">
        <f t="shared" si="10"/>
        <v>7</v>
      </c>
      <c r="D17" s="503">
        <f t="shared" si="11"/>
        <v>659516</v>
      </c>
      <c r="E17" s="276">
        <f t="shared" si="12"/>
        <v>1750</v>
      </c>
      <c r="F17" s="276">
        <f t="shared" si="1"/>
        <v>250</v>
      </c>
      <c r="G17" s="196"/>
      <c r="H17" s="260">
        <f t="shared" si="13"/>
        <v>11690</v>
      </c>
      <c r="I17" s="276" t="str">
        <f t="shared" si="2"/>
        <v>ok</v>
      </c>
      <c r="J17" s="502">
        <f t="shared" si="14"/>
        <v>10698</v>
      </c>
      <c r="K17" s="276">
        <f t="shared" si="3"/>
        <v>0</v>
      </c>
      <c r="L17" s="503">
        <f t="shared" si="15"/>
        <v>357691</v>
      </c>
      <c r="M17" s="276">
        <f t="shared" si="0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4"/>
        <v>ok</v>
      </c>
      <c r="R17" s="502">
        <v>13710</v>
      </c>
      <c r="S17" s="276">
        <f t="shared" si="5"/>
        <v>5</v>
      </c>
      <c r="T17" s="503">
        <f t="shared" si="30"/>
        <v>367012</v>
      </c>
      <c r="U17" s="276">
        <f t="shared" si="31"/>
        <v>1250</v>
      </c>
      <c r="V17" s="276">
        <v>250</v>
      </c>
      <c r="W17" s="323"/>
      <c r="X17" s="260">
        <v>13719</v>
      </c>
      <c r="Y17" s="276" t="str">
        <f t="shared" si="19"/>
        <v>ok</v>
      </c>
      <c r="Z17" s="276">
        <f t="shared" si="7"/>
        <v>12</v>
      </c>
      <c r="AA17" s="276">
        <f t="shared" si="20"/>
        <v>3000</v>
      </c>
      <c r="AB17" s="276">
        <f t="shared" si="21"/>
        <v>500</v>
      </c>
      <c r="AC17" s="276">
        <f t="shared" si="22"/>
        <v>250</v>
      </c>
      <c r="AD17" s="73">
        <f>ELEC!Q18</f>
        <v>5797.999999998865</v>
      </c>
      <c r="AE17" s="73">
        <f t="shared" si="25"/>
        <v>483.1666666665721</v>
      </c>
      <c r="AF17" s="387">
        <f t="shared" si="26"/>
        <v>0.30197916666660757</v>
      </c>
      <c r="AG17" s="387">
        <f t="shared" si="26"/>
        <v>1.8873697916662973E-4</v>
      </c>
      <c r="AH17" s="388">
        <f t="shared" si="23"/>
        <v>249.99981126302083</v>
      </c>
      <c r="AI17" s="73">
        <f t="shared" si="27"/>
        <v>1492.3122362866279</v>
      </c>
      <c r="AJ17" s="278">
        <f t="shared" si="8"/>
        <v>0.25738396624472576</v>
      </c>
      <c r="AK17" s="278">
        <f t="shared" si="9"/>
        <v>124.35935302388566</v>
      </c>
      <c r="AL17">
        <f t="shared" si="24"/>
        <v>1</v>
      </c>
    </row>
    <row r="18" spans="1:38" ht="15.75" thickBot="1">
      <c r="A18" s="4">
        <f>ELEC!C19</f>
        <v>44636</v>
      </c>
      <c r="B18" s="502">
        <f t="shared" si="28"/>
        <v>11586</v>
      </c>
      <c r="C18" s="276">
        <f t="shared" si="10"/>
        <v>0</v>
      </c>
      <c r="D18" s="503">
        <f t="shared" si="11"/>
        <v>659516</v>
      </c>
      <c r="E18" s="276">
        <f t="shared" si="12"/>
        <v>0</v>
      </c>
      <c r="F18" s="276">
        <f t="shared" si="1"/>
        <v>0</v>
      </c>
      <c r="G18" s="196"/>
      <c r="H18" s="260">
        <f t="shared" si="13"/>
        <v>11690</v>
      </c>
      <c r="I18" s="276" t="str">
        <f t="shared" si="2"/>
        <v>ok</v>
      </c>
      <c r="J18" s="502">
        <v>10707</v>
      </c>
      <c r="K18" s="276">
        <f t="shared" si="3"/>
        <v>9</v>
      </c>
      <c r="L18" s="503">
        <f>L17+K18*250</f>
        <v>359941</v>
      </c>
      <c r="M18" s="276">
        <f t="shared" si="0"/>
        <v>2250</v>
      </c>
      <c r="N18" s="276">
        <f t="shared" si="16"/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v>13714</v>
      </c>
      <c r="S18" s="276">
        <f t="shared" si="5"/>
        <v>4</v>
      </c>
      <c r="T18" s="503">
        <f t="shared" si="30"/>
        <v>368012</v>
      </c>
      <c r="U18" s="276">
        <f t="shared" si="31"/>
        <v>1000</v>
      </c>
      <c r="V18" s="276">
        <v>250</v>
      </c>
      <c r="W18" s="323"/>
      <c r="X18" s="260">
        <v>13719</v>
      </c>
      <c r="Y18" s="276" t="str">
        <f t="shared" si="19"/>
        <v>ok</v>
      </c>
      <c r="Z18" s="276">
        <f t="shared" si="7"/>
        <v>13</v>
      </c>
      <c r="AA18" s="276">
        <f t="shared" si="20"/>
        <v>3250</v>
      </c>
      <c r="AB18" s="276">
        <f t="shared" si="21"/>
        <v>500</v>
      </c>
      <c r="AC18" s="276">
        <f t="shared" si="22"/>
        <v>250</v>
      </c>
      <c r="AD18" s="73">
        <f>ELEC!Q19</f>
        <v>5378.0000000006112</v>
      </c>
      <c r="AE18" s="73">
        <f t="shared" si="25"/>
        <v>413.69230769235469</v>
      </c>
      <c r="AF18" s="387">
        <f t="shared" si="26"/>
        <v>0.25855769230772169</v>
      </c>
      <c r="AG18" s="387">
        <f t="shared" si="26"/>
        <v>1.6159855769232604E-4</v>
      </c>
      <c r="AH18" s="388">
        <f t="shared" si="23"/>
        <v>249.9998384014423</v>
      </c>
      <c r="AI18" s="73">
        <f t="shared" si="27"/>
        <v>1384.2109704642924</v>
      </c>
      <c r="AJ18" s="278">
        <f t="shared" si="8"/>
        <v>0.25738396624472576</v>
      </c>
      <c r="AK18" s="278">
        <f t="shared" si="9"/>
        <v>106.47776695879172</v>
      </c>
      <c r="AL18">
        <f t="shared" si="24"/>
        <v>1</v>
      </c>
    </row>
    <row r="19" spans="1:38" ht="15.75" thickBot="1">
      <c r="A19" s="4">
        <f>ELEC!C20</f>
        <v>44637</v>
      </c>
      <c r="B19" s="502">
        <v>11588</v>
      </c>
      <c r="C19" s="276">
        <f t="shared" si="10"/>
        <v>2</v>
      </c>
      <c r="D19" s="503">
        <f t="shared" si="11"/>
        <v>660016</v>
      </c>
      <c r="E19" s="276">
        <f t="shared" si="12"/>
        <v>500</v>
      </c>
      <c r="F19" s="276">
        <f t="shared" si="1"/>
        <v>250</v>
      </c>
      <c r="G19" s="196"/>
      <c r="H19" s="260">
        <f t="shared" si="13"/>
        <v>11690</v>
      </c>
      <c r="I19" s="276" t="str">
        <f t="shared" si="2"/>
        <v>ok</v>
      </c>
      <c r="J19" s="502">
        <v>10708</v>
      </c>
      <c r="K19" s="276">
        <f t="shared" si="3"/>
        <v>1</v>
      </c>
      <c r="L19" s="503">
        <f>L18+K19*250</f>
        <v>360191</v>
      </c>
      <c r="M19" s="276">
        <f t="shared" si="0"/>
        <v>250</v>
      </c>
      <c r="N19" s="276">
        <f t="shared" si="16"/>
        <v>250</v>
      </c>
      <c r="O19" s="196"/>
      <c r="P19" s="277">
        <f t="shared" si="17"/>
        <v>10873</v>
      </c>
      <c r="Q19" s="276" t="str">
        <f t="shared" ref="Q19:Q30" si="32">IF(J19-P19&lt;=0,"ok","oil change")</f>
        <v>ok</v>
      </c>
      <c r="R19" s="502">
        <v>13723</v>
      </c>
      <c r="S19" s="276">
        <f t="shared" si="5"/>
        <v>9</v>
      </c>
      <c r="T19" s="503">
        <f t="shared" si="30"/>
        <v>370262</v>
      </c>
      <c r="U19" s="276">
        <f t="shared" si="31"/>
        <v>2250</v>
      </c>
      <c r="V19" s="276">
        <v>250</v>
      </c>
      <c r="W19" s="323"/>
      <c r="X19" s="260">
        <v>13719</v>
      </c>
      <c r="Y19" s="276" t="str">
        <f t="shared" si="19"/>
        <v>oil change</v>
      </c>
      <c r="Z19" s="276">
        <f t="shared" si="7"/>
        <v>12</v>
      </c>
      <c r="AA19" s="276">
        <f t="shared" si="20"/>
        <v>3000</v>
      </c>
      <c r="AB19" s="276">
        <f t="shared" si="21"/>
        <v>750</v>
      </c>
      <c r="AC19" s="276">
        <f t="shared" si="22"/>
        <v>250</v>
      </c>
      <c r="AD19" s="73">
        <f>ELEC!Q20</f>
        <v>5306.0000000004948</v>
      </c>
      <c r="AE19" s="73">
        <f t="shared" si="25"/>
        <v>442.1666666667079</v>
      </c>
      <c r="AF19" s="387">
        <f t="shared" si="26"/>
        <v>0.27635416666669244</v>
      </c>
      <c r="AG19" s="387">
        <f t="shared" si="26"/>
        <v>1.7272135416668277E-4</v>
      </c>
      <c r="AH19" s="388">
        <f t="shared" si="23"/>
        <v>249.99982727864582</v>
      </c>
      <c r="AI19" s="73">
        <f t="shared" si="27"/>
        <v>1365.6793248946421</v>
      </c>
      <c r="AJ19" s="278">
        <f t="shared" si="8"/>
        <v>0.25738396624472576</v>
      </c>
      <c r="AK19" s="278">
        <f t="shared" si="9"/>
        <v>113.80661040788685</v>
      </c>
      <c r="AL19">
        <f t="shared" si="24"/>
        <v>1</v>
      </c>
    </row>
    <row r="20" spans="1:38" ht="15.75" thickBot="1">
      <c r="A20" s="4">
        <f>ELEC!C21</f>
        <v>44638</v>
      </c>
      <c r="B20" s="502">
        <f t="shared" si="28"/>
        <v>11588</v>
      </c>
      <c r="C20" s="276">
        <f>B20-B19</f>
        <v>0</v>
      </c>
      <c r="D20" s="503">
        <f t="shared" si="11"/>
        <v>660016</v>
      </c>
      <c r="E20" s="276">
        <f t="shared" si="12"/>
        <v>0</v>
      </c>
      <c r="F20" s="276">
        <f t="shared" si="1"/>
        <v>0</v>
      </c>
      <c r="G20" s="196"/>
      <c r="H20" s="260">
        <f t="shared" si="13"/>
        <v>11690</v>
      </c>
      <c r="I20" s="276" t="str">
        <f t="shared" si="2"/>
        <v>ok</v>
      </c>
      <c r="J20" s="502">
        <f t="shared" si="14"/>
        <v>10708</v>
      </c>
      <c r="K20" s="276">
        <f t="shared" si="3"/>
        <v>0</v>
      </c>
      <c r="L20" s="503">
        <f t="shared" ref="L20:L27" si="33">L19+K20*250</f>
        <v>360191</v>
      </c>
      <c r="M20" s="276">
        <f t="shared" si="0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2"/>
        <v>ok</v>
      </c>
      <c r="R20" s="502">
        <f t="shared" si="29"/>
        <v>13723</v>
      </c>
      <c r="S20" s="276">
        <f t="shared" si="5"/>
        <v>0</v>
      </c>
      <c r="T20" s="503">
        <f t="shared" si="30"/>
        <v>370262</v>
      </c>
      <c r="U20" s="276">
        <f t="shared" si="31"/>
        <v>0</v>
      </c>
      <c r="V20" s="276">
        <v>250</v>
      </c>
      <c r="W20" s="323"/>
      <c r="X20" s="260">
        <v>13873</v>
      </c>
      <c r="Y20" s="276" t="str">
        <f>IF(R20-X20&lt;=0,"ok","oil change")</f>
        <v>ok</v>
      </c>
      <c r="Z20" s="276">
        <f t="shared" si="7"/>
        <v>0</v>
      </c>
      <c r="AA20" s="276">
        <f t="shared" si="20"/>
        <v>0</v>
      </c>
      <c r="AB20" s="276">
        <f t="shared" si="21"/>
        <v>250</v>
      </c>
      <c r="AC20" s="276">
        <f t="shared" si="22"/>
        <v>0</v>
      </c>
      <c r="AD20" s="73">
        <f>ELEC!Q21</f>
        <v>0</v>
      </c>
      <c r="AE20" s="73" t="e">
        <f t="shared" si="25"/>
        <v>#DIV/0!</v>
      </c>
      <c r="AF20" s="387" t="e">
        <f t="shared" si="26"/>
        <v>#DIV/0!</v>
      </c>
      <c r="AG20" s="387" t="e">
        <f t="shared" si="26"/>
        <v>#DIV/0!</v>
      </c>
      <c r="AH20" s="388" t="e">
        <f t="shared" si="23"/>
        <v>#DIV/0!</v>
      </c>
      <c r="AI20" s="73">
        <f>AD20*AJ20</f>
        <v>0</v>
      </c>
      <c r="AJ20" s="278">
        <f t="shared" si="8"/>
        <v>0.25738396624472576</v>
      </c>
      <c r="AK20" s="278" t="e">
        <f t="shared" si="9"/>
        <v>#DIV/0!</v>
      </c>
      <c r="AL20">
        <f t="shared" si="24"/>
        <v>0</v>
      </c>
    </row>
    <row r="21" spans="1:38" ht="15.75" thickBot="1">
      <c r="A21" s="4">
        <f>ELEC!C22</f>
        <v>44639</v>
      </c>
      <c r="B21" s="502">
        <f t="shared" si="28"/>
        <v>11588</v>
      </c>
      <c r="C21" s="276">
        <f>B21-B20</f>
        <v>0</v>
      </c>
      <c r="D21" s="503">
        <f t="shared" si="11"/>
        <v>660016</v>
      </c>
      <c r="E21" s="276">
        <f t="shared" si="12"/>
        <v>0</v>
      </c>
      <c r="F21" s="276">
        <f t="shared" si="1"/>
        <v>0</v>
      </c>
      <c r="G21" s="196"/>
      <c r="H21" s="260">
        <f t="shared" si="13"/>
        <v>11690</v>
      </c>
      <c r="I21" s="276" t="str">
        <f t="shared" si="2"/>
        <v>ok</v>
      </c>
      <c r="J21" s="502">
        <f t="shared" si="14"/>
        <v>10708</v>
      </c>
      <c r="K21" s="276">
        <f t="shared" si="3"/>
        <v>0</v>
      </c>
      <c r="L21" s="503">
        <f t="shared" si="33"/>
        <v>360191</v>
      </c>
      <c r="M21" s="276">
        <f t="shared" si="0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2"/>
        <v>ok</v>
      </c>
      <c r="R21" s="502">
        <f t="shared" si="29"/>
        <v>13723</v>
      </c>
      <c r="S21" s="276">
        <f t="shared" si="5"/>
        <v>0</v>
      </c>
      <c r="T21" s="503">
        <f t="shared" si="30"/>
        <v>370262</v>
      </c>
      <c r="U21" s="276">
        <f t="shared" si="31"/>
        <v>0</v>
      </c>
      <c r="V21" s="276">
        <v>250</v>
      </c>
      <c r="W21" s="196"/>
      <c r="X21" s="260">
        <v>13873</v>
      </c>
      <c r="Y21" s="276" t="str">
        <f>Y20</f>
        <v>ok</v>
      </c>
      <c r="Z21" s="276">
        <f t="shared" si="7"/>
        <v>0</v>
      </c>
      <c r="AA21" s="276">
        <f t="shared" si="20"/>
        <v>0</v>
      </c>
      <c r="AB21" s="276">
        <f t="shared" si="21"/>
        <v>250</v>
      </c>
      <c r="AC21" s="276">
        <f t="shared" si="22"/>
        <v>0</v>
      </c>
      <c r="AD21" s="73">
        <f>ELEC!Q22</f>
        <v>0</v>
      </c>
      <c r="AE21" s="73" t="e">
        <f t="shared" si="25"/>
        <v>#DIV/0!</v>
      </c>
      <c r="AF21" s="387" t="e">
        <f t="shared" si="26"/>
        <v>#DIV/0!</v>
      </c>
      <c r="AG21" s="387" t="e">
        <f t="shared" si="26"/>
        <v>#DIV/0!</v>
      </c>
      <c r="AH21" s="388" t="e">
        <f t="shared" si="23"/>
        <v>#DIV/0!</v>
      </c>
      <c r="AI21" s="73">
        <f t="shared" si="27"/>
        <v>0</v>
      </c>
      <c r="AJ21" s="278">
        <f t="shared" si="8"/>
        <v>0.25738396624472576</v>
      </c>
      <c r="AK21" s="278" t="e">
        <f t="shared" si="9"/>
        <v>#DIV/0!</v>
      </c>
      <c r="AL21">
        <f t="shared" si="24"/>
        <v>0</v>
      </c>
    </row>
    <row r="22" spans="1:38" ht="15.75" thickBot="1">
      <c r="A22" s="4">
        <f>ELEC!C23</f>
        <v>44640</v>
      </c>
      <c r="B22" s="502">
        <v>11597</v>
      </c>
      <c r="C22" s="276">
        <f t="shared" si="10"/>
        <v>9</v>
      </c>
      <c r="D22" s="503">
        <f t="shared" si="11"/>
        <v>662266</v>
      </c>
      <c r="E22" s="276">
        <f>150*C22</f>
        <v>1350</v>
      </c>
      <c r="F22" s="276">
        <f t="shared" si="1"/>
        <v>150</v>
      </c>
      <c r="G22" s="196"/>
      <c r="H22" s="260">
        <f t="shared" si="13"/>
        <v>11690</v>
      </c>
      <c r="I22" s="276" t="str">
        <f t="shared" si="2"/>
        <v>ok</v>
      </c>
      <c r="J22" s="502">
        <f t="shared" si="14"/>
        <v>10708</v>
      </c>
      <c r="K22" s="276">
        <f t="shared" si="3"/>
        <v>0</v>
      </c>
      <c r="L22" s="503">
        <f t="shared" si="33"/>
        <v>360191</v>
      </c>
      <c r="M22" s="276">
        <f t="shared" si="0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2"/>
        <v>ok</v>
      </c>
      <c r="R22" s="502">
        <v>13725</v>
      </c>
      <c r="S22" s="276">
        <f t="shared" si="5"/>
        <v>2</v>
      </c>
      <c r="T22" s="503">
        <f t="shared" si="30"/>
        <v>370762</v>
      </c>
      <c r="U22" s="276">
        <f t="shared" si="31"/>
        <v>500</v>
      </c>
      <c r="V22" s="276">
        <v>250</v>
      </c>
      <c r="W22" s="196"/>
      <c r="X22" s="260">
        <v>13873</v>
      </c>
      <c r="Y22" s="276" t="str">
        <f t="shared" ref="Y22:Y33" si="34">Y21</f>
        <v>ok</v>
      </c>
      <c r="Z22" s="276">
        <f t="shared" si="7"/>
        <v>11</v>
      </c>
      <c r="AA22" s="276">
        <f t="shared" si="20"/>
        <v>1850</v>
      </c>
      <c r="AB22" s="276">
        <f t="shared" si="21"/>
        <v>400</v>
      </c>
      <c r="AC22" s="276">
        <f t="shared" si="22"/>
        <v>168.18181818181819</v>
      </c>
      <c r="AD22" s="73">
        <f>ELEC!Q23</f>
        <v>5221.0000000013679</v>
      </c>
      <c r="AE22" s="73">
        <f t="shared" si="25"/>
        <v>474.636363636488</v>
      </c>
      <c r="AF22" s="387">
        <f t="shared" si="26"/>
        <v>0.29664772727280497</v>
      </c>
      <c r="AG22" s="387">
        <f t="shared" si="26"/>
        <v>1.8540482954550311E-4</v>
      </c>
      <c r="AH22" s="388">
        <f t="shared" si="23"/>
        <v>168.18163277698864</v>
      </c>
      <c r="AI22" s="73">
        <f t="shared" si="27"/>
        <v>1343.8016877640653</v>
      </c>
      <c r="AJ22" s="278">
        <f t="shared" si="8"/>
        <v>0.25738396624472576</v>
      </c>
      <c r="AK22" s="278">
        <f t="shared" si="9"/>
        <v>122.16378979673321</v>
      </c>
      <c r="AL22">
        <f t="shared" si="24"/>
        <v>1</v>
      </c>
    </row>
    <row r="23" spans="1:38" ht="15.75" thickBot="1">
      <c r="A23" s="4">
        <f>ELEC!C24</f>
        <v>44641</v>
      </c>
      <c r="B23" s="502">
        <v>11598</v>
      </c>
      <c r="C23" s="276">
        <f t="shared" si="10"/>
        <v>1</v>
      </c>
      <c r="D23" s="503">
        <f t="shared" si="11"/>
        <v>662516</v>
      </c>
      <c r="E23" s="276">
        <f>150*C23</f>
        <v>150</v>
      </c>
      <c r="F23" s="276">
        <f t="shared" si="1"/>
        <v>150</v>
      </c>
      <c r="G23" s="196"/>
      <c r="H23" s="260">
        <f t="shared" si="13"/>
        <v>11690</v>
      </c>
      <c r="I23" s="276" t="str">
        <f t="shared" si="2"/>
        <v>ok</v>
      </c>
      <c r="J23" s="502">
        <f t="shared" si="14"/>
        <v>10708</v>
      </c>
      <c r="K23" s="276">
        <f t="shared" si="3"/>
        <v>0</v>
      </c>
      <c r="L23" s="503">
        <f t="shared" si="33"/>
        <v>360191</v>
      </c>
      <c r="M23" s="276">
        <f t="shared" si="0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2"/>
        <v>ok</v>
      </c>
      <c r="R23" s="502">
        <v>13734</v>
      </c>
      <c r="S23" s="276">
        <f>R23-R22</f>
        <v>9</v>
      </c>
      <c r="T23" s="503">
        <f t="shared" si="30"/>
        <v>373012</v>
      </c>
      <c r="U23" s="276">
        <f>V23*S23</f>
        <v>2250</v>
      </c>
      <c r="V23" s="276">
        <v>250</v>
      </c>
      <c r="W23" s="196"/>
      <c r="X23" s="260">
        <v>13873</v>
      </c>
      <c r="Y23" s="276" t="str">
        <f t="shared" si="34"/>
        <v>ok</v>
      </c>
      <c r="Z23" s="276">
        <f t="shared" si="7"/>
        <v>10</v>
      </c>
      <c r="AA23" s="276">
        <f t="shared" si="20"/>
        <v>2400</v>
      </c>
      <c r="AB23" s="276">
        <f t="shared" si="21"/>
        <v>400</v>
      </c>
      <c r="AC23" s="276">
        <f t="shared" si="22"/>
        <v>240</v>
      </c>
      <c r="AD23" s="73">
        <f>ELEC!Q24</f>
        <v>4638.9999999992142</v>
      </c>
      <c r="AE23" s="73">
        <f t="shared" si="25"/>
        <v>463.89999999992142</v>
      </c>
      <c r="AF23" s="387">
        <f t="shared" si="26"/>
        <v>0.28993749999995089</v>
      </c>
      <c r="AG23" s="387">
        <f t="shared" si="26"/>
        <v>1.8121093749996929E-4</v>
      </c>
      <c r="AH23" s="388">
        <f t="shared" si="23"/>
        <v>239.99981878906249</v>
      </c>
      <c r="AI23" s="73">
        <f t="shared" si="27"/>
        <v>1194.0042194090806</v>
      </c>
      <c r="AJ23" s="278">
        <f t="shared" si="8"/>
        <v>0.25738396624472576</v>
      </c>
      <c r="AK23" s="278">
        <f t="shared" si="9"/>
        <v>119.40042194090806</v>
      </c>
      <c r="AL23">
        <f t="shared" si="24"/>
        <v>1</v>
      </c>
    </row>
    <row r="24" spans="1:38" ht="15.75" thickBot="1">
      <c r="A24" s="4">
        <f>ELEC!C25</f>
        <v>44642</v>
      </c>
      <c r="B24" s="502">
        <v>11602</v>
      </c>
      <c r="C24" s="276">
        <f t="shared" si="10"/>
        <v>4</v>
      </c>
      <c r="D24" s="503">
        <f t="shared" si="11"/>
        <v>663516</v>
      </c>
      <c r="E24" s="276">
        <f t="shared" si="12"/>
        <v>1000</v>
      </c>
      <c r="F24" s="276">
        <f t="shared" si="1"/>
        <v>250</v>
      </c>
      <c r="G24" s="196"/>
      <c r="H24" s="260">
        <f t="shared" si="13"/>
        <v>11690</v>
      </c>
      <c r="I24" s="276" t="str">
        <f t="shared" si="2"/>
        <v>ok</v>
      </c>
      <c r="J24" s="502">
        <v>10713</v>
      </c>
      <c r="K24" s="276">
        <f t="shared" si="3"/>
        <v>5</v>
      </c>
      <c r="L24" s="503">
        <f t="shared" si="33"/>
        <v>361441</v>
      </c>
      <c r="M24" s="276">
        <f t="shared" si="0"/>
        <v>1250</v>
      </c>
      <c r="N24" s="276">
        <f t="shared" si="16"/>
        <v>250</v>
      </c>
      <c r="O24" s="196"/>
      <c r="P24" s="277">
        <f t="shared" si="17"/>
        <v>10873</v>
      </c>
      <c r="Q24" s="276" t="str">
        <f t="shared" si="32"/>
        <v>ok</v>
      </c>
      <c r="R24" s="502">
        <v>13735</v>
      </c>
      <c r="S24" s="276">
        <f t="shared" si="5"/>
        <v>1</v>
      </c>
      <c r="T24" s="503">
        <f t="shared" si="30"/>
        <v>373262</v>
      </c>
      <c r="U24" s="276">
        <f t="shared" si="31"/>
        <v>250</v>
      </c>
      <c r="V24" s="276">
        <v>250</v>
      </c>
      <c r="W24" s="196"/>
      <c r="X24" s="260">
        <v>13873</v>
      </c>
      <c r="Y24" s="276" t="str">
        <f t="shared" si="34"/>
        <v>ok</v>
      </c>
      <c r="Z24" s="276">
        <f t="shared" si="7"/>
        <v>10</v>
      </c>
      <c r="AA24" s="276">
        <f t="shared" si="20"/>
        <v>2500</v>
      </c>
      <c r="AB24" s="276">
        <f t="shared" si="21"/>
        <v>750</v>
      </c>
      <c r="AC24" s="276">
        <f t="shared" si="22"/>
        <v>250</v>
      </c>
      <c r="AD24" s="73">
        <f>ELEC!Q25</f>
        <v>4981.9999999999709</v>
      </c>
      <c r="AE24" s="73">
        <f t="shared" si="25"/>
        <v>498.19999999999709</v>
      </c>
      <c r="AF24" s="387">
        <f t="shared" si="26"/>
        <v>0.31137499999999818</v>
      </c>
      <c r="AG24" s="387">
        <f t="shared" si="26"/>
        <v>1.9460937499999887E-4</v>
      </c>
      <c r="AH24" s="388">
        <f t="shared" si="23"/>
        <v>249.999805390625</v>
      </c>
      <c r="AI24" s="73">
        <f t="shared" si="27"/>
        <v>1282.2869198312162</v>
      </c>
      <c r="AJ24" s="278">
        <f t="shared" si="8"/>
        <v>0.25738396624472576</v>
      </c>
      <c r="AK24" s="278">
        <f t="shared" si="9"/>
        <v>128.22869198312162</v>
      </c>
      <c r="AL24">
        <f t="shared" si="24"/>
        <v>1</v>
      </c>
    </row>
    <row r="25" spans="1:38" ht="15.75" thickBot="1">
      <c r="A25" s="4">
        <f>ELEC!C26</f>
        <v>44643</v>
      </c>
      <c r="B25" s="502">
        <v>11611</v>
      </c>
      <c r="C25" s="276">
        <f t="shared" si="10"/>
        <v>9</v>
      </c>
      <c r="D25" s="503">
        <f t="shared" si="11"/>
        <v>665766</v>
      </c>
      <c r="E25" s="276">
        <f t="shared" si="12"/>
        <v>2250</v>
      </c>
      <c r="F25" s="276">
        <f t="shared" si="1"/>
        <v>250</v>
      </c>
      <c r="G25" s="196"/>
      <c r="H25" s="260">
        <f t="shared" si="13"/>
        <v>11690</v>
      </c>
      <c r="I25" s="276" t="str">
        <f t="shared" si="2"/>
        <v>ok</v>
      </c>
      <c r="J25" s="502">
        <v>10715</v>
      </c>
      <c r="K25" s="276">
        <f t="shared" si="3"/>
        <v>2</v>
      </c>
      <c r="L25" s="503">
        <f t="shared" si="33"/>
        <v>361941</v>
      </c>
      <c r="M25" s="276">
        <f t="shared" si="0"/>
        <v>500</v>
      </c>
      <c r="N25" s="276">
        <f t="shared" si="16"/>
        <v>250</v>
      </c>
      <c r="O25" s="196"/>
      <c r="P25" s="277">
        <f t="shared" si="17"/>
        <v>10873</v>
      </c>
      <c r="Q25" s="276" t="str">
        <f t="shared" si="32"/>
        <v>ok</v>
      </c>
      <c r="R25" s="502">
        <v>13735</v>
      </c>
      <c r="S25" s="276">
        <f t="shared" si="5"/>
        <v>0</v>
      </c>
      <c r="T25" s="503">
        <f t="shared" si="30"/>
        <v>373262</v>
      </c>
      <c r="U25" s="276">
        <f t="shared" si="31"/>
        <v>0</v>
      </c>
      <c r="V25" s="276">
        <v>250</v>
      </c>
      <c r="W25" s="196"/>
      <c r="X25" s="260">
        <v>13873</v>
      </c>
      <c r="Y25" s="276" t="str">
        <f t="shared" si="34"/>
        <v>ok</v>
      </c>
      <c r="Z25" s="276">
        <f t="shared" si="7"/>
        <v>11</v>
      </c>
      <c r="AA25" s="276">
        <f t="shared" si="20"/>
        <v>2750</v>
      </c>
      <c r="AB25" s="276">
        <f t="shared" si="21"/>
        <v>750</v>
      </c>
      <c r="AC25" s="276">
        <f t="shared" si="22"/>
        <v>250</v>
      </c>
      <c r="AD25" s="73">
        <f>ELEC!Q26</f>
        <v>5467.000000000553</v>
      </c>
      <c r="AE25" s="73">
        <f t="shared" si="25"/>
        <v>497.00000000005025</v>
      </c>
      <c r="AF25" s="387">
        <f t="shared" si="26"/>
        <v>0.3106250000000314</v>
      </c>
      <c r="AG25" s="387">
        <f t="shared" si="26"/>
        <v>1.9414062500001963E-4</v>
      </c>
      <c r="AH25" s="388">
        <f t="shared" si="23"/>
        <v>249.99980585937499</v>
      </c>
      <c r="AI25" s="73">
        <f t="shared" si="27"/>
        <v>1407.118143460058</v>
      </c>
      <c r="AJ25" s="278">
        <f t="shared" si="8"/>
        <v>0.25738396624472576</v>
      </c>
      <c r="AK25" s="278">
        <f t="shared" si="9"/>
        <v>127.91983122364164</v>
      </c>
      <c r="AL25">
        <f t="shared" si="24"/>
        <v>1</v>
      </c>
    </row>
    <row r="26" spans="1:38" ht="15.75" thickBot="1">
      <c r="A26" s="4">
        <f>ELEC!C27</f>
        <v>44644</v>
      </c>
      <c r="B26" s="502">
        <v>11621</v>
      </c>
      <c r="C26" s="276">
        <f>B26-B25</f>
        <v>10</v>
      </c>
      <c r="D26" s="503">
        <f t="shared" si="11"/>
        <v>668266</v>
      </c>
      <c r="E26" s="276">
        <f>SUM(D26-D25)</f>
        <v>2500</v>
      </c>
      <c r="F26" s="276">
        <f t="shared" si="1"/>
        <v>250</v>
      </c>
      <c r="G26" s="196"/>
      <c r="H26" s="260">
        <f t="shared" si="13"/>
        <v>11690</v>
      </c>
      <c r="I26" s="276" t="str">
        <f t="shared" si="2"/>
        <v>ok</v>
      </c>
      <c r="J26" s="502">
        <f t="shared" si="14"/>
        <v>10715</v>
      </c>
      <c r="K26" s="276">
        <f t="shared" si="3"/>
        <v>0</v>
      </c>
      <c r="L26" s="503">
        <f t="shared" si="33"/>
        <v>361941</v>
      </c>
      <c r="M26" s="276">
        <f t="shared" si="0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2"/>
        <v>ok</v>
      </c>
      <c r="R26" s="502">
        <v>13735</v>
      </c>
      <c r="S26" s="276">
        <f>R26-R25</f>
        <v>0</v>
      </c>
      <c r="T26" s="503">
        <f t="shared" si="30"/>
        <v>373262</v>
      </c>
      <c r="U26" s="276">
        <f t="shared" si="31"/>
        <v>0</v>
      </c>
      <c r="V26" s="276">
        <v>250</v>
      </c>
      <c r="W26" s="196"/>
      <c r="X26" s="260">
        <v>13873</v>
      </c>
      <c r="Y26" s="276" t="str">
        <f t="shared" si="34"/>
        <v>ok</v>
      </c>
      <c r="Z26" s="276">
        <f t="shared" si="7"/>
        <v>10</v>
      </c>
      <c r="AA26" s="276">
        <f t="shared" si="20"/>
        <v>2500</v>
      </c>
      <c r="AB26" s="276">
        <f t="shared" si="21"/>
        <v>500</v>
      </c>
      <c r="AC26" s="276">
        <f t="shared" si="22"/>
        <v>250</v>
      </c>
      <c r="AD26" s="73">
        <f>ELEC!Q27</f>
        <v>5166.9999999976426</v>
      </c>
      <c r="AE26" s="73">
        <f t="shared" si="25"/>
        <v>516.69999999976426</v>
      </c>
      <c r="AF26" s="387">
        <f t="shared" si="26"/>
        <v>0.32293749999985266</v>
      </c>
      <c r="AG26" s="387">
        <f t="shared" si="26"/>
        <v>2.0183593749990793E-4</v>
      </c>
      <c r="AH26" s="388">
        <f t="shared" si="23"/>
        <v>249.9997981640625</v>
      </c>
      <c r="AI26" s="73">
        <f t="shared" si="27"/>
        <v>1329.9029535858913</v>
      </c>
      <c r="AJ26" s="278">
        <f t="shared" si="8"/>
        <v>0.25738396624472576</v>
      </c>
      <c r="AK26" s="278">
        <f t="shared" si="9"/>
        <v>132.99029535858912</v>
      </c>
      <c r="AL26">
        <f t="shared" si="24"/>
        <v>1</v>
      </c>
    </row>
    <row r="27" spans="1:38" ht="15.75" thickBot="1">
      <c r="A27" s="4">
        <f>ELEC!C28</f>
        <v>44645</v>
      </c>
      <c r="B27" s="502">
        <f t="shared" si="28"/>
        <v>11621</v>
      </c>
      <c r="C27" s="276">
        <f>B27-B26</f>
        <v>0</v>
      </c>
      <c r="D27" s="503">
        <f t="shared" si="11"/>
        <v>668266</v>
      </c>
      <c r="E27" s="276">
        <f>SUM(D27-D26)</f>
        <v>0</v>
      </c>
      <c r="F27" s="276">
        <f t="shared" si="1"/>
        <v>0</v>
      </c>
      <c r="G27" s="196"/>
      <c r="H27" s="260">
        <f t="shared" si="13"/>
        <v>11690</v>
      </c>
      <c r="I27" s="276" t="str">
        <f>IF(B27-H27&lt;=0,"ok","oil change")</f>
        <v>ok</v>
      </c>
      <c r="J27" s="502">
        <f t="shared" si="14"/>
        <v>10715</v>
      </c>
      <c r="K27" s="276">
        <f t="shared" si="3"/>
        <v>0</v>
      </c>
      <c r="L27" s="503">
        <f t="shared" si="33"/>
        <v>361941</v>
      </c>
      <c r="M27" s="276">
        <f t="shared" si="0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2"/>
        <v>ok</v>
      </c>
      <c r="R27" s="502">
        <f t="shared" si="29"/>
        <v>13735</v>
      </c>
      <c r="S27" s="276">
        <f t="shared" si="5"/>
        <v>0</v>
      </c>
      <c r="T27" s="503">
        <f t="shared" si="30"/>
        <v>373262</v>
      </c>
      <c r="U27" s="276">
        <f t="shared" si="31"/>
        <v>0</v>
      </c>
      <c r="V27" s="276">
        <v>250</v>
      </c>
      <c r="W27" s="196"/>
      <c r="X27" s="260">
        <v>13873</v>
      </c>
      <c r="Y27" s="276" t="str">
        <f t="shared" si="34"/>
        <v>ok</v>
      </c>
      <c r="Z27" s="276">
        <f t="shared" si="7"/>
        <v>0</v>
      </c>
      <c r="AA27" s="276">
        <f t="shared" si="20"/>
        <v>0</v>
      </c>
      <c r="AB27" s="276">
        <f t="shared" si="21"/>
        <v>250</v>
      </c>
      <c r="AC27" s="276">
        <f t="shared" si="22"/>
        <v>0</v>
      </c>
      <c r="AD27" s="73">
        <f>ELEC!Q28</f>
        <v>0</v>
      </c>
      <c r="AE27" s="73" t="e">
        <f t="shared" si="25"/>
        <v>#DIV/0!</v>
      </c>
      <c r="AF27" s="387" t="e">
        <f t="shared" si="26"/>
        <v>#DIV/0!</v>
      </c>
      <c r="AG27" s="387" t="e">
        <f t="shared" si="26"/>
        <v>#DIV/0!</v>
      </c>
      <c r="AH27" s="388" t="e">
        <f t="shared" si="23"/>
        <v>#DIV/0!</v>
      </c>
      <c r="AI27" s="73">
        <f t="shared" si="27"/>
        <v>0</v>
      </c>
      <c r="AJ27" s="278">
        <f t="shared" si="8"/>
        <v>0.25738396624472576</v>
      </c>
      <c r="AK27" s="278" t="e">
        <f t="shared" si="9"/>
        <v>#DIV/0!</v>
      </c>
      <c r="AL27">
        <f t="shared" si="24"/>
        <v>0</v>
      </c>
    </row>
    <row r="28" spans="1:38" ht="15.75" thickBot="1">
      <c r="A28" s="4">
        <f>ELEC!C29</f>
        <v>44646</v>
      </c>
      <c r="B28" s="502">
        <f t="shared" si="28"/>
        <v>11621</v>
      </c>
      <c r="C28" s="276">
        <f t="shared" si="10"/>
        <v>0</v>
      </c>
      <c r="D28" s="503">
        <f t="shared" si="11"/>
        <v>668266</v>
      </c>
      <c r="E28" s="276">
        <f>SUM(D28-D27)</f>
        <v>0</v>
      </c>
      <c r="F28" s="276">
        <f t="shared" si="1"/>
        <v>0</v>
      </c>
      <c r="G28" s="274"/>
      <c r="H28" s="260">
        <f t="shared" si="13"/>
        <v>11690</v>
      </c>
      <c r="I28" s="276" t="str">
        <f t="shared" si="2"/>
        <v>ok</v>
      </c>
      <c r="J28" s="502">
        <f t="shared" si="14"/>
        <v>10715</v>
      </c>
      <c r="K28" s="276">
        <f t="shared" si="3"/>
        <v>0</v>
      </c>
      <c r="L28" s="503">
        <f t="shared" ref="L28:L33" si="35">L27+K28*250</f>
        <v>361941</v>
      </c>
      <c r="M28" s="276">
        <f t="shared" si="0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2"/>
        <v>ok</v>
      </c>
      <c r="R28" s="502">
        <f t="shared" si="29"/>
        <v>13735</v>
      </c>
      <c r="S28" s="276">
        <f t="shared" si="5"/>
        <v>0</v>
      </c>
      <c r="T28" s="503">
        <f t="shared" si="30"/>
        <v>373262</v>
      </c>
      <c r="U28" s="276">
        <f t="shared" si="31"/>
        <v>0</v>
      </c>
      <c r="V28" s="276">
        <v>250</v>
      </c>
      <c r="W28" s="196"/>
      <c r="X28" s="260">
        <v>13873</v>
      </c>
      <c r="Y28" s="276" t="str">
        <f t="shared" si="34"/>
        <v>ok</v>
      </c>
      <c r="Z28" s="276">
        <f t="shared" si="7"/>
        <v>0</v>
      </c>
      <c r="AA28" s="276">
        <f t="shared" si="20"/>
        <v>0</v>
      </c>
      <c r="AB28" s="276">
        <f t="shared" si="21"/>
        <v>250</v>
      </c>
      <c r="AC28" s="276">
        <f t="shared" si="22"/>
        <v>0</v>
      </c>
      <c r="AD28" s="73">
        <f>ELEC!Q29</f>
        <v>0</v>
      </c>
      <c r="AE28" s="73" t="e">
        <f t="shared" si="25"/>
        <v>#DIV/0!</v>
      </c>
      <c r="AF28" s="387" t="e">
        <f t="shared" si="26"/>
        <v>#DIV/0!</v>
      </c>
      <c r="AG28" s="387" t="e">
        <f t="shared" si="26"/>
        <v>#DIV/0!</v>
      </c>
      <c r="AH28" s="388" t="e">
        <f t="shared" si="23"/>
        <v>#DIV/0!</v>
      </c>
      <c r="AI28" s="73">
        <f t="shared" si="27"/>
        <v>0</v>
      </c>
      <c r="AJ28" s="278">
        <f t="shared" si="8"/>
        <v>0.25738396624472576</v>
      </c>
      <c r="AK28" s="278" t="e">
        <f t="shared" si="9"/>
        <v>#DIV/0!</v>
      </c>
      <c r="AL28">
        <f t="shared" si="24"/>
        <v>0</v>
      </c>
    </row>
    <row r="29" spans="1:38" ht="15.75" thickBot="1">
      <c r="A29" s="4">
        <f>ELEC!C30</f>
        <v>44647</v>
      </c>
      <c r="B29" s="502">
        <v>11629</v>
      </c>
      <c r="C29" s="276">
        <f t="shared" si="10"/>
        <v>8</v>
      </c>
      <c r="D29" s="503">
        <f t="shared" si="11"/>
        <v>670266</v>
      </c>
      <c r="E29" s="276">
        <f>SUM(D29-D28)</f>
        <v>2000</v>
      </c>
      <c r="F29" s="276">
        <f t="shared" si="1"/>
        <v>250</v>
      </c>
      <c r="G29" s="196"/>
      <c r="H29" s="260">
        <f t="shared" si="13"/>
        <v>11690</v>
      </c>
      <c r="I29" s="276" t="str">
        <f t="shared" si="2"/>
        <v>ok</v>
      </c>
      <c r="J29" s="502">
        <f t="shared" si="14"/>
        <v>10715</v>
      </c>
      <c r="K29" s="276">
        <f t="shared" si="3"/>
        <v>0</v>
      </c>
      <c r="L29" s="503">
        <f t="shared" si="35"/>
        <v>361941</v>
      </c>
      <c r="M29" s="276">
        <f t="shared" si="0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2"/>
        <v>ok</v>
      </c>
      <c r="R29" s="502">
        <v>13737</v>
      </c>
      <c r="S29" s="276">
        <f t="shared" si="5"/>
        <v>2</v>
      </c>
      <c r="T29" s="503">
        <f t="shared" si="30"/>
        <v>373762</v>
      </c>
      <c r="U29" s="276">
        <f>V29*S29</f>
        <v>500</v>
      </c>
      <c r="V29" s="276">
        <v>250</v>
      </c>
      <c r="W29" s="196"/>
      <c r="X29" s="260">
        <v>13873</v>
      </c>
      <c r="Y29" s="276" t="str">
        <f t="shared" si="34"/>
        <v>ok</v>
      </c>
      <c r="Z29" s="276">
        <f t="shared" si="7"/>
        <v>10</v>
      </c>
      <c r="AA29" s="276">
        <f t="shared" si="20"/>
        <v>2500</v>
      </c>
      <c r="AB29" s="276">
        <f t="shared" si="21"/>
        <v>500</v>
      </c>
      <c r="AC29" s="276">
        <f t="shared" si="22"/>
        <v>250</v>
      </c>
      <c r="AD29" s="73">
        <f>ELEC!Q30</f>
        <v>4386.000000002241</v>
      </c>
      <c r="AE29" s="73">
        <f t="shared" si="25"/>
        <v>438.6000000002241</v>
      </c>
      <c r="AF29" s="387">
        <f t="shared" si="26"/>
        <v>0.27412500000014006</v>
      </c>
      <c r="AG29" s="387">
        <f t="shared" si="26"/>
        <v>1.7132812500008753E-4</v>
      </c>
      <c r="AH29" s="388">
        <f t="shared" si="23"/>
        <v>249.99982867187501</v>
      </c>
      <c r="AI29" s="73">
        <f t="shared" si="27"/>
        <v>1128.8860759499439</v>
      </c>
      <c r="AJ29" s="278">
        <f t="shared" si="8"/>
        <v>0.25738396624472576</v>
      </c>
      <c r="AK29" s="278">
        <f t="shared" si="9"/>
        <v>112.8886075949944</v>
      </c>
      <c r="AL29">
        <f t="shared" si="24"/>
        <v>1</v>
      </c>
    </row>
    <row r="30" spans="1:38" ht="15.75" thickBot="1">
      <c r="A30" s="4">
        <f>ELEC!C31</f>
        <v>44648</v>
      </c>
      <c r="B30" s="502">
        <f t="shared" si="28"/>
        <v>11629</v>
      </c>
      <c r="C30" s="276">
        <f t="shared" si="10"/>
        <v>0</v>
      </c>
      <c r="D30" s="503">
        <f t="shared" si="11"/>
        <v>670266</v>
      </c>
      <c r="E30" s="276">
        <f>SUM(D30-D29)</f>
        <v>0</v>
      </c>
      <c r="F30" s="276">
        <f t="shared" si="1"/>
        <v>0</v>
      </c>
      <c r="G30" s="196"/>
      <c r="H30" s="260">
        <f t="shared" si="13"/>
        <v>11690</v>
      </c>
      <c r="I30" s="276" t="str">
        <f t="shared" si="2"/>
        <v>ok</v>
      </c>
      <c r="J30" s="502">
        <f t="shared" si="14"/>
        <v>10715</v>
      </c>
      <c r="K30" s="276">
        <f t="shared" si="3"/>
        <v>0</v>
      </c>
      <c r="L30" s="503">
        <f t="shared" si="35"/>
        <v>361941</v>
      </c>
      <c r="M30" s="276">
        <f t="shared" si="0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2"/>
        <v>ok</v>
      </c>
      <c r="R30" s="502">
        <v>13747</v>
      </c>
      <c r="S30" s="276">
        <f t="shared" si="5"/>
        <v>10</v>
      </c>
      <c r="T30" s="503">
        <f t="shared" si="30"/>
        <v>376262</v>
      </c>
      <c r="U30" s="276">
        <f t="shared" si="31"/>
        <v>2500</v>
      </c>
      <c r="V30" s="276">
        <v>250</v>
      </c>
      <c r="W30" s="274"/>
      <c r="X30" s="260">
        <v>13873</v>
      </c>
      <c r="Y30" s="276" t="str">
        <f t="shared" si="34"/>
        <v>ok</v>
      </c>
      <c r="Z30" s="276">
        <f t="shared" si="7"/>
        <v>10</v>
      </c>
      <c r="AA30" s="276">
        <f t="shared" si="20"/>
        <v>2500</v>
      </c>
      <c r="AB30" s="276">
        <f t="shared" si="21"/>
        <v>250</v>
      </c>
      <c r="AC30" s="276">
        <f t="shared" si="22"/>
        <v>250</v>
      </c>
      <c r="AD30" s="73">
        <f>ELEC!Q31</f>
        <v>4447.0000000001164</v>
      </c>
      <c r="AE30" s="73">
        <f t="shared" si="25"/>
        <v>444.70000000001164</v>
      </c>
      <c r="AF30" s="387">
        <f t="shared" si="26"/>
        <v>0.27793750000000728</v>
      </c>
      <c r="AG30" s="387">
        <f t="shared" si="26"/>
        <v>1.7371093750000454E-4</v>
      </c>
      <c r="AH30" s="388">
        <f t="shared" si="23"/>
        <v>249.9998262890625</v>
      </c>
      <c r="AI30" s="73">
        <f t="shared" si="27"/>
        <v>1144.5864978903255</v>
      </c>
      <c r="AJ30" s="278">
        <f t="shared" si="8"/>
        <v>0.25738396624472576</v>
      </c>
      <c r="AK30" s="278">
        <f t="shared" si="9"/>
        <v>114.45864978903255</v>
      </c>
      <c r="AL30">
        <f t="shared" si="24"/>
        <v>1</v>
      </c>
    </row>
    <row r="31" spans="1:38" ht="15.75" thickBot="1">
      <c r="A31" s="4">
        <f>ELEC!C32</f>
        <v>44649</v>
      </c>
      <c r="B31" s="502">
        <f t="shared" si="28"/>
        <v>11629</v>
      </c>
      <c r="C31" s="276">
        <f t="shared" ref="C31:C33" si="36">B31-B30</f>
        <v>0</v>
      </c>
      <c r="D31" s="503">
        <f t="shared" ref="D31:D33" si="37">D30+C31*250</f>
        <v>670266</v>
      </c>
      <c r="E31" s="276">
        <f t="shared" ref="E31:E33" si="38">SUM(D31-D30)</f>
        <v>0</v>
      </c>
      <c r="F31" s="276">
        <f t="shared" ref="F31:F33" si="39">IF(C31&gt;0,E31/C31,0)</f>
        <v>0</v>
      </c>
      <c r="G31" s="323"/>
      <c r="H31" s="260">
        <f t="shared" si="13"/>
        <v>11690</v>
      </c>
      <c r="I31" s="276" t="str">
        <f t="shared" ref="I31:I33" si="40">IF(B31-H31&lt;=0,"ok","oil change")</f>
        <v>ok</v>
      </c>
      <c r="J31" s="502">
        <v>10716</v>
      </c>
      <c r="K31" s="276">
        <f t="shared" si="3"/>
        <v>1</v>
      </c>
      <c r="L31" s="503">
        <f t="shared" si="35"/>
        <v>362191</v>
      </c>
      <c r="M31" s="276">
        <f t="shared" si="0"/>
        <v>250</v>
      </c>
      <c r="N31" s="276">
        <f t="shared" ref="N31:N33" si="41">IF(K31&gt;0,M31/K31,0)</f>
        <v>250</v>
      </c>
      <c r="O31" s="323"/>
      <c r="P31" s="277">
        <f t="shared" si="17"/>
        <v>10873</v>
      </c>
      <c r="Q31" s="276" t="str">
        <f t="shared" ref="Q31:Q33" si="42">IF(J31-P31&lt;=0,"ok","oil change")</f>
        <v>ok</v>
      </c>
      <c r="R31" s="502">
        <v>13757</v>
      </c>
      <c r="S31" s="276">
        <f t="shared" ref="S31:S33" si="43">R31-R30</f>
        <v>10</v>
      </c>
      <c r="T31" s="503">
        <f t="shared" si="30"/>
        <v>378762</v>
      </c>
      <c r="U31" s="276">
        <f t="shared" ref="U31:U33" si="44">V31*S31</f>
        <v>2500</v>
      </c>
      <c r="V31" s="276">
        <v>250</v>
      </c>
      <c r="W31" s="323"/>
      <c r="X31" s="260">
        <v>13873</v>
      </c>
      <c r="Y31" s="276" t="str">
        <f t="shared" si="34"/>
        <v>ok</v>
      </c>
      <c r="Z31" s="276">
        <f t="shared" ref="Z31:Z33" si="45">C31+K31+S31</f>
        <v>11</v>
      </c>
      <c r="AA31" s="276">
        <f t="shared" ref="AA31:AA33" si="46">U31+M31+E31</f>
        <v>2750</v>
      </c>
      <c r="AB31" s="276">
        <f t="shared" ref="AB31:AB33" si="47">V31+N31+F31</f>
        <v>500</v>
      </c>
      <c r="AC31" s="276">
        <f t="shared" ref="AC31:AC33" si="48">IF(Z31&gt;0,AA31/Z31,0)</f>
        <v>250</v>
      </c>
      <c r="AD31" s="73"/>
      <c r="AE31" s="73"/>
      <c r="AF31" s="387"/>
      <c r="AG31" s="387"/>
      <c r="AH31" s="475"/>
      <c r="AI31" s="73"/>
      <c r="AJ31" s="278"/>
      <c r="AK31" s="278"/>
    </row>
    <row r="32" spans="1:38" ht="15.75" thickBot="1">
      <c r="A32" s="4">
        <f>ELEC!C33</f>
        <v>44650</v>
      </c>
      <c r="B32" s="502">
        <f t="shared" si="28"/>
        <v>11629</v>
      </c>
      <c r="C32" s="276">
        <f t="shared" si="36"/>
        <v>0</v>
      </c>
      <c r="D32" s="503">
        <f t="shared" si="37"/>
        <v>670266</v>
      </c>
      <c r="E32" s="276">
        <f t="shared" si="38"/>
        <v>0</v>
      </c>
      <c r="F32" s="276">
        <f t="shared" si="39"/>
        <v>0</v>
      </c>
      <c r="G32" s="323"/>
      <c r="H32" s="260">
        <f t="shared" si="13"/>
        <v>11690</v>
      </c>
      <c r="I32" s="276" t="str">
        <f t="shared" si="40"/>
        <v>ok</v>
      </c>
      <c r="J32" s="502">
        <f t="shared" si="14"/>
        <v>10716</v>
      </c>
      <c r="K32" s="276">
        <f t="shared" si="3"/>
        <v>0</v>
      </c>
      <c r="L32" s="503">
        <f t="shared" si="35"/>
        <v>362191</v>
      </c>
      <c r="M32" s="276">
        <f t="shared" si="0"/>
        <v>0</v>
      </c>
      <c r="N32" s="276">
        <f t="shared" si="41"/>
        <v>0</v>
      </c>
      <c r="O32" s="323"/>
      <c r="P32" s="277">
        <f t="shared" si="17"/>
        <v>10873</v>
      </c>
      <c r="Q32" s="276" t="str">
        <f t="shared" si="42"/>
        <v>ok</v>
      </c>
      <c r="R32" s="502">
        <f t="shared" si="29"/>
        <v>13757</v>
      </c>
      <c r="S32" s="276">
        <f t="shared" si="43"/>
        <v>0</v>
      </c>
      <c r="T32" s="503">
        <f t="shared" si="30"/>
        <v>378762</v>
      </c>
      <c r="U32" s="276">
        <f t="shared" si="44"/>
        <v>0</v>
      </c>
      <c r="V32" s="276">
        <v>250</v>
      </c>
      <c r="W32" s="323"/>
      <c r="X32" s="260">
        <v>13873</v>
      </c>
      <c r="Y32" s="276" t="str">
        <f t="shared" si="34"/>
        <v>ok</v>
      </c>
      <c r="Z32" s="276">
        <f t="shared" si="45"/>
        <v>0</v>
      </c>
      <c r="AA32" s="276">
        <f t="shared" si="46"/>
        <v>0</v>
      </c>
      <c r="AB32" s="276">
        <f t="shared" si="47"/>
        <v>250</v>
      </c>
      <c r="AC32" s="276">
        <f t="shared" si="48"/>
        <v>0</v>
      </c>
      <c r="AD32" s="73"/>
      <c r="AE32" s="73"/>
      <c r="AF32" s="387"/>
      <c r="AG32" s="387"/>
      <c r="AH32" s="475"/>
      <c r="AI32" s="73"/>
      <c r="AJ32" s="278"/>
      <c r="AK32" s="278"/>
    </row>
    <row r="33" spans="1:38">
      <c r="A33" s="4">
        <f>ELEC!C34</f>
        <v>44651</v>
      </c>
      <c r="B33" s="502">
        <f t="shared" si="28"/>
        <v>11629</v>
      </c>
      <c r="C33" s="276">
        <f t="shared" si="36"/>
        <v>0</v>
      </c>
      <c r="D33" s="503">
        <f t="shared" si="37"/>
        <v>670266</v>
      </c>
      <c r="E33" s="276">
        <f t="shared" si="38"/>
        <v>0</v>
      </c>
      <c r="F33" s="276">
        <f t="shared" si="39"/>
        <v>0</v>
      </c>
      <c r="G33" s="323"/>
      <c r="H33" s="260">
        <f t="shared" si="13"/>
        <v>11690</v>
      </c>
      <c r="I33" s="276" t="str">
        <f t="shared" si="40"/>
        <v>ok</v>
      </c>
      <c r="J33" s="502">
        <f t="shared" si="14"/>
        <v>10716</v>
      </c>
      <c r="K33" s="276">
        <f t="shared" si="3"/>
        <v>0</v>
      </c>
      <c r="L33" s="503">
        <f t="shared" si="35"/>
        <v>362191</v>
      </c>
      <c r="M33" s="276">
        <f t="shared" si="0"/>
        <v>0</v>
      </c>
      <c r="N33" s="276">
        <f t="shared" si="41"/>
        <v>0</v>
      </c>
      <c r="O33" s="323"/>
      <c r="P33" s="277">
        <f t="shared" si="17"/>
        <v>10873</v>
      </c>
      <c r="Q33" s="276" t="str">
        <f t="shared" si="42"/>
        <v>ok</v>
      </c>
      <c r="R33" s="502">
        <f t="shared" si="29"/>
        <v>13757</v>
      </c>
      <c r="S33" s="276">
        <f t="shared" si="43"/>
        <v>0</v>
      </c>
      <c r="T33" s="503">
        <f t="shared" si="30"/>
        <v>378762</v>
      </c>
      <c r="U33" s="276">
        <f t="shared" si="44"/>
        <v>0</v>
      </c>
      <c r="V33" s="276">
        <v>250</v>
      </c>
      <c r="W33" s="323"/>
      <c r="X33" s="260">
        <v>13873</v>
      </c>
      <c r="Y33" s="276" t="str">
        <f t="shared" si="34"/>
        <v>ok</v>
      </c>
      <c r="Z33" s="276">
        <f t="shared" si="45"/>
        <v>0</v>
      </c>
      <c r="AA33" s="276">
        <f t="shared" si="46"/>
        <v>0</v>
      </c>
      <c r="AB33" s="276">
        <f t="shared" si="47"/>
        <v>250</v>
      </c>
      <c r="AC33" s="276">
        <f t="shared" si="48"/>
        <v>0</v>
      </c>
      <c r="AD33" s="73"/>
      <c r="AE33" s="73"/>
      <c r="AF33" s="387"/>
      <c r="AG33" s="387"/>
      <c r="AH33" s="475"/>
      <c r="AI33" s="73"/>
      <c r="AJ33" s="278"/>
      <c r="AK33" s="278"/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232</v>
      </c>
      <c r="V34" s="40"/>
      <c r="X34">
        <v>341</v>
      </c>
      <c r="Z34" s="404">
        <f>SUM(Z3:Z33)</f>
        <v>232</v>
      </c>
      <c r="AF34" s="387">
        <f>SUM(AE34/1600)</f>
        <v>0</v>
      </c>
      <c r="AL34">
        <f>SUM(AL3:AL33)</f>
        <v>21</v>
      </c>
    </row>
    <row r="35" spans="1:38">
      <c r="C35" s="40">
        <f>SUM(C3:C33)</f>
        <v>124</v>
      </c>
      <c r="K35" s="40">
        <f>SUM(K3:K33)</f>
        <v>18</v>
      </c>
      <c r="S35" s="40">
        <f>SUM(S3:S33)</f>
        <v>90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topLeftCell="A7" zoomScale="85" zoomScaleNormal="85" workbookViewId="0">
      <pane xSplit="1" topLeftCell="AL1" activePane="topRight" state="frozen"/>
      <selection pane="topRight" activeCell="AV49" sqref="AV48:AV49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0" t="s">
        <v>108</v>
      </c>
      <c r="AS3" s="650" t="s">
        <v>231</v>
      </c>
      <c r="AT3" s="648" t="s">
        <v>299</v>
      </c>
      <c r="AU3" s="649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1"/>
      <c r="AS4" s="651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[2]tanks!$A$33</f>
        <v>44620</v>
      </c>
      <c r="B5" s="499">
        <f>[2]tanks!B33</f>
        <v>166</v>
      </c>
      <c r="C5" s="499">
        <f>[2]tanks!C33</f>
        <v>3571.6774193548385</v>
      </c>
      <c r="D5" s="499">
        <f>[2]tanks!D33</f>
        <v>166</v>
      </c>
      <c r="E5" s="499">
        <f>[2]tanks!E33</f>
        <v>3571.6774193548385</v>
      </c>
      <c r="F5" s="499">
        <f>[2]tanks!F33</f>
        <v>166</v>
      </c>
      <c r="G5" s="499">
        <f>[2]tanks!G33</f>
        <v>3571.6774193548385</v>
      </c>
      <c r="H5" s="499">
        <f>[2]tanks!H33</f>
        <v>166</v>
      </c>
      <c r="I5" s="499">
        <f>[2]tanks!I33</f>
        <v>3571.6774193548385</v>
      </c>
      <c r="J5" s="499">
        <f>[2]tanks!J33</f>
        <v>166</v>
      </c>
      <c r="K5" s="499">
        <f>[2]tanks!K33</f>
        <v>3571.6774193548385</v>
      </c>
      <c r="L5" s="499">
        <f>[2]tanks!L33</f>
        <v>166</v>
      </c>
      <c r="M5" s="499">
        <f>[2]tanks!M33</f>
        <v>3571.6774193548385</v>
      </c>
      <c r="N5" s="499">
        <f>[2]tanks!N33</f>
        <v>166</v>
      </c>
      <c r="O5" s="499">
        <f>[2]tanks!O33</f>
        <v>3571.6774193548385</v>
      </c>
      <c r="P5" s="499">
        <f>[2]tanks!P33</f>
        <v>166</v>
      </c>
      <c r="Q5" s="499">
        <f>[2]tanks!Q33</f>
        <v>3571.6774193548385</v>
      </c>
      <c r="R5" s="499">
        <f>[2]tanks!R33</f>
        <v>166</v>
      </c>
      <c r="S5" s="499">
        <f>[2]tanks!S33</f>
        <v>3571.6774193548385</v>
      </c>
      <c r="T5" s="499">
        <f>[2]tanks!T33</f>
        <v>166</v>
      </c>
      <c r="U5" s="499">
        <f>[2]tanks!U33</f>
        <v>3571.6774193548385</v>
      </c>
      <c r="V5" s="499">
        <f>[2]tanks!V33</f>
        <v>166</v>
      </c>
      <c r="W5" s="499">
        <f>[2]tanks!W33</f>
        <v>3571.6774193548385</v>
      </c>
      <c r="X5" s="499">
        <f>[2]tanks!X33</f>
        <v>0.53548387096774186</v>
      </c>
      <c r="Y5" s="499">
        <f>[2]tanks!Y33</f>
        <v>39288.45161290322</v>
      </c>
      <c r="Z5" s="499">
        <f>[2]tanks!Z33</f>
        <v>158</v>
      </c>
      <c r="AA5" s="499">
        <f>[2]tanks!AA33</f>
        <v>1580</v>
      </c>
      <c r="AB5" s="499">
        <f>[2]tanks!AB33</f>
        <v>158</v>
      </c>
      <c r="AC5" s="499">
        <f>[2]tanks!AC33</f>
        <v>1580</v>
      </c>
      <c r="AD5" s="499">
        <f>[2]tanks!AD33</f>
        <v>158</v>
      </c>
      <c r="AE5" s="499">
        <f>[2]tanks!AE33</f>
        <v>1580</v>
      </c>
      <c r="AF5" s="499">
        <f>[2]tanks!AF33</f>
        <v>158</v>
      </c>
      <c r="AG5" s="499">
        <f>[2]tanks!AG33</f>
        <v>1580</v>
      </c>
      <c r="AH5" s="499">
        <f>[2]tanks!AH33</f>
        <v>158</v>
      </c>
      <c r="AI5" s="499">
        <f>[2]tanks!AI33</f>
        <v>1580</v>
      </c>
      <c r="AJ5" s="499">
        <f>[2]tanks!AJ33</f>
        <v>158</v>
      </c>
      <c r="AK5" s="499">
        <f>[2]tanks!AK33</f>
        <v>1580</v>
      </c>
      <c r="AL5" s="499">
        <f>[2]tanks!AL33</f>
        <v>158</v>
      </c>
      <c r="AM5" s="499">
        <f>[2]tanks!AM33</f>
        <v>1580</v>
      </c>
      <c r="AN5" s="476">
        <f>[2]tanks!AN33</f>
        <v>0.56428571428571428</v>
      </c>
      <c r="AO5" s="499">
        <f>[2]tanks!AO33</f>
        <v>11060</v>
      </c>
      <c r="AP5" s="499"/>
      <c r="AQ5" s="476">
        <f>[2]tanks!$AQ$33</f>
        <v>0.54155589558893424</v>
      </c>
      <c r="AR5" s="572">
        <f>[2]tanks!AR33</f>
        <v>50348.45161290322</v>
      </c>
      <c r="AS5" s="572">
        <f>[2]tanks!AS33</f>
        <v>-1733.3548387096889</v>
      </c>
      <c r="AT5" s="572">
        <f>[2]tanks!AT33</f>
        <v>0</v>
      </c>
      <c r="AU5" s="572">
        <f>[2]tanks!AU33</f>
        <v>0</v>
      </c>
      <c r="AV5" s="572">
        <f>[2]tanks!AV33</f>
        <v>0.74</v>
      </c>
      <c r="AW5" s="572">
        <f>[2]tanks!AW33</f>
        <v>-415</v>
      </c>
      <c r="AX5" s="572">
        <f>[2]tanks!AX33</f>
        <v>-1318.3548387096889</v>
      </c>
      <c r="AY5" s="572">
        <f>[2]tanks!AY33</f>
        <v>-1733.3548387096889</v>
      </c>
      <c r="AZ5" s="476">
        <f>[2]tanks!AZ33</f>
        <v>0</v>
      </c>
      <c r="BA5" s="572">
        <f>[2]tanks!BA33</f>
        <v>14.5</v>
      </c>
      <c r="BB5" s="476">
        <f>[2]tanks!BB33</f>
        <v>0.66</v>
      </c>
      <c r="BC5" s="572">
        <f>[5]tanks!BC36</f>
        <v>0</v>
      </c>
      <c r="BD5" s="572">
        <f>[5]tanks!BD36</f>
        <v>0</v>
      </c>
      <c r="BE5" s="572">
        <f>[5]tanks!BE36</f>
        <v>0</v>
      </c>
      <c r="BF5" s="572">
        <f>[5]tanks!BF36</f>
        <v>0</v>
      </c>
      <c r="BG5" s="572">
        <f>[5]tanks!BG36</f>
        <v>0</v>
      </c>
      <c r="BH5" s="572">
        <f>[5]tanks!BH36</f>
        <v>0</v>
      </c>
      <c r="BI5" s="572">
        <f>[5]tanks!BI36</f>
        <v>23</v>
      </c>
    </row>
    <row r="6" spans="1:63">
      <c r="A6" s="425">
        <f>ELEC!C4</f>
        <v>44621</v>
      </c>
      <c r="B6" s="499">
        <f>'B5'!B5</f>
        <v>187</v>
      </c>
      <c r="C6" s="203">
        <f>B6*$B$4</f>
        <v>4023.516129032258</v>
      </c>
      <c r="D6">
        <f>SUM(B6)</f>
        <v>187</v>
      </c>
      <c r="E6" s="203">
        <f>D6*$B$4</f>
        <v>4023.516129032258</v>
      </c>
      <c r="F6">
        <f>SUM(D6)</f>
        <v>187</v>
      </c>
      <c r="G6" s="203">
        <f t="shared" ref="G6:G33" si="1">F6*$B$4</f>
        <v>4023.516129032258</v>
      </c>
      <c r="H6" s="203">
        <f>SUM(F6)</f>
        <v>187</v>
      </c>
      <c r="I6" s="203">
        <f t="shared" ref="I6:I33" si="2">H6*$B$4</f>
        <v>4023.516129032258</v>
      </c>
      <c r="J6" s="203">
        <f>SUM(H6)</f>
        <v>187</v>
      </c>
      <c r="K6" s="203">
        <f t="shared" ref="K6:K33" si="3">J6*$B$4</f>
        <v>4023.516129032258</v>
      </c>
      <c r="L6" s="203">
        <f>SUM(J6)</f>
        <v>187</v>
      </c>
      <c r="M6" s="203">
        <f t="shared" ref="M6:M33" si="4">L6*$B$4</f>
        <v>4023.516129032258</v>
      </c>
      <c r="N6" s="203">
        <f>SUM(L6)</f>
        <v>187</v>
      </c>
      <c r="O6" s="203">
        <f t="shared" ref="O6:O33" si="5">N6*$B$4</f>
        <v>4023.516129032258</v>
      </c>
      <c r="P6" s="203">
        <f>SUM(N6)</f>
        <v>187</v>
      </c>
      <c r="Q6" s="203">
        <f t="shared" ref="Q6:Q33" si="6">P6*$B$4</f>
        <v>4023.516129032258</v>
      </c>
      <c r="R6" s="203">
        <f>SUM(P6)</f>
        <v>187</v>
      </c>
      <c r="S6" s="203">
        <f t="shared" ref="S6:S33" si="7">R6*$B$4</f>
        <v>4023.516129032258</v>
      </c>
      <c r="T6" s="203">
        <f>SUM(R6)</f>
        <v>187</v>
      </c>
      <c r="U6" s="203">
        <f t="shared" ref="U6:U33" si="8">T6*$B$4</f>
        <v>4023.516129032258</v>
      </c>
      <c r="V6" s="203">
        <f>SUM(T6)</f>
        <v>187</v>
      </c>
      <c r="W6" s="203">
        <f t="shared" ref="W6:W33" si="9">V6*$B$4</f>
        <v>4023.516129032258</v>
      </c>
      <c r="X6" s="35">
        <f t="shared" ref="X6:X29" si="10">SUM(Y6/73370)</f>
        <v>0.60322580645161294</v>
      </c>
      <c r="Y6" s="36">
        <f>SUM(C6+E6+G6+I6+K6+M6+O6+Q6+S6+U6+W6)</f>
        <v>44258.677419354841</v>
      </c>
      <c r="Z6" s="203">
        <f>'B5'!C5</f>
        <v>194</v>
      </c>
      <c r="AA6" s="203">
        <f>SUM(Z6*$Z$4)</f>
        <v>1940</v>
      </c>
      <c r="AB6" s="203">
        <f>SUM(Z6)</f>
        <v>194</v>
      </c>
      <c r="AC6" s="203">
        <f>SUM(AB6*$Z$4)</f>
        <v>1940</v>
      </c>
      <c r="AD6" s="203">
        <f>SUM(AB6)</f>
        <v>194</v>
      </c>
      <c r="AE6" s="203">
        <f t="shared" ref="AE6:AE33" si="11">SUM(AD6*$Z$4)</f>
        <v>1940</v>
      </c>
      <c r="AF6" s="203">
        <f>SUM(AD6)</f>
        <v>194</v>
      </c>
      <c r="AG6" s="203">
        <f t="shared" ref="AG6:AG33" si="12">SUM(AF6*$Z$4)</f>
        <v>1940</v>
      </c>
      <c r="AH6" s="203">
        <f>SUM(AF6)</f>
        <v>194</v>
      </c>
      <c r="AI6" s="203">
        <f t="shared" ref="AI6:AI33" si="13">SUM(AH6*$Z$4)</f>
        <v>1940</v>
      </c>
      <c r="AJ6" s="203">
        <f>SUM(AH6)</f>
        <v>194</v>
      </c>
      <c r="AK6" s="203">
        <f t="shared" ref="AK6:AK33" si="14">SUM(AJ6*$Z$4)</f>
        <v>1940</v>
      </c>
      <c r="AL6" s="203">
        <f>SUM(AJ6)</f>
        <v>194</v>
      </c>
      <c r="AM6" s="203">
        <f t="shared" ref="AM6:AM33" si="15">SUM(AL6*$Z$4)</f>
        <v>1940</v>
      </c>
      <c r="AN6" s="35">
        <f t="shared" ref="AN6:AN29" si="16">SUM(AO6/19600)</f>
        <v>0.69285714285714284</v>
      </c>
      <c r="AO6" s="36">
        <f>SUM(AA6+AC6+AE6+AG6+AI6+AK6+AM6)</f>
        <v>13580</v>
      </c>
      <c r="AQ6" s="223">
        <f>SUM(AR6/92970)</f>
        <v>0.62212194707276369</v>
      </c>
      <c r="AR6" s="38">
        <f>Y6+AO6</f>
        <v>57838.677419354841</v>
      </c>
      <c r="AS6" s="197">
        <f>SUM(AR6-AR5-AT6)</f>
        <v>-1767.7741935483791</v>
      </c>
      <c r="AT6" s="340">
        <v>9258</v>
      </c>
      <c r="AU6" s="548">
        <v>0.75700000000000001</v>
      </c>
      <c r="AV6" s="485">
        <f>IF(AT6&gt;0,AU6,AV5)</f>
        <v>0.75700000000000001</v>
      </c>
      <c r="AW6" s="279">
        <f>-SUM('B5'!AI5)</f>
        <v>-343</v>
      </c>
      <c r="AX6" s="279">
        <f t="shared" ref="AX6:AX33" si="17">-SUM(AW6-AS6)</f>
        <v>-1424.7741935483791</v>
      </c>
      <c r="AY6" s="37">
        <f>SUM(AX6+AW6)</f>
        <v>-1767.7741935483791</v>
      </c>
      <c r="AZ6" s="100">
        <f>ELEC!A4</f>
        <v>0</v>
      </c>
      <c r="BA6" s="118">
        <f>'General information '!D5</f>
        <v>15.5</v>
      </c>
      <c r="BB6" s="269">
        <f>SUM('General information '!E5)</f>
        <v>0.74</v>
      </c>
      <c r="BC6" s="3">
        <f>IF(AR3&gt;=AR6,0,1)</f>
        <v>0</v>
      </c>
      <c r="BD6" s="102">
        <v>19222</v>
      </c>
      <c r="BE6" s="14">
        <f>(305/1185)*ELEC!Q5</f>
        <v>1532.9789029540884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-118.73118279569826</v>
      </c>
      <c r="BK6" s="538">
        <f>GEN!AF3</f>
        <v>0.35096590909089087</v>
      </c>
    </row>
    <row r="7" spans="1:63">
      <c r="A7" s="425">
        <f>ELEC!C5</f>
        <v>44622</v>
      </c>
      <c r="B7">
        <f>'B5'!B6</f>
        <v>178</v>
      </c>
      <c r="C7" s="203">
        <f t="shared" ref="C7:E33" si="18">B7*$B$4</f>
        <v>3829.8709677419356</v>
      </c>
      <c r="D7">
        <f t="shared" ref="D7:D29" si="19">SUM(B7)</f>
        <v>178</v>
      </c>
      <c r="E7" s="203">
        <f t="shared" si="18"/>
        <v>3829.8709677419356</v>
      </c>
      <c r="F7">
        <f t="shared" ref="F7:F29" si="20">SUM(D7)</f>
        <v>178</v>
      </c>
      <c r="G7" s="203">
        <f t="shared" si="1"/>
        <v>3829.8709677419356</v>
      </c>
      <c r="H7" s="203">
        <f t="shared" ref="H7:H29" si="21">SUM(F7)</f>
        <v>178</v>
      </c>
      <c r="I7" s="203">
        <f t="shared" si="2"/>
        <v>3829.8709677419356</v>
      </c>
      <c r="J7" s="203">
        <f t="shared" ref="J7:J29" si="22">SUM(H7)</f>
        <v>178</v>
      </c>
      <c r="K7" s="203">
        <f t="shared" si="3"/>
        <v>3829.8709677419356</v>
      </c>
      <c r="L7" s="203">
        <f t="shared" ref="L7:L29" si="23">SUM(J7)</f>
        <v>178</v>
      </c>
      <c r="M7" s="203">
        <f t="shared" si="4"/>
        <v>3829.8709677419356</v>
      </c>
      <c r="N7" s="203">
        <f t="shared" ref="N7:N29" si="24">SUM(L7)</f>
        <v>178</v>
      </c>
      <c r="O7" s="203">
        <f t="shared" si="5"/>
        <v>3829.8709677419356</v>
      </c>
      <c r="P7" s="203">
        <f t="shared" ref="P7:P29" si="25">SUM(N7)</f>
        <v>178</v>
      </c>
      <c r="Q7" s="203">
        <f t="shared" si="6"/>
        <v>3829.8709677419356</v>
      </c>
      <c r="R7" s="203">
        <f t="shared" ref="R7:R29" si="26">SUM(P7)</f>
        <v>178</v>
      </c>
      <c r="S7" s="203">
        <f t="shared" si="7"/>
        <v>3829.8709677419356</v>
      </c>
      <c r="T7" s="203">
        <f t="shared" ref="T7:T29" si="27">SUM(R7)</f>
        <v>178</v>
      </c>
      <c r="U7" s="203">
        <f t="shared" si="8"/>
        <v>3829.8709677419356</v>
      </c>
      <c r="V7" s="203">
        <f t="shared" ref="V7:V29" si="28">SUM(T7)</f>
        <v>178</v>
      </c>
      <c r="W7" s="203">
        <f t="shared" si="9"/>
        <v>3829.8709677419356</v>
      </c>
      <c r="X7" s="35">
        <f t="shared" si="10"/>
        <v>0.57419354838709691</v>
      </c>
      <c r="Y7" s="36">
        <f t="shared" ref="Y7:Y29" si="29">SUM(C7+E7+G7+I7+K7+M7+O7+Q7+S7+U7+W7)</f>
        <v>42128.580645161303</v>
      </c>
      <c r="Z7" s="203">
        <f>'B5'!C6</f>
        <v>185</v>
      </c>
      <c r="AA7" s="203">
        <f t="shared" ref="AA7:AC33" si="30">SUM(Z7*$Z$4)</f>
        <v>1850</v>
      </c>
      <c r="AB7" s="203">
        <f t="shared" ref="AB7:AB29" si="31">SUM(Z7)</f>
        <v>185</v>
      </c>
      <c r="AC7" s="203">
        <f t="shared" si="30"/>
        <v>1850</v>
      </c>
      <c r="AD7" s="203">
        <f t="shared" ref="AD7:AD29" si="32">SUM(AB7)</f>
        <v>185</v>
      </c>
      <c r="AE7" s="203">
        <f t="shared" si="11"/>
        <v>1850</v>
      </c>
      <c r="AF7" s="203">
        <f t="shared" ref="AF7:AF29" si="33">SUM(AD7)</f>
        <v>185</v>
      </c>
      <c r="AG7" s="203">
        <f t="shared" si="12"/>
        <v>1850</v>
      </c>
      <c r="AH7" s="203">
        <f t="shared" ref="AH7:AH29" si="34">SUM(AF7)</f>
        <v>185</v>
      </c>
      <c r="AI7" s="203">
        <f t="shared" si="13"/>
        <v>1850</v>
      </c>
      <c r="AJ7" s="203">
        <f t="shared" ref="AJ7:AJ29" si="35">SUM(AH7)</f>
        <v>185</v>
      </c>
      <c r="AK7" s="203">
        <f t="shared" si="14"/>
        <v>1850</v>
      </c>
      <c r="AL7" s="203">
        <f t="shared" ref="AL7:AL29" si="36">SUM(AJ7)</f>
        <v>185</v>
      </c>
      <c r="AM7" s="203">
        <f t="shared" si="15"/>
        <v>1850</v>
      </c>
      <c r="AN7" s="35">
        <f>SUM(AO7/19600)</f>
        <v>0.6607142857142857</v>
      </c>
      <c r="AO7" s="36">
        <f>SUM(AA7+AC7+AE7+AG7+AI7+AK7+AM7)</f>
        <v>12950</v>
      </c>
      <c r="AQ7" s="223">
        <f>SUM(AR7/92970)</f>
        <v>0.59243391034915893</v>
      </c>
      <c r="AR7" s="38">
        <f t="shared" ref="AR7:AR33" si="37">Y7+AO7</f>
        <v>55078.580645161303</v>
      </c>
      <c r="AS7" s="197">
        <f>SUM(AR7-AR6-AT7)</f>
        <v>-2760.0967741935383</v>
      </c>
      <c r="AT7" s="340"/>
      <c r="AU7" s="548"/>
      <c r="AV7" s="485">
        <f>IF(AT7&gt;0,AU7,AV6)</f>
        <v>0.75700000000000001</v>
      </c>
      <c r="AW7" s="279">
        <f>-SUM('B5'!AI6)</f>
        <v>-425</v>
      </c>
      <c r="AX7" s="279">
        <f t="shared" si="17"/>
        <v>-2335.0967741935383</v>
      </c>
      <c r="AY7" s="37">
        <f t="shared" ref="AY7:AY33" si="38">SUM(AX7+AW7)</f>
        <v>-2760.0967741935383</v>
      </c>
      <c r="AZ7" s="100">
        <f>ELEC!A5</f>
        <v>0</v>
      </c>
      <c r="BA7" s="118">
        <f>'General information '!D6</f>
        <v>19.5</v>
      </c>
      <c r="BB7" s="378">
        <f>SUM('General information '!E6)</f>
        <v>0.62</v>
      </c>
      <c r="BC7" s="3">
        <v>0</v>
      </c>
      <c r="BD7" s="102">
        <v>19222</v>
      </c>
      <c r="BE7" s="14">
        <f>(305/1185)*ELEC!Q6</f>
        <v>1438.0042194091629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9">AX7/BI7</f>
        <v>-155.67311827956922</v>
      </c>
      <c r="BK7" s="538">
        <f>GEN!AF4</f>
        <v>0.31020833333343489</v>
      </c>
    </row>
    <row r="8" spans="1:63">
      <c r="A8" s="425">
        <f>ELEC!C6</f>
        <v>44623</v>
      </c>
      <c r="B8">
        <f>'B5'!B7</f>
        <v>170</v>
      </c>
      <c r="C8" s="203">
        <f t="shared" si="18"/>
        <v>3657.7419354838707</v>
      </c>
      <c r="D8">
        <f t="shared" si="19"/>
        <v>170</v>
      </c>
      <c r="E8" s="203">
        <f t="shared" si="18"/>
        <v>3657.7419354838707</v>
      </c>
      <c r="F8">
        <f t="shared" si="20"/>
        <v>170</v>
      </c>
      <c r="G8" s="203">
        <f t="shared" si="1"/>
        <v>3657.7419354838707</v>
      </c>
      <c r="H8" s="203">
        <f t="shared" si="21"/>
        <v>170</v>
      </c>
      <c r="I8" s="203">
        <f t="shared" si="2"/>
        <v>3657.7419354838707</v>
      </c>
      <c r="J8" s="203">
        <f t="shared" si="22"/>
        <v>170</v>
      </c>
      <c r="K8" s="203">
        <f t="shared" si="3"/>
        <v>3657.7419354838707</v>
      </c>
      <c r="L8" s="203">
        <f t="shared" si="23"/>
        <v>170</v>
      </c>
      <c r="M8" s="203">
        <f t="shared" si="4"/>
        <v>3657.7419354838707</v>
      </c>
      <c r="N8" s="203">
        <f t="shared" si="24"/>
        <v>170</v>
      </c>
      <c r="O8" s="203">
        <f t="shared" si="5"/>
        <v>3657.7419354838707</v>
      </c>
      <c r="P8" s="203">
        <f t="shared" si="25"/>
        <v>170</v>
      </c>
      <c r="Q8" s="203">
        <f t="shared" si="6"/>
        <v>3657.7419354838707</v>
      </c>
      <c r="R8" s="203">
        <f t="shared" si="26"/>
        <v>170</v>
      </c>
      <c r="S8" s="203">
        <f t="shared" si="7"/>
        <v>3657.7419354838707</v>
      </c>
      <c r="T8" s="203">
        <f t="shared" si="27"/>
        <v>170</v>
      </c>
      <c r="U8" s="203">
        <f t="shared" si="8"/>
        <v>3657.7419354838707</v>
      </c>
      <c r="V8" s="203">
        <f t="shared" si="28"/>
        <v>170</v>
      </c>
      <c r="W8" s="203">
        <f t="shared" si="9"/>
        <v>3657.7419354838707</v>
      </c>
      <c r="X8" s="35">
        <f t="shared" si="10"/>
        <v>0.54838709677419351</v>
      </c>
      <c r="Y8" s="36">
        <f t="shared" si="29"/>
        <v>40235.161290322576</v>
      </c>
      <c r="Z8" s="203">
        <f>'B5'!C7</f>
        <v>178</v>
      </c>
      <c r="AA8" s="203">
        <f t="shared" si="30"/>
        <v>1780</v>
      </c>
      <c r="AB8" s="203">
        <f t="shared" si="31"/>
        <v>178</v>
      </c>
      <c r="AC8" s="203">
        <f t="shared" si="30"/>
        <v>1780</v>
      </c>
      <c r="AD8" s="203">
        <f t="shared" si="32"/>
        <v>178</v>
      </c>
      <c r="AE8" s="203">
        <f t="shared" si="11"/>
        <v>1780</v>
      </c>
      <c r="AF8" s="203">
        <f t="shared" si="33"/>
        <v>178</v>
      </c>
      <c r="AG8" s="203">
        <f t="shared" si="12"/>
        <v>1780</v>
      </c>
      <c r="AH8" s="203">
        <f t="shared" si="34"/>
        <v>178</v>
      </c>
      <c r="AI8" s="203">
        <f t="shared" si="13"/>
        <v>1780</v>
      </c>
      <c r="AJ8" s="203">
        <f t="shared" si="35"/>
        <v>178</v>
      </c>
      <c r="AK8" s="203">
        <f t="shared" si="14"/>
        <v>1780</v>
      </c>
      <c r="AL8" s="203">
        <f t="shared" si="36"/>
        <v>178</v>
      </c>
      <c r="AM8" s="203">
        <f t="shared" si="15"/>
        <v>1780</v>
      </c>
      <c r="AN8" s="35">
        <f t="shared" si="16"/>
        <v>0.63571428571428568</v>
      </c>
      <c r="AO8" s="36">
        <f t="shared" ref="AO8:AO29" si="40">SUM(AA8+AC8+AE8+AG8+AI8+AK8+AM8)</f>
        <v>12460</v>
      </c>
      <c r="AQ8" s="223">
        <f t="shared" ref="AQ8:AQ33" si="41">SUM(AR8/92970)</f>
        <v>0.56679747542564884</v>
      </c>
      <c r="AR8" s="38">
        <f t="shared" si="37"/>
        <v>52695.161290322576</v>
      </c>
      <c r="AS8" s="197">
        <f t="shared" ref="AS8:AS17" si="42">SUM(AR8-AR7-AT8)</f>
        <v>-2383.4193548387266</v>
      </c>
      <c r="AT8" s="340"/>
      <c r="AU8" s="548"/>
      <c r="AV8" s="485">
        <f t="shared" ref="AV8:AV31" si="43">IF(AT8&gt;0,AU8,AV7)</f>
        <v>0.75700000000000001</v>
      </c>
      <c r="AW8" s="279">
        <f>-SUM('B5'!AI7)</f>
        <v>-337</v>
      </c>
      <c r="AX8" s="279">
        <f t="shared" si="17"/>
        <v>-2046.4193548387266</v>
      </c>
      <c r="AY8" s="37">
        <f t="shared" si="38"/>
        <v>-2383.4193548387266</v>
      </c>
      <c r="AZ8" s="100">
        <f>ELEC!A6</f>
        <v>0</v>
      </c>
      <c r="BA8" s="118">
        <f>'General information '!D7</f>
        <v>16.5</v>
      </c>
      <c r="BB8" s="378">
        <f>SUM('General information '!E7)</f>
        <v>0.62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9"/>
        <v>-227.37992831541408</v>
      </c>
      <c r="BK8" s="538">
        <f>GEN!AF5</f>
        <v>0.2909895833333091</v>
      </c>
    </row>
    <row r="9" spans="1:63">
      <c r="A9" s="425">
        <f>ELEC!C7</f>
        <v>44624</v>
      </c>
      <c r="B9">
        <f>'B5'!B8</f>
        <v>170</v>
      </c>
      <c r="C9" s="203">
        <f t="shared" si="18"/>
        <v>3657.7419354838707</v>
      </c>
      <c r="D9">
        <f t="shared" si="19"/>
        <v>170</v>
      </c>
      <c r="E9" s="203">
        <f t="shared" si="18"/>
        <v>3657.7419354838707</v>
      </c>
      <c r="F9">
        <f t="shared" si="20"/>
        <v>170</v>
      </c>
      <c r="G9" s="203">
        <f t="shared" si="1"/>
        <v>3657.7419354838707</v>
      </c>
      <c r="H9" s="203">
        <f t="shared" si="21"/>
        <v>170</v>
      </c>
      <c r="I9" s="203">
        <f t="shared" si="2"/>
        <v>3657.7419354838707</v>
      </c>
      <c r="J9" s="203">
        <f t="shared" si="22"/>
        <v>170</v>
      </c>
      <c r="K9" s="203">
        <f t="shared" si="3"/>
        <v>3657.7419354838707</v>
      </c>
      <c r="L9" s="203">
        <f t="shared" si="23"/>
        <v>170</v>
      </c>
      <c r="M9" s="203">
        <f t="shared" si="4"/>
        <v>3657.7419354838707</v>
      </c>
      <c r="N9" s="203">
        <f t="shared" si="24"/>
        <v>170</v>
      </c>
      <c r="O9" s="203">
        <f t="shared" si="5"/>
        <v>3657.7419354838707</v>
      </c>
      <c r="P9" s="203">
        <f t="shared" si="25"/>
        <v>170</v>
      </c>
      <c r="Q9" s="203">
        <f t="shared" si="6"/>
        <v>3657.7419354838707</v>
      </c>
      <c r="R9" s="203">
        <f t="shared" si="26"/>
        <v>170</v>
      </c>
      <c r="S9" s="203">
        <f t="shared" si="7"/>
        <v>3657.7419354838707</v>
      </c>
      <c r="T9" s="203">
        <f t="shared" si="27"/>
        <v>170</v>
      </c>
      <c r="U9" s="203">
        <f t="shared" si="8"/>
        <v>3657.7419354838707</v>
      </c>
      <c r="V9" s="203">
        <f t="shared" si="28"/>
        <v>170</v>
      </c>
      <c r="W9" s="203">
        <f t="shared" si="9"/>
        <v>3657.7419354838707</v>
      </c>
      <c r="X9" s="35">
        <f t="shared" si="10"/>
        <v>0.54838709677419351</v>
      </c>
      <c r="Y9" s="36">
        <f t="shared" si="29"/>
        <v>40235.161290322576</v>
      </c>
      <c r="Z9" s="203">
        <f>'B5'!C8</f>
        <v>178</v>
      </c>
      <c r="AA9" s="203">
        <f t="shared" si="30"/>
        <v>1780</v>
      </c>
      <c r="AB9" s="203">
        <f t="shared" si="31"/>
        <v>178</v>
      </c>
      <c r="AC9" s="203">
        <f t="shared" si="30"/>
        <v>1780</v>
      </c>
      <c r="AD9" s="203">
        <f t="shared" si="32"/>
        <v>178</v>
      </c>
      <c r="AE9" s="203">
        <f t="shared" si="11"/>
        <v>1780</v>
      </c>
      <c r="AF9" s="203">
        <f t="shared" si="33"/>
        <v>178</v>
      </c>
      <c r="AG9" s="203">
        <f t="shared" si="12"/>
        <v>1780</v>
      </c>
      <c r="AH9" s="203">
        <f t="shared" si="34"/>
        <v>178</v>
      </c>
      <c r="AI9" s="203">
        <f t="shared" si="13"/>
        <v>1780</v>
      </c>
      <c r="AJ9" s="203">
        <f t="shared" si="35"/>
        <v>178</v>
      </c>
      <c r="AK9" s="203">
        <f t="shared" si="14"/>
        <v>1780</v>
      </c>
      <c r="AL9" s="203">
        <f t="shared" si="36"/>
        <v>178</v>
      </c>
      <c r="AM9" s="203">
        <f t="shared" si="15"/>
        <v>1780</v>
      </c>
      <c r="AN9" s="35">
        <f t="shared" si="16"/>
        <v>0.63571428571428568</v>
      </c>
      <c r="AO9" s="36">
        <f>SUM(AA9+AC9+AE9+AG9+AI9+AK9+AM9)</f>
        <v>12460</v>
      </c>
      <c r="AQ9" s="223">
        <f t="shared" si="41"/>
        <v>0.56679747542564884</v>
      </c>
      <c r="AR9" s="38">
        <f t="shared" si="37"/>
        <v>52695.161290322576</v>
      </c>
      <c r="AS9" s="197">
        <f t="shared" si="42"/>
        <v>0</v>
      </c>
      <c r="AT9" s="340"/>
      <c r="AU9" s="548"/>
      <c r="AV9" s="485">
        <f t="shared" si="43"/>
        <v>0.75700000000000001</v>
      </c>
      <c r="AW9" s="279">
        <f>-SUM('B5'!AI8)</f>
        <v>0</v>
      </c>
      <c r="AX9" s="279">
        <f t="shared" si="17"/>
        <v>0</v>
      </c>
      <c r="AY9" s="37">
        <f t="shared" si="38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9"/>
        <v>0</v>
      </c>
      <c r="BK9" s="538" t="e">
        <f>GEN!AF6</f>
        <v>#DIV/0!</v>
      </c>
    </row>
    <row r="10" spans="1:63">
      <c r="A10" s="425">
        <f>ELEC!C8</f>
        <v>44625</v>
      </c>
      <c r="B10">
        <f>'B5'!B9</f>
        <v>170</v>
      </c>
      <c r="C10" s="203">
        <f t="shared" si="18"/>
        <v>3657.7419354838707</v>
      </c>
      <c r="D10">
        <f t="shared" si="19"/>
        <v>170</v>
      </c>
      <c r="E10" s="203">
        <f t="shared" si="18"/>
        <v>3657.7419354838707</v>
      </c>
      <c r="F10">
        <f t="shared" si="20"/>
        <v>170</v>
      </c>
      <c r="G10" s="203">
        <f t="shared" si="1"/>
        <v>3657.7419354838707</v>
      </c>
      <c r="H10" s="203">
        <f t="shared" si="21"/>
        <v>170</v>
      </c>
      <c r="I10" s="203">
        <f t="shared" si="2"/>
        <v>3657.7419354838707</v>
      </c>
      <c r="J10" s="203">
        <f t="shared" si="22"/>
        <v>170</v>
      </c>
      <c r="K10" s="203">
        <f t="shared" si="3"/>
        <v>3657.7419354838707</v>
      </c>
      <c r="L10" s="203">
        <f t="shared" si="23"/>
        <v>170</v>
      </c>
      <c r="M10" s="203">
        <f t="shared" si="4"/>
        <v>3657.7419354838707</v>
      </c>
      <c r="N10" s="203">
        <f t="shared" si="24"/>
        <v>170</v>
      </c>
      <c r="O10" s="203">
        <f t="shared" si="5"/>
        <v>3657.7419354838707</v>
      </c>
      <c r="P10" s="203">
        <f t="shared" si="25"/>
        <v>170</v>
      </c>
      <c r="Q10" s="203">
        <f t="shared" si="6"/>
        <v>3657.7419354838707</v>
      </c>
      <c r="R10" s="203">
        <f t="shared" si="26"/>
        <v>170</v>
      </c>
      <c r="S10" s="203">
        <f t="shared" si="7"/>
        <v>3657.7419354838707</v>
      </c>
      <c r="T10" s="203">
        <f t="shared" si="27"/>
        <v>170</v>
      </c>
      <c r="U10" s="203">
        <f t="shared" si="8"/>
        <v>3657.7419354838707</v>
      </c>
      <c r="V10" s="203">
        <f t="shared" si="28"/>
        <v>170</v>
      </c>
      <c r="W10" s="203">
        <f t="shared" si="9"/>
        <v>3657.7419354838707</v>
      </c>
      <c r="X10" s="35">
        <f t="shared" si="10"/>
        <v>0.54838709677419351</v>
      </c>
      <c r="Y10" s="36">
        <f t="shared" si="29"/>
        <v>40235.161290322576</v>
      </c>
      <c r="Z10" s="203">
        <f>'B5'!C9</f>
        <v>178</v>
      </c>
      <c r="AA10" s="203">
        <f t="shared" si="30"/>
        <v>1780</v>
      </c>
      <c r="AB10" s="203">
        <f t="shared" si="31"/>
        <v>178</v>
      </c>
      <c r="AC10" s="203">
        <f t="shared" si="30"/>
        <v>1780</v>
      </c>
      <c r="AD10" s="203">
        <f t="shared" si="32"/>
        <v>178</v>
      </c>
      <c r="AE10" s="203">
        <f t="shared" si="11"/>
        <v>1780</v>
      </c>
      <c r="AF10" s="203">
        <f t="shared" si="33"/>
        <v>178</v>
      </c>
      <c r="AG10" s="203">
        <f t="shared" si="12"/>
        <v>1780</v>
      </c>
      <c r="AH10" s="203">
        <f t="shared" si="34"/>
        <v>178</v>
      </c>
      <c r="AI10" s="203">
        <f t="shared" si="13"/>
        <v>1780</v>
      </c>
      <c r="AJ10" s="203">
        <f t="shared" si="35"/>
        <v>178</v>
      </c>
      <c r="AK10" s="203">
        <f t="shared" si="14"/>
        <v>1780</v>
      </c>
      <c r="AL10" s="203">
        <f t="shared" si="36"/>
        <v>178</v>
      </c>
      <c r="AM10" s="203">
        <f t="shared" si="15"/>
        <v>1780</v>
      </c>
      <c r="AN10" s="35">
        <f t="shared" si="16"/>
        <v>0.63571428571428568</v>
      </c>
      <c r="AO10" s="36">
        <f t="shared" si="40"/>
        <v>12460</v>
      </c>
      <c r="AQ10" s="223">
        <f t="shared" si="41"/>
        <v>0.56679747542564884</v>
      </c>
      <c r="AR10" s="38">
        <f t="shared" si="37"/>
        <v>52695.161290322576</v>
      </c>
      <c r="AS10" s="197">
        <f t="shared" si="42"/>
        <v>0</v>
      </c>
      <c r="AT10" s="340"/>
      <c r="AU10" s="548"/>
      <c r="AV10" s="485">
        <f>IF(AT10&gt;0,AU10,AV9)</f>
        <v>0.75700000000000001</v>
      </c>
      <c r="AW10" s="279">
        <f>-SUM('B5'!AI9)</f>
        <v>0</v>
      </c>
      <c r="AX10" s="279">
        <f t="shared" si="17"/>
        <v>0</v>
      </c>
      <c r="AY10" s="37">
        <f t="shared" si="38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1514.7046413497992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9"/>
        <v>0</v>
      </c>
      <c r="BK10" s="538" t="e">
        <f>GEN!AF7</f>
        <v>#DIV/0!</v>
      </c>
    </row>
    <row r="11" spans="1:63">
      <c r="A11" s="425">
        <f>ELEC!C9</f>
        <v>44626</v>
      </c>
      <c r="B11">
        <f>'B5'!B10</f>
        <v>162</v>
      </c>
      <c r="C11" s="203">
        <f t="shared" si="18"/>
        <v>3485.6129032258063</v>
      </c>
      <c r="D11">
        <f>SUM(B11)</f>
        <v>162</v>
      </c>
      <c r="E11" s="203">
        <f t="shared" si="18"/>
        <v>3485.6129032258063</v>
      </c>
      <c r="F11">
        <f>SUM(D11)</f>
        <v>162</v>
      </c>
      <c r="G11" s="203">
        <f t="shared" si="1"/>
        <v>3485.6129032258063</v>
      </c>
      <c r="H11" s="203">
        <f>SUM(F11)</f>
        <v>162</v>
      </c>
      <c r="I11" s="203">
        <f t="shared" si="2"/>
        <v>3485.6129032258063</v>
      </c>
      <c r="J11" s="203">
        <f>SUM(H11)</f>
        <v>162</v>
      </c>
      <c r="K11" s="203">
        <f t="shared" si="3"/>
        <v>3485.6129032258063</v>
      </c>
      <c r="L11" s="203">
        <f>SUM(J11)</f>
        <v>162</v>
      </c>
      <c r="M11" s="203">
        <f t="shared" si="4"/>
        <v>3485.6129032258063</v>
      </c>
      <c r="N11" s="203">
        <f>SUM(L11)</f>
        <v>162</v>
      </c>
      <c r="O11" s="203">
        <f t="shared" si="5"/>
        <v>3485.6129032258063</v>
      </c>
      <c r="P11" s="203">
        <f>SUM(N11)</f>
        <v>162</v>
      </c>
      <c r="Q11" s="203">
        <f t="shared" si="6"/>
        <v>3485.6129032258063</v>
      </c>
      <c r="R11" s="203">
        <f>SUM(P11)</f>
        <v>162</v>
      </c>
      <c r="S11" s="203">
        <f t="shared" si="7"/>
        <v>3485.6129032258063</v>
      </c>
      <c r="T11" s="203">
        <f>SUM(R11)</f>
        <v>162</v>
      </c>
      <c r="U11" s="203">
        <f t="shared" si="8"/>
        <v>3485.6129032258063</v>
      </c>
      <c r="V11" s="203">
        <f>SUM(T11)</f>
        <v>162</v>
      </c>
      <c r="W11" s="203">
        <f t="shared" si="9"/>
        <v>3485.6129032258063</v>
      </c>
      <c r="X11" s="35">
        <f>SUM(Y11/73370)</f>
        <v>0.52258064516129021</v>
      </c>
      <c r="Y11" s="36">
        <f>SUM(C11+E11+G11+I11+K11+M11+O11+Q11+S11+U11+W11)</f>
        <v>38341.741935483864</v>
      </c>
      <c r="Z11" s="203">
        <f>'B5'!C10</f>
        <v>170</v>
      </c>
      <c r="AA11" s="203">
        <f t="shared" si="30"/>
        <v>1700</v>
      </c>
      <c r="AB11" s="203">
        <f>SUM(Z11)</f>
        <v>170</v>
      </c>
      <c r="AC11" s="203">
        <f t="shared" si="30"/>
        <v>1700</v>
      </c>
      <c r="AD11" s="203">
        <f>SUM(AB11)</f>
        <v>170</v>
      </c>
      <c r="AE11" s="203">
        <f t="shared" si="11"/>
        <v>1700</v>
      </c>
      <c r="AF11" s="203">
        <f>SUM(AD11)</f>
        <v>170</v>
      </c>
      <c r="AG11" s="203">
        <f t="shared" si="12"/>
        <v>1700</v>
      </c>
      <c r="AH11" s="203">
        <f>SUM(AF11)</f>
        <v>170</v>
      </c>
      <c r="AI11" s="203">
        <f t="shared" si="13"/>
        <v>1700</v>
      </c>
      <c r="AJ11" s="203">
        <f>SUM(AH11)</f>
        <v>170</v>
      </c>
      <c r="AK11" s="203">
        <f t="shared" si="14"/>
        <v>1700</v>
      </c>
      <c r="AL11" s="203">
        <f>SUM(AJ11)</f>
        <v>170</v>
      </c>
      <c r="AM11" s="203">
        <f t="shared" si="15"/>
        <v>1700</v>
      </c>
      <c r="AN11" s="35">
        <f>SUM(AO11/19600)</f>
        <v>0.6071428571428571</v>
      </c>
      <c r="AO11" s="36">
        <f t="shared" si="40"/>
        <v>11900</v>
      </c>
      <c r="AP11" s="525"/>
      <c r="AQ11" s="223">
        <f t="shared" si="41"/>
        <v>0.54040810944911111</v>
      </c>
      <c r="AR11" s="38">
        <f t="shared" si="37"/>
        <v>50241.741935483864</v>
      </c>
      <c r="AS11" s="197">
        <f t="shared" si="42"/>
        <v>-2453.419354838712</v>
      </c>
      <c r="AT11" s="340"/>
      <c r="AU11" s="548"/>
      <c r="AV11" s="485">
        <f>IF(AT11&gt;0,AU11,AV10)</f>
        <v>0.75700000000000001</v>
      </c>
      <c r="AW11" s="279">
        <f>-SUM('B5'!AI10)</f>
        <v>-528</v>
      </c>
      <c r="AX11" s="279">
        <f t="shared" si="17"/>
        <v>-1925.419354838712</v>
      </c>
      <c r="AY11" s="37">
        <f t="shared" si="38"/>
        <v>-2453.419354838712</v>
      </c>
      <c r="AZ11" s="100">
        <f>ELEC!A9</f>
        <v>0</v>
      </c>
      <c r="BA11" s="118">
        <f>'General information '!D10</f>
        <v>17.5</v>
      </c>
      <c r="BB11" s="378">
        <f>SUM('General information '!E10)</f>
        <v>0.67</v>
      </c>
      <c r="BC11" s="3">
        <f t="shared" si="44"/>
        <v>0</v>
      </c>
      <c r="BD11" s="102">
        <v>19222</v>
      </c>
      <c r="BE11" s="14">
        <f>(305/1185)*ELEC!Q10</f>
        <v>1016.1518987342597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9"/>
        <v>-207.03433922998522</v>
      </c>
      <c r="BK11" s="538">
        <f>GEN!AF8</f>
        <v>0.33437499999990905</v>
      </c>
    </row>
    <row r="12" spans="1:63">
      <c r="A12" s="425">
        <f>ELEC!C10</f>
        <v>44627</v>
      </c>
      <c r="B12">
        <f>'B5'!B11</f>
        <v>156</v>
      </c>
      <c r="C12" s="203">
        <f t="shared" si="18"/>
        <v>3356.516129032258</v>
      </c>
      <c r="D12">
        <f t="shared" si="19"/>
        <v>156</v>
      </c>
      <c r="E12" s="203">
        <f t="shared" si="18"/>
        <v>3356.516129032258</v>
      </c>
      <c r="F12">
        <f t="shared" si="20"/>
        <v>156</v>
      </c>
      <c r="G12" s="203">
        <f t="shared" si="1"/>
        <v>3356.516129032258</v>
      </c>
      <c r="H12" s="203">
        <f t="shared" si="21"/>
        <v>156</v>
      </c>
      <c r="I12" s="203">
        <f t="shared" si="2"/>
        <v>3356.516129032258</v>
      </c>
      <c r="J12" s="203">
        <f t="shared" si="22"/>
        <v>156</v>
      </c>
      <c r="K12" s="203">
        <f t="shared" si="3"/>
        <v>3356.516129032258</v>
      </c>
      <c r="L12" s="203">
        <f t="shared" si="23"/>
        <v>156</v>
      </c>
      <c r="M12" s="203">
        <f t="shared" si="4"/>
        <v>3356.516129032258</v>
      </c>
      <c r="N12" s="203">
        <f t="shared" si="24"/>
        <v>156</v>
      </c>
      <c r="O12" s="203">
        <f t="shared" si="5"/>
        <v>3356.516129032258</v>
      </c>
      <c r="P12" s="203">
        <f t="shared" si="25"/>
        <v>156</v>
      </c>
      <c r="Q12" s="203">
        <f t="shared" si="6"/>
        <v>3356.516129032258</v>
      </c>
      <c r="R12" s="203">
        <f t="shared" si="26"/>
        <v>156</v>
      </c>
      <c r="S12" s="203">
        <f t="shared" si="7"/>
        <v>3356.516129032258</v>
      </c>
      <c r="T12" s="203">
        <f t="shared" si="27"/>
        <v>156</v>
      </c>
      <c r="U12" s="203">
        <f t="shared" si="8"/>
        <v>3356.516129032258</v>
      </c>
      <c r="V12" s="203">
        <f t="shared" si="28"/>
        <v>156</v>
      </c>
      <c r="W12" s="203">
        <f t="shared" si="9"/>
        <v>3356.516129032258</v>
      </c>
      <c r="X12" s="35">
        <f t="shared" si="10"/>
        <v>0.50322580645161297</v>
      </c>
      <c r="Y12" s="36">
        <f t="shared" si="29"/>
        <v>36921.677419354841</v>
      </c>
      <c r="Z12" s="203">
        <f>'B5'!C11</f>
        <v>163</v>
      </c>
      <c r="AA12" s="203">
        <f t="shared" si="30"/>
        <v>1630</v>
      </c>
      <c r="AB12" s="203">
        <f t="shared" si="31"/>
        <v>163</v>
      </c>
      <c r="AC12" s="203">
        <f t="shared" si="30"/>
        <v>1630</v>
      </c>
      <c r="AD12" s="203">
        <f t="shared" si="32"/>
        <v>163</v>
      </c>
      <c r="AE12" s="203">
        <f t="shared" si="11"/>
        <v>1630</v>
      </c>
      <c r="AF12" s="203">
        <f t="shared" si="33"/>
        <v>163</v>
      </c>
      <c r="AG12" s="203">
        <f t="shared" si="12"/>
        <v>1630</v>
      </c>
      <c r="AH12" s="203">
        <f t="shared" si="34"/>
        <v>163</v>
      </c>
      <c r="AI12" s="203">
        <f t="shared" si="13"/>
        <v>1630</v>
      </c>
      <c r="AJ12" s="203">
        <f t="shared" si="35"/>
        <v>163</v>
      </c>
      <c r="AK12" s="203">
        <f t="shared" si="14"/>
        <v>1630</v>
      </c>
      <c r="AL12" s="203">
        <f t="shared" si="36"/>
        <v>163</v>
      </c>
      <c r="AM12" s="203">
        <f t="shared" si="15"/>
        <v>1630</v>
      </c>
      <c r="AN12" s="35">
        <f t="shared" si="16"/>
        <v>0.58214285714285718</v>
      </c>
      <c r="AO12" s="36">
        <f t="shared" si="40"/>
        <v>11410</v>
      </c>
      <c r="AP12" s="525"/>
      <c r="AQ12" s="223">
        <f t="shared" si="41"/>
        <v>0.5198631539136801</v>
      </c>
      <c r="AR12" s="38">
        <f t="shared" si="37"/>
        <v>48331.677419354841</v>
      </c>
      <c r="AS12" s="197">
        <f t="shared" si="42"/>
        <v>-1910.0645161290231</v>
      </c>
      <c r="AT12" s="340"/>
      <c r="AU12" s="548"/>
      <c r="AV12" s="485">
        <f t="shared" si="43"/>
        <v>0.75700000000000001</v>
      </c>
      <c r="AW12" s="279">
        <f>-SUM('B5'!AI11)</f>
        <v>-219</v>
      </c>
      <c r="AX12" s="279">
        <f t="shared" si="17"/>
        <v>-1691.0645161290231</v>
      </c>
      <c r="AY12" s="37">
        <f t="shared" si="38"/>
        <v>-1910.0645161290231</v>
      </c>
      <c r="AZ12" s="100">
        <f>ELEC!A10</f>
        <v>0</v>
      </c>
      <c r="BA12" s="118">
        <f>'General information '!D11</f>
        <v>15</v>
      </c>
      <c r="BB12" s="378">
        <f>SUM('General information '!E11)</f>
        <v>0.71</v>
      </c>
      <c r="BC12" s="3">
        <f t="shared" si="44"/>
        <v>0</v>
      </c>
      <c r="BD12" s="102">
        <v>19222</v>
      </c>
      <c r="BE12" s="14">
        <f>(305/1185)*ELEC!Q11</f>
        <v>1265.556962025646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9"/>
        <v>-457.04446381856502</v>
      </c>
      <c r="BK12" s="538">
        <f>GEN!AF9</f>
        <v>0.30843750000002501</v>
      </c>
    </row>
    <row r="13" spans="1:63">
      <c r="A13" s="425">
        <f>ELEC!C11</f>
        <v>44628</v>
      </c>
      <c r="B13">
        <f>'B5'!B12</f>
        <v>150</v>
      </c>
      <c r="C13" s="203">
        <f t="shared" si="18"/>
        <v>3227.4193548387098</v>
      </c>
      <c r="D13">
        <f t="shared" si="19"/>
        <v>150</v>
      </c>
      <c r="E13" s="203">
        <f t="shared" si="18"/>
        <v>3227.4193548387098</v>
      </c>
      <c r="F13">
        <f t="shared" si="20"/>
        <v>150</v>
      </c>
      <c r="G13" s="203">
        <f t="shared" si="1"/>
        <v>3227.4193548387098</v>
      </c>
      <c r="H13" s="203">
        <f t="shared" si="21"/>
        <v>150</v>
      </c>
      <c r="I13" s="203">
        <f t="shared" si="2"/>
        <v>3227.4193548387098</v>
      </c>
      <c r="J13" s="203">
        <f t="shared" si="22"/>
        <v>150</v>
      </c>
      <c r="K13" s="203">
        <f t="shared" si="3"/>
        <v>3227.4193548387098</v>
      </c>
      <c r="L13" s="203">
        <f t="shared" si="23"/>
        <v>150</v>
      </c>
      <c r="M13" s="203">
        <f t="shared" si="4"/>
        <v>3227.4193548387098</v>
      </c>
      <c r="N13" s="203">
        <f t="shared" si="24"/>
        <v>150</v>
      </c>
      <c r="O13" s="203">
        <f t="shared" si="5"/>
        <v>3227.4193548387098</v>
      </c>
      <c r="P13" s="203">
        <f t="shared" si="25"/>
        <v>150</v>
      </c>
      <c r="Q13" s="203">
        <f t="shared" si="6"/>
        <v>3227.4193548387098</v>
      </c>
      <c r="R13" s="203">
        <f t="shared" si="26"/>
        <v>150</v>
      </c>
      <c r="S13" s="203">
        <f t="shared" si="7"/>
        <v>3227.4193548387098</v>
      </c>
      <c r="T13" s="203">
        <f t="shared" si="27"/>
        <v>150</v>
      </c>
      <c r="U13" s="203">
        <f t="shared" si="8"/>
        <v>3227.4193548387098</v>
      </c>
      <c r="V13" s="203">
        <f t="shared" si="28"/>
        <v>150</v>
      </c>
      <c r="W13" s="203">
        <f t="shared" si="9"/>
        <v>3227.4193548387098</v>
      </c>
      <c r="X13" s="35">
        <f t="shared" si="10"/>
        <v>0.48387096774193544</v>
      </c>
      <c r="Y13" s="36">
        <f t="shared" si="29"/>
        <v>35501.612903225803</v>
      </c>
      <c r="Z13" s="203">
        <f>'B5'!C12</f>
        <v>157</v>
      </c>
      <c r="AA13" s="203">
        <f t="shared" si="30"/>
        <v>1570</v>
      </c>
      <c r="AB13" s="203">
        <f t="shared" si="31"/>
        <v>157</v>
      </c>
      <c r="AC13" s="203">
        <f t="shared" si="30"/>
        <v>1570</v>
      </c>
      <c r="AD13" s="203">
        <f t="shared" si="32"/>
        <v>157</v>
      </c>
      <c r="AE13" s="203">
        <f t="shared" si="11"/>
        <v>1570</v>
      </c>
      <c r="AF13" s="203">
        <f t="shared" si="33"/>
        <v>157</v>
      </c>
      <c r="AG13" s="203">
        <f t="shared" si="12"/>
        <v>1570</v>
      </c>
      <c r="AH13" s="203">
        <f t="shared" si="34"/>
        <v>157</v>
      </c>
      <c r="AI13" s="203">
        <f t="shared" si="13"/>
        <v>1570</v>
      </c>
      <c r="AJ13" s="203">
        <f t="shared" si="35"/>
        <v>157</v>
      </c>
      <c r="AK13" s="203">
        <f t="shared" si="14"/>
        <v>1570</v>
      </c>
      <c r="AL13" s="203">
        <f t="shared" si="36"/>
        <v>157</v>
      </c>
      <c r="AM13" s="203">
        <f t="shared" si="15"/>
        <v>1570</v>
      </c>
      <c r="AN13" s="35">
        <f t="shared" si="16"/>
        <v>0.56071428571428572</v>
      </c>
      <c r="AO13" s="36">
        <f t="shared" si="40"/>
        <v>10990</v>
      </c>
      <c r="AP13" s="525"/>
      <c r="AQ13" s="223">
        <f t="shared" si="41"/>
        <v>0.50007112943127674</v>
      </c>
      <c r="AR13" s="38">
        <f t="shared" si="37"/>
        <v>46491.612903225803</v>
      </c>
      <c r="AS13" s="197">
        <f t="shared" si="42"/>
        <v>-1840.0645161290377</v>
      </c>
      <c r="AT13" s="340"/>
      <c r="AU13" s="548"/>
      <c r="AV13" s="485">
        <f t="shared" si="43"/>
        <v>0.75700000000000001</v>
      </c>
      <c r="AW13" s="279">
        <f>-SUM('B5'!AI12)</f>
        <v>-318</v>
      </c>
      <c r="AX13" s="279">
        <f t="shared" si="17"/>
        <v>-1522.0645161290377</v>
      </c>
      <c r="AY13" s="37">
        <f t="shared" si="38"/>
        <v>-1840.0645161290377</v>
      </c>
      <c r="AZ13" s="100">
        <f>ELEC!A11</f>
        <v>0</v>
      </c>
      <c r="BA13" s="118">
        <f>'General information '!D12</f>
        <v>10.5</v>
      </c>
      <c r="BB13" s="378">
        <f>SUM('General information '!E12)</f>
        <v>0.64</v>
      </c>
      <c r="BC13" s="3">
        <f t="shared" si="44"/>
        <v>0</v>
      </c>
      <c r="BD13" s="102">
        <v>19222</v>
      </c>
      <c r="BE13" s="14">
        <f>(305/1185)*ELEC!Q12</f>
        <v>1191.9451476796396</v>
      </c>
      <c r="BF13" s="14"/>
      <c r="BG13" s="14" t="e">
        <f>#REF!-BE13</f>
        <v>#REF!</v>
      </c>
      <c r="BH13" s="11"/>
      <c r="BI13">
        <v>5</v>
      </c>
      <c r="BJ13">
        <f t="shared" si="39"/>
        <v>-304.41290322580755</v>
      </c>
      <c r="BK13" s="538">
        <f>GEN!AF10</f>
        <v>0.30731250000008004</v>
      </c>
    </row>
    <row r="14" spans="1:63">
      <c r="A14" s="425">
        <f>ELEC!C12</f>
        <v>44629</v>
      </c>
      <c r="B14">
        <f>'B5'!B13</f>
        <v>177</v>
      </c>
      <c r="C14" s="203">
        <f t="shared" si="18"/>
        <v>3808.3548387096776</v>
      </c>
      <c r="D14">
        <f t="shared" si="19"/>
        <v>177</v>
      </c>
      <c r="E14" s="203">
        <f t="shared" si="18"/>
        <v>3808.3548387096776</v>
      </c>
      <c r="F14">
        <f t="shared" si="20"/>
        <v>177</v>
      </c>
      <c r="G14" s="203">
        <f t="shared" si="1"/>
        <v>3808.3548387096776</v>
      </c>
      <c r="H14" s="203">
        <f t="shared" si="21"/>
        <v>177</v>
      </c>
      <c r="I14" s="203">
        <f t="shared" si="2"/>
        <v>3808.3548387096776</v>
      </c>
      <c r="J14" s="203">
        <f t="shared" si="22"/>
        <v>177</v>
      </c>
      <c r="K14" s="203">
        <f t="shared" si="3"/>
        <v>3808.3548387096776</v>
      </c>
      <c r="L14" s="203">
        <f t="shared" si="23"/>
        <v>177</v>
      </c>
      <c r="M14" s="203">
        <f t="shared" si="4"/>
        <v>3808.3548387096776</v>
      </c>
      <c r="N14" s="203">
        <f t="shared" si="24"/>
        <v>177</v>
      </c>
      <c r="O14" s="203">
        <f t="shared" si="5"/>
        <v>3808.3548387096776</v>
      </c>
      <c r="P14" s="203">
        <f t="shared" si="25"/>
        <v>177</v>
      </c>
      <c r="Q14" s="203">
        <f t="shared" si="6"/>
        <v>3808.3548387096776</v>
      </c>
      <c r="R14" s="203">
        <f t="shared" si="26"/>
        <v>177</v>
      </c>
      <c r="S14" s="203">
        <f t="shared" si="7"/>
        <v>3808.3548387096776</v>
      </c>
      <c r="T14" s="203">
        <f t="shared" si="27"/>
        <v>177</v>
      </c>
      <c r="U14" s="203">
        <f t="shared" si="8"/>
        <v>3808.3548387096776</v>
      </c>
      <c r="V14" s="203">
        <f t="shared" si="28"/>
        <v>177</v>
      </c>
      <c r="W14" s="203">
        <f t="shared" si="9"/>
        <v>3808.3548387096776</v>
      </c>
      <c r="X14" s="35">
        <f t="shared" si="10"/>
        <v>0.57096774193548383</v>
      </c>
      <c r="Y14" s="36">
        <f t="shared" si="29"/>
        <v>41891.903225806447</v>
      </c>
      <c r="Z14" s="203">
        <f>'B5'!C13</f>
        <v>185</v>
      </c>
      <c r="AA14" s="203">
        <f t="shared" si="30"/>
        <v>1850</v>
      </c>
      <c r="AB14" s="203">
        <f t="shared" si="31"/>
        <v>185</v>
      </c>
      <c r="AC14" s="203">
        <f t="shared" si="30"/>
        <v>1850</v>
      </c>
      <c r="AD14" s="203">
        <f t="shared" si="32"/>
        <v>185</v>
      </c>
      <c r="AE14" s="203">
        <f t="shared" si="11"/>
        <v>1850</v>
      </c>
      <c r="AF14" s="203">
        <f t="shared" si="33"/>
        <v>185</v>
      </c>
      <c r="AG14" s="203">
        <f t="shared" si="12"/>
        <v>1850</v>
      </c>
      <c r="AH14" s="203">
        <f t="shared" si="34"/>
        <v>185</v>
      </c>
      <c r="AI14" s="203">
        <f t="shared" si="13"/>
        <v>1850</v>
      </c>
      <c r="AJ14" s="203">
        <f t="shared" si="35"/>
        <v>185</v>
      </c>
      <c r="AK14" s="203">
        <f t="shared" si="14"/>
        <v>1850</v>
      </c>
      <c r="AL14" s="203">
        <f t="shared" si="36"/>
        <v>185</v>
      </c>
      <c r="AM14" s="203">
        <f t="shared" si="15"/>
        <v>1850</v>
      </c>
      <c r="AN14" s="35">
        <f t="shared" si="16"/>
        <v>0.6607142857142857</v>
      </c>
      <c r="AO14" s="36">
        <f t="shared" si="40"/>
        <v>12950</v>
      </c>
      <c r="AQ14" s="223">
        <f t="shared" si="41"/>
        <v>0.58988817065511934</v>
      </c>
      <c r="AR14" s="38">
        <f t="shared" si="37"/>
        <v>54841.903225806447</v>
      </c>
      <c r="AS14" s="197">
        <f t="shared" si="42"/>
        <v>-831.70967741935601</v>
      </c>
      <c r="AT14" s="340">
        <v>9182</v>
      </c>
      <c r="AU14" s="548">
        <v>1.1000000000000001</v>
      </c>
      <c r="AV14" s="485">
        <f t="shared" si="43"/>
        <v>1.1000000000000001</v>
      </c>
      <c r="AW14" s="279">
        <f>-SUM('B5'!AI13)</f>
        <v>-304</v>
      </c>
      <c r="AX14" s="279">
        <f t="shared" si="17"/>
        <v>-527.70967741935601</v>
      </c>
      <c r="AY14" s="37">
        <f t="shared" si="38"/>
        <v>-831.70967741935601</v>
      </c>
      <c r="AZ14" s="100">
        <f>ELEC!A12</f>
        <v>0</v>
      </c>
      <c r="BA14" s="118">
        <f>'General information '!D13</f>
        <v>15</v>
      </c>
      <c r="BB14" s="378">
        <f>SUM('General information '!E13)</f>
        <v>0.76</v>
      </c>
      <c r="BC14" s="3">
        <f t="shared" si="44"/>
        <v>1</v>
      </c>
      <c r="BD14" s="102">
        <v>19222</v>
      </c>
      <c r="BE14" s="14">
        <f>(305/1185)*ELEC!Q13</f>
        <v>1384.7257383959504</v>
      </c>
      <c r="BF14" s="14"/>
      <c r="BG14" s="14" t="e">
        <f>#REF!-BE14</f>
        <v>#REF!</v>
      </c>
      <c r="BH14" s="11"/>
      <c r="BI14">
        <v>3</v>
      </c>
      <c r="BJ14">
        <f t="shared" si="39"/>
        <v>-175.90322580645201</v>
      </c>
      <c r="BK14" s="538">
        <f>GEN!AF11</f>
        <v>0.32159722222230713</v>
      </c>
    </row>
    <row r="15" spans="1:63" ht="13.5" customHeight="1">
      <c r="A15" s="425">
        <f>ELEC!C13</f>
        <v>44630</v>
      </c>
      <c r="B15">
        <f>'B5'!B14</f>
        <v>239</v>
      </c>
      <c r="C15" s="203">
        <f>B15*$B$4</f>
        <v>5142.3548387096771</v>
      </c>
      <c r="D15">
        <f t="shared" si="19"/>
        <v>239</v>
      </c>
      <c r="E15" s="203">
        <f t="shared" si="18"/>
        <v>5142.3548387096771</v>
      </c>
      <c r="F15">
        <f t="shared" si="20"/>
        <v>239</v>
      </c>
      <c r="G15" s="203">
        <f t="shared" si="1"/>
        <v>5142.3548387096771</v>
      </c>
      <c r="H15" s="203">
        <f t="shared" si="21"/>
        <v>239</v>
      </c>
      <c r="I15" s="203">
        <f t="shared" si="2"/>
        <v>5142.3548387096771</v>
      </c>
      <c r="J15" s="203">
        <f t="shared" si="22"/>
        <v>239</v>
      </c>
      <c r="K15" s="203">
        <f t="shared" si="3"/>
        <v>5142.3548387096771</v>
      </c>
      <c r="L15" s="203">
        <f t="shared" si="23"/>
        <v>239</v>
      </c>
      <c r="M15" s="203">
        <f t="shared" si="4"/>
        <v>5142.3548387096771</v>
      </c>
      <c r="N15" s="203">
        <f t="shared" si="24"/>
        <v>239</v>
      </c>
      <c r="O15" s="203">
        <f t="shared" si="5"/>
        <v>5142.3548387096771</v>
      </c>
      <c r="P15" s="203">
        <f t="shared" si="25"/>
        <v>239</v>
      </c>
      <c r="Q15" s="203">
        <f t="shared" si="6"/>
        <v>5142.3548387096771</v>
      </c>
      <c r="R15" s="203">
        <f t="shared" si="26"/>
        <v>239</v>
      </c>
      <c r="S15" s="203">
        <f t="shared" si="7"/>
        <v>5142.3548387096771</v>
      </c>
      <c r="T15" s="203">
        <f t="shared" si="27"/>
        <v>239</v>
      </c>
      <c r="U15" s="203">
        <f t="shared" si="8"/>
        <v>5142.3548387096771</v>
      </c>
      <c r="V15" s="203">
        <f t="shared" si="28"/>
        <v>239</v>
      </c>
      <c r="W15" s="203">
        <f t="shared" si="9"/>
        <v>5142.3548387096771</v>
      </c>
      <c r="X15" s="35">
        <f t="shared" si="10"/>
        <v>0.77096774193548367</v>
      </c>
      <c r="Y15" s="36">
        <f t="shared" si="29"/>
        <v>56565.90322580644</v>
      </c>
      <c r="Z15" s="203">
        <f>'B5'!C14</f>
        <v>246</v>
      </c>
      <c r="AA15" s="203">
        <f t="shared" si="30"/>
        <v>2460</v>
      </c>
      <c r="AB15" s="203">
        <f t="shared" si="31"/>
        <v>246</v>
      </c>
      <c r="AC15" s="203">
        <f t="shared" si="30"/>
        <v>2460</v>
      </c>
      <c r="AD15" s="203">
        <f t="shared" si="32"/>
        <v>246</v>
      </c>
      <c r="AE15" s="203">
        <f t="shared" si="11"/>
        <v>2460</v>
      </c>
      <c r="AF15" s="203">
        <f t="shared" si="33"/>
        <v>246</v>
      </c>
      <c r="AG15" s="203">
        <f t="shared" si="12"/>
        <v>2460</v>
      </c>
      <c r="AH15" s="203">
        <f t="shared" si="34"/>
        <v>246</v>
      </c>
      <c r="AI15" s="203">
        <f t="shared" si="13"/>
        <v>2460</v>
      </c>
      <c r="AJ15" s="203">
        <f t="shared" si="35"/>
        <v>246</v>
      </c>
      <c r="AK15" s="203">
        <f t="shared" si="14"/>
        <v>2460</v>
      </c>
      <c r="AL15" s="203">
        <f t="shared" si="36"/>
        <v>246</v>
      </c>
      <c r="AM15" s="203">
        <f t="shared" si="15"/>
        <v>2460</v>
      </c>
      <c r="AN15" s="35">
        <f t="shared" si="16"/>
        <v>0.87857142857142856</v>
      </c>
      <c r="AO15" s="36">
        <f t="shared" si="40"/>
        <v>17220</v>
      </c>
      <c r="AQ15" s="223">
        <f t="shared" si="41"/>
        <v>0.79365282592025854</v>
      </c>
      <c r="AR15" s="38">
        <f>Y15+AO15</f>
        <v>73785.90322580644</v>
      </c>
      <c r="AS15" s="197">
        <f t="shared" si="42"/>
        <v>943.99999999999272</v>
      </c>
      <c r="AT15" s="340">
        <v>18000</v>
      </c>
      <c r="AU15" s="548">
        <v>1.2</v>
      </c>
      <c r="AV15" s="485">
        <f>IF(AT15&gt;0,AU15,AV14)</f>
        <v>1.2</v>
      </c>
      <c r="AW15" s="279">
        <f>-SUM('B5'!AI14)</f>
        <v>-218</v>
      </c>
      <c r="AX15" s="279">
        <f t="shared" si="17"/>
        <v>1161.9999999999927</v>
      </c>
      <c r="AY15" s="37">
        <f t="shared" si="38"/>
        <v>943.99999999999272</v>
      </c>
      <c r="AZ15" s="100">
        <f>ELEC!A13</f>
        <v>0</v>
      </c>
      <c r="BA15" s="118">
        <f>'General information '!D14</f>
        <v>12.5</v>
      </c>
      <c r="BB15" s="378">
        <f>SUM('General information '!E14)</f>
        <v>0.81</v>
      </c>
      <c r="BC15" s="3">
        <f t="shared" si="44"/>
        <v>1</v>
      </c>
      <c r="BD15" s="102">
        <v>19222</v>
      </c>
      <c r="BE15" s="14">
        <f>(305/1185)*ELEC!Q14</f>
        <v>1260.151898734342</v>
      </c>
      <c r="BF15" s="14"/>
      <c r="BG15" s="14" t="e">
        <f>#REF!-BE15</f>
        <v>#REF!</v>
      </c>
      <c r="BH15" s="11"/>
      <c r="BI15">
        <v>4</v>
      </c>
      <c r="BJ15">
        <f t="shared" si="39"/>
        <v>290.49999999999818</v>
      </c>
      <c r="BK15" s="538">
        <f>GEN!AF12</f>
        <v>0.30568181818166934</v>
      </c>
    </row>
    <row r="16" spans="1:63">
      <c r="A16" s="425">
        <f>ELEC!C14</f>
        <v>44631</v>
      </c>
      <c r="B16">
        <f>'B5'!B15</f>
        <v>232</v>
      </c>
      <c r="C16" s="203">
        <f t="shared" si="18"/>
        <v>4991.7419354838712</v>
      </c>
      <c r="D16">
        <f t="shared" si="19"/>
        <v>232</v>
      </c>
      <c r="E16" s="203">
        <f t="shared" si="18"/>
        <v>4991.7419354838712</v>
      </c>
      <c r="F16">
        <f t="shared" si="20"/>
        <v>232</v>
      </c>
      <c r="G16" s="203">
        <f t="shared" si="1"/>
        <v>4991.7419354838712</v>
      </c>
      <c r="H16" s="203">
        <f t="shared" si="21"/>
        <v>232</v>
      </c>
      <c r="I16" s="203">
        <f t="shared" si="2"/>
        <v>4991.7419354838712</v>
      </c>
      <c r="J16" s="203">
        <f t="shared" si="22"/>
        <v>232</v>
      </c>
      <c r="K16" s="203">
        <f t="shared" si="3"/>
        <v>4991.7419354838712</v>
      </c>
      <c r="L16" s="203">
        <f t="shared" si="23"/>
        <v>232</v>
      </c>
      <c r="M16" s="203">
        <f t="shared" si="4"/>
        <v>4991.7419354838712</v>
      </c>
      <c r="N16" s="203">
        <f t="shared" si="24"/>
        <v>232</v>
      </c>
      <c r="O16" s="203">
        <f t="shared" si="5"/>
        <v>4991.7419354838712</v>
      </c>
      <c r="P16" s="203">
        <f t="shared" si="25"/>
        <v>232</v>
      </c>
      <c r="Q16" s="203">
        <f t="shared" si="6"/>
        <v>4991.7419354838712</v>
      </c>
      <c r="R16" s="203">
        <f t="shared" si="26"/>
        <v>232</v>
      </c>
      <c r="S16" s="203">
        <f t="shared" si="7"/>
        <v>4991.7419354838712</v>
      </c>
      <c r="T16" s="203">
        <f t="shared" si="27"/>
        <v>232</v>
      </c>
      <c r="U16" s="203">
        <f t="shared" si="8"/>
        <v>4991.7419354838712</v>
      </c>
      <c r="V16" s="203">
        <f t="shared" si="28"/>
        <v>232</v>
      </c>
      <c r="W16" s="203">
        <f t="shared" si="9"/>
        <v>4991.7419354838712</v>
      </c>
      <c r="X16" s="35">
        <f t="shared" si="10"/>
        <v>0.74838709677419357</v>
      </c>
      <c r="Y16" s="36">
        <f t="shared" si="29"/>
        <v>54909.161290322583</v>
      </c>
      <c r="Z16" s="203">
        <f>'B5'!C15</f>
        <v>238</v>
      </c>
      <c r="AA16" s="203">
        <f t="shared" si="30"/>
        <v>2380</v>
      </c>
      <c r="AB16" s="203">
        <f t="shared" si="31"/>
        <v>238</v>
      </c>
      <c r="AC16" s="203">
        <f t="shared" si="30"/>
        <v>2380</v>
      </c>
      <c r="AD16" s="203">
        <f t="shared" si="32"/>
        <v>238</v>
      </c>
      <c r="AE16" s="203">
        <f t="shared" si="11"/>
        <v>2380</v>
      </c>
      <c r="AF16" s="203">
        <f t="shared" si="33"/>
        <v>238</v>
      </c>
      <c r="AG16" s="203">
        <f t="shared" si="12"/>
        <v>2380</v>
      </c>
      <c r="AH16" s="203">
        <f t="shared" si="34"/>
        <v>238</v>
      </c>
      <c r="AI16" s="203">
        <f t="shared" si="13"/>
        <v>2380</v>
      </c>
      <c r="AJ16" s="203">
        <f t="shared" si="35"/>
        <v>238</v>
      </c>
      <c r="AK16" s="203">
        <f t="shared" si="14"/>
        <v>2380</v>
      </c>
      <c r="AL16" s="203">
        <f t="shared" si="36"/>
        <v>238</v>
      </c>
      <c r="AM16" s="203">
        <f t="shared" si="15"/>
        <v>2380</v>
      </c>
      <c r="AN16" s="35">
        <f t="shared" si="16"/>
        <v>0.85</v>
      </c>
      <c r="AO16" s="36">
        <f t="shared" si="40"/>
        <v>16660</v>
      </c>
      <c r="AQ16" s="223">
        <f t="shared" si="41"/>
        <v>0.76980919963776029</v>
      </c>
      <c r="AR16" s="38">
        <f t="shared" si="37"/>
        <v>71569.161290322576</v>
      </c>
      <c r="AS16" s="197">
        <f t="shared" si="42"/>
        <v>-2216.7419354838639</v>
      </c>
      <c r="AT16" s="340"/>
      <c r="AU16" s="548"/>
      <c r="AV16" s="485">
        <f t="shared" ref="AV16:AV21" si="45">IF(AT16&gt;0,AU16,AV15)</f>
        <v>1.2</v>
      </c>
      <c r="AW16" s="279">
        <f>-SUM('B5'!AI15)</f>
        <v>-425</v>
      </c>
      <c r="AX16" s="279">
        <f t="shared" si="17"/>
        <v>-1791.7419354838639</v>
      </c>
      <c r="AY16" s="37">
        <f t="shared" si="38"/>
        <v>-2216.7419354838639</v>
      </c>
      <c r="AZ16" s="100">
        <f>ELEC!A14</f>
        <v>0</v>
      </c>
      <c r="BA16" s="118">
        <f>'General information '!D15</f>
        <v>11.5</v>
      </c>
      <c r="BB16" s="378">
        <f>SUM('General information '!E15)</f>
        <v>0.66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9"/>
        <v>-597.2473118279546</v>
      </c>
      <c r="BK16" s="538">
        <f>GEN!AF13</f>
        <v>0.30600000000004002</v>
      </c>
    </row>
    <row r="17" spans="1:64">
      <c r="A17" s="425">
        <f>ELEC!C15</f>
        <v>44632</v>
      </c>
      <c r="B17">
        <f>'B5'!B16</f>
        <v>232</v>
      </c>
      <c r="C17" s="203">
        <f t="shared" si="18"/>
        <v>4991.7419354838712</v>
      </c>
      <c r="D17">
        <f t="shared" si="19"/>
        <v>232</v>
      </c>
      <c r="E17" s="203">
        <f t="shared" si="18"/>
        <v>4991.7419354838712</v>
      </c>
      <c r="F17">
        <f t="shared" si="20"/>
        <v>232</v>
      </c>
      <c r="G17" s="203">
        <f t="shared" si="1"/>
        <v>4991.7419354838712</v>
      </c>
      <c r="H17" s="203">
        <f t="shared" si="21"/>
        <v>232</v>
      </c>
      <c r="I17" s="203">
        <f t="shared" si="2"/>
        <v>4991.7419354838712</v>
      </c>
      <c r="J17" s="203">
        <f t="shared" si="22"/>
        <v>232</v>
      </c>
      <c r="K17" s="203">
        <f t="shared" si="3"/>
        <v>4991.7419354838712</v>
      </c>
      <c r="L17" s="203">
        <f t="shared" si="23"/>
        <v>232</v>
      </c>
      <c r="M17" s="203">
        <f t="shared" si="4"/>
        <v>4991.7419354838712</v>
      </c>
      <c r="N17" s="203">
        <f t="shared" si="24"/>
        <v>232</v>
      </c>
      <c r="O17" s="203">
        <f t="shared" si="5"/>
        <v>4991.7419354838712</v>
      </c>
      <c r="P17" s="203">
        <f t="shared" si="25"/>
        <v>232</v>
      </c>
      <c r="Q17" s="203">
        <f t="shared" si="6"/>
        <v>4991.7419354838712</v>
      </c>
      <c r="R17" s="203">
        <f t="shared" si="26"/>
        <v>232</v>
      </c>
      <c r="S17" s="203">
        <f t="shared" si="7"/>
        <v>4991.7419354838712</v>
      </c>
      <c r="T17" s="203">
        <f t="shared" si="27"/>
        <v>232</v>
      </c>
      <c r="U17" s="203">
        <f t="shared" si="8"/>
        <v>4991.7419354838712</v>
      </c>
      <c r="V17" s="203">
        <f t="shared" si="28"/>
        <v>232</v>
      </c>
      <c r="W17" s="203">
        <f t="shared" si="9"/>
        <v>4991.7419354838712</v>
      </c>
      <c r="X17" s="35">
        <f t="shared" si="10"/>
        <v>0.74838709677419357</v>
      </c>
      <c r="Y17" s="36">
        <f t="shared" si="29"/>
        <v>54909.161290322583</v>
      </c>
      <c r="Z17" s="203">
        <f>'B5'!C16</f>
        <v>238</v>
      </c>
      <c r="AA17" s="203">
        <f t="shared" si="30"/>
        <v>2380</v>
      </c>
      <c r="AB17" s="203">
        <f t="shared" si="31"/>
        <v>238</v>
      </c>
      <c r="AC17" s="203">
        <f t="shared" si="30"/>
        <v>2380</v>
      </c>
      <c r="AD17" s="203">
        <f t="shared" si="32"/>
        <v>238</v>
      </c>
      <c r="AE17" s="203">
        <f t="shared" si="11"/>
        <v>2380</v>
      </c>
      <c r="AF17" s="203">
        <f t="shared" si="33"/>
        <v>238</v>
      </c>
      <c r="AG17" s="203">
        <f t="shared" si="12"/>
        <v>2380</v>
      </c>
      <c r="AH17" s="203">
        <f t="shared" si="34"/>
        <v>238</v>
      </c>
      <c r="AI17" s="203">
        <f t="shared" si="13"/>
        <v>2380</v>
      </c>
      <c r="AJ17" s="203">
        <f t="shared" si="35"/>
        <v>238</v>
      </c>
      <c r="AK17" s="203">
        <f t="shared" si="14"/>
        <v>2380</v>
      </c>
      <c r="AL17" s="203">
        <f t="shared" si="36"/>
        <v>238</v>
      </c>
      <c r="AM17" s="203">
        <f t="shared" si="15"/>
        <v>2380</v>
      </c>
      <c r="AN17" s="35">
        <f t="shared" si="16"/>
        <v>0.85</v>
      </c>
      <c r="AO17" s="36">
        <f>SUM(AA17+AC17+AE17+AG17+AI17+AK17+AM17)</f>
        <v>16660</v>
      </c>
      <c r="AQ17" s="223">
        <f t="shared" si="41"/>
        <v>0.76980919963776029</v>
      </c>
      <c r="AR17" s="38">
        <f t="shared" si="37"/>
        <v>71569.161290322576</v>
      </c>
      <c r="AS17" s="197">
        <f t="shared" si="42"/>
        <v>0</v>
      </c>
      <c r="AU17" s="3"/>
      <c r="AV17" s="485">
        <f t="shared" si="45"/>
        <v>1.2</v>
      </c>
      <c r="AW17" s="279">
        <f>-SUM('B5'!AI16)</f>
        <v>0</v>
      </c>
      <c r="AX17" s="279">
        <f t="shared" si="17"/>
        <v>0</v>
      </c>
      <c r="AY17" s="37">
        <f t="shared" si="38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935.84810126639968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44633</v>
      </c>
      <c r="B18">
        <f>'B5'!B17</f>
        <v>228</v>
      </c>
      <c r="C18" s="203">
        <f t="shared" si="18"/>
        <v>4905.677419354839</v>
      </c>
      <c r="D18">
        <f t="shared" si="19"/>
        <v>228</v>
      </c>
      <c r="E18" s="203">
        <f t="shared" si="18"/>
        <v>4905.677419354839</v>
      </c>
      <c r="F18">
        <f t="shared" si="20"/>
        <v>228</v>
      </c>
      <c r="G18" s="203">
        <f t="shared" si="1"/>
        <v>4905.677419354839</v>
      </c>
      <c r="H18" s="203">
        <f t="shared" si="21"/>
        <v>228</v>
      </c>
      <c r="I18" s="203">
        <f t="shared" si="2"/>
        <v>4905.677419354839</v>
      </c>
      <c r="J18" s="203">
        <f t="shared" si="22"/>
        <v>228</v>
      </c>
      <c r="K18" s="203">
        <f t="shared" si="3"/>
        <v>4905.677419354839</v>
      </c>
      <c r="L18" s="203">
        <f t="shared" si="23"/>
        <v>228</v>
      </c>
      <c r="M18" s="203">
        <f t="shared" si="4"/>
        <v>4905.677419354839</v>
      </c>
      <c r="N18" s="203">
        <f t="shared" si="24"/>
        <v>228</v>
      </c>
      <c r="O18" s="203">
        <f t="shared" si="5"/>
        <v>4905.677419354839</v>
      </c>
      <c r="P18" s="203">
        <f t="shared" si="25"/>
        <v>228</v>
      </c>
      <c r="Q18" s="203">
        <f t="shared" si="6"/>
        <v>4905.677419354839</v>
      </c>
      <c r="R18" s="203">
        <f t="shared" si="26"/>
        <v>228</v>
      </c>
      <c r="S18" s="203">
        <f t="shared" si="7"/>
        <v>4905.677419354839</v>
      </c>
      <c r="T18" s="203">
        <f t="shared" si="27"/>
        <v>228</v>
      </c>
      <c r="U18" s="203">
        <f t="shared" si="8"/>
        <v>4905.677419354839</v>
      </c>
      <c r="V18" s="203">
        <f t="shared" si="28"/>
        <v>228</v>
      </c>
      <c r="W18" s="203">
        <f t="shared" si="9"/>
        <v>4905.677419354839</v>
      </c>
      <c r="X18" s="35">
        <f t="shared" si="10"/>
        <v>0.73548387096774215</v>
      </c>
      <c r="Y18" s="36">
        <f t="shared" si="29"/>
        <v>53962.451612903242</v>
      </c>
      <c r="Z18" s="203">
        <f>'B5'!C17</f>
        <v>234</v>
      </c>
      <c r="AA18" s="203">
        <f t="shared" si="30"/>
        <v>2340</v>
      </c>
      <c r="AB18" s="203">
        <f t="shared" si="31"/>
        <v>234</v>
      </c>
      <c r="AC18" s="203">
        <f t="shared" si="30"/>
        <v>2340</v>
      </c>
      <c r="AD18" s="203">
        <f t="shared" si="32"/>
        <v>234</v>
      </c>
      <c r="AE18" s="203">
        <f t="shared" si="11"/>
        <v>2340</v>
      </c>
      <c r="AF18" s="203">
        <f t="shared" si="33"/>
        <v>234</v>
      </c>
      <c r="AG18" s="203">
        <f t="shared" si="12"/>
        <v>2340</v>
      </c>
      <c r="AH18" s="203">
        <f t="shared" si="34"/>
        <v>234</v>
      </c>
      <c r="AI18" s="203">
        <f t="shared" si="13"/>
        <v>2340</v>
      </c>
      <c r="AJ18" s="203">
        <f t="shared" si="35"/>
        <v>234</v>
      </c>
      <c r="AK18" s="203">
        <f t="shared" si="14"/>
        <v>2340</v>
      </c>
      <c r="AL18" s="203">
        <f t="shared" si="36"/>
        <v>234</v>
      </c>
      <c r="AM18" s="203">
        <f t="shared" si="15"/>
        <v>2340</v>
      </c>
      <c r="AN18" s="35">
        <f t="shared" si="16"/>
        <v>0.83571428571428574</v>
      </c>
      <c r="AO18" s="36">
        <f t="shared" si="40"/>
        <v>16380</v>
      </c>
      <c r="AQ18" s="223">
        <f t="shared" si="41"/>
        <v>0.75661451664949164</v>
      </c>
      <c r="AR18" s="38">
        <f t="shared" si="37"/>
        <v>70342.451612903242</v>
      </c>
      <c r="AS18" s="197">
        <f>SUM(AR18-AR17-AT18)</f>
        <v>-1226.7096774193342</v>
      </c>
      <c r="AT18" s="340"/>
      <c r="AU18" s="548"/>
      <c r="AV18" s="485">
        <f t="shared" si="45"/>
        <v>1.2</v>
      </c>
      <c r="AW18" s="279">
        <f>-SUM('B5'!AI17)</f>
        <v>-295</v>
      </c>
      <c r="AX18" s="279">
        <f t="shared" si="17"/>
        <v>-931.70967741933418</v>
      </c>
      <c r="AY18" s="37">
        <f t="shared" si="38"/>
        <v>-1226.7096774193342</v>
      </c>
      <c r="AZ18" s="100">
        <f>ELEC!A16</f>
        <v>0</v>
      </c>
      <c r="BA18" s="118">
        <f>'General information '!D17</f>
        <v>11</v>
      </c>
      <c r="BB18" s="378">
        <f>SUM('General information '!E17)</f>
        <v>0.63</v>
      </c>
      <c r="BC18" s="3">
        <f t="shared" si="44"/>
        <v>0</v>
      </c>
      <c r="BD18" s="102">
        <v>19222</v>
      </c>
      <c r="BE18" s="14">
        <f>(305/1185)*ELEC!Q17</f>
        <v>1316.5189873412478</v>
      </c>
      <c r="BF18" s="14"/>
      <c r="BG18" s="14" t="e">
        <f>#REF!-BE18</f>
        <v>#REF!</v>
      </c>
      <c r="BH18" s="11"/>
      <c r="BI18">
        <v>5</v>
      </c>
      <c r="BJ18">
        <f t="shared" si="46"/>
        <v>-186.34193548386685</v>
      </c>
      <c r="BK18" s="538">
        <f>GEN!AF15</f>
        <v>0.32464285714305724</v>
      </c>
    </row>
    <row r="19" spans="1:64">
      <c r="A19" s="425">
        <f>ELEC!C17</f>
        <v>44634</v>
      </c>
      <c r="B19">
        <f>'B5'!B18</f>
        <v>219</v>
      </c>
      <c r="C19" s="203">
        <f t="shared" si="18"/>
        <v>4712.0322580645161</v>
      </c>
      <c r="D19">
        <f t="shared" si="19"/>
        <v>219</v>
      </c>
      <c r="E19" s="203">
        <f t="shared" si="18"/>
        <v>4712.0322580645161</v>
      </c>
      <c r="F19">
        <f t="shared" si="20"/>
        <v>219</v>
      </c>
      <c r="G19" s="203">
        <f t="shared" si="1"/>
        <v>4712.0322580645161</v>
      </c>
      <c r="H19" s="203">
        <f t="shared" si="21"/>
        <v>219</v>
      </c>
      <c r="I19" s="203">
        <f t="shared" si="2"/>
        <v>4712.0322580645161</v>
      </c>
      <c r="J19" s="203">
        <f t="shared" si="22"/>
        <v>219</v>
      </c>
      <c r="K19" s="203">
        <f t="shared" si="3"/>
        <v>4712.0322580645161</v>
      </c>
      <c r="L19" s="203">
        <f t="shared" si="23"/>
        <v>219</v>
      </c>
      <c r="M19" s="203">
        <f t="shared" si="4"/>
        <v>4712.0322580645161</v>
      </c>
      <c r="N19" s="203">
        <f t="shared" si="24"/>
        <v>219</v>
      </c>
      <c r="O19" s="203">
        <f t="shared" si="5"/>
        <v>4712.0322580645161</v>
      </c>
      <c r="P19" s="203">
        <f t="shared" si="25"/>
        <v>219</v>
      </c>
      <c r="Q19" s="203">
        <f t="shared" si="6"/>
        <v>4712.0322580645161</v>
      </c>
      <c r="R19" s="203">
        <f t="shared" si="26"/>
        <v>219</v>
      </c>
      <c r="S19" s="203">
        <f t="shared" si="7"/>
        <v>4712.0322580645161</v>
      </c>
      <c r="T19" s="203">
        <f t="shared" si="27"/>
        <v>219</v>
      </c>
      <c r="U19" s="203">
        <f t="shared" si="8"/>
        <v>4712.0322580645161</v>
      </c>
      <c r="V19" s="203">
        <f t="shared" si="28"/>
        <v>219</v>
      </c>
      <c r="W19" s="203">
        <f t="shared" si="9"/>
        <v>4712.0322580645161</v>
      </c>
      <c r="X19" s="35">
        <f t="shared" si="10"/>
        <v>0.70645161290322578</v>
      </c>
      <c r="Y19" s="36">
        <f t="shared" si="29"/>
        <v>51832.354838709674</v>
      </c>
      <c r="Z19" s="203">
        <f>'B5'!C18</f>
        <v>226</v>
      </c>
      <c r="AA19" s="203">
        <f t="shared" si="30"/>
        <v>2260</v>
      </c>
      <c r="AB19" s="203">
        <f t="shared" si="31"/>
        <v>226</v>
      </c>
      <c r="AC19" s="203">
        <f t="shared" si="30"/>
        <v>2260</v>
      </c>
      <c r="AD19" s="203">
        <f t="shared" si="32"/>
        <v>226</v>
      </c>
      <c r="AE19" s="203">
        <f t="shared" si="11"/>
        <v>2260</v>
      </c>
      <c r="AF19" s="203">
        <f t="shared" si="33"/>
        <v>226</v>
      </c>
      <c r="AG19" s="203">
        <f t="shared" si="12"/>
        <v>2260</v>
      </c>
      <c r="AH19" s="203">
        <f t="shared" si="34"/>
        <v>226</v>
      </c>
      <c r="AI19" s="203">
        <f t="shared" si="13"/>
        <v>2260</v>
      </c>
      <c r="AJ19" s="203">
        <f t="shared" si="35"/>
        <v>226</v>
      </c>
      <c r="AK19" s="203">
        <f t="shared" si="14"/>
        <v>2260</v>
      </c>
      <c r="AL19" s="203">
        <f t="shared" si="36"/>
        <v>226</v>
      </c>
      <c r="AM19" s="203">
        <f t="shared" si="15"/>
        <v>2260</v>
      </c>
      <c r="AN19" s="35">
        <f t="shared" si="16"/>
        <v>0.80714285714285716</v>
      </c>
      <c r="AO19" s="36">
        <f t="shared" si="40"/>
        <v>15820</v>
      </c>
      <c r="AQ19" s="223">
        <f t="shared" si="41"/>
        <v>0.72767941097891431</v>
      </c>
      <c r="AR19" s="38">
        <f t="shared" si="37"/>
        <v>67652.354838709667</v>
      </c>
      <c r="AS19" s="197">
        <f t="shared" ref="AS19:AS32" si="47">SUM(AR19-AR18-AT19)</f>
        <v>-2690.0967741935747</v>
      </c>
      <c r="AT19" s="340"/>
      <c r="AU19" s="548"/>
      <c r="AV19" s="485">
        <f t="shared" si="45"/>
        <v>1.2</v>
      </c>
      <c r="AW19" s="279">
        <f>-SUM('B5'!AI18)</f>
        <v>-570</v>
      </c>
      <c r="AX19" s="279">
        <f t="shared" si="17"/>
        <v>-2120.0967741935747</v>
      </c>
      <c r="AY19" s="37">
        <f t="shared" si="38"/>
        <v>-2690.0967741935747</v>
      </c>
      <c r="AZ19" s="100">
        <f>ELEC!A17</f>
        <v>0</v>
      </c>
      <c r="BA19" s="118">
        <f>'General information '!D18</f>
        <v>10</v>
      </c>
      <c r="BB19" s="378">
        <f>SUM('General information '!E18)</f>
        <v>0.62</v>
      </c>
      <c r="BC19" s="3">
        <f t="shared" si="44"/>
        <v>0</v>
      </c>
      <c r="BD19" s="102">
        <v>19222</v>
      </c>
      <c r="BE19" s="14">
        <f>(305/1185)*ELEC!Q18</f>
        <v>1492.3122362866279</v>
      </c>
      <c r="BF19" s="14"/>
      <c r="BG19" s="14" t="e">
        <f>#REF!-BE19</f>
        <v>#REF!</v>
      </c>
      <c r="BH19" s="11"/>
      <c r="BI19">
        <v>6</v>
      </c>
      <c r="BJ19">
        <f t="shared" si="46"/>
        <v>-353.3494623655958</v>
      </c>
      <c r="BK19" s="538">
        <f>GEN!AF16</f>
        <v>0.29062499999988423</v>
      </c>
    </row>
    <row r="20" spans="1:64">
      <c r="A20" s="425">
        <f>ELEC!C18</f>
        <v>44635</v>
      </c>
      <c r="B20">
        <f>'B5'!B19</f>
        <v>209</v>
      </c>
      <c r="C20" s="203">
        <f t="shared" si="18"/>
        <v>4496.8709677419356</v>
      </c>
      <c r="D20">
        <f t="shared" si="19"/>
        <v>209</v>
      </c>
      <c r="E20" s="203">
        <f t="shared" si="18"/>
        <v>4496.8709677419356</v>
      </c>
      <c r="F20">
        <f t="shared" si="20"/>
        <v>209</v>
      </c>
      <c r="G20" s="203">
        <f t="shared" si="1"/>
        <v>4496.8709677419356</v>
      </c>
      <c r="H20" s="203">
        <f t="shared" si="21"/>
        <v>209</v>
      </c>
      <c r="I20" s="203">
        <f t="shared" si="2"/>
        <v>4496.8709677419356</v>
      </c>
      <c r="J20" s="203">
        <f t="shared" si="22"/>
        <v>209</v>
      </c>
      <c r="K20" s="203">
        <f t="shared" si="3"/>
        <v>4496.8709677419356</v>
      </c>
      <c r="L20" s="203">
        <f t="shared" si="23"/>
        <v>209</v>
      </c>
      <c r="M20" s="203">
        <f t="shared" si="4"/>
        <v>4496.8709677419356</v>
      </c>
      <c r="N20" s="203">
        <f t="shared" si="24"/>
        <v>209</v>
      </c>
      <c r="O20" s="203">
        <f t="shared" si="5"/>
        <v>4496.8709677419356</v>
      </c>
      <c r="P20" s="203">
        <f t="shared" si="25"/>
        <v>209</v>
      </c>
      <c r="Q20" s="203">
        <f t="shared" si="6"/>
        <v>4496.8709677419356</v>
      </c>
      <c r="R20" s="203">
        <f t="shared" si="26"/>
        <v>209</v>
      </c>
      <c r="S20" s="203">
        <f t="shared" si="7"/>
        <v>4496.8709677419356</v>
      </c>
      <c r="T20" s="203">
        <f t="shared" si="27"/>
        <v>209</v>
      </c>
      <c r="U20" s="203">
        <f t="shared" si="8"/>
        <v>4496.8709677419356</v>
      </c>
      <c r="V20" s="203">
        <f t="shared" si="28"/>
        <v>209</v>
      </c>
      <c r="W20" s="203">
        <f t="shared" si="9"/>
        <v>4496.8709677419356</v>
      </c>
      <c r="X20" s="35">
        <f t="shared" si="10"/>
        <v>0.67419354838709689</v>
      </c>
      <c r="Y20" s="36">
        <f t="shared" si="29"/>
        <v>49465.580645161303</v>
      </c>
      <c r="Z20" s="203">
        <f>'B5'!C19</f>
        <v>217</v>
      </c>
      <c r="AA20" s="203">
        <f t="shared" si="30"/>
        <v>2170</v>
      </c>
      <c r="AB20" s="203">
        <f t="shared" si="31"/>
        <v>217</v>
      </c>
      <c r="AC20" s="203">
        <f t="shared" si="30"/>
        <v>2170</v>
      </c>
      <c r="AD20" s="203">
        <f t="shared" si="32"/>
        <v>217</v>
      </c>
      <c r="AE20" s="203">
        <f t="shared" si="11"/>
        <v>2170</v>
      </c>
      <c r="AF20" s="203">
        <f t="shared" si="33"/>
        <v>217</v>
      </c>
      <c r="AG20" s="203">
        <f t="shared" si="12"/>
        <v>2170</v>
      </c>
      <c r="AH20" s="203">
        <f t="shared" si="34"/>
        <v>217</v>
      </c>
      <c r="AI20" s="203">
        <f t="shared" si="13"/>
        <v>2170</v>
      </c>
      <c r="AJ20" s="203">
        <f t="shared" si="35"/>
        <v>217</v>
      </c>
      <c r="AK20" s="203">
        <f t="shared" si="14"/>
        <v>2170</v>
      </c>
      <c r="AL20" s="203">
        <f t="shared" si="36"/>
        <v>217</v>
      </c>
      <c r="AM20" s="203">
        <f t="shared" si="15"/>
        <v>2170</v>
      </c>
      <c r="AN20" s="35">
        <f t="shared" si="16"/>
        <v>0.77500000000000002</v>
      </c>
      <c r="AO20" s="36">
        <f t="shared" si="40"/>
        <v>15190</v>
      </c>
      <c r="AQ20" s="223">
        <f t="shared" si="41"/>
        <v>0.69544563456127029</v>
      </c>
      <c r="AR20" s="38">
        <f t="shared" si="37"/>
        <v>64655.580645161303</v>
      </c>
      <c r="AS20" s="197">
        <f>SUM(AR20-AR19-AT20)</f>
        <v>-2996.7741935483646</v>
      </c>
      <c r="AT20" s="340"/>
      <c r="AU20" s="548"/>
      <c r="AV20" s="485">
        <f t="shared" si="45"/>
        <v>1.2</v>
      </c>
      <c r="AW20" s="279">
        <f>-SUM('B5'!AI19)</f>
        <v>-515</v>
      </c>
      <c r="AX20" s="279">
        <f>-SUM(AW20-AS20)</f>
        <v>-2481.7741935483646</v>
      </c>
      <c r="AY20" s="37">
        <f t="shared" si="38"/>
        <v>-2996.7741935483646</v>
      </c>
      <c r="AZ20" s="100">
        <f>ELEC!A18</f>
        <v>0</v>
      </c>
      <c r="BA20" s="118">
        <f>'General information '!D19</f>
        <v>7.5</v>
      </c>
      <c r="BB20" s="378">
        <f>SUM('General information '!E19)</f>
        <v>0.62</v>
      </c>
      <c r="BC20" s="3">
        <f t="shared" si="44"/>
        <v>0</v>
      </c>
      <c r="BD20" s="102">
        <v>19222</v>
      </c>
      <c r="BE20" s="14">
        <f>(305/1185)*ELEC!Q19</f>
        <v>1384.2109704642924</v>
      </c>
      <c r="BF20" s="14"/>
      <c r="BG20" s="14" t="e">
        <f>#REF!-BE20</f>
        <v>#REF!</v>
      </c>
      <c r="BH20" s="11"/>
      <c r="BI20">
        <v>7</v>
      </c>
      <c r="BJ20">
        <f t="shared" si="46"/>
        <v>-354.53917050690922</v>
      </c>
      <c r="BK20" s="538">
        <f>GEN!AF17</f>
        <v>0.30197916666660757</v>
      </c>
      <c r="BL20" s="203"/>
    </row>
    <row r="21" spans="1:64">
      <c r="A21" s="425">
        <f>ELEC!C19</f>
        <v>44636</v>
      </c>
      <c r="B21">
        <f>'B5'!B20</f>
        <v>217</v>
      </c>
      <c r="C21" s="203">
        <f t="shared" si="18"/>
        <v>4669</v>
      </c>
      <c r="D21">
        <f t="shared" si="19"/>
        <v>217</v>
      </c>
      <c r="E21" s="203">
        <f t="shared" si="18"/>
        <v>4669</v>
      </c>
      <c r="F21">
        <f t="shared" si="20"/>
        <v>217</v>
      </c>
      <c r="G21" s="203">
        <f t="shared" si="1"/>
        <v>4669</v>
      </c>
      <c r="H21" s="203">
        <f t="shared" si="21"/>
        <v>217</v>
      </c>
      <c r="I21" s="203">
        <f t="shared" si="2"/>
        <v>4669</v>
      </c>
      <c r="J21" s="203">
        <f t="shared" si="22"/>
        <v>217</v>
      </c>
      <c r="K21" s="203">
        <f t="shared" si="3"/>
        <v>4669</v>
      </c>
      <c r="L21" s="203">
        <f t="shared" si="23"/>
        <v>217</v>
      </c>
      <c r="M21" s="203">
        <f t="shared" si="4"/>
        <v>4669</v>
      </c>
      <c r="N21" s="203">
        <f t="shared" si="24"/>
        <v>217</v>
      </c>
      <c r="O21" s="203">
        <f t="shared" si="5"/>
        <v>4669</v>
      </c>
      <c r="P21" s="203">
        <f t="shared" si="25"/>
        <v>217</v>
      </c>
      <c r="Q21" s="203">
        <f t="shared" si="6"/>
        <v>4669</v>
      </c>
      <c r="R21" s="203">
        <f t="shared" si="26"/>
        <v>217</v>
      </c>
      <c r="S21" s="203">
        <f t="shared" si="7"/>
        <v>4669</v>
      </c>
      <c r="T21" s="203">
        <f t="shared" si="27"/>
        <v>217</v>
      </c>
      <c r="U21" s="203">
        <f t="shared" si="8"/>
        <v>4669</v>
      </c>
      <c r="V21" s="203">
        <f t="shared" si="28"/>
        <v>217</v>
      </c>
      <c r="W21" s="203">
        <f t="shared" si="9"/>
        <v>4669</v>
      </c>
      <c r="X21" s="35">
        <f t="shared" si="10"/>
        <v>0.7</v>
      </c>
      <c r="Y21" s="36">
        <f t="shared" si="29"/>
        <v>51359</v>
      </c>
      <c r="Z21" s="203">
        <f>'B5'!C20</f>
        <v>224</v>
      </c>
      <c r="AA21" s="203">
        <f t="shared" si="30"/>
        <v>2240</v>
      </c>
      <c r="AB21" s="203">
        <f t="shared" si="31"/>
        <v>224</v>
      </c>
      <c r="AC21" s="203">
        <f t="shared" si="30"/>
        <v>2240</v>
      </c>
      <c r="AD21" s="203">
        <f t="shared" si="32"/>
        <v>224</v>
      </c>
      <c r="AE21" s="203">
        <f t="shared" si="11"/>
        <v>2240</v>
      </c>
      <c r="AF21" s="203">
        <f t="shared" si="33"/>
        <v>224</v>
      </c>
      <c r="AG21" s="203">
        <f t="shared" si="12"/>
        <v>2240</v>
      </c>
      <c r="AH21" s="203">
        <f t="shared" si="34"/>
        <v>224</v>
      </c>
      <c r="AI21" s="203">
        <f t="shared" si="13"/>
        <v>2240</v>
      </c>
      <c r="AJ21" s="203">
        <f t="shared" si="35"/>
        <v>224</v>
      </c>
      <c r="AK21" s="203">
        <f t="shared" si="14"/>
        <v>2240</v>
      </c>
      <c r="AL21" s="203">
        <f t="shared" si="36"/>
        <v>224</v>
      </c>
      <c r="AM21" s="203">
        <f t="shared" si="15"/>
        <v>2240</v>
      </c>
      <c r="AN21" s="35">
        <f t="shared" si="16"/>
        <v>0.8</v>
      </c>
      <c r="AO21" s="36">
        <f t="shared" si="40"/>
        <v>15680</v>
      </c>
      <c r="AQ21" s="223">
        <f t="shared" si="41"/>
        <v>0.72108206948478004</v>
      </c>
      <c r="AR21" s="38">
        <f t="shared" si="37"/>
        <v>67039</v>
      </c>
      <c r="AS21" s="197">
        <f>SUM(AR21-AR20-AT21)</f>
        <v>-1616.5806451613025</v>
      </c>
      <c r="AT21" s="340">
        <v>4000</v>
      </c>
      <c r="AU21" s="548">
        <v>1.07</v>
      </c>
      <c r="AV21" s="485">
        <f t="shared" si="45"/>
        <v>1.07</v>
      </c>
      <c r="AW21" s="279">
        <f>-SUM('B5'!AI20)</f>
        <v>-653</v>
      </c>
      <c r="AX21" s="279">
        <f t="shared" si="17"/>
        <v>-963.58064516130253</v>
      </c>
      <c r="AY21" s="37">
        <f t="shared" si="38"/>
        <v>-1616.5806451613025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1</v>
      </c>
      <c r="BD21" s="102">
        <v>19222</v>
      </c>
      <c r="BE21" s="14">
        <f>(305/1185)*ELEC!Q20</f>
        <v>1365.6793248946421</v>
      </c>
      <c r="BF21" s="14"/>
      <c r="BG21" s="14" t="e">
        <f>#REF!-BE21</f>
        <v>#REF!</v>
      </c>
      <c r="BH21" s="11"/>
      <c r="BI21">
        <v>8</v>
      </c>
      <c r="BJ21">
        <f t="shared" si="46"/>
        <v>-120.44758064516282</v>
      </c>
      <c r="BK21" s="538">
        <f>GEN!AF18</f>
        <v>0.25855769230772169</v>
      </c>
    </row>
    <row r="22" spans="1:64">
      <c r="A22" s="425">
        <f>ELEC!C20</f>
        <v>44637</v>
      </c>
      <c r="B22">
        <f>'B5'!B21</f>
        <v>235</v>
      </c>
      <c r="C22" s="203">
        <f t="shared" si="18"/>
        <v>5056.2903225806449</v>
      </c>
      <c r="D22">
        <f t="shared" si="19"/>
        <v>235</v>
      </c>
      <c r="E22" s="203">
        <f t="shared" si="18"/>
        <v>5056.2903225806449</v>
      </c>
      <c r="F22">
        <f t="shared" si="20"/>
        <v>235</v>
      </c>
      <c r="G22" s="203">
        <f t="shared" si="1"/>
        <v>5056.2903225806449</v>
      </c>
      <c r="H22" s="203">
        <f t="shared" si="21"/>
        <v>235</v>
      </c>
      <c r="I22" s="203">
        <f t="shared" si="2"/>
        <v>5056.2903225806449</v>
      </c>
      <c r="J22" s="203">
        <f t="shared" si="22"/>
        <v>235</v>
      </c>
      <c r="K22" s="203">
        <f t="shared" si="3"/>
        <v>5056.2903225806449</v>
      </c>
      <c r="L22" s="203">
        <f t="shared" si="23"/>
        <v>235</v>
      </c>
      <c r="M22" s="203">
        <f t="shared" si="4"/>
        <v>5056.2903225806449</v>
      </c>
      <c r="N22" s="203">
        <f t="shared" si="24"/>
        <v>235</v>
      </c>
      <c r="O22" s="203">
        <f t="shared" si="5"/>
        <v>5056.2903225806449</v>
      </c>
      <c r="P22" s="203">
        <f t="shared" si="25"/>
        <v>235</v>
      </c>
      <c r="Q22" s="203">
        <f t="shared" si="6"/>
        <v>5056.2903225806449</v>
      </c>
      <c r="R22" s="203">
        <f t="shared" si="26"/>
        <v>235</v>
      </c>
      <c r="S22" s="203">
        <f t="shared" si="7"/>
        <v>5056.2903225806449</v>
      </c>
      <c r="T22" s="203">
        <f t="shared" si="27"/>
        <v>235</v>
      </c>
      <c r="U22" s="203">
        <f t="shared" si="8"/>
        <v>5056.2903225806449</v>
      </c>
      <c r="V22" s="203">
        <f t="shared" si="28"/>
        <v>235</v>
      </c>
      <c r="W22" s="203">
        <f t="shared" si="9"/>
        <v>5056.2903225806449</v>
      </c>
      <c r="X22" s="35">
        <f t="shared" si="10"/>
        <v>0.75806451612903214</v>
      </c>
      <c r="Y22" s="36">
        <f t="shared" si="29"/>
        <v>55619.193548387091</v>
      </c>
      <c r="Z22" s="203">
        <f>'B5'!C21</f>
        <v>242</v>
      </c>
      <c r="AA22" s="203">
        <f t="shared" si="30"/>
        <v>2420</v>
      </c>
      <c r="AB22" s="203">
        <f t="shared" si="31"/>
        <v>242</v>
      </c>
      <c r="AC22" s="203">
        <f t="shared" si="30"/>
        <v>2420</v>
      </c>
      <c r="AD22" s="203">
        <f t="shared" si="32"/>
        <v>242</v>
      </c>
      <c r="AE22" s="203">
        <f t="shared" si="11"/>
        <v>2420</v>
      </c>
      <c r="AF22" s="203">
        <f t="shared" si="33"/>
        <v>242</v>
      </c>
      <c r="AG22" s="203">
        <f t="shared" si="12"/>
        <v>2420</v>
      </c>
      <c r="AH22" s="203">
        <f t="shared" si="34"/>
        <v>242</v>
      </c>
      <c r="AI22" s="203">
        <f t="shared" si="13"/>
        <v>2420</v>
      </c>
      <c r="AJ22" s="203">
        <f t="shared" si="35"/>
        <v>242</v>
      </c>
      <c r="AK22" s="203">
        <f t="shared" si="14"/>
        <v>2420</v>
      </c>
      <c r="AL22" s="203">
        <f t="shared" si="36"/>
        <v>242</v>
      </c>
      <c r="AM22" s="203">
        <f t="shared" si="15"/>
        <v>2420</v>
      </c>
      <c r="AN22" s="35">
        <f t="shared" si="16"/>
        <v>0.86428571428571432</v>
      </c>
      <c r="AO22" s="36">
        <f t="shared" si="40"/>
        <v>16940</v>
      </c>
      <c r="AQ22" s="223">
        <f t="shared" si="41"/>
        <v>0.78045814293198978</v>
      </c>
      <c r="AR22" s="38">
        <f t="shared" si="37"/>
        <v>72559.193548387091</v>
      </c>
      <c r="AS22" s="197">
        <f t="shared" si="47"/>
        <v>-1479.8064516129089</v>
      </c>
      <c r="AT22" s="340">
        <v>7000</v>
      </c>
      <c r="AU22" s="548">
        <v>0.97</v>
      </c>
      <c r="AV22" s="485">
        <f t="shared" si="43"/>
        <v>0.97</v>
      </c>
      <c r="AW22" s="279">
        <f>-SUM('B5'!AI21)</f>
        <v>-414</v>
      </c>
      <c r="AX22" s="279">
        <f t="shared" si="17"/>
        <v>-1065.8064516129089</v>
      </c>
      <c r="AY22" s="37">
        <f t="shared" si="38"/>
        <v>-1479.8064516129089</v>
      </c>
      <c r="AZ22" s="100">
        <f>ELEC!A20</f>
        <v>0</v>
      </c>
      <c r="BA22" s="118">
        <f>'General information '!D21</f>
        <v>12.5</v>
      </c>
      <c r="BB22" s="378">
        <f>SUM('General information '!E21)</f>
        <v>0.56000000000000005</v>
      </c>
      <c r="BC22" s="3">
        <f t="shared" si="44"/>
        <v>1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-118.42293906810099</v>
      </c>
      <c r="BK22" s="538">
        <f>GEN!AF19</f>
        <v>0.27635416666669244</v>
      </c>
    </row>
    <row r="23" spans="1:64">
      <c r="A23" s="425">
        <f>ELEC!C21</f>
        <v>44638</v>
      </c>
      <c r="B23">
        <f>'B5'!B22</f>
        <v>235</v>
      </c>
      <c r="C23" s="203">
        <f t="shared" si="18"/>
        <v>5056.2903225806449</v>
      </c>
      <c r="D23">
        <f t="shared" si="19"/>
        <v>235</v>
      </c>
      <c r="E23" s="203">
        <f t="shared" si="18"/>
        <v>5056.2903225806449</v>
      </c>
      <c r="F23">
        <f t="shared" si="20"/>
        <v>235</v>
      </c>
      <c r="G23" s="203">
        <f t="shared" si="1"/>
        <v>5056.2903225806449</v>
      </c>
      <c r="H23" s="203">
        <f t="shared" si="21"/>
        <v>235</v>
      </c>
      <c r="I23" s="203">
        <f t="shared" si="2"/>
        <v>5056.2903225806449</v>
      </c>
      <c r="J23" s="203">
        <f t="shared" si="22"/>
        <v>235</v>
      </c>
      <c r="K23" s="203">
        <f t="shared" si="3"/>
        <v>5056.2903225806449</v>
      </c>
      <c r="L23" s="203">
        <f t="shared" si="23"/>
        <v>235</v>
      </c>
      <c r="M23" s="203">
        <f t="shared" si="4"/>
        <v>5056.2903225806449</v>
      </c>
      <c r="N23" s="203">
        <f t="shared" si="24"/>
        <v>235</v>
      </c>
      <c r="O23" s="203">
        <f t="shared" si="5"/>
        <v>5056.2903225806449</v>
      </c>
      <c r="P23" s="203">
        <f t="shared" si="25"/>
        <v>235</v>
      </c>
      <c r="Q23" s="203">
        <f t="shared" si="6"/>
        <v>5056.2903225806449</v>
      </c>
      <c r="R23" s="203">
        <f t="shared" si="26"/>
        <v>235</v>
      </c>
      <c r="S23" s="203">
        <f t="shared" si="7"/>
        <v>5056.2903225806449</v>
      </c>
      <c r="T23" s="203">
        <f t="shared" si="27"/>
        <v>235</v>
      </c>
      <c r="U23" s="203">
        <f t="shared" si="8"/>
        <v>5056.2903225806449</v>
      </c>
      <c r="V23" s="203">
        <f t="shared" si="28"/>
        <v>235</v>
      </c>
      <c r="W23" s="203">
        <f t="shared" si="9"/>
        <v>5056.2903225806449</v>
      </c>
      <c r="X23" s="35">
        <f t="shared" si="10"/>
        <v>0.75806451612903214</v>
      </c>
      <c r="Y23" s="36">
        <f t="shared" si="29"/>
        <v>55619.193548387091</v>
      </c>
      <c r="Z23" s="203">
        <f>'B5'!C22</f>
        <v>242</v>
      </c>
      <c r="AA23" s="203">
        <f t="shared" si="30"/>
        <v>2420</v>
      </c>
      <c r="AB23" s="203">
        <f t="shared" si="31"/>
        <v>242</v>
      </c>
      <c r="AC23" s="203">
        <f t="shared" si="30"/>
        <v>2420</v>
      </c>
      <c r="AD23" s="203">
        <f t="shared" si="32"/>
        <v>242</v>
      </c>
      <c r="AE23" s="203">
        <f t="shared" si="11"/>
        <v>2420</v>
      </c>
      <c r="AF23" s="203">
        <f t="shared" si="33"/>
        <v>242</v>
      </c>
      <c r="AG23" s="203">
        <f t="shared" si="12"/>
        <v>2420</v>
      </c>
      <c r="AH23" s="203">
        <f t="shared" si="34"/>
        <v>242</v>
      </c>
      <c r="AI23" s="203">
        <f t="shared" si="13"/>
        <v>2420</v>
      </c>
      <c r="AJ23" s="203">
        <f t="shared" si="35"/>
        <v>242</v>
      </c>
      <c r="AK23" s="203">
        <f t="shared" si="14"/>
        <v>2420</v>
      </c>
      <c r="AL23" s="203">
        <f t="shared" si="36"/>
        <v>242</v>
      </c>
      <c r="AM23" s="203">
        <f t="shared" si="15"/>
        <v>2420</v>
      </c>
      <c r="AN23" s="35">
        <f t="shared" si="16"/>
        <v>0.86428571428571432</v>
      </c>
      <c r="AO23" s="36">
        <f t="shared" si="40"/>
        <v>16940</v>
      </c>
      <c r="AQ23" s="223">
        <f t="shared" si="41"/>
        <v>0.78045814293198978</v>
      </c>
      <c r="AR23" s="38">
        <f t="shared" si="37"/>
        <v>72559.193548387091</v>
      </c>
      <c r="AS23" s="197">
        <f t="shared" si="47"/>
        <v>0</v>
      </c>
      <c r="AT23" s="340"/>
      <c r="AU23" s="548"/>
      <c r="AV23" s="485">
        <f t="shared" si="43"/>
        <v>0.97</v>
      </c>
      <c r="AW23" s="279">
        <f>-SUM('B5'!AI22)</f>
        <v>0</v>
      </c>
      <c r="AX23" s="279">
        <f t="shared" si="17"/>
        <v>0</v>
      </c>
      <c r="AY23" s="37">
        <f t="shared" si="38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44639</v>
      </c>
      <c r="B24">
        <f>'B5'!B23</f>
        <v>235</v>
      </c>
      <c r="C24" s="203">
        <f t="shared" si="18"/>
        <v>5056.2903225806449</v>
      </c>
      <c r="D24">
        <f t="shared" si="19"/>
        <v>235</v>
      </c>
      <c r="E24" s="203">
        <f t="shared" si="18"/>
        <v>5056.2903225806449</v>
      </c>
      <c r="F24">
        <f t="shared" si="20"/>
        <v>235</v>
      </c>
      <c r="G24" s="203">
        <f t="shared" si="1"/>
        <v>5056.2903225806449</v>
      </c>
      <c r="H24" s="203">
        <f t="shared" si="21"/>
        <v>235</v>
      </c>
      <c r="I24" s="203">
        <f t="shared" si="2"/>
        <v>5056.2903225806449</v>
      </c>
      <c r="J24" s="203">
        <f t="shared" si="22"/>
        <v>235</v>
      </c>
      <c r="K24" s="203">
        <f t="shared" si="3"/>
        <v>5056.2903225806449</v>
      </c>
      <c r="L24" s="203">
        <f t="shared" si="23"/>
        <v>235</v>
      </c>
      <c r="M24" s="203">
        <f t="shared" si="4"/>
        <v>5056.2903225806449</v>
      </c>
      <c r="N24" s="203">
        <f t="shared" si="24"/>
        <v>235</v>
      </c>
      <c r="O24" s="203">
        <f t="shared" si="5"/>
        <v>5056.2903225806449</v>
      </c>
      <c r="P24" s="203">
        <f t="shared" si="25"/>
        <v>235</v>
      </c>
      <c r="Q24" s="203">
        <f t="shared" si="6"/>
        <v>5056.2903225806449</v>
      </c>
      <c r="R24" s="203">
        <f t="shared" si="26"/>
        <v>235</v>
      </c>
      <c r="S24" s="203">
        <f t="shared" si="7"/>
        <v>5056.2903225806449</v>
      </c>
      <c r="T24" s="203">
        <f t="shared" si="27"/>
        <v>235</v>
      </c>
      <c r="U24" s="203">
        <f t="shared" si="8"/>
        <v>5056.2903225806449</v>
      </c>
      <c r="V24" s="203">
        <f t="shared" si="28"/>
        <v>235</v>
      </c>
      <c r="W24" s="203">
        <f t="shared" si="9"/>
        <v>5056.2903225806449</v>
      </c>
      <c r="X24" s="35">
        <f t="shared" si="10"/>
        <v>0.75806451612903214</v>
      </c>
      <c r="Y24" s="36">
        <f t="shared" si="29"/>
        <v>55619.193548387091</v>
      </c>
      <c r="Z24" s="203">
        <f>'B5'!C23</f>
        <v>242</v>
      </c>
      <c r="AA24" s="203">
        <f t="shared" si="30"/>
        <v>2420</v>
      </c>
      <c r="AB24" s="203">
        <f t="shared" si="31"/>
        <v>242</v>
      </c>
      <c r="AC24" s="203">
        <f t="shared" si="30"/>
        <v>2420</v>
      </c>
      <c r="AD24" s="203">
        <f t="shared" si="32"/>
        <v>242</v>
      </c>
      <c r="AE24" s="203">
        <f t="shared" si="11"/>
        <v>2420</v>
      </c>
      <c r="AF24" s="203">
        <f t="shared" si="33"/>
        <v>242</v>
      </c>
      <c r="AG24" s="203">
        <f t="shared" si="12"/>
        <v>2420</v>
      </c>
      <c r="AH24" s="203">
        <f t="shared" si="34"/>
        <v>242</v>
      </c>
      <c r="AI24" s="203">
        <f t="shared" si="13"/>
        <v>2420</v>
      </c>
      <c r="AJ24" s="203">
        <f t="shared" si="35"/>
        <v>242</v>
      </c>
      <c r="AK24" s="203">
        <f t="shared" si="14"/>
        <v>2420</v>
      </c>
      <c r="AL24" s="203">
        <f t="shared" si="36"/>
        <v>242</v>
      </c>
      <c r="AM24" s="203">
        <f t="shared" si="15"/>
        <v>2420</v>
      </c>
      <c r="AN24" s="35">
        <f t="shared" si="16"/>
        <v>0.86428571428571432</v>
      </c>
      <c r="AO24" s="36">
        <f t="shared" si="40"/>
        <v>16940</v>
      </c>
      <c r="AQ24" s="223">
        <f t="shared" si="41"/>
        <v>0.78045814293198978</v>
      </c>
      <c r="AR24" s="38">
        <f t="shared" si="37"/>
        <v>72559.193548387091</v>
      </c>
      <c r="AS24" s="197">
        <f t="shared" si="47"/>
        <v>0</v>
      </c>
      <c r="AT24" s="340"/>
      <c r="AU24" s="548"/>
      <c r="AV24" s="485">
        <f t="shared" si="43"/>
        <v>0.97</v>
      </c>
      <c r="AW24" s="279">
        <f>-SUM('B5'!AI23)</f>
        <v>0</v>
      </c>
      <c r="AX24" s="279">
        <f t="shared" si="17"/>
        <v>0</v>
      </c>
      <c r="AY24" s="37">
        <f t="shared" si="38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1343.8016877640653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44640</v>
      </c>
      <c r="B25">
        <f>'B5'!B24</f>
        <v>239</v>
      </c>
      <c r="C25" s="203">
        <f t="shared" si="18"/>
        <v>5142.3548387096771</v>
      </c>
      <c r="D25">
        <f t="shared" si="19"/>
        <v>239</v>
      </c>
      <c r="E25" s="203">
        <f t="shared" si="18"/>
        <v>5142.3548387096771</v>
      </c>
      <c r="F25">
        <f t="shared" si="20"/>
        <v>239</v>
      </c>
      <c r="G25" s="203">
        <f t="shared" si="1"/>
        <v>5142.3548387096771</v>
      </c>
      <c r="H25" s="203">
        <f t="shared" si="21"/>
        <v>239</v>
      </c>
      <c r="I25" s="203">
        <f t="shared" si="2"/>
        <v>5142.3548387096771</v>
      </c>
      <c r="J25" s="203">
        <f t="shared" si="22"/>
        <v>239</v>
      </c>
      <c r="K25" s="203">
        <f t="shared" si="3"/>
        <v>5142.3548387096771</v>
      </c>
      <c r="L25" s="203">
        <f t="shared" si="23"/>
        <v>239</v>
      </c>
      <c r="M25" s="203">
        <f t="shared" si="4"/>
        <v>5142.3548387096771</v>
      </c>
      <c r="N25" s="203">
        <f t="shared" si="24"/>
        <v>239</v>
      </c>
      <c r="O25" s="203">
        <f t="shared" si="5"/>
        <v>5142.3548387096771</v>
      </c>
      <c r="P25" s="203">
        <f t="shared" si="25"/>
        <v>239</v>
      </c>
      <c r="Q25" s="203">
        <f t="shared" si="6"/>
        <v>5142.3548387096771</v>
      </c>
      <c r="R25" s="203">
        <f t="shared" si="26"/>
        <v>239</v>
      </c>
      <c r="S25" s="203">
        <f t="shared" si="7"/>
        <v>5142.3548387096771</v>
      </c>
      <c r="T25" s="203">
        <f t="shared" si="27"/>
        <v>239</v>
      </c>
      <c r="U25" s="203">
        <f t="shared" si="8"/>
        <v>5142.3548387096771</v>
      </c>
      <c r="V25" s="203">
        <f t="shared" si="28"/>
        <v>239</v>
      </c>
      <c r="W25" s="203">
        <f t="shared" si="9"/>
        <v>5142.3548387096771</v>
      </c>
      <c r="X25" s="35">
        <f t="shared" si="10"/>
        <v>0.77096774193548367</v>
      </c>
      <c r="Y25" s="36">
        <f t="shared" si="29"/>
        <v>56565.90322580644</v>
      </c>
      <c r="Z25" s="203">
        <f>'B5'!C24</f>
        <v>246</v>
      </c>
      <c r="AA25" s="203">
        <f t="shared" si="30"/>
        <v>2460</v>
      </c>
      <c r="AB25" s="203">
        <f t="shared" si="31"/>
        <v>246</v>
      </c>
      <c r="AC25" s="203">
        <f t="shared" si="30"/>
        <v>2460</v>
      </c>
      <c r="AD25" s="203">
        <f t="shared" si="32"/>
        <v>246</v>
      </c>
      <c r="AE25" s="203">
        <f t="shared" si="11"/>
        <v>2460</v>
      </c>
      <c r="AF25" s="203">
        <f t="shared" si="33"/>
        <v>246</v>
      </c>
      <c r="AG25" s="203">
        <f t="shared" si="12"/>
        <v>2460</v>
      </c>
      <c r="AH25" s="203">
        <f t="shared" si="34"/>
        <v>246</v>
      </c>
      <c r="AI25" s="203">
        <f t="shared" si="13"/>
        <v>2460</v>
      </c>
      <c r="AJ25" s="203">
        <f t="shared" si="35"/>
        <v>246</v>
      </c>
      <c r="AK25" s="203">
        <f t="shared" si="14"/>
        <v>2460</v>
      </c>
      <c r="AL25" s="203">
        <f t="shared" si="36"/>
        <v>246</v>
      </c>
      <c r="AM25" s="203">
        <f t="shared" si="15"/>
        <v>2460</v>
      </c>
      <c r="AN25" s="35">
        <f t="shared" si="16"/>
        <v>0.87857142857142856</v>
      </c>
      <c r="AO25" s="36">
        <f t="shared" si="40"/>
        <v>17220</v>
      </c>
      <c r="AQ25" s="223">
        <f t="shared" si="41"/>
        <v>0.79365282592025854</v>
      </c>
      <c r="AR25" s="38">
        <f>Y25+AO25</f>
        <v>73785.90322580644</v>
      </c>
      <c r="AS25" s="197">
        <f t="shared" si="47"/>
        <v>-1723.2903225806513</v>
      </c>
      <c r="AT25" s="340">
        <v>2950</v>
      </c>
      <c r="AU25" s="549">
        <v>0.98499999999999999</v>
      </c>
      <c r="AV25" s="485">
        <f t="shared" si="43"/>
        <v>0.98499999999999999</v>
      </c>
      <c r="AW25" s="279">
        <f>-SUM('B5'!AI24)</f>
        <v>-426</v>
      </c>
      <c r="AX25" s="279">
        <f t="shared" si="17"/>
        <v>-1297.2903225806513</v>
      </c>
      <c r="AY25" s="37">
        <f t="shared" si="38"/>
        <v>-1723.2903225806513</v>
      </c>
      <c r="AZ25" s="100">
        <f>ELEC!A23</f>
        <v>0</v>
      </c>
      <c r="BA25" s="118">
        <f>'General information '!D24</f>
        <v>10</v>
      </c>
      <c r="BB25" s="378">
        <f>SUM('General information '!E24)</f>
        <v>0.37</v>
      </c>
      <c r="BC25" s="3">
        <f t="shared" si="44"/>
        <v>1</v>
      </c>
      <c r="BD25" s="102">
        <v>19222</v>
      </c>
      <c r="BE25" s="14">
        <f>(305/1185)*ELEC!Q24</f>
        <v>1194.0042194090806</v>
      </c>
      <c r="BF25" s="14"/>
      <c r="BG25" s="14" t="e">
        <f>#REF!-BE25</f>
        <v>#REF!</v>
      </c>
      <c r="BH25" s="11"/>
      <c r="BI25">
        <v>12</v>
      </c>
      <c r="BJ25">
        <f t="shared" si="46"/>
        <v>-108.10752688172094</v>
      </c>
      <c r="BK25" s="538">
        <f>GEN!AF22</f>
        <v>0.29664772727280497</v>
      </c>
    </row>
    <row r="26" spans="1:64">
      <c r="A26" s="425">
        <f>ELEC!C24</f>
        <v>44641</v>
      </c>
      <c r="B26">
        <f>'B5'!B25</f>
        <v>231</v>
      </c>
      <c r="C26" s="203">
        <f t="shared" si="18"/>
        <v>4970.2258064516127</v>
      </c>
      <c r="D26">
        <f t="shared" si="19"/>
        <v>231</v>
      </c>
      <c r="E26" s="203">
        <f t="shared" si="18"/>
        <v>4970.2258064516127</v>
      </c>
      <c r="F26">
        <f t="shared" si="20"/>
        <v>231</v>
      </c>
      <c r="G26" s="203">
        <f t="shared" si="1"/>
        <v>4970.2258064516127</v>
      </c>
      <c r="H26" s="203">
        <f t="shared" si="21"/>
        <v>231</v>
      </c>
      <c r="I26" s="203">
        <f t="shared" si="2"/>
        <v>4970.2258064516127</v>
      </c>
      <c r="J26" s="203">
        <f t="shared" si="22"/>
        <v>231</v>
      </c>
      <c r="K26" s="203">
        <f t="shared" si="3"/>
        <v>4970.2258064516127</v>
      </c>
      <c r="L26" s="203">
        <f t="shared" si="23"/>
        <v>231</v>
      </c>
      <c r="M26" s="203">
        <f t="shared" si="4"/>
        <v>4970.2258064516127</v>
      </c>
      <c r="N26" s="203">
        <f t="shared" si="24"/>
        <v>231</v>
      </c>
      <c r="O26" s="203">
        <f t="shared" si="5"/>
        <v>4970.2258064516127</v>
      </c>
      <c r="P26" s="203">
        <f t="shared" si="25"/>
        <v>231</v>
      </c>
      <c r="Q26" s="203">
        <f t="shared" si="6"/>
        <v>4970.2258064516127</v>
      </c>
      <c r="R26" s="203">
        <f t="shared" si="26"/>
        <v>231</v>
      </c>
      <c r="S26" s="203">
        <f t="shared" si="7"/>
        <v>4970.2258064516127</v>
      </c>
      <c r="T26" s="203">
        <f t="shared" si="27"/>
        <v>231</v>
      </c>
      <c r="U26" s="203">
        <f t="shared" si="8"/>
        <v>4970.2258064516127</v>
      </c>
      <c r="V26" s="203">
        <f t="shared" si="28"/>
        <v>231</v>
      </c>
      <c r="W26" s="203">
        <f t="shared" si="9"/>
        <v>4970.2258064516127</v>
      </c>
      <c r="X26" s="35">
        <f t="shared" si="10"/>
        <v>0.74516129032258061</v>
      </c>
      <c r="Y26" s="36">
        <f t="shared" si="29"/>
        <v>54672.483870967742</v>
      </c>
      <c r="Z26" s="203">
        <f>'B5'!C25</f>
        <v>238</v>
      </c>
      <c r="AA26" s="203">
        <f t="shared" si="30"/>
        <v>2380</v>
      </c>
      <c r="AB26" s="203">
        <f t="shared" si="31"/>
        <v>238</v>
      </c>
      <c r="AC26" s="203">
        <f t="shared" si="30"/>
        <v>2380</v>
      </c>
      <c r="AD26" s="203">
        <f t="shared" si="32"/>
        <v>238</v>
      </c>
      <c r="AE26" s="203">
        <f t="shared" si="11"/>
        <v>2380</v>
      </c>
      <c r="AF26" s="203">
        <f t="shared" si="33"/>
        <v>238</v>
      </c>
      <c r="AG26" s="203">
        <f t="shared" si="12"/>
        <v>2380</v>
      </c>
      <c r="AH26" s="203">
        <f t="shared" si="34"/>
        <v>238</v>
      </c>
      <c r="AI26" s="203">
        <f t="shared" si="13"/>
        <v>2380</v>
      </c>
      <c r="AJ26" s="203">
        <f t="shared" si="35"/>
        <v>238</v>
      </c>
      <c r="AK26" s="203">
        <f t="shared" si="14"/>
        <v>2380</v>
      </c>
      <c r="AL26" s="203">
        <f t="shared" si="36"/>
        <v>238</v>
      </c>
      <c r="AM26" s="203">
        <f t="shared" si="15"/>
        <v>2380</v>
      </c>
      <c r="AN26" s="35">
        <f t="shared" si="16"/>
        <v>0.85</v>
      </c>
      <c r="AO26" s="36">
        <f t="shared" si="40"/>
        <v>16660</v>
      </c>
      <c r="AQ26" s="223">
        <f t="shared" si="41"/>
        <v>0.76726345994372103</v>
      </c>
      <c r="AR26" s="38">
        <f>Y26+AO26</f>
        <v>71332.483870967742</v>
      </c>
      <c r="AS26" s="197">
        <f t="shared" si="47"/>
        <v>-2453.4193548386975</v>
      </c>
      <c r="AT26" s="340"/>
      <c r="AU26" s="548"/>
      <c r="AV26" s="485">
        <f t="shared" si="43"/>
        <v>0.98499999999999999</v>
      </c>
      <c r="AW26" s="279">
        <f>-SUM('B5'!AI25)</f>
        <v>-452</v>
      </c>
      <c r="AX26" s="279">
        <f t="shared" si="17"/>
        <v>-2001.4193548386975</v>
      </c>
      <c r="AY26" s="37">
        <f t="shared" si="38"/>
        <v>-2453.4193548386975</v>
      </c>
      <c r="AZ26" s="100">
        <f>ELEC!A24</f>
        <v>0</v>
      </c>
      <c r="BA26" s="118">
        <f>'General information '!D25</f>
        <v>11</v>
      </c>
      <c r="BB26" s="378">
        <f>SUM('General information '!E25)</f>
        <v>0.46</v>
      </c>
      <c r="BC26" s="3">
        <f t="shared" si="44"/>
        <v>0</v>
      </c>
      <c r="BD26" s="102">
        <v>19222</v>
      </c>
      <c r="BE26" s="14">
        <f>(305/1185)*ELEC!Q25</f>
        <v>1282.2869198312162</v>
      </c>
      <c r="BF26" s="14"/>
      <c r="BG26" s="14" t="e">
        <f>#REF!-BE26</f>
        <v>#REF!</v>
      </c>
      <c r="BH26" s="11"/>
      <c r="BI26">
        <v>13</v>
      </c>
      <c r="BJ26">
        <f t="shared" si="46"/>
        <v>-153.95533498759212</v>
      </c>
      <c r="BK26" s="538">
        <f>GEN!AF23</f>
        <v>0.28993749999995089</v>
      </c>
    </row>
    <row r="27" spans="1:64">
      <c r="A27" s="425">
        <f>ELEC!C25</f>
        <v>44642</v>
      </c>
      <c r="B27">
        <f>'B5'!B26</f>
        <v>225</v>
      </c>
      <c r="C27" s="203">
        <f t="shared" si="18"/>
        <v>4841.1290322580644</v>
      </c>
      <c r="D27">
        <f t="shared" si="19"/>
        <v>225</v>
      </c>
      <c r="E27" s="203">
        <f t="shared" si="18"/>
        <v>4841.1290322580644</v>
      </c>
      <c r="F27">
        <f t="shared" si="20"/>
        <v>225</v>
      </c>
      <c r="G27" s="203">
        <f t="shared" si="1"/>
        <v>4841.1290322580644</v>
      </c>
      <c r="H27" s="203">
        <f t="shared" si="21"/>
        <v>225</v>
      </c>
      <c r="I27" s="203">
        <f t="shared" si="2"/>
        <v>4841.1290322580644</v>
      </c>
      <c r="J27" s="203">
        <f t="shared" si="22"/>
        <v>225</v>
      </c>
      <c r="K27" s="203">
        <f t="shared" si="3"/>
        <v>4841.1290322580644</v>
      </c>
      <c r="L27" s="203">
        <f t="shared" si="23"/>
        <v>225</v>
      </c>
      <c r="M27" s="203">
        <f t="shared" si="4"/>
        <v>4841.1290322580644</v>
      </c>
      <c r="N27" s="203">
        <f t="shared" si="24"/>
        <v>225</v>
      </c>
      <c r="O27" s="203">
        <f t="shared" si="5"/>
        <v>4841.1290322580644</v>
      </c>
      <c r="P27" s="203">
        <f t="shared" si="25"/>
        <v>225</v>
      </c>
      <c r="Q27" s="203">
        <f t="shared" si="6"/>
        <v>4841.1290322580644</v>
      </c>
      <c r="R27" s="203">
        <f t="shared" si="26"/>
        <v>225</v>
      </c>
      <c r="S27" s="203">
        <f t="shared" si="7"/>
        <v>4841.1290322580644</v>
      </c>
      <c r="T27" s="203">
        <f t="shared" si="27"/>
        <v>225</v>
      </c>
      <c r="U27" s="203">
        <f t="shared" si="8"/>
        <v>4841.1290322580644</v>
      </c>
      <c r="V27" s="203">
        <f t="shared" si="28"/>
        <v>225</v>
      </c>
      <c r="W27" s="203">
        <f t="shared" si="9"/>
        <v>4841.1290322580644</v>
      </c>
      <c r="X27" s="35">
        <f t="shared" si="10"/>
        <v>0.72580645161290303</v>
      </c>
      <c r="Y27" s="36">
        <f t="shared" si="29"/>
        <v>53252.419354838697</v>
      </c>
      <c r="Z27" s="203">
        <f>'B5'!C26</f>
        <v>231</v>
      </c>
      <c r="AA27" s="203">
        <f t="shared" si="30"/>
        <v>2310</v>
      </c>
      <c r="AB27" s="203">
        <f t="shared" si="31"/>
        <v>231</v>
      </c>
      <c r="AC27" s="203">
        <f t="shared" si="30"/>
        <v>2310</v>
      </c>
      <c r="AD27" s="203">
        <f t="shared" si="32"/>
        <v>231</v>
      </c>
      <c r="AE27" s="203">
        <f t="shared" si="11"/>
        <v>2310</v>
      </c>
      <c r="AF27" s="203">
        <f t="shared" si="33"/>
        <v>231</v>
      </c>
      <c r="AG27" s="203">
        <f t="shared" si="12"/>
        <v>2310</v>
      </c>
      <c r="AH27" s="203">
        <f t="shared" si="34"/>
        <v>231</v>
      </c>
      <c r="AI27" s="203">
        <f t="shared" si="13"/>
        <v>2310</v>
      </c>
      <c r="AJ27" s="203">
        <f t="shared" si="35"/>
        <v>231</v>
      </c>
      <c r="AK27" s="203">
        <f t="shared" si="14"/>
        <v>2310</v>
      </c>
      <c r="AL27" s="203">
        <f t="shared" si="36"/>
        <v>231</v>
      </c>
      <c r="AM27" s="203">
        <f t="shared" si="15"/>
        <v>2310</v>
      </c>
      <c r="AN27" s="35">
        <f t="shared" si="16"/>
        <v>0.82499999999999996</v>
      </c>
      <c r="AO27" s="36">
        <f t="shared" si="40"/>
        <v>16170</v>
      </c>
      <c r="AQ27" s="223">
        <f t="shared" si="41"/>
        <v>0.7467185044082898</v>
      </c>
      <c r="AR27" s="38">
        <f t="shared" si="37"/>
        <v>69422.419354838697</v>
      </c>
      <c r="AS27" s="197">
        <f t="shared" si="47"/>
        <v>-1910.0645161290449</v>
      </c>
      <c r="AT27" s="340"/>
      <c r="AU27" s="548"/>
      <c r="AV27" s="485">
        <f t="shared" si="43"/>
        <v>0.98499999999999999</v>
      </c>
      <c r="AW27" s="279">
        <f>-SUM('B5'!AI26)</f>
        <v>-348</v>
      </c>
      <c r="AX27" s="279">
        <f t="shared" si="17"/>
        <v>-1562.0645161290449</v>
      </c>
      <c r="AY27" s="37">
        <f t="shared" si="38"/>
        <v>-1910.0645161290449</v>
      </c>
      <c r="AZ27" s="100">
        <f>ELEC!A25</f>
        <v>0</v>
      </c>
      <c r="BA27" s="118">
        <f>'General information '!D26</f>
        <v>13</v>
      </c>
      <c r="BB27" s="378">
        <f>SUM('General information '!E26)</f>
        <v>0.54</v>
      </c>
      <c r="BC27" s="3">
        <f t="shared" si="44"/>
        <v>0</v>
      </c>
      <c r="BD27" s="102">
        <v>19222</v>
      </c>
      <c r="BE27" s="14">
        <f>(305/1185)*ELEC!Q26</f>
        <v>1407.118143460058</v>
      </c>
      <c r="BF27" s="14"/>
      <c r="BG27" s="14" t="e">
        <f>#REF!-BE27</f>
        <v>#REF!</v>
      </c>
      <c r="BH27" s="11"/>
      <c r="BI27">
        <v>14</v>
      </c>
      <c r="BJ27">
        <f t="shared" si="46"/>
        <v>-111.57603686636035</v>
      </c>
      <c r="BK27" s="538">
        <f>GEN!AF24</f>
        <v>0.31137499999999818</v>
      </c>
    </row>
    <row r="28" spans="1:64">
      <c r="A28" s="425">
        <f>ELEC!C26</f>
        <v>44643</v>
      </c>
      <c r="B28">
        <f>'B5'!B27</f>
        <v>235</v>
      </c>
      <c r="C28" s="203">
        <f t="shared" si="18"/>
        <v>5056.2903225806449</v>
      </c>
      <c r="D28">
        <f t="shared" si="19"/>
        <v>235</v>
      </c>
      <c r="E28" s="203">
        <f t="shared" si="18"/>
        <v>5056.2903225806449</v>
      </c>
      <c r="F28">
        <f t="shared" si="20"/>
        <v>235</v>
      </c>
      <c r="G28" s="203">
        <f t="shared" si="1"/>
        <v>5056.2903225806449</v>
      </c>
      <c r="H28" s="203">
        <f t="shared" si="21"/>
        <v>235</v>
      </c>
      <c r="I28" s="203">
        <f t="shared" si="2"/>
        <v>5056.2903225806449</v>
      </c>
      <c r="J28" s="203">
        <f t="shared" si="22"/>
        <v>235</v>
      </c>
      <c r="K28" s="203">
        <f t="shared" si="3"/>
        <v>5056.2903225806449</v>
      </c>
      <c r="L28" s="203">
        <f t="shared" si="23"/>
        <v>235</v>
      </c>
      <c r="M28" s="203">
        <f t="shared" si="4"/>
        <v>5056.2903225806449</v>
      </c>
      <c r="N28" s="203">
        <f t="shared" si="24"/>
        <v>235</v>
      </c>
      <c r="O28" s="203">
        <f t="shared" si="5"/>
        <v>5056.2903225806449</v>
      </c>
      <c r="P28" s="203">
        <f t="shared" si="25"/>
        <v>235</v>
      </c>
      <c r="Q28" s="203">
        <f t="shared" si="6"/>
        <v>5056.2903225806449</v>
      </c>
      <c r="R28" s="203">
        <f t="shared" si="26"/>
        <v>235</v>
      </c>
      <c r="S28" s="203">
        <f t="shared" si="7"/>
        <v>5056.2903225806449</v>
      </c>
      <c r="T28" s="203">
        <f t="shared" si="27"/>
        <v>235</v>
      </c>
      <c r="U28" s="203">
        <f t="shared" si="8"/>
        <v>5056.2903225806449</v>
      </c>
      <c r="V28" s="203">
        <f t="shared" si="28"/>
        <v>235</v>
      </c>
      <c r="W28" s="203">
        <f t="shared" si="9"/>
        <v>5056.2903225806449</v>
      </c>
      <c r="X28" s="35">
        <f t="shared" si="10"/>
        <v>0.75806451612903214</v>
      </c>
      <c r="Y28" s="36">
        <f t="shared" si="29"/>
        <v>55619.193548387091</v>
      </c>
      <c r="Z28" s="203">
        <f>'B5'!C27</f>
        <v>243</v>
      </c>
      <c r="AA28" s="203">
        <f t="shared" si="30"/>
        <v>2430</v>
      </c>
      <c r="AB28" s="203">
        <f t="shared" si="31"/>
        <v>243</v>
      </c>
      <c r="AC28" s="203">
        <f t="shared" si="30"/>
        <v>2430</v>
      </c>
      <c r="AD28" s="203">
        <f t="shared" si="32"/>
        <v>243</v>
      </c>
      <c r="AE28" s="203">
        <f t="shared" si="11"/>
        <v>2430</v>
      </c>
      <c r="AF28" s="203">
        <f t="shared" si="33"/>
        <v>243</v>
      </c>
      <c r="AG28" s="203">
        <f t="shared" si="12"/>
        <v>2430</v>
      </c>
      <c r="AH28" s="203">
        <f t="shared" si="34"/>
        <v>243</v>
      </c>
      <c r="AI28" s="203">
        <f t="shared" si="13"/>
        <v>2430</v>
      </c>
      <c r="AJ28" s="203">
        <f t="shared" si="35"/>
        <v>243</v>
      </c>
      <c r="AK28" s="203">
        <f t="shared" si="14"/>
        <v>2430</v>
      </c>
      <c r="AL28" s="203">
        <f t="shared" si="36"/>
        <v>243</v>
      </c>
      <c r="AM28" s="203">
        <f t="shared" si="15"/>
        <v>2430</v>
      </c>
      <c r="AN28" s="35">
        <f t="shared" si="16"/>
        <v>0.86785714285714288</v>
      </c>
      <c r="AO28" s="36">
        <f t="shared" si="40"/>
        <v>17010</v>
      </c>
      <c r="AQ28" s="223">
        <f t="shared" si="41"/>
        <v>0.78121107398501766</v>
      </c>
      <c r="AR28" s="38">
        <f t="shared" si="37"/>
        <v>72629.193548387091</v>
      </c>
      <c r="AS28" s="197">
        <f t="shared" si="47"/>
        <v>-1863.2258064516063</v>
      </c>
      <c r="AT28" s="340">
        <v>5070</v>
      </c>
      <c r="AU28" s="549">
        <v>1.026</v>
      </c>
      <c r="AV28" s="485">
        <f t="shared" si="43"/>
        <v>1.026</v>
      </c>
      <c r="AW28" s="279">
        <f>-SUM('B5'!AI27)</f>
        <v>-378</v>
      </c>
      <c r="AX28" s="279">
        <f t="shared" si="17"/>
        <v>-1485.2258064516063</v>
      </c>
      <c r="AY28" s="37">
        <f t="shared" si="38"/>
        <v>-1863.2258064516063</v>
      </c>
      <c r="AZ28" s="100">
        <f>ELEC!A26</f>
        <v>0</v>
      </c>
      <c r="BA28" s="118">
        <f>'General information '!D27</f>
        <v>12</v>
      </c>
      <c r="BB28" s="378">
        <f>SUM('General information '!E27)</f>
        <v>0.56000000000000005</v>
      </c>
      <c r="BC28" s="3">
        <f t="shared" si="44"/>
        <v>1</v>
      </c>
      <c r="BD28" s="102">
        <v>19222</v>
      </c>
      <c r="BE28" s="14">
        <f>(305/1185)*ELEC!Q27</f>
        <v>1329.9029535858913</v>
      </c>
      <c r="BF28" s="14"/>
      <c r="BG28" s="14" t="e">
        <f>#REF!-BE28</f>
        <v>#REF!</v>
      </c>
      <c r="BH28" s="11"/>
      <c r="BI28">
        <v>15</v>
      </c>
      <c r="BJ28">
        <f t="shared" si="46"/>
        <v>-99.01505376344042</v>
      </c>
      <c r="BK28" s="538">
        <f>GEN!AF25</f>
        <v>0.3106250000000314</v>
      </c>
    </row>
    <row r="29" spans="1:64">
      <c r="A29" s="425">
        <f>ELEC!C27</f>
        <v>44644</v>
      </c>
      <c r="B29">
        <f>'B5'!B28</f>
        <v>229</v>
      </c>
      <c r="C29" s="203">
        <f t="shared" si="18"/>
        <v>4927.1935483870966</v>
      </c>
      <c r="D29">
        <f t="shared" si="19"/>
        <v>229</v>
      </c>
      <c r="E29" s="203">
        <f t="shared" si="18"/>
        <v>4927.1935483870966</v>
      </c>
      <c r="F29">
        <f t="shared" si="20"/>
        <v>229</v>
      </c>
      <c r="G29" s="203">
        <f t="shared" si="1"/>
        <v>4927.1935483870966</v>
      </c>
      <c r="H29" s="203">
        <f t="shared" si="21"/>
        <v>229</v>
      </c>
      <c r="I29" s="203">
        <f t="shared" si="2"/>
        <v>4927.1935483870966</v>
      </c>
      <c r="J29" s="203">
        <f t="shared" si="22"/>
        <v>229</v>
      </c>
      <c r="K29" s="203">
        <f t="shared" si="3"/>
        <v>4927.1935483870966</v>
      </c>
      <c r="L29" s="203">
        <f t="shared" si="23"/>
        <v>229</v>
      </c>
      <c r="M29" s="203">
        <f t="shared" si="4"/>
        <v>4927.1935483870966</v>
      </c>
      <c r="N29" s="203">
        <f t="shared" si="24"/>
        <v>229</v>
      </c>
      <c r="O29" s="203">
        <f t="shared" si="5"/>
        <v>4927.1935483870966</v>
      </c>
      <c r="P29" s="203">
        <f t="shared" si="25"/>
        <v>229</v>
      </c>
      <c r="Q29" s="203">
        <f t="shared" si="6"/>
        <v>4927.1935483870966</v>
      </c>
      <c r="R29" s="203">
        <f t="shared" si="26"/>
        <v>229</v>
      </c>
      <c r="S29" s="203">
        <f t="shared" si="7"/>
        <v>4927.1935483870966</v>
      </c>
      <c r="T29" s="203">
        <f t="shared" si="27"/>
        <v>229</v>
      </c>
      <c r="U29" s="203">
        <f t="shared" si="8"/>
        <v>4927.1935483870966</v>
      </c>
      <c r="V29" s="203">
        <f t="shared" si="28"/>
        <v>229</v>
      </c>
      <c r="W29" s="203">
        <f t="shared" si="9"/>
        <v>4927.1935483870966</v>
      </c>
      <c r="X29" s="35">
        <f t="shared" si="10"/>
        <v>0.738709677419355</v>
      </c>
      <c r="Y29" s="36">
        <f t="shared" si="29"/>
        <v>54199.129032258075</v>
      </c>
      <c r="Z29" s="203">
        <f>'B5'!C28</f>
        <v>236</v>
      </c>
      <c r="AA29" s="203">
        <f t="shared" si="30"/>
        <v>2360</v>
      </c>
      <c r="AB29" s="203">
        <f t="shared" si="31"/>
        <v>236</v>
      </c>
      <c r="AC29" s="203">
        <f t="shared" si="30"/>
        <v>2360</v>
      </c>
      <c r="AD29" s="203">
        <f t="shared" si="32"/>
        <v>236</v>
      </c>
      <c r="AE29" s="203">
        <f t="shared" si="11"/>
        <v>2360</v>
      </c>
      <c r="AF29" s="203">
        <f t="shared" si="33"/>
        <v>236</v>
      </c>
      <c r="AG29" s="203">
        <f t="shared" si="12"/>
        <v>2360</v>
      </c>
      <c r="AH29" s="203">
        <f t="shared" si="34"/>
        <v>236</v>
      </c>
      <c r="AI29" s="203">
        <f t="shared" si="13"/>
        <v>2360</v>
      </c>
      <c r="AJ29" s="203">
        <f t="shared" si="35"/>
        <v>236</v>
      </c>
      <c r="AK29" s="203">
        <f t="shared" si="14"/>
        <v>2360</v>
      </c>
      <c r="AL29" s="203">
        <f t="shared" si="36"/>
        <v>236</v>
      </c>
      <c r="AM29" s="203">
        <f t="shared" si="15"/>
        <v>2360</v>
      </c>
      <c r="AN29" s="35">
        <f t="shared" si="16"/>
        <v>0.84285714285714286</v>
      </c>
      <c r="AO29" s="36">
        <f t="shared" si="40"/>
        <v>16520</v>
      </c>
      <c r="AQ29" s="223">
        <f t="shared" si="41"/>
        <v>0.76066611844958665</v>
      </c>
      <c r="AR29" s="38">
        <f t="shared" si="37"/>
        <v>70719.129032258075</v>
      </c>
      <c r="AS29" s="197">
        <f>SUM(AR29-AR28-AT29)</f>
        <v>-1910.0645161290158</v>
      </c>
      <c r="AT29" s="340"/>
      <c r="AU29" s="549"/>
      <c r="AV29" s="485">
        <f t="shared" si="43"/>
        <v>1.026</v>
      </c>
      <c r="AW29" s="279">
        <f>-SUM('B5'!AI28)</f>
        <v>-393</v>
      </c>
      <c r="AX29" s="279">
        <f t="shared" si="17"/>
        <v>-1517.0645161290158</v>
      </c>
      <c r="AY29" s="37">
        <f t="shared" si="38"/>
        <v>-1910.0645161290158</v>
      </c>
      <c r="AZ29" s="100">
        <f>ELEC!A27</f>
        <v>0</v>
      </c>
      <c r="BA29" s="118">
        <f>'General information '!D28</f>
        <v>11</v>
      </c>
      <c r="BB29" s="378">
        <f>SUM('General information '!E28)</f>
        <v>0.74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-94.816532258063489</v>
      </c>
      <c r="BK29" s="538">
        <f>GEN!AF26</f>
        <v>0.32293749999985266</v>
      </c>
    </row>
    <row r="30" spans="1:64">
      <c r="A30" s="425">
        <f>ELEC!C28</f>
        <v>44645</v>
      </c>
      <c r="B30">
        <f>'B5'!B29</f>
        <v>229</v>
      </c>
      <c r="C30" s="203">
        <f t="shared" si="18"/>
        <v>4927.1935483870966</v>
      </c>
      <c r="D30">
        <f>SUM(B30)</f>
        <v>229</v>
      </c>
      <c r="E30" s="203">
        <f t="shared" si="18"/>
        <v>4927.1935483870966</v>
      </c>
      <c r="F30">
        <f>SUM(D30)</f>
        <v>229</v>
      </c>
      <c r="G30" s="203">
        <f t="shared" si="1"/>
        <v>4927.1935483870966</v>
      </c>
      <c r="H30" s="203">
        <f>SUM(F30)</f>
        <v>229</v>
      </c>
      <c r="I30" s="203">
        <f t="shared" si="2"/>
        <v>4927.1935483870966</v>
      </c>
      <c r="J30" s="203">
        <f>SUM(H30)</f>
        <v>229</v>
      </c>
      <c r="K30" s="203">
        <f t="shared" si="3"/>
        <v>4927.1935483870966</v>
      </c>
      <c r="L30" s="203">
        <f>SUM(J30)</f>
        <v>229</v>
      </c>
      <c r="M30" s="203">
        <f t="shared" si="4"/>
        <v>4927.1935483870966</v>
      </c>
      <c r="N30" s="203">
        <f>SUM(L30)</f>
        <v>229</v>
      </c>
      <c r="O30" s="203">
        <f t="shared" si="5"/>
        <v>4927.1935483870966</v>
      </c>
      <c r="P30" s="203">
        <f>SUM(N30)</f>
        <v>229</v>
      </c>
      <c r="Q30" s="203">
        <f t="shared" si="6"/>
        <v>4927.1935483870966</v>
      </c>
      <c r="R30" s="203">
        <f>SUM(P30)</f>
        <v>229</v>
      </c>
      <c r="S30" s="203">
        <f t="shared" si="7"/>
        <v>4927.1935483870966</v>
      </c>
      <c r="T30" s="203">
        <f>SUM(R30)</f>
        <v>229</v>
      </c>
      <c r="U30" s="203">
        <f t="shared" si="8"/>
        <v>4927.1935483870966</v>
      </c>
      <c r="V30" s="203">
        <f>SUM(T30)</f>
        <v>229</v>
      </c>
      <c r="W30" s="203">
        <f t="shared" si="9"/>
        <v>4927.1935483870966</v>
      </c>
      <c r="X30" s="35">
        <f>SUM(Y30/73370)</f>
        <v>0.738709677419355</v>
      </c>
      <c r="Y30" s="36">
        <f>SUM(C30+E30+G30+I30+K30+M30+O30+Q30+S30+U30+W30)</f>
        <v>54199.129032258075</v>
      </c>
      <c r="Z30" s="203">
        <f>'B5'!C29</f>
        <v>236</v>
      </c>
      <c r="AA30" s="203">
        <f t="shared" si="30"/>
        <v>2360</v>
      </c>
      <c r="AB30" s="203">
        <f>SUM(Z30)</f>
        <v>236</v>
      </c>
      <c r="AC30" s="203">
        <f t="shared" si="30"/>
        <v>2360</v>
      </c>
      <c r="AD30" s="203">
        <f>SUM(AB30)</f>
        <v>236</v>
      </c>
      <c r="AE30" s="203">
        <f t="shared" si="11"/>
        <v>2360</v>
      </c>
      <c r="AF30" s="203">
        <f>SUM(AD30)</f>
        <v>236</v>
      </c>
      <c r="AG30" s="203">
        <f t="shared" si="12"/>
        <v>2360</v>
      </c>
      <c r="AH30" s="203">
        <f>SUM(AF30)</f>
        <v>236</v>
      </c>
      <c r="AI30" s="203">
        <f t="shared" si="13"/>
        <v>2360</v>
      </c>
      <c r="AJ30" s="203">
        <f>SUM(AH30)</f>
        <v>236</v>
      </c>
      <c r="AK30" s="203">
        <f t="shared" si="14"/>
        <v>2360</v>
      </c>
      <c r="AL30" s="203">
        <f>SUM(AJ30)</f>
        <v>236</v>
      </c>
      <c r="AM30" s="203">
        <f t="shared" si="15"/>
        <v>2360</v>
      </c>
      <c r="AN30" s="35">
        <f>SUM(AO30/19600)</f>
        <v>0.84285714285714286</v>
      </c>
      <c r="AO30" s="36">
        <f>SUM(AA30+AC30+AE30+AG30+AI30+AK30+AM30)</f>
        <v>16520</v>
      </c>
      <c r="AQ30" s="223">
        <f t="shared" si="41"/>
        <v>0.76066611844958665</v>
      </c>
      <c r="AR30" s="38">
        <f t="shared" si="37"/>
        <v>70719.129032258075</v>
      </c>
      <c r="AS30" s="197">
        <f>SUM(AR30-AR29-AT30)</f>
        <v>0</v>
      </c>
      <c r="AT30" s="340"/>
      <c r="AU30" s="549"/>
      <c r="AV30" s="485">
        <f t="shared" si="43"/>
        <v>1.026</v>
      </c>
      <c r="AW30" s="279">
        <f>-SUM('B5'!AI29)</f>
        <v>0</v>
      </c>
      <c r="AX30" s="279">
        <f t="shared" si="17"/>
        <v>0</v>
      </c>
      <c r="AY30" s="37">
        <f t="shared" si="38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44646</v>
      </c>
      <c r="B31">
        <f>'B5'!B30</f>
        <v>229</v>
      </c>
      <c r="C31" s="203">
        <f t="shared" si="18"/>
        <v>4927.1935483870966</v>
      </c>
      <c r="D31">
        <f>SUM(B31)</f>
        <v>229</v>
      </c>
      <c r="E31" s="203">
        <f t="shared" si="18"/>
        <v>4927.1935483870966</v>
      </c>
      <c r="F31">
        <f>SUM(D31)</f>
        <v>229</v>
      </c>
      <c r="G31" s="203">
        <f t="shared" si="1"/>
        <v>4927.1935483870966</v>
      </c>
      <c r="H31" s="203">
        <f>SUM(F31)</f>
        <v>229</v>
      </c>
      <c r="I31" s="203">
        <f t="shared" si="2"/>
        <v>4927.1935483870966</v>
      </c>
      <c r="J31" s="203">
        <f>SUM(H31)</f>
        <v>229</v>
      </c>
      <c r="K31" s="203">
        <f t="shared" si="3"/>
        <v>4927.1935483870966</v>
      </c>
      <c r="L31" s="203">
        <f>SUM(J31)</f>
        <v>229</v>
      </c>
      <c r="M31" s="203">
        <f t="shared" si="4"/>
        <v>4927.1935483870966</v>
      </c>
      <c r="N31" s="203">
        <f>SUM(L31)</f>
        <v>229</v>
      </c>
      <c r="O31" s="203">
        <f t="shared" si="5"/>
        <v>4927.1935483870966</v>
      </c>
      <c r="P31" s="203">
        <f>SUM(N31)</f>
        <v>229</v>
      </c>
      <c r="Q31" s="203">
        <f t="shared" si="6"/>
        <v>4927.1935483870966</v>
      </c>
      <c r="R31" s="203">
        <f>SUM(P31)</f>
        <v>229</v>
      </c>
      <c r="S31" s="203">
        <f t="shared" si="7"/>
        <v>4927.1935483870966</v>
      </c>
      <c r="T31" s="203">
        <f>SUM(R31)</f>
        <v>229</v>
      </c>
      <c r="U31" s="203">
        <f t="shared" si="8"/>
        <v>4927.1935483870966</v>
      </c>
      <c r="V31" s="203">
        <f>SUM(T31)</f>
        <v>229</v>
      </c>
      <c r="W31" s="203">
        <f t="shared" si="9"/>
        <v>4927.1935483870966</v>
      </c>
      <c r="X31" s="35">
        <f>SUM(Y31/73370)</f>
        <v>0.738709677419355</v>
      </c>
      <c r="Y31" s="36">
        <f>SUM(C31+E31+G31+I31+K31+M31+O31+Q31+S31+U31+W31)</f>
        <v>54199.129032258075</v>
      </c>
      <c r="Z31" s="203">
        <f>'B5'!C30</f>
        <v>236</v>
      </c>
      <c r="AA31" s="203">
        <f t="shared" si="30"/>
        <v>2360</v>
      </c>
      <c r="AB31" s="203">
        <f>SUM(Z31)</f>
        <v>236</v>
      </c>
      <c r="AC31" s="203">
        <f t="shared" si="30"/>
        <v>2360</v>
      </c>
      <c r="AD31" s="203">
        <f>SUM(AB31)</f>
        <v>236</v>
      </c>
      <c r="AE31" s="203">
        <f t="shared" si="11"/>
        <v>2360</v>
      </c>
      <c r="AF31" s="203">
        <f>SUM(AD31)</f>
        <v>236</v>
      </c>
      <c r="AG31" s="203">
        <f t="shared" si="12"/>
        <v>2360</v>
      </c>
      <c r="AH31" s="203">
        <f>SUM(AF31)</f>
        <v>236</v>
      </c>
      <c r="AI31" s="203">
        <f t="shared" si="13"/>
        <v>2360</v>
      </c>
      <c r="AJ31" s="203">
        <f>SUM(AH31)</f>
        <v>236</v>
      </c>
      <c r="AK31" s="203">
        <f t="shared" si="14"/>
        <v>2360</v>
      </c>
      <c r="AL31" s="203">
        <f>SUM(AJ31)</f>
        <v>236</v>
      </c>
      <c r="AM31" s="203">
        <f t="shared" si="15"/>
        <v>2360</v>
      </c>
      <c r="AN31" s="35">
        <f>SUM(AO31/19600)</f>
        <v>0.84285714285714286</v>
      </c>
      <c r="AO31" s="36">
        <f>SUM(AA31+AC31+AE31+AG31+AI31+AK31+AM31)</f>
        <v>16520</v>
      </c>
      <c r="AQ31" s="223">
        <f t="shared" si="41"/>
        <v>0.76066611844958665</v>
      </c>
      <c r="AR31" s="38">
        <f t="shared" si="37"/>
        <v>70719.129032258075</v>
      </c>
      <c r="AS31" s="197">
        <f t="shared" si="47"/>
        <v>0</v>
      </c>
      <c r="AT31" s="340"/>
      <c r="AU31" s="571"/>
      <c r="AV31" s="485">
        <f t="shared" si="43"/>
        <v>1.026</v>
      </c>
      <c r="AW31" s="279">
        <f>-SUM('B5'!AI30)</f>
        <v>0</v>
      </c>
      <c r="AX31" s="279">
        <f t="shared" si="17"/>
        <v>0</v>
      </c>
      <c r="AY31" s="37">
        <f t="shared" si="38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1128.8860759499439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44647</v>
      </c>
      <c r="B32">
        <f>'B5'!B31</f>
        <v>223</v>
      </c>
      <c r="C32" s="203">
        <f t="shared" si="18"/>
        <v>4798.0967741935483</v>
      </c>
      <c r="D32">
        <f>SUM(B32)</f>
        <v>223</v>
      </c>
      <c r="E32" s="203">
        <f t="shared" si="18"/>
        <v>4798.0967741935483</v>
      </c>
      <c r="F32">
        <f>SUM(D32)</f>
        <v>223</v>
      </c>
      <c r="G32" s="203">
        <f t="shared" si="1"/>
        <v>4798.0967741935483</v>
      </c>
      <c r="H32" s="203">
        <f>SUM(F32)</f>
        <v>223</v>
      </c>
      <c r="I32" s="203">
        <f t="shared" si="2"/>
        <v>4798.0967741935483</v>
      </c>
      <c r="J32" s="203">
        <f>SUM(H32)</f>
        <v>223</v>
      </c>
      <c r="K32" s="203">
        <f t="shared" si="3"/>
        <v>4798.0967741935483</v>
      </c>
      <c r="L32" s="203">
        <f>SUM(J32)</f>
        <v>223</v>
      </c>
      <c r="M32" s="203">
        <f t="shared" si="4"/>
        <v>4798.0967741935483</v>
      </c>
      <c r="N32" s="203">
        <f>SUM(L32)</f>
        <v>223</v>
      </c>
      <c r="O32" s="203">
        <f t="shared" si="5"/>
        <v>4798.0967741935483</v>
      </c>
      <c r="P32" s="203">
        <f>SUM(N32)</f>
        <v>223</v>
      </c>
      <c r="Q32" s="203">
        <f t="shared" si="6"/>
        <v>4798.0967741935483</v>
      </c>
      <c r="R32" s="203">
        <f>SUM(P32)</f>
        <v>223</v>
      </c>
      <c r="S32" s="203">
        <f t="shared" si="7"/>
        <v>4798.0967741935483</v>
      </c>
      <c r="T32" s="203">
        <f>SUM(R32)</f>
        <v>223</v>
      </c>
      <c r="U32" s="203">
        <f t="shared" si="8"/>
        <v>4798.0967741935483</v>
      </c>
      <c r="V32" s="203">
        <f>SUM(T32)</f>
        <v>223</v>
      </c>
      <c r="W32" s="203">
        <f t="shared" si="9"/>
        <v>4798.0967741935483</v>
      </c>
      <c r="X32" s="35">
        <f>SUM(Y32/73370)</f>
        <v>0.71935483870967731</v>
      </c>
      <c r="Y32" s="36">
        <f>SUM(C32+E32+G32+I32+K32+M32+O32+Q32+S32+U32+W32)</f>
        <v>52779.064516129023</v>
      </c>
      <c r="Z32" s="203">
        <f>'B5'!C31</f>
        <v>230</v>
      </c>
      <c r="AA32" s="203">
        <f t="shared" si="30"/>
        <v>2300</v>
      </c>
      <c r="AB32" s="203">
        <f>SUM(Z32)</f>
        <v>230</v>
      </c>
      <c r="AC32" s="203">
        <f t="shared" si="30"/>
        <v>2300</v>
      </c>
      <c r="AD32" s="203">
        <f>SUM(AB32)</f>
        <v>230</v>
      </c>
      <c r="AE32" s="203">
        <f t="shared" si="11"/>
        <v>2300</v>
      </c>
      <c r="AF32" s="203">
        <f>SUM(AD32)</f>
        <v>230</v>
      </c>
      <c r="AG32" s="203">
        <f t="shared" si="12"/>
        <v>2300</v>
      </c>
      <c r="AH32" s="203">
        <f>SUM(AF32)</f>
        <v>230</v>
      </c>
      <c r="AI32" s="203">
        <f t="shared" si="13"/>
        <v>2300</v>
      </c>
      <c r="AJ32" s="203">
        <f>SUM(AH32)</f>
        <v>230</v>
      </c>
      <c r="AK32" s="203">
        <f t="shared" si="14"/>
        <v>2300</v>
      </c>
      <c r="AL32" s="203">
        <f>SUM(AJ32)</f>
        <v>230</v>
      </c>
      <c r="AM32" s="203">
        <f t="shared" si="15"/>
        <v>2300</v>
      </c>
      <c r="AN32" s="35">
        <f>SUM(AO32/19600)</f>
        <v>0.8214285714285714</v>
      </c>
      <c r="AO32" s="36">
        <f>SUM(AA32+AC32+AE32+AG32+AI32+AK32+AM32)</f>
        <v>16100</v>
      </c>
      <c r="AQ32" s="223">
        <f t="shared" si="41"/>
        <v>0.74087409396718329</v>
      </c>
      <c r="AR32" s="38">
        <f t="shared" si="37"/>
        <v>68879.06451612903</v>
      </c>
      <c r="AS32" s="197">
        <f t="shared" si="47"/>
        <v>-1840.0645161290449</v>
      </c>
      <c r="AT32" s="340"/>
      <c r="AU32" s="548"/>
      <c r="AV32" s="485">
        <f>IF(AT32&gt;0,AU32,AV31)</f>
        <v>1.026</v>
      </c>
      <c r="AW32" s="279">
        <f>-SUM('B5'!AI31)</f>
        <v>-450</v>
      </c>
      <c r="AX32" s="279">
        <f t="shared" si="17"/>
        <v>-1390.0645161290449</v>
      </c>
      <c r="AY32" s="37">
        <f t="shared" si="38"/>
        <v>-1840.0645161290449</v>
      </c>
      <c r="AZ32" s="100">
        <f>ELEC!A30</f>
        <v>0</v>
      </c>
      <c r="BA32" s="118">
        <f>'General information '!D31</f>
        <v>14.5</v>
      </c>
      <c r="BB32" s="378">
        <f>SUM('General information '!E31)</f>
        <v>0.67</v>
      </c>
      <c r="BC32" s="3">
        <f t="shared" si="44"/>
        <v>0</v>
      </c>
      <c r="BD32" s="102">
        <v>19222</v>
      </c>
      <c r="BE32" s="14">
        <f>(305/1185)*ELEC!Q31</f>
        <v>1144.5864978903255</v>
      </c>
      <c r="BF32" s="14"/>
      <c r="BG32" s="14" t="e">
        <f>#REF!-BE32</f>
        <v>#REF!</v>
      </c>
      <c r="BH32" s="11"/>
      <c r="BI32">
        <v>19</v>
      </c>
      <c r="BJ32">
        <f t="shared" si="46"/>
        <v>-73.161290322581308</v>
      </c>
      <c r="BK32" s="538">
        <f>GEN!AF29</f>
        <v>0.27412500000014006</v>
      </c>
    </row>
    <row r="33" spans="1:63">
      <c r="A33" s="425">
        <f>ELEC!C31</f>
        <v>44648</v>
      </c>
      <c r="B33">
        <f>'B5'!B32</f>
        <v>216</v>
      </c>
      <c r="C33" s="203">
        <f t="shared" si="18"/>
        <v>4647.4838709677415</v>
      </c>
      <c r="D33">
        <f>SUM(B33)</f>
        <v>216</v>
      </c>
      <c r="E33" s="203">
        <f t="shared" si="18"/>
        <v>4647.4838709677415</v>
      </c>
      <c r="F33">
        <f>SUM(D33)</f>
        <v>216</v>
      </c>
      <c r="G33" s="203">
        <f t="shared" si="1"/>
        <v>4647.4838709677415</v>
      </c>
      <c r="H33" s="203">
        <f>SUM(F33)</f>
        <v>216</v>
      </c>
      <c r="I33" s="203">
        <f t="shared" si="2"/>
        <v>4647.4838709677415</v>
      </c>
      <c r="J33" s="203">
        <f>SUM(H33)</f>
        <v>216</v>
      </c>
      <c r="K33" s="203">
        <f t="shared" si="3"/>
        <v>4647.4838709677415</v>
      </c>
      <c r="L33" s="203">
        <f>SUM(J33)</f>
        <v>216</v>
      </c>
      <c r="M33" s="203">
        <f t="shared" si="4"/>
        <v>4647.4838709677415</v>
      </c>
      <c r="N33" s="203">
        <f>SUM(L33)</f>
        <v>216</v>
      </c>
      <c r="O33" s="203">
        <f t="shared" si="5"/>
        <v>4647.4838709677415</v>
      </c>
      <c r="P33" s="203">
        <f>SUM(N33)</f>
        <v>216</v>
      </c>
      <c r="Q33" s="203">
        <f t="shared" si="6"/>
        <v>4647.4838709677415</v>
      </c>
      <c r="R33" s="203">
        <f>SUM(P33)</f>
        <v>216</v>
      </c>
      <c r="S33" s="203">
        <f t="shared" si="7"/>
        <v>4647.4838709677415</v>
      </c>
      <c r="T33" s="203">
        <f>SUM(R33)</f>
        <v>216</v>
      </c>
      <c r="U33" s="203">
        <f t="shared" si="8"/>
        <v>4647.4838709677415</v>
      </c>
      <c r="V33" s="203">
        <f>SUM(T33)</f>
        <v>216</v>
      </c>
      <c r="W33" s="203">
        <f t="shared" si="9"/>
        <v>4647.4838709677415</v>
      </c>
      <c r="X33" s="35">
        <f>SUM(Y33/73370)</f>
        <v>0.6967741935483871</v>
      </c>
      <c r="Y33" s="36">
        <f>SUM(C33+E33+G33+I33+K33+M33+O33+Q33+S33+U33+W33)</f>
        <v>51122.322580645159</v>
      </c>
      <c r="Z33" s="203">
        <f>'B5'!C32</f>
        <v>223</v>
      </c>
      <c r="AA33" s="203">
        <f t="shared" si="30"/>
        <v>2230</v>
      </c>
      <c r="AB33" s="203">
        <f>SUM(Z33)</f>
        <v>223</v>
      </c>
      <c r="AC33" s="203">
        <f t="shared" si="30"/>
        <v>2230</v>
      </c>
      <c r="AD33" s="203">
        <f>SUM(AB33)</f>
        <v>223</v>
      </c>
      <c r="AE33" s="203">
        <f t="shared" si="11"/>
        <v>2230</v>
      </c>
      <c r="AF33" s="203">
        <f>SUM(AD33)</f>
        <v>223</v>
      </c>
      <c r="AG33" s="203">
        <f t="shared" si="12"/>
        <v>2230</v>
      </c>
      <c r="AH33" s="203">
        <f>SUM(AF33)</f>
        <v>223</v>
      </c>
      <c r="AI33" s="203">
        <f t="shared" si="13"/>
        <v>2230</v>
      </c>
      <c r="AJ33" s="203">
        <f>SUM(AH33)</f>
        <v>223</v>
      </c>
      <c r="AK33" s="203">
        <f t="shared" si="14"/>
        <v>2230</v>
      </c>
      <c r="AL33" s="203">
        <f>SUM(AJ33)</f>
        <v>223</v>
      </c>
      <c r="AM33" s="203">
        <f t="shared" si="15"/>
        <v>2230</v>
      </c>
      <c r="AN33" s="35">
        <f>SUM(AO33/19600)</f>
        <v>0.79642857142857137</v>
      </c>
      <c r="AO33" s="36">
        <f>SUM(AA33+AC33+AE33+AG33+AI33+AK33+AM33)</f>
        <v>15610</v>
      </c>
      <c r="AQ33" s="223">
        <f t="shared" si="41"/>
        <v>0.71778339873771269</v>
      </c>
      <c r="AR33" s="38">
        <f t="shared" si="37"/>
        <v>66732.322580645152</v>
      </c>
      <c r="AS33" s="197">
        <f>SUM(AR33-AR32-AT33)</f>
        <v>-2146.7419354838785</v>
      </c>
      <c r="AT33" s="340"/>
      <c r="AU33" s="548"/>
      <c r="AV33" s="485">
        <f>IF(AT33&gt;0,AU33,AV32)</f>
        <v>1.026</v>
      </c>
      <c r="AW33" s="279">
        <f>-SUM('B5'!AI32)</f>
        <v>-347</v>
      </c>
      <c r="AX33" s="279">
        <f t="shared" si="17"/>
        <v>-1799.7419354838785</v>
      </c>
      <c r="AY33" s="37">
        <f t="shared" si="38"/>
        <v>-2146.7419354838785</v>
      </c>
      <c r="AZ33" s="100">
        <f>ELEC!A31</f>
        <v>0</v>
      </c>
      <c r="BA33" s="118">
        <f>'General information '!D32</f>
        <v>14.5</v>
      </c>
      <c r="BB33" s="204">
        <f>SUM('General information '!E32)</f>
        <v>0.48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-89.98709677419393</v>
      </c>
      <c r="BK33" s="538">
        <f>GEN!AF30</f>
        <v>0.27793750000000728</v>
      </c>
    </row>
    <row r="34" spans="1:63">
      <c r="A34" s="425">
        <f>ELEC!C32</f>
        <v>44649</v>
      </c>
      <c r="B34">
        <f>'B5'!B33</f>
        <v>229</v>
      </c>
      <c r="C34" s="203">
        <f t="shared" ref="C34:C36" si="48">B34*$B$4</f>
        <v>4927.1935483870966</v>
      </c>
      <c r="D34">
        <f t="shared" ref="D34:D36" si="49">SUM(B34)</f>
        <v>229</v>
      </c>
      <c r="E34" s="203">
        <f t="shared" ref="E34:E36" si="50">D34*$B$4</f>
        <v>4927.1935483870966</v>
      </c>
      <c r="F34">
        <f t="shared" ref="F34:F36" si="51">SUM(D34)</f>
        <v>229</v>
      </c>
      <c r="G34" s="203">
        <f t="shared" ref="G34:G36" si="52">F34*$B$4</f>
        <v>4927.1935483870966</v>
      </c>
      <c r="H34" s="203">
        <f t="shared" ref="H34:H36" si="53">SUM(F34)</f>
        <v>229</v>
      </c>
      <c r="I34" s="203">
        <f t="shared" ref="I34:I36" si="54">H34*$B$4</f>
        <v>4927.1935483870966</v>
      </c>
      <c r="J34" s="203">
        <f t="shared" ref="J34:J36" si="55">SUM(H34)</f>
        <v>229</v>
      </c>
      <c r="K34" s="203">
        <f t="shared" ref="K34:K36" si="56">J34*$B$4</f>
        <v>4927.1935483870966</v>
      </c>
      <c r="L34" s="203">
        <f t="shared" ref="L34:L36" si="57">SUM(J34)</f>
        <v>229</v>
      </c>
      <c r="M34" s="203">
        <f t="shared" ref="M34:M36" si="58">L34*$B$4</f>
        <v>4927.1935483870966</v>
      </c>
      <c r="N34" s="203">
        <f t="shared" ref="N34:N36" si="59">SUM(L34)</f>
        <v>229</v>
      </c>
      <c r="O34" s="203">
        <f t="shared" ref="O34:O36" si="60">N34*$B$4</f>
        <v>4927.1935483870966</v>
      </c>
      <c r="P34" s="203">
        <f t="shared" ref="P34:P36" si="61">SUM(N34)</f>
        <v>229</v>
      </c>
      <c r="Q34" s="203">
        <f t="shared" ref="Q34:Q36" si="62">P34*$B$4</f>
        <v>4927.1935483870966</v>
      </c>
      <c r="R34" s="203">
        <f t="shared" ref="R34:R36" si="63">SUM(P34)</f>
        <v>229</v>
      </c>
      <c r="S34" s="203">
        <f t="shared" ref="S34:S36" si="64">R34*$B$4</f>
        <v>4927.1935483870966</v>
      </c>
      <c r="T34" s="203">
        <f t="shared" ref="T34:T36" si="65">SUM(R34)</f>
        <v>229</v>
      </c>
      <c r="U34" s="203">
        <f t="shared" ref="U34:U36" si="66">T34*$B$4</f>
        <v>4927.1935483870966</v>
      </c>
      <c r="V34" s="203">
        <f t="shared" ref="V34:V36" si="67">SUM(T34)</f>
        <v>229</v>
      </c>
      <c r="W34" s="203">
        <f t="shared" ref="W34:W36" si="68">V34*$B$4</f>
        <v>4927.1935483870966</v>
      </c>
      <c r="X34" s="35">
        <f t="shared" ref="X34:X36" si="69">SUM(Y34/73370)</f>
        <v>0.738709677419355</v>
      </c>
      <c r="Y34" s="36">
        <f t="shared" ref="Y34:Y36" si="70">SUM(C34+E34+G34+I34+K34+M34+O34+Q34+S34+U34+W34)</f>
        <v>54199.129032258075</v>
      </c>
      <c r="Z34" s="203">
        <f>'B5'!C33</f>
        <v>236</v>
      </c>
      <c r="AA34" s="203">
        <f t="shared" ref="AA34:AA36" si="71">SUM(Z34*$Z$4)</f>
        <v>2360</v>
      </c>
      <c r="AB34" s="203">
        <f t="shared" ref="AB34:AB36" si="72">SUM(Z34)</f>
        <v>236</v>
      </c>
      <c r="AC34" s="203">
        <f t="shared" ref="AC34:AC36" si="73">SUM(AB34*$Z$4)</f>
        <v>2360</v>
      </c>
      <c r="AD34" s="203">
        <f t="shared" ref="AD34:AD36" si="74">SUM(AB34)</f>
        <v>236</v>
      </c>
      <c r="AE34" s="203">
        <f t="shared" ref="AE34:AE36" si="75">SUM(AD34*$Z$4)</f>
        <v>2360</v>
      </c>
      <c r="AF34" s="203">
        <f t="shared" ref="AF34:AF36" si="76">SUM(AD34)</f>
        <v>236</v>
      </c>
      <c r="AG34" s="203">
        <f t="shared" ref="AG34:AG36" si="77">SUM(AF34*$Z$4)</f>
        <v>2360</v>
      </c>
      <c r="AH34" s="203">
        <f t="shared" ref="AH34:AH36" si="78">SUM(AF34)</f>
        <v>236</v>
      </c>
      <c r="AI34" s="203">
        <f t="shared" ref="AI34:AI36" si="79">SUM(AH34*$Z$4)</f>
        <v>2360</v>
      </c>
      <c r="AJ34" s="203">
        <f t="shared" ref="AJ34:AJ36" si="80">SUM(AH34)</f>
        <v>236</v>
      </c>
      <c r="AK34" s="203">
        <f t="shared" ref="AK34:AK36" si="81">SUM(AJ34*$Z$4)</f>
        <v>2360</v>
      </c>
      <c r="AL34" s="203">
        <f t="shared" ref="AL34:AL36" si="82">SUM(AJ34)</f>
        <v>236</v>
      </c>
      <c r="AM34" s="203">
        <f t="shared" ref="AM34:AM36" si="83">SUM(AL34*$Z$4)</f>
        <v>2360</v>
      </c>
      <c r="AN34" s="35">
        <f t="shared" ref="AN34:AN36" si="84">SUM(AO34/19600)</f>
        <v>0.84285714285714286</v>
      </c>
      <c r="AO34" s="36">
        <f t="shared" ref="AO34:AO36" si="85">SUM(AA34+AC34+AE34+AG34+AI34+AK34+AM34)</f>
        <v>16520</v>
      </c>
      <c r="AQ34" s="223">
        <f t="shared" ref="AQ34:AQ36" si="86">SUM(AR34/92970)</f>
        <v>0.76066611844958665</v>
      </c>
      <c r="AR34" s="38">
        <f t="shared" ref="AR34:AR36" si="87">Y34+AO34</f>
        <v>70719.129032258075</v>
      </c>
      <c r="AS34" s="197">
        <f t="shared" ref="AS34:AS36" si="88">SUM(AR34-AR33-AT34)</f>
        <v>-1013.1935483870766</v>
      </c>
      <c r="AT34" s="340">
        <v>5000</v>
      </c>
      <c r="AU34" s="548">
        <v>1.17</v>
      </c>
      <c r="AV34" s="485">
        <f t="shared" ref="AV34:AV36" si="89">IF(AT34&gt;0,AU34,AV33)</f>
        <v>1.17</v>
      </c>
      <c r="AW34" s="279">
        <f>-SUM('B5'!AI33)</f>
        <v>-281</v>
      </c>
      <c r="AX34" s="279">
        <f t="shared" ref="AX34:AX36" si="90">-SUM(AW34-AS34)</f>
        <v>-732.19354838707659</v>
      </c>
      <c r="AY34" s="37">
        <f t="shared" ref="AY34:AY36" si="91">SUM(AX34+AW34)</f>
        <v>-1013.1935483870766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1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-34.866359447003646</v>
      </c>
      <c r="BK34" s="538">
        <f>GEN!AF31</f>
        <v>0</v>
      </c>
    </row>
    <row r="35" spans="1:63">
      <c r="A35" s="425">
        <f>ELEC!C33</f>
        <v>44650</v>
      </c>
      <c r="B35">
        <f>'B5'!B34</f>
        <v>229</v>
      </c>
      <c r="C35" s="203">
        <f t="shared" si="48"/>
        <v>4927.1935483870966</v>
      </c>
      <c r="D35">
        <f t="shared" si="49"/>
        <v>229</v>
      </c>
      <c r="E35" s="203">
        <f t="shared" si="50"/>
        <v>4927.1935483870966</v>
      </c>
      <c r="F35">
        <f t="shared" si="51"/>
        <v>229</v>
      </c>
      <c r="G35" s="203">
        <f t="shared" si="52"/>
        <v>4927.1935483870966</v>
      </c>
      <c r="H35" s="203">
        <f t="shared" si="53"/>
        <v>229</v>
      </c>
      <c r="I35" s="203">
        <f t="shared" si="54"/>
        <v>4927.1935483870966</v>
      </c>
      <c r="J35" s="203">
        <f t="shared" si="55"/>
        <v>229</v>
      </c>
      <c r="K35" s="203">
        <f t="shared" si="56"/>
        <v>4927.1935483870966</v>
      </c>
      <c r="L35" s="203">
        <f t="shared" si="57"/>
        <v>229</v>
      </c>
      <c r="M35" s="203">
        <f t="shared" si="58"/>
        <v>4927.1935483870966</v>
      </c>
      <c r="N35" s="203">
        <f t="shared" si="59"/>
        <v>229</v>
      </c>
      <c r="O35" s="203">
        <f t="shared" si="60"/>
        <v>4927.1935483870966</v>
      </c>
      <c r="P35" s="203">
        <f t="shared" si="61"/>
        <v>229</v>
      </c>
      <c r="Q35" s="203">
        <f t="shared" si="62"/>
        <v>4927.1935483870966</v>
      </c>
      <c r="R35" s="203">
        <f t="shared" si="63"/>
        <v>229</v>
      </c>
      <c r="S35" s="203">
        <f t="shared" si="64"/>
        <v>4927.1935483870966</v>
      </c>
      <c r="T35" s="203">
        <f t="shared" si="65"/>
        <v>229</v>
      </c>
      <c r="U35" s="203">
        <f t="shared" si="66"/>
        <v>4927.1935483870966</v>
      </c>
      <c r="V35" s="203">
        <f t="shared" si="67"/>
        <v>229</v>
      </c>
      <c r="W35" s="203">
        <f t="shared" si="68"/>
        <v>4927.1935483870966</v>
      </c>
      <c r="X35" s="35">
        <f t="shared" si="69"/>
        <v>0.738709677419355</v>
      </c>
      <c r="Y35" s="36">
        <f t="shared" si="70"/>
        <v>54199.129032258075</v>
      </c>
      <c r="Z35" s="203">
        <f>'B5'!C34</f>
        <v>236</v>
      </c>
      <c r="AA35" s="203">
        <f t="shared" si="71"/>
        <v>2360</v>
      </c>
      <c r="AB35" s="203">
        <f t="shared" si="72"/>
        <v>236</v>
      </c>
      <c r="AC35" s="203">
        <f t="shared" si="73"/>
        <v>2360</v>
      </c>
      <c r="AD35" s="203">
        <f t="shared" si="74"/>
        <v>236</v>
      </c>
      <c r="AE35" s="203">
        <f t="shared" si="75"/>
        <v>2360</v>
      </c>
      <c r="AF35" s="203">
        <f t="shared" si="76"/>
        <v>236</v>
      </c>
      <c r="AG35" s="203">
        <f t="shared" si="77"/>
        <v>2360</v>
      </c>
      <c r="AH35" s="203">
        <f t="shared" si="78"/>
        <v>236</v>
      </c>
      <c r="AI35" s="203">
        <f t="shared" si="79"/>
        <v>2360</v>
      </c>
      <c r="AJ35" s="203">
        <f t="shared" si="80"/>
        <v>236</v>
      </c>
      <c r="AK35" s="203">
        <f t="shared" si="81"/>
        <v>2360</v>
      </c>
      <c r="AL35" s="203">
        <f t="shared" si="82"/>
        <v>236</v>
      </c>
      <c r="AM35" s="203">
        <f t="shared" si="83"/>
        <v>2360</v>
      </c>
      <c r="AN35" s="35">
        <f t="shared" si="84"/>
        <v>0.84285714285714286</v>
      </c>
      <c r="AO35" s="36">
        <f t="shared" si="85"/>
        <v>16520</v>
      </c>
      <c r="AQ35" s="223">
        <f t="shared" si="86"/>
        <v>0.76066611844958665</v>
      </c>
      <c r="AR35" s="38">
        <f t="shared" si="87"/>
        <v>70719.129032258075</v>
      </c>
      <c r="AS35" s="197">
        <f t="shared" si="88"/>
        <v>0</v>
      </c>
      <c r="AT35" s="340"/>
      <c r="AU35" s="548"/>
      <c r="AV35" s="485">
        <f t="shared" si="89"/>
        <v>1.17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>
        <f>GEN!AF32</f>
        <v>0</v>
      </c>
    </row>
    <row r="36" spans="1:63">
      <c r="A36" s="425">
        <f>ELEC!C34</f>
        <v>44651</v>
      </c>
      <c r="B36">
        <f>'B5'!B35</f>
        <v>229</v>
      </c>
      <c r="C36" s="203">
        <f t="shared" si="48"/>
        <v>4927.1935483870966</v>
      </c>
      <c r="D36">
        <f t="shared" si="49"/>
        <v>229</v>
      </c>
      <c r="E36" s="203">
        <f t="shared" si="50"/>
        <v>4927.1935483870966</v>
      </c>
      <c r="F36">
        <f t="shared" si="51"/>
        <v>229</v>
      </c>
      <c r="G36" s="203">
        <f t="shared" si="52"/>
        <v>4927.1935483870966</v>
      </c>
      <c r="H36" s="203">
        <f t="shared" si="53"/>
        <v>229</v>
      </c>
      <c r="I36" s="203">
        <f t="shared" si="54"/>
        <v>4927.1935483870966</v>
      </c>
      <c r="J36" s="203">
        <f t="shared" si="55"/>
        <v>229</v>
      </c>
      <c r="K36" s="203">
        <f t="shared" si="56"/>
        <v>4927.1935483870966</v>
      </c>
      <c r="L36" s="203">
        <f t="shared" si="57"/>
        <v>229</v>
      </c>
      <c r="M36" s="203">
        <f t="shared" si="58"/>
        <v>4927.1935483870966</v>
      </c>
      <c r="N36" s="203">
        <f t="shared" si="59"/>
        <v>229</v>
      </c>
      <c r="O36" s="203">
        <f t="shared" si="60"/>
        <v>4927.1935483870966</v>
      </c>
      <c r="P36" s="203">
        <f t="shared" si="61"/>
        <v>229</v>
      </c>
      <c r="Q36" s="203">
        <f t="shared" si="62"/>
        <v>4927.1935483870966</v>
      </c>
      <c r="R36" s="203">
        <f t="shared" si="63"/>
        <v>229</v>
      </c>
      <c r="S36" s="203">
        <f t="shared" si="64"/>
        <v>4927.1935483870966</v>
      </c>
      <c r="T36" s="203">
        <f t="shared" si="65"/>
        <v>229</v>
      </c>
      <c r="U36" s="203">
        <f t="shared" si="66"/>
        <v>4927.1935483870966</v>
      </c>
      <c r="V36" s="203">
        <f t="shared" si="67"/>
        <v>229</v>
      </c>
      <c r="W36" s="203">
        <f t="shared" si="68"/>
        <v>4927.1935483870966</v>
      </c>
      <c r="X36" s="35">
        <f t="shared" si="69"/>
        <v>0.738709677419355</v>
      </c>
      <c r="Y36" s="36">
        <f t="shared" si="70"/>
        <v>54199.129032258075</v>
      </c>
      <c r="Z36" s="203">
        <f>'B5'!C35</f>
        <v>236</v>
      </c>
      <c r="AA36" s="203">
        <f t="shared" si="71"/>
        <v>2360</v>
      </c>
      <c r="AB36" s="203">
        <f t="shared" si="72"/>
        <v>236</v>
      </c>
      <c r="AC36" s="203">
        <f t="shared" si="73"/>
        <v>2360</v>
      </c>
      <c r="AD36" s="203">
        <f t="shared" si="74"/>
        <v>236</v>
      </c>
      <c r="AE36" s="203">
        <f t="shared" si="75"/>
        <v>2360</v>
      </c>
      <c r="AF36" s="203">
        <f t="shared" si="76"/>
        <v>236</v>
      </c>
      <c r="AG36" s="203">
        <f t="shared" si="77"/>
        <v>2360</v>
      </c>
      <c r="AH36" s="203">
        <f t="shared" si="78"/>
        <v>236</v>
      </c>
      <c r="AI36" s="203">
        <f t="shared" si="79"/>
        <v>2360</v>
      </c>
      <c r="AJ36" s="203">
        <f t="shared" si="80"/>
        <v>236</v>
      </c>
      <c r="AK36" s="203">
        <f t="shared" si="81"/>
        <v>2360</v>
      </c>
      <c r="AL36" s="203">
        <f t="shared" si="82"/>
        <v>236</v>
      </c>
      <c r="AM36" s="203">
        <f t="shared" si="83"/>
        <v>2360</v>
      </c>
      <c r="AN36" s="35">
        <f t="shared" si="84"/>
        <v>0.84285714285714286</v>
      </c>
      <c r="AO36" s="36">
        <f t="shared" si="85"/>
        <v>16520</v>
      </c>
      <c r="AQ36" s="223">
        <f t="shared" si="86"/>
        <v>0.76066611844958665</v>
      </c>
      <c r="AR36" s="38">
        <f t="shared" si="87"/>
        <v>70719.129032258075</v>
      </c>
      <c r="AS36" s="197">
        <f t="shared" si="88"/>
        <v>0</v>
      </c>
      <c r="AT36" s="340"/>
      <c r="AU36" s="548"/>
      <c r="AV36" s="485">
        <f t="shared" si="89"/>
        <v>1.17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>
        <f>GEN!AF33</f>
        <v>0</v>
      </c>
    </row>
    <row r="37" spans="1:63">
      <c r="AQ37" s="20"/>
      <c r="AR37" s="456" t="s">
        <v>223</v>
      </c>
      <c r="AS37" s="461">
        <f>COUNT(AT6:AT36)</f>
        <v>8</v>
      </c>
      <c r="AT37" s="203">
        <f>SUM(AT6:AT36)</f>
        <v>60460</v>
      </c>
      <c r="AU37" s="544">
        <f>SUM(AU6:AU36)/AS37</f>
        <v>1.0347500000000001</v>
      </c>
      <c r="AX37" s="203">
        <f>SUM(AX6:AX36)</f>
        <v>-31450.322580645145</v>
      </c>
      <c r="AY37" s="203">
        <f>SUM(AY6:AY36)</f>
        <v>-40089.322580645145</v>
      </c>
    </row>
    <row r="38" spans="1:63">
      <c r="AS38" s="206"/>
      <c r="AT38" s="82">
        <f>+AT37*AU37</f>
        <v>62560.985000000001</v>
      </c>
    </row>
    <row r="40" spans="1:63">
      <c r="AS40" s="165">
        <f>SUM(AS6:AS36)/'EDl log'!A35</f>
        <v>-2505.5826612903215</v>
      </c>
      <c r="AT40" s="203"/>
    </row>
    <row r="41" spans="1:63">
      <c r="AX41">
        <v>43309</v>
      </c>
    </row>
    <row r="42" spans="1:63">
      <c r="AR42" s="203">
        <f>AR36-22000</f>
        <v>48719.129032258075</v>
      </c>
      <c r="AU42" s="203"/>
      <c r="AX42">
        <f>AX37/AX41</f>
        <v>-0.72618445543986576</v>
      </c>
    </row>
    <row r="43" spans="1:63">
      <c r="AR43">
        <f>AR42/5500</f>
        <v>8.8580234604105588</v>
      </c>
    </row>
    <row r="44" spans="1:63">
      <c r="AR44">
        <f>AR43*2</f>
        <v>17.716046920821118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B1" zoomScale="70" zoomScaleNormal="70" workbookViewId="0">
      <selection activeCell="H32" sqref="H3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log'!$A$31</f>
        <v>44620</v>
      </c>
      <c r="B3" s="254">
        <f>'[2]EDl log'!B31</f>
        <v>1112011</v>
      </c>
      <c r="C3" s="254">
        <f>'[2]EDl log'!C31</f>
        <v>46</v>
      </c>
      <c r="D3" s="254">
        <f>'[2]EDl log'!D31</f>
        <v>47</v>
      </c>
      <c r="E3" s="254">
        <f>'[2]EDl log'!E31</f>
        <v>1112012</v>
      </c>
      <c r="F3" s="254">
        <f>'[2]EDl log'!F31</f>
        <v>161035</v>
      </c>
      <c r="G3" s="254">
        <f>'[2]EDl log'!G31</f>
        <v>0</v>
      </c>
      <c r="H3" s="254">
        <f>'[2]EDl log'!H31</f>
        <v>550000</v>
      </c>
      <c r="I3" s="254">
        <f>'[2]EDl log'!I31</f>
        <v>47</v>
      </c>
      <c r="J3" s="254">
        <f>'[2]EDl log'!J31</f>
        <v>400976</v>
      </c>
      <c r="K3" s="254">
        <f>'[2]EDl log'!K31</f>
        <v>0</v>
      </c>
      <c r="L3" s="254">
        <f>'[2]EDl log'!L31</f>
        <v>0</v>
      </c>
      <c r="M3" s="254">
        <f>'[2]EDl log'!M31</f>
        <v>3.4918739635157547</v>
      </c>
      <c r="N3" s="254">
        <f>'[2]EDl log'!N31</f>
        <v>0</v>
      </c>
      <c r="O3" s="254">
        <f>'[2]EDl log'!O31</f>
        <v>171.38907841743662</v>
      </c>
      <c r="P3" s="254">
        <f>'[2]EDl log'!P31</f>
        <v>174.88095238095238</v>
      </c>
      <c r="Q3" s="254">
        <f>'[2]EDl log'!Q31</f>
        <v>1008.7611774193637</v>
      </c>
      <c r="R3" s="254">
        <f>'[2]EDl log'!R31</f>
        <v>1183.6421298003161</v>
      </c>
      <c r="S3" s="254">
        <f>'[2]EDl log'!S31</f>
        <v>6604</v>
      </c>
      <c r="T3" s="254">
        <f>'[2]EDl log'!T31</f>
        <v>0.17923109173233132</v>
      </c>
      <c r="Z3" t="s">
        <v>213</v>
      </c>
      <c r="AA3">
        <v>0.1</v>
      </c>
    </row>
    <row r="4" spans="1:32" ht="20.100000000000001" customHeight="1">
      <c r="A4" s="163">
        <f>ELEC!C4</f>
        <v>44621</v>
      </c>
      <c r="B4" s="536">
        <v>1112117</v>
      </c>
      <c r="C4" s="254">
        <f t="shared" ref="C4:C30" si="0">SUM(B4-B3)</f>
        <v>106</v>
      </c>
      <c r="D4" s="295">
        <f>SUM(G4+I4+K4)</f>
        <v>102</v>
      </c>
      <c r="E4" s="295">
        <f>B3+D4</f>
        <v>1112113</v>
      </c>
      <c r="F4" s="539">
        <v>161035</v>
      </c>
      <c r="G4" s="160">
        <f t="shared" ref="G4:G30" si="1">F4-F3</f>
        <v>0</v>
      </c>
      <c r="H4" s="539">
        <v>550102</v>
      </c>
      <c r="I4" s="161">
        <f t="shared" ref="I4:I30" si="2">H4-H3</f>
        <v>102</v>
      </c>
      <c r="J4" s="586">
        <v>400976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7.5781094527363182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162.38114802332424</v>
      </c>
      <c r="Q4" s="285">
        <f>SUM(-tanks!AX6*tanks!$AU$37)</f>
        <v>1474.2850967741854</v>
      </c>
      <c r="R4" s="285">
        <f>SUM(P4:Q4)</f>
        <v>1636.6662447975095</v>
      </c>
      <c r="S4" s="287">
        <f>SUM(ELEC!N4)</f>
        <v>6721</v>
      </c>
      <c r="T4" s="321">
        <f>IF(S4&gt;0,R4/S4,0)</f>
        <v>0.24351528712952084</v>
      </c>
      <c r="U4" s="245"/>
      <c r="V4" s="166" t="s">
        <v>200</v>
      </c>
      <c r="W4" s="167">
        <v>44614</v>
      </c>
      <c r="X4" s="168"/>
      <c r="Y4" s="168"/>
      <c r="Z4" s="169" t="s">
        <v>201</v>
      </c>
      <c r="AA4" s="168"/>
      <c r="AB4" s="663"/>
      <c r="AC4" s="664"/>
    </row>
    <row r="5" spans="1:32" ht="20.100000000000001" customHeight="1">
      <c r="A5" s="163">
        <f>ELEC!C5</f>
        <v>44622</v>
      </c>
      <c r="B5" s="604">
        <f t="shared" ref="B5:B34" si="7">B4</f>
        <v>1112117</v>
      </c>
      <c r="C5" s="254">
        <f t="shared" si="0"/>
        <v>0</v>
      </c>
      <c r="D5" s="295">
        <f>SUM(G5+I5+K5)</f>
        <v>0</v>
      </c>
      <c r="E5" s="295">
        <f>B4+D5</f>
        <v>1112117</v>
      </c>
      <c r="F5" s="604">
        <f t="shared" ref="F5:F34" si="8">F4</f>
        <v>161035</v>
      </c>
      <c r="G5" s="160">
        <f t="shared" si="1"/>
        <v>0</v>
      </c>
      <c r="H5" s="604">
        <f t="shared" ref="H5:H34" si="9">H4</f>
        <v>550102</v>
      </c>
      <c r="I5" s="161">
        <f t="shared" si="2"/>
        <v>0</v>
      </c>
      <c r="J5" s="604">
        <f t="shared" ref="J5:J34" si="10">J4</f>
        <v>400976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2416.2413870967639</v>
      </c>
      <c r="R5" s="285">
        <f t="shared" ref="R5:R30" si="13">SUM(P5:Q5)</f>
        <v>2571.0444256673518</v>
      </c>
      <c r="S5" s="287">
        <f>SUM(ELEC!N5)</f>
        <v>5888</v>
      </c>
      <c r="T5" s="321">
        <f>IF(S5&gt;0,R5/S5,0)</f>
        <v>0.43665836033752575</v>
      </c>
      <c r="U5" s="245"/>
      <c r="V5" s="657"/>
      <c r="W5" s="658"/>
      <c r="X5" s="658"/>
      <c r="Y5" s="659"/>
      <c r="Z5" s="26" t="s">
        <v>202</v>
      </c>
      <c r="AA5" s="26">
        <v>5000</v>
      </c>
      <c r="AB5" s="665"/>
      <c r="AC5" s="666"/>
    </row>
    <row r="6" spans="1:32" ht="20.100000000000001" customHeight="1">
      <c r="A6" s="163">
        <f>ELEC!C6</f>
        <v>44623</v>
      </c>
      <c r="B6" s="604">
        <v>1112469</v>
      </c>
      <c r="C6" s="254">
        <f t="shared" si="0"/>
        <v>352</v>
      </c>
      <c r="D6" s="295">
        <f t="shared" ref="D6:D31" si="14">SUM(G6+I6+K6)</f>
        <v>356</v>
      </c>
      <c r="E6" s="295">
        <f t="shared" ref="E6:E30" si="15">B5+D6</f>
        <v>1112473</v>
      </c>
      <c r="F6" s="604">
        <v>161138</v>
      </c>
      <c r="G6" s="160">
        <f t="shared" si="1"/>
        <v>103</v>
      </c>
      <c r="H6" s="604">
        <v>550210</v>
      </c>
      <c r="I6" s="161">
        <f t="shared" si="2"/>
        <v>108</v>
      </c>
      <c r="J6" s="604">
        <v>401121</v>
      </c>
      <c r="K6" s="162">
        <f t="shared" si="11"/>
        <v>145</v>
      </c>
      <c r="L6" s="284">
        <f t="shared" si="3"/>
        <v>21.864013266998342</v>
      </c>
      <c r="M6" s="284">
        <f t="shared" si="4"/>
        <v>8.0238805970149247</v>
      </c>
      <c r="N6" s="284">
        <f t="shared" si="5"/>
        <v>7.6948590381426198</v>
      </c>
      <c r="O6" s="284">
        <f t="shared" si="6"/>
        <v>154.80303857058792</v>
      </c>
      <c r="P6" s="285">
        <f t="shared" si="12"/>
        <v>192.38579147274379</v>
      </c>
      <c r="Q6" s="285">
        <f>SUM(-tanks!AX8*tanks!$AU$37)</f>
        <v>2117.5324274193727</v>
      </c>
      <c r="R6" s="285">
        <f t="shared" si="13"/>
        <v>2309.9182188921163</v>
      </c>
      <c r="S6" s="287">
        <f>SUM(ELEC!N6)</f>
        <v>5727</v>
      </c>
      <c r="T6" s="321">
        <f t="shared" ref="T6:T30" si="16">IF(S6&gt;0,R6/S6,0)</f>
        <v>0.403338260676116</v>
      </c>
      <c r="V6" s="660"/>
      <c r="W6" s="661"/>
      <c r="X6" s="661"/>
      <c r="Y6" s="662"/>
      <c r="Z6" s="669"/>
      <c r="AA6" s="670"/>
      <c r="AB6" s="665"/>
      <c r="AC6" s="666"/>
    </row>
    <row r="7" spans="1:32" ht="20.100000000000001" customHeight="1">
      <c r="A7" s="163">
        <f>ELEC!C7</f>
        <v>44624</v>
      </c>
      <c r="B7" s="604">
        <f t="shared" si="7"/>
        <v>1112469</v>
      </c>
      <c r="C7" s="254">
        <f t="shared" si="0"/>
        <v>0</v>
      </c>
      <c r="D7" s="295">
        <f t="shared" si="14"/>
        <v>0</v>
      </c>
      <c r="E7" s="295">
        <f t="shared" si="15"/>
        <v>1112469</v>
      </c>
      <c r="F7" s="604">
        <f t="shared" si="8"/>
        <v>161138</v>
      </c>
      <c r="G7" s="160">
        <f t="shared" si="1"/>
        <v>0</v>
      </c>
      <c r="H7" s="604">
        <f t="shared" si="9"/>
        <v>550210</v>
      </c>
      <c r="I7" s="161">
        <f t="shared" si="2"/>
        <v>0</v>
      </c>
      <c r="J7" s="604">
        <f t="shared" si="10"/>
        <v>401121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0</v>
      </c>
      <c r="T7" s="321">
        <f t="shared" si="16"/>
        <v>0</v>
      </c>
      <c r="V7" s="652" t="s">
        <v>203</v>
      </c>
      <c r="W7" s="653"/>
      <c r="X7" s="654" t="s">
        <v>204</v>
      </c>
      <c r="Y7" s="655"/>
      <c r="Z7" s="656"/>
      <c r="AA7" s="170"/>
      <c r="AB7" s="667"/>
      <c r="AC7" s="668"/>
    </row>
    <row r="8" spans="1:32" ht="20.100000000000001" customHeight="1">
      <c r="A8" s="163">
        <f>ELEC!C8</f>
        <v>44625</v>
      </c>
      <c r="B8" s="604">
        <f t="shared" si="7"/>
        <v>1112469</v>
      </c>
      <c r="C8" s="254">
        <f t="shared" si="0"/>
        <v>0</v>
      </c>
      <c r="D8" s="295">
        <f t="shared" si="14"/>
        <v>0</v>
      </c>
      <c r="E8" s="295">
        <f t="shared" si="15"/>
        <v>1112469</v>
      </c>
      <c r="F8" s="604">
        <f t="shared" si="8"/>
        <v>161138</v>
      </c>
      <c r="G8" s="160">
        <f t="shared" si="1"/>
        <v>0</v>
      </c>
      <c r="H8" s="604">
        <f t="shared" si="9"/>
        <v>550210</v>
      </c>
      <c r="I8" s="161">
        <f t="shared" si="2"/>
        <v>0</v>
      </c>
      <c r="J8" s="604">
        <f t="shared" si="10"/>
        <v>401121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0</v>
      </c>
      <c r="R8" s="285">
        <f t="shared" si="13"/>
        <v>154.80303857058792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44626</v>
      </c>
      <c r="B9" s="604">
        <v>1112713</v>
      </c>
      <c r="C9" s="254">
        <f t="shared" si="0"/>
        <v>244</v>
      </c>
      <c r="D9" s="295">
        <f t="shared" si="14"/>
        <v>245</v>
      </c>
      <c r="E9" s="295">
        <f t="shared" si="15"/>
        <v>1112714</v>
      </c>
      <c r="F9" s="604">
        <f t="shared" si="8"/>
        <v>161138</v>
      </c>
      <c r="G9" s="160">
        <f t="shared" si="1"/>
        <v>0</v>
      </c>
      <c r="H9" s="604">
        <v>550422</v>
      </c>
      <c r="I9" s="161">
        <f t="shared" si="2"/>
        <v>212</v>
      </c>
      <c r="J9" s="604">
        <v>401154</v>
      </c>
      <c r="K9" s="162">
        <f>J9-J8</f>
        <v>33</v>
      </c>
      <c r="L9" s="284">
        <f t="shared" si="3"/>
        <v>0</v>
      </c>
      <c r="M9" s="284">
        <f t="shared" si="4"/>
        <v>15.750580431177447</v>
      </c>
      <c r="N9" s="284">
        <f t="shared" si="5"/>
        <v>1.7512437810945274</v>
      </c>
      <c r="O9" s="284">
        <f t="shared" si="6"/>
        <v>154.80303857058792</v>
      </c>
      <c r="P9" s="285">
        <f t="shared" si="12"/>
        <v>172.30486278285989</v>
      </c>
      <c r="Q9" s="285">
        <f>SUM(-tanks!AX11*tanks!$AU$37)</f>
        <v>1992.3276774193573</v>
      </c>
      <c r="R9" s="285">
        <f>SUM(P9:Q9)</f>
        <v>2164.6325402022171</v>
      </c>
      <c r="S9" s="287">
        <f>SUM(ELEC!N9)</f>
        <v>6030</v>
      </c>
      <c r="T9" s="321">
        <f t="shared" si="16"/>
        <v>0.3589772040136347</v>
      </c>
      <c r="V9" s="246">
        <f>'[2]EDl log'!V26</f>
        <v>400529</v>
      </c>
      <c r="W9" s="246">
        <f>'[2]EDl log'!W26</f>
        <v>400976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447</v>
      </c>
      <c r="AB9" s="610">
        <f>'[2]EDl log'!AB26</f>
        <v>35760</v>
      </c>
      <c r="AC9" s="610">
        <f>'[2]EDl log'!AC26</f>
        <v>1033333</v>
      </c>
      <c r="AD9" s="608">
        <f>'[2]EDl log'!AD26</f>
        <v>0.16747845635069314</v>
      </c>
      <c r="AE9" s="172"/>
      <c r="AF9" s="172"/>
    </row>
    <row r="10" spans="1:32" ht="20.100000000000001" customHeight="1">
      <c r="A10" s="163">
        <f>ELEC!C10</f>
        <v>44627</v>
      </c>
      <c r="B10" s="604">
        <v>1112892</v>
      </c>
      <c r="C10" s="254">
        <f t="shared" si="0"/>
        <v>179</v>
      </c>
      <c r="D10" s="295">
        <f t="shared" si="14"/>
        <v>178</v>
      </c>
      <c r="E10" s="295">
        <f t="shared" si="15"/>
        <v>1112891</v>
      </c>
      <c r="F10" s="604">
        <f t="shared" si="8"/>
        <v>161138</v>
      </c>
      <c r="G10" s="160">
        <f t="shared" si="1"/>
        <v>0</v>
      </c>
      <c r="H10" s="604">
        <v>550600</v>
      </c>
      <c r="I10" s="161">
        <f t="shared" si="2"/>
        <v>178</v>
      </c>
      <c r="J10" s="626">
        <v>401154</v>
      </c>
      <c r="K10" s="162">
        <f t="shared" si="11"/>
        <v>0</v>
      </c>
      <c r="L10" s="284">
        <f t="shared" si="3"/>
        <v>0</v>
      </c>
      <c r="M10" s="284">
        <f t="shared" si="4"/>
        <v>13.224543946932007</v>
      </c>
      <c r="N10" s="284">
        <f t="shared" si="5"/>
        <v>0</v>
      </c>
      <c r="O10" s="284">
        <f t="shared" si="6"/>
        <v>154.80303857058792</v>
      </c>
      <c r="P10" s="285">
        <f t="shared" si="12"/>
        <v>168.02758251751993</v>
      </c>
      <c r="Q10" s="285">
        <f>SUM(-tanks!AX12*tanks!$AU$37)</f>
        <v>1749.8290080645068</v>
      </c>
      <c r="R10" s="285">
        <f t="shared" si="13"/>
        <v>1917.8565905820267</v>
      </c>
      <c r="S10" s="287">
        <f>SUM(ELEC!N10)</f>
        <v>4353</v>
      </c>
      <c r="T10" s="321">
        <f t="shared" si="16"/>
        <v>0.44058272239421703</v>
      </c>
      <c r="V10" s="246">
        <f>'[2]EDl log'!V27</f>
        <v>548374</v>
      </c>
      <c r="W10" s="246">
        <f>'[2]EDl log'!W27</f>
        <v>550000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1626</v>
      </c>
      <c r="AB10" s="610">
        <f>'[2]EDl log'!AB27</f>
        <v>182112</v>
      </c>
      <c r="AC10" s="610">
        <f>'[2]EDl log'!AC27</f>
        <v>6200000</v>
      </c>
      <c r="AD10" s="608">
        <f>'[2]EDl log'!AD27</f>
        <v>0.60921693518171605</v>
      </c>
      <c r="AE10" s="172"/>
      <c r="AF10" s="172"/>
    </row>
    <row r="11" spans="1:32" ht="20.100000000000001" customHeight="1">
      <c r="A11" s="163">
        <f>ELEC!C11</f>
        <v>44628</v>
      </c>
      <c r="B11" s="627">
        <v>1113166</v>
      </c>
      <c r="C11" s="254">
        <f t="shared" si="0"/>
        <v>274</v>
      </c>
      <c r="D11" s="295">
        <f t="shared" si="14"/>
        <v>274</v>
      </c>
      <c r="E11" s="295">
        <f t="shared" si="15"/>
        <v>1113166</v>
      </c>
      <c r="F11" s="604">
        <f t="shared" si="8"/>
        <v>161138</v>
      </c>
      <c r="G11" s="160">
        <f t="shared" si="1"/>
        <v>0</v>
      </c>
      <c r="H11" s="627">
        <v>550874</v>
      </c>
      <c r="I11" s="161">
        <f t="shared" si="2"/>
        <v>274</v>
      </c>
      <c r="J11" s="604">
        <f t="shared" si="10"/>
        <v>401154</v>
      </c>
      <c r="K11" s="162">
        <f t="shared" si="11"/>
        <v>0</v>
      </c>
      <c r="L11" s="284">
        <f t="shared" si="3"/>
        <v>0</v>
      </c>
      <c r="M11" s="284">
        <f t="shared" si="4"/>
        <v>20.356882255389717</v>
      </c>
      <c r="N11" s="284">
        <f t="shared" si="5"/>
        <v>0</v>
      </c>
      <c r="O11" s="284">
        <f t="shared" si="6"/>
        <v>154.80303857058792</v>
      </c>
      <c r="P11" s="285">
        <f t="shared" si="12"/>
        <v>175.15992082597762</v>
      </c>
      <c r="Q11" s="285">
        <f>SUM(-tanks!AX13*tanks!$AU$37)</f>
        <v>1574.9562580645218</v>
      </c>
      <c r="R11" s="285">
        <f t="shared" si="13"/>
        <v>1750.1161788904994</v>
      </c>
      <c r="S11" s="287">
        <f>SUM(ELEC!N11)</f>
        <v>5098</v>
      </c>
      <c r="T11" s="321">
        <f t="shared" si="16"/>
        <v>0.3432946604336013</v>
      </c>
      <c r="V11" s="246">
        <f>'[2]EDl log'!V28</f>
        <v>160439</v>
      </c>
      <c r="W11" s="246">
        <f>'[2]EDl log'!W28</f>
        <v>161035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596</v>
      </c>
      <c r="AB11" s="610">
        <f>'[2]EDl log'!AB28</f>
        <v>190720</v>
      </c>
      <c r="AC11" s="610">
        <f>'[2]EDl log'!AC28</f>
        <v>1000</v>
      </c>
      <c r="AD11" s="608">
        <f>'[2]EDl log'!AD28</f>
        <v>0.22330460846759087</v>
      </c>
      <c r="AE11" s="172">
        <f>'[5]EDl log'!AE28</f>
        <v>5600</v>
      </c>
      <c r="AF11" s="172">
        <f>'[5]EDl log'!AF28</f>
        <v>24800</v>
      </c>
    </row>
    <row r="12" spans="1:32" ht="20.100000000000001" customHeight="1">
      <c r="A12" s="163">
        <f>ELEC!C12</f>
        <v>44629</v>
      </c>
      <c r="B12" s="604">
        <v>1113179</v>
      </c>
      <c r="C12" s="254">
        <f t="shared" si="0"/>
        <v>13</v>
      </c>
      <c r="D12" s="295">
        <f t="shared" si="14"/>
        <v>13</v>
      </c>
      <c r="E12" s="295">
        <f t="shared" si="15"/>
        <v>1113179</v>
      </c>
      <c r="F12" s="604">
        <f t="shared" si="8"/>
        <v>161138</v>
      </c>
      <c r="G12" s="160">
        <f t="shared" si="1"/>
        <v>0</v>
      </c>
      <c r="H12" s="604">
        <v>550887</v>
      </c>
      <c r="I12" s="161">
        <f t="shared" si="2"/>
        <v>13</v>
      </c>
      <c r="J12" s="604">
        <f t="shared" si="10"/>
        <v>401154</v>
      </c>
      <c r="K12" s="162">
        <f t="shared" si="11"/>
        <v>0</v>
      </c>
      <c r="L12" s="284">
        <f t="shared" si="3"/>
        <v>0</v>
      </c>
      <c r="M12" s="284">
        <f t="shared" si="4"/>
        <v>0.96583747927031505</v>
      </c>
      <c r="N12" s="284">
        <f t="shared" si="5"/>
        <v>0</v>
      </c>
      <c r="O12" s="284">
        <f t="shared" si="6"/>
        <v>154.80303857058792</v>
      </c>
      <c r="P12" s="285">
        <f t="shared" si="12"/>
        <v>155.76887604985822</v>
      </c>
      <c r="Q12" s="285">
        <f>SUM(-tanks!AX14*tanks!$AU$37)</f>
        <v>546.04758870967862</v>
      </c>
      <c r="R12" s="285">
        <f t="shared" si="13"/>
        <v>701.81646475953687</v>
      </c>
      <c r="S12" s="287">
        <f>SUM(ELEC!N12)</f>
        <v>4939</v>
      </c>
      <c r="T12" s="321">
        <f t="shared" si="16"/>
        <v>0.14209687482476957</v>
      </c>
      <c r="V12" s="213"/>
      <c r="W12" s="214"/>
      <c r="X12" s="214"/>
      <c r="Y12" s="215"/>
      <c r="Z12" s="3"/>
      <c r="AA12" s="246">
        <f>'[2]EDl log'!AA29</f>
        <v>2669</v>
      </c>
      <c r="AB12" s="610">
        <f>'[2]EDl log'!AB29</f>
        <v>408592</v>
      </c>
      <c r="AC12" s="610">
        <f>'[2]EDl log'!AC29</f>
        <v>7234333</v>
      </c>
    </row>
    <row r="13" spans="1:32" ht="20.100000000000001" customHeight="1">
      <c r="A13" s="163">
        <f>ELEC!C13</f>
        <v>44630</v>
      </c>
      <c r="B13" s="604">
        <v>1113370</v>
      </c>
      <c r="C13" s="254">
        <f t="shared" si="0"/>
        <v>191</v>
      </c>
      <c r="D13" s="295">
        <f t="shared" si="14"/>
        <v>191</v>
      </c>
      <c r="E13" s="295">
        <f t="shared" si="15"/>
        <v>1113370</v>
      </c>
      <c r="F13" s="604">
        <f t="shared" si="8"/>
        <v>161138</v>
      </c>
      <c r="G13" s="160">
        <f t="shared" si="1"/>
        <v>0</v>
      </c>
      <c r="H13" s="604">
        <v>551078</v>
      </c>
      <c r="I13" s="161">
        <f t="shared" si="2"/>
        <v>191</v>
      </c>
      <c r="J13" s="604">
        <f t="shared" si="10"/>
        <v>401154</v>
      </c>
      <c r="K13" s="162">
        <f t="shared" si="11"/>
        <v>0</v>
      </c>
      <c r="L13" s="284">
        <f t="shared" si="3"/>
        <v>0</v>
      </c>
      <c r="M13" s="284">
        <f t="shared" si="4"/>
        <v>14.190381426202322</v>
      </c>
      <c r="N13" s="284">
        <f t="shared" si="5"/>
        <v>0</v>
      </c>
      <c r="O13" s="284">
        <f t="shared" si="6"/>
        <v>154.80303857058792</v>
      </c>
      <c r="P13" s="285">
        <f t="shared" si="12"/>
        <v>168.99341999679024</v>
      </c>
      <c r="Q13" s="285">
        <f>SUM(-tanks!AX15*tanks!$AU$37)</f>
        <v>-1202.3794999999925</v>
      </c>
      <c r="R13" s="285">
        <f t="shared" si="13"/>
        <v>-1033.3860800032023</v>
      </c>
      <c r="S13" s="287">
        <f>SUM(ELEC!N13)</f>
        <v>5500</v>
      </c>
      <c r="T13" s="321">
        <f>IF(S13&gt;0,R13/S13,0)</f>
        <v>-0.18788837818240042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/>
      <c r="AB13" s="610">
        <f>'[2]EDl log'!AB30</f>
        <v>7642925</v>
      </c>
      <c r="AC13" s="610"/>
    </row>
    <row r="14" spans="1:32" ht="20.100000000000001" customHeight="1">
      <c r="A14" s="163">
        <f>ELEC!C14</f>
        <v>44631</v>
      </c>
      <c r="B14" s="604">
        <f t="shared" si="7"/>
        <v>1113370</v>
      </c>
      <c r="C14" s="254">
        <f t="shared" si="0"/>
        <v>0</v>
      </c>
      <c r="D14" s="295">
        <f t="shared" si="14"/>
        <v>0</v>
      </c>
      <c r="E14" s="295">
        <f t="shared" si="15"/>
        <v>1113370</v>
      </c>
      <c r="F14" s="604">
        <f t="shared" si="8"/>
        <v>161138</v>
      </c>
      <c r="G14" s="160">
        <f t="shared" si="1"/>
        <v>0</v>
      </c>
      <c r="H14" s="604">
        <f t="shared" si="9"/>
        <v>551078</v>
      </c>
      <c r="I14" s="161">
        <f t="shared" si="2"/>
        <v>0</v>
      </c>
      <c r="J14" s="604">
        <f t="shared" si="10"/>
        <v>401154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1854.0049677419283</v>
      </c>
      <c r="R14" s="285">
        <f>SUM(P14:Q14)</f>
        <v>2008.8080063125162</v>
      </c>
      <c r="S14" s="287">
        <f>SUM(ELEC!N14)</f>
        <v>5222</v>
      </c>
      <c r="T14" s="321">
        <f>IF(S14&gt;0,R14/S14,0)</f>
        <v>0.38468173234632635</v>
      </c>
      <c r="V14" s="216"/>
      <c r="W14" s="514"/>
      <c r="X14" s="217"/>
      <c r="Y14" s="218"/>
      <c r="Z14" s="3"/>
      <c r="AA14" s="246"/>
      <c r="AB14" s="610"/>
      <c r="AC14" s="610"/>
    </row>
    <row r="15" spans="1:32" ht="20.100000000000001" customHeight="1">
      <c r="A15" s="163">
        <f>ELEC!C15</f>
        <v>44632</v>
      </c>
      <c r="B15" s="604">
        <f t="shared" si="7"/>
        <v>1113370</v>
      </c>
      <c r="C15" s="254">
        <f t="shared" si="0"/>
        <v>0</v>
      </c>
      <c r="D15" s="295">
        <f t="shared" si="14"/>
        <v>0</v>
      </c>
      <c r="E15" s="295">
        <f t="shared" si="15"/>
        <v>1113370</v>
      </c>
      <c r="F15" s="604">
        <f t="shared" si="8"/>
        <v>161138</v>
      </c>
      <c r="G15" s="160">
        <f t="shared" si="1"/>
        <v>0</v>
      </c>
      <c r="H15" s="604">
        <f t="shared" si="9"/>
        <v>551078</v>
      </c>
      <c r="I15" s="161">
        <f t="shared" si="2"/>
        <v>0</v>
      </c>
      <c r="J15" s="604">
        <f t="shared" si="10"/>
        <v>401154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/>
      <c r="AB15" s="610"/>
      <c r="AC15" s="610"/>
    </row>
    <row r="16" spans="1:32" ht="20.100000000000001" customHeight="1">
      <c r="A16" s="163">
        <f>ELEC!C16</f>
        <v>44633</v>
      </c>
      <c r="B16" s="604">
        <v>1113639</v>
      </c>
      <c r="C16" s="254">
        <f t="shared" si="0"/>
        <v>269</v>
      </c>
      <c r="D16" s="295">
        <f t="shared" si="14"/>
        <v>269</v>
      </c>
      <c r="E16" s="295">
        <f t="shared" si="15"/>
        <v>1113639</v>
      </c>
      <c r="F16" s="604">
        <f t="shared" si="8"/>
        <v>161138</v>
      </c>
      <c r="G16" s="160">
        <f t="shared" si="1"/>
        <v>0</v>
      </c>
      <c r="H16" s="604">
        <v>551269</v>
      </c>
      <c r="I16" s="161">
        <f t="shared" si="2"/>
        <v>191</v>
      </c>
      <c r="J16" s="604">
        <v>401232</v>
      </c>
      <c r="K16" s="162">
        <f>J16-J15</f>
        <v>78</v>
      </c>
      <c r="L16" s="284">
        <f>SUM(G16*$Y$28)/1507.5</f>
        <v>0</v>
      </c>
      <c r="M16" s="284">
        <f>SUM(I16*$Y$27)/1507.5</f>
        <v>14.190381426202322</v>
      </c>
      <c r="N16" s="284">
        <f>SUM(K16*$Y$26)/1507.5</f>
        <v>4.1393034825870645</v>
      </c>
      <c r="O16" s="284">
        <f t="shared" si="6"/>
        <v>154.80303857058792</v>
      </c>
      <c r="P16" s="285">
        <f>SUM(L16:O16)</f>
        <v>173.13272347937729</v>
      </c>
      <c r="Q16" s="285">
        <f>SUM(-tanks!AX18*tanks!$AU$37)</f>
        <v>964.0865887096561</v>
      </c>
      <c r="R16" s="285">
        <f>SUM(P16:Q16)</f>
        <v>1137.2193121890334</v>
      </c>
      <c r="S16" s="287">
        <f>SUM(ELEC!N16)</f>
        <v>3565</v>
      </c>
      <c r="T16" s="321">
        <f>IF(S16&gt;0,R16/S16,0)</f>
        <v>0.318995599492015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10">
        <f>'[2]EDl log'!AB33</f>
        <v>840721.75</v>
      </c>
      <c r="AC16" s="610">
        <f>'[2]EDl log'!AC33</f>
        <v>7234333</v>
      </c>
    </row>
    <row r="17" spans="1:32" ht="20.100000000000001" customHeight="1">
      <c r="A17" s="163">
        <f>ELEC!C17</f>
        <v>44634</v>
      </c>
      <c r="B17" s="604">
        <f t="shared" si="7"/>
        <v>1113639</v>
      </c>
      <c r="C17" s="254">
        <f t="shared" si="0"/>
        <v>0</v>
      </c>
      <c r="D17" s="295">
        <f t="shared" si="14"/>
        <v>0</v>
      </c>
      <c r="E17" s="295">
        <f t="shared" si="15"/>
        <v>1113639</v>
      </c>
      <c r="F17" s="604">
        <f t="shared" si="8"/>
        <v>161138</v>
      </c>
      <c r="G17" s="160">
        <f>F17-F16</f>
        <v>0</v>
      </c>
      <c r="H17" s="604">
        <f t="shared" si="9"/>
        <v>551269</v>
      </c>
      <c r="I17" s="161">
        <f t="shared" si="2"/>
        <v>0</v>
      </c>
      <c r="J17" s="604">
        <f t="shared" si="10"/>
        <v>401232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2193.7701370968016</v>
      </c>
      <c r="R17" s="285">
        <f>SUM(P17:Q17)</f>
        <v>2348.5731756673895</v>
      </c>
      <c r="S17" s="287">
        <f>SUM(ELEC!N17)</f>
        <v>5257</v>
      </c>
      <c r="T17" s="321">
        <f>IF(S17&gt;0,R17/S17,0)</f>
        <v>0.44675160275202386</v>
      </c>
      <c r="V17" s="216" t="s">
        <v>414</v>
      </c>
      <c r="Z17" s="3"/>
      <c r="AA17" s="246">
        <f>'[2]EDl log'!AA34</f>
        <v>0</v>
      </c>
      <c r="AB17" s="610">
        <f>'[2]EDl log'!AB34</f>
        <v>8483646.75</v>
      </c>
      <c r="AC17" s="610">
        <f>'[2]EDl log'!AC34</f>
        <v>0</v>
      </c>
    </row>
    <row r="18" spans="1:32" ht="20.100000000000001" customHeight="1" thickBot="1">
      <c r="A18" s="163">
        <f>ELEC!C18</f>
        <v>44635</v>
      </c>
      <c r="B18" s="604">
        <v>1113783</v>
      </c>
      <c r="C18" s="254">
        <f>SUM(B18-B17)</f>
        <v>144</v>
      </c>
      <c r="D18" s="295">
        <f>SUM(G18+I18+K18)</f>
        <v>143</v>
      </c>
      <c r="E18" s="295">
        <f t="shared" si="15"/>
        <v>1113782</v>
      </c>
      <c r="F18" s="604">
        <f t="shared" si="8"/>
        <v>161138</v>
      </c>
      <c r="G18" s="160">
        <f t="shared" si="1"/>
        <v>0</v>
      </c>
      <c r="H18" s="604">
        <v>551412</v>
      </c>
      <c r="I18" s="161">
        <f t="shared" si="2"/>
        <v>143</v>
      </c>
      <c r="J18" s="604">
        <f t="shared" si="10"/>
        <v>401232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10.624212271973466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165.42725084256139</v>
      </c>
      <c r="Q18" s="285">
        <f>SUM(-tanks!AX20*tanks!$AU$37)</f>
        <v>2568.0158467741703</v>
      </c>
      <c r="R18" s="285">
        <f t="shared" si="13"/>
        <v>2733.4430976167318</v>
      </c>
      <c r="S18" s="287">
        <f>SUM(ELEC!N18)</f>
        <v>5713</v>
      </c>
      <c r="T18" s="321">
        <f t="shared" si="16"/>
        <v>0.47846019562694414</v>
      </c>
      <c r="V18" s="226"/>
      <c r="W18" s="227"/>
      <c r="X18" s="227"/>
      <c r="Y18" s="227"/>
      <c r="Z18" s="3"/>
      <c r="AA18" s="246">
        <f>'[2]EDl log'!AA35</f>
        <v>0</v>
      </c>
      <c r="AB18" s="610">
        <f>'[2]EDl log'!AB35</f>
        <v>0</v>
      </c>
      <c r="AC18" s="610">
        <f>'[2]EDl log'!AC35</f>
        <v>0</v>
      </c>
    </row>
    <row r="19" spans="1:32" ht="20.100000000000001" customHeight="1" thickBot="1">
      <c r="A19" s="163">
        <f>ELEC!C19</f>
        <v>44636</v>
      </c>
      <c r="B19" s="604">
        <v>1114016</v>
      </c>
      <c r="C19" s="254">
        <f t="shared" si="0"/>
        <v>233</v>
      </c>
      <c r="D19" s="295">
        <f t="shared" si="14"/>
        <v>244</v>
      </c>
      <c r="E19" s="295">
        <f t="shared" si="15"/>
        <v>1114027</v>
      </c>
      <c r="F19" s="604">
        <v>161240</v>
      </c>
      <c r="G19" s="160">
        <f t="shared" si="1"/>
        <v>102</v>
      </c>
      <c r="H19" s="604">
        <v>551554</v>
      </c>
      <c r="I19" s="161">
        <f t="shared" si="2"/>
        <v>142</v>
      </c>
      <c r="J19" s="604">
        <v>401232</v>
      </c>
      <c r="K19" s="162">
        <f t="shared" si="11"/>
        <v>0</v>
      </c>
      <c r="L19" s="284">
        <f>SUM(G19*$Y$28)/1507.5</f>
        <v>21.651741293532339</v>
      </c>
      <c r="M19" s="284">
        <f>SUM(I19*$Y$27)/1507.5</f>
        <v>10.549917081260364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187.0046969453806</v>
      </c>
      <c r="Q19" s="285">
        <f>SUM(-tanks!AX21*tanks!$AU$37)</f>
        <v>997.0650725806579</v>
      </c>
      <c r="R19" s="285">
        <f>SUM(P19:Q19)</f>
        <v>1184.0697695260385</v>
      </c>
      <c r="S19" s="287">
        <f>SUM(ELEC!N19)</f>
        <v>5689</v>
      </c>
      <c r="T19" s="321">
        <f>IF(S19&gt;0,R19/S19,0)</f>
        <v>0.20813319907295455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09">
        <f>'[2]EDl log'!AB36</f>
        <v>5069.9336650082914</v>
      </c>
      <c r="AC19" s="610">
        <f>'[2]EDl log'!AC36</f>
        <v>0</v>
      </c>
    </row>
    <row r="20" spans="1:32" ht="20.100000000000001" customHeight="1" thickBot="1">
      <c r="A20" s="163">
        <f>ELEC!C20</f>
        <v>44637</v>
      </c>
      <c r="B20" s="604">
        <v>1114193</v>
      </c>
      <c r="C20" s="254">
        <f t="shared" si="0"/>
        <v>177</v>
      </c>
      <c r="D20" s="295">
        <f t="shared" si="14"/>
        <v>166</v>
      </c>
      <c r="E20" s="295">
        <v>160188</v>
      </c>
      <c r="F20" s="604">
        <v>161240</v>
      </c>
      <c r="G20" s="160">
        <f t="shared" si="1"/>
        <v>0</v>
      </c>
      <c r="H20" s="604">
        <v>551720</v>
      </c>
      <c r="I20" s="161">
        <f t="shared" si="2"/>
        <v>166</v>
      </c>
      <c r="J20" s="604">
        <f t="shared" si="10"/>
        <v>401232</v>
      </c>
      <c r="K20" s="162">
        <f t="shared" si="11"/>
        <v>0</v>
      </c>
      <c r="L20" s="284">
        <f t="shared" si="17"/>
        <v>0</v>
      </c>
      <c r="M20" s="284">
        <f t="shared" si="18"/>
        <v>12.333001658374792</v>
      </c>
      <c r="N20" s="284">
        <f t="shared" si="19"/>
        <v>0</v>
      </c>
      <c r="O20" s="284">
        <f t="shared" si="6"/>
        <v>154.80303857058792</v>
      </c>
      <c r="P20" s="285">
        <f t="shared" si="12"/>
        <v>167.13604022896271</v>
      </c>
      <c r="Q20" s="285">
        <f>SUM(-tanks!AX22*tanks!$AU$37)</f>
        <v>1102.8432258064574</v>
      </c>
      <c r="R20" s="285">
        <f t="shared" si="13"/>
        <v>1269.9792660354201</v>
      </c>
      <c r="S20" s="287">
        <f>SUM(ELEC!N20)</f>
        <v>5365</v>
      </c>
      <c r="T20" s="321">
        <f t="shared" si="16"/>
        <v>0.23671561342691894</v>
      </c>
      <c r="AB20" s="527"/>
    </row>
    <row r="21" spans="1:32" ht="20.100000000000001" customHeight="1">
      <c r="A21" s="163">
        <f>ELEC!C21</f>
        <v>44638</v>
      </c>
      <c r="B21" s="604">
        <f t="shared" si="7"/>
        <v>1114193</v>
      </c>
      <c r="C21" s="254">
        <f t="shared" si="0"/>
        <v>0</v>
      </c>
      <c r="D21" s="295">
        <f t="shared" si="14"/>
        <v>0</v>
      </c>
      <c r="E21" s="295">
        <f t="shared" si="15"/>
        <v>1114193</v>
      </c>
      <c r="F21" s="604">
        <f t="shared" si="8"/>
        <v>161240</v>
      </c>
      <c r="G21" s="160">
        <f t="shared" si="1"/>
        <v>0</v>
      </c>
      <c r="H21" s="604">
        <f t="shared" si="9"/>
        <v>551720</v>
      </c>
      <c r="I21" s="161">
        <f t="shared" si="2"/>
        <v>0</v>
      </c>
      <c r="J21" s="604">
        <f t="shared" si="10"/>
        <v>401232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44642</v>
      </c>
      <c r="X21" s="168"/>
      <c r="Y21" s="168"/>
      <c r="Z21" s="169" t="s">
        <v>201</v>
      </c>
      <c r="AA21" s="168"/>
      <c r="AB21" s="663"/>
      <c r="AC21" s="664"/>
    </row>
    <row r="22" spans="1:32" ht="20.100000000000001" customHeight="1">
      <c r="A22" s="163">
        <f>ELEC!C22</f>
        <v>44639</v>
      </c>
      <c r="B22" s="604">
        <f t="shared" si="7"/>
        <v>1114193</v>
      </c>
      <c r="C22" s="254">
        <f t="shared" si="0"/>
        <v>0</v>
      </c>
      <c r="D22" s="295">
        <f t="shared" si="14"/>
        <v>0</v>
      </c>
      <c r="E22" s="295">
        <f t="shared" si="15"/>
        <v>1114193</v>
      </c>
      <c r="F22" s="604">
        <f t="shared" si="8"/>
        <v>161240</v>
      </c>
      <c r="G22" s="160">
        <f t="shared" si="1"/>
        <v>0</v>
      </c>
      <c r="H22" s="604">
        <f t="shared" si="9"/>
        <v>551720</v>
      </c>
      <c r="I22" s="161">
        <f t="shared" si="2"/>
        <v>0</v>
      </c>
      <c r="J22" s="604">
        <f t="shared" si="10"/>
        <v>401232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57"/>
      <c r="W22" s="658"/>
      <c r="X22" s="658"/>
      <c r="Y22" s="659"/>
      <c r="Z22" s="26" t="s">
        <v>202</v>
      </c>
      <c r="AA22" s="26">
        <v>5000</v>
      </c>
      <c r="AB22" s="665"/>
      <c r="AC22" s="666"/>
    </row>
    <row r="23" spans="1:32" ht="20.100000000000001" customHeight="1">
      <c r="A23" s="163">
        <f>ELEC!C23</f>
        <v>44640</v>
      </c>
      <c r="B23" s="604">
        <v>1114254</v>
      </c>
      <c r="C23" s="254">
        <f t="shared" si="0"/>
        <v>61</v>
      </c>
      <c r="D23" s="295">
        <f t="shared" si="14"/>
        <v>61</v>
      </c>
      <c r="E23" s="295">
        <f t="shared" si="15"/>
        <v>1114254</v>
      </c>
      <c r="F23" s="604">
        <f t="shared" si="8"/>
        <v>161240</v>
      </c>
      <c r="G23" s="160">
        <f t="shared" si="1"/>
        <v>0</v>
      </c>
      <c r="H23" s="604">
        <v>551781</v>
      </c>
      <c r="I23" s="161">
        <f t="shared" si="2"/>
        <v>61</v>
      </c>
      <c r="J23" s="604">
        <f t="shared" si="10"/>
        <v>401232</v>
      </c>
      <c r="K23" s="162">
        <f t="shared" si="11"/>
        <v>0</v>
      </c>
      <c r="L23" s="284">
        <f t="shared" si="17"/>
        <v>0</v>
      </c>
      <c r="M23" s="284">
        <f t="shared" si="18"/>
        <v>4.5320066334991704</v>
      </c>
      <c r="N23" s="284">
        <f t="shared" si="19"/>
        <v>0</v>
      </c>
      <c r="O23" s="284">
        <f t="shared" si="6"/>
        <v>154.80303857058792</v>
      </c>
      <c r="P23" s="285">
        <f t="shared" si="12"/>
        <v>159.33504520408709</v>
      </c>
      <c r="Q23" s="285">
        <f>SUM(-tanks!AX25*tanks!$AU$37)</f>
        <v>1342.3711612903289</v>
      </c>
      <c r="R23" s="285">
        <f t="shared" si="13"/>
        <v>1501.7062064944159</v>
      </c>
      <c r="S23" s="287">
        <f>SUM(ELEC!N23)</f>
        <v>5488</v>
      </c>
      <c r="T23" s="321">
        <f t="shared" si="16"/>
        <v>0.27363451284519241</v>
      </c>
      <c r="V23" s="660"/>
      <c r="W23" s="661"/>
      <c r="X23" s="661"/>
      <c r="Y23" s="662"/>
      <c r="Z23" s="669"/>
      <c r="AA23" s="670"/>
      <c r="AB23" s="665"/>
      <c r="AC23" s="666"/>
    </row>
    <row r="24" spans="1:32" ht="20.100000000000001" customHeight="1">
      <c r="A24" s="163">
        <f>ELEC!C24</f>
        <v>44641</v>
      </c>
      <c r="B24" s="604">
        <v>1114436</v>
      </c>
      <c r="C24" s="254">
        <f t="shared" si="0"/>
        <v>182</v>
      </c>
      <c r="D24" s="295">
        <f t="shared" si="14"/>
        <v>181</v>
      </c>
      <c r="E24" s="295">
        <f t="shared" si="15"/>
        <v>1114435</v>
      </c>
      <c r="F24" s="604">
        <f t="shared" si="8"/>
        <v>161240</v>
      </c>
      <c r="G24" s="160">
        <f t="shared" si="1"/>
        <v>0</v>
      </c>
      <c r="H24" s="604">
        <v>551962</v>
      </c>
      <c r="I24" s="161">
        <f t="shared" si="2"/>
        <v>181</v>
      </c>
      <c r="J24" s="604">
        <f t="shared" si="10"/>
        <v>401232</v>
      </c>
      <c r="K24" s="162">
        <f t="shared" si="11"/>
        <v>0</v>
      </c>
      <c r="L24" s="284">
        <f t="shared" si="17"/>
        <v>0</v>
      </c>
      <c r="M24" s="284">
        <f t="shared" si="18"/>
        <v>13.44742951907131</v>
      </c>
      <c r="N24" s="284">
        <f t="shared" si="19"/>
        <v>0</v>
      </c>
      <c r="O24" s="284">
        <f t="shared" si="6"/>
        <v>154.80303857058792</v>
      </c>
      <c r="P24" s="285">
        <f t="shared" si="12"/>
        <v>168.25046808965922</v>
      </c>
      <c r="Q24" s="285">
        <f>SUM(-tanks!AX26*tanks!$AU$37)</f>
        <v>2070.9686774193424</v>
      </c>
      <c r="R24" s="285">
        <f t="shared" si="13"/>
        <v>2239.2191455090015</v>
      </c>
      <c r="S24" s="287">
        <f>SUM(ELEC!N24)</f>
        <v>5011</v>
      </c>
      <c r="T24" s="321">
        <f t="shared" si="16"/>
        <v>0.44686073548373606</v>
      </c>
      <c r="V24" s="652" t="s">
        <v>203</v>
      </c>
      <c r="W24" s="653"/>
      <c r="X24" s="654" t="s">
        <v>204</v>
      </c>
      <c r="Y24" s="655"/>
      <c r="Z24" s="656"/>
      <c r="AA24" s="170"/>
      <c r="AB24" s="667"/>
      <c r="AC24" s="668"/>
    </row>
    <row r="25" spans="1:32" ht="20.100000000000001" customHeight="1">
      <c r="A25" s="163">
        <f>ELEC!C25</f>
        <v>44642</v>
      </c>
      <c r="B25" s="604">
        <f t="shared" si="7"/>
        <v>1114436</v>
      </c>
      <c r="C25" s="254">
        <f t="shared" si="0"/>
        <v>0</v>
      </c>
      <c r="D25" s="295">
        <f t="shared" si="14"/>
        <v>0</v>
      </c>
      <c r="E25" s="295">
        <f t="shared" si="15"/>
        <v>1114436</v>
      </c>
      <c r="F25" s="604">
        <f t="shared" si="8"/>
        <v>161240</v>
      </c>
      <c r="G25" s="160">
        <f t="shared" si="1"/>
        <v>0</v>
      </c>
      <c r="H25" s="604">
        <f t="shared" si="9"/>
        <v>551962</v>
      </c>
      <c r="I25" s="161">
        <f t="shared" si="2"/>
        <v>0</v>
      </c>
      <c r="J25" s="604">
        <f t="shared" si="10"/>
        <v>401232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1616.3462580645294</v>
      </c>
      <c r="R25" s="285">
        <f t="shared" si="13"/>
        <v>1771.1492966351173</v>
      </c>
      <c r="S25" s="287">
        <f>SUM(ELEC!N25)</f>
        <v>5054</v>
      </c>
      <c r="T25" s="321">
        <f t="shared" si="16"/>
        <v>0.35044505275724519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44643</v>
      </c>
      <c r="B26" s="604">
        <v>1114696</v>
      </c>
      <c r="C26" s="254">
        <f t="shared" si="0"/>
        <v>260</v>
      </c>
      <c r="D26" s="295">
        <f t="shared" si="14"/>
        <v>261</v>
      </c>
      <c r="E26" s="295">
        <f t="shared" si="15"/>
        <v>1114697</v>
      </c>
      <c r="F26" s="604">
        <v>161294</v>
      </c>
      <c r="G26" s="160">
        <f t="shared" si="1"/>
        <v>54</v>
      </c>
      <c r="H26" s="604">
        <v>552168</v>
      </c>
      <c r="I26" s="161">
        <f t="shared" si="2"/>
        <v>206</v>
      </c>
      <c r="J26" s="604">
        <v>401233</v>
      </c>
      <c r="K26" s="162">
        <f t="shared" si="11"/>
        <v>1</v>
      </c>
      <c r="L26" s="284">
        <f t="shared" si="17"/>
        <v>11.462686567164178</v>
      </c>
      <c r="M26" s="284">
        <f t="shared" si="18"/>
        <v>15.304809286898839</v>
      </c>
      <c r="N26" s="284">
        <f t="shared" si="19"/>
        <v>5.306799336650083E-2</v>
      </c>
      <c r="O26" s="284">
        <f t="shared" si="6"/>
        <v>154.80303857058792</v>
      </c>
      <c r="P26" s="285">
        <f t="shared" si="12"/>
        <v>181.62360241801744</v>
      </c>
      <c r="Q26" s="285">
        <f>SUM(-tanks!AX28*tanks!$AU$37)</f>
        <v>1536.8374032257998</v>
      </c>
      <c r="R26" s="285">
        <f t="shared" si="13"/>
        <v>1718.4610056438173</v>
      </c>
      <c r="S26" s="287">
        <f>SUM(ELEC!N26)</f>
        <v>5601</v>
      </c>
      <c r="T26" s="321">
        <f t="shared" si="16"/>
        <v>0.30681324864199561</v>
      </c>
      <c r="V26" s="246">
        <f>W9</f>
        <v>400976</v>
      </c>
      <c r="W26" s="170">
        <f>J34</f>
        <v>401233</v>
      </c>
      <c r="X26" s="172" t="s">
        <v>199</v>
      </c>
      <c r="Y26" s="172">
        <v>80</v>
      </c>
      <c r="Z26" s="172">
        <v>1</v>
      </c>
      <c r="AA26" s="323">
        <f>(W26-V26)*Z26</f>
        <v>257</v>
      </c>
      <c r="AB26" s="323">
        <f>AA26*Y26</f>
        <v>20560</v>
      </c>
      <c r="AC26" s="244">
        <f>AC9</f>
        <v>1033333</v>
      </c>
      <c r="AD26" s="476">
        <f>SUM(K36)</f>
        <v>7.2887124220079411E-2</v>
      </c>
    </row>
    <row r="27" spans="1:32" ht="20.100000000000001" customHeight="1">
      <c r="A27" s="163">
        <f>ELEC!C27</f>
        <v>44644</v>
      </c>
      <c r="B27" s="604">
        <f t="shared" si="7"/>
        <v>1114696</v>
      </c>
      <c r="C27" s="254">
        <f t="shared" si="0"/>
        <v>0</v>
      </c>
      <c r="D27" s="295">
        <f t="shared" si="14"/>
        <v>0</v>
      </c>
      <c r="E27" s="295">
        <f t="shared" si="15"/>
        <v>1114696</v>
      </c>
      <c r="F27" s="604">
        <f t="shared" si="8"/>
        <v>161294</v>
      </c>
      <c r="G27" s="160">
        <f t="shared" si="1"/>
        <v>0</v>
      </c>
      <c r="H27" s="604">
        <f t="shared" si="9"/>
        <v>552168</v>
      </c>
      <c r="I27" s="161">
        <f t="shared" si="2"/>
        <v>0</v>
      </c>
      <c r="J27" s="604">
        <f t="shared" si="10"/>
        <v>401233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1569.7825080644993</v>
      </c>
      <c r="R27" s="285">
        <f t="shared" si="13"/>
        <v>1724.5855466350872</v>
      </c>
      <c r="S27" s="287">
        <f>SUM(ELEC!N27)</f>
        <v>5300</v>
      </c>
      <c r="T27" s="321">
        <f t="shared" si="16"/>
        <v>0.32539349936511081</v>
      </c>
      <c r="V27" s="246">
        <f>W10</f>
        <v>550000</v>
      </c>
      <c r="W27" s="170">
        <f>H34</f>
        <v>553010</v>
      </c>
      <c r="X27" s="172" t="s">
        <v>212</v>
      </c>
      <c r="Y27" s="172">
        <v>112</v>
      </c>
      <c r="Z27" s="172">
        <v>1</v>
      </c>
      <c r="AA27" s="323">
        <f>(W27-V27)*Z27</f>
        <v>3010</v>
      </c>
      <c r="AB27" s="323">
        <f>SUM(AA27*Y27)</f>
        <v>337120</v>
      </c>
      <c r="AC27" s="244">
        <f>AC10</f>
        <v>6200000</v>
      </c>
      <c r="AD27" s="476">
        <f>SUM(I36)</f>
        <v>0.85365853658536583</v>
      </c>
    </row>
    <row r="28" spans="1:32" ht="20.100000000000001" customHeight="1">
      <c r="A28" s="163">
        <f>ELEC!C28</f>
        <v>44645</v>
      </c>
      <c r="B28" s="604">
        <f t="shared" si="7"/>
        <v>1114696</v>
      </c>
      <c r="C28" s="254">
        <f t="shared" si="0"/>
        <v>0</v>
      </c>
      <c r="D28" s="295">
        <f t="shared" si="14"/>
        <v>0</v>
      </c>
      <c r="E28" s="295">
        <f>B27+D28</f>
        <v>1114696</v>
      </c>
      <c r="F28" s="604">
        <f t="shared" si="8"/>
        <v>161294</v>
      </c>
      <c r="G28" s="160">
        <f t="shared" si="1"/>
        <v>0</v>
      </c>
      <c r="H28" s="604">
        <f t="shared" si="9"/>
        <v>552168</v>
      </c>
      <c r="I28" s="161">
        <f t="shared" si="2"/>
        <v>0</v>
      </c>
      <c r="J28" s="604">
        <f t="shared" si="10"/>
        <v>401233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161035</v>
      </c>
      <c r="W28" s="170">
        <f>F34</f>
        <v>161294</v>
      </c>
      <c r="X28" s="172" t="s">
        <v>197</v>
      </c>
      <c r="Y28" s="172">
        <v>320</v>
      </c>
      <c r="Z28" s="172">
        <v>1</v>
      </c>
      <c r="AA28" s="323">
        <f>(W28-V28)*Z28</f>
        <v>259</v>
      </c>
      <c r="AB28" s="323">
        <f>SUM(AA28*Y28)</f>
        <v>82880</v>
      </c>
      <c r="AC28" s="244">
        <f>AC11</f>
        <v>1000</v>
      </c>
      <c r="AD28" s="476">
        <f>SUM(G36)</f>
        <v>7.3454339194554741E-2</v>
      </c>
      <c r="AE28" s="40">
        <f>SUM(AB28*5%)</f>
        <v>4144</v>
      </c>
      <c r="AF28" s="82">
        <f>SUM(AE28/7)*31</f>
        <v>18352</v>
      </c>
    </row>
    <row r="29" spans="1:32" ht="20.100000000000001" customHeight="1">
      <c r="A29" s="163">
        <f>ELEC!C29</f>
        <v>44646</v>
      </c>
      <c r="B29" s="604">
        <f t="shared" si="7"/>
        <v>1114696</v>
      </c>
      <c r="C29" s="254">
        <f t="shared" si="0"/>
        <v>0</v>
      </c>
      <c r="D29" s="295">
        <f t="shared" si="14"/>
        <v>0</v>
      </c>
      <c r="E29" s="295">
        <f>B28+D29</f>
        <v>1114696</v>
      </c>
      <c r="F29" s="604">
        <f t="shared" si="8"/>
        <v>161294</v>
      </c>
      <c r="G29" s="160">
        <f t="shared" si="1"/>
        <v>0</v>
      </c>
      <c r="H29" s="604">
        <f t="shared" si="9"/>
        <v>552168</v>
      </c>
      <c r="I29" s="161">
        <f t="shared" si="2"/>
        <v>0</v>
      </c>
      <c r="J29" s="604">
        <f t="shared" si="10"/>
        <v>401233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3526</v>
      </c>
      <c r="AB29" s="323">
        <f>SUM(AB26:AB28)</f>
        <v>440560</v>
      </c>
      <c r="AC29" s="244">
        <f>SUM(AC26:AC28)</f>
        <v>7234333</v>
      </c>
    </row>
    <row r="30" spans="1:32" ht="20.100000000000001" customHeight="1">
      <c r="A30" s="163">
        <f>ELEC!C30</f>
        <v>44647</v>
      </c>
      <c r="B30" s="604">
        <v>1115314</v>
      </c>
      <c r="C30" s="254">
        <f t="shared" si="0"/>
        <v>618</v>
      </c>
      <c r="D30" s="295">
        <f t="shared" si="14"/>
        <v>618</v>
      </c>
      <c r="E30" s="295">
        <f t="shared" si="15"/>
        <v>1115314</v>
      </c>
      <c r="F30" s="604">
        <f t="shared" si="8"/>
        <v>161294</v>
      </c>
      <c r="G30" s="160">
        <f t="shared" si="1"/>
        <v>0</v>
      </c>
      <c r="H30" s="604">
        <v>552786</v>
      </c>
      <c r="I30" s="161">
        <f t="shared" si="2"/>
        <v>618</v>
      </c>
      <c r="J30" s="604">
        <f t="shared" si="10"/>
        <v>401233</v>
      </c>
      <c r="K30" s="162">
        <f t="shared" si="11"/>
        <v>0</v>
      </c>
      <c r="L30" s="284">
        <f t="shared" si="17"/>
        <v>0</v>
      </c>
      <c r="M30" s="284">
        <f t="shared" si="18"/>
        <v>45.91442786069652</v>
      </c>
      <c r="N30" s="284">
        <f t="shared" si="19"/>
        <v>0</v>
      </c>
      <c r="O30" s="284">
        <f t="shared" si="6"/>
        <v>154.80303857058792</v>
      </c>
      <c r="P30" s="285">
        <f t="shared" si="12"/>
        <v>200.71746643128444</v>
      </c>
      <c r="Q30" s="285">
        <f>SUM(-tanks!AX32*tanks!$AU$37)</f>
        <v>1438.3692580645293</v>
      </c>
      <c r="R30" s="285">
        <f t="shared" si="13"/>
        <v>1639.0867244958138</v>
      </c>
      <c r="S30" s="287">
        <f>SUM(ELEC!N30)</f>
        <v>5202</v>
      </c>
      <c r="T30" s="321">
        <f t="shared" si="16"/>
        <v>0.31508779786540059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7674893</v>
      </c>
      <c r="AC30" s="244"/>
    </row>
    <row r="31" spans="1:32" ht="20.100000000000001" customHeight="1">
      <c r="A31" s="163">
        <f>ELEC!C31</f>
        <v>44648</v>
      </c>
      <c r="B31" s="604">
        <f t="shared" si="7"/>
        <v>1115314</v>
      </c>
      <c r="C31" s="254">
        <f>SUM(B31-B30)</f>
        <v>0</v>
      </c>
      <c r="D31" s="295">
        <f t="shared" si="14"/>
        <v>0</v>
      </c>
      <c r="E31" s="295">
        <f>B30+D31</f>
        <v>1115314</v>
      </c>
      <c r="F31" s="604">
        <f t="shared" si="8"/>
        <v>161294</v>
      </c>
      <c r="G31" s="160">
        <f>F31-F30</f>
        <v>0</v>
      </c>
      <c r="H31" s="604">
        <f t="shared" si="9"/>
        <v>552786</v>
      </c>
      <c r="I31" s="161">
        <f>H31-H30</f>
        <v>0</v>
      </c>
      <c r="J31" s="604">
        <f t="shared" si="10"/>
        <v>401233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1862.2829677419434</v>
      </c>
      <c r="R31" s="285">
        <f>SUM(P31:Q31)</f>
        <v>2017.0860063125313</v>
      </c>
      <c r="S31" s="287">
        <f>SUM(ELEC!N31)</f>
        <v>4634</v>
      </c>
      <c r="T31" s="321">
        <f>IF(S31&gt;0,R31/S31,0)</f>
        <v>0.43527967335186257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44649</v>
      </c>
      <c r="B32" s="604">
        <v>1115537</v>
      </c>
      <c r="C32" s="254">
        <f t="shared" ref="C32:C34" si="20">SUM(B32-B31)</f>
        <v>223</v>
      </c>
      <c r="D32" s="295">
        <f t="shared" ref="D32:D34" si="21">SUM(G32+I32+K32)</f>
        <v>224</v>
      </c>
      <c r="E32" s="295">
        <f t="shared" ref="E32:E34" si="22">B31+D32</f>
        <v>1115538</v>
      </c>
      <c r="F32" s="604">
        <f t="shared" si="8"/>
        <v>161294</v>
      </c>
      <c r="G32" s="160">
        <f t="shared" ref="G32:G34" si="23">F32-F31</f>
        <v>0</v>
      </c>
      <c r="H32" s="604">
        <v>553010</v>
      </c>
      <c r="I32" s="161">
        <f t="shared" ref="I32:I34" si="24">H32-H31</f>
        <v>224</v>
      </c>
      <c r="J32" s="604">
        <f t="shared" si="10"/>
        <v>401233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16.642122719734662</v>
      </c>
      <c r="N32" s="284">
        <f t="shared" ref="N32:N34" si="28">SUM(K32*$Y$26)/1507.5</f>
        <v>0</v>
      </c>
      <c r="O32" s="284">
        <f t="shared" si="6"/>
        <v>154.80303857058792</v>
      </c>
      <c r="P32" s="285">
        <f t="shared" ref="P32:P34" si="29">SUM(L32:O32)</f>
        <v>171.44516129032257</v>
      </c>
      <c r="Q32" s="285">
        <f>SUM(-tanks!AX34*tanks!$AU$37)</f>
        <v>757.63727419352756</v>
      </c>
      <c r="R32" s="285">
        <f t="shared" ref="R32:R34" si="30">SUM(P32:Q32)</f>
        <v>929.08243548385008</v>
      </c>
      <c r="S32" s="287">
        <f>SUM(ELEC!N32)</f>
        <v>4539</v>
      </c>
      <c r="T32" s="321">
        <f t="shared" ref="T32:T34" si="31">IF(S32&gt;0,R32/S32,0)</f>
        <v>0.20468879389377617</v>
      </c>
      <c r="V32" s="216" t="s">
        <v>315</v>
      </c>
      <c r="W32" s="540">
        <f>'Utility Cost '!B18</f>
        <v>232</v>
      </c>
      <c r="X32" s="222">
        <f>SUM(W32/A35)</f>
        <v>14.5</v>
      </c>
      <c r="Y32" s="250">
        <f>SUM(X32/1)</f>
        <v>14.5</v>
      </c>
      <c r="Z32" s="3"/>
      <c r="AA32" s="323"/>
      <c r="AB32" s="323"/>
      <c r="AC32" s="244"/>
    </row>
    <row r="33" spans="1:32" ht="20.100000000000001" customHeight="1">
      <c r="A33" s="163">
        <f>ELEC!C33</f>
        <v>44650</v>
      </c>
      <c r="B33" s="604">
        <f t="shared" si="7"/>
        <v>1115537</v>
      </c>
      <c r="C33" s="254">
        <f t="shared" si="20"/>
        <v>0</v>
      </c>
      <c r="D33" s="295">
        <f t="shared" si="21"/>
        <v>0</v>
      </c>
      <c r="E33" s="295">
        <f t="shared" si="22"/>
        <v>1115537</v>
      </c>
      <c r="F33" s="604">
        <f t="shared" si="8"/>
        <v>161294</v>
      </c>
      <c r="G33" s="160">
        <f t="shared" si="23"/>
        <v>0</v>
      </c>
      <c r="H33" s="604">
        <f t="shared" si="9"/>
        <v>553010</v>
      </c>
      <c r="I33" s="161">
        <f t="shared" si="24"/>
        <v>0</v>
      </c>
      <c r="J33" s="604">
        <f t="shared" si="10"/>
        <v>401233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154.80303857058792</v>
      </c>
      <c r="P33" s="285">
        <f t="shared" si="29"/>
        <v>154.80303857058792</v>
      </c>
      <c r="Q33" s="285">
        <f>SUM(-tanks!AX35*tanks!$AU$37)</f>
        <v>0</v>
      </c>
      <c r="R33" s="285">
        <f t="shared" si="30"/>
        <v>154.80303857058792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844238.23</v>
      </c>
      <c r="AC33" s="244">
        <f>SUM(AC29)</f>
        <v>7234333</v>
      </c>
    </row>
    <row r="34" spans="1:32" ht="20.100000000000001" customHeight="1">
      <c r="A34" s="163">
        <f>ELEC!C34</f>
        <v>44651</v>
      </c>
      <c r="B34" s="604">
        <f t="shared" si="7"/>
        <v>1115537</v>
      </c>
      <c r="C34" s="254">
        <f t="shared" si="20"/>
        <v>0</v>
      </c>
      <c r="D34" s="295">
        <f t="shared" si="21"/>
        <v>0</v>
      </c>
      <c r="E34" s="295">
        <f t="shared" si="22"/>
        <v>1115537</v>
      </c>
      <c r="F34" s="604">
        <f t="shared" si="8"/>
        <v>161294</v>
      </c>
      <c r="G34" s="160">
        <f t="shared" si="23"/>
        <v>0</v>
      </c>
      <c r="H34" s="604">
        <f t="shared" si="9"/>
        <v>553010</v>
      </c>
      <c r="I34" s="161">
        <f t="shared" si="24"/>
        <v>0</v>
      </c>
      <c r="J34" s="604">
        <f t="shared" si="10"/>
        <v>401233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154.80303857058792</v>
      </c>
      <c r="P34" s="285">
        <f t="shared" si="29"/>
        <v>154.80303857058792</v>
      </c>
      <c r="Q34" s="285">
        <f>SUM(-tanks!AX36*tanks!$AU$37)</f>
        <v>0</v>
      </c>
      <c r="R34" s="285">
        <f t="shared" si="30"/>
        <v>154.80303857058792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8519131.2300000004</v>
      </c>
      <c r="AC34" s="244">
        <f>SUM(AC30)</f>
        <v>0</v>
      </c>
    </row>
    <row r="35" spans="1:32" ht="15.75" thickBot="1">
      <c r="A35" s="501">
        <f>A37-COUNTIF(C4:C34,0)</f>
        <v>16</v>
      </c>
      <c r="C35" s="173">
        <f>SUM(C4:C34)/A35</f>
        <v>220.375</v>
      </c>
      <c r="D35" s="173"/>
      <c r="E35" s="173"/>
      <c r="F35" s="564"/>
      <c r="G35" s="564">
        <f>SUM(G4:G34)/A35</f>
        <v>16.1875</v>
      </c>
      <c r="H35" s="173"/>
      <c r="I35" s="173">
        <f>SUM(I4:I34)/A35</f>
        <v>188.125</v>
      </c>
      <c r="K35" s="173">
        <f>SUM(K4:K34)/A35</f>
        <v>16.0625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0.99999999999999989</v>
      </c>
      <c r="G36" s="225">
        <f>IF(C35&gt;0,G35/C35,0)</f>
        <v>7.3454339194554741E-2</v>
      </c>
      <c r="H36" s="212"/>
      <c r="I36" s="225">
        <f>SUM(I35/C35)</f>
        <v>0.85365853658536583</v>
      </c>
      <c r="J36" s="212"/>
      <c r="K36" s="225">
        <f>SUM(K35/C35)</f>
        <v>7.2887124220079411E-2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5091.1396351575459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5091.1396351575459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71"/>
      <c r="AC45" s="671"/>
      <c r="AD45" s="542"/>
      <c r="AE45" s="17"/>
      <c r="AF45" s="17"/>
    </row>
    <row r="46" spans="1:32">
      <c r="V46" s="671"/>
      <c r="W46" s="671"/>
      <c r="X46" s="671"/>
      <c r="Y46" s="671"/>
      <c r="Z46" s="508"/>
      <c r="AA46" s="508"/>
      <c r="AB46" s="671"/>
      <c r="AC46" s="671"/>
      <c r="AD46" s="542"/>
      <c r="AE46" s="17"/>
      <c r="AF46" s="17"/>
    </row>
    <row r="47" spans="1:32">
      <c r="V47" s="671"/>
      <c r="W47" s="671"/>
      <c r="X47" s="671"/>
      <c r="Y47" s="671"/>
      <c r="Z47" s="671"/>
      <c r="AA47" s="671"/>
      <c r="AB47" s="671"/>
      <c r="AC47" s="671"/>
      <c r="AD47" s="542"/>
      <c r="AE47" s="17"/>
      <c r="AF47" s="17"/>
    </row>
    <row r="48" spans="1:32">
      <c r="V48" s="672"/>
      <c r="W48" s="672"/>
      <c r="X48" s="673"/>
      <c r="Y48" s="673"/>
      <c r="Z48" s="673"/>
      <c r="AA48" s="509"/>
      <c r="AB48" s="671"/>
      <c r="AC48" s="671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E25" sqref="E25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4" t="s">
        <v>193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6"/>
    </row>
    <row r="2" spans="1:15" ht="15.75" customHeight="1" thickBot="1">
      <c r="A2" s="677"/>
      <c r="B2" s="678"/>
      <c r="C2" s="678"/>
      <c r="D2" s="678"/>
      <c r="E2" s="678"/>
      <c r="F2" s="678"/>
      <c r="G2" s="678"/>
      <c r="H2" s="678"/>
      <c r="I2" s="678"/>
      <c r="J2" s="678"/>
      <c r="K2" s="678"/>
      <c r="L2" s="678"/>
      <c r="M2" s="678"/>
      <c r="N2" s="678"/>
      <c r="O2" s="679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44621</v>
      </c>
      <c r="B5" s="37">
        <v>17</v>
      </c>
      <c r="C5" s="37">
        <v>14</v>
      </c>
      <c r="D5" s="26">
        <f t="shared" ref="D5:D11" si="0">(C5+B5)/2</f>
        <v>15.5</v>
      </c>
      <c r="E5" s="325">
        <v>0.74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44622</v>
      </c>
      <c r="B6" s="37">
        <v>24</v>
      </c>
      <c r="C6" s="37">
        <v>15</v>
      </c>
      <c r="D6" s="26">
        <f t="shared" si="0"/>
        <v>19.5</v>
      </c>
      <c r="E6" s="325">
        <v>0.62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44623</v>
      </c>
      <c r="B7" s="37">
        <v>20</v>
      </c>
      <c r="C7" s="37">
        <v>13</v>
      </c>
      <c r="D7" s="26">
        <f t="shared" si="0"/>
        <v>16.5</v>
      </c>
      <c r="E7" s="325">
        <v>0.62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44624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44625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44626</v>
      </c>
      <c r="B10" s="37">
        <v>22</v>
      </c>
      <c r="C10" s="37">
        <v>13</v>
      </c>
      <c r="D10" s="26">
        <f t="shared" si="0"/>
        <v>17.5</v>
      </c>
      <c r="E10" s="378">
        <v>0.67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44627</v>
      </c>
      <c r="B11" s="37">
        <v>17</v>
      </c>
      <c r="C11" s="37">
        <v>13</v>
      </c>
      <c r="D11" s="26">
        <f t="shared" si="0"/>
        <v>15</v>
      </c>
      <c r="E11" s="378">
        <v>0.71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44628</v>
      </c>
      <c r="B12" s="37">
        <v>8</v>
      </c>
      <c r="C12" s="37">
        <v>13</v>
      </c>
      <c r="D12" s="26">
        <f>(C12+B12)/2</f>
        <v>10.5</v>
      </c>
      <c r="E12" s="339">
        <v>0.64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44629</v>
      </c>
      <c r="B13" s="37">
        <v>16</v>
      </c>
      <c r="C13" s="37">
        <v>14</v>
      </c>
      <c r="D13" s="26">
        <f t="shared" ref="D13:D32" si="3">(C13+B13)/2</f>
        <v>15</v>
      </c>
      <c r="E13" s="378">
        <v>0.76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44630</v>
      </c>
      <c r="B14" s="37">
        <v>14</v>
      </c>
      <c r="C14" s="37">
        <v>11</v>
      </c>
      <c r="D14" s="26">
        <f t="shared" si="3"/>
        <v>12.5</v>
      </c>
      <c r="E14" s="325">
        <v>0.81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44631</v>
      </c>
      <c r="B15" s="37">
        <v>14</v>
      </c>
      <c r="C15" s="37">
        <v>9</v>
      </c>
      <c r="D15" s="26">
        <f>(C15+B15)/2</f>
        <v>11.5</v>
      </c>
      <c r="E15" s="378">
        <v>0.66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44632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44633</v>
      </c>
      <c r="B17" s="37">
        <v>13</v>
      </c>
      <c r="C17" s="37">
        <v>9</v>
      </c>
      <c r="D17" s="26">
        <f t="shared" si="3"/>
        <v>11</v>
      </c>
      <c r="E17" s="410">
        <v>0.63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44634</v>
      </c>
      <c r="B18" s="37">
        <v>12</v>
      </c>
      <c r="C18" s="37">
        <v>8</v>
      </c>
      <c r="D18" s="26">
        <f t="shared" si="3"/>
        <v>10</v>
      </c>
      <c r="E18" s="325">
        <v>0.62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44635</v>
      </c>
      <c r="B19" s="37">
        <v>10</v>
      </c>
      <c r="C19" s="37">
        <v>5</v>
      </c>
      <c r="D19" s="26">
        <f t="shared" si="3"/>
        <v>7.5</v>
      </c>
      <c r="E19" s="325">
        <v>0.62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44636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44637</v>
      </c>
      <c r="B21" s="37">
        <v>16</v>
      </c>
      <c r="C21" s="37">
        <v>9</v>
      </c>
      <c r="D21" s="26">
        <f t="shared" si="3"/>
        <v>12.5</v>
      </c>
      <c r="E21" s="325">
        <v>0.56000000000000005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44638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44639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44640</v>
      </c>
      <c r="B24" s="37">
        <v>11</v>
      </c>
      <c r="C24" s="37">
        <v>9</v>
      </c>
      <c r="D24" s="26">
        <f t="shared" si="3"/>
        <v>10</v>
      </c>
      <c r="E24" s="325">
        <v>0.37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44641</v>
      </c>
      <c r="B25" s="37">
        <v>14</v>
      </c>
      <c r="C25" s="37">
        <v>8</v>
      </c>
      <c r="D25" s="26">
        <f t="shared" si="3"/>
        <v>11</v>
      </c>
      <c r="E25" s="325">
        <v>0.46</v>
      </c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44642</v>
      </c>
      <c r="B26" s="37">
        <v>15</v>
      </c>
      <c r="C26" s="37">
        <v>11</v>
      </c>
      <c r="D26" s="26">
        <f t="shared" si="3"/>
        <v>13</v>
      </c>
      <c r="E26" s="378">
        <v>0.54</v>
      </c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44643</v>
      </c>
      <c r="B27" s="37">
        <v>15</v>
      </c>
      <c r="C27" s="37">
        <v>9</v>
      </c>
      <c r="D27" s="26">
        <f t="shared" si="3"/>
        <v>12</v>
      </c>
      <c r="E27" s="378">
        <v>0.56000000000000005</v>
      </c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44644</v>
      </c>
      <c r="B28" s="37">
        <v>13</v>
      </c>
      <c r="C28" s="37">
        <v>9</v>
      </c>
      <c r="D28" s="26">
        <f t="shared" si="3"/>
        <v>11</v>
      </c>
      <c r="E28" s="325">
        <v>0.74</v>
      </c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44645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44646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44647</v>
      </c>
      <c r="B31" s="37">
        <v>18</v>
      </c>
      <c r="C31" s="37">
        <v>11</v>
      </c>
      <c r="D31" s="268">
        <f>(C31+B31)/2</f>
        <v>14.5</v>
      </c>
      <c r="E31" s="326">
        <v>0.67</v>
      </c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44648</v>
      </c>
      <c r="B32" s="37">
        <v>18</v>
      </c>
      <c r="C32" s="37">
        <v>11</v>
      </c>
      <c r="D32" s="26">
        <f t="shared" si="3"/>
        <v>14.5</v>
      </c>
      <c r="E32" s="325">
        <v>0.48</v>
      </c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44649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44650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44651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16.28125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6721</v>
      </c>
      <c r="D2" s="3">
        <f>C2-E2</f>
        <v>544.00000000032014</v>
      </c>
      <c r="E2" s="3">
        <f>ELEC!Q4</f>
        <v>6176.9999999996799</v>
      </c>
      <c r="F2" s="3">
        <f>GEN!Z2</f>
        <v>13</v>
      </c>
      <c r="G2" s="3">
        <f>WATER!C5+WATER!H5</f>
        <v>0</v>
      </c>
      <c r="H2" s="3">
        <f>WATER!L5</f>
        <v>5</v>
      </c>
      <c r="I2" s="15">
        <f>WATER!BC5+WATER!BD5+WATER!BE6-Sheet1!G2</f>
        <v>-16.699999999999989</v>
      </c>
      <c r="J2" s="9">
        <f>'B5'!A4</f>
        <v>44620</v>
      </c>
    </row>
    <row r="3" spans="1:10">
      <c r="A3" s="3">
        <f>ELEC!T5+ELEC!X3+ELEC!AB5</f>
        <v>0</v>
      </c>
      <c r="B3" s="3">
        <f>ELEC!AF5</f>
        <v>0</v>
      </c>
      <c r="C3" s="3">
        <f>ELEC!N5</f>
        <v>5888</v>
      </c>
      <c r="D3" s="3">
        <f t="shared" ref="D3:D30" si="0">C3-E3</f>
        <v>-68.000000001949957</v>
      </c>
      <c r="E3" s="3">
        <f>ELEC!Q5</f>
        <v>5956.00000000195</v>
      </c>
      <c r="F3" s="3">
        <f>GEN!Z3</f>
        <v>11</v>
      </c>
      <c r="G3" s="3">
        <f>WATER!C6+WATER!H6</f>
        <v>0</v>
      </c>
      <c r="H3" s="3">
        <f>WATER!L6</f>
        <v>0</v>
      </c>
      <c r="I3" s="15">
        <f>WATER!BC6+WATER!BD6+WATER!BE7-Sheet1!G3</f>
        <v>-18.900000000000006</v>
      </c>
      <c r="J3" s="9">
        <f>'B5'!A5</f>
        <v>44621</v>
      </c>
    </row>
    <row r="4" spans="1:10">
      <c r="A4" s="3">
        <f>ELEC!T6+ELEC!X6+ELEC!AB6</f>
        <v>0</v>
      </c>
      <c r="B4" s="3">
        <f>ELEC!AF6</f>
        <v>0</v>
      </c>
      <c r="C4" s="3">
        <f>ELEC!N6</f>
        <v>5727</v>
      </c>
      <c r="D4" s="3">
        <f t="shared" si="0"/>
        <v>140.00000000046566</v>
      </c>
      <c r="E4" s="3">
        <f>ELEC!Q6</f>
        <v>5586.9999999995343</v>
      </c>
      <c r="F4" s="3">
        <f>GEN!Z4</f>
        <v>12</v>
      </c>
      <c r="G4" s="3">
        <f>WATER!C7+WATER!H7</f>
        <v>0</v>
      </c>
      <c r="H4" s="3">
        <f>WATER!L7</f>
        <v>0</v>
      </c>
      <c r="I4" s="15">
        <f>WATER!BC7+WATER!BD7+WATER!BE8-Sheet1!G4</f>
        <v>-18.900000000000006</v>
      </c>
      <c r="J4" s="9">
        <f>'B5'!A6</f>
        <v>44622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12</v>
      </c>
      <c r="G5" s="3">
        <f>WATER!C8+WATER!H8</f>
        <v>0</v>
      </c>
      <c r="H5" s="3">
        <f>WATER!L8</f>
        <v>0</v>
      </c>
      <c r="I5" s="15">
        <f>WATER!BC8+WATER!BD8+WATER!BE9-Sheet1!G5</f>
        <v>-6.8999999999999488</v>
      </c>
      <c r="J5" s="9">
        <f>'B5'!A7</f>
        <v>44623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-4981.9999999999709</v>
      </c>
      <c r="E6" s="3">
        <f>ELEC!Q25</f>
        <v>4981.9999999999709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44624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6030</v>
      </c>
      <c r="D7" s="3">
        <f t="shared" si="0"/>
        <v>145.00000000160071</v>
      </c>
      <c r="E7" s="3">
        <f>ELEC!Q9</f>
        <v>5884.9999999983993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-10.900000000000048</v>
      </c>
      <c r="J7" s="9">
        <f>'B5'!A9</f>
        <v>44625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4353</v>
      </c>
      <c r="D8" s="3">
        <f t="shared" si="0"/>
        <v>404.99999999967986</v>
      </c>
      <c r="E8" s="3">
        <f>ELEC!Q10</f>
        <v>3948.0000000003201</v>
      </c>
      <c r="F8" s="3">
        <f>GEN!Z8</f>
        <v>11</v>
      </c>
      <c r="G8" s="3">
        <f>WATER!C11+WATER!H11</f>
        <v>0</v>
      </c>
      <c r="H8" s="3">
        <f>WATER!L11</f>
        <v>1</v>
      </c>
      <c r="I8" s="15">
        <f>WATER!BC11+WATER!BD11+WATER!BE12-Sheet1!G8</f>
        <v>-22.500000000000014</v>
      </c>
      <c r="J8" s="9">
        <f>'B5'!A10</f>
        <v>44626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5098</v>
      </c>
      <c r="D9" s="3">
        <f t="shared" si="0"/>
        <v>180.99999999871943</v>
      </c>
      <c r="E9" s="3">
        <f>ELEC!Q11</f>
        <v>4917.0000000012806</v>
      </c>
      <c r="F9" s="3">
        <f>GEN!Z9</f>
        <v>8</v>
      </c>
      <c r="G9" s="3">
        <f>WATER!C12+WATER!H12</f>
        <v>0</v>
      </c>
      <c r="H9" s="3">
        <f>WATER!L12</f>
        <v>1</v>
      </c>
      <c r="I9" s="15">
        <f>WATER!BC12+WATER!BD12+WATER!BE13-Sheet1!G9</f>
        <v>-20.699999999999974</v>
      </c>
      <c r="J9" s="9">
        <f>'B5'!A11</f>
        <v>44627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4939</v>
      </c>
      <c r="D10" s="3">
        <f t="shared" si="0"/>
        <v>307.99999999877764</v>
      </c>
      <c r="E10" s="3">
        <f>ELEC!Q12</f>
        <v>4631.0000000012224</v>
      </c>
      <c r="F10" s="3">
        <f>GEN!Z10</f>
        <v>10</v>
      </c>
      <c r="G10" s="3">
        <f>WATER!C13+WATER!H13</f>
        <v>0</v>
      </c>
      <c r="H10" s="3">
        <f>WATER!L13</f>
        <v>0</v>
      </c>
      <c r="I10" s="15">
        <f>WATER!BC13+WATER!BD13+WATER!BE14-Sheet1!G10</f>
        <v>-14.899999999999991</v>
      </c>
      <c r="J10" s="9">
        <f>'B5'!A12</f>
        <v>44628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5500</v>
      </c>
      <c r="D11" s="3">
        <f t="shared" si="0"/>
        <v>120.00000000261934</v>
      </c>
      <c r="E11" s="3">
        <f>ELEC!Q13</f>
        <v>5379.9999999973807</v>
      </c>
      <c r="F11" s="3">
        <f>GEN!Z11</f>
        <v>9</v>
      </c>
      <c r="G11" s="3">
        <f>WATER!C14+WATER!H14</f>
        <v>0</v>
      </c>
      <c r="H11" s="3">
        <f>WATER!L14</f>
        <v>0</v>
      </c>
      <c r="I11" s="15">
        <f>WATER!BC14+WATER!BD14+WATER!BE15-Sheet1!G11</f>
        <v>-26.199999999999989</v>
      </c>
      <c r="J11" s="9">
        <f>'B5'!A13</f>
        <v>44629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5222</v>
      </c>
      <c r="D12" s="3">
        <f t="shared" si="0"/>
        <v>325.99999999935972</v>
      </c>
      <c r="E12" s="3">
        <f>ELEC!Q14</f>
        <v>4896.0000000006403</v>
      </c>
      <c r="F12" s="3">
        <f>GEN!Z12</f>
        <v>11</v>
      </c>
      <c r="G12" s="3">
        <f>WATER!C15+WATER!H15</f>
        <v>0</v>
      </c>
      <c r="H12" s="3">
        <f>WATER!L15</f>
        <v>0</v>
      </c>
      <c r="I12" s="15">
        <f>WATER!BC15+WATER!BD15+WATER!BE16-Sheet1!G12</f>
        <v>19.400000000000006</v>
      </c>
      <c r="J12" s="9">
        <f>'B5'!A14</f>
        <v>44630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10</v>
      </c>
      <c r="G13" s="3">
        <f>WATER!C16+WATER!H16</f>
        <v>0</v>
      </c>
      <c r="H13" s="3">
        <f>WATER!L16</f>
        <v>0</v>
      </c>
      <c r="I13" s="15">
        <f>WATER!BC16+WATER!BD16+WATER!BE17-Sheet1!G13</f>
        <v>56.899999999999991</v>
      </c>
      <c r="J13" s="9">
        <f>'B5'!A15</f>
        <v>44631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3565</v>
      </c>
      <c r="D14" s="3">
        <f t="shared" si="0"/>
        <v>-71.000000002240995</v>
      </c>
      <c r="E14" s="3">
        <f>ELEC!Q16</f>
        <v>3636.000000002241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-2.9000000000000341</v>
      </c>
      <c r="J14" s="9">
        <f>'B5'!A16</f>
        <v>44632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5257</v>
      </c>
      <c r="D15" s="3">
        <f t="shared" si="0"/>
        <v>142.00000000203727</v>
      </c>
      <c r="E15" s="3">
        <f>ELEC!Q17</f>
        <v>5114.9999999979627</v>
      </c>
      <c r="F15" s="3">
        <f>GEN!Z15</f>
        <v>7</v>
      </c>
      <c r="G15" s="3">
        <f>WATER!C18+WATER!H18</f>
        <v>0</v>
      </c>
      <c r="H15" s="3">
        <f>WATER!L18</f>
        <v>0</v>
      </c>
      <c r="I15" s="15">
        <f>WATER!BC18+WATER!BD18+WATER!BE19-Sheet1!G15</f>
        <v>134.19999999999999</v>
      </c>
      <c r="J15" s="9">
        <f>'B5'!A17</f>
        <v>44633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5713</v>
      </c>
      <c r="D16" s="3">
        <f t="shared" si="0"/>
        <v>-84.999999998864951</v>
      </c>
      <c r="E16" s="3">
        <f>ELEC!Q18</f>
        <v>5797.999999998865</v>
      </c>
      <c r="F16" s="3">
        <f>GEN!Z16</f>
        <v>11</v>
      </c>
      <c r="G16" s="3">
        <f>WATER!C19+WATER!H19</f>
        <v>250</v>
      </c>
      <c r="H16" s="3">
        <f>WATER!L19</f>
        <v>0</v>
      </c>
      <c r="I16" s="15">
        <f>WATER!BC19+WATER!BD19+WATER!BE20-Sheet1!G16</f>
        <v>-266.7</v>
      </c>
      <c r="J16" s="9">
        <f>'B5'!A18</f>
        <v>44634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5689</v>
      </c>
      <c r="D17" s="3">
        <f t="shared" si="0"/>
        <v>310.99999999938882</v>
      </c>
      <c r="E17" s="3">
        <f>ELEC!Q19</f>
        <v>5378.0000000006112</v>
      </c>
      <c r="F17" s="3">
        <f>GEN!Z17</f>
        <v>12</v>
      </c>
      <c r="G17" s="3">
        <f>WATER!C20+WATER!H20</f>
        <v>0</v>
      </c>
      <c r="H17" s="3">
        <f>WATER!L20</f>
        <v>10</v>
      </c>
      <c r="I17" s="15">
        <f>WATER!BC20+WATER!BD20+WATER!BE21-Sheet1!G17</f>
        <v>-20.700000000000017</v>
      </c>
      <c r="J17" s="9">
        <f>'B5'!A19</f>
        <v>44635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5365</v>
      </c>
      <c r="D18" s="3">
        <f t="shared" si="0"/>
        <v>58.999999999505235</v>
      </c>
      <c r="E18" s="3">
        <f>ELEC!Q20</f>
        <v>5306.0000000004948</v>
      </c>
      <c r="F18" s="3">
        <f>GEN!Z18</f>
        <v>13</v>
      </c>
      <c r="G18" s="3">
        <f>WATER!C21+WATER!H21</f>
        <v>0</v>
      </c>
      <c r="H18" s="3">
        <f>WATER!L21</f>
        <v>0</v>
      </c>
      <c r="I18" s="15">
        <f>WATER!BC21+WATER!BD21+WATER!BE22-Sheet1!G18</f>
        <v>-21.799999999999969</v>
      </c>
      <c r="J18" s="9">
        <f>'B5'!A20</f>
        <v>44636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12</v>
      </c>
      <c r="G19" s="3">
        <f>WATER!C22+WATER!H22</f>
        <v>0</v>
      </c>
      <c r="H19" s="3">
        <f>WATER!L22</f>
        <v>0</v>
      </c>
      <c r="I19" s="15">
        <f>WATER!BC22+WATER!BD22+WATER!BE23-Sheet1!G19</f>
        <v>-12.69999999999996</v>
      </c>
      <c r="J19" s="9">
        <f>'B5'!A21</f>
        <v>44637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44638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5488</v>
      </c>
      <c r="D21" s="3">
        <f t="shared" si="0"/>
        <v>266.99999999863212</v>
      </c>
      <c r="E21" s="3">
        <f>ELEC!Q23</f>
        <v>5221.0000000013679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-17.100000000000023</v>
      </c>
      <c r="J21" s="9">
        <f>'B5'!A23</f>
        <v>44639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5011</v>
      </c>
      <c r="D22" s="3">
        <f t="shared" si="0"/>
        <v>372.0000000007858</v>
      </c>
      <c r="E22" s="3">
        <f>ELEC!Q24</f>
        <v>4638.9999999992142</v>
      </c>
      <c r="F22" s="3">
        <f>GEN!Z22</f>
        <v>11</v>
      </c>
      <c r="G22" s="3">
        <f>WATER!C25+WATER!H25</f>
        <v>0</v>
      </c>
      <c r="H22" s="3">
        <f>WATER!L25</f>
        <v>0</v>
      </c>
      <c r="I22" s="15">
        <f>WATER!BC25+WATER!BD25+WATER!BE26-Sheet1!G22</f>
        <v>46.300000000000011</v>
      </c>
      <c r="J22" s="9">
        <f>'B5'!A24</f>
        <v>44640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5054</v>
      </c>
      <c r="D23" s="3">
        <f t="shared" si="0"/>
        <v>72.000000000029104</v>
      </c>
      <c r="E23" s="3">
        <f>ELEC!Q25</f>
        <v>4981.9999999999709</v>
      </c>
      <c r="F23" s="3">
        <f>GEN!Z23</f>
        <v>10</v>
      </c>
      <c r="G23" s="3">
        <f>WATER!C26+WATER!H26</f>
        <v>181</v>
      </c>
      <c r="H23" s="3">
        <f>WATER!L26</f>
        <v>0</v>
      </c>
      <c r="I23" s="15">
        <f>WATER!BC26+WATER!BD26+WATER!BE27-Sheet1!G23</f>
        <v>-95.600000000000009</v>
      </c>
      <c r="J23" s="9">
        <f>'B5'!A25</f>
        <v>44641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5601</v>
      </c>
      <c r="D24" s="3">
        <f t="shared" si="0"/>
        <v>133.99999999944703</v>
      </c>
      <c r="E24" s="3">
        <f>ELEC!Q26</f>
        <v>5467.000000000553</v>
      </c>
      <c r="F24" s="3">
        <f>GEN!Z24</f>
        <v>10</v>
      </c>
      <c r="G24" s="3">
        <f>WATER!C27+WATER!H27</f>
        <v>0</v>
      </c>
      <c r="H24" s="3">
        <f>WATER!L27</f>
        <v>0</v>
      </c>
      <c r="I24" s="15">
        <f>WATER!BC27+WATER!BD27+WATER!BE28-Sheet1!G24</f>
        <v>-25.800000000000026</v>
      </c>
      <c r="J24" s="9">
        <f>'B5'!A26</f>
        <v>44642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5300</v>
      </c>
      <c r="D25" s="3">
        <f t="shared" si="0"/>
        <v>133.00000000235741</v>
      </c>
      <c r="E25" s="3">
        <f>ELEC!Q27</f>
        <v>5166.9999999976426</v>
      </c>
      <c r="F25" s="3">
        <f>GEN!Z25</f>
        <v>11</v>
      </c>
      <c r="G25" s="3">
        <f>WATER!C28+WATER!H28</f>
        <v>0</v>
      </c>
      <c r="H25" s="3">
        <f>WATER!L28</f>
        <v>0</v>
      </c>
      <c r="I25" s="15">
        <f>WATER!BC28+WATER!BD28+WATER!BE29-Sheet1!G25</f>
        <v>-23.999999999999986</v>
      </c>
      <c r="J25" s="9">
        <f>'B5'!A27</f>
        <v>44643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10</v>
      </c>
      <c r="G26" s="3">
        <f>WATER!C29+WATER!H29</f>
        <v>0</v>
      </c>
      <c r="H26" s="3">
        <f>WATER!L29</f>
        <v>0</v>
      </c>
      <c r="I26" s="15">
        <f>WATER!BC29+WATER!BD29+WATER!BE30-Sheet1!G26</f>
        <v>-11.300000000000011</v>
      </c>
      <c r="J26" s="9">
        <f>'B5'!A28</f>
        <v>44644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44645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5202</v>
      </c>
      <c r="D28" s="3">
        <f t="shared" si="0"/>
        <v>815.99999999775901</v>
      </c>
      <c r="E28" s="3">
        <f>ELEC!Q30</f>
        <v>4386.000000002241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-40.600000000000023</v>
      </c>
      <c r="J28" s="9">
        <f>'B5'!A30</f>
        <v>44646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4634</v>
      </c>
      <c r="D29" s="3">
        <f t="shared" si="0"/>
        <v>186.99999999988358</v>
      </c>
      <c r="E29" s="3">
        <f>ELEC!Q31</f>
        <v>4447.0000000001164</v>
      </c>
      <c r="F29" s="3">
        <f>GEN!Z29</f>
        <v>10</v>
      </c>
      <c r="G29" s="3">
        <f>WATER!C32+WATER!H32</f>
        <v>0</v>
      </c>
      <c r="H29" s="3">
        <f>WATER!L32</f>
        <v>0</v>
      </c>
      <c r="I29" s="15">
        <f>WATER!BC32+WATER!BD32+WATER!BE33-Sheet1!G29</f>
        <v>-50.400000000000006</v>
      </c>
      <c r="J29" s="9">
        <f>'B5'!A31</f>
        <v>44647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10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44648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6"/>
      <c r="B1" s="684" t="s">
        <v>119</v>
      </c>
      <c r="C1" s="684" t="s">
        <v>118</v>
      </c>
      <c r="D1" s="688" t="s">
        <v>113</v>
      </c>
      <c r="E1" s="688" t="s">
        <v>114</v>
      </c>
      <c r="F1" s="689" t="s">
        <v>120</v>
      </c>
      <c r="G1" s="690" t="s">
        <v>75</v>
      </c>
      <c r="H1" s="681" t="s">
        <v>115</v>
      </c>
      <c r="I1" s="682" t="s">
        <v>116</v>
      </c>
      <c r="J1" s="681" t="s">
        <v>117</v>
      </c>
      <c r="K1" s="680" t="s">
        <v>121</v>
      </c>
      <c r="L1" s="680" t="s">
        <v>122</v>
      </c>
      <c r="M1" s="680" t="s">
        <v>123</v>
      </c>
      <c r="N1" s="680" t="s">
        <v>124</v>
      </c>
    </row>
    <row r="2" spans="1:14">
      <c r="A2" s="687"/>
      <c r="B2" s="685"/>
      <c r="C2" s="685"/>
      <c r="D2" s="688"/>
      <c r="E2" s="688"/>
      <c r="F2" s="689"/>
      <c r="G2" s="690"/>
      <c r="H2" s="681"/>
      <c r="I2" s="683"/>
      <c r="J2" s="681"/>
      <c r="K2" s="680"/>
      <c r="L2" s="680"/>
      <c r="M2" s="680"/>
      <c r="N2" s="68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44621</v>
      </c>
      <c r="B5" s="76">
        <f>'B5'!V5</f>
        <v>343</v>
      </c>
      <c r="C5" s="76">
        <f>'B5'!AH5</f>
        <v>0</v>
      </c>
      <c r="D5" s="76">
        <f>GEN!AI3</f>
        <v>1589.8607594935886</v>
      </c>
      <c r="E5" s="239">
        <f t="shared" ref="E5:E33" si="0">B5+C5+D5</f>
        <v>1932.8607594935886</v>
      </c>
      <c r="F5" s="75">
        <f>WATER!L5</f>
        <v>5</v>
      </c>
      <c r="G5" s="78">
        <f>WATER!BG5</f>
        <v>-9.8000000000000398</v>
      </c>
      <c r="H5" s="79">
        <f>ELEC!AF4</f>
        <v>0</v>
      </c>
      <c r="I5" s="79">
        <f>ELEC!Q4</f>
        <v>6176.9999999996799</v>
      </c>
      <c r="J5" s="79">
        <f>ELEC!R4</f>
        <v>544.00000000032014</v>
      </c>
      <c r="K5" s="80"/>
      <c r="L5" s="3"/>
      <c r="M5" s="3"/>
      <c r="N5" s="3"/>
    </row>
    <row r="6" spans="1:14">
      <c r="A6" s="63">
        <f>'B5'!A6</f>
        <v>44622</v>
      </c>
      <c r="B6" s="76">
        <f>'B5'!V6</f>
        <v>425</v>
      </c>
      <c r="C6" s="76">
        <f>'B5'!AH6</f>
        <v>0</v>
      </c>
      <c r="D6" s="76">
        <f>GEN!AI4</f>
        <v>1532.9789029540884</v>
      </c>
      <c r="E6" s="239">
        <f t="shared" si="0"/>
        <v>1957.9789029540884</v>
      </c>
      <c r="F6" s="75">
        <f>WATER!L6</f>
        <v>0</v>
      </c>
      <c r="G6" s="78">
        <f>WATER!BG6</f>
        <v>-6.8999999999999488</v>
      </c>
      <c r="H6" s="79">
        <f>ELEC!AF5</f>
        <v>0</v>
      </c>
      <c r="I6" s="79">
        <f>ELEC!Q5</f>
        <v>5956.00000000195</v>
      </c>
      <c r="J6" s="79">
        <f>ELEC!R5</f>
        <v>-68.000000001949957</v>
      </c>
      <c r="K6" s="3"/>
      <c r="L6" s="3"/>
      <c r="M6" s="3"/>
      <c r="N6" s="3"/>
    </row>
    <row r="7" spans="1:14">
      <c r="A7" s="63">
        <f>'B5'!A7</f>
        <v>44623</v>
      </c>
      <c r="B7" s="76">
        <f>'B5'!V7</f>
        <v>337</v>
      </c>
      <c r="C7" s="76">
        <f>'B5'!AH7</f>
        <v>0</v>
      </c>
      <c r="D7" s="76">
        <f>GEN!AI5</f>
        <v>1438.0042194091629</v>
      </c>
      <c r="E7" s="239">
        <f t="shared" si="0"/>
        <v>1775.0042194091629</v>
      </c>
      <c r="F7" s="75">
        <f>WATER!L7</f>
        <v>0</v>
      </c>
      <c r="G7" s="78">
        <f>WATER!BG7</f>
        <v>-12.000000000000057</v>
      </c>
      <c r="H7" s="79">
        <f>ELEC!AF6</f>
        <v>0</v>
      </c>
      <c r="I7" s="79">
        <f>ELEC!Q6</f>
        <v>5586.9999999995343</v>
      </c>
      <c r="J7" s="79">
        <f>ELEC!R6</f>
        <v>140.00000000046566</v>
      </c>
      <c r="K7" s="3"/>
      <c r="L7" s="3"/>
      <c r="M7" s="3"/>
      <c r="N7" s="3"/>
    </row>
    <row r="8" spans="1:14">
      <c r="A8" s="63">
        <f>'B5'!A8</f>
        <v>44624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-6.8999999999999488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44625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44626</v>
      </c>
      <c r="B10" s="76">
        <f>'B5'!V10</f>
        <v>528</v>
      </c>
      <c r="C10" s="76">
        <f>'B5'!AH10</f>
        <v>0</v>
      </c>
      <c r="D10" s="76">
        <f>GEN!AI8</f>
        <v>1514.7046413497992</v>
      </c>
      <c r="E10" s="239">
        <f t="shared" si="0"/>
        <v>2042.7046413497992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5884.9999999983993</v>
      </c>
      <c r="J10" s="79">
        <f>ELEC!R9</f>
        <v>145.00000000160071</v>
      </c>
      <c r="K10" s="3"/>
      <c r="L10" s="3"/>
      <c r="M10" s="3"/>
      <c r="N10" s="3"/>
    </row>
    <row r="11" spans="1:14">
      <c r="A11" s="63">
        <f>'B5'!A11</f>
        <v>44627</v>
      </c>
      <c r="B11" s="76">
        <f>'B5'!V11</f>
        <v>219</v>
      </c>
      <c r="C11" s="76">
        <f>'B5'!AH11</f>
        <v>0</v>
      </c>
      <c r="D11" s="76">
        <f>GEN!AI9</f>
        <v>1016.1518987342597</v>
      </c>
      <c r="E11" s="239">
        <f t="shared" si="0"/>
        <v>1235.1518987342597</v>
      </c>
      <c r="F11" s="75">
        <f>WATER!L11</f>
        <v>1</v>
      </c>
      <c r="G11" s="78">
        <f>WATER!BG11</f>
        <v>-10.900000000000048</v>
      </c>
      <c r="H11" s="79">
        <f>ELEC!AF10</f>
        <v>0</v>
      </c>
      <c r="I11" s="79">
        <f>ELEC!Q10</f>
        <v>3948.0000000003201</v>
      </c>
      <c r="J11" s="79">
        <f>ELEC!R10</f>
        <v>404.99999999967986</v>
      </c>
      <c r="K11" s="3"/>
      <c r="L11" s="3"/>
      <c r="M11" s="3"/>
      <c r="N11" s="3"/>
    </row>
    <row r="12" spans="1:14">
      <c r="A12" s="63">
        <f>'B5'!A12</f>
        <v>44628</v>
      </c>
      <c r="B12" s="76">
        <f>'B5'!V12</f>
        <v>318</v>
      </c>
      <c r="C12" s="76">
        <f>'B5'!AH12</f>
        <v>0</v>
      </c>
      <c r="D12" s="76">
        <f>GEN!AI10</f>
        <v>1265.556962025646</v>
      </c>
      <c r="E12" s="239">
        <f t="shared" si="0"/>
        <v>1583.556962025646</v>
      </c>
      <c r="F12" s="75">
        <f>WATER!L12</f>
        <v>1</v>
      </c>
      <c r="G12" s="78">
        <f>WATER!BG12</f>
        <v>-11.599999999999966</v>
      </c>
      <c r="H12" s="79">
        <f>ELEC!AF11</f>
        <v>0</v>
      </c>
      <c r="I12" s="79">
        <f>ELEC!Q11</f>
        <v>4917.0000000012806</v>
      </c>
      <c r="J12" s="79">
        <f>ELEC!R11</f>
        <v>180.99999999871943</v>
      </c>
      <c r="K12" s="3"/>
      <c r="L12" s="3"/>
      <c r="M12" s="3"/>
      <c r="N12" s="3"/>
    </row>
    <row r="13" spans="1:14">
      <c r="A13" s="63">
        <f>'B5'!A13</f>
        <v>44629</v>
      </c>
      <c r="B13" s="76">
        <f>'B5'!V13</f>
        <v>304</v>
      </c>
      <c r="C13" s="76">
        <f>'B5'!AH13</f>
        <v>0</v>
      </c>
      <c r="D13" s="76">
        <f>GEN!AI11</f>
        <v>1191.9451476796396</v>
      </c>
      <c r="E13" s="239">
        <f t="shared" si="0"/>
        <v>1495.9451476796396</v>
      </c>
      <c r="F13" s="75">
        <f>WATER!L13</f>
        <v>0</v>
      </c>
      <c r="G13" s="78">
        <f>WATER!BG13</f>
        <v>-9.1000000000000085</v>
      </c>
      <c r="H13" s="79">
        <f>ELEC!AF12</f>
        <v>0</v>
      </c>
      <c r="I13" s="79">
        <f>ELEC!Q12</f>
        <v>4631.0000000012224</v>
      </c>
      <c r="J13" s="79">
        <f>ELEC!R12</f>
        <v>307.99999999877764</v>
      </c>
      <c r="K13" s="3"/>
      <c r="L13" s="3"/>
      <c r="M13" s="3"/>
      <c r="N13" s="3"/>
    </row>
    <row r="14" spans="1:14">
      <c r="A14" s="63">
        <f>'B5'!A14</f>
        <v>44630</v>
      </c>
      <c r="B14" s="76">
        <f>'B5'!V14</f>
        <v>218</v>
      </c>
      <c r="C14" s="76">
        <f>'B5'!AH14</f>
        <v>0</v>
      </c>
      <c r="D14" s="76">
        <f>GEN!AI12</f>
        <v>1384.7257383959504</v>
      </c>
      <c r="E14" s="239">
        <f t="shared" si="0"/>
        <v>1602.7257383959504</v>
      </c>
      <c r="F14" s="75">
        <f>WATER!L14</f>
        <v>0</v>
      </c>
      <c r="G14" s="78">
        <f>WATER!BG14</f>
        <v>-5.7999999999999829</v>
      </c>
      <c r="H14" s="79">
        <f>ELEC!AF13</f>
        <v>0</v>
      </c>
      <c r="I14" s="79">
        <f>ELEC!Q13</f>
        <v>5379.9999999973807</v>
      </c>
      <c r="J14" s="79">
        <f>ELEC!R13</f>
        <v>120.00000000261934</v>
      </c>
      <c r="K14" s="3"/>
      <c r="L14" s="3"/>
      <c r="M14" s="3"/>
      <c r="N14" s="3"/>
    </row>
    <row r="15" spans="1:14">
      <c r="A15" s="63">
        <f>'B5'!A15</f>
        <v>44631</v>
      </c>
      <c r="B15" s="76">
        <f>'B5'!V15</f>
        <v>425</v>
      </c>
      <c r="C15" s="76">
        <f>'B5'!AH15</f>
        <v>0</v>
      </c>
      <c r="D15" s="76">
        <f>GEN!AI13</f>
        <v>1260.151898734342</v>
      </c>
      <c r="E15" s="239">
        <f t="shared" si="0"/>
        <v>1685.151898734342</v>
      </c>
      <c r="F15" s="75">
        <f>WATER!L15</f>
        <v>0</v>
      </c>
      <c r="G15" s="78">
        <f>WATER!BG15</f>
        <v>-20.400000000000006</v>
      </c>
      <c r="H15" s="79">
        <f>ELEC!AF14</f>
        <v>0</v>
      </c>
      <c r="I15" s="79">
        <f>ELEC!Q14</f>
        <v>4896.0000000006403</v>
      </c>
      <c r="J15" s="79">
        <f>ELEC!R14</f>
        <v>325.99999999935972</v>
      </c>
      <c r="K15" s="3"/>
      <c r="L15" s="3"/>
      <c r="M15" s="3"/>
      <c r="N15" s="3"/>
    </row>
    <row r="16" spans="1:14">
      <c r="A16" s="63">
        <f>'B5'!A16</f>
        <v>44632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-25.900000000000006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44633</v>
      </c>
      <c r="B17" s="76">
        <f>'B5'!V17</f>
        <v>295</v>
      </c>
      <c r="C17" s="76">
        <f>'B5'!AH17</f>
        <v>0</v>
      </c>
      <c r="D17" s="76">
        <f>GEN!AI15</f>
        <v>935.84810126639968</v>
      </c>
      <c r="E17" s="239">
        <f t="shared" si="0"/>
        <v>1230.8481012663997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3636.000000002241</v>
      </c>
      <c r="J17" s="79">
        <f>ELEC!R16</f>
        <v>-71.000000002240995</v>
      </c>
      <c r="K17" s="3"/>
      <c r="L17" s="3"/>
      <c r="M17" s="3"/>
      <c r="N17" s="3"/>
    </row>
    <row r="18" spans="1:14">
      <c r="A18" s="63">
        <f>'B5'!A18</f>
        <v>44634</v>
      </c>
      <c r="B18" s="76">
        <f>'B5'!V18</f>
        <v>570</v>
      </c>
      <c r="C18" s="76">
        <f>'B5'!AH18</f>
        <v>0</v>
      </c>
      <c r="D18" s="76">
        <f>GEN!AI16</f>
        <v>1316.5189873412478</v>
      </c>
      <c r="E18" s="239">
        <f t="shared" si="0"/>
        <v>1886.5189873412478</v>
      </c>
      <c r="F18" s="75">
        <f>WATER!L18</f>
        <v>0</v>
      </c>
      <c r="G18" s="78">
        <f>WATER!BG18</f>
        <v>-2.9000000000000341</v>
      </c>
      <c r="H18" s="79">
        <f>ELEC!AF17</f>
        <v>0</v>
      </c>
      <c r="I18" s="79">
        <f>ELEC!Q17</f>
        <v>5114.9999999979627</v>
      </c>
      <c r="J18" s="79">
        <f>ELEC!R17</f>
        <v>142.00000000203727</v>
      </c>
      <c r="K18" s="3"/>
      <c r="L18" s="3"/>
      <c r="M18" s="3"/>
      <c r="N18" s="3"/>
    </row>
    <row r="19" spans="1:14">
      <c r="A19" s="63">
        <f>'B5'!A19</f>
        <v>44635</v>
      </c>
      <c r="B19" s="76">
        <f>'B5'!V19</f>
        <v>515</v>
      </c>
      <c r="C19" s="76">
        <f>'B5'!AH19</f>
        <v>0</v>
      </c>
      <c r="D19" s="76">
        <f>GEN!AI17</f>
        <v>1492.3122362866279</v>
      </c>
      <c r="E19" s="239">
        <f t="shared" si="0"/>
        <v>2007.3122362866279</v>
      </c>
      <c r="F19" s="75">
        <f>WATER!L19</f>
        <v>0</v>
      </c>
      <c r="G19" s="78">
        <f>WATER!BG19</f>
        <v>137.10000000000002</v>
      </c>
      <c r="H19" s="79">
        <f>ELEC!AF18</f>
        <v>0</v>
      </c>
      <c r="I19" s="79">
        <f>ELEC!Q18</f>
        <v>5797.999999998865</v>
      </c>
      <c r="J19" s="79">
        <f>ELEC!R18</f>
        <v>-84.999999998864951</v>
      </c>
      <c r="K19" s="3"/>
      <c r="L19" s="3"/>
      <c r="M19" s="3"/>
      <c r="N19" s="3"/>
    </row>
    <row r="20" spans="1:14">
      <c r="A20" s="63">
        <f>'B5'!A20</f>
        <v>44636</v>
      </c>
      <c r="B20" s="76">
        <f>'B5'!V20</f>
        <v>589</v>
      </c>
      <c r="C20" s="76">
        <f>'B5'!AH20</f>
        <v>64</v>
      </c>
      <c r="D20" s="76">
        <f>GEN!AI18</f>
        <v>1384.2109704642924</v>
      </c>
      <c r="E20" s="239">
        <f t="shared" si="0"/>
        <v>2037.2109704642924</v>
      </c>
      <c r="F20" s="75">
        <f>WATER!L20</f>
        <v>10</v>
      </c>
      <c r="G20" s="78">
        <f>WATER!BG20</f>
        <v>-9.7999999999999972</v>
      </c>
      <c r="H20" s="79">
        <f>ELEC!AF19</f>
        <v>0</v>
      </c>
      <c r="I20" s="79">
        <f>ELEC!Q19</f>
        <v>5378.0000000006112</v>
      </c>
      <c r="J20" s="79">
        <f>ELEC!R19</f>
        <v>310.99999999938882</v>
      </c>
      <c r="K20" s="3"/>
      <c r="L20" s="3"/>
      <c r="M20" s="3"/>
      <c r="N20" s="3"/>
    </row>
    <row r="21" spans="1:14">
      <c r="A21" s="63">
        <f>'B5'!A21</f>
        <v>44637</v>
      </c>
      <c r="B21" s="76">
        <f>'B5'!V21</f>
        <v>414</v>
      </c>
      <c r="C21" s="76">
        <f>'B5'!AH21</f>
        <v>0</v>
      </c>
      <c r="D21" s="76">
        <f>GEN!AI19</f>
        <v>1365.6793248946421</v>
      </c>
      <c r="E21" s="239">
        <f t="shared" si="0"/>
        <v>1779.6793248946421</v>
      </c>
      <c r="F21" s="75">
        <f>WATER!L21</f>
        <v>0</v>
      </c>
      <c r="G21" s="78">
        <f>WATER!BG21</f>
        <v>-10.90000000000002</v>
      </c>
      <c r="H21" s="79">
        <f>ELEC!AF20</f>
        <v>0</v>
      </c>
      <c r="I21" s="79">
        <f>ELEC!Q20</f>
        <v>5306.0000000004948</v>
      </c>
      <c r="J21" s="79">
        <f>ELEC!R20</f>
        <v>58.999999999505235</v>
      </c>
      <c r="K21" s="3"/>
      <c r="L21" s="3"/>
      <c r="M21" s="3"/>
      <c r="N21" s="3"/>
    </row>
    <row r="22" spans="1:14">
      <c r="A22" s="63">
        <f>'B5'!A22</f>
        <v>44638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-12.69999999999996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44639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44640</v>
      </c>
      <c r="B24" s="76">
        <f>'B5'!V24</f>
        <v>426</v>
      </c>
      <c r="C24" s="76">
        <f>'B5'!AH24</f>
        <v>0</v>
      </c>
      <c r="D24" s="76">
        <f>GEN!AI22</f>
        <v>1343.8016877640653</v>
      </c>
      <c r="E24" s="239">
        <f t="shared" si="0"/>
        <v>1769.8016877640653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5221.0000000013679</v>
      </c>
      <c r="J24" s="79">
        <f>ELEC!R23</f>
        <v>266.99999999863212</v>
      </c>
      <c r="K24" s="3"/>
      <c r="L24" s="3"/>
      <c r="M24" s="3"/>
      <c r="N24" s="3"/>
    </row>
    <row r="25" spans="1:14">
      <c r="A25" s="63">
        <f>'B5'!A25</f>
        <v>44641</v>
      </c>
      <c r="B25" s="76">
        <f>'B5'!V25</f>
        <v>386</v>
      </c>
      <c r="C25" s="76">
        <f>'B5'!AH25</f>
        <v>66</v>
      </c>
      <c r="D25" s="76">
        <f>GEN!AI23</f>
        <v>1194.0042194090806</v>
      </c>
      <c r="E25" s="239">
        <f t="shared" si="0"/>
        <v>1646.0042194090806</v>
      </c>
      <c r="F25" s="75">
        <f>WATER!L25</f>
        <v>0</v>
      </c>
      <c r="G25" s="78">
        <f>WATER!BG25</f>
        <v>-17.100000000000023</v>
      </c>
      <c r="H25" s="79">
        <f>ELEC!AF24</f>
        <v>0</v>
      </c>
      <c r="I25" s="79">
        <f>ELEC!Q24</f>
        <v>4638.9999999992142</v>
      </c>
      <c r="J25" s="79">
        <f>ELEC!R24</f>
        <v>372.0000000007858</v>
      </c>
      <c r="K25" s="3"/>
      <c r="L25" s="3"/>
      <c r="M25" s="3"/>
      <c r="N25" s="3"/>
    </row>
    <row r="26" spans="1:14">
      <c r="A26" s="63">
        <f>'B5'!A26</f>
        <v>44642</v>
      </c>
      <c r="B26" s="76">
        <f>'B5'!V26</f>
        <v>348</v>
      </c>
      <c r="C26" s="76">
        <f>'B5'!AH26</f>
        <v>0</v>
      </c>
      <c r="D26" s="76">
        <f>GEN!AI24</f>
        <v>1282.2869198312162</v>
      </c>
      <c r="E26" s="239">
        <f t="shared" si="0"/>
        <v>1630.2869198312162</v>
      </c>
      <c r="F26" s="75">
        <f>WATER!L26</f>
        <v>0</v>
      </c>
      <c r="G26" s="78">
        <f>WATER!BG26</f>
        <v>63.400000000000034</v>
      </c>
      <c r="H26" s="79">
        <f>ELEC!AF25</f>
        <v>0</v>
      </c>
      <c r="I26" s="79">
        <f>ELEC!Q25</f>
        <v>4981.9999999999709</v>
      </c>
      <c r="J26" s="79">
        <f>ELEC!R25</f>
        <v>72.000000000029104</v>
      </c>
      <c r="K26" s="3"/>
      <c r="L26" s="3"/>
      <c r="M26" s="3"/>
      <c r="N26" s="3"/>
    </row>
    <row r="27" spans="1:14">
      <c r="A27" s="63">
        <f>'B5'!A27</f>
        <v>44643</v>
      </c>
      <c r="B27" s="76">
        <f>'B5'!V27</f>
        <v>378</v>
      </c>
      <c r="C27" s="76">
        <f>'B5'!AH27</f>
        <v>0</v>
      </c>
      <c r="D27" s="76">
        <f>GEN!AI25</f>
        <v>1407.118143460058</v>
      </c>
      <c r="E27" s="239">
        <f t="shared" si="0"/>
        <v>1785.118143460058</v>
      </c>
      <c r="F27" s="75">
        <f>WATER!L27</f>
        <v>0</v>
      </c>
      <c r="G27" s="78">
        <f>WATER!BG27</f>
        <v>-13.100000000000051</v>
      </c>
      <c r="H27" s="79">
        <f>ELEC!AF26</f>
        <v>0</v>
      </c>
      <c r="I27" s="79">
        <f>ELEC!Q26</f>
        <v>5467.000000000553</v>
      </c>
      <c r="J27" s="79">
        <f>ELEC!R26</f>
        <v>133.99999999944703</v>
      </c>
      <c r="K27" s="3"/>
      <c r="L27" s="3"/>
      <c r="M27" s="3"/>
      <c r="N27" s="3"/>
    </row>
    <row r="28" spans="1:14">
      <c r="A28" s="63">
        <f>'B5'!A28</f>
        <v>44644</v>
      </c>
      <c r="B28" s="76">
        <f>'B5'!V28</f>
        <v>393</v>
      </c>
      <c r="C28" s="76">
        <f>'B5'!AH28</f>
        <v>0</v>
      </c>
      <c r="D28" s="76">
        <f>GEN!AI26</f>
        <v>1329.9029535858913</v>
      </c>
      <c r="E28" s="239">
        <f t="shared" si="0"/>
        <v>1722.9029535858913</v>
      </c>
      <c r="F28" s="75">
        <f>WATER!L28</f>
        <v>0</v>
      </c>
      <c r="G28" s="78">
        <f>WATER!BG28</f>
        <v>-12.699999999999974</v>
      </c>
      <c r="H28" s="79">
        <f>ELEC!AF27</f>
        <v>0</v>
      </c>
      <c r="I28" s="79">
        <f>ELEC!Q27</f>
        <v>5166.9999999976426</v>
      </c>
      <c r="J28" s="79">
        <f>ELEC!R27</f>
        <v>133.00000000235741</v>
      </c>
      <c r="K28" s="3"/>
      <c r="L28" s="3"/>
      <c r="M28" s="3"/>
      <c r="N28" s="3"/>
    </row>
    <row r="29" spans="1:14">
      <c r="A29" s="63">
        <f>'B5'!A29</f>
        <v>44645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-11.300000000000011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44646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44647</v>
      </c>
      <c r="B31" s="76">
        <f>'B5'!V31</f>
        <v>450</v>
      </c>
      <c r="C31" s="76">
        <f>'B5'!AH31</f>
        <v>0</v>
      </c>
      <c r="D31" s="76">
        <f>GEN!AI29</f>
        <v>1128.8860759499439</v>
      </c>
      <c r="E31" s="77">
        <f t="shared" si="0"/>
        <v>1578.8860759499439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4386.000000002241</v>
      </c>
      <c r="J31" s="79">
        <f>ELEC!R30</f>
        <v>815.99999999775901</v>
      </c>
      <c r="K31" s="3"/>
      <c r="L31" s="3"/>
      <c r="M31" s="3"/>
      <c r="N31" s="3"/>
    </row>
    <row r="32" spans="1:14">
      <c r="A32" s="63">
        <f>'B5'!A32</f>
        <v>44648</v>
      </c>
      <c r="B32" s="76">
        <f>'B5'!V32</f>
        <v>347</v>
      </c>
      <c r="C32" s="76">
        <f>'B5'!AH32</f>
        <v>0</v>
      </c>
      <c r="D32" s="76">
        <f>GEN!AI30</f>
        <v>1144.5864978903255</v>
      </c>
      <c r="E32" s="77">
        <f t="shared" si="0"/>
        <v>1491.5864978903255</v>
      </c>
      <c r="F32" s="75">
        <f>WATER!L32</f>
        <v>0</v>
      </c>
      <c r="G32" s="78">
        <f>WATER!BG32</f>
        <v>-40.600000000000023</v>
      </c>
      <c r="H32" s="79">
        <f>ELEC!AF31</f>
        <v>0</v>
      </c>
      <c r="I32" s="79">
        <f>ELEC!Q31</f>
        <v>4447.0000000001164</v>
      </c>
      <c r="J32" s="79">
        <f>ELEC!R31</f>
        <v>186.99999999988358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-9.7999999999999829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91" t="s">
        <v>151</v>
      </c>
      <c r="U3" s="69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6</v>
      </c>
      <c r="E5">
        <f t="shared" ref="E5:E37" si="0">D5*90</f>
        <v>540</v>
      </c>
      <c r="F5">
        <f>'B5'!AM4</f>
        <v>0</v>
      </c>
      <c r="G5">
        <f t="shared" ref="G5:G37" si="1">F5*107</f>
        <v>0</v>
      </c>
      <c r="H5">
        <f>GEN!Z3</f>
        <v>11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6</v>
      </c>
      <c r="E7">
        <f t="shared" si="0"/>
        <v>540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7</v>
      </c>
      <c r="E11">
        <f t="shared" si="0"/>
        <v>630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5</v>
      </c>
      <c r="E16">
        <f t="shared" si="0"/>
        <v>450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4</v>
      </c>
      <c r="E18">
        <f t="shared" si="0"/>
        <v>360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8</v>
      </c>
      <c r="E19">
        <f t="shared" si="0"/>
        <v>720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6</v>
      </c>
      <c r="E20">
        <f t="shared" si="0"/>
        <v>540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8</v>
      </c>
      <c r="E21">
        <f t="shared" si="0"/>
        <v>720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6</v>
      </c>
      <c r="E22">
        <f t="shared" si="0"/>
        <v>540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6</v>
      </c>
      <c r="E25">
        <f t="shared" si="0"/>
        <v>540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5</v>
      </c>
      <c r="E26">
        <f t="shared" si="0"/>
        <v>450</v>
      </c>
      <c r="F26">
        <f>'B5'!AM25</f>
        <v>1</v>
      </c>
      <c r="G26">
        <f t="shared" si="1"/>
        <v>107</v>
      </c>
    </row>
    <row r="27" spans="3:7">
      <c r="C27" s="99">
        <v>42451</v>
      </c>
      <c r="D27">
        <f>'B5'!AL26</f>
        <v>4</v>
      </c>
      <c r="E27">
        <f t="shared" si="0"/>
        <v>360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6</v>
      </c>
      <c r="E28">
        <f t="shared" si="0"/>
        <v>540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4</v>
      </c>
      <c r="E29">
        <f t="shared" si="0"/>
        <v>360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6</v>
      </c>
      <c r="E32">
        <f t="shared" si="0"/>
        <v>540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4</v>
      </c>
      <c r="E33">
        <f t="shared" si="0"/>
        <v>360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K39" sqref="K39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2" t="s">
        <v>51</v>
      </c>
      <c r="B1" s="704" t="s">
        <v>316</v>
      </c>
      <c r="C1" s="705"/>
      <c r="D1" s="707"/>
      <c r="E1" s="704" t="s">
        <v>317</v>
      </c>
      <c r="F1" s="705"/>
      <c r="G1" s="706"/>
      <c r="H1" s="701" t="s">
        <v>321</v>
      </c>
      <c r="I1" s="698" t="s">
        <v>322</v>
      </c>
      <c r="J1" s="695" t="s">
        <v>43</v>
      </c>
    </row>
    <row r="2" spans="1:18" ht="38.25" thickBot="1">
      <c r="A2" s="693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2"/>
      <c r="I2" s="699"/>
      <c r="J2" s="696"/>
    </row>
    <row r="3" spans="1:18" ht="24" customHeight="1" thickBot="1">
      <c r="A3" s="694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3"/>
      <c r="I3" s="700"/>
      <c r="J3" s="697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3">
        <f>'[2]Swimming Pool quality check '!$A$33</f>
        <v>44620</v>
      </c>
      <c r="B5" s="624">
        <f>'[2]Swimming Pool quality check '!B33</f>
        <v>4</v>
      </c>
      <c r="C5" s="624">
        <f>'[2]Swimming Pool quality check '!C33</f>
        <v>7.8</v>
      </c>
      <c r="D5" s="624">
        <f>'[2]Swimming Pool quality check '!D33</f>
        <v>0</v>
      </c>
      <c r="E5" s="624">
        <f>'[2]Swimming Pool quality check '!E33</f>
        <v>0</v>
      </c>
      <c r="F5" s="624">
        <f>'[2]Swimming Pool quality check '!F33</f>
        <v>0</v>
      </c>
      <c r="G5" s="624">
        <f>'[2]Swimming Pool quality check '!G33</f>
        <v>0</v>
      </c>
      <c r="H5" s="624">
        <f>'[2]Swimming Pool quality check '!H33</f>
        <v>7020</v>
      </c>
      <c r="I5" s="625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44620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4">
        <f>ELEC!C4</f>
        <v>44621</v>
      </c>
      <c r="B6" s="612">
        <v>3</v>
      </c>
      <c r="C6" s="461">
        <v>7.8</v>
      </c>
      <c r="D6" s="613">
        <v>0</v>
      </c>
      <c r="E6" s="613">
        <v>0</v>
      </c>
      <c r="F6" s="613">
        <v>0</v>
      </c>
      <c r="G6" s="606">
        <v>0</v>
      </c>
      <c r="H6" s="612">
        <v>7021</v>
      </c>
      <c r="I6" s="622">
        <f>H6-H5</f>
        <v>1</v>
      </c>
      <c r="J6" s="597">
        <v>0.29166666666666669</v>
      </c>
      <c r="L6" s="99">
        <f t="shared" ref="L6:L33" si="0">A6</f>
        <v>44621</v>
      </c>
      <c r="M6" s="3">
        <f>M5</f>
        <v>6541</v>
      </c>
      <c r="N6" s="477"/>
      <c r="O6" s="477">
        <f>M6+N6</f>
        <v>6541</v>
      </c>
    </row>
    <row r="7" spans="1:18">
      <c r="A7" s="615">
        <f>ELEC!C5</f>
        <v>44622</v>
      </c>
      <c r="B7" s="246">
        <v>3</v>
      </c>
      <c r="C7" s="604">
        <v>7.8</v>
      </c>
      <c r="D7" s="170">
        <v>0</v>
      </c>
      <c r="E7" s="170">
        <v>0</v>
      </c>
      <c r="F7" s="170">
        <v>0</v>
      </c>
      <c r="G7" s="607">
        <v>0</v>
      </c>
      <c r="H7" s="246">
        <f t="shared" ref="H7:H36" si="1">H6</f>
        <v>7021</v>
      </c>
      <c r="I7" s="477">
        <f>H7-H6</f>
        <v>0</v>
      </c>
      <c r="J7" s="462">
        <v>0.29166666666666669</v>
      </c>
      <c r="L7" s="99">
        <f t="shared" si="0"/>
        <v>44622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5">
        <f>ELEC!C6</f>
        <v>44623</v>
      </c>
      <c r="B8" s="611">
        <v>2.5</v>
      </c>
      <c r="C8" s="461">
        <v>7.8</v>
      </c>
      <c r="D8" s="461">
        <v>0</v>
      </c>
      <c r="E8" s="461">
        <v>0</v>
      </c>
      <c r="F8" s="461">
        <v>0</v>
      </c>
      <c r="G8" s="617">
        <v>0</v>
      </c>
      <c r="H8" s="246">
        <f t="shared" si="1"/>
        <v>7021</v>
      </c>
      <c r="I8" s="477">
        <f t="shared" ref="I8:I33" si="4">H8-H7</f>
        <v>0</v>
      </c>
      <c r="J8" s="462">
        <v>0.29166666666666669</v>
      </c>
      <c r="L8" s="99">
        <f t="shared" si="0"/>
        <v>44623</v>
      </c>
      <c r="M8" s="3">
        <f t="shared" si="2"/>
        <v>6541</v>
      </c>
      <c r="N8" s="477"/>
      <c r="O8" s="477">
        <f t="shared" si="3"/>
        <v>6541</v>
      </c>
    </row>
    <row r="9" spans="1:18">
      <c r="A9" s="615">
        <f>ELEC!C7</f>
        <v>44624</v>
      </c>
      <c r="B9" s="593"/>
      <c r="C9" s="604"/>
      <c r="D9" s="604">
        <v>0</v>
      </c>
      <c r="E9" s="604">
        <v>0</v>
      </c>
      <c r="F9" s="604">
        <v>0</v>
      </c>
      <c r="G9" s="605">
        <v>0</v>
      </c>
      <c r="H9" s="246">
        <f t="shared" si="1"/>
        <v>7021</v>
      </c>
      <c r="I9" s="477">
        <f t="shared" si="4"/>
        <v>0</v>
      </c>
      <c r="J9" s="462">
        <v>0.25</v>
      </c>
      <c r="L9" s="99">
        <f t="shared" si="0"/>
        <v>44624</v>
      </c>
      <c r="M9" s="3">
        <f t="shared" si="2"/>
        <v>6541</v>
      </c>
      <c r="N9" s="477"/>
      <c r="O9" s="477">
        <f t="shared" si="3"/>
        <v>6541</v>
      </c>
    </row>
    <row r="10" spans="1:18">
      <c r="A10" s="615">
        <f>ELEC!C8</f>
        <v>44625</v>
      </c>
      <c r="B10" s="593"/>
      <c r="C10" s="604"/>
      <c r="D10" s="604">
        <v>0</v>
      </c>
      <c r="E10" s="604">
        <v>0</v>
      </c>
      <c r="F10" s="604">
        <v>0</v>
      </c>
      <c r="G10" s="605">
        <v>0</v>
      </c>
      <c r="H10" s="246">
        <f t="shared" si="1"/>
        <v>7021</v>
      </c>
      <c r="I10" s="477">
        <f t="shared" si="4"/>
        <v>0</v>
      </c>
      <c r="J10" s="462">
        <v>0.29166666666666669</v>
      </c>
      <c r="L10" s="99">
        <f t="shared" si="0"/>
        <v>44625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5">
        <f>ELEC!C9</f>
        <v>44626</v>
      </c>
      <c r="B11" s="593">
        <v>2.5</v>
      </c>
      <c r="C11" s="604">
        <v>7.8</v>
      </c>
      <c r="D11" s="604">
        <v>0</v>
      </c>
      <c r="E11" s="604">
        <v>0</v>
      </c>
      <c r="F11" s="604">
        <v>0</v>
      </c>
      <c r="G11" s="605">
        <v>0</v>
      </c>
      <c r="H11" s="246">
        <v>7022</v>
      </c>
      <c r="I11" s="477">
        <f t="shared" si="4"/>
        <v>1</v>
      </c>
      <c r="J11" s="462">
        <v>0.29166666666666669</v>
      </c>
      <c r="L11" s="99">
        <f t="shared" si="0"/>
        <v>44626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5">
        <f>ELEC!C10</f>
        <v>44627</v>
      </c>
      <c r="B12" s="593">
        <v>2.5</v>
      </c>
      <c r="C12" s="604">
        <v>7.8</v>
      </c>
      <c r="D12" s="604">
        <v>0</v>
      </c>
      <c r="E12" s="604">
        <v>0</v>
      </c>
      <c r="F12" s="604">
        <v>0</v>
      </c>
      <c r="G12" s="605">
        <v>0</v>
      </c>
      <c r="H12" s="246">
        <v>7023</v>
      </c>
      <c r="I12" s="477">
        <f t="shared" si="4"/>
        <v>1</v>
      </c>
      <c r="J12" s="462">
        <v>0.29166666666666669</v>
      </c>
      <c r="L12" s="99">
        <f t="shared" si="0"/>
        <v>44627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5">
        <f>ELEC!C11</f>
        <v>44628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246">
        <f t="shared" si="1"/>
        <v>7023</v>
      </c>
      <c r="I13" s="477">
        <f t="shared" si="4"/>
        <v>0</v>
      </c>
      <c r="J13" s="462">
        <v>0.29166666666666669</v>
      </c>
      <c r="L13" s="99">
        <f t="shared" si="0"/>
        <v>44628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5">
        <f>ELEC!C12</f>
        <v>44629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246">
        <f t="shared" si="1"/>
        <v>7023</v>
      </c>
      <c r="I14" s="477">
        <f t="shared" si="4"/>
        <v>0</v>
      </c>
      <c r="J14" s="462">
        <v>0.29166666666666669</v>
      </c>
      <c r="L14" s="99">
        <f t="shared" si="0"/>
        <v>44629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5">
        <f>ELEC!C13</f>
        <v>44630</v>
      </c>
      <c r="B15" s="593"/>
      <c r="C15" s="604"/>
      <c r="D15" s="604">
        <v>0</v>
      </c>
      <c r="E15" s="604">
        <v>0</v>
      </c>
      <c r="F15" s="604">
        <v>0</v>
      </c>
      <c r="G15" s="605">
        <v>0</v>
      </c>
      <c r="H15" s="246">
        <f t="shared" si="1"/>
        <v>7023</v>
      </c>
      <c r="I15" s="477">
        <f t="shared" si="4"/>
        <v>0</v>
      </c>
      <c r="J15" s="462">
        <v>0.29166666666666669</v>
      </c>
      <c r="L15" s="99">
        <f t="shared" si="0"/>
        <v>44630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5">
        <f>ELEC!C14</f>
        <v>44631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246">
        <f t="shared" si="1"/>
        <v>7023</v>
      </c>
      <c r="I16" s="477">
        <f t="shared" si="4"/>
        <v>0</v>
      </c>
      <c r="J16" s="462">
        <v>0.29166666666666669</v>
      </c>
      <c r="L16" s="99">
        <f t="shared" si="0"/>
        <v>44631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5">
        <f>ELEC!C15</f>
        <v>44632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246">
        <f t="shared" si="1"/>
        <v>7023</v>
      </c>
      <c r="I17" s="477">
        <f t="shared" si="4"/>
        <v>0</v>
      </c>
      <c r="J17" s="462">
        <v>0.29166666666666669</v>
      </c>
      <c r="L17" s="99">
        <f t="shared" si="0"/>
        <v>44632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5">
        <f>ELEC!C16</f>
        <v>44633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246">
        <f t="shared" si="1"/>
        <v>7023</v>
      </c>
      <c r="I18" s="477">
        <f t="shared" si="4"/>
        <v>0</v>
      </c>
      <c r="J18" s="462">
        <v>0.29166666666666669</v>
      </c>
      <c r="L18" s="99">
        <f t="shared" si="0"/>
        <v>44633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5">
        <f>ELEC!C17</f>
        <v>44634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246">
        <f t="shared" si="1"/>
        <v>7023</v>
      </c>
      <c r="I19" s="477">
        <f t="shared" si="4"/>
        <v>0</v>
      </c>
      <c r="J19" s="462">
        <v>0.29166666666666669</v>
      </c>
      <c r="L19" s="99">
        <f t="shared" si="0"/>
        <v>44634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5">
        <f>ELEC!C18</f>
        <v>44635</v>
      </c>
      <c r="B20" s="593">
        <v>1</v>
      </c>
      <c r="C20" s="604">
        <v>8</v>
      </c>
      <c r="D20" s="604">
        <v>0</v>
      </c>
      <c r="E20" s="604">
        <v>0</v>
      </c>
      <c r="F20" s="604">
        <v>0</v>
      </c>
      <c r="G20" s="605">
        <v>0</v>
      </c>
      <c r="H20" s="246">
        <v>7033</v>
      </c>
      <c r="I20" s="477">
        <f t="shared" si="4"/>
        <v>10</v>
      </c>
      <c r="J20" s="462">
        <v>0.29166666666666669</v>
      </c>
      <c r="L20" s="99">
        <f t="shared" si="0"/>
        <v>44635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5">
        <f>ELEC!C19</f>
        <v>44636</v>
      </c>
      <c r="B21" s="593">
        <v>1</v>
      </c>
      <c r="C21" s="604">
        <v>8</v>
      </c>
      <c r="D21" s="604">
        <v>0</v>
      </c>
      <c r="E21" s="604">
        <v>0</v>
      </c>
      <c r="F21" s="604">
        <v>0</v>
      </c>
      <c r="G21" s="605">
        <v>0</v>
      </c>
      <c r="H21" s="246">
        <f t="shared" si="1"/>
        <v>7033</v>
      </c>
      <c r="I21" s="477">
        <f t="shared" si="4"/>
        <v>0</v>
      </c>
      <c r="J21" s="535" t="s">
        <v>409</v>
      </c>
      <c r="L21" s="99">
        <f t="shared" si="0"/>
        <v>44636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5">
        <f>ELEC!C20</f>
        <v>44637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246">
        <f t="shared" si="1"/>
        <v>7033</v>
      </c>
      <c r="I22" s="477">
        <f t="shared" si="4"/>
        <v>0</v>
      </c>
      <c r="J22" s="462">
        <v>0.29166666666666669</v>
      </c>
      <c r="L22" s="99">
        <f t="shared" si="0"/>
        <v>44637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5">
        <f>ELEC!C21</f>
        <v>44638</v>
      </c>
      <c r="B23" s="593"/>
      <c r="C23" s="604"/>
      <c r="D23" s="604">
        <v>0</v>
      </c>
      <c r="E23" s="604">
        <v>0</v>
      </c>
      <c r="F23" s="604">
        <v>0</v>
      </c>
      <c r="G23" s="605">
        <v>0</v>
      </c>
      <c r="H23" s="246">
        <f t="shared" si="1"/>
        <v>7033</v>
      </c>
      <c r="I23" s="477">
        <f t="shared" si="4"/>
        <v>0</v>
      </c>
      <c r="J23" s="462">
        <v>0.29166666666666669</v>
      </c>
      <c r="L23" s="99">
        <f t="shared" si="0"/>
        <v>44638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5">
        <f>ELEC!C22</f>
        <v>44639</v>
      </c>
      <c r="B24" s="593"/>
      <c r="C24" s="604"/>
      <c r="D24" s="604">
        <v>0</v>
      </c>
      <c r="E24" s="604">
        <v>0</v>
      </c>
      <c r="F24" s="604">
        <v>0</v>
      </c>
      <c r="G24" s="605">
        <v>0</v>
      </c>
      <c r="H24" s="246">
        <f t="shared" si="1"/>
        <v>7033</v>
      </c>
      <c r="I24" s="477">
        <f t="shared" si="4"/>
        <v>0</v>
      </c>
      <c r="J24" s="462">
        <v>0.29166666666666702</v>
      </c>
      <c r="L24" s="99">
        <f t="shared" si="0"/>
        <v>44639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5">
        <f>ELEC!C23</f>
        <v>44640</v>
      </c>
      <c r="B25" s="593"/>
      <c r="C25" s="604"/>
      <c r="D25" s="604">
        <v>0</v>
      </c>
      <c r="E25" s="604">
        <v>0</v>
      </c>
      <c r="F25" s="604">
        <v>0</v>
      </c>
      <c r="G25" s="605">
        <v>0</v>
      </c>
      <c r="H25" s="246">
        <f t="shared" si="1"/>
        <v>7033</v>
      </c>
      <c r="I25" s="477">
        <f t="shared" si="4"/>
        <v>0</v>
      </c>
      <c r="J25" s="462">
        <v>0.29166666666666702</v>
      </c>
      <c r="L25" s="99">
        <f t="shared" si="0"/>
        <v>44640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5">
        <f>ELEC!C24</f>
        <v>44641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246">
        <f t="shared" si="1"/>
        <v>7033</v>
      </c>
      <c r="I26" s="477">
        <f t="shared" si="4"/>
        <v>0</v>
      </c>
      <c r="J26" s="462">
        <v>0.29166666666666702</v>
      </c>
      <c r="L26" s="99">
        <f t="shared" si="0"/>
        <v>44641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5">
        <f>ELEC!C25</f>
        <v>44642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246">
        <f t="shared" si="1"/>
        <v>7033</v>
      </c>
      <c r="I27" s="477">
        <f t="shared" si="4"/>
        <v>0</v>
      </c>
      <c r="J27" s="462">
        <v>0.29166666666666702</v>
      </c>
      <c r="L27" s="99">
        <f t="shared" si="0"/>
        <v>44642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5">
        <f>ELEC!C26</f>
        <v>44643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246">
        <f t="shared" si="1"/>
        <v>7033</v>
      </c>
      <c r="I28" s="477">
        <f t="shared" si="4"/>
        <v>0</v>
      </c>
      <c r="J28" s="463">
        <v>0.29166666666666702</v>
      </c>
      <c r="L28" s="99">
        <f t="shared" si="0"/>
        <v>44643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5">
        <f>ELEC!C27</f>
        <v>44644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246">
        <f t="shared" si="1"/>
        <v>7033</v>
      </c>
      <c r="I29" s="477">
        <f t="shared" si="4"/>
        <v>0</v>
      </c>
      <c r="J29" s="462">
        <v>0.29166666666666702</v>
      </c>
      <c r="L29" s="99">
        <f t="shared" si="0"/>
        <v>44644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5">
        <f>ELEC!C28</f>
        <v>44645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246">
        <f t="shared" si="1"/>
        <v>7033</v>
      </c>
      <c r="I30" s="477">
        <f t="shared" si="4"/>
        <v>0</v>
      </c>
      <c r="J30" s="462">
        <v>0.29166666666666702</v>
      </c>
      <c r="L30" s="99">
        <f t="shared" si="0"/>
        <v>44645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5">
        <f>ELEC!C29</f>
        <v>44646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246">
        <f t="shared" si="1"/>
        <v>7033</v>
      </c>
      <c r="I31" s="477">
        <f t="shared" si="4"/>
        <v>0</v>
      </c>
      <c r="J31" s="462">
        <v>0.29166666666666702</v>
      </c>
      <c r="L31" s="99">
        <f t="shared" si="0"/>
        <v>44646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5">
        <f>ELEC!C30</f>
        <v>44647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246">
        <f t="shared" si="1"/>
        <v>7033</v>
      </c>
      <c r="I32" s="477">
        <f t="shared" si="4"/>
        <v>0</v>
      </c>
      <c r="J32" s="462">
        <v>0.29166666666666702</v>
      </c>
      <c r="L32" s="99">
        <f t="shared" si="0"/>
        <v>44647</v>
      </c>
      <c r="M32" s="3">
        <f t="shared" si="2"/>
        <v>6541</v>
      </c>
      <c r="N32" s="477"/>
      <c r="O32" s="477">
        <v>6879</v>
      </c>
    </row>
    <row r="33" spans="1:15">
      <c r="A33" s="615">
        <f>ELEC!C31</f>
        <v>44648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246">
        <f t="shared" si="1"/>
        <v>7033</v>
      </c>
      <c r="I33" s="477">
        <f t="shared" si="4"/>
        <v>0</v>
      </c>
      <c r="J33" s="462">
        <v>0.29166666666666702</v>
      </c>
      <c r="L33" s="99">
        <f t="shared" si="0"/>
        <v>44648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5">
        <f>ELEC!C32</f>
        <v>44649</v>
      </c>
      <c r="B34" s="593">
        <v>1</v>
      </c>
      <c r="C34" s="604">
        <v>8</v>
      </c>
      <c r="D34" s="604">
        <v>0</v>
      </c>
      <c r="E34" s="604">
        <v>0</v>
      </c>
      <c r="F34" s="604">
        <v>0</v>
      </c>
      <c r="G34" s="605">
        <v>0</v>
      </c>
      <c r="H34" s="246">
        <v>7041</v>
      </c>
      <c r="I34" s="477">
        <f t="shared" ref="I34:I36" si="5">H34-H33</f>
        <v>8</v>
      </c>
      <c r="J34" s="462">
        <v>0.33333333333333398</v>
      </c>
      <c r="L34" s="99">
        <f t="shared" ref="L34:L36" si="6">A34</f>
        <v>44649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5">
        <f>ELEC!C33</f>
        <v>44650</v>
      </c>
      <c r="B35" s="593">
        <v>3</v>
      </c>
      <c r="C35" s="604">
        <v>7.9</v>
      </c>
      <c r="D35" s="604">
        <v>0</v>
      </c>
      <c r="E35" s="604">
        <v>0</v>
      </c>
      <c r="F35" s="604">
        <v>0</v>
      </c>
      <c r="G35" s="605">
        <v>0</v>
      </c>
      <c r="H35" s="246">
        <v>7046</v>
      </c>
      <c r="I35" s="477">
        <f t="shared" si="5"/>
        <v>5</v>
      </c>
      <c r="J35" s="462">
        <v>0.375</v>
      </c>
      <c r="L35" s="99">
        <f t="shared" si="6"/>
        <v>44650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6">
        <f>ELEC!C34</f>
        <v>44651</v>
      </c>
      <c r="B36" s="595"/>
      <c r="C36" s="596"/>
      <c r="D36" s="596">
        <v>0</v>
      </c>
      <c r="E36" s="596">
        <v>0</v>
      </c>
      <c r="F36" s="596">
        <v>0</v>
      </c>
      <c r="G36" s="618">
        <v>0</v>
      </c>
      <c r="H36" s="619">
        <f t="shared" si="1"/>
        <v>7046</v>
      </c>
      <c r="I36" s="620">
        <f t="shared" si="5"/>
        <v>0</v>
      </c>
      <c r="J36" s="621">
        <v>0.41666666666666702</v>
      </c>
      <c r="L36" s="99">
        <f t="shared" si="6"/>
        <v>44651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J10" sqref="J10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9" t="s">
        <v>161</v>
      </c>
      <c r="B1" s="719"/>
      <c r="C1" s="719"/>
      <c r="D1" s="719"/>
      <c r="E1" s="719"/>
      <c r="F1" s="719"/>
      <c r="G1" s="719"/>
      <c r="H1" s="719"/>
      <c r="I1" s="719"/>
      <c r="J1" s="719"/>
      <c r="K1" s="719"/>
      <c r="L1" s="719"/>
      <c r="M1" s="719"/>
      <c r="N1" s="719"/>
      <c r="O1" s="719"/>
      <c r="P1" s="719"/>
      <c r="Q1" s="719"/>
      <c r="R1" s="719"/>
      <c r="S1" s="719"/>
      <c r="T1" s="719"/>
      <c r="U1" s="719"/>
      <c r="V1" s="719"/>
      <c r="W1" s="719"/>
      <c r="X1" s="719"/>
    </row>
    <row r="2" spans="1:28" ht="19.5">
      <c r="A2" s="720"/>
      <c r="B2" s="720"/>
      <c r="C2" s="720"/>
      <c r="D2" s="720"/>
      <c r="E2" s="720"/>
      <c r="F2" s="720"/>
      <c r="G2" s="720"/>
      <c r="H2" s="720"/>
      <c r="I2" s="720"/>
      <c r="J2" s="720"/>
      <c r="K2" s="720"/>
      <c r="L2" s="720"/>
      <c r="M2" s="720"/>
      <c r="N2" s="720"/>
      <c r="O2" s="720"/>
      <c r="P2" s="720"/>
      <c r="Q2" s="720"/>
      <c r="R2" s="720"/>
      <c r="S2" s="720"/>
      <c r="T2" s="720"/>
      <c r="U2" s="720"/>
      <c r="V2" s="720"/>
      <c r="W2" s="720"/>
      <c r="X2" s="720"/>
    </row>
    <row r="3" spans="1:28" ht="19.5">
      <c r="A3" s="720" t="s">
        <v>162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720"/>
      <c r="N3" s="720"/>
      <c r="O3" s="720"/>
      <c r="P3" s="720"/>
      <c r="Q3" s="720"/>
      <c r="R3" s="720"/>
      <c r="S3" s="720"/>
      <c r="T3" s="720"/>
      <c r="U3" s="720"/>
      <c r="V3" s="720"/>
      <c r="W3" s="720"/>
      <c r="X3" s="72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0" t="s">
        <v>404</v>
      </c>
      <c r="B5" s="720"/>
      <c r="C5" s="720"/>
      <c r="D5" s="720"/>
      <c r="E5" s="720"/>
      <c r="F5" s="720"/>
      <c r="G5" s="720"/>
      <c r="H5" s="720"/>
      <c r="I5" s="720"/>
      <c r="J5" s="720"/>
      <c r="K5" s="720"/>
      <c r="L5" s="720"/>
      <c r="M5" s="720"/>
      <c r="N5" s="720"/>
      <c r="O5" s="720"/>
      <c r="P5" s="720"/>
      <c r="Q5" s="720"/>
      <c r="R5" s="720"/>
      <c r="S5" s="720"/>
      <c r="T5" s="720"/>
      <c r="U5" s="720"/>
      <c r="V5" s="720"/>
      <c r="W5" s="720"/>
      <c r="X5" s="720"/>
    </row>
    <row r="6" spans="1:28" ht="15.75" thickBot="1">
      <c r="A6" s="721"/>
      <c r="B6" s="721"/>
      <c r="C6" s="721"/>
      <c r="D6" s="721"/>
      <c r="E6" s="721"/>
      <c r="F6" s="721"/>
      <c r="G6" s="721"/>
      <c r="H6" s="721"/>
      <c r="I6" s="721"/>
      <c r="J6" s="721"/>
      <c r="K6" s="721"/>
      <c r="L6" s="721"/>
      <c r="M6" s="721"/>
      <c r="N6" s="721"/>
      <c r="O6" s="721"/>
      <c r="P6" s="721"/>
      <c r="Q6" s="721"/>
      <c r="R6" s="721"/>
      <c r="S6" s="721"/>
      <c r="T6" s="721"/>
      <c r="U6" s="721"/>
      <c r="V6" s="721"/>
      <c r="W6" s="721"/>
      <c r="X6" s="721"/>
    </row>
    <row r="7" spans="1:28" ht="15.75" thickBot="1">
      <c r="A7" s="709" t="s">
        <v>163</v>
      </c>
      <c r="B7" s="710"/>
      <c r="C7" s="711" t="s">
        <v>164</v>
      </c>
      <c r="D7" s="712"/>
      <c r="E7" s="712"/>
      <c r="F7" s="712"/>
      <c r="G7" s="712"/>
      <c r="H7" s="712"/>
      <c r="I7" s="712"/>
      <c r="J7" s="712"/>
      <c r="K7" s="71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14</v>
      </c>
      <c r="D10" s="261">
        <f>'[10]Degree Days 2020'!D10</f>
        <v>-0.80000000000000071</v>
      </c>
      <c r="E10" s="498">
        <v>1</v>
      </c>
      <c r="F10" s="261">
        <f>'[2]Degree Days 2022'!F10</f>
        <v>17</v>
      </c>
      <c r="G10" s="261">
        <f>'[2]Degree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'General information '!B5</f>
        <v>17</v>
      </c>
      <c r="K10" s="261">
        <f>'General information '!C5</f>
        <v>14</v>
      </c>
      <c r="L10" s="261">
        <f>'[10]Degree Days 2020'!L10</f>
        <v>-2.3000000000000007</v>
      </c>
      <c r="M10" s="498">
        <f>'[11]Degree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15</v>
      </c>
      <c r="D11" s="261">
        <f>'[10]Degree Days 2020'!D11</f>
        <v>-0.30000000000000071</v>
      </c>
      <c r="E11" s="498">
        <v>2</v>
      </c>
      <c r="F11" s="261">
        <f>'[2]Degree Days 2022'!F11</f>
        <v>19</v>
      </c>
      <c r="G11" s="261">
        <f>'[2]Degree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'General information '!B6</f>
        <v>24</v>
      </c>
      <c r="K11" s="261">
        <f>'General information '!C6</f>
        <v>15</v>
      </c>
      <c r="L11" s="261">
        <f>'[10]Degree Days 2020'!L11</f>
        <v>-2.8000000000000007</v>
      </c>
      <c r="M11" s="498">
        <f>'[11]Degree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13</v>
      </c>
      <c r="D12" s="261">
        <f>'[10]Degree Days 2020'!D12</f>
        <v>0.19999999999999929</v>
      </c>
      <c r="E12" s="498">
        <v>3</v>
      </c>
      <c r="F12" s="261">
        <f>'[2]Degree Days 2022'!F12</f>
        <v>19</v>
      </c>
      <c r="G12" s="261">
        <f>'[2]Degree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'General information '!B7</f>
        <v>20</v>
      </c>
      <c r="K12" s="261">
        <f>'General information '!C7</f>
        <v>13</v>
      </c>
      <c r="L12" s="261">
        <f>'[10]Degree Days 2020'!L12</f>
        <v>-2.8000000000000007</v>
      </c>
      <c r="M12" s="498">
        <f>'[11]Degree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0</v>
      </c>
      <c r="D13" s="261">
        <f>'[10]Degree Days 2020'!D13</f>
        <v>0.19999999999999929</v>
      </c>
      <c r="E13" s="498">
        <f>'[10]Degree Days 2020'!E13</f>
        <v>4</v>
      </c>
      <c r="F13" s="261">
        <f>'[2]Degree Days 2022'!F13</f>
        <v>0</v>
      </c>
      <c r="G13" s="261">
        <f>'[2]Degree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'General information '!B8</f>
        <v>0</v>
      </c>
      <c r="K13" s="261">
        <f>'General information '!C8</f>
        <v>0</v>
      </c>
      <c r="L13" s="261">
        <f>'[10]Degree Days 2020'!L13</f>
        <v>-2.8000000000000007</v>
      </c>
      <c r="M13" s="498">
        <f>'[11]Degree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0</v>
      </c>
      <c r="D14" s="261">
        <f>'[10]Degree Days 2020'!D14</f>
        <v>0.69999999999999929</v>
      </c>
      <c r="E14" s="498">
        <f>'[10]Degree Days 2020'!E14</f>
        <v>5</v>
      </c>
      <c r="F14" s="261">
        <f>'[2]Degree Days 2022'!F14</f>
        <v>0</v>
      </c>
      <c r="G14" s="261">
        <f>'[2]Degree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'General information '!B9</f>
        <v>0</v>
      </c>
      <c r="K14" s="261">
        <f>'General information '!C9</f>
        <v>0</v>
      </c>
      <c r="L14" s="261">
        <f>'[10]Degree Days 2020'!L14</f>
        <v>-2.8000000000000007</v>
      </c>
      <c r="M14" s="498">
        <f>'[11]Degree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13</v>
      </c>
      <c r="D15" s="261">
        <f>'[10]Degree Days 2020'!D15</f>
        <v>0.19999999999999929</v>
      </c>
      <c r="E15" s="498">
        <f>'[10]Degree Days 2020'!E15</f>
        <v>6</v>
      </c>
      <c r="F15" s="261">
        <f>'[2]Degree Days 2022'!F15</f>
        <v>17</v>
      </c>
      <c r="G15" s="261">
        <f>'[2]Degree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'General information '!B10</f>
        <v>22</v>
      </c>
      <c r="K15" s="261">
        <f>'General information '!C10</f>
        <v>13</v>
      </c>
      <c r="L15" s="261">
        <f>'[10]Degree Days 2020'!L15</f>
        <v>-2.3000000000000007</v>
      </c>
      <c r="M15" s="498">
        <f>'[11]Degree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13</v>
      </c>
      <c r="D16" s="261">
        <f>'[10]Degree Days 2020'!D16</f>
        <v>-1.3000000000000007</v>
      </c>
      <c r="E16" s="498">
        <f>'[10]Degree Days 2020'!E16</f>
        <v>7</v>
      </c>
      <c r="F16" s="261">
        <f>'[2]Degree Days 2022'!F16</f>
        <v>17</v>
      </c>
      <c r="G16" s="261">
        <f>'[2]Degree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'General information '!B11</f>
        <v>17</v>
      </c>
      <c r="K16" s="261">
        <f>'General information '!C11</f>
        <v>13</v>
      </c>
      <c r="L16" s="261">
        <f>'[10]Degree Days 2020'!L16</f>
        <v>-1.8000000000000007</v>
      </c>
      <c r="M16" s="498">
        <f>'[11]Degree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13</v>
      </c>
      <c r="D17" s="261">
        <f>'[10]Degree Days 2020'!D17</f>
        <v>-0.80000000000000071</v>
      </c>
      <c r="E17" s="498">
        <f>'[10]Degree Days 2020'!E17</f>
        <v>8</v>
      </c>
      <c r="F17" s="261">
        <f>'[2]Degree Days 2022'!F17</f>
        <v>0</v>
      </c>
      <c r="G17" s="261">
        <f>'[2]Degree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'General information '!B12</f>
        <v>8</v>
      </c>
      <c r="K17" s="261">
        <f>'General information '!C12</f>
        <v>13</v>
      </c>
      <c r="L17" s="261">
        <f>'[10]Degree Days 2020'!L17</f>
        <v>-0.30000000000000071</v>
      </c>
      <c r="M17" s="498">
        <f>'[11]Degree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14</v>
      </c>
      <c r="D18" s="261">
        <f>'[10]Degree Days 2020'!D18</f>
        <v>0.19999999999999929</v>
      </c>
      <c r="E18" s="498">
        <f>'[10]Degree Days 2020'!E18</f>
        <v>9</v>
      </c>
      <c r="F18" s="261">
        <f>'[2]Degree Days 2022'!F18</f>
        <v>21</v>
      </c>
      <c r="G18" s="261">
        <f>'[2]Degree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'General information '!B13</f>
        <v>16</v>
      </c>
      <c r="K18" s="261">
        <f>'General information '!C13</f>
        <v>14</v>
      </c>
      <c r="L18" s="261">
        <f>'[10]Degree Days 2020'!L18</f>
        <v>1.6999999999999993</v>
      </c>
      <c r="M18" s="498">
        <f>'[11]Degree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11</v>
      </c>
      <c r="D19" s="261">
        <f>'[10]Degree Days 2020'!D19</f>
        <v>0.19999999999999929</v>
      </c>
      <c r="E19" s="498">
        <f>'[10]Degree Days 2020'!E19</f>
        <v>10</v>
      </c>
      <c r="F19" s="261">
        <f>'[2]Degree Days 2022'!F19</f>
        <v>0</v>
      </c>
      <c r="G19" s="261">
        <f>'[2]Degree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'General information '!B14</f>
        <v>14</v>
      </c>
      <c r="K19" s="261">
        <f>'General information '!C14</f>
        <v>11</v>
      </c>
      <c r="L19" s="261">
        <f>'[10]Degree Days 2020'!L19</f>
        <v>-2.3000000000000007</v>
      </c>
      <c r="M19" s="498">
        <f>'[11]Degree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9</v>
      </c>
      <c r="D20" s="261">
        <f>'[10]Degree Days 2020'!D20</f>
        <v>0.69999999999999929</v>
      </c>
      <c r="E20" s="498">
        <f>'[10]Degree Days 2020'!E20</f>
        <v>11</v>
      </c>
      <c r="F20" s="261">
        <f>'[2]Degree Days 2022'!F20</f>
        <v>0</v>
      </c>
      <c r="G20" s="261">
        <f>'[2]Degree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'General information '!B15</f>
        <v>14</v>
      </c>
      <c r="K20" s="261">
        <f>'General information '!C15</f>
        <v>9</v>
      </c>
      <c r="L20" s="261">
        <f>'[10]Degree Days 2020'!L20</f>
        <v>-3.8000000000000007</v>
      </c>
      <c r="M20" s="498">
        <f>'[11]Degree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'[10]Degree Days 2020'!D21</f>
        <v>0.19999999999999929</v>
      </c>
      <c r="E21" s="498">
        <f>'[10]Degree Days 2020'!E21</f>
        <v>12</v>
      </c>
      <c r="F21" s="261">
        <f>'[2]Degree Days 2022'!F21</f>
        <v>0</v>
      </c>
      <c r="G21" s="261">
        <f>'[2]Degree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'General information '!B16</f>
        <v>0</v>
      </c>
      <c r="K21" s="261">
        <f>'General information '!C16</f>
        <v>0</v>
      </c>
      <c r="L21" s="261">
        <f>'[10]Degree Days 2020'!L21</f>
        <v>-2.8000000000000007</v>
      </c>
      <c r="M21" s="498">
        <f>'[11]Degree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9</v>
      </c>
      <c r="D22" s="261">
        <f>'[10]Degree Days 2020'!D22</f>
        <v>-3.3000000000000007</v>
      </c>
      <c r="E22" s="498">
        <f>'[10]Degree Days 2020'!E22</f>
        <v>13</v>
      </c>
      <c r="F22" s="261">
        <f>'[2]Degree Days 2022'!F22</f>
        <v>17</v>
      </c>
      <c r="G22" s="261">
        <f>'[2]Degree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'General information '!B17</f>
        <v>13</v>
      </c>
      <c r="K22" s="261">
        <f>'General information '!C17</f>
        <v>9</v>
      </c>
      <c r="L22" s="261">
        <f>'[10]Degree Days 2020'!L22</f>
        <v>-1.3000000000000007</v>
      </c>
      <c r="M22" s="498">
        <f>'[11]Degree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8</v>
      </c>
      <c r="D23" s="261">
        <f>'[10]Degree Days 2020'!D23</f>
        <v>-3.8000000000000007</v>
      </c>
      <c r="E23" s="498">
        <f>'[10]Degree Days 2020'!E23</f>
        <v>14</v>
      </c>
      <c r="F23" s="261">
        <f>'[2]Degree Days 2022'!F23</f>
        <v>18</v>
      </c>
      <c r="G23" s="261">
        <f>'[2]Degree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'General information '!B18</f>
        <v>12</v>
      </c>
      <c r="K23" s="261">
        <f>'General information '!C18</f>
        <v>8</v>
      </c>
      <c r="L23" s="261">
        <f>'[10]Degree Days 2020'!L23</f>
        <v>-1.3000000000000007</v>
      </c>
      <c r="M23" s="498">
        <f>'[11]Degree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5</v>
      </c>
      <c r="D24" s="261">
        <f>'[10]Degree Days 2020'!D24</f>
        <v>-2.3000000000000007</v>
      </c>
      <c r="E24" s="498">
        <f>'[10]Degree Days 2020'!E24</f>
        <v>15</v>
      </c>
      <c r="F24" s="261">
        <f>'[2]Degree Days 2022'!F24</f>
        <v>17</v>
      </c>
      <c r="G24" s="261">
        <f>'[2]Degree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'General information '!B19</f>
        <v>10</v>
      </c>
      <c r="K24" s="261">
        <f>'General information '!C19</f>
        <v>5</v>
      </c>
      <c r="L24" s="261">
        <f>'[10]Degree Days 2020'!L24</f>
        <v>-1.3000000000000007</v>
      </c>
      <c r="M24" s="498">
        <f>'[11]Degree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'[2]Degree Days 2022'!F25</f>
        <v>17</v>
      </c>
      <c r="G25" s="261">
        <f>'[2]Degree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'General information '!B20</f>
        <v>0</v>
      </c>
      <c r="K25" s="261">
        <f>'General information '!C20</f>
        <v>0</v>
      </c>
      <c r="L25" s="261">
        <f>'[10]Degree Days 2020'!L25</f>
        <v>-1.8000000000000007</v>
      </c>
      <c r="M25" s="498">
        <f>'[11]Degree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9</v>
      </c>
      <c r="D26" s="261">
        <f>'[10]Degree Days 2020'!D26</f>
        <v>-4.8000000000000007</v>
      </c>
      <c r="E26" s="498">
        <f>'[10]Degree Days 2020'!E26</f>
        <v>17</v>
      </c>
      <c r="F26" s="261">
        <f>'[2]Degree Days 2022'!F26</f>
        <v>18</v>
      </c>
      <c r="G26" s="261">
        <f>'[2]Degree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'General information '!B21</f>
        <v>16</v>
      </c>
      <c r="K26" s="261">
        <f>'General information '!C21</f>
        <v>9</v>
      </c>
      <c r="L26" s="261">
        <f>'[10]Degree Days 2020'!L26</f>
        <v>-0.80000000000000071</v>
      </c>
      <c r="M26" s="498">
        <f>'[11]Degree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'[10]Degree Days 2020'!D27</f>
        <v>-7.3000000000000007</v>
      </c>
      <c r="E27" s="498">
        <f>'[10]Degree Days 2020'!E27</f>
        <v>18</v>
      </c>
      <c r="F27" s="261">
        <f>'[2]Degree Days 2022'!F27</f>
        <v>0</v>
      </c>
      <c r="G27" s="261">
        <f>'[2]Degree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'General information '!B22</f>
        <v>0</v>
      </c>
      <c r="K27" s="261">
        <f>'General information '!C22</f>
        <v>0</v>
      </c>
      <c r="L27" s="261">
        <f>'[10]Degree Days 2020'!L27</f>
        <v>-0.80000000000000071</v>
      </c>
      <c r="M27" s="498">
        <f>'[11]Degree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'[10]Degree Days 2020'!D28</f>
        <v>-4.8000000000000007</v>
      </c>
      <c r="E28" s="498">
        <f>'[10]Degree Days 2020'!E28</f>
        <v>19</v>
      </c>
      <c r="F28" s="261">
        <f>'[2]Degree Days 2022'!F28</f>
        <v>0</v>
      </c>
      <c r="G28" s="261">
        <f>'[2]Degree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'General information '!B23</f>
        <v>0</v>
      </c>
      <c r="K28" s="261">
        <f>'General information '!C23</f>
        <v>0</v>
      </c>
      <c r="L28" s="261">
        <f>'[10]Degree Days 2020'!L28</f>
        <v>-0.30000000000000071</v>
      </c>
      <c r="M28" s="498">
        <f>'[11]Degree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9</v>
      </c>
      <c r="D29" s="261">
        <f>'[10]Degree Days 2020'!D29</f>
        <v>-4.8000000000000007</v>
      </c>
      <c r="E29" s="498">
        <f>'[10]Degree Days 2020'!E29</f>
        <v>20</v>
      </c>
      <c r="F29" s="261">
        <f>'[2]Degree Days 2022'!F29</f>
        <v>18</v>
      </c>
      <c r="G29" s="261">
        <f>'[2]Degree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'General information '!B24</f>
        <v>11</v>
      </c>
      <c r="K29" s="261">
        <f>'General information '!C24</f>
        <v>9</v>
      </c>
      <c r="L29" s="261">
        <f>'[10]Degree Days 2020'!L29</f>
        <v>1.1999999999999993</v>
      </c>
      <c r="M29" s="498">
        <f>'[11]Degree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8</v>
      </c>
      <c r="D30" s="261">
        <f>'[10]Degree Days 2020'!D30</f>
        <v>-5.8000000000000007</v>
      </c>
      <c r="E30" s="498">
        <f>'[10]Degree Days 2020'!E30</f>
        <v>21</v>
      </c>
      <c r="F30" s="261">
        <f>'[2]Degree Days 2022'!F30</f>
        <v>19</v>
      </c>
      <c r="G30" s="261">
        <f>'[2]Degree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'General information '!B25</f>
        <v>14</v>
      </c>
      <c r="K30" s="261">
        <f>'General information '!C25</f>
        <v>8</v>
      </c>
      <c r="L30" s="261">
        <f>'[10]Degree Days 2020'!L30</f>
        <v>0.19999999999999929</v>
      </c>
      <c r="M30" s="498">
        <f>'[11]Degree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11</v>
      </c>
      <c r="D31" s="261">
        <f>'[10]Degree Days 2020'!D31</f>
        <v>-4.8000000000000007</v>
      </c>
      <c r="E31" s="498">
        <f>'[10]Degree Days 2020'!E31</f>
        <v>22</v>
      </c>
      <c r="F31" s="261">
        <f>'[2]Degree Days 2022'!F31</f>
        <v>23</v>
      </c>
      <c r="G31" s="261">
        <f>'[2]Degree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'General information '!B26</f>
        <v>15</v>
      </c>
      <c r="K31" s="261">
        <f>'General information '!C26</f>
        <v>11</v>
      </c>
      <c r="L31" s="261">
        <f>'[10]Degree Days 2020'!L31</f>
        <v>1.6999999999999993</v>
      </c>
      <c r="M31" s="498">
        <f>'[11]Degree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9</v>
      </c>
      <c r="D32" s="261">
        <f>'[10]Degree Days 2020'!D32</f>
        <v>-3.3000000000000007</v>
      </c>
      <c r="E32" s="498">
        <f>'[10]Degree Days 2020'!E32</f>
        <v>23</v>
      </c>
      <c r="F32" s="261">
        <f>'[2]Degree Days 2022'!F32</f>
        <v>25</v>
      </c>
      <c r="G32" s="261">
        <f>'[2]Degree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'General information '!B27</f>
        <v>15</v>
      </c>
      <c r="K32" s="261">
        <f>'General information '!C27</f>
        <v>9</v>
      </c>
      <c r="L32" s="261">
        <f>'[10]Degree Days 2020'!L32</f>
        <v>6.6999999999999993</v>
      </c>
      <c r="M32" s="498">
        <f>'[11]Degree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9</v>
      </c>
      <c r="D33" s="261">
        <f>'[10]Degree Days 2020'!D33</f>
        <v>-4.3000000000000007</v>
      </c>
      <c r="E33" s="498">
        <f>'[10]Degree Days 2020'!E33</f>
        <v>24</v>
      </c>
      <c r="F33" s="261">
        <f>'[2]Degree Days 2022'!F33</f>
        <v>26</v>
      </c>
      <c r="G33" s="261">
        <f>'[2]Degree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'General information '!B28</f>
        <v>13</v>
      </c>
      <c r="K33" s="261">
        <f>'General information '!C28</f>
        <v>9</v>
      </c>
      <c r="L33" s="261">
        <f>'[10]Degree Days 2020'!L33</f>
        <v>-4.8000000000000007</v>
      </c>
      <c r="M33" s="498">
        <f>'[11]Degree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'[2]Degree Days 2022'!F34</f>
        <v>0</v>
      </c>
      <c r="G34" s="261">
        <f>'[2]Degree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'General information '!B29</f>
        <v>0</v>
      </c>
      <c r="K34" s="261">
        <f>'General information '!C29</f>
        <v>0</v>
      </c>
      <c r="L34" s="261">
        <f>'[10]Degree Days 2020'!L34</f>
        <v>-4.8000000000000007</v>
      </c>
      <c r="M34" s="498">
        <f>'[11]Degree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'[2]Degree Days 2022'!F35</f>
        <v>0</v>
      </c>
      <c r="G35" s="261">
        <f>'[2]Degree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'General information '!B30</f>
        <v>0</v>
      </c>
      <c r="K35" s="261">
        <f>'General information '!C30</f>
        <v>0</v>
      </c>
      <c r="L35" s="261">
        <f>'[10]Degree Days 2020'!L35</f>
        <v>-5.3000000000000007</v>
      </c>
      <c r="M35" s="498">
        <f>'[11]Degree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11</v>
      </c>
      <c r="D36" s="261">
        <f>'[10]Degree Days 2020'!D36</f>
        <v>-6.3000000000000007</v>
      </c>
      <c r="E36" s="498">
        <f>'[10]Degree Days 2020'!E36</f>
        <v>27</v>
      </c>
      <c r="F36" s="261">
        <f>'[2]Degree Days 2022'!F36</f>
        <v>18</v>
      </c>
      <c r="G36" s="261">
        <f>'[2]Degree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'General information '!B31</f>
        <v>18</v>
      </c>
      <c r="K36" s="261">
        <f>'General information '!C31</f>
        <v>11</v>
      </c>
      <c r="L36" s="261">
        <f>'[10]Degree Days 2020'!L36</f>
        <v>-4.3000000000000007</v>
      </c>
      <c r="M36" s="498">
        <f>'[11]Degree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11</v>
      </c>
      <c r="D37" s="261">
        <f>'[10]Degree Days 2020'!D37</f>
        <v>-6.3000000000000007</v>
      </c>
      <c r="E37" s="498">
        <f>'[10]Degree Days 2020'!E37</f>
        <v>28</v>
      </c>
      <c r="F37" s="261">
        <f>'[2]Degree Days 2022'!F37</f>
        <v>17</v>
      </c>
      <c r="G37" s="261">
        <f>'[2]Degree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'General information '!B32</f>
        <v>18</v>
      </c>
      <c r="K37" s="261">
        <f>'General information '!C32</f>
        <v>11</v>
      </c>
      <c r="L37" s="261">
        <f>'[10]Degree Days 2020'!L37</f>
        <v>-3.3000000000000007</v>
      </c>
      <c r="M37" s="498">
        <f>'[11]Degree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'General information '!B33</f>
        <v>0</v>
      </c>
      <c r="K38" s="261">
        <f>'General information '!C33</f>
        <v>0</v>
      </c>
      <c r="L38" s="261">
        <f>'[10]Degree Days 2020'!L38</f>
        <v>-2.8000000000000007</v>
      </c>
      <c r="M38" s="498">
        <f>'[11]Degree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'General information '!B34</f>
        <v>0</v>
      </c>
      <c r="K39" s="261">
        <f>'General information '!C34</f>
        <v>0</v>
      </c>
      <c r="L39" s="261">
        <f>'[10]Degree Days 2020'!L39</f>
        <v>-2.3000000000000007</v>
      </c>
      <c r="M39" s="498">
        <f>'[11]Degree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'General information '!B35</f>
        <v>0</v>
      </c>
      <c r="K40" s="261">
        <f>'General information '!C35</f>
        <v>0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4" t="s">
        <v>174</v>
      </c>
      <c r="O84" s="714" t="s">
        <v>175</v>
      </c>
      <c r="P84" s="134"/>
      <c r="T84" s="134"/>
      <c r="X84" s="134"/>
    </row>
    <row r="85" spans="1:24" ht="20.25" thickBot="1">
      <c r="D85" s="134"/>
      <c r="I85" s="716" t="s">
        <v>182</v>
      </c>
      <c r="J85" s="717"/>
      <c r="K85" s="717"/>
      <c r="L85" s="717"/>
      <c r="N85" s="715"/>
      <c r="O85" s="715"/>
      <c r="P85" s="134"/>
      <c r="R85" s="17"/>
      <c r="S85" s="17"/>
      <c r="T85" s="140"/>
      <c r="U85" s="141"/>
      <c r="X85" s="134"/>
    </row>
    <row r="86" spans="1:24" ht="18.75" thickBot="1">
      <c r="D86" s="134"/>
      <c r="I86" s="718" t="s">
        <v>183</v>
      </c>
      <c r="J86" s="718"/>
      <c r="K86" s="718"/>
      <c r="L86" s="718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8"/>
      <c r="C88" s="708"/>
      <c r="D88" s="708"/>
      <c r="E88" s="708"/>
      <c r="F88" s="708"/>
      <c r="G88" s="708"/>
      <c r="H88" s="708"/>
      <c r="I88" s="708"/>
      <c r="J88" s="708"/>
      <c r="K88" s="708"/>
      <c r="L88" s="708"/>
      <c r="M88" s="708"/>
      <c r="N88" s="708"/>
      <c r="O88" s="708"/>
      <c r="P88" s="708"/>
      <c r="Q88" s="708"/>
      <c r="R88" s="708"/>
      <c r="S88" s="708"/>
      <c r="T88" s="708"/>
      <c r="U88" s="708"/>
      <c r="V88" s="708"/>
      <c r="W88" s="70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K10" sqref="K10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2" t="s">
        <v>214</v>
      </c>
      <c r="B2" s="722"/>
      <c r="C2" s="722"/>
      <c r="D2" s="722"/>
      <c r="E2" s="722"/>
      <c r="F2" s="722"/>
      <c r="G2" s="722"/>
      <c r="H2" s="722"/>
      <c r="I2" s="722"/>
    </row>
    <row r="3" spans="1:11">
      <c r="A3" s="193">
        <v>44621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28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659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'[12]Budget 2021'!$I$15</f>
        <v>8701</v>
      </c>
      <c r="J7" s="265"/>
    </row>
    <row r="8" spans="1:11">
      <c r="A8" s="190" t="s">
        <v>217</v>
      </c>
      <c r="B8" s="336">
        <f>tanks!AT37</f>
        <v>60460</v>
      </c>
      <c r="C8" s="466">
        <f>SUM(tanks!AU37)</f>
        <v>1.0347500000000001</v>
      </c>
      <c r="D8" s="191">
        <f>SUM(B8*C8)*D4</f>
        <v>94310684.887500003</v>
      </c>
      <c r="E8" s="192">
        <f>SUM(D8/D4/F4)</f>
        <v>2018.0962903225807</v>
      </c>
      <c r="F8" s="192">
        <f>SUM(E8*F4)</f>
        <v>62560.985000000001</v>
      </c>
      <c r="G8" s="570">
        <f>E8*$G$4</f>
        <v>56506.696129032258</v>
      </c>
      <c r="H8" s="189">
        <v>30289.9</v>
      </c>
      <c r="I8" s="192">
        <f>'[12]Budget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3526</v>
      </c>
      <c r="C10" s="181"/>
      <c r="D10" s="183">
        <f>'EDl log'!AB30</f>
        <v>7674893</v>
      </c>
      <c r="E10" s="182">
        <f>SUM(D10/D4/F4)</f>
        <v>164.23031081153374</v>
      </c>
      <c r="F10" s="182">
        <f>SUM(E10*F4)</f>
        <v>5091.1396351575459</v>
      </c>
      <c r="G10" s="478">
        <f>E10*$G$4</f>
        <v>4598.4487027229443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2446.8427301663723</v>
      </c>
      <c r="F12" s="180">
        <f>SUM(F6:F10)</f>
        <v>75852.124635157554</v>
      </c>
      <c r="G12" s="179">
        <f>SUM(G6:G10)</f>
        <v>69305.144831755199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'[13]Utility Cost '!$B$14</f>
        <v>11.499999999999996</v>
      </c>
      <c r="D14" s="170"/>
      <c r="E14" s="416">
        <f>B14-C14</f>
        <v>-11.499999999999996</v>
      </c>
      <c r="F14" s="477">
        <v>0</v>
      </c>
      <c r="G14" s="405"/>
      <c r="H14" s="406">
        <f>SUM(G12-H12)</f>
        <v>-10823.755168244796</v>
      </c>
      <c r="I14" s="406">
        <f>SUM(G12-I12)</f>
        <v>18061.22511132509</v>
      </c>
    </row>
    <row r="15" spans="1:11">
      <c r="A15" s="428" t="s">
        <v>301</v>
      </c>
      <c r="B15" s="97">
        <f>'Degree Days 2022'!J81</f>
        <v>-549.00000000000011</v>
      </c>
      <c r="C15" s="416">
        <f>'[13]Utility Cost '!$B$15</f>
        <v>-64.799999999999983</v>
      </c>
      <c r="D15" s="170"/>
      <c r="E15" s="416">
        <f>B15-C15</f>
        <v>-484.20000000000016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16.28125</v>
      </c>
      <c r="C16" s="415">
        <f>'[13]Utility Cost '!$B$16</f>
        <v>15.064516129032258</v>
      </c>
      <c r="D16" s="415"/>
      <c r="E16" s="576">
        <f>B16-C16</f>
        <v>1.216733870967742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'[13]Utility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232</v>
      </c>
      <c r="C18" s="416">
        <f>'[13]Utility Cost '!$B$18</f>
        <v>229</v>
      </c>
      <c r="D18" s="413">
        <f>'[14]Other Fuel Calculation 2021'!$G$116</f>
        <v>202.66666666666666</v>
      </c>
      <c r="E18" s="492">
        <f>B18-C18</f>
        <v>3</v>
      </c>
      <c r="F18" s="495">
        <f>B18-D18</f>
        <v>29.333333333333343</v>
      </c>
    </row>
    <row r="19" spans="1:10">
      <c r="A19" s="489" t="s">
        <v>412</v>
      </c>
      <c r="B19" s="493">
        <f>GEN!AL34</f>
        <v>21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11.047619047619047</v>
      </c>
      <c r="C20" s="603">
        <f>'[13]Utility Cost '!$B$19</f>
        <v>7.387096774193548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22"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2022-03-30T07:21:06Z</dcterms:modified>
</cp:coreProperties>
</file>