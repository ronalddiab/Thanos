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L:\BAL-ENG\4. Energy\4.1 Utilities\HEP\2020\9. September 2020\"/>
    </mc:Choice>
  </mc:AlternateContent>
  <bookViews>
    <workbookView xWindow="0" yWindow="0" windowWidth="28800" windowHeight="12435" tabRatio="762" activeTab="1"/>
  </bookViews>
  <sheets>
    <sheet name="TOTAL" sheetId="11" r:id="rId1"/>
    <sheet name="FS Jimbaran September 2020" sheetId="14" r:id="rId2"/>
    <sheet name="RNs &amp; Covers September 2020" sheetId="10" r:id="rId3"/>
  </sheets>
  <calcPr calcId="152511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46" i="14" l="1"/>
  <c r="R46" i="14" l="1"/>
  <c r="Q46" i="14"/>
  <c r="AA12" i="14" l="1"/>
  <c r="AA13" i="14"/>
  <c r="AA14" i="14"/>
  <c r="AA15" i="14"/>
  <c r="AA16" i="14"/>
  <c r="AA17" i="14"/>
  <c r="AA18" i="14"/>
  <c r="AA19" i="14"/>
  <c r="AA20" i="14"/>
  <c r="AA21" i="14"/>
  <c r="AA22" i="14"/>
  <c r="AA23" i="14"/>
  <c r="AA24" i="14"/>
  <c r="AA25" i="14"/>
  <c r="AA26" i="14"/>
  <c r="AA27" i="14"/>
  <c r="AA28" i="14"/>
  <c r="AA29" i="14"/>
  <c r="AA30" i="14"/>
  <c r="AA31" i="14"/>
  <c r="AG12" i="14" l="1"/>
  <c r="AG13" i="14"/>
  <c r="AG14" i="14"/>
  <c r="AG15" i="14"/>
  <c r="AG16" i="14"/>
  <c r="AG17" i="14"/>
  <c r="AG18" i="14"/>
  <c r="AG19" i="14"/>
  <c r="AG20" i="14"/>
  <c r="AG21" i="14"/>
  <c r="AG22" i="14"/>
  <c r="AG23" i="14"/>
  <c r="AG24" i="14"/>
  <c r="AG25" i="14"/>
  <c r="AG26" i="14"/>
  <c r="AG27" i="14"/>
  <c r="AG28" i="14"/>
  <c r="AG29" i="14"/>
  <c r="AG30" i="14"/>
  <c r="AG31" i="14"/>
  <c r="B37" i="10" l="1"/>
  <c r="N3" i="11" l="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2" i="11"/>
  <c r="AG41" i="14" l="1"/>
  <c r="AG32" i="14"/>
  <c r="AG33" i="14"/>
  <c r="AG34" i="14"/>
  <c r="AG35" i="14"/>
  <c r="AG36" i="14"/>
  <c r="AG37" i="14"/>
  <c r="AG38" i="14"/>
  <c r="AG39" i="14"/>
  <c r="AG40" i="14"/>
  <c r="N32" i="14" l="1"/>
  <c r="N33" i="14"/>
  <c r="N34" i="14"/>
  <c r="N35" i="14"/>
  <c r="N36" i="14"/>
  <c r="N37" i="14"/>
  <c r="N38" i="14"/>
  <c r="N39" i="14"/>
  <c r="N40" i="14"/>
  <c r="N41" i="14"/>
  <c r="N13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12" i="14"/>
  <c r="C37" i="10" l="1"/>
  <c r="AI40" i="14"/>
  <c r="AL40" i="14"/>
  <c r="AL41" i="14"/>
  <c r="AI41" i="14"/>
  <c r="AA40" i="14"/>
  <c r="AB40" i="14" s="1"/>
  <c r="AA41" i="14"/>
  <c r="AB41" i="14" s="1"/>
  <c r="V40" i="14"/>
  <c r="V41" i="14"/>
  <c r="P40" i="14"/>
  <c r="P41" i="14"/>
  <c r="I40" i="14"/>
  <c r="I41" i="14"/>
  <c r="O41" i="14" l="1"/>
  <c r="F31" i="11" s="1"/>
  <c r="O40" i="14"/>
  <c r="F30" i="11" s="1"/>
  <c r="E30" i="11"/>
  <c r="G30" i="11"/>
  <c r="H30" i="11"/>
  <c r="I30" i="11"/>
  <c r="J30" i="11"/>
  <c r="K30" i="11"/>
  <c r="L30" i="11"/>
  <c r="E31" i="11"/>
  <c r="G31" i="11"/>
  <c r="H31" i="11"/>
  <c r="I31" i="11"/>
  <c r="J31" i="11"/>
  <c r="K31" i="11"/>
  <c r="L31" i="11"/>
  <c r="V33" i="14" l="1"/>
  <c r="V34" i="14"/>
  <c r="V35" i="14"/>
  <c r="V36" i="14"/>
  <c r="V37" i="14"/>
  <c r="V38" i="14"/>
  <c r="V39" i="14"/>
  <c r="V24" i="14" l="1"/>
  <c r="J21" i="11" l="1"/>
  <c r="J22" i="11"/>
  <c r="J23" i="11"/>
  <c r="J24" i="11"/>
  <c r="J25" i="11"/>
  <c r="J26" i="11"/>
  <c r="J27" i="11"/>
  <c r="J28" i="11"/>
  <c r="J29" i="11"/>
  <c r="I21" i="11"/>
  <c r="I22" i="11"/>
  <c r="I23" i="11"/>
  <c r="I24" i="11"/>
  <c r="I25" i="11"/>
  <c r="I26" i="11"/>
  <c r="I27" i="11"/>
  <c r="I28" i="11"/>
  <c r="I29" i="11"/>
  <c r="AL31" i="14" l="1"/>
  <c r="AL32" i="14"/>
  <c r="AL33" i="14"/>
  <c r="AL34" i="14"/>
  <c r="AL35" i="14"/>
  <c r="AL36" i="14"/>
  <c r="AL37" i="14"/>
  <c r="AL38" i="14"/>
  <c r="AL39" i="14"/>
  <c r="AI31" i="14"/>
  <c r="AI32" i="14"/>
  <c r="AI33" i="14"/>
  <c r="AI34" i="14"/>
  <c r="AI35" i="14"/>
  <c r="AI36" i="14"/>
  <c r="AI37" i="14"/>
  <c r="AI38" i="14"/>
  <c r="AI39" i="14"/>
  <c r="H29" i="11" l="1"/>
  <c r="G29" i="11"/>
  <c r="H27" i="11"/>
  <c r="G27" i="11"/>
  <c r="H25" i="11"/>
  <c r="G25" i="11"/>
  <c r="H23" i="11"/>
  <c r="G23" i="11"/>
  <c r="H21" i="11"/>
  <c r="G21" i="11"/>
  <c r="H28" i="11"/>
  <c r="G28" i="11"/>
  <c r="H26" i="11"/>
  <c r="G26" i="11"/>
  <c r="H24" i="11"/>
  <c r="G24" i="11"/>
  <c r="H22" i="11"/>
  <c r="G22" i="11"/>
  <c r="AA32" i="14"/>
  <c r="AA33" i="14"/>
  <c r="AA34" i="14"/>
  <c r="AA35" i="14"/>
  <c r="AA36" i="14"/>
  <c r="AA37" i="14"/>
  <c r="AA38" i="14"/>
  <c r="AA39" i="14"/>
  <c r="V31" i="14"/>
  <c r="K21" i="11" s="1"/>
  <c r="V32" i="14"/>
  <c r="K22" i="11" s="1"/>
  <c r="K23" i="11"/>
  <c r="K24" i="11"/>
  <c r="K25" i="11"/>
  <c r="K26" i="11"/>
  <c r="K27" i="11"/>
  <c r="K28" i="11"/>
  <c r="K29" i="11"/>
  <c r="I39" i="14"/>
  <c r="I38" i="14"/>
  <c r="I37" i="14"/>
  <c r="O37" i="14" s="1"/>
  <c r="I36" i="14"/>
  <c r="I35" i="14"/>
  <c r="O35" i="14" s="1"/>
  <c r="I34" i="14"/>
  <c r="I33" i="14"/>
  <c r="I32" i="14"/>
  <c r="I31" i="14"/>
  <c r="O32" i="14" l="1"/>
  <c r="O39" i="14"/>
  <c r="O33" i="14"/>
  <c r="O34" i="14"/>
  <c r="O36" i="14"/>
  <c r="O38" i="14"/>
  <c r="O31" i="14"/>
  <c r="L29" i="11"/>
  <c r="AB39" i="14"/>
  <c r="L27" i="11"/>
  <c r="AB37" i="14"/>
  <c r="L25" i="11"/>
  <c r="AB35" i="14"/>
  <c r="L23" i="11"/>
  <c r="AB33" i="14"/>
  <c r="L21" i="11"/>
  <c r="AB31" i="14"/>
  <c r="P31" i="14"/>
  <c r="P32" i="14"/>
  <c r="P33" i="14"/>
  <c r="E23" i="11" s="1"/>
  <c r="P34" i="14"/>
  <c r="E24" i="11" s="1"/>
  <c r="P35" i="14"/>
  <c r="E25" i="11" s="1"/>
  <c r="P36" i="14"/>
  <c r="E26" i="11" s="1"/>
  <c r="P37" i="14"/>
  <c r="E27" i="11" s="1"/>
  <c r="P38" i="14"/>
  <c r="E28" i="11" s="1"/>
  <c r="P39" i="14"/>
  <c r="E29" i="11" s="1"/>
  <c r="L28" i="11"/>
  <c r="AB38" i="14"/>
  <c r="L26" i="11"/>
  <c r="AB36" i="14"/>
  <c r="L24" i="11"/>
  <c r="AB34" i="14"/>
  <c r="L22" i="11"/>
  <c r="AB32" i="14"/>
  <c r="E21" i="11" l="1"/>
  <c r="E22" i="11"/>
  <c r="F28" i="11"/>
  <c r="F26" i="11"/>
  <c r="F24" i="11"/>
  <c r="F22" i="11"/>
  <c r="F29" i="11"/>
  <c r="F27" i="11"/>
  <c r="F25" i="11"/>
  <c r="F23" i="11"/>
  <c r="F21" i="11"/>
  <c r="V30" i="14" l="1"/>
  <c r="V29" i="14"/>
  <c r="V28" i="14"/>
  <c r="V27" i="14"/>
  <c r="V26" i="14"/>
  <c r="V25" i="14"/>
  <c r="V23" i="14"/>
  <c r="V22" i="14"/>
  <c r="V21" i="14"/>
  <c r="V20" i="14"/>
  <c r="V19" i="14"/>
  <c r="V18" i="14"/>
  <c r="V17" i="14"/>
  <c r="V16" i="14"/>
  <c r="V15" i="14"/>
  <c r="V14" i="14"/>
  <c r="V13" i="14"/>
  <c r="V12" i="14"/>
  <c r="AJ46" i="14"/>
  <c r="K9" i="11" l="1"/>
  <c r="K10" i="11"/>
  <c r="K11" i="11"/>
  <c r="K17" i="11"/>
  <c r="K18" i="11"/>
  <c r="K19" i="11"/>
  <c r="K20" i="11"/>
  <c r="J7" i="11"/>
  <c r="I3" i="11"/>
  <c r="I5" i="11"/>
  <c r="I11" i="11"/>
  <c r="I13" i="11"/>
  <c r="I19" i="11"/>
  <c r="I20" i="11"/>
  <c r="I2" i="11"/>
  <c r="AD46" i="14"/>
  <c r="D46" i="14"/>
  <c r="C46" i="14"/>
  <c r="AE46" i="14"/>
  <c r="J20" i="11"/>
  <c r="I30" i="14"/>
  <c r="AL29" i="14"/>
  <c r="I29" i="14"/>
  <c r="AL28" i="14"/>
  <c r="I28" i="14"/>
  <c r="I27" i="14"/>
  <c r="AL26" i="14"/>
  <c r="AI26" i="14"/>
  <c r="I26" i="14"/>
  <c r="AL25" i="14"/>
  <c r="I15" i="11"/>
  <c r="P25" i="14"/>
  <c r="AL24" i="14"/>
  <c r="K14" i="11"/>
  <c r="I24" i="14"/>
  <c r="AL23" i="14"/>
  <c r="P23" i="14"/>
  <c r="I22" i="14"/>
  <c r="P21" i="14"/>
  <c r="AL20" i="14"/>
  <c r="AB20" i="14"/>
  <c r="I20" i="14"/>
  <c r="I9" i="11"/>
  <c r="AB19" i="14"/>
  <c r="AL18" i="14"/>
  <c r="P18" i="14"/>
  <c r="I18" i="14"/>
  <c r="AL17" i="14"/>
  <c r="I7" i="11"/>
  <c r="P17" i="14"/>
  <c r="AL16" i="14"/>
  <c r="K6" i="11"/>
  <c r="I16" i="14"/>
  <c r="AL15" i="14"/>
  <c r="P15" i="14"/>
  <c r="AL13" i="14"/>
  <c r="K2" i="11"/>
  <c r="I12" i="14"/>
  <c r="H11" i="11" l="1"/>
  <c r="H5" i="11"/>
  <c r="G2" i="11"/>
  <c r="H7" i="11"/>
  <c r="H13" i="11"/>
  <c r="H3" i="11"/>
  <c r="E7" i="11"/>
  <c r="E5" i="11"/>
  <c r="E13" i="11"/>
  <c r="E11" i="11"/>
  <c r="E15" i="11"/>
  <c r="E8" i="11"/>
  <c r="G8" i="11"/>
  <c r="H8" i="11"/>
  <c r="G9" i="11"/>
  <c r="H9" i="11"/>
  <c r="AI22" i="14"/>
  <c r="H12" i="11"/>
  <c r="AI24" i="14"/>
  <c r="H14" i="11"/>
  <c r="AI25" i="14"/>
  <c r="H15" i="11"/>
  <c r="G16" i="11"/>
  <c r="H16" i="11"/>
  <c r="AI28" i="14"/>
  <c r="H18" i="11"/>
  <c r="AI29" i="14"/>
  <c r="H19" i="11"/>
  <c r="AI30" i="14"/>
  <c r="H20" i="11"/>
  <c r="AI14" i="14"/>
  <c r="H4" i="11"/>
  <c r="AI16" i="14"/>
  <c r="H6" i="11"/>
  <c r="AI20" i="14"/>
  <c r="H10" i="11"/>
  <c r="AI27" i="14"/>
  <c r="H17" i="11"/>
  <c r="O29" i="14"/>
  <c r="O27" i="14"/>
  <c r="G20" i="11"/>
  <c r="O20" i="14"/>
  <c r="O30" i="14"/>
  <c r="G15" i="11"/>
  <c r="G14" i="11"/>
  <c r="O28" i="14"/>
  <c r="J13" i="11"/>
  <c r="J14" i="11"/>
  <c r="AL30" i="14"/>
  <c r="J6" i="11"/>
  <c r="J5" i="11"/>
  <c r="G7" i="11"/>
  <c r="G11" i="11"/>
  <c r="AL27" i="14"/>
  <c r="J17" i="11"/>
  <c r="G13" i="11"/>
  <c r="J4" i="11"/>
  <c r="AL14" i="14"/>
  <c r="G5" i="11"/>
  <c r="G3" i="11"/>
  <c r="AL21" i="14"/>
  <c r="J11" i="11"/>
  <c r="J12" i="11"/>
  <c r="AL22" i="14"/>
  <c r="J46" i="14"/>
  <c r="G46" i="14"/>
  <c r="W46" i="14"/>
  <c r="O24" i="14"/>
  <c r="P27" i="14"/>
  <c r="P29" i="14"/>
  <c r="P30" i="14"/>
  <c r="J16" i="11"/>
  <c r="J8" i="11"/>
  <c r="K3" i="11"/>
  <c r="G6" i="11"/>
  <c r="I12" i="11"/>
  <c r="I4" i="11"/>
  <c r="J15" i="11"/>
  <c r="I19" i="14"/>
  <c r="O19" i="14" s="1"/>
  <c r="G12" i="11"/>
  <c r="G4" i="11"/>
  <c r="I18" i="11"/>
  <c r="K16" i="11"/>
  <c r="K8" i="11"/>
  <c r="L46" i="14"/>
  <c r="P14" i="14"/>
  <c r="P20" i="14"/>
  <c r="P22" i="14"/>
  <c r="G19" i="11"/>
  <c r="I17" i="11"/>
  <c r="K15" i="11"/>
  <c r="K7" i="11"/>
  <c r="L10" i="11"/>
  <c r="P13" i="14"/>
  <c r="AF46" i="14"/>
  <c r="I10" i="11"/>
  <c r="M46" i="14"/>
  <c r="P16" i="14"/>
  <c r="I17" i="14"/>
  <c r="O18" i="14"/>
  <c r="I21" i="14"/>
  <c r="O21" i="14" s="1"/>
  <c r="G18" i="11"/>
  <c r="G10" i="11"/>
  <c r="I16" i="11"/>
  <c r="I8" i="11"/>
  <c r="J19" i="11"/>
  <c r="J3" i="11"/>
  <c r="L9" i="11"/>
  <c r="K46" i="14"/>
  <c r="O22" i="14"/>
  <c r="P26" i="14"/>
  <c r="E46" i="14"/>
  <c r="I13" i="14"/>
  <c r="O13" i="14" s="1"/>
  <c r="I15" i="14"/>
  <c r="O15" i="14" s="1"/>
  <c r="O16" i="14"/>
  <c r="P19" i="14"/>
  <c r="I23" i="14"/>
  <c r="O23" i="14" s="1"/>
  <c r="P28" i="14"/>
  <c r="G17" i="11"/>
  <c r="J18" i="11"/>
  <c r="J10" i="11"/>
  <c r="K13" i="11"/>
  <c r="K5" i="11"/>
  <c r="F46" i="14"/>
  <c r="V46" i="14"/>
  <c r="W49" i="14" s="1"/>
  <c r="I14" i="14"/>
  <c r="O14" i="14" s="1"/>
  <c r="P24" i="14"/>
  <c r="I25" i="14"/>
  <c r="O25" i="14" s="1"/>
  <c r="O26" i="14"/>
  <c r="I14" i="11"/>
  <c r="I6" i="11"/>
  <c r="K12" i="11"/>
  <c r="K4" i="11"/>
  <c r="L2" i="11"/>
  <c r="H2" i="11"/>
  <c r="H46" i="14"/>
  <c r="P12" i="14"/>
  <c r="J2" i="11"/>
  <c r="AC46" i="14"/>
  <c r="F5" i="11" l="1"/>
  <c r="E2" i="11"/>
  <c r="F15" i="11"/>
  <c r="E4" i="11"/>
  <c r="E6" i="11"/>
  <c r="F11" i="11"/>
  <c r="E19" i="11"/>
  <c r="E16" i="11"/>
  <c r="E18" i="11"/>
  <c r="F13" i="11"/>
  <c r="F12" i="11"/>
  <c r="E12" i="11"/>
  <c r="E9" i="11"/>
  <c r="E3" i="11"/>
  <c r="E10" i="11"/>
  <c r="E20" i="11"/>
  <c r="E14" i="11"/>
  <c r="F8" i="11"/>
  <c r="E17" i="11"/>
  <c r="F6" i="11"/>
  <c r="F16" i="11"/>
  <c r="F4" i="11"/>
  <c r="F18" i="11"/>
  <c r="F9" i="11"/>
  <c r="F20" i="11"/>
  <c r="F10" i="11"/>
  <c r="F3" i="11"/>
  <c r="F14" i="11"/>
  <c r="F17" i="11"/>
  <c r="F19" i="11"/>
  <c r="I46" i="14"/>
  <c r="AI18" i="14"/>
  <c r="AI19" i="14"/>
  <c r="AB24" i="14"/>
  <c r="L14" i="11"/>
  <c r="AB22" i="14"/>
  <c r="L12" i="11"/>
  <c r="AI13" i="14"/>
  <c r="AI15" i="14"/>
  <c r="O17" i="14"/>
  <c r="AB28" i="14"/>
  <c r="L18" i="11"/>
  <c r="AB14" i="14"/>
  <c r="L4" i="11"/>
  <c r="AB30" i="14"/>
  <c r="L20" i="11"/>
  <c r="AB29" i="14"/>
  <c r="L19" i="11"/>
  <c r="X46" i="14"/>
  <c r="AB18" i="14"/>
  <c r="L8" i="11"/>
  <c r="AB25" i="14"/>
  <c r="L15" i="11"/>
  <c r="AB23" i="14"/>
  <c r="L13" i="11"/>
  <c r="AI21" i="14"/>
  <c r="AB26" i="14"/>
  <c r="L16" i="11"/>
  <c r="AB17" i="14"/>
  <c r="L7" i="11"/>
  <c r="Y46" i="14"/>
  <c r="AB27" i="14"/>
  <c r="L17" i="11"/>
  <c r="AB15" i="14"/>
  <c r="L5" i="11"/>
  <c r="AI23" i="14"/>
  <c r="AI17" i="14"/>
  <c r="AB21" i="14"/>
  <c r="L11" i="11"/>
  <c r="AG46" i="14"/>
  <c r="AL19" i="14"/>
  <c r="J9" i="11"/>
  <c r="AB13" i="14"/>
  <c r="L3" i="11"/>
  <c r="AK46" i="14"/>
  <c r="AL46" i="14" s="1"/>
  <c r="AL12" i="14"/>
  <c r="AA46" i="14"/>
  <c r="AB46" i="14" s="1"/>
  <c r="AH46" i="14"/>
  <c r="AI46" i="14" s="1"/>
  <c r="AI12" i="14"/>
  <c r="N46" i="14"/>
  <c r="O12" i="14"/>
  <c r="P46" i="14"/>
  <c r="S46" i="14" s="1"/>
  <c r="Z46" i="14"/>
  <c r="AB12" i="14"/>
  <c r="F7" i="11" l="1"/>
  <c r="F2" i="11"/>
  <c r="AB16" i="14"/>
  <c r="L6" i="11"/>
  <c r="T46" i="14" l="1"/>
  <c r="U46" i="14" s="1"/>
  <c r="U47" i="14" s="1"/>
  <c r="B3" i="1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A8" i="10" l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</calcChain>
</file>

<file path=xl/sharedStrings.xml><?xml version="1.0" encoding="utf-8"?>
<sst xmlns="http://schemas.openxmlformats.org/spreadsheetml/2006/main" count="100" uniqueCount="55">
  <si>
    <t>Municipal Water (m3)</t>
  </si>
  <si>
    <t>Date</t>
  </si>
  <si>
    <t>Room Nights</t>
  </si>
  <si>
    <t>Food Covers</t>
  </si>
  <si>
    <t>Water (m3)</t>
  </si>
  <si>
    <t>Electricity - Sundara</t>
  </si>
  <si>
    <t>Cost (IDR)</t>
  </si>
  <si>
    <t>LPG Bulk (m3)</t>
  </si>
  <si>
    <t>Water consumption (m3)</t>
  </si>
  <si>
    <t>12 Kg (tube)</t>
  </si>
  <si>
    <t>Deepwell Consumption (m3)</t>
  </si>
  <si>
    <t>Sundara 50 kg (tube)</t>
  </si>
  <si>
    <t>Sub Total (Resort &amp; Sundara) Cost  (IDR)</t>
  </si>
  <si>
    <t>TOTAL  Electricity consumption (KWh)</t>
  </si>
  <si>
    <t>Resort Cost  (IDR)</t>
  </si>
  <si>
    <t>Sundara Cost  (IDR)</t>
  </si>
  <si>
    <t>IDR</t>
  </si>
  <si>
    <t>USD</t>
  </si>
  <si>
    <t>TOTAL  Electricity cost</t>
  </si>
  <si>
    <t>WATER</t>
  </si>
  <si>
    <t>Diesel</t>
  </si>
  <si>
    <t>Residences- Electricity cost (IDR)</t>
  </si>
  <si>
    <t xml:space="preserve">LPG </t>
  </si>
  <si>
    <t>Used (liters)</t>
  </si>
  <si>
    <t>GAS</t>
  </si>
  <si>
    <t>Total kg</t>
  </si>
  <si>
    <t>Municipal Water cost (IDR)</t>
  </si>
  <si>
    <t xml:space="preserve">Total Water Cost </t>
  </si>
  <si>
    <t>Four Seasons Resort Bali at Jimbaran Bay</t>
  </si>
  <si>
    <t>kWh rate</t>
  </si>
  <si>
    <t>Deepwell water Cost (IDR)</t>
  </si>
  <si>
    <t>50 Kg (tube) IVD &amp; TW</t>
  </si>
  <si>
    <t>Sub Total (Resort &amp; Sundara), KWh</t>
  </si>
  <si>
    <t>Electricity Resort</t>
  </si>
  <si>
    <t>ELECTRICITY Resort, Sundara &amp; Residences</t>
  </si>
  <si>
    <t>BASED LOAD KWh (from 10 pm - 6 pm)</t>
  </si>
  <si>
    <t>PEAK LOAD KWh (from 6 pm - 10 pm)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</si>
  <si>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</si>
  <si>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</si>
  <si>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</si>
  <si>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</si>
  <si>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</si>
  <si>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</si>
  <si>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</si>
  <si>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</si>
  <si>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</si>
  <si>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</si>
  <si>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 xml:space="preserve">LPG (Kg) </t>
  </si>
  <si>
    <t>LPG $/Kg</t>
  </si>
  <si>
    <t>Bali Jimbaran</t>
  </si>
  <si>
    <t xml:space="preserve">Total Fuel Oil  (Liters) </t>
  </si>
  <si>
    <t>Fuel Oil  $/Liter</t>
  </si>
  <si>
    <t>Residences- Electricity KWh</t>
  </si>
  <si>
    <t>m3/RNs</t>
  </si>
  <si>
    <t>SEPTEMBER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</si>
</sst>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3" formatCode="_-* #,##0.00_-;\-* #,##0.00_-;_-* &quot;-&quot;??_-;_-@_-"/>
    <numFmt numFmtId="164" formatCode="&quot;$&quot;#,##0.00_);\(&quot;$&quot;#,##0.00\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-* #,##0_-;\-* #,##0_-;_-* &quot;-&quot;??_-;_-@_-"/>
    <numFmt numFmtId="169" formatCode="_(* #,##0_);_(* \(#,##0\);_(* &quot;-&quot;??_);_(@_)"/>
    <numFmt numFmtId="170" formatCode="&quot;$&quot;#,##0"/>
    <numFmt numFmtId="171" formatCode="_-* #,##0.0_-;\-* #,##0.0_-;_-* &quot;-&quot;??_-;_-@_-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6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165" fontId="16" fillId="0" borderId="0" applyFont="0" applyFill="0" applyBorder="0" applyAlignment="0" applyProtection="0"/>
    <xf numFmtId="0" fontId="16" fillId="0" borderId="0"/>
    <xf numFmtId="167" fontId="2" fillId="0" borderId="0" applyFont="0" applyFill="0" applyBorder="0" applyAlignment="0" applyProtection="0"/>
  </cellStyleXfs>
  <cellXfs count="265">
    <xf numFmtId="0" fontId="0" fillId="0" borderId="0" xfId="0"/>
    <xf numFmtId="0" fontId="0" fillId="0" borderId="0" xfId="0" applyBorder="1"/>
    <xf numFmtId="0" fontId="0" fillId="0" borderId="8" xfId="0" applyBorder="1"/>
    <xf numFmtId="168" fontId="0" fillId="0" borderId="8" xfId="2" applyNumberFormat="1" applyFont="1" applyBorder="1"/>
    <xf numFmtId="168" fontId="0" fillId="0" borderId="0" xfId="2" applyNumberFormat="1" applyFont="1"/>
    <xf numFmtId="168" fontId="0" fillId="0" borderId="0" xfId="2" applyNumberFormat="1" applyFont="1" applyBorder="1"/>
    <xf numFmtId="168" fontId="1" fillId="0" borderId="0" xfId="2" applyNumberFormat="1" applyFont="1"/>
    <xf numFmtId="168" fontId="0" fillId="3" borderId="0" xfId="2" applyNumberFormat="1" applyFont="1" applyFill="1" applyBorder="1"/>
    <xf numFmtId="0" fontId="0" fillId="3" borderId="0" xfId="0" applyFill="1"/>
    <xf numFmtId="43" fontId="4" fillId="0" borderId="0" xfId="2" applyFont="1" applyBorder="1"/>
    <xf numFmtId="43" fontId="4" fillId="0" borderId="0" xfId="0" applyNumberFormat="1" applyFont="1" applyBorder="1"/>
    <xf numFmtId="168" fontId="0" fillId="0" borderId="0" xfId="0" applyNumberFormat="1" applyBorder="1"/>
    <xf numFmtId="0" fontId="8" fillId="0" borderId="0" xfId="0" applyFont="1"/>
    <xf numFmtId="0" fontId="0" fillId="0" borderId="32" xfId="0" applyBorder="1" applyAlignment="1">
      <alignment horizontal="center" vertical="center" wrapText="1"/>
    </xf>
    <xf numFmtId="0" fontId="4" fillId="0" borderId="0" xfId="0" applyFont="1" applyBorder="1" applyAlignment="1">
      <alignment horizontal="right"/>
    </xf>
    <xf numFmtId="0" fontId="0" fillId="3" borderId="0" xfId="0" applyFill="1" applyBorder="1"/>
    <xf numFmtId="43" fontId="0" fillId="3" borderId="0" xfId="0" applyNumberFormat="1" applyFill="1" applyBorder="1"/>
    <xf numFmtId="168" fontId="4" fillId="0" borderId="0" xfId="2" applyNumberFormat="1" applyFont="1" applyBorder="1"/>
    <xf numFmtId="0" fontId="0" fillId="0" borderId="9" xfId="0" applyBorder="1"/>
    <xf numFmtId="168" fontId="0" fillId="0" borderId="12" xfId="2" applyNumberFormat="1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168" fontId="0" fillId="0" borderId="34" xfId="2" applyNumberFormat="1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8" fontId="0" fillId="3" borderId="0" xfId="0" applyNumberFormat="1" applyFill="1" applyBorder="1"/>
    <xf numFmtId="0" fontId="6" fillId="3" borderId="0" xfId="0" applyFont="1" applyFill="1" applyBorder="1" applyAlignment="1"/>
    <xf numFmtId="0" fontId="1" fillId="3" borderId="0" xfId="0" applyFont="1" applyFill="1" applyBorder="1" applyAlignment="1"/>
    <xf numFmtId="0" fontId="0" fillId="3" borderId="0" xfId="0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/>
    </xf>
    <xf numFmtId="0" fontId="0" fillId="3" borderId="0" xfId="0" applyFill="1" applyBorder="1" applyAlignment="1"/>
    <xf numFmtId="0" fontId="9" fillId="3" borderId="0" xfId="0" applyFont="1" applyFill="1" applyBorder="1" applyAlignment="1"/>
    <xf numFmtId="168" fontId="0" fillId="0" borderId="9" xfId="0" applyNumberFormat="1" applyBorder="1"/>
    <xf numFmtId="0" fontId="0" fillId="3" borderId="5" xfId="0" applyFill="1" applyBorder="1"/>
    <xf numFmtId="168" fontId="0" fillId="3" borderId="0" xfId="2" applyNumberFormat="1" applyFont="1" applyFill="1" applyBorder="1" applyAlignment="1">
      <alignment horizontal="right"/>
    </xf>
    <xf numFmtId="168" fontId="6" fillId="3" borderId="0" xfId="2" applyNumberFormat="1" applyFont="1" applyFill="1" applyBorder="1" applyAlignment="1"/>
    <xf numFmtId="169" fontId="0" fillId="0" borderId="8" xfId="2" applyNumberFormat="1" applyFont="1" applyBorder="1"/>
    <xf numFmtId="170" fontId="6" fillId="3" borderId="0" xfId="0" applyNumberFormat="1" applyFont="1" applyFill="1" applyBorder="1" applyAlignment="1"/>
    <xf numFmtId="170" fontId="0" fillId="0" borderId="21" xfId="2" applyNumberFormat="1" applyFont="1" applyBorder="1"/>
    <xf numFmtId="170" fontId="0" fillId="3" borderId="5" xfId="0" applyNumberFormat="1" applyFill="1" applyBorder="1"/>
    <xf numFmtId="170" fontId="0" fillId="0" borderId="0" xfId="0" applyNumberFormat="1"/>
    <xf numFmtId="0" fontId="0" fillId="0" borderId="13" xfId="0" applyBorder="1" applyAlignment="1">
      <alignment horizontal="center" vertical="center" wrapText="1"/>
    </xf>
    <xf numFmtId="170" fontId="0" fillId="0" borderId="9" xfId="2" applyNumberFormat="1" applyFont="1" applyBorder="1"/>
    <xf numFmtId="43" fontId="0" fillId="3" borderId="23" xfId="0" applyNumberFormat="1" applyFill="1" applyBorder="1"/>
    <xf numFmtId="168" fontId="0" fillId="0" borderId="13" xfId="2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168" fontId="0" fillId="0" borderId="42" xfId="2" applyNumberFormat="1" applyFont="1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170" fontId="0" fillId="0" borderId="26" xfId="0" applyNumberFormat="1" applyBorder="1" applyAlignment="1">
      <alignment horizontal="center" vertical="center" wrapText="1"/>
    </xf>
    <xf numFmtId="170" fontId="0" fillId="0" borderId="43" xfId="0" applyNumberFormat="1" applyBorder="1" applyAlignment="1">
      <alignment horizontal="center" vertical="center" wrapText="1"/>
    </xf>
    <xf numFmtId="168" fontId="1" fillId="3" borderId="6" xfId="0" applyNumberFormat="1" applyFont="1" applyFill="1" applyBorder="1"/>
    <xf numFmtId="0" fontId="0" fillId="5" borderId="19" xfId="0" applyFill="1" applyBorder="1" applyAlignment="1">
      <alignment vertical="center"/>
    </xf>
    <xf numFmtId="0" fontId="0" fillId="5" borderId="34" xfId="0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11" fillId="11" borderId="44" xfId="0" applyFont="1" applyFill="1" applyBorder="1" applyAlignment="1">
      <alignment horizontal="center" vertical="center" shrinkToFit="1"/>
    </xf>
    <xf numFmtId="0" fontId="11" fillId="11" borderId="45" xfId="0" applyFont="1" applyFill="1" applyBorder="1" applyAlignment="1">
      <alignment horizontal="center" vertical="center" shrinkToFit="1"/>
    </xf>
    <xf numFmtId="43" fontId="9" fillId="3" borderId="0" xfId="2" applyFont="1" applyFill="1" applyBorder="1" applyAlignment="1"/>
    <xf numFmtId="43" fontId="8" fillId="0" borderId="16" xfId="2" applyFont="1" applyBorder="1" applyAlignment="1">
      <alignment horizontal="center" vertical="center" wrapText="1"/>
    </xf>
    <xf numFmtId="43" fontId="8" fillId="0" borderId="28" xfId="2" applyFont="1" applyBorder="1" applyAlignment="1">
      <alignment horizontal="center" vertical="center" wrapText="1"/>
    </xf>
    <xf numFmtId="43" fontId="8" fillId="3" borderId="0" xfId="2" applyFont="1" applyFill="1" applyBorder="1"/>
    <xf numFmtId="43" fontId="12" fillId="0" borderId="0" xfId="2" applyFont="1" applyBorder="1"/>
    <xf numFmtId="43" fontId="8" fillId="0" borderId="0" xfId="2" applyFont="1"/>
    <xf numFmtId="168" fontId="9" fillId="3" borderId="0" xfId="2" applyNumberFormat="1" applyFont="1" applyFill="1" applyBorder="1" applyAlignment="1"/>
    <xf numFmtId="168" fontId="8" fillId="3" borderId="0" xfId="2" applyNumberFormat="1" applyFont="1" applyFill="1" applyBorder="1"/>
    <xf numFmtId="168" fontId="12" fillId="0" borderId="0" xfId="2" applyNumberFormat="1" applyFont="1" applyBorder="1"/>
    <xf numFmtId="168" fontId="8" fillId="0" borderId="0" xfId="2" applyNumberFormat="1" applyFont="1"/>
    <xf numFmtId="168" fontId="0" fillId="3" borderId="39" xfId="0" applyNumberFormat="1" applyFill="1" applyBorder="1"/>
    <xf numFmtId="168" fontId="1" fillId="0" borderId="39" xfId="0" applyNumberFormat="1" applyFont="1" applyBorder="1"/>
    <xf numFmtId="0" fontId="0" fillId="3" borderId="47" xfId="0" applyFill="1" applyBorder="1"/>
    <xf numFmtId="168" fontId="0" fillId="3" borderId="47" xfId="2" applyNumberFormat="1" applyFont="1" applyFill="1" applyBorder="1"/>
    <xf numFmtId="43" fontId="8" fillId="3" borderId="47" xfId="2" applyFont="1" applyFill="1" applyBorder="1"/>
    <xf numFmtId="168" fontId="8" fillId="3" borderId="47" xfId="2" applyNumberFormat="1" applyFont="1" applyFill="1" applyBorder="1"/>
    <xf numFmtId="43" fontId="0" fillId="3" borderId="47" xfId="0" applyNumberFormat="1" applyFill="1" applyBorder="1"/>
    <xf numFmtId="0" fontId="0" fillId="3" borderId="49" xfId="0" applyFill="1" applyBorder="1"/>
    <xf numFmtId="167" fontId="0" fillId="3" borderId="47" xfId="0" applyNumberFormat="1" applyFill="1" applyBorder="1"/>
    <xf numFmtId="168" fontId="0" fillId="3" borderId="47" xfId="0" applyNumberFormat="1" applyFill="1" applyBorder="1"/>
    <xf numFmtId="168" fontId="0" fillId="0" borderId="47" xfId="2" applyNumberFormat="1" applyFont="1" applyBorder="1"/>
    <xf numFmtId="170" fontId="0" fillId="3" borderId="49" xfId="0" applyNumberFormat="1" applyFill="1" applyBorder="1"/>
    <xf numFmtId="168" fontId="0" fillId="0" borderId="0" xfId="2" applyNumberFormat="1" applyFont="1" applyBorder="1" applyAlignment="1">
      <alignment horizontal="right"/>
    </xf>
    <xf numFmtId="168" fontId="9" fillId="6" borderId="23" xfId="2" applyNumberFormat="1" applyFont="1" applyFill="1" applyBorder="1"/>
    <xf numFmtId="0" fontId="1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71" fontId="6" fillId="3" borderId="0" xfId="2" applyNumberFormat="1" applyFont="1" applyFill="1" applyBorder="1" applyAlignment="1"/>
    <xf numFmtId="171" fontId="0" fillId="3" borderId="0" xfId="2" applyNumberFormat="1" applyFont="1" applyFill="1" applyBorder="1"/>
    <xf numFmtId="171" fontId="0" fillId="3" borderId="47" xfId="2" applyNumberFormat="1" applyFont="1" applyFill="1" applyBorder="1"/>
    <xf numFmtId="171" fontId="0" fillId="0" borderId="0" xfId="2" applyNumberFormat="1" applyFont="1" applyBorder="1"/>
    <xf numFmtId="171" fontId="0" fillId="0" borderId="0" xfId="2" applyNumberFormat="1" applyFont="1"/>
    <xf numFmtId="168" fontId="0" fillId="0" borderId="19" xfId="2" applyNumberFormat="1" applyFont="1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168" fontId="9" fillId="0" borderId="53" xfId="2" applyNumberFormat="1" applyFont="1" applyBorder="1" applyAlignment="1">
      <alignment horizontal="center" vertical="center" wrapText="1"/>
    </xf>
    <xf numFmtId="168" fontId="8" fillId="0" borderId="54" xfId="2" applyNumberFormat="1" applyFont="1" applyBorder="1" applyAlignment="1">
      <alignment horizontal="center" vertical="center" wrapText="1"/>
    </xf>
    <xf numFmtId="168" fontId="8" fillId="0" borderId="21" xfId="2" applyNumberFormat="1" applyFont="1" applyBorder="1"/>
    <xf numFmtId="0" fontId="0" fillId="0" borderId="29" xfId="0" applyBorder="1"/>
    <xf numFmtId="168" fontId="0" fillId="0" borderId="29" xfId="2" applyNumberFormat="1" applyFont="1" applyBorder="1"/>
    <xf numFmtId="43" fontId="8" fillId="0" borderId="29" xfId="2" applyFont="1" applyBorder="1"/>
    <xf numFmtId="168" fontId="8" fillId="0" borderId="32" xfId="2" applyNumberFormat="1" applyFont="1" applyBorder="1"/>
    <xf numFmtId="0" fontId="1" fillId="0" borderId="52" xfId="0" applyFont="1" applyBorder="1" applyAlignment="1">
      <alignment horizontal="center" vertical="center" wrapText="1"/>
    </xf>
    <xf numFmtId="0" fontId="1" fillId="0" borderId="53" xfId="0" applyFont="1" applyBorder="1" applyAlignment="1">
      <alignment horizontal="center" vertical="center" wrapText="1"/>
    </xf>
    <xf numFmtId="168" fontId="0" fillId="0" borderId="18" xfId="2" applyNumberFormat="1" applyFont="1" applyBorder="1" applyAlignment="1">
      <alignment horizontal="center" vertical="center" wrapText="1"/>
    </xf>
    <xf numFmtId="0" fontId="0" fillId="0" borderId="54" xfId="0" applyBorder="1" applyAlignment="1">
      <alignment horizontal="center" vertical="center" wrapText="1"/>
    </xf>
    <xf numFmtId="43" fontId="0" fillId="0" borderId="21" xfId="0" applyNumberFormat="1" applyBorder="1"/>
    <xf numFmtId="168" fontId="0" fillId="0" borderId="56" xfId="2" applyNumberFormat="1" applyFont="1" applyBorder="1"/>
    <xf numFmtId="0" fontId="0" fillId="0" borderId="32" xfId="0" applyBorder="1"/>
    <xf numFmtId="168" fontId="0" fillId="0" borderId="10" xfId="2" applyNumberFormat="1" applyFont="1" applyBorder="1"/>
    <xf numFmtId="0" fontId="0" fillId="0" borderId="57" xfId="0" applyBorder="1"/>
    <xf numFmtId="43" fontId="0" fillId="0" borderId="45" xfId="2" applyFont="1" applyBorder="1"/>
    <xf numFmtId="43" fontId="0" fillId="0" borderId="58" xfId="2" applyFont="1" applyBorder="1"/>
    <xf numFmtId="168" fontId="8" fillId="0" borderId="44" xfId="2" applyNumberFormat="1" applyFont="1" applyBorder="1" applyAlignment="1">
      <alignment horizontal="center" vertical="center" wrapText="1"/>
    </xf>
    <xf numFmtId="168" fontId="8" fillId="0" borderId="45" xfId="2" applyNumberFormat="1" applyFont="1" applyBorder="1"/>
    <xf numFmtId="168" fontId="8" fillId="0" borderId="58" xfId="2" applyNumberFormat="1" applyFont="1" applyBorder="1"/>
    <xf numFmtId="171" fontId="0" fillId="0" borderId="35" xfId="2" applyNumberFormat="1" applyFont="1" applyBorder="1" applyAlignment="1">
      <alignment horizontal="center" vertical="center" wrapText="1"/>
    </xf>
    <xf numFmtId="171" fontId="4" fillId="0" borderId="0" xfId="2" applyNumberFormat="1" applyFont="1" applyBorder="1"/>
    <xf numFmtId="168" fontId="9" fillId="6" borderId="23" xfId="0" applyNumberFormat="1" applyFont="1" applyFill="1" applyBorder="1"/>
    <xf numFmtId="168" fontId="0" fillId="3" borderId="14" xfId="2" applyNumberFormat="1" applyFont="1" applyFill="1" applyBorder="1"/>
    <xf numFmtId="0" fontId="0" fillId="3" borderId="60" xfId="0" applyFill="1" applyBorder="1"/>
    <xf numFmtId="0" fontId="0" fillId="3" borderId="15" xfId="0" applyFill="1" applyBorder="1"/>
    <xf numFmtId="0" fontId="0" fillId="3" borderId="61" xfId="0" applyFill="1" applyBorder="1"/>
    <xf numFmtId="0" fontId="0" fillId="3" borderId="62" xfId="0" applyFill="1" applyBorder="1"/>
    <xf numFmtId="168" fontId="0" fillId="3" borderId="48" xfId="2" applyNumberFormat="1" applyFont="1" applyFill="1" applyBorder="1"/>
    <xf numFmtId="0" fontId="11" fillId="11" borderId="58" xfId="0" applyFont="1" applyFill="1" applyBorder="1" applyAlignment="1">
      <alignment horizontal="center" vertical="center" shrinkToFit="1"/>
    </xf>
    <xf numFmtId="168" fontId="1" fillId="0" borderId="23" xfId="2" applyNumberFormat="1" applyFont="1" applyBorder="1"/>
    <xf numFmtId="170" fontId="1" fillId="3" borderId="7" xfId="0" applyNumberFormat="1" applyFont="1" applyFill="1" applyBorder="1"/>
    <xf numFmtId="0" fontId="0" fillId="0" borderId="6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10" xfId="0" applyBorder="1"/>
    <xf numFmtId="168" fontId="0" fillId="0" borderId="21" xfId="0" applyNumberFormat="1" applyBorder="1"/>
    <xf numFmtId="0" fontId="0" fillId="0" borderId="21" xfId="0" applyBorder="1"/>
    <xf numFmtId="0" fontId="0" fillId="3" borderId="50" xfId="0" applyFill="1" applyBorder="1"/>
    <xf numFmtId="167" fontId="0" fillId="3" borderId="5" xfId="0" applyNumberFormat="1" applyFill="1" applyBorder="1"/>
    <xf numFmtId="0" fontId="0" fillId="3" borderId="64" xfId="0" applyFill="1" applyBorder="1"/>
    <xf numFmtId="168" fontId="1" fillId="0" borderId="12" xfId="2" applyNumberFormat="1" applyFont="1" applyBorder="1" applyAlignment="1">
      <alignment horizontal="center" vertical="center" wrapText="1"/>
    </xf>
    <xf numFmtId="168" fontId="14" fillId="3" borderId="8" xfId="2" applyNumberFormat="1" applyFont="1" applyFill="1" applyBorder="1" applyProtection="1">
      <protection locked="0"/>
    </xf>
    <xf numFmtId="0" fontId="0" fillId="3" borderId="52" xfId="0" applyFill="1" applyBorder="1" applyAlignment="1">
      <alignment wrapText="1"/>
    </xf>
    <xf numFmtId="168" fontId="1" fillId="12" borderId="6" xfId="0" applyNumberFormat="1" applyFont="1" applyFill="1" applyBorder="1"/>
    <xf numFmtId="166" fontId="9" fillId="12" borderId="7" xfId="1" applyFont="1" applyFill="1" applyBorder="1"/>
    <xf numFmtId="168" fontId="0" fillId="3" borderId="23" xfId="2" applyNumberFormat="1" applyFont="1" applyFill="1" applyBorder="1"/>
    <xf numFmtId="167" fontId="0" fillId="0" borderId="0" xfId="0" applyNumberFormat="1" applyBorder="1"/>
    <xf numFmtId="171" fontId="0" fillId="0" borderId="41" xfId="2" applyNumberFormat="1" applyFont="1" applyBorder="1" applyAlignment="1">
      <alignment horizontal="center" vertical="center" wrapText="1"/>
    </xf>
    <xf numFmtId="171" fontId="0" fillId="0" borderId="25" xfId="2" applyNumberFormat="1" applyFont="1" applyBorder="1" applyAlignment="1">
      <alignment horizontal="center" vertical="center" wrapText="1"/>
    </xf>
    <xf numFmtId="171" fontId="0" fillId="0" borderId="22" xfId="2" applyNumberFormat="1" applyFont="1" applyBorder="1"/>
    <xf numFmtId="171" fontId="0" fillId="0" borderId="47" xfId="2" applyNumberFormat="1" applyFont="1" applyBorder="1"/>
    <xf numFmtId="168" fontId="1" fillId="12" borderId="6" xfId="2" applyNumberFormat="1" applyFont="1" applyFill="1" applyBorder="1"/>
    <xf numFmtId="170" fontId="1" fillId="12" borderId="7" xfId="0" applyNumberFormat="1" applyFont="1" applyFill="1" applyBorder="1"/>
    <xf numFmtId="168" fontId="1" fillId="12" borderId="31" xfId="2" applyNumberFormat="1" applyFont="1" applyFill="1" applyBorder="1"/>
    <xf numFmtId="170" fontId="1" fillId="12" borderId="33" xfId="2" applyNumberFormat="1" applyFont="1" applyFill="1" applyBorder="1"/>
    <xf numFmtId="43" fontId="5" fillId="0" borderId="0" xfId="2" applyFont="1" applyBorder="1"/>
    <xf numFmtId="168" fontId="14" fillId="3" borderId="65" xfId="2" applyNumberFormat="1" applyFont="1" applyFill="1" applyBorder="1" applyProtection="1">
      <protection locked="0"/>
    </xf>
    <xf numFmtId="169" fontId="0" fillId="0" borderId="55" xfId="2" applyNumberFormat="1" applyFont="1" applyBorder="1"/>
    <xf numFmtId="168" fontId="14" fillId="3" borderId="45" xfId="2" applyNumberFormat="1" applyFont="1" applyFill="1" applyBorder="1" applyProtection="1">
      <protection locked="0"/>
    </xf>
    <xf numFmtId="168" fontId="0" fillId="0" borderId="58" xfId="2" applyNumberFormat="1" applyFont="1" applyBorder="1"/>
    <xf numFmtId="164" fontId="4" fillId="0" borderId="0" xfId="1" applyNumberFormat="1" applyFont="1" applyBorder="1"/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2" fontId="13" fillId="0" borderId="8" xfId="0" applyNumberFormat="1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" fontId="4" fillId="0" borderId="8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1" fontId="0" fillId="0" borderId="8" xfId="0" applyNumberFormat="1" applyBorder="1" applyAlignment="1">
      <alignment horizontal="center"/>
    </xf>
    <xf numFmtId="9" fontId="8" fillId="0" borderId="0" xfId="5" applyFont="1"/>
    <xf numFmtId="9" fontId="0" fillId="0" borderId="0" xfId="0" applyNumberFormat="1"/>
    <xf numFmtId="0" fontId="7" fillId="0" borderId="66" xfId="4" quotePrefix="1" applyBorder="1"/>
    <xf numFmtId="168" fontId="1" fillId="5" borderId="6" xfId="0" applyNumberFormat="1" applyFont="1" applyFill="1" applyBorder="1"/>
    <xf numFmtId="0" fontId="0" fillId="5" borderId="28" xfId="0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57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168" fontId="0" fillId="0" borderId="8" xfId="2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168" fontId="2" fillId="0" borderId="8" xfId="2" applyNumberFormat="1" applyFont="1" applyBorder="1"/>
    <xf numFmtId="43" fontId="2" fillId="0" borderId="8" xfId="2" applyFont="1" applyBorder="1"/>
    <xf numFmtId="168" fontId="1" fillId="0" borderId="10" xfId="2" applyNumberFormat="1" applyFont="1" applyBorder="1"/>
    <xf numFmtId="43" fontId="0" fillId="3" borderId="49" xfId="0" applyNumberFormat="1" applyFill="1" applyBorder="1"/>
    <xf numFmtId="43" fontId="1" fillId="6" borderId="23" xfId="2" applyNumberFormat="1" applyFont="1" applyFill="1" applyBorder="1"/>
    <xf numFmtId="0" fontId="0" fillId="3" borderId="60" xfId="0" applyFill="1" applyBorder="1" applyAlignment="1">
      <alignment wrapText="1"/>
    </xf>
    <xf numFmtId="0" fontId="7" fillId="3" borderId="60" xfId="4" quotePrefix="1" applyFill="1" applyBorder="1" applyAlignment="1"/>
    <xf numFmtId="168" fontId="19" fillId="0" borderId="0" xfId="2" applyNumberFormat="1" applyFont="1" applyBorder="1"/>
    <xf numFmtId="0" fontId="17" fillId="3" borderId="0" xfId="0" applyFont="1" applyFill="1" applyBorder="1"/>
    <xf numFmtId="168" fontId="17" fillId="0" borderId="0" xfId="2" applyNumberFormat="1" applyFont="1"/>
    <xf numFmtId="0" fontId="17" fillId="0" borderId="0" xfId="0" applyFont="1"/>
    <xf numFmtId="43" fontId="18" fillId="0" borderId="0" xfId="2" applyFont="1"/>
    <xf numFmtId="168" fontId="18" fillId="0" borderId="0" xfId="2" applyNumberFormat="1" applyFont="1"/>
    <xf numFmtId="171" fontId="17" fillId="0" borderId="0" xfId="2" applyNumberFormat="1" applyFont="1"/>
    <xf numFmtId="170" fontId="17" fillId="0" borderId="0" xfId="0" applyNumberFormat="1" applyFont="1"/>
    <xf numFmtId="171" fontId="0" fillId="0" borderId="16" xfId="2" applyNumberFormat="1" applyFont="1" applyBorder="1"/>
    <xf numFmtId="171" fontId="0" fillId="0" borderId="14" xfId="2" applyNumberFormat="1" applyFont="1" applyBorder="1"/>
    <xf numFmtId="171" fontId="7" fillId="3" borderId="14" xfId="2" applyNumberFormat="1" applyFont="1" applyFill="1" applyBorder="1" applyAlignment="1">
      <alignment vertical="top" wrapText="1"/>
    </xf>
    <xf numFmtId="0" fontId="0" fillId="3" borderId="50" xfId="0" applyFill="1" applyBorder="1" applyAlignment="1">
      <alignment wrapText="1"/>
    </xf>
    <xf numFmtId="0" fontId="7" fillId="3" borderId="50" xfId="4" quotePrefix="1" applyFill="1" applyBorder="1" applyAlignment="1"/>
    <xf numFmtId="171" fontId="17" fillId="3" borderId="14" xfId="2" applyNumberFormat="1" applyFont="1" applyFill="1" applyBorder="1" applyAlignment="1">
      <alignment vertical="top" wrapText="1"/>
    </xf>
    <xf numFmtId="171" fontId="7" fillId="3" borderId="14" xfId="4" quotePrefix="1" applyNumberFormat="1" applyFill="1" applyBorder="1" applyAlignment="1">
      <alignment vertical="top"/>
    </xf>
    <xf numFmtId="0" fontId="7" fillId="3" borderId="14" xfId="4" applyFill="1" applyBorder="1" applyAlignment="1">
      <alignment vertical="top" wrapText="1"/>
    </xf>
    <xf numFmtId="0" fontId="7" fillId="0" borderId="33" xfId="4" quotePrefix="1" applyBorder="1"/>
    <xf numFmtId="43" fontId="0" fillId="3" borderId="68" xfId="2" applyFont="1" applyFill="1" applyBorder="1"/>
    <xf numFmtId="43" fontId="0" fillId="3" borderId="7" xfId="2" applyFont="1" applyFill="1" applyBorder="1"/>
    <xf numFmtId="43" fontId="0" fillId="3" borderId="46" xfId="2" applyFont="1" applyFill="1" applyBorder="1"/>
    <xf numFmtId="171" fontId="0" fillId="13" borderId="6" xfId="2" applyNumberFormat="1" applyFont="1" applyFill="1" applyBorder="1"/>
    <xf numFmtId="168" fontId="13" fillId="3" borderId="23" xfId="0" applyNumberFormat="1" applyFont="1" applyFill="1" applyBorder="1"/>
    <xf numFmtId="43" fontId="0" fillId="3" borderId="45" xfId="2" applyFont="1" applyFill="1" applyBorder="1"/>
    <xf numFmtId="43" fontId="0" fillId="3" borderId="58" xfId="2" applyFont="1" applyFill="1" applyBorder="1"/>
    <xf numFmtId="43" fontId="17" fillId="0" borderId="0" xfId="0" applyNumberFormat="1" applyFont="1"/>
    <xf numFmtId="43" fontId="0" fillId="0" borderId="0" xfId="0" applyNumberFormat="1" applyBorder="1"/>
    <xf numFmtId="43" fontId="0" fillId="0" borderId="0" xfId="2" applyNumberFormat="1" applyFont="1" applyBorder="1"/>
    <xf numFmtId="43" fontId="0" fillId="0" borderId="0" xfId="2" applyNumberFormat="1" applyFont="1" applyBorder="1" applyAlignment="1">
      <alignment horizontal="right"/>
    </xf>
    <xf numFmtId="9" fontId="0" fillId="0" borderId="0" xfId="5" applyFont="1" applyBorder="1"/>
    <xf numFmtId="171" fontId="1" fillId="0" borderId="35" xfId="2" applyNumberFormat="1" applyFont="1" applyBorder="1" applyAlignment="1">
      <alignment horizontal="center" vertical="center" wrapText="1"/>
    </xf>
    <xf numFmtId="171" fontId="1" fillId="0" borderId="33" xfId="2" applyNumberFormat="1" applyFont="1" applyBorder="1" applyAlignment="1">
      <alignment horizontal="center" vertical="center" wrapText="1"/>
    </xf>
    <xf numFmtId="0" fontId="1" fillId="6" borderId="27" xfId="0" applyFont="1" applyFill="1" applyBorder="1" applyAlignment="1">
      <alignment horizontal="center" vertical="center" wrapText="1"/>
    </xf>
    <xf numFmtId="0" fontId="1" fillId="6" borderId="39" xfId="0" applyFont="1" applyFill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5" borderId="28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left"/>
    </xf>
    <xf numFmtId="49" fontId="9" fillId="2" borderId="40" xfId="0" applyNumberFormat="1" applyFont="1" applyFill="1" applyBorder="1" applyAlignment="1">
      <alignment horizontal="left"/>
    </xf>
    <xf numFmtId="49" fontId="9" fillId="2" borderId="2" xfId="0" applyNumberFormat="1" applyFont="1" applyFill="1" applyBorder="1" applyAlignment="1">
      <alignment horizontal="left"/>
    </xf>
    <xf numFmtId="0" fontId="10" fillId="10" borderId="27" xfId="0" applyFont="1" applyFill="1" applyBorder="1" applyAlignment="1">
      <alignment horizontal="center" vertical="center" wrapText="1"/>
    </xf>
    <xf numFmtId="0" fontId="10" fillId="10" borderId="38" xfId="0" applyFont="1" applyFill="1" applyBorder="1" applyAlignment="1">
      <alignment horizontal="center" vertical="center" wrapText="1"/>
    </xf>
    <xf numFmtId="0" fontId="10" fillId="10" borderId="39" xfId="0" applyFont="1" applyFill="1" applyBorder="1" applyAlignment="1">
      <alignment horizontal="center" vertical="center" wrapText="1"/>
    </xf>
    <xf numFmtId="43" fontId="0" fillId="0" borderId="27" xfId="2" applyFont="1" applyBorder="1" applyAlignment="1">
      <alignment horizontal="center" vertical="center" wrapText="1"/>
    </xf>
    <xf numFmtId="43" fontId="0" fillId="0" borderId="38" xfId="2" applyFont="1" applyBorder="1" applyAlignment="1">
      <alignment horizontal="center" vertical="center" wrapText="1"/>
    </xf>
    <xf numFmtId="43" fontId="0" fillId="0" borderId="39" xfId="2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1" fillId="8" borderId="36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36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40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7" borderId="19" xfId="0" applyFont="1" applyFill="1" applyBorder="1" applyAlignment="1">
      <alignment horizontal="center" vertical="center"/>
    </xf>
    <xf numFmtId="0" fontId="1" fillId="7" borderId="20" xfId="0" applyFont="1" applyFill="1" applyBorder="1" applyAlignment="1">
      <alignment horizontal="center" vertical="center"/>
    </xf>
    <xf numFmtId="0" fontId="1" fillId="9" borderId="19" xfId="0" applyFont="1" applyFill="1" applyBorder="1" applyAlignment="1">
      <alignment horizontal="center" vertical="center"/>
    </xf>
    <xf numFmtId="0" fontId="1" fillId="9" borderId="20" xfId="0" applyFont="1" applyFill="1" applyBorder="1" applyAlignment="1">
      <alignment horizontal="center" vertical="center"/>
    </xf>
    <xf numFmtId="168" fontId="9" fillId="0" borderId="27" xfId="2" applyNumberFormat="1" applyFont="1" applyBorder="1" applyAlignment="1">
      <alignment horizontal="center" vertical="center" wrapText="1"/>
    </xf>
    <xf numFmtId="168" fontId="9" fillId="0" borderId="39" xfId="2" applyNumberFormat="1" applyFont="1" applyBorder="1" applyAlignment="1">
      <alignment horizontal="center" vertical="center" wrapText="1"/>
    </xf>
    <xf numFmtId="0" fontId="1" fillId="0" borderId="67" xfId="0" applyFont="1" applyBorder="1" applyAlignment="1">
      <alignment horizontal="center" vertical="center" wrapText="1"/>
    </xf>
    <xf numFmtId="0" fontId="1" fillId="0" borderId="66" xfId="0" applyFont="1" applyBorder="1" applyAlignment="1">
      <alignment horizontal="center" vertical="center" wrapText="1"/>
    </xf>
    <xf numFmtId="171" fontId="1" fillId="4" borderId="1" xfId="2" applyNumberFormat="1" applyFont="1" applyFill="1" applyBorder="1" applyAlignment="1">
      <alignment horizontal="center" vertical="center"/>
    </xf>
    <xf numFmtId="171" fontId="1" fillId="4" borderId="40" xfId="2" applyNumberFormat="1" applyFont="1" applyFill="1" applyBorder="1" applyAlignment="1">
      <alignment horizontal="center" vertical="center"/>
    </xf>
    <xf numFmtId="171" fontId="1" fillId="4" borderId="2" xfId="2" applyNumberFormat="1" applyFont="1" applyFill="1" applyBorder="1" applyAlignment="1">
      <alignment horizontal="center" vertical="center"/>
    </xf>
    <xf numFmtId="17" fontId="6" fillId="3" borderId="59" xfId="0" applyNumberFormat="1" applyFont="1" applyFill="1" applyBorder="1" applyAlignment="1">
      <alignment horizontal="center"/>
    </xf>
    <xf numFmtId="0" fontId="6" fillId="3" borderId="59" xfId="0" applyNumberFormat="1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10" fillId="10" borderId="8" xfId="0" applyFont="1" applyFill="1" applyBorder="1" applyAlignment="1">
      <alignment horizontal="center" vertical="center" wrapText="1"/>
    </xf>
  </cellXfs>
  <cellStyles count="11">
    <cellStyle name="Comma" xfId="2" builtinId="3"/>
    <cellStyle name="Comma [0] 2" xfId="8"/>
    <cellStyle name="Comma 10" xfId="3"/>
    <cellStyle name="Comma 2" xfId="6"/>
    <cellStyle name="Comma 3" xfId="10"/>
    <cellStyle name="Currency" xfId="1" builtinId="4"/>
    <cellStyle name="Hyperlink" xfId="4" builtinId="8"/>
    <cellStyle name="Hyperlink 2" xfId="7"/>
    <cellStyle name="Normal" xfId="0" builtinId="0"/>
    <cellStyle name="Normal 2" xfId="9"/>
    <cellStyle name="Percent" xfId="5" builtinId="5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199718</xdr:colOff>
      <xdr:row>0</xdr:row>
      <xdr:rowOff>76814</xdr:rowOff>
    </xdr:from>
    <xdr:to>
      <xdr:col>3</xdr:col>
      <xdr:colOff>344023</xdr:colOff>
      <xdr:row>4</xdr:row>
      <xdr:rowOff>138265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368" y="76814"/>
          <a:ext cx="1306355" cy="8615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Z31"/>
  <sheetViews>
    <sheetView workbookViewId="0">
      <selection activeCell="D3" sqref="D3:D31"/>
    </sheetView>
  </sheetViews>
  <sheetFormatPr defaultColWidth="11.5703125" defaultRowHeight="15" x14ac:dyDescent="0.25"/>
  <cols>
    <col min="1" max="1" width="18.42578125" style="166" customWidth="1"/>
    <col min="2" max="2" width="11.5703125" style="167"/>
    <col min="3" max="3" width="11.5703125" style="168"/>
    <col min="4" max="4" width="13.42578125" style="167" customWidth="1"/>
    <col min="5" max="5" width="12.5703125" style="165" customWidth="1"/>
    <col min="6" max="6" width="12.5703125" style="169" customWidth="1"/>
    <col min="7" max="7" width="11.5703125" style="165"/>
    <col min="8" max="8" width="11.5703125" style="169"/>
    <col min="9" max="9" width="11.5703125" style="170"/>
    <col min="10" max="10" width="11.5703125" style="171"/>
    <col min="11" max="11" width="11.5703125" style="165"/>
    <col min="12" max="12" width="11.5703125" style="171"/>
    <col min="13" max="26" width="11.5703125" style="165"/>
  </cols>
  <sheetData>
    <row r="1" spans="1:15" s="159" customFormat="1" ht="43.15" x14ac:dyDescent="0.3">
      <c r="A1" s="155" t="s">
        <v>37</v>
      </c>
      <c r="B1" s="155" t="s">
        <v>38</v>
      </c>
      <c r="C1" s="156" t="s">
        <v>39</v>
      </c>
      <c r="D1" s="155" t="s">
        <v>40</v>
      </c>
      <c r="E1" s="154" t="s">
        <v>41</v>
      </c>
      <c r="F1" s="157" t="s">
        <v>42</v>
      </c>
      <c r="G1" s="154" t="s">
        <v>47</v>
      </c>
      <c r="H1" s="157" t="s">
        <v>48</v>
      </c>
      <c r="I1" s="173" t="s">
        <v>50</v>
      </c>
      <c r="J1" s="157" t="s">
        <v>51</v>
      </c>
      <c r="K1" s="154" t="s">
        <v>43</v>
      </c>
      <c r="L1" s="158" t="s">
        <v>44</v>
      </c>
      <c r="M1" s="154" t="s">
        <v>45</v>
      </c>
      <c r="N1" s="154" t="s">
        <v>3</v>
      </c>
    </row>
    <row r="2" spans="1:15" ht="14.45" x14ac:dyDescent="0.3">
      <c r="A2" s="160" t="s">
        <v>49</v>
      </c>
      <c r="B2" s="161">
        <v>1</v>
      </c>
      <c r="C2" s="162">
        <v>9</v>
      </c>
      <c r="D2" s="161">
        <v>2020</v>
      </c>
      <c r="E2" s="163">
        <f>'FS Jimbaran September 2020'!P12</f>
        <v>13860.000000000809</v>
      </c>
      <c r="F2" s="172">
        <f>'FS Jimbaran September 2020'!O12/'FS Jimbaran September 2020'!P12</f>
        <v>1120.9740259740199</v>
      </c>
      <c r="G2" s="163">
        <f>'FS Jimbaran September 2020'!AG12</f>
        <v>12</v>
      </c>
      <c r="H2" s="172">
        <f>'FS Jimbaran September 2020'!AH12/'FS Jimbaran September 2020'!AG12</f>
        <v>11625</v>
      </c>
      <c r="I2" s="163">
        <f>'FS Jimbaran September 2020'!AJ12</f>
        <v>139.94000000000233</v>
      </c>
      <c r="J2" s="164">
        <f>'FS Jimbaran September 2020'!AK12/'FS Jimbaran September 2020'!AJ12</f>
        <v>8400</v>
      </c>
      <c r="K2" s="163">
        <f>'FS Jimbaran September 2020'!V12</f>
        <v>138.84</v>
      </c>
      <c r="L2" s="172">
        <f>'FS Jimbaran September 2020'!AA12/'FS Jimbaran September 2020'!V12</f>
        <v>15155.049743589743</v>
      </c>
      <c r="M2" s="163">
        <f>+'RNs &amp; Covers September 2020'!B6</f>
        <v>2</v>
      </c>
      <c r="N2" s="174">
        <f>+'RNs &amp; Covers September 2020'!C6</f>
        <v>46</v>
      </c>
    </row>
    <row r="3" spans="1:15" ht="14.45" x14ac:dyDescent="0.3">
      <c r="A3" s="160" t="s">
        <v>49</v>
      </c>
      <c r="B3" s="161">
        <f>B2+1</f>
        <v>2</v>
      </c>
      <c r="C3" s="162">
        <v>9</v>
      </c>
      <c r="D3" s="161">
        <v>2020</v>
      </c>
      <c r="E3" s="174">
        <f>'FS Jimbaran September 2020'!P13</f>
        <v>13559.999999998809</v>
      </c>
      <c r="F3" s="172">
        <f>'FS Jimbaran September 2020'!O13/'FS Jimbaran September 2020'!P13</f>
        <v>1121.3311504424858</v>
      </c>
      <c r="G3" s="174">
        <f>'FS Jimbaran September 2020'!AG13</f>
        <v>12</v>
      </c>
      <c r="H3" s="172">
        <f>'FS Jimbaran September 2020'!AH13/'FS Jimbaran September 2020'!AG13</f>
        <v>11625</v>
      </c>
      <c r="I3" s="174">
        <f>'FS Jimbaran September 2020'!AJ13</f>
        <v>132</v>
      </c>
      <c r="J3" s="164">
        <f>'FS Jimbaran September 2020'!AK13/'FS Jimbaran September 2020'!AJ13</f>
        <v>8400</v>
      </c>
      <c r="K3" s="174">
        <f>'FS Jimbaran September 2020'!V13</f>
        <v>139.72999999999999</v>
      </c>
      <c r="L3" s="172">
        <f>'FS Jimbaran September 2020'!AA13/'FS Jimbaran September 2020'!V13</f>
        <v>9577.9476433121017</v>
      </c>
      <c r="M3" s="174">
        <f>+'RNs &amp; Covers September 2020'!B7</f>
        <v>2</v>
      </c>
      <c r="N3" s="174">
        <f>+'RNs &amp; Covers September 2020'!C7</f>
        <v>74</v>
      </c>
    </row>
    <row r="4" spans="1:15" ht="14.45" x14ac:dyDescent="0.3">
      <c r="A4" s="160" t="s">
        <v>49</v>
      </c>
      <c r="B4" s="161">
        <f t="shared" ref="B4:B31" si="0">B3+1</f>
        <v>3</v>
      </c>
      <c r="C4" s="162">
        <v>9</v>
      </c>
      <c r="D4" s="161">
        <v>2020</v>
      </c>
      <c r="E4" s="174">
        <f>'FS Jimbaran September 2020'!P14</f>
        <v>13040.000000000646</v>
      </c>
      <c r="F4" s="172">
        <f>'FS Jimbaran September 2020'!O14/'FS Jimbaran September 2020'!P14</f>
        <v>1119.97684049078</v>
      </c>
      <c r="G4" s="174">
        <f>'FS Jimbaran September 2020'!AG14</f>
        <v>350</v>
      </c>
      <c r="H4" s="172">
        <f>'FS Jimbaran September 2020'!AH14/'FS Jimbaran September 2020'!AG14</f>
        <v>10490</v>
      </c>
      <c r="I4" s="174">
        <f>'FS Jimbaran September 2020'!AJ14</f>
        <v>121.76000000000931</v>
      </c>
      <c r="J4" s="164">
        <f>'FS Jimbaran September 2020'!AK14/'FS Jimbaran September 2020'!AJ14</f>
        <v>8400</v>
      </c>
      <c r="K4" s="174">
        <f>'FS Jimbaran September 2020'!V14</f>
        <v>174.44</v>
      </c>
      <c r="L4" s="172">
        <f>'FS Jimbaran September 2020'!AA14/'FS Jimbaran September 2020'!V14</f>
        <v>10477.595714285717</v>
      </c>
      <c r="M4" s="174">
        <f>+'RNs &amp; Covers September 2020'!B8</f>
        <v>1</v>
      </c>
      <c r="N4" s="174">
        <f>+'RNs &amp; Covers September 2020'!C8</f>
        <v>49</v>
      </c>
    </row>
    <row r="5" spans="1:15" ht="14.45" x14ac:dyDescent="0.3">
      <c r="A5" s="160" t="s">
        <v>49</v>
      </c>
      <c r="B5" s="161">
        <f t="shared" si="0"/>
        <v>4</v>
      </c>
      <c r="C5" s="162">
        <v>9</v>
      </c>
      <c r="D5" s="161">
        <v>2020</v>
      </c>
      <c r="E5" s="174">
        <f>'FS Jimbaran September 2020'!P15</f>
        <v>13939.999999999372</v>
      </c>
      <c r="F5" s="172">
        <f>'FS Jimbaran September 2020'!O15/'FS Jimbaran September 2020'!P15</f>
        <v>1119.7420803443363</v>
      </c>
      <c r="G5" s="174">
        <f>'FS Jimbaran September 2020'!AG15</f>
        <v>0</v>
      </c>
      <c r="H5" s="172" t="e">
        <f>'FS Jimbaran September 2020'!AH15/'FS Jimbaran September 2020'!AG15</f>
        <v>#DIV/0!</v>
      </c>
      <c r="I5" s="174">
        <f>'FS Jimbaran September 2020'!AJ15</f>
        <v>207.47999999999593</v>
      </c>
      <c r="J5" s="164">
        <f>'FS Jimbaran September 2020'!AK15/'FS Jimbaran September 2020'!AJ15</f>
        <v>8400</v>
      </c>
      <c r="K5" s="174">
        <f>'FS Jimbaran September 2020'!V15</f>
        <v>162.87</v>
      </c>
      <c r="L5" s="172">
        <f>'FS Jimbaran September 2020'!AA15/'FS Jimbaran September 2020'!V15</f>
        <v>11145.340874316938</v>
      </c>
      <c r="M5" s="174">
        <f>+'RNs &amp; Covers September 2020'!B9</f>
        <v>2</v>
      </c>
      <c r="N5" s="174">
        <f>+'RNs &amp; Covers September 2020'!C9</f>
        <v>85</v>
      </c>
    </row>
    <row r="6" spans="1:15" ht="14.45" x14ac:dyDescent="0.3">
      <c r="A6" s="160" t="s">
        <v>49</v>
      </c>
      <c r="B6" s="161">
        <f t="shared" si="0"/>
        <v>5</v>
      </c>
      <c r="C6" s="162">
        <v>9</v>
      </c>
      <c r="D6" s="161">
        <v>2020</v>
      </c>
      <c r="E6" s="174">
        <f>'FS Jimbaran September 2020'!P16</f>
        <v>13680.000000000973</v>
      </c>
      <c r="F6" s="172">
        <f>'FS Jimbaran September 2020'!O16/'FS Jimbaran September 2020'!P16</f>
        <v>1119.8235526315739</v>
      </c>
      <c r="G6" s="174">
        <f>'FS Jimbaran September 2020'!AG16</f>
        <v>412</v>
      </c>
      <c r="H6" s="172">
        <f>'FS Jimbaran September 2020'!AH16/'FS Jimbaran September 2020'!AG16</f>
        <v>10523.058252427185</v>
      </c>
      <c r="I6" s="174">
        <f>'FS Jimbaran September 2020'!AJ16</f>
        <v>204.00000000001455</v>
      </c>
      <c r="J6" s="164">
        <f>'FS Jimbaran September 2020'!AK16/'FS Jimbaran September 2020'!AJ16</f>
        <v>8400</v>
      </c>
      <c r="K6" s="174">
        <f>'FS Jimbaran September 2020'!V16</f>
        <v>84.55</v>
      </c>
      <c r="L6" s="172">
        <f>'FS Jimbaran September 2020'!AA16/'FS Jimbaran September 2020'!V16</f>
        <v>4967.5652631578951</v>
      </c>
      <c r="M6" s="174">
        <f>+'RNs &amp; Covers September 2020'!B10</f>
        <v>4</v>
      </c>
      <c r="N6" s="174">
        <f>+'RNs &amp; Covers September 2020'!C10</f>
        <v>91</v>
      </c>
    </row>
    <row r="7" spans="1:15" ht="14.45" x14ac:dyDescent="0.3">
      <c r="A7" s="160" t="s">
        <v>49</v>
      </c>
      <c r="B7" s="161">
        <f t="shared" si="0"/>
        <v>6</v>
      </c>
      <c r="C7" s="162">
        <v>9</v>
      </c>
      <c r="D7" s="161">
        <v>2020</v>
      </c>
      <c r="E7" s="174">
        <f>'FS Jimbaran September 2020'!P17</f>
        <v>13499.999999999773</v>
      </c>
      <c r="F7" s="172">
        <f>'FS Jimbaran September 2020'!O17/'FS Jimbaran September 2020'!P17</f>
        <v>1124.0131111111109</v>
      </c>
      <c r="G7" s="174">
        <f>'FS Jimbaran September 2020'!AG17</f>
        <v>0</v>
      </c>
      <c r="H7" s="172" t="e">
        <f>'FS Jimbaran September 2020'!AH17/'FS Jimbaran September 2020'!AG17</f>
        <v>#DIV/0!</v>
      </c>
      <c r="I7" s="174">
        <f>'FS Jimbaran September 2020'!AJ17</f>
        <v>107.73000000001048</v>
      </c>
      <c r="J7" s="164">
        <f>'FS Jimbaran September 2020'!AK17/'FS Jimbaran September 2020'!AJ17</f>
        <v>8400</v>
      </c>
      <c r="K7" s="174">
        <f>'FS Jimbaran September 2020'!V17</f>
        <v>120.15</v>
      </c>
      <c r="L7" s="172">
        <f>'FS Jimbaran September 2020'!AA17/'FS Jimbaran September 2020'!V17</f>
        <v>9023.6247407407409</v>
      </c>
      <c r="M7" s="174">
        <f>+'RNs &amp; Covers September 2020'!B11</f>
        <v>2</v>
      </c>
      <c r="N7" s="174">
        <f>+'RNs &amp; Covers September 2020'!C11</f>
        <v>98</v>
      </c>
    </row>
    <row r="8" spans="1:15" ht="14.45" x14ac:dyDescent="0.3">
      <c r="A8" s="160" t="s">
        <v>49</v>
      </c>
      <c r="B8" s="161">
        <f t="shared" si="0"/>
        <v>7</v>
      </c>
      <c r="C8" s="162">
        <v>9</v>
      </c>
      <c r="D8" s="161">
        <v>2020</v>
      </c>
      <c r="E8" s="174">
        <f>'FS Jimbaran September 2020'!P18</f>
        <v>13539.999999999736</v>
      </c>
      <c r="F8" s="172">
        <f>'FS Jimbaran September 2020'!O18/'FS Jimbaran September 2020'!P18</f>
        <v>1122.2224963072392</v>
      </c>
      <c r="G8" s="174">
        <f>'FS Jimbaran September 2020'!AG18</f>
        <v>0</v>
      </c>
      <c r="H8" s="172" t="e">
        <f>'FS Jimbaran September 2020'!AH18/'FS Jimbaran September 2020'!AG18</f>
        <v>#DIV/0!</v>
      </c>
      <c r="I8" s="174">
        <f>'FS Jimbaran September 2020'!AJ18</f>
        <v>199.64999999999418</v>
      </c>
      <c r="J8" s="164">
        <f>'FS Jimbaran September 2020'!AK18/'FS Jimbaran September 2020'!AJ18</f>
        <v>8400</v>
      </c>
      <c r="K8" s="174">
        <f>'FS Jimbaran September 2020'!V18</f>
        <v>179.78000000000003</v>
      </c>
      <c r="L8" s="172">
        <f>'FS Jimbaran September 2020'!AA18/'FS Jimbaran September 2020'!V18</f>
        <v>11923.205544554454</v>
      </c>
      <c r="M8" s="174">
        <f>+'RNs &amp; Covers September 2020'!B12</f>
        <v>1</v>
      </c>
      <c r="N8" s="174">
        <f>+'RNs &amp; Covers September 2020'!C12</f>
        <v>52</v>
      </c>
    </row>
    <row r="9" spans="1:15" ht="14.45" x14ac:dyDescent="0.3">
      <c r="A9" s="160" t="s">
        <v>49</v>
      </c>
      <c r="B9" s="161">
        <f t="shared" si="0"/>
        <v>8</v>
      </c>
      <c r="C9" s="162">
        <v>9</v>
      </c>
      <c r="D9" s="161">
        <v>2020</v>
      </c>
      <c r="E9" s="174">
        <f>'FS Jimbaran September 2020'!P19</f>
        <v>13820.000000000846</v>
      </c>
      <c r="F9" s="172">
        <f>'FS Jimbaran September 2020'!O19/'FS Jimbaran September 2020'!P19</f>
        <v>1119.7216497829186</v>
      </c>
      <c r="G9" s="174">
        <f>'FS Jimbaran September 2020'!AG19</f>
        <v>50</v>
      </c>
      <c r="H9" s="172">
        <f>'FS Jimbaran September 2020'!AH19/'FS Jimbaran September 2020'!AG19</f>
        <v>10490</v>
      </c>
      <c r="I9" s="174">
        <f>'FS Jimbaran September 2020'!AJ19</f>
        <v>111.25</v>
      </c>
      <c r="J9" s="164">
        <f>'FS Jimbaran September 2020'!AK19/'FS Jimbaran September 2020'!AJ19</f>
        <v>8400</v>
      </c>
      <c r="K9" s="174">
        <f>'FS Jimbaran September 2020'!V19</f>
        <v>154.86000000000001</v>
      </c>
      <c r="L9" s="172">
        <f>'FS Jimbaran September 2020'!AA19/'FS Jimbaran September 2020'!V19</f>
        <v>11107.84</v>
      </c>
      <c r="M9" s="174">
        <f>+'RNs &amp; Covers September 2020'!B13</f>
        <v>2</v>
      </c>
      <c r="N9" s="174">
        <f>+'RNs &amp; Covers September 2020'!C13</f>
        <v>40</v>
      </c>
      <c r="O9" s="165" t="s">
        <v>46</v>
      </c>
    </row>
    <row r="10" spans="1:15" ht="14.45" x14ac:dyDescent="0.3">
      <c r="A10" s="160" t="s">
        <v>49</v>
      </c>
      <c r="B10" s="161">
        <f t="shared" si="0"/>
        <v>9</v>
      </c>
      <c r="C10" s="162">
        <v>9</v>
      </c>
      <c r="D10" s="161">
        <v>2020</v>
      </c>
      <c r="E10" s="174">
        <f>'FS Jimbaran September 2020'!P20</f>
        <v>13399.999999999864</v>
      </c>
      <c r="F10" s="172">
        <f>'FS Jimbaran September 2020'!O20/'FS Jimbaran September 2020'!P20</f>
        <v>1116.1688955223949</v>
      </c>
      <c r="G10" s="174">
        <f>'FS Jimbaran September 2020'!AG20</f>
        <v>412</v>
      </c>
      <c r="H10" s="172">
        <f>'FS Jimbaran September 2020'!AH20/'FS Jimbaran September 2020'!AG20</f>
        <v>10523.058252427185</v>
      </c>
      <c r="I10" s="174">
        <f>'FS Jimbaran September 2020'!AJ20</f>
        <v>157.77999999999884</v>
      </c>
      <c r="J10" s="164">
        <f>'FS Jimbaran September 2020'!AK20/'FS Jimbaran September 2020'!AJ20</f>
        <v>8400</v>
      </c>
      <c r="K10" s="174">
        <f>'FS Jimbaran September 2020'!V20</f>
        <v>72.09</v>
      </c>
      <c r="L10" s="172">
        <f>'FS Jimbaran September 2020'!AA20/'FS Jimbaran September 2020'!V20</f>
        <v>4245.18</v>
      </c>
      <c r="M10" s="174">
        <f>+'RNs &amp; Covers September 2020'!B14</f>
        <v>1</v>
      </c>
      <c r="N10" s="174">
        <f>+'RNs &amp; Covers September 2020'!C14</f>
        <v>66</v>
      </c>
    </row>
    <row r="11" spans="1:15" ht="14.45" x14ac:dyDescent="0.3">
      <c r="A11" s="160" t="s">
        <v>49</v>
      </c>
      <c r="B11" s="161">
        <f t="shared" si="0"/>
        <v>10</v>
      </c>
      <c r="C11" s="162">
        <v>9</v>
      </c>
      <c r="D11" s="161">
        <v>2020</v>
      </c>
      <c r="E11" s="174">
        <f>'FS Jimbaran September 2020'!P21</f>
        <v>13359.999999999673</v>
      </c>
      <c r="F11" s="172">
        <f>'FS Jimbaran September 2020'!O21/'FS Jimbaran September 2020'!P21</f>
        <v>1116.4095808383224</v>
      </c>
      <c r="G11" s="174">
        <f>'FS Jimbaran September 2020'!AG21</f>
        <v>36</v>
      </c>
      <c r="H11" s="172">
        <f>'FS Jimbaran September 2020'!AH21/'FS Jimbaran September 2020'!AG21</f>
        <v>11625</v>
      </c>
      <c r="I11" s="174">
        <f>'FS Jimbaran September 2020'!AJ21</f>
        <v>43.220000000001164</v>
      </c>
      <c r="J11" s="164">
        <f>'FS Jimbaran September 2020'!AK21/'FS Jimbaran September 2020'!AJ21</f>
        <v>8400</v>
      </c>
      <c r="K11" s="174">
        <f>'FS Jimbaran September 2020'!V21</f>
        <v>126.38</v>
      </c>
      <c r="L11" s="172">
        <f>'FS Jimbaran September 2020'!AA21/'FS Jimbaran September 2020'!V21</f>
        <v>9078.0391549295782</v>
      </c>
      <c r="M11" s="174">
        <f>+'RNs &amp; Covers September 2020'!B15</f>
        <v>6</v>
      </c>
      <c r="N11" s="174">
        <f>+'RNs &amp; Covers September 2020'!C15</f>
        <v>40</v>
      </c>
    </row>
    <row r="12" spans="1:15" ht="14.45" x14ac:dyDescent="0.3">
      <c r="A12" s="160" t="s">
        <v>49</v>
      </c>
      <c r="B12" s="161">
        <f t="shared" si="0"/>
        <v>11</v>
      </c>
      <c r="C12" s="162">
        <v>9</v>
      </c>
      <c r="D12" s="161">
        <v>2020</v>
      </c>
      <c r="E12" s="174">
        <f>'FS Jimbaran September 2020'!P22</f>
        <v>13540.000000000646</v>
      </c>
      <c r="F12" s="172">
        <f>'FS Jimbaran September 2020'!O22/'FS Jimbaran September 2020'!P22</f>
        <v>1114.5727178729717</v>
      </c>
      <c r="G12" s="174">
        <f>'FS Jimbaran September 2020'!AG22</f>
        <v>0</v>
      </c>
      <c r="H12" s="172" t="e">
        <f>'FS Jimbaran September 2020'!AH22/'FS Jimbaran September 2020'!AG22</f>
        <v>#DIV/0!</v>
      </c>
      <c r="I12" s="174">
        <f>'FS Jimbaran September 2020'!AJ22</f>
        <v>110.13999999999942</v>
      </c>
      <c r="J12" s="164">
        <f>'FS Jimbaran September 2020'!AK22/'FS Jimbaran September 2020'!AJ22</f>
        <v>8400</v>
      </c>
      <c r="K12" s="174">
        <f>'FS Jimbaran September 2020'!V22</f>
        <v>93.449999999999989</v>
      </c>
      <c r="L12" s="172">
        <f>'FS Jimbaran September 2020'!AA22/'FS Jimbaran September 2020'!V22</f>
        <v>5944.5053333333344</v>
      </c>
      <c r="M12" s="174">
        <f>+'RNs &amp; Covers September 2020'!B16</f>
        <v>6</v>
      </c>
      <c r="N12" s="174">
        <f>+'RNs &amp; Covers September 2020'!C16</f>
        <v>35</v>
      </c>
    </row>
    <row r="13" spans="1:15" ht="14.45" x14ac:dyDescent="0.3">
      <c r="A13" s="160" t="s">
        <v>49</v>
      </c>
      <c r="B13" s="161">
        <f t="shared" si="0"/>
        <v>12</v>
      </c>
      <c r="C13" s="162">
        <v>9</v>
      </c>
      <c r="D13" s="161">
        <v>2020</v>
      </c>
      <c r="E13" s="174">
        <f>'FS Jimbaran September 2020'!P23</f>
        <v>13599.999999998317</v>
      </c>
      <c r="F13" s="172">
        <f>'FS Jimbaran September 2020'!O23/'FS Jimbaran September 2020'!P23</f>
        <v>1113.4634999999996</v>
      </c>
      <c r="G13" s="174">
        <f>'FS Jimbaran September 2020'!AG23</f>
        <v>0</v>
      </c>
      <c r="H13" s="172" t="e">
        <f>'FS Jimbaran September 2020'!AH23/'FS Jimbaran September 2020'!AG23</f>
        <v>#DIV/0!</v>
      </c>
      <c r="I13" s="174">
        <f>'FS Jimbaran September 2020'!AJ23</f>
        <v>176.19000000000233</v>
      </c>
      <c r="J13" s="164">
        <f>'FS Jimbaran September 2020'!AK23/'FS Jimbaran September 2020'!AJ23</f>
        <v>8400</v>
      </c>
      <c r="K13" s="174">
        <f>'FS Jimbaran September 2020'!V23</f>
        <v>128.16</v>
      </c>
      <c r="L13" s="172">
        <f>'FS Jimbaran September 2020'!AA23/'FS Jimbaran September 2020'!V23</f>
        <v>9010.9161111111116</v>
      </c>
      <c r="M13" s="174">
        <f>+'RNs &amp; Covers September 2020'!B17</f>
        <v>0</v>
      </c>
      <c r="N13" s="174">
        <f>+'RNs &amp; Covers September 2020'!C17</f>
        <v>75</v>
      </c>
    </row>
    <row r="14" spans="1:15" ht="14.45" x14ac:dyDescent="0.3">
      <c r="A14" s="160" t="s">
        <v>49</v>
      </c>
      <c r="B14" s="161">
        <f t="shared" si="0"/>
        <v>13</v>
      </c>
      <c r="C14" s="162">
        <v>9</v>
      </c>
      <c r="D14" s="161">
        <v>2020</v>
      </c>
      <c r="E14" s="174">
        <f>'FS Jimbaran September 2020'!P24</f>
        <v>12320.000000000391</v>
      </c>
      <c r="F14" s="172">
        <f>'FS Jimbaran September 2020'!O24/'FS Jimbaran September 2020'!P24</f>
        <v>1117.3308603896196</v>
      </c>
      <c r="G14" s="174">
        <f>'FS Jimbaran September 2020'!AG24</f>
        <v>412</v>
      </c>
      <c r="H14" s="172">
        <f>'FS Jimbaran September 2020'!AH24/'FS Jimbaran September 2020'!AG24</f>
        <v>10523.058252427185</v>
      </c>
      <c r="I14" s="174">
        <f>'FS Jimbaran September 2020'!AJ24</f>
        <v>101.83999999998196</v>
      </c>
      <c r="J14" s="164">
        <f>'FS Jimbaran September 2020'!AK24/'FS Jimbaran September 2020'!AJ24</f>
        <v>8400</v>
      </c>
      <c r="K14" s="174">
        <f>'FS Jimbaran September 2020'!V24</f>
        <v>132.60999999999999</v>
      </c>
      <c r="L14" s="172">
        <f>'FS Jimbaran September 2020'!AA24/'FS Jimbaran September 2020'!V24</f>
        <v>9680.038255033558</v>
      </c>
      <c r="M14" s="174">
        <f>+'RNs &amp; Covers September 2020'!B18</f>
        <v>0</v>
      </c>
      <c r="N14" s="174">
        <f>+'RNs &amp; Covers September 2020'!C18</f>
        <v>80</v>
      </c>
    </row>
    <row r="15" spans="1:15" ht="14.45" x14ac:dyDescent="0.3">
      <c r="A15" s="160" t="s">
        <v>49</v>
      </c>
      <c r="B15" s="161">
        <f t="shared" si="0"/>
        <v>14</v>
      </c>
      <c r="C15" s="162">
        <v>9</v>
      </c>
      <c r="D15" s="161">
        <v>2020</v>
      </c>
      <c r="E15" s="174">
        <f>'FS Jimbaran September 2020'!P25</f>
        <v>12620.0000000008</v>
      </c>
      <c r="F15" s="172">
        <f>'FS Jimbaran September 2020'!O25/'FS Jimbaran September 2020'!P25</f>
        <v>1116.2129952456382</v>
      </c>
      <c r="G15" s="174">
        <f>'FS Jimbaran September 2020'!AG25</f>
        <v>12</v>
      </c>
      <c r="H15" s="172">
        <f>'FS Jimbaran September 2020'!AH25/'FS Jimbaran September 2020'!AG25</f>
        <v>11625</v>
      </c>
      <c r="I15" s="174">
        <f>'FS Jimbaran September 2020'!AJ25</f>
        <v>577.95000000001164</v>
      </c>
      <c r="J15" s="164">
        <f>'FS Jimbaran September 2020'!AK25/'FS Jimbaran September 2020'!AJ25</f>
        <v>8400</v>
      </c>
      <c r="K15" s="174">
        <f>'FS Jimbaran September 2020'!V25</f>
        <v>145.07</v>
      </c>
      <c r="L15" s="172">
        <f>'FS Jimbaran September 2020'!AA25/'FS Jimbaran September 2020'!V25</f>
        <v>8960.627361963192</v>
      </c>
      <c r="M15" s="174">
        <f>+'RNs &amp; Covers September 2020'!B19</f>
        <v>1</v>
      </c>
      <c r="N15" s="174">
        <f>+'RNs &amp; Covers September 2020'!C19</f>
        <v>25</v>
      </c>
    </row>
    <row r="16" spans="1:15" ht="14.45" x14ac:dyDescent="0.3">
      <c r="A16" s="160" t="s">
        <v>49</v>
      </c>
      <c r="B16" s="161">
        <f t="shared" si="0"/>
        <v>15</v>
      </c>
      <c r="C16" s="162">
        <v>9</v>
      </c>
      <c r="D16" s="161">
        <v>2020</v>
      </c>
      <c r="E16" s="174">
        <f>'FS Jimbaran September 2020'!P26</f>
        <v>12920.0000000003</v>
      </c>
      <c r="F16" s="172">
        <f>'FS Jimbaran September 2020'!O26/'FS Jimbaran September 2020'!P26</f>
        <v>1115.147043343643</v>
      </c>
      <c r="G16" s="174">
        <f>'FS Jimbaran September 2020'!AG26</f>
        <v>0</v>
      </c>
      <c r="H16" s="172" t="e">
        <f>'FS Jimbaran September 2020'!AH26/'FS Jimbaran September 2020'!AG26</f>
        <v>#DIV/0!</v>
      </c>
      <c r="I16" s="174">
        <f>'FS Jimbaran September 2020'!AJ26</f>
        <v>89.079999999987194</v>
      </c>
      <c r="J16" s="164">
        <f>'FS Jimbaran September 2020'!AK26/'FS Jimbaran September 2020'!AJ26</f>
        <v>8400</v>
      </c>
      <c r="K16" s="174">
        <f>'FS Jimbaran September 2020'!V26</f>
        <v>138.84</v>
      </c>
      <c r="L16" s="172">
        <f>'FS Jimbaran September 2020'!AA26/'FS Jimbaran September 2020'!V26</f>
        <v>9436.16641025641</v>
      </c>
      <c r="M16" s="174">
        <f>+'RNs &amp; Covers September 2020'!B20</f>
        <v>2</v>
      </c>
      <c r="N16" s="174">
        <f>+'RNs &amp; Covers September 2020'!C20</f>
        <v>41</v>
      </c>
    </row>
    <row r="17" spans="1:14" ht="14.45" x14ac:dyDescent="0.3">
      <c r="A17" s="160" t="s">
        <v>49</v>
      </c>
      <c r="B17" s="161">
        <f t="shared" si="0"/>
        <v>16</v>
      </c>
      <c r="C17" s="162">
        <v>9</v>
      </c>
      <c r="D17" s="161">
        <v>2020</v>
      </c>
      <c r="E17" s="174">
        <f>'FS Jimbaran September 2020'!P27</f>
        <v>12759.999999998627</v>
      </c>
      <c r="F17" s="172">
        <f>'FS Jimbaran September 2020'!O27/'FS Jimbaran September 2020'!P27</f>
        <v>1114.5187617554875</v>
      </c>
      <c r="G17" s="174">
        <f>'FS Jimbaran September 2020'!AG27</f>
        <v>0</v>
      </c>
      <c r="H17" s="172" t="e">
        <f>'FS Jimbaran September 2020'!AH27/'FS Jimbaran September 2020'!AG27</f>
        <v>#DIV/0!</v>
      </c>
      <c r="I17" s="174">
        <f>'FS Jimbaran September 2020'!AJ27</f>
        <v>238.4999999999709</v>
      </c>
      <c r="J17" s="164">
        <f>'FS Jimbaran September 2020'!AK27/'FS Jimbaran September 2020'!AJ27</f>
        <v>8400</v>
      </c>
      <c r="K17" s="174">
        <f>'FS Jimbaran September 2020'!V27</f>
        <v>107.69</v>
      </c>
      <c r="L17" s="172">
        <f>'FS Jimbaran September 2020'!AA27/'FS Jimbaran September 2020'!V27</f>
        <v>6740.692727272728</v>
      </c>
      <c r="M17" s="174">
        <f>+'RNs &amp; Covers September 2020'!B21</f>
        <v>1</v>
      </c>
      <c r="N17" s="174">
        <f>+'RNs &amp; Covers September 2020'!C21</f>
        <v>76</v>
      </c>
    </row>
    <row r="18" spans="1:14" ht="14.45" x14ac:dyDescent="0.3">
      <c r="A18" s="160" t="s">
        <v>49</v>
      </c>
      <c r="B18" s="161">
        <f t="shared" si="0"/>
        <v>17</v>
      </c>
      <c r="C18" s="162">
        <v>9</v>
      </c>
      <c r="D18" s="161">
        <v>2020</v>
      </c>
      <c r="E18" s="174">
        <f>'FS Jimbaran September 2020'!P28</f>
        <v>12820.000000000846</v>
      </c>
      <c r="F18" s="172">
        <f>'FS Jimbaran September 2020'!O28/'FS Jimbaran September 2020'!P28</f>
        <v>1116.5740717628742</v>
      </c>
      <c r="G18" s="174">
        <f>'FS Jimbaran September 2020'!AG28</f>
        <v>350</v>
      </c>
      <c r="H18" s="172">
        <f>'FS Jimbaran September 2020'!AH28/'FS Jimbaran September 2020'!AG28</f>
        <v>10490</v>
      </c>
      <c r="I18" s="174">
        <f>'FS Jimbaran September 2020'!AJ28</f>
        <v>95.780000000013388</v>
      </c>
      <c r="J18" s="164">
        <f>'FS Jimbaran September 2020'!AK28/'FS Jimbaran September 2020'!AJ28</f>
        <v>8400</v>
      </c>
      <c r="K18" s="174">
        <f>'FS Jimbaran September 2020'!V28</f>
        <v>124.6</v>
      </c>
      <c r="L18" s="172">
        <f>'FS Jimbaran September 2020'!AA28/'FS Jimbaran September 2020'!V28</f>
        <v>8362.7760000000017</v>
      </c>
      <c r="M18" s="174">
        <f>+'RNs &amp; Covers September 2020'!B22</f>
        <v>2</v>
      </c>
      <c r="N18" s="174">
        <f>+'RNs &amp; Covers September 2020'!C22</f>
        <v>44</v>
      </c>
    </row>
    <row r="19" spans="1:14" ht="14.45" x14ac:dyDescent="0.3">
      <c r="A19" s="160" t="s">
        <v>49</v>
      </c>
      <c r="B19" s="161">
        <f t="shared" si="0"/>
        <v>18</v>
      </c>
      <c r="C19" s="162">
        <v>9</v>
      </c>
      <c r="D19" s="161">
        <v>2020</v>
      </c>
      <c r="E19" s="174">
        <f>'FS Jimbaran September 2020'!P29</f>
        <v>13899.999999998954</v>
      </c>
      <c r="F19" s="172">
        <f>'FS Jimbaran September 2020'!O29/'FS Jimbaran September 2020'!P29</f>
        <v>1112.5320431654629</v>
      </c>
      <c r="G19" s="174">
        <f>'FS Jimbaran September 2020'!AG29</f>
        <v>0</v>
      </c>
      <c r="H19" s="172" t="e">
        <f>'FS Jimbaran September 2020'!AH29/'FS Jimbaran September 2020'!AG29</f>
        <v>#DIV/0!</v>
      </c>
      <c r="I19" s="174">
        <f>'FS Jimbaran September 2020'!AJ29</f>
        <v>252.64999999999418</v>
      </c>
      <c r="J19" s="164">
        <f>'FS Jimbaran September 2020'!AK29/'FS Jimbaran September 2020'!AJ29</f>
        <v>8400</v>
      </c>
      <c r="K19" s="174">
        <f>'FS Jimbaran September 2020'!V29</f>
        <v>116.59</v>
      </c>
      <c r="L19" s="172">
        <f>'FS Jimbaran September 2020'!AA29/'FS Jimbaran September 2020'!V29</f>
        <v>8436.1174045801527</v>
      </c>
      <c r="M19" s="174">
        <f>+'RNs &amp; Covers September 2020'!B23</f>
        <v>3</v>
      </c>
      <c r="N19" s="174">
        <f>+'RNs &amp; Covers September 2020'!C23</f>
        <v>77</v>
      </c>
    </row>
    <row r="20" spans="1:14" ht="14.45" x14ac:dyDescent="0.3">
      <c r="A20" s="160" t="s">
        <v>49</v>
      </c>
      <c r="B20" s="161">
        <f t="shared" si="0"/>
        <v>19</v>
      </c>
      <c r="C20" s="162">
        <v>9</v>
      </c>
      <c r="D20" s="161">
        <v>2020</v>
      </c>
      <c r="E20" s="174">
        <f>'FS Jimbaran September 2020'!P30</f>
        <v>13520.000000000891</v>
      </c>
      <c r="F20" s="172">
        <f>'FS Jimbaran September 2020'!O30/'FS Jimbaran September 2020'!P30</f>
        <v>1115.455384615394</v>
      </c>
      <c r="G20" s="174">
        <f>'FS Jimbaran September 2020'!AG30</f>
        <v>12</v>
      </c>
      <c r="H20" s="172">
        <f>'FS Jimbaran September 2020'!AH30/'FS Jimbaran September 2020'!AG30</f>
        <v>11625</v>
      </c>
      <c r="I20" s="174">
        <f>'FS Jimbaran September 2020'!AJ30</f>
        <v>239.04000000000815</v>
      </c>
      <c r="J20" s="164">
        <f>'FS Jimbaran September 2020'!AK30/'FS Jimbaran September 2020'!AJ30</f>
        <v>8400</v>
      </c>
      <c r="K20" s="174">
        <f>'FS Jimbaran September 2020'!V30</f>
        <v>83.66</v>
      </c>
      <c r="L20" s="172">
        <f>'FS Jimbaran September 2020'!AA30/'FS Jimbaran September 2020'!V30</f>
        <v>4245.18</v>
      </c>
      <c r="M20" s="174">
        <f>+'RNs &amp; Covers September 2020'!B24</f>
        <v>3</v>
      </c>
      <c r="N20" s="174">
        <f>+'RNs &amp; Covers September 2020'!C24</f>
        <v>87</v>
      </c>
    </row>
    <row r="21" spans="1:14" x14ac:dyDescent="0.25">
      <c r="A21" s="160" t="s">
        <v>49</v>
      </c>
      <c r="B21" s="161">
        <f t="shared" si="0"/>
        <v>20</v>
      </c>
      <c r="C21" s="162">
        <v>9</v>
      </c>
      <c r="D21" s="161">
        <v>2020</v>
      </c>
      <c r="E21" s="174">
        <f>'FS Jimbaran September 2020'!P31</f>
        <v>12959.999999999809</v>
      </c>
      <c r="F21" s="172">
        <f>'FS Jimbaran September 2020'!O31/'FS Jimbaran September 2020'!P31</f>
        <v>1118.0989351851933</v>
      </c>
      <c r="G21" s="174">
        <f>'FS Jimbaran September 2020'!AG31</f>
        <v>12</v>
      </c>
      <c r="H21" s="172">
        <f>'FS Jimbaran September 2020'!AH31/'FS Jimbaran September 2020'!AG31</f>
        <v>11625</v>
      </c>
      <c r="I21" s="174">
        <f>'FS Jimbaran September 2020'!AJ31</f>
        <v>229.66999999999825</v>
      </c>
      <c r="J21" s="164">
        <f>'FS Jimbaran September 2020'!AK31/'FS Jimbaran September 2020'!AJ31</f>
        <v>8400</v>
      </c>
      <c r="K21" s="174">
        <f>'FS Jimbaran September 2020'!V31</f>
        <v>120.14999999999999</v>
      </c>
      <c r="L21" s="172">
        <f>'FS Jimbaran September 2020'!AA31/'FS Jimbaran September 2020'!V31</f>
        <v>8820.2866666666669</v>
      </c>
      <c r="M21" s="174">
        <f>+'RNs &amp; Covers September 2020'!B25</f>
        <v>6</v>
      </c>
      <c r="N21" s="174">
        <f>+'RNs &amp; Covers September 2020'!C25</f>
        <v>70</v>
      </c>
    </row>
    <row r="22" spans="1:14" x14ac:dyDescent="0.25">
      <c r="A22" s="160" t="s">
        <v>49</v>
      </c>
      <c r="B22" s="161">
        <f t="shared" si="0"/>
        <v>21</v>
      </c>
      <c r="C22" s="162">
        <v>9</v>
      </c>
      <c r="D22" s="161">
        <v>2020</v>
      </c>
      <c r="E22" s="174">
        <f>'FS Jimbaran September 2020'!P32</f>
        <v>14000.000000000682</v>
      </c>
      <c r="F22" s="172">
        <f>'FS Jimbaran September 2020'!O32/'FS Jimbaran September 2020'!P32</f>
        <v>1115.6830285714109</v>
      </c>
      <c r="G22" s="174">
        <f>'FS Jimbaran September 2020'!AG32</f>
        <v>12</v>
      </c>
      <c r="H22" s="172">
        <f>'FS Jimbaran September 2020'!AH32/'FS Jimbaran September 2020'!AG32</f>
        <v>11625</v>
      </c>
      <c r="I22" s="174">
        <f>'FS Jimbaran September 2020'!AJ32</f>
        <v>166.13999999999942</v>
      </c>
      <c r="J22" s="164">
        <f>'FS Jimbaran September 2020'!AK32/'FS Jimbaran September 2020'!AJ32</f>
        <v>8400</v>
      </c>
      <c r="K22" s="174">
        <f>'FS Jimbaran September 2020'!V32</f>
        <v>143.29</v>
      </c>
      <c r="L22" s="172">
        <f>'FS Jimbaran September 2020'!AA32/'FS Jimbaran September 2020'!V32</f>
        <v>9615.9573913043496</v>
      </c>
      <c r="M22" s="174">
        <f>+'RNs &amp; Covers September 2020'!B26</f>
        <v>5</v>
      </c>
      <c r="N22" s="174">
        <f>+'RNs &amp; Covers September 2020'!C26</f>
        <v>45</v>
      </c>
    </row>
    <row r="23" spans="1:14" x14ac:dyDescent="0.25">
      <c r="A23" s="160" t="s">
        <v>49</v>
      </c>
      <c r="B23" s="161">
        <f t="shared" si="0"/>
        <v>22</v>
      </c>
      <c r="C23" s="162">
        <v>9</v>
      </c>
      <c r="D23" s="161">
        <v>2020</v>
      </c>
      <c r="E23" s="174">
        <f>'FS Jimbaran September 2020'!P33</f>
        <v>14419.999999998481</v>
      </c>
      <c r="F23" s="172">
        <f>'FS Jimbaran September 2020'!O33/'FS Jimbaran September 2020'!P33</f>
        <v>1117.6655201109647</v>
      </c>
      <c r="G23" s="174">
        <f>'FS Jimbaran September 2020'!AG33</f>
        <v>0</v>
      </c>
      <c r="H23" s="172" t="e">
        <f>'FS Jimbaran September 2020'!AH33/'FS Jimbaran September 2020'!AG33</f>
        <v>#DIV/0!</v>
      </c>
      <c r="I23" s="174">
        <f>'FS Jimbaran September 2020'!AJ33</f>
        <v>149.72999999999593</v>
      </c>
      <c r="J23" s="164">
        <f>'FS Jimbaran September 2020'!AK33/'FS Jimbaran September 2020'!AJ33</f>
        <v>8400</v>
      </c>
      <c r="K23" s="174">
        <f>'FS Jimbaran September 2020'!V33</f>
        <v>145.96</v>
      </c>
      <c r="L23" s="172">
        <f>'FS Jimbaran September 2020'!AA33/'FS Jimbaran September 2020'!V33</f>
        <v>10605.694146341464</v>
      </c>
      <c r="M23" s="174">
        <f>+'RNs &amp; Covers September 2020'!B27</f>
        <v>6</v>
      </c>
      <c r="N23" s="174">
        <f>+'RNs &amp; Covers September 2020'!C27</f>
        <v>35</v>
      </c>
    </row>
    <row r="24" spans="1:14" x14ac:dyDescent="0.25">
      <c r="A24" s="160" t="s">
        <v>49</v>
      </c>
      <c r="B24" s="161">
        <f t="shared" si="0"/>
        <v>23</v>
      </c>
      <c r="C24" s="162">
        <v>9</v>
      </c>
      <c r="D24" s="161">
        <v>2020</v>
      </c>
      <c r="E24" s="174">
        <f>'FS Jimbaran September 2020'!P34</f>
        <v>13420.00000000121</v>
      </c>
      <c r="F24" s="172">
        <f>'FS Jimbaran September 2020'!O34/'FS Jimbaran September 2020'!P34</f>
        <v>1114.5054545454548</v>
      </c>
      <c r="G24" s="174">
        <f>'FS Jimbaran September 2020'!AG34</f>
        <v>0</v>
      </c>
      <c r="H24" s="172" t="e">
        <f>'FS Jimbaran September 2020'!AH34/'FS Jimbaran September 2020'!AG34</f>
        <v>#DIV/0!</v>
      </c>
      <c r="I24" s="174">
        <f>'FS Jimbaran September 2020'!AJ34</f>
        <v>120.94999999999709</v>
      </c>
      <c r="J24" s="164">
        <f>'FS Jimbaran September 2020'!AK34/'FS Jimbaran September 2020'!AJ34</f>
        <v>8400</v>
      </c>
      <c r="K24" s="174">
        <f>'FS Jimbaran September 2020'!V34</f>
        <v>141.51</v>
      </c>
      <c r="L24" s="172">
        <f>'FS Jimbaran September 2020'!AA34/'FS Jimbaran September 2020'!V34</f>
        <v>10028.805408805032</v>
      </c>
      <c r="M24" s="174">
        <f>+'RNs &amp; Covers September 2020'!B28</f>
        <v>5</v>
      </c>
      <c r="N24" s="174">
        <f>+'RNs &amp; Covers September 2020'!C28</f>
        <v>58</v>
      </c>
    </row>
    <row r="25" spans="1:14" x14ac:dyDescent="0.25">
      <c r="A25" s="160" t="s">
        <v>49</v>
      </c>
      <c r="B25" s="161">
        <f t="shared" si="0"/>
        <v>24</v>
      </c>
      <c r="C25" s="162">
        <v>9</v>
      </c>
      <c r="D25" s="161">
        <v>2020</v>
      </c>
      <c r="E25" s="174">
        <f>'FS Jimbaran September 2020'!P35</f>
        <v>13539.999999999736</v>
      </c>
      <c r="F25" s="172">
        <f>'FS Jimbaran September 2020'!O35/'FS Jimbaran September 2020'!P35</f>
        <v>1112.2777843426811</v>
      </c>
      <c r="G25" s="174">
        <f>'FS Jimbaran September 2020'!AG35</f>
        <v>0</v>
      </c>
      <c r="H25" s="172" t="e">
        <f>'FS Jimbaran September 2020'!AH35/'FS Jimbaran September 2020'!AG35</f>
        <v>#DIV/0!</v>
      </c>
      <c r="I25" s="174">
        <f>'FS Jimbaran September 2020'!AJ35</f>
        <v>105.99000000000524</v>
      </c>
      <c r="J25" s="164">
        <f>'FS Jimbaran September 2020'!AK35/'FS Jimbaran September 2020'!AJ35</f>
        <v>8400</v>
      </c>
      <c r="K25" s="174">
        <f>'FS Jimbaran September 2020'!V35</f>
        <v>149.52000000000001</v>
      </c>
      <c r="L25" s="172">
        <f>'FS Jimbaran September 2020'!AA35/'FS Jimbaran September 2020'!V35</f>
        <v>11271.236666666668</v>
      </c>
      <c r="M25" s="174">
        <f>+'RNs &amp; Covers September 2020'!B29</f>
        <v>7</v>
      </c>
      <c r="N25" s="174">
        <f>+'RNs &amp; Covers September 2020'!C29</f>
        <v>55</v>
      </c>
    </row>
    <row r="26" spans="1:14" x14ac:dyDescent="0.25">
      <c r="A26" s="160" t="s">
        <v>49</v>
      </c>
      <c r="B26" s="161">
        <f>B25+1</f>
        <v>25</v>
      </c>
      <c r="C26" s="162">
        <v>9</v>
      </c>
      <c r="D26" s="161">
        <v>2020</v>
      </c>
      <c r="E26" s="174">
        <f>'FS Jimbaran September 2020'!P36</f>
        <v>14340.000000000373</v>
      </c>
      <c r="F26" s="172">
        <f>'FS Jimbaran September 2020'!O36/'FS Jimbaran September 2020'!P36</f>
        <v>1113.7885355648546</v>
      </c>
      <c r="G26" s="174">
        <f>'FS Jimbaran September 2020'!AG36</f>
        <v>0</v>
      </c>
      <c r="H26" s="172" t="e">
        <f>'FS Jimbaran September 2020'!AH36/'FS Jimbaran September 2020'!AG36</f>
        <v>#DIV/0!</v>
      </c>
      <c r="I26" s="174">
        <f>'FS Jimbaran September 2020'!AJ36</f>
        <v>364.5000000000291</v>
      </c>
      <c r="J26" s="164">
        <f>'FS Jimbaran September 2020'!AK36/'FS Jimbaran September 2020'!AJ36</f>
        <v>8400</v>
      </c>
      <c r="K26" s="174">
        <f>'FS Jimbaran September 2020'!V36</f>
        <v>170.88</v>
      </c>
      <c r="L26" s="172">
        <f>'FS Jimbaran September 2020'!AA36/'FS Jimbaran September 2020'!V36</f>
        <v>11107.840000000002</v>
      </c>
      <c r="M26" s="174">
        <f>+'RNs &amp; Covers September 2020'!B30</f>
        <v>5</v>
      </c>
      <c r="N26" s="174">
        <f>+'RNs &amp; Covers September 2020'!C30</f>
        <v>38</v>
      </c>
    </row>
    <row r="27" spans="1:14" x14ac:dyDescent="0.25">
      <c r="A27" s="160" t="s">
        <v>49</v>
      </c>
      <c r="B27" s="161">
        <f t="shared" si="0"/>
        <v>26</v>
      </c>
      <c r="C27" s="162">
        <v>9</v>
      </c>
      <c r="D27" s="161">
        <v>2020</v>
      </c>
      <c r="E27" s="174">
        <f>'FS Jimbaran September 2020'!P37</f>
        <v>13680.000000000064</v>
      </c>
      <c r="F27" s="172">
        <f>'FS Jimbaran September 2020'!O37/'FS Jimbaran September 2020'!P37</f>
        <v>1115.2806578947416</v>
      </c>
      <c r="G27" s="174">
        <f>'FS Jimbaran September 2020'!AG37</f>
        <v>412</v>
      </c>
      <c r="H27" s="172">
        <f>'FS Jimbaran September 2020'!AH37/'FS Jimbaran September 2020'!AG37</f>
        <v>10523.058252427185</v>
      </c>
      <c r="I27" s="174">
        <f>'FS Jimbaran September 2020'!AJ37</f>
        <v>191.57000000000698</v>
      </c>
      <c r="J27" s="164">
        <f>'FS Jimbaran September 2020'!AK37/'FS Jimbaran September 2020'!AJ37</f>
        <v>8400</v>
      </c>
      <c r="K27" s="174">
        <f>'FS Jimbaran September 2020'!V37</f>
        <v>169.1</v>
      </c>
      <c r="L27" s="172">
        <f>'FS Jimbaran September 2020'!AA37/'FS Jimbaran September 2020'!V37</f>
        <v>10818.885894736841</v>
      </c>
      <c r="M27" s="174">
        <f>+'RNs &amp; Covers September 2020'!B31</f>
        <v>6</v>
      </c>
      <c r="N27" s="174">
        <f>+'RNs &amp; Covers September 2020'!C31</f>
        <v>85</v>
      </c>
    </row>
    <row r="28" spans="1:14" x14ac:dyDescent="0.25">
      <c r="A28" s="160" t="s">
        <v>49</v>
      </c>
      <c r="B28" s="161">
        <f t="shared" si="0"/>
        <v>27</v>
      </c>
      <c r="C28" s="162">
        <v>9</v>
      </c>
      <c r="D28" s="161">
        <v>2020</v>
      </c>
      <c r="E28" s="174">
        <f>'FS Jimbaran September 2020'!P38</f>
        <v>14379.999999999427</v>
      </c>
      <c r="F28" s="172">
        <f>'FS Jimbaran September 2020'!O38/'FS Jimbaran September 2020'!P38</f>
        <v>1117.8932962447866</v>
      </c>
      <c r="G28" s="174">
        <f>'FS Jimbaran September 2020'!AG38</f>
        <v>12</v>
      </c>
      <c r="H28" s="172">
        <f>'FS Jimbaran September 2020'!AH38/'FS Jimbaran September 2020'!AG38</f>
        <v>11625</v>
      </c>
      <c r="I28" s="174">
        <f>'FS Jimbaran September 2020'!AJ38</f>
        <v>132</v>
      </c>
      <c r="J28" s="164">
        <f>'FS Jimbaran September 2020'!AK38/'FS Jimbaran September 2020'!AJ38</f>
        <v>8400</v>
      </c>
      <c r="K28" s="174">
        <f>'FS Jimbaran September 2020'!V38</f>
        <v>150.41</v>
      </c>
      <c r="L28" s="172">
        <f>'FS Jimbaran September 2020'!AA38/'FS Jimbaran September 2020'!V38</f>
        <v>10661.157988165682</v>
      </c>
      <c r="M28" s="174">
        <f>+'RNs &amp; Covers September 2020'!B32</f>
        <v>6</v>
      </c>
      <c r="N28" s="174">
        <f>+'RNs &amp; Covers September 2020'!C32</f>
        <v>93</v>
      </c>
    </row>
    <row r="29" spans="1:14" x14ac:dyDescent="0.25">
      <c r="A29" s="160" t="s">
        <v>49</v>
      </c>
      <c r="B29" s="161">
        <f t="shared" si="0"/>
        <v>28</v>
      </c>
      <c r="C29" s="162">
        <v>9</v>
      </c>
      <c r="D29" s="161">
        <v>2020</v>
      </c>
      <c r="E29" s="174">
        <f>'FS Jimbaran September 2020'!P39</f>
        <v>13800.000000000637</v>
      </c>
      <c r="F29" s="172">
        <f>'FS Jimbaran September 2020'!O39/'FS Jimbaran September 2020'!P39</f>
        <v>1116.8410434782686</v>
      </c>
      <c r="G29" s="174">
        <f>'FS Jimbaran September 2020'!AG39</f>
        <v>12</v>
      </c>
      <c r="H29" s="172">
        <f>'FS Jimbaran September 2020'!AH39/'FS Jimbaran September 2020'!AG39</f>
        <v>11625</v>
      </c>
      <c r="I29" s="174">
        <f>'FS Jimbaran September 2020'!AJ39</f>
        <v>119.8799999999901</v>
      </c>
      <c r="J29" s="164">
        <f>'FS Jimbaran September 2020'!AK39/'FS Jimbaran September 2020'!AJ39</f>
        <v>8400</v>
      </c>
      <c r="K29" s="174">
        <f>'FS Jimbaran September 2020'!V39</f>
        <v>142.4</v>
      </c>
      <c r="L29" s="172">
        <f>'FS Jimbaran September 2020'!AA39/'FS Jimbaran September 2020'!V39</f>
        <v>10164.224249999999</v>
      </c>
      <c r="M29" s="174">
        <f>+'RNs &amp; Covers September 2020'!B33</f>
        <v>3</v>
      </c>
      <c r="N29" s="174">
        <f>+'RNs &amp; Covers September 2020'!C33</f>
        <v>56</v>
      </c>
    </row>
    <row r="30" spans="1:14" x14ac:dyDescent="0.25">
      <c r="A30" s="160" t="s">
        <v>49</v>
      </c>
      <c r="B30" s="161">
        <f t="shared" si="0"/>
        <v>29</v>
      </c>
      <c r="C30" s="162">
        <v>9</v>
      </c>
      <c r="D30" s="161">
        <v>2020</v>
      </c>
      <c r="E30" s="174">
        <f>'FS Jimbaran September 2020'!P40</f>
        <v>14459.999999999354</v>
      </c>
      <c r="F30" s="172">
        <f>'FS Jimbaran September 2020'!O40/'FS Jimbaran September 2020'!P40</f>
        <v>1112.424854771775</v>
      </c>
      <c r="G30" s="174">
        <f>'FS Jimbaran September 2020'!AG40</f>
        <v>12</v>
      </c>
      <c r="H30" s="172">
        <f>'FS Jimbaran September 2020'!AH40/'FS Jimbaran September 2020'!AG40</f>
        <v>11625</v>
      </c>
      <c r="I30" s="174">
        <f>'FS Jimbaran September 2020'!AJ40</f>
        <v>103.91000000000349</v>
      </c>
      <c r="J30" s="164">
        <f>'FS Jimbaran September 2020'!AK40/'FS Jimbaran September 2020'!AJ40</f>
        <v>8400</v>
      </c>
      <c r="K30" s="174">
        <f>'FS Jimbaran September 2020'!V40</f>
        <v>80.989999999999995</v>
      </c>
      <c r="L30" s="172">
        <f>'FS Jimbaran September 2020'!AA40/'FS Jimbaran September 2020'!V40</f>
        <v>4245.18</v>
      </c>
      <c r="M30" s="174">
        <f>+'RNs &amp; Covers September 2020'!B34</f>
        <v>6</v>
      </c>
      <c r="N30" s="174">
        <f>+'RNs &amp; Covers September 2020'!C34</f>
        <v>59</v>
      </c>
    </row>
    <row r="31" spans="1:14" x14ac:dyDescent="0.25">
      <c r="A31" s="160" t="s">
        <v>49</v>
      </c>
      <c r="B31" s="161">
        <f t="shared" si="0"/>
        <v>30</v>
      </c>
      <c r="C31" s="162">
        <v>9</v>
      </c>
      <c r="D31" s="161">
        <v>2020</v>
      </c>
      <c r="E31" s="174">
        <f>'FS Jimbaran September 2020'!P41</f>
        <v>14320.000000000846</v>
      </c>
      <c r="F31" s="172">
        <f>'FS Jimbaran September 2020'!O41/'FS Jimbaran September 2020'!P41</f>
        <v>1118.2373463687093</v>
      </c>
      <c r="G31" s="174">
        <f>'FS Jimbaran September 2020'!AG41</f>
        <v>12</v>
      </c>
      <c r="H31" s="172">
        <f>'FS Jimbaran September 2020'!AH41/'FS Jimbaran September 2020'!AG41</f>
        <v>11625</v>
      </c>
      <c r="I31" s="174">
        <f>'FS Jimbaran September 2020'!AJ41</f>
        <v>165.94999999999709</v>
      </c>
      <c r="J31" s="164">
        <f>'FS Jimbaran September 2020'!AK41/'FS Jimbaran September 2020'!AJ41</f>
        <v>8400</v>
      </c>
      <c r="K31" s="174">
        <f>'FS Jimbaran September 2020'!V41</f>
        <v>78.320000000000007</v>
      </c>
      <c r="L31" s="172">
        <f>'FS Jimbaran September 2020'!AA41/'FS Jimbaran September 2020'!V41</f>
        <v>4245.18</v>
      </c>
      <c r="M31" s="174">
        <f>+'RNs &amp; Covers September 2020'!B35</f>
        <v>3</v>
      </c>
      <c r="N31" s="174">
        <f>+'RNs &amp; Covers September 2020'!C35</f>
        <v>78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M69"/>
  <sheetViews>
    <sheetView tabSelected="1" zoomScale="62" zoomScaleNormal="62" workbookViewId="0">
      <pane xSplit="4" ySplit="10" topLeftCell="X11" activePane="bottomRight" state="frozen"/>
      <selection pane="topRight" activeCell="E1" sqref="E1"/>
      <selection pane="bottomLeft" activeCell="A11" sqref="A11"/>
      <selection pane="bottomRight" activeCell="C46" sqref="C46:D46"/>
    </sheetView>
  </sheetViews>
  <sheetFormatPr defaultRowHeight="15.75" x14ac:dyDescent="0.25"/>
  <cols>
    <col min="1" max="1" width="3.7109375" style="15" customWidth="1"/>
    <col min="2" max="2" width="8.7109375" style="15" customWidth="1"/>
    <col min="3" max="3" width="8.7109375" style="4" customWidth="1"/>
    <col min="4" max="4" width="9.140625" customWidth="1"/>
    <col min="5" max="5" width="14.7109375" style="4" customWidth="1"/>
    <col min="6" max="6" width="17.7109375" style="4" customWidth="1"/>
    <col min="7" max="7" width="14.85546875" customWidth="1"/>
    <col min="8" max="8" width="17.140625" style="4" customWidth="1"/>
    <col min="9" max="9" width="17" customWidth="1"/>
    <col min="10" max="10" width="14" customWidth="1"/>
    <col min="11" max="11" width="17.42578125" customWidth="1"/>
    <col min="12" max="12" width="14.140625" style="4" customWidth="1"/>
    <col min="13" max="13" width="18.28515625" style="64" bestFit="1" customWidth="1"/>
    <col min="14" max="14" width="20.42578125" style="68" customWidth="1"/>
    <col min="15" max="15" width="18.85546875" customWidth="1"/>
    <col min="16" max="16" width="15.140625" style="68" customWidth="1"/>
    <col min="17" max="17" width="19.7109375" customWidth="1"/>
    <col min="18" max="18" width="18.140625" style="89" customWidth="1"/>
    <col min="19" max="19" width="24.28515625" customWidth="1"/>
    <col min="20" max="20" width="21.140625" bestFit="1" customWidth="1"/>
    <col min="21" max="21" width="18.85546875" customWidth="1"/>
    <col min="22" max="22" width="19.7109375" customWidth="1"/>
    <col min="23" max="24" width="21.140625" bestFit="1" customWidth="1"/>
    <col min="25" max="25" width="19.7109375" bestFit="1" customWidth="1"/>
    <col min="26" max="26" width="21.28515625" bestFit="1" customWidth="1"/>
    <col min="27" max="27" width="17.85546875" bestFit="1" customWidth="1"/>
    <col min="28" max="28" width="9.85546875" customWidth="1"/>
    <col min="29" max="29" width="15.85546875" bestFit="1" customWidth="1"/>
    <col min="30" max="30" width="12.85546875" style="4" bestFit="1" customWidth="1"/>
    <col min="31" max="31" width="14.85546875" customWidth="1"/>
    <col min="32" max="32" width="12.28515625" bestFit="1" customWidth="1"/>
    <col min="33" max="33" width="10" bestFit="1" customWidth="1"/>
    <col min="34" max="34" width="19" style="4" customWidth="1"/>
    <col min="35" max="35" width="10.5703125" customWidth="1"/>
    <col min="36" max="36" width="13.28515625" style="89" bestFit="1" customWidth="1"/>
    <col min="37" max="37" width="20.7109375" bestFit="1" customWidth="1"/>
    <col min="38" max="38" width="9.42578125" style="41" bestFit="1" customWidth="1"/>
    <col min="39" max="39" width="2.28515625" style="15" customWidth="1"/>
  </cols>
  <sheetData>
    <row r="5" spans="1:39" x14ac:dyDescent="0.25">
      <c r="N5" s="175"/>
      <c r="X5" s="176"/>
    </row>
    <row r="6" spans="1:39" s="27" customFormat="1" ht="19.5" thickBot="1" x14ac:dyDescent="0.35">
      <c r="B6" s="27" t="s">
        <v>28</v>
      </c>
      <c r="C6" s="36"/>
      <c r="E6" s="36"/>
      <c r="F6" s="36"/>
      <c r="H6" s="36"/>
      <c r="L6" s="36"/>
      <c r="M6" s="59"/>
      <c r="N6" s="65"/>
      <c r="P6" s="65"/>
      <c r="R6" s="85"/>
      <c r="AD6" s="36"/>
      <c r="AH6" s="36"/>
      <c r="AJ6" s="85"/>
      <c r="AL6" s="38"/>
    </row>
    <row r="7" spans="1:39" s="12" customFormat="1" ht="16.5" thickBot="1" x14ac:dyDescent="0.3">
      <c r="A7" s="32"/>
      <c r="B7" s="230" t="s">
        <v>54</v>
      </c>
      <c r="C7" s="231"/>
      <c r="D7" s="231"/>
      <c r="E7" s="231"/>
      <c r="F7" s="231"/>
      <c r="G7" s="231"/>
      <c r="H7" s="231"/>
      <c r="I7" s="231"/>
      <c r="J7" s="231"/>
      <c r="K7" s="231"/>
      <c r="L7" s="231"/>
      <c r="M7" s="231"/>
      <c r="N7" s="231"/>
      <c r="O7" s="231"/>
      <c r="P7" s="231"/>
      <c r="Q7" s="231"/>
      <c r="R7" s="231"/>
      <c r="S7" s="231"/>
      <c r="T7" s="231"/>
      <c r="U7" s="231"/>
      <c r="V7" s="231"/>
      <c r="W7" s="231"/>
      <c r="X7" s="231"/>
      <c r="Y7" s="231"/>
      <c r="Z7" s="231"/>
      <c r="AA7" s="231"/>
      <c r="AB7" s="231"/>
      <c r="AC7" s="231"/>
      <c r="AD7" s="231"/>
      <c r="AE7" s="231"/>
      <c r="AF7" s="231"/>
      <c r="AG7" s="231"/>
      <c r="AH7" s="231"/>
      <c r="AI7" s="231"/>
      <c r="AJ7" s="231"/>
      <c r="AK7" s="231"/>
      <c r="AL7" s="232"/>
      <c r="AM7" s="32"/>
    </row>
    <row r="8" spans="1:39" s="8" customFormat="1" ht="15.75" customHeight="1" thickBot="1" x14ac:dyDescent="0.3">
      <c r="A8" s="28"/>
      <c r="B8" s="233" t="s">
        <v>1</v>
      </c>
      <c r="C8" s="236" t="s">
        <v>2</v>
      </c>
      <c r="D8" s="239" t="s">
        <v>3</v>
      </c>
      <c r="E8" s="242" t="s">
        <v>34</v>
      </c>
      <c r="F8" s="242"/>
      <c r="G8" s="242"/>
      <c r="H8" s="242"/>
      <c r="I8" s="242"/>
      <c r="J8" s="242"/>
      <c r="K8" s="242"/>
      <c r="L8" s="242"/>
      <c r="M8" s="242"/>
      <c r="N8" s="242"/>
      <c r="O8" s="242"/>
      <c r="P8" s="242"/>
      <c r="Q8" s="242"/>
      <c r="R8" s="242"/>
      <c r="S8" s="242"/>
      <c r="T8" s="242"/>
      <c r="U8" s="243"/>
      <c r="V8" s="244" t="s">
        <v>19</v>
      </c>
      <c r="W8" s="245"/>
      <c r="X8" s="245"/>
      <c r="Y8" s="245"/>
      <c r="Z8" s="245"/>
      <c r="AA8" s="245"/>
      <c r="AB8" s="246"/>
      <c r="AC8" s="247" t="s">
        <v>24</v>
      </c>
      <c r="AD8" s="247"/>
      <c r="AE8" s="247"/>
      <c r="AF8" s="247"/>
      <c r="AG8" s="247"/>
      <c r="AH8" s="247"/>
      <c r="AI8" s="247"/>
      <c r="AJ8" s="247"/>
      <c r="AK8" s="247"/>
      <c r="AL8" s="248"/>
      <c r="AM8" s="30"/>
    </row>
    <row r="9" spans="1:39" ht="15" customHeight="1" thickBot="1" x14ac:dyDescent="0.3">
      <c r="A9" s="31"/>
      <c r="B9" s="234"/>
      <c r="C9" s="237"/>
      <c r="D9" s="240"/>
      <c r="E9" s="249" t="s">
        <v>33</v>
      </c>
      <c r="F9" s="250"/>
      <c r="G9" s="250"/>
      <c r="H9" s="250"/>
      <c r="I9" s="251"/>
      <c r="J9" s="252" t="s">
        <v>5</v>
      </c>
      <c r="K9" s="252"/>
      <c r="L9" s="252"/>
      <c r="M9" s="252"/>
      <c r="N9" s="253"/>
      <c r="O9" s="239" t="s">
        <v>12</v>
      </c>
      <c r="P9" s="254" t="s">
        <v>32</v>
      </c>
      <c r="Q9" s="256" t="s">
        <v>52</v>
      </c>
      <c r="R9" s="222" t="s">
        <v>21</v>
      </c>
      <c r="S9" s="224" t="s">
        <v>13</v>
      </c>
      <c r="T9" s="226" t="s">
        <v>18</v>
      </c>
      <c r="U9" s="227"/>
      <c r="V9" s="53"/>
      <c r="W9" s="53" t="s">
        <v>4</v>
      </c>
      <c r="X9" s="53"/>
      <c r="Y9" s="54"/>
      <c r="Z9" s="179"/>
      <c r="AA9" s="228" t="s">
        <v>27</v>
      </c>
      <c r="AB9" s="229"/>
      <c r="AC9" s="247" t="s">
        <v>22</v>
      </c>
      <c r="AD9" s="247"/>
      <c r="AE9" s="247"/>
      <c r="AF9" s="247"/>
      <c r="AG9" s="247"/>
      <c r="AH9" s="247"/>
      <c r="AI9" s="248"/>
      <c r="AJ9" s="258" t="s">
        <v>20</v>
      </c>
      <c r="AK9" s="259"/>
      <c r="AL9" s="260"/>
      <c r="AM9" s="31"/>
    </row>
    <row r="10" spans="1:39" ht="61.5" customHeight="1" thickBot="1" x14ac:dyDescent="0.3">
      <c r="A10" s="29"/>
      <c r="B10" s="235"/>
      <c r="C10" s="238"/>
      <c r="D10" s="241"/>
      <c r="E10" s="99" t="s">
        <v>35</v>
      </c>
      <c r="F10" s="83" t="s">
        <v>6</v>
      </c>
      <c r="G10" s="133" t="s">
        <v>36</v>
      </c>
      <c r="H10" s="19" t="s">
        <v>6</v>
      </c>
      <c r="I10" s="100" t="s">
        <v>14</v>
      </c>
      <c r="J10" s="99" t="s">
        <v>35</v>
      </c>
      <c r="K10" s="84" t="s">
        <v>6</v>
      </c>
      <c r="L10" s="133" t="s">
        <v>36</v>
      </c>
      <c r="M10" s="60" t="s">
        <v>6</v>
      </c>
      <c r="N10" s="92" t="s">
        <v>15</v>
      </c>
      <c r="O10" s="241"/>
      <c r="P10" s="255"/>
      <c r="Q10" s="257"/>
      <c r="R10" s="223"/>
      <c r="S10" s="225"/>
      <c r="T10" s="180" t="s">
        <v>16</v>
      </c>
      <c r="U10" s="24" t="s">
        <v>17</v>
      </c>
      <c r="V10" s="181" t="s">
        <v>8</v>
      </c>
      <c r="W10" s="55" t="s">
        <v>0</v>
      </c>
      <c r="X10" s="55" t="s">
        <v>26</v>
      </c>
      <c r="Y10" s="23" t="s">
        <v>10</v>
      </c>
      <c r="Z10" s="23" t="s">
        <v>30</v>
      </c>
      <c r="AA10" s="23" t="s">
        <v>16</v>
      </c>
      <c r="AB10" s="13" t="s">
        <v>17</v>
      </c>
      <c r="AC10" s="125" t="s">
        <v>7</v>
      </c>
      <c r="AD10" s="48" t="s">
        <v>31</v>
      </c>
      <c r="AE10" s="47" t="s">
        <v>11</v>
      </c>
      <c r="AF10" s="47" t="s">
        <v>9</v>
      </c>
      <c r="AG10" s="47" t="s">
        <v>25</v>
      </c>
      <c r="AH10" s="48" t="s">
        <v>16</v>
      </c>
      <c r="AI10" s="49" t="s">
        <v>17</v>
      </c>
      <c r="AJ10" s="140" t="s">
        <v>23</v>
      </c>
      <c r="AK10" s="47" t="s">
        <v>16</v>
      </c>
      <c r="AL10" s="51" t="s">
        <v>17</v>
      </c>
      <c r="AM10" s="29"/>
    </row>
    <row r="11" spans="1:39" x14ac:dyDescent="0.25">
      <c r="A11" s="29"/>
      <c r="B11" s="57"/>
      <c r="C11" s="101"/>
      <c r="D11" s="182"/>
      <c r="E11" s="183"/>
      <c r="F11" s="90"/>
      <c r="G11" s="20"/>
      <c r="H11" s="21"/>
      <c r="I11" s="102"/>
      <c r="J11" s="91"/>
      <c r="K11" s="20"/>
      <c r="L11" s="21"/>
      <c r="M11" s="61"/>
      <c r="N11" s="93"/>
      <c r="O11" s="56"/>
      <c r="P11" s="110"/>
      <c r="Q11" s="184"/>
      <c r="R11" s="113"/>
      <c r="S11" s="185"/>
      <c r="T11" s="185"/>
      <c r="U11" s="25"/>
      <c r="V11" s="91"/>
      <c r="W11" s="20"/>
      <c r="X11" s="20"/>
      <c r="Y11" s="22"/>
      <c r="Z11" s="22"/>
      <c r="AA11" s="22"/>
      <c r="AB11" s="102"/>
      <c r="AC11" s="126"/>
      <c r="AD11" s="45"/>
      <c r="AE11" s="42"/>
      <c r="AF11" s="42"/>
      <c r="AG11" s="42"/>
      <c r="AH11" s="45"/>
      <c r="AI11" s="46"/>
      <c r="AJ11" s="141"/>
      <c r="AK11" s="42"/>
      <c r="AL11" s="50"/>
      <c r="AM11" s="29"/>
    </row>
    <row r="12" spans="1:39" x14ac:dyDescent="0.25">
      <c r="A12" s="35"/>
      <c r="B12" s="58">
        <v>1</v>
      </c>
      <c r="C12" s="149">
        <v>2</v>
      </c>
      <c r="D12" s="151">
        <v>46</v>
      </c>
      <c r="E12" s="106">
        <v>10280.000000000655</v>
      </c>
      <c r="F12" s="3">
        <v>10647818.400000678</v>
      </c>
      <c r="G12" s="37">
        <v>2000</v>
      </c>
      <c r="H12" s="3">
        <v>3107340</v>
      </c>
      <c r="I12" s="103">
        <f>F12+H12</f>
        <v>13755158.400000678</v>
      </c>
      <c r="J12" s="106">
        <v>1300.0000000001819</v>
      </c>
      <c r="K12" s="3">
        <v>1346514.0000001884</v>
      </c>
      <c r="L12" s="186">
        <v>279.99999999997272</v>
      </c>
      <c r="M12" s="187">
        <v>435027.5999999576</v>
      </c>
      <c r="N12" s="94">
        <f>+K12+M12</f>
        <v>1781541.6000001458</v>
      </c>
      <c r="O12" s="108">
        <f>N12+I12</f>
        <v>15536700.000000823</v>
      </c>
      <c r="P12" s="111">
        <f>L12+J12+G12+E12</f>
        <v>13860.000000000809</v>
      </c>
      <c r="Q12" s="135"/>
      <c r="R12" s="201"/>
      <c r="S12" s="215"/>
      <c r="T12" s="212"/>
      <c r="U12" s="210">
        <v>0</v>
      </c>
      <c r="V12" s="188">
        <f>Y12+W12</f>
        <v>138.84</v>
      </c>
      <c r="W12" s="3">
        <v>110.36</v>
      </c>
      <c r="X12" s="3">
        <v>1983224.38</v>
      </c>
      <c r="Y12" s="33">
        <v>28.48</v>
      </c>
      <c r="Z12" s="33">
        <v>120902.72640000001</v>
      </c>
      <c r="AA12" s="33">
        <f t="shared" ref="AA12:AA39" si="0">Z12+X12</f>
        <v>2104127.1063999999</v>
      </c>
      <c r="AB12" s="128">
        <f t="shared" ref="AB12:AB41" si="1">AA12/$AL$47</f>
        <v>162.15417020073073</v>
      </c>
      <c r="AC12" s="134">
        <v>0</v>
      </c>
      <c r="AD12" s="3">
        <v>0</v>
      </c>
      <c r="AE12" s="3">
        <v>0</v>
      </c>
      <c r="AF12" s="3">
        <v>12</v>
      </c>
      <c r="AG12" s="3">
        <f t="shared" ref="AG12:AG31" si="2">+AE12+AF12</f>
        <v>12</v>
      </c>
      <c r="AH12" s="3">
        <v>139500</v>
      </c>
      <c r="AI12" s="43">
        <f t="shared" ref="AI12:AI41" si="3">AH12/$AL$47</f>
        <v>10.750541958324888</v>
      </c>
      <c r="AJ12" s="142">
        <v>139.94000000000233</v>
      </c>
      <c r="AK12" s="3">
        <v>1175496.0000000196</v>
      </c>
      <c r="AL12" s="39">
        <f t="shared" ref="AL12:AL41" si="4">AK12/$AL$47</f>
        <v>90.589384013213504</v>
      </c>
      <c r="AM12" s="7"/>
    </row>
    <row r="13" spans="1:39" x14ac:dyDescent="0.25">
      <c r="A13" s="35"/>
      <c r="B13" s="58">
        <v>2</v>
      </c>
      <c r="C13" s="149">
        <v>2</v>
      </c>
      <c r="D13" s="151">
        <v>74</v>
      </c>
      <c r="E13" s="106">
        <v>10119.999999998981</v>
      </c>
      <c r="F13" s="3">
        <v>10482093.599998945</v>
      </c>
      <c r="G13" s="37">
        <v>2000</v>
      </c>
      <c r="H13" s="3">
        <v>3107340</v>
      </c>
      <c r="I13" s="103">
        <f t="shared" ref="I13:I41" si="5">F13+H13</f>
        <v>13589433.599998945</v>
      </c>
      <c r="J13" s="106">
        <v>1199.9999999998181</v>
      </c>
      <c r="K13" s="3">
        <v>1242935.9999998116</v>
      </c>
      <c r="L13" s="186">
        <v>240.00000000000909</v>
      </c>
      <c r="M13" s="187">
        <v>372880.80000001413</v>
      </c>
      <c r="N13" s="94">
        <f t="shared" ref="N13:N41" si="6">+K13+M13</f>
        <v>1615816.7999998257</v>
      </c>
      <c r="O13" s="108">
        <f t="shared" ref="O13:O39" si="7">N13+I13</f>
        <v>15205250.399998771</v>
      </c>
      <c r="P13" s="111">
        <f t="shared" ref="P13:P39" si="8">L13+J13+G13+E13</f>
        <v>13559.999999998809</v>
      </c>
      <c r="Q13" s="191"/>
      <c r="R13" s="202"/>
      <c r="S13" s="215"/>
      <c r="T13" s="212"/>
      <c r="U13" s="210">
        <v>0</v>
      </c>
      <c r="V13" s="188">
        <f t="shared" ref="V13:V41" si="9">Y13+W13</f>
        <v>139.72999999999999</v>
      </c>
      <c r="W13" s="3">
        <v>54.29</v>
      </c>
      <c r="X13" s="3">
        <v>975618.44499999995</v>
      </c>
      <c r="Y13" s="33">
        <v>85.44</v>
      </c>
      <c r="Z13" s="33">
        <v>362708.17920000001</v>
      </c>
      <c r="AA13" s="33">
        <f t="shared" si="0"/>
        <v>1338326.6242</v>
      </c>
      <c r="AB13" s="128">
        <f t="shared" si="1"/>
        <v>103.13789625380218</v>
      </c>
      <c r="AC13" s="134">
        <v>0</v>
      </c>
      <c r="AD13" s="3">
        <v>0</v>
      </c>
      <c r="AE13" s="3">
        <v>0</v>
      </c>
      <c r="AF13" s="3">
        <v>12</v>
      </c>
      <c r="AG13" s="3">
        <f t="shared" si="2"/>
        <v>12</v>
      </c>
      <c r="AH13" s="3">
        <v>139500</v>
      </c>
      <c r="AI13" s="43">
        <f t="shared" si="3"/>
        <v>10.750541958324888</v>
      </c>
      <c r="AJ13" s="142">
        <v>132</v>
      </c>
      <c r="AK13" s="3">
        <v>1108800</v>
      </c>
      <c r="AL13" s="39">
        <f t="shared" si="4"/>
        <v>85.449468984879118</v>
      </c>
      <c r="AM13" s="7"/>
    </row>
    <row r="14" spans="1:39" x14ac:dyDescent="0.25">
      <c r="A14" s="35"/>
      <c r="B14" s="58">
        <v>3</v>
      </c>
      <c r="C14" s="149">
        <v>1</v>
      </c>
      <c r="D14" s="151">
        <v>49</v>
      </c>
      <c r="E14" s="106">
        <v>9680.000000000291</v>
      </c>
      <c r="F14" s="3">
        <v>10026350.4000003</v>
      </c>
      <c r="G14" s="37">
        <v>1839.9999999996908</v>
      </c>
      <c r="H14" s="3">
        <v>2858752.7999995197</v>
      </c>
      <c r="I14" s="103">
        <f t="shared" si="5"/>
        <v>12885103.19999982</v>
      </c>
      <c r="J14" s="106">
        <v>1240.0000000006912</v>
      </c>
      <c r="K14" s="3">
        <v>1284367.2000007159</v>
      </c>
      <c r="L14" s="186">
        <v>279.99999999997272</v>
      </c>
      <c r="M14" s="187">
        <v>435027.5999999576</v>
      </c>
      <c r="N14" s="94">
        <f t="shared" si="6"/>
        <v>1719394.8000006736</v>
      </c>
      <c r="O14" s="108">
        <f t="shared" si="7"/>
        <v>14604498.000000494</v>
      </c>
      <c r="P14" s="111">
        <f t="shared" si="8"/>
        <v>13040.000000000646</v>
      </c>
      <c r="Q14" s="191"/>
      <c r="R14" s="202"/>
      <c r="S14" s="215"/>
      <c r="T14" s="212"/>
      <c r="U14" s="210">
        <v>0</v>
      </c>
      <c r="V14" s="188">
        <f t="shared" si="9"/>
        <v>174.44</v>
      </c>
      <c r="W14" s="3">
        <v>79.210000000000008</v>
      </c>
      <c r="X14" s="3">
        <v>1423443.3050000002</v>
      </c>
      <c r="Y14" s="33">
        <v>95.23</v>
      </c>
      <c r="Z14" s="33">
        <v>404268.49140000006</v>
      </c>
      <c r="AA14" s="33">
        <f t="shared" si="0"/>
        <v>1827711.7964000003</v>
      </c>
      <c r="AB14" s="128">
        <f t="shared" si="1"/>
        <v>140.85227494568861</v>
      </c>
      <c r="AC14" s="134">
        <v>0</v>
      </c>
      <c r="AD14" s="3">
        <v>0</v>
      </c>
      <c r="AE14" s="3">
        <v>350</v>
      </c>
      <c r="AF14" s="3">
        <v>0</v>
      </c>
      <c r="AG14" s="3">
        <f t="shared" si="2"/>
        <v>350</v>
      </c>
      <c r="AH14" s="3">
        <v>3671500</v>
      </c>
      <c r="AI14" s="43">
        <f t="shared" si="3"/>
        <v>282.94347526874429</v>
      </c>
      <c r="AJ14" s="142">
        <v>121.76000000000931</v>
      </c>
      <c r="AK14" s="3">
        <v>1022784.0000000782</v>
      </c>
      <c r="AL14" s="39">
        <f t="shared" si="4"/>
        <v>78.820661693936941</v>
      </c>
      <c r="AM14" s="7"/>
    </row>
    <row r="15" spans="1:39" x14ac:dyDescent="0.25">
      <c r="A15" s="35"/>
      <c r="B15" s="58">
        <v>4</v>
      </c>
      <c r="C15" s="149">
        <v>2</v>
      </c>
      <c r="D15" s="151">
        <v>85</v>
      </c>
      <c r="E15" s="106">
        <v>10479.999999999563</v>
      </c>
      <c r="F15" s="3">
        <v>10854974.399999548</v>
      </c>
      <c r="G15" s="37">
        <v>2000</v>
      </c>
      <c r="H15" s="3">
        <v>3107340</v>
      </c>
      <c r="I15" s="103">
        <f t="shared" si="5"/>
        <v>13962314.399999548</v>
      </c>
      <c r="J15" s="106">
        <v>1199.9999999998181</v>
      </c>
      <c r="K15" s="3">
        <v>1242935.9999998116</v>
      </c>
      <c r="L15" s="186">
        <v>259.99999999999091</v>
      </c>
      <c r="M15" s="187">
        <v>403954.19999998587</v>
      </c>
      <c r="N15" s="94">
        <f t="shared" si="6"/>
        <v>1646890.1999997976</v>
      </c>
      <c r="O15" s="108">
        <f t="shared" si="7"/>
        <v>15609204.599999346</v>
      </c>
      <c r="P15" s="111">
        <f t="shared" si="8"/>
        <v>13939.999999999372</v>
      </c>
      <c r="Q15" s="191"/>
      <c r="R15" s="202"/>
      <c r="S15" s="215"/>
      <c r="T15" s="212"/>
      <c r="U15" s="210">
        <v>0</v>
      </c>
      <c r="V15" s="188">
        <f t="shared" si="9"/>
        <v>162.87</v>
      </c>
      <c r="W15" s="3">
        <v>81.88</v>
      </c>
      <c r="X15" s="3">
        <v>1471424.5399999998</v>
      </c>
      <c r="Y15" s="33">
        <v>80.989999999999995</v>
      </c>
      <c r="Z15" s="33">
        <v>343817.12819999998</v>
      </c>
      <c r="AA15" s="33">
        <f t="shared" si="0"/>
        <v>1815241.6681999997</v>
      </c>
      <c r="AB15" s="128">
        <f t="shared" si="1"/>
        <v>139.89126679916674</v>
      </c>
      <c r="AC15" s="134">
        <v>0</v>
      </c>
      <c r="AD15" s="3">
        <v>0</v>
      </c>
      <c r="AE15" s="3">
        <v>0</v>
      </c>
      <c r="AF15" s="3">
        <v>0</v>
      </c>
      <c r="AG15" s="3">
        <f t="shared" si="2"/>
        <v>0</v>
      </c>
      <c r="AH15" s="3">
        <v>0</v>
      </c>
      <c r="AI15" s="43">
        <f t="shared" si="3"/>
        <v>0</v>
      </c>
      <c r="AJ15" s="142">
        <v>207.47999999999593</v>
      </c>
      <c r="AK15" s="3">
        <v>1742831.9999999658</v>
      </c>
      <c r="AL15" s="39">
        <f t="shared" si="4"/>
        <v>134.31102897713916</v>
      </c>
      <c r="AM15" s="7"/>
    </row>
    <row r="16" spans="1:39" x14ac:dyDescent="0.25">
      <c r="A16" s="35"/>
      <c r="B16" s="58">
        <v>5</v>
      </c>
      <c r="C16" s="149">
        <v>4</v>
      </c>
      <c r="D16" s="151">
        <v>91</v>
      </c>
      <c r="E16" s="106">
        <v>10200.000000000728</v>
      </c>
      <c r="F16" s="3">
        <v>10564956.000000753</v>
      </c>
      <c r="G16" s="37">
        <v>1960.0000000000364</v>
      </c>
      <c r="H16" s="3">
        <v>3045193.2000000565</v>
      </c>
      <c r="I16" s="103">
        <f t="shared" si="5"/>
        <v>13610149.20000081</v>
      </c>
      <c r="J16" s="106">
        <v>1260.0000000002183</v>
      </c>
      <c r="K16" s="3">
        <v>1305082.8000002261</v>
      </c>
      <c r="L16" s="186">
        <v>259.99999999999091</v>
      </c>
      <c r="M16" s="187">
        <v>403954.19999998587</v>
      </c>
      <c r="N16" s="94">
        <f t="shared" si="6"/>
        <v>1709037.0000002119</v>
      </c>
      <c r="O16" s="108">
        <f t="shared" si="7"/>
        <v>15319186.200001022</v>
      </c>
      <c r="P16" s="111">
        <f t="shared" si="8"/>
        <v>13680.000000000973</v>
      </c>
      <c r="Q16" s="191"/>
      <c r="R16" s="202"/>
      <c r="S16" s="215"/>
      <c r="T16" s="212"/>
      <c r="U16" s="210">
        <v>0</v>
      </c>
      <c r="V16" s="188">
        <f t="shared" si="9"/>
        <v>84.55</v>
      </c>
      <c r="W16" s="3">
        <v>4.45</v>
      </c>
      <c r="X16" s="3">
        <v>79968.725000000006</v>
      </c>
      <c r="Y16" s="33">
        <v>80.099999999999994</v>
      </c>
      <c r="Z16" s="33">
        <v>340038.91800000001</v>
      </c>
      <c r="AA16" s="33">
        <f t="shared" si="0"/>
        <v>420007.64300000004</v>
      </c>
      <c r="AB16" s="128">
        <f t="shared" si="1"/>
        <v>32.367812106728607</v>
      </c>
      <c r="AC16" s="134">
        <v>0</v>
      </c>
      <c r="AD16" s="3">
        <v>0</v>
      </c>
      <c r="AE16" s="3">
        <v>400</v>
      </c>
      <c r="AF16" s="3">
        <v>12</v>
      </c>
      <c r="AG16" s="3">
        <f t="shared" si="2"/>
        <v>412</v>
      </c>
      <c r="AH16" s="3">
        <v>4335500</v>
      </c>
      <c r="AI16" s="43">
        <f t="shared" si="3"/>
        <v>334.11451369403261</v>
      </c>
      <c r="AJ16" s="142">
        <v>204.00000000001455</v>
      </c>
      <c r="AK16" s="3">
        <v>1713600.0000001222</v>
      </c>
      <c r="AL16" s="39">
        <f t="shared" si="4"/>
        <v>132.05827024936804</v>
      </c>
      <c r="AM16" s="7"/>
    </row>
    <row r="17" spans="1:39" x14ac:dyDescent="0.25">
      <c r="A17" s="35"/>
      <c r="B17" s="58">
        <v>6</v>
      </c>
      <c r="C17" s="149">
        <v>2</v>
      </c>
      <c r="D17" s="151">
        <v>98</v>
      </c>
      <c r="E17" s="106">
        <v>9920.0000000000728</v>
      </c>
      <c r="F17" s="3">
        <v>10274937.600000076</v>
      </c>
      <c r="G17" s="37">
        <v>2000</v>
      </c>
      <c r="H17" s="3">
        <v>3107340</v>
      </c>
      <c r="I17" s="103">
        <f t="shared" si="5"/>
        <v>13382277.600000076</v>
      </c>
      <c r="J17" s="106">
        <v>1279.9999999997453</v>
      </c>
      <c r="K17" s="3">
        <v>1325798.3999997361</v>
      </c>
      <c r="L17" s="186">
        <v>299.99999999995453</v>
      </c>
      <c r="M17" s="187">
        <v>466100.99999992939</v>
      </c>
      <c r="N17" s="94">
        <f t="shared" si="6"/>
        <v>1791899.3999996656</v>
      </c>
      <c r="O17" s="108">
        <f t="shared" si="7"/>
        <v>15174176.999999741</v>
      </c>
      <c r="P17" s="111">
        <f t="shared" si="8"/>
        <v>13499.999999999773</v>
      </c>
      <c r="Q17" s="191"/>
      <c r="R17" s="202"/>
      <c r="S17" s="215"/>
      <c r="T17" s="212"/>
      <c r="U17" s="210">
        <v>0</v>
      </c>
      <c r="V17" s="188">
        <f t="shared" si="9"/>
        <v>120.15</v>
      </c>
      <c r="W17" s="3">
        <v>41.83</v>
      </c>
      <c r="X17" s="3">
        <v>751706.01500000001</v>
      </c>
      <c r="Y17" s="33">
        <v>78.320000000000007</v>
      </c>
      <c r="Z17" s="33">
        <v>332482.49760000006</v>
      </c>
      <c r="AA17" s="33">
        <f t="shared" si="0"/>
        <v>1084188.5126</v>
      </c>
      <c r="AB17" s="128">
        <f t="shared" si="1"/>
        <v>83.552789214624738</v>
      </c>
      <c r="AC17" s="134">
        <v>0</v>
      </c>
      <c r="AD17" s="3">
        <v>0</v>
      </c>
      <c r="AE17" s="3">
        <v>0</v>
      </c>
      <c r="AF17" s="3">
        <v>0</v>
      </c>
      <c r="AG17" s="3">
        <f t="shared" si="2"/>
        <v>0</v>
      </c>
      <c r="AH17" s="3">
        <v>0</v>
      </c>
      <c r="AI17" s="43">
        <f t="shared" si="3"/>
        <v>0</v>
      </c>
      <c r="AJ17" s="142">
        <v>107.73000000001048</v>
      </c>
      <c r="AK17" s="3">
        <v>904932.00000008801</v>
      </c>
      <c r="AL17" s="39">
        <f t="shared" si="4"/>
        <v>69.738418891984253</v>
      </c>
      <c r="AM17" s="7"/>
    </row>
    <row r="18" spans="1:39" x14ac:dyDescent="0.25">
      <c r="A18" s="35"/>
      <c r="B18" s="58">
        <v>7</v>
      </c>
      <c r="C18" s="149">
        <v>1</v>
      </c>
      <c r="D18" s="151">
        <v>52</v>
      </c>
      <c r="E18" s="106">
        <v>9920.0000000000728</v>
      </c>
      <c r="F18" s="3">
        <v>10274937.600000076</v>
      </c>
      <c r="G18" s="37">
        <v>1960.0000000000364</v>
      </c>
      <c r="H18" s="3">
        <v>3045193.2000000565</v>
      </c>
      <c r="I18" s="103">
        <f t="shared" si="5"/>
        <v>13320130.800000133</v>
      </c>
      <c r="J18" s="106">
        <v>1359.9999999996726</v>
      </c>
      <c r="K18" s="3">
        <v>1408660.7999996608</v>
      </c>
      <c r="L18" s="186">
        <v>299.99999999995453</v>
      </c>
      <c r="M18" s="187">
        <v>466100.99999992939</v>
      </c>
      <c r="N18" s="94">
        <f t="shared" si="6"/>
        <v>1874761.7999995903</v>
      </c>
      <c r="O18" s="108">
        <f t="shared" si="7"/>
        <v>15194892.599999724</v>
      </c>
      <c r="P18" s="111">
        <f t="shared" si="8"/>
        <v>13539.999999999736</v>
      </c>
      <c r="Q18" s="191"/>
      <c r="R18" s="202"/>
      <c r="S18" s="215"/>
      <c r="T18" s="212"/>
      <c r="U18" s="210">
        <v>0</v>
      </c>
      <c r="V18" s="188">
        <f t="shared" si="9"/>
        <v>179.78000000000003</v>
      </c>
      <c r="W18" s="3">
        <v>100.57000000000001</v>
      </c>
      <c r="X18" s="3">
        <v>1807293.1850000001</v>
      </c>
      <c r="Y18" s="33">
        <v>79.210000000000008</v>
      </c>
      <c r="Z18" s="33">
        <v>336260.70780000003</v>
      </c>
      <c r="AA18" s="33">
        <f t="shared" si="0"/>
        <v>2143553.8928</v>
      </c>
      <c r="AB18" s="128">
        <f t="shared" si="1"/>
        <v>165.19258827582115</v>
      </c>
      <c r="AC18" s="134">
        <v>0</v>
      </c>
      <c r="AD18" s="3">
        <v>0</v>
      </c>
      <c r="AE18" s="3">
        <v>0</v>
      </c>
      <c r="AF18" s="3">
        <v>0</v>
      </c>
      <c r="AG18" s="3">
        <f t="shared" si="2"/>
        <v>0</v>
      </c>
      <c r="AH18" s="3">
        <v>0</v>
      </c>
      <c r="AI18" s="43">
        <f t="shared" si="3"/>
        <v>0</v>
      </c>
      <c r="AJ18" s="142">
        <v>199.64999999999418</v>
      </c>
      <c r="AK18" s="3">
        <v>1677059.9999999511</v>
      </c>
      <c r="AL18" s="39">
        <f t="shared" si="4"/>
        <v>129.2423218396259</v>
      </c>
      <c r="AM18" s="7"/>
    </row>
    <row r="19" spans="1:39" x14ac:dyDescent="0.25">
      <c r="A19" s="35"/>
      <c r="B19" s="58">
        <v>8</v>
      </c>
      <c r="C19" s="149">
        <v>2</v>
      </c>
      <c r="D19" s="151">
        <v>40</v>
      </c>
      <c r="E19" s="106">
        <v>10200.000000000728</v>
      </c>
      <c r="F19" s="3">
        <v>10564956.000000753</v>
      </c>
      <c r="G19" s="37">
        <v>1960.0000000000364</v>
      </c>
      <c r="H19" s="3">
        <v>3045193.2000000565</v>
      </c>
      <c r="I19" s="103">
        <f t="shared" si="5"/>
        <v>13610149.20000081</v>
      </c>
      <c r="J19" s="106">
        <v>1380.0000000001091</v>
      </c>
      <c r="K19" s="3">
        <v>1429376.4000001131</v>
      </c>
      <c r="L19" s="186">
        <v>279.99999999997272</v>
      </c>
      <c r="M19" s="187">
        <v>435027.5999999576</v>
      </c>
      <c r="N19" s="94">
        <f t="shared" si="6"/>
        <v>1864404.0000000708</v>
      </c>
      <c r="O19" s="108">
        <f t="shared" si="7"/>
        <v>15474553.20000088</v>
      </c>
      <c r="P19" s="111">
        <f t="shared" si="8"/>
        <v>13820.000000000846</v>
      </c>
      <c r="Q19" s="191"/>
      <c r="R19" s="202"/>
      <c r="S19" s="215"/>
      <c r="T19" s="212"/>
      <c r="U19" s="210">
        <v>0</v>
      </c>
      <c r="V19" s="188">
        <f t="shared" si="9"/>
        <v>154.86000000000001</v>
      </c>
      <c r="W19" s="3">
        <v>77.430000000000007</v>
      </c>
      <c r="X19" s="3">
        <v>1391455.8150000002</v>
      </c>
      <c r="Y19" s="33">
        <v>77.430000000000007</v>
      </c>
      <c r="Z19" s="33">
        <v>328704.28740000003</v>
      </c>
      <c r="AA19" s="33">
        <f t="shared" si="0"/>
        <v>1720160.1024000002</v>
      </c>
      <c r="AB19" s="128">
        <f t="shared" si="1"/>
        <v>132.56382333969634</v>
      </c>
      <c r="AC19" s="134">
        <v>0</v>
      </c>
      <c r="AD19" s="3">
        <v>0</v>
      </c>
      <c r="AE19" s="3">
        <v>50</v>
      </c>
      <c r="AF19" s="3">
        <v>0</v>
      </c>
      <c r="AG19" s="3">
        <f t="shared" si="2"/>
        <v>50</v>
      </c>
      <c r="AH19" s="3">
        <v>524500</v>
      </c>
      <c r="AI19" s="43">
        <f t="shared" si="3"/>
        <v>40.420496466963471</v>
      </c>
      <c r="AJ19" s="142">
        <v>111.25</v>
      </c>
      <c r="AK19" s="3">
        <v>934500</v>
      </c>
      <c r="AL19" s="39">
        <f t="shared" si="4"/>
        <v>72.017071398240915</v>
      </c>
      <c r="AM19" s="7"/>
    </row>
    <row r="20" spans="1:39" x14ac:dyDescent="0.25">
      <c r="A20" s="35"/>
      <c r="B20" s="58">
        <v>9</v>
      </c>
      <c r="C20" s="149">
        <v>1</v>
      </c>
      <c r="D20" s="151">
        <v>66</v>
      </c>
      <c r="E20" s="106">
        <v>10000</v>
      </c>
      <c r="F20" s="3">
        <v>10357800</v>
      </c>
      <c r="G20" s="37">
        <v>1800.0000000001819</v>
      </c>
      <c r="H20" s="3">
        <v>2796606.0000002827</v>
      </c>
      <c r="I20" s="103">
        <f t="shared" si="5"/>
        <v>13154406.000000283</v>
      </c>
      <c r="J20" s="106">
        <v>1319.999999999709</v>
      </c>
      <c r="K20" s="3">
        <v>1367229.5999996986</v>
      </c>
      <c r="L20" s="186">
        <v>279.99999999997272</v>
      </c>
      <c r="M20" s="187">
        <v>435027.5999999576</v>
      </c>
      <c r="N20" s="94">
        <f t="shared" si="6"/>
        <v>1802257.1999996561</v>
      </c>
      <c r="O20" s="108">
        <f t="shared" si="7"/>
        <v>14956663.19999994</v>
      </c>
      <c r="P20" s="111">
        <f t="shared" si="8"/>
        <v>13399.999999999864</v>
      </c>
      <c r="Q20" s="191"/>
      <c r="R20" s="202"/>
      <c r="S20" s="215"/>
      <c r="T20" s="212"/>
      <c r="U20" s="210">
        <v>0</v>
      </c>
      <c r="V20" s="188">
        <f t="shared" si="9"/>
        <v>72.09</v>
      </c>
      <c r="W20" s="3">
        <v>0</v>
      </c>
      <c r="X20" s="3">
        <v>0</v>
      </c>
      <c r="Y20" s="33">
        <v>72.09</v>
      </c>
      <c r="Z20" s="33">
        <v>306035.02620000002</v>
      </c>
      <c r="AA20" s="33">
        <f t="shared" si="0"/>
        <v>306035.02620000002</v>
      </c>
      <c r="AB20" s="128">
        <f t="shared" si="1"/>
        <v>23.584533260789655</v>
      </c>
      <c r="AC20" s="134">
        <v>0</v>
      </c>
      <c r="AD20" s="3">
        <v>0</v>
      </c>
      <c r="AE20" s="3">
        <v>400</v>
      </c>
      <c r="AF20" s="3">
        <v>12</v>
      </c>
      <c r="AG20" s="3">
        <f t="shared" si="2"/>
        <v>412</v>
      </c>
      <c r="AH20" s="3">
        <v>4335500</v>
      </c>
      <c r="AI20" s="43">
        <f t="shared" si="3"/>
        <v>334.11451369403261</v>
      </c>
      <c r="AJ20" s="142">
        <v>157.77999999999884</v>
      </c>
      <c r="AK20" s="3">
        <v>1325351.9999999902</v>
      </c>
      <c r="AL20" s="39">
        <f t="shared" si="4"/>
        <v>102.13800921541005</v>
      </c>
      <c r="AM20" s="7"/>
    </row>
    <row r="21" spans="1:39" x14ac:dyDescent="0.25">
      <c r="A21" s="35"/>
      <c r="B21" s="58">
        <v>10</v>
      </c>
      <c r="C21" s="149">
        <v>6</v>
      </c>
      <c r="D21" s="151">
        <v>40</v>
      </c>
      <c r="E21" s="106">
        <v>9959.9999999991269</v>
      </c>
      <c r="F21" s="3">
        <v>10316368.799999095</v>
      </c>
      <c r="G21" s="37">
        <v>1799.9999999997272</v>
      </c>
      <c r="H21" s="3">
        <v>2796605.9999995762</v>
      </c>
      <c r="I21" s="103">
        <f t="shared" si="5"/>
        <v>13112974.799998671</v>
      </c>
      <c r="J21" s="106">
        <v>1320.0000000006185</v>
      </c>
      <c r="K21" s="3">
        <v>1367229.6000006406</v>
      </c>
      <c r="L21" s="186">
        <v>280.00000000020009</v>
      </c>
      <c r="M21" s="187">
        <v>435027.60000031086</v>
      </c>
      <c r="N21" s="94">
        <f t="shared" si="6"/>
        <v>1802257.2000009515</v>
      </c>
      <c r="O21" s="108">
        <f t="shared" si="7"/>
        <v>14915231.999999622</v>
      </c>
      <c r="P21" s="111">
        <f t="shared" si="8"/>
        <v>13359.999999999673</v>
      </c>
      <c r="Q21" s="191"/>
      <c r="R21" s="202"/>
      <c r="S21" s="215"/>
      <c r="T21" s="212"/>
      <c r="U21" s="210">
        <v>0</v>
      </c>
      <c r="V21" s="188">
        <f t="shared" si="9"/>
        <v>126.38</v>
      </c>
      <c r="W21" s="3">
        <v>44.5</v>
      </c>
      <c r="X21" s="3">
        <v>799687.25</v>
      </c>
      <c r="Y21" s="33">
        <v>81.88</v>
      </c>
      <c r="Z21" s="33">
        <v>347595.33840000001</v>
      </c>
      <c r="AA21" s="33">
        <f t="shared" si="0"/>
        <v>1147282.5884</v>
      </c>
      <c r="AB21" s="128">
        <f t="shared" si="1"/>
        <v>88.415122613976934</v>
      </c>
      <c r="AC21" s="134">
        <v>0</v>
      </c>
      <c r="AD21" s="3">
        <v>0</v>
      </c>
      <c r="AE21" s="3">
        <v>0</v>
      </c>
      <c r="AF21" s="3">
        <v>36</v>
      </c>
      <c r="AG21" s="3">
        <f t="shared" si="2"/>
        <v>36</v>
      </c>
      <c r="AH21" s="3">
        <v>418500</v>
      </c>
      <c r="AI21" s="43">
        <f t="shared" si="3"/>
        <v>32.251625874974664</v>
      </c>
      <c r="AJ21" s="142">
        <v>43.220000000001164</v>
      </c>
      <c r="AK21" s="3">
        <v>363048.00000000978</v>
      </c>
      <c r="AL21" s="39">
        <f t="shared" si="4"/>
        <v>27.978227647928595</v>
      </c>
      <c r="AM21" s="7"/>
    </row>
    <row r="22" spans="1:39" x14ac:dyDescent="0.25">
      <c r="A22" s="35"/>
      <c r="B22" s="58">
        <v>11</v>
      </c>
      <c r="C22" s="149">
        <v>6</v>
      </c>
      <c r="D22" s="151">
        <v>35</v>
      </c>
      <c r="E22" s="106">
        <v>10200.000000000728</v>
      </c>
      <c r="F22" s="3">
        <v>10564956.000000753</v>
      </c>
      <c r="G22" s="37">
        <v>1760.0000000002183</v>
      </c>
      <c r="H22" s="3">
        <v>2734459.2000003392</v>
      </c>
      <c r="I22" s="103">
        <f t="shared" si="5"/>
        <v>13299415.200001091</v>
      </c>
      <c r="J22" s="106">
        <v>1279.9999999997453</v>
      </c>
      <c r="K22" s="3">
        <v>1325798.3999997361</v>
      </c>
      <c r="L22" s="186">
        <v>299.99999999995453</v>
      </c>
      <c r="M22" s="187">
        <v>466100.99999992939</v>
      </c>
      <c r="N22" s="94">
        <f t="shared" si="6"/>
        <v>1791899.3999996656</v>
      </c>
      <c r="O22" s="108">
        <f t="shared" si="7"/>
        <v>15091314.600000756</v>
      </c>
      <c r="P22" s="111">
        <f t="shared" si="8"/>
        <v>13540.000000000646</v>
      </c>
      <c r="Q22" s="191"/>
      <c r="R22" s="202"/>
      <c r="S22" s="215"/>
      <c r="T22" s="212"/>
      <c r="U22" s="210">
        <v>0</v>
      </c>
      <c r="V22" s="188">
        <f t="shared" si="9"/>
        <v>93.449999999999989</v>
      </c>
      <c r="W22" s="3">
        <v>11.57</v>
      </c>
      <c r="X22" s="3">
        <v>207918.685</v>
      </c>
      <c r="Y22" s="33">
        <v>81.88</v>
      </c>
      <c r="Z22" s="33">
        <v>347595.33840000001</v>
      </c>
      <c r="AA22" s="33">
        <f t="shared" si="0"/>
        <v>555514.02340000006</v>
      </c>
      <c r="AB22" s="128">
        <f t="shared" si="1"/>
        <v>42.810586501789061</v>
      </c>
      <c r="AC22" s="134">
        <v>0</v>
      </c>
      <c r="AD22" s="3">
        <v>0</v>
      </c>
      <c r="AE22" s="3">
        <v>0</v>
      </c>
      <c r="AF22" s="3">
        <v>0</v>
      </c>
      <c r="AG22" s="3">
        <f t="shared" si="2"/>
        <v>0</v>
      </c>
      <c r="AH22" s="3">
        <v>0</v>
      </c>
      <c r="AI22" s="43">
        <f t="shared" si="3"/>
        <v>0</v>
      </c>
      <c r="AJ22" s="142">
        <v>110.13999999999942</v>
      </c>
      <c r="AK22" s="3">
        <v>925175.99999999511</v>
      </c>
      <c r="AL22" s="39">
        <f t="shared" si="4"/>
        <v>71.298519045413144</v>
      </c>
      <c r="AM22" s="7"/>
    </row>
    <row r="23" spans="1:39" x14ac:dyDescent="0.25">
      <c r="A23" s="35"/>
      <c r="B23" s="58">
        <v>12</v>
      </c>
      <c r="C23" s="149">
        <v>0</v>
      </c>
      <c r="D23" s="151">
        <v>75</v>
      </c>
      <c r="E23" s="106">
        <v>10279.999999998836</v>
      </c>
      <c r="F23" s="3">
        <v>10647818.399998793</v>
      </c>
      <c r="G23" s="37">
        <v>1759.9999999997635</v>
      </c>
      <c r="H23" s="3">
        <v>2734459.1999996328</v>
      </c>
      <c r="I23" s="103">
        <f t="shared" si="5"/>
        <v>13382277.599998426</v>
      </c>
      <c r="J23" s="106">
        <v>1279.9999999997453</v>
      </c>
      <c r="K23" s="3">
        <v>1325798.3999997361</v>
      </c>
      <c r="L23" s="186">
        <v>279.99999999997272</v>
      </c>
      <c r="M23" s="187">
        <v>435027.5999999576</v>
      </c>
      <c r="N23" s="94">
        <f t="shared" si="6"/>
        <v>1760825.9999996936</v>
      </c>
      <c r="O23" s="108">
        <f t="shared" si="7"/>
        <v>15143103.59999812</v>
      </c>
      <c r="P23" s="111">
        <f t="shared" si="8"/>
        <v>13599.999999998317</v>
      </c>
      <c r="Q23" s="191"/>
      <c r="R23" s="202"/>
      <c r="S23" s="215"/>
      <c r="T23" s="212"/>
      <c r="U23" s="210">
        <v>0</v>
      </c>
      <c r="V23" s="188">
        <f t="shared" si="9"/>
        <v>128.16</v>
      </c>
      <c r="W23" s="3">
        <v>44.5</v>
      </c>
      <c r="X23" s="3">
        <v>799687.25</v>
      </c>
      <c r="Y23" s="33">
        <v>83.66</v>
      </c>
      <c r="Z23" s="33">
        <v>355151.75880000001</v>
      </c>
      <c r="AA23" s="33">
        <f t="shared" si="0"/>
        <v>1154839.0088</v>
      </c>
      <c r="AB23" s="128">
        <f t="shared" si="1"/>
        <v>88.997456768564334</v>
      </c>
      <c r="AC23" s="134">
        <v>0</v>
      </c>
      <c r="AD23" s="3">
        <v>0</v>
      </c>
      <c r="AE23" s="3">
        <v>0</v>
      </c>
      <c r="AF23" s="3">
        <v>0</v>
      </c>
      <c r="AG23" s="3">
        <f t="shared" si="2"/>
        <v>0</v>
      </c>
      <c r="AH23" s="3">
        <v>0</v>
      </c>
      <c r="AI23" s="43">
        <f t="shared" si="3"/>
        <v>0</v>
      </c>
      <c r="AJ23" s="142">
        <v>176.19000000000233</v>
      </c>
      <c r="AK23" s="3">
        <v>1479996.0000000196</v>
      </c>
      <c r="AL23" s="39">
        <f t="shared" si="4"/>
        <v>114.05562076095492</v>
      </c>
      <c r="AM23" s="7"/>
    </row>
    <row r="24" spans="1:39" x14ac:dyDescent="0.25">
      <c r="A24" s="35"/>
      <c r="B24" s="58">
        <v>13</v>
      </c>
      <c r="C24" s="149">
        <v>0</v>
      </c>
      <c r="D24" s="151">
        <v>80</v>
      </c>
      <c r="E24" s="106">
        <v>9079.9999999999272</v>
      </c>
      <c r="F24" s="3">
        <v>9404882.399999924</v>
      </c>
      <c r="G24" s="37">
        <v>1640.0000000003274</v>
      </c>
      <c r="H24" s="3">
        <v>2548018.8000005088</v>
      </c>
      <c r="I24" s="103">
        <f t="shared" si="5"/>
        <v>11952901.200000433</v>
      </c>
      <c r="J24" s="106">
        <v>1300.0000000001819</v>
      </c>
      <c r="K24" s="3">
        <v>1346514.0000001884</v>
      </c>
      <c r="L24" s="186">
        <v>299.99999999995453</v>
      </c>
      <c r="M24" s="187">
        <v>466100.99999992939</v>
      </c>
      <c r="N24" s="94">
        <f t="shared" si="6"/>
        <v>1812615.0000001178</v>
      </c>
      <c r="O24" s="108">
        <f t="shared" si="7"/>
        <v>13765516.200000551</v>
      </c>
      <c r="P24" s="111">
        <f t="shared" si="8"/>
        <v>12320.000000000391</v>
      </c>
      <c r="Q24" s="191"/>
      <c r="R24" s="202"/>
      <c r="S24" s="215"/>
      <c r="T24" s="212"/>
      <c r="U24" s="210">
        <v>0</v>
      </c>
      <c r="V24" s="188">
        <f>Y24+W24</f>
        <v>132.60999999999999</v>
      </c>
      <c r="W24" s="3">
        <v>52.51</v>
      </c>
      <c r="X24" s="3">
        <v>943630.95499999996</v>
      </c>
      <c r="Y24" s="33">
        <v>80.099999999999994</v>
      </c>
      <c r="Z24" s="33">
        <v>340038.91800000001</v>
      </c>
      <c r="AA24" s="33">
        <f t="shared" si="0"/>
        <v>1283669.8729999999</v>
      </c>
      <c r="AB24" s="128">
        <f t="shared" si="1"/>
        <v>98.925783729921719</v>
      </c>
      <c r="AC24" s="134">
        <v>0</v>
      </c>
      <c r="AD24" s="3">
        <v>0</v>
      </c>
      <c r="AE24" s="3">
        <v>400</v>
      </c>
      <c r="AF24" s="3">
        <v>12</v>
      </c>
      <c r="AG24" s="3">
        <f t="shared" si="2"/>
        <v>412</v>
      </c>
      <c r="AH24" s="3">
        <v>4335500</v>
      </c>
      <c r="AI24" s="43">
        <f t="shared" si="3"/>
        <v>334.11451369403261</v>
      </c>
      <c r="AJ24" s="142">
        <v>101.83999999998196</v>
      </c>
      <c r="AK24" s="3">
        <v>855455.99999984843</v>
      </c>
      <c r="AL24" s="39">
        <f t="shared" si="4"/>
        <v>65.925560010746565</v>
      </c>
      <c r="AM24" s="7"/>
    </row>
    <row r="25" spans="1:39" x14ac:dyDescent="0.25">
      <c r="A25" s="35"/>
      <c r="B25" s="58">
        <v>14</v>
      </c>
      <c r="C25" s="149">
        <v>1</v>
      </c>
      <c r="D25" s="151">
        <v>25</v>
      </c>
      <c r="E25" s="106">
        <v>9880.0000000010186</v>
      </c>
      <c r="F25" s="3">
        <v>10233506.400001055</v>
      </c>
      <c r="G25" s="37">
        <v>1960.0000000000364</v>
      </c>
      <c r="H25" s="3">
        <v>3045193.2000000565</v>
      </c>
      <c r="I25" s="103">
        <f t="shared" si="5"/>
        <v>13278699.600001112</v>
      </c>
      <c r="J25" s="106">
        <v>779.99999999974534</v>
      </c>
      <c r="K25" s="3">
        <v>807908.39999973623</v>
      </c>
      <c r="L25" s="186">
        <v>0</v>
      </c>
      <c r="M25" s="187">
        <v>0</v>
      </c>
      <c r="N25" s="94">
        <f t="shared" si="6"/>
        <v>807908.39999973623</v>
      </c>
      <c r="O25" s="108">
        <f t="shared" si="7"/>
        <v>14086608.000000848</v>
      </c>
      <c r="P25" s="111">
        <f t="shared" si="8"/>
        <v>12620.0000000008</v>
      </c>
      <c r="Q25" s="191"/>
      <c r="R25" s="202"/>
      <c r="S25" s="215"/>
      <c r="T25" s="212"/>
      <c r="U25" s="210">
        <v>0</v>
      </c>
      <c r="V25" s="188">
        <f t="shared" si="9"/>
        <v>145.07</v>
      </c>
      <c r="W25" s="3">
        <v>49.84</v>
      </c>
      <c r="X25" s="3">
        <v>895649.72000000009</v>
      </c>
      <c r="Y25" s="33">
        <v>95.23</v>
      </c>
      <c r="Z25" s="33">
        <v>404268.49140000006</v>
      </c>
      <c r="AA25" s="33">
        <f t="shared" si="0"/>
        <v>1299918.2114000001</v>
      </c>
      <c r="AB25" s="128">
        <f t="shared" si="1"/>
        <v>100.17795895373723</v>
      </c>
      <c r="AC25" s="134">
        <v>0</v>
      </c>
      <c r="AD25" s="3">
        <v>0</v>
      </c>
      <c r="AE25" s="3">
        <v>0</v>
      </c>
      <c r="AF25" s="3">
        <v>12</v>
      </c>
      <c r="AG25" s="3">
        <f t="shared" si="2"/>
        <v>12</v>
      </c>
      <c r="AH25" s="3">
        <v>139500</v>
      </c>
      <c r="AI25" s="43">
        <f t="shared" si="3"/>
        <v>10.750541958324888</v>
      </c>
      <c r="AJ25" s="142">
        <v>577.95000000001164</v>
      </c>
      <c r="AK25" s="3">
        <v>4854780.0000000978</v>
      </c>
      <c r="AL25" s="39">
        <f t="shared" si="4"/>
        <v>374.13273181675663</v>
      </c>
      <c r="AM25" s="7"/>
    </row>
    <row r="26" spans="1:39" x14ac:dyDescent="0.25">
      <c r="A26" s="35"/>
      <c r="B26" s="58">
        <v>15</v>
      </c>
      <c r="C26" s="149">
        <v>2</v>
      </c>
      <c r="D26" s="151">
        <v>41</v>
      </c>
      <c r="E26" s="106">
        <v>9680.000000000291</v>
      </c>
      <c r="F26" s="3">
        <v>10026350.4000003</v>
      </c>
      <c r="G26" s="37">
        <v>1719.9999999997999</v>
      </c>
      <c r="H26" s="3">
        <v>2672312.3999996893</v>
      </c>
      <c r="I26" s="103">
        <f t="shared" si="5"/>
        <v>12698662.79999999</v>
      </c>
      <c r="J26" s="106">
        <v>1260.0000000002183</v>
      </c>
      <c r="K26" s="3">
        <v>1305082.8000002261</v>
      </c>
      <c r="L26" s="186">
        <v>259.99999999999091</v>
      </c>
      <c r="M26" s="187">
        <v>403954.19999998587</v>
      </c>
      <c r="N26" s="94">
        <f t="shared" si="6"/>
        <v>1709037.0000002119</v>
      </c>
      <c r="O26" s="108">
        <f t="shared" si="7"/>
        <v>14407699.800000202</v>
      </c>
      <c r="P26" s="111">
        <f t="shared" si="8"/>
        <v>12920.0000000003</v>
      </c>
      <c r="Q26" s="191"/>
      <c r="R26" s="202"/>
      <c r="S26" s="215"/>
      <c r="T26" s="212"/>
      <c r="U26" s="210">
        <v>0</v>
      </c>
      <c r="V26" s="188">
        <f t="shared" si="9"/>
        <v>138.84</v>
      </c>
      <c r="W26" s="3">
        <v>52.51</v>
      </c>
      <c r="X26" s="3">
        <v>943630.95499999996</v>
      </c>
      <c r="Y26" s="33">
        <v>86.33</v>
      </c>
      <c r="Z26" s="33">
        <v>366486.38940000004</v>
      </c>
      <c r="AA26" s="33">
        <f t="shared" si="0"/>
        <v>1310117.3444000001</v>
      </c>
      <c r="AB26" s="128">
        <f t="shared" si="1"/>
        <v>100.96395327097763</v>
      </c>
      <c r="AC26" s="134">
        <v>0</v>
      </c>
      <c r="AD26" s="3">
        <v>0</v>
      </c>
      <c r="AE26" s="3">
        <v>0</v>
      </c>
      <c r="AF26" s="3">
        <v>0</v>
      </c>
      <c r="AG26" s="3">
        <f t="shared" si="2"/>
        <v>0</v>
      </c>
      <c r="AH26" s="3">
        <v>0</v>
      </c>
      <c r="AI26" s="43">
        <f t="shared" si="3"/>
        <v>0</v>
      </c>
      <c r="AJ26" s="142">
        <v>89.079999999987194</v>
      </c>
      <c r="AK26" s="3">
        <v>748271.99999989243</v>
      </c>
      <c r="AL26" s="39">
        <f t="shared" si="4"/>
        <v>57.665444675544975</v>
      </c>
      <c r="AM26" s="7"/>
    </row>
    <row r="27" spans="1:39" x14ac:dyDescent="0.25">
      <c r="A27" s="35"/>
      <c r="B27" s="58">
        <v>16</v>
      </c>
      <c r="C27" s="149">
        <v>1</v>
      </c>
      <c r="D27" s="151">
        <v>76</v>
      </c>
      <c r="E27" s="106">
        <v>9599.9999999985448</v>
      </c>
      <c r="F27" s="3">
        <v>9943487.9999984931</v>
      </c>
      <c r="G27" s="37">
        <v>1679.9999999998363</v>
      </c>
      <c r="H27" s="3">
        <v>2610165.5999997458</v>
      </c>
      <c r="I27" s="103">
        <f t="shared" si="5"/>
        <v>12553653.599998239</v>
      </c>
      <c r="J27" s="106">
        <v>1220.0000000002547</v>
      </c>
      <c r="K27" s="3">
        <v>1263651.6000002637</v>
      </c>
      <c r="L27" s="186">
        <v>259.99999999999091</v>
      </c>
      <c r="M27" s="187">
        <v>403954.19999998587</v>
      </c>
      <c r="N27" s="94">
        <f t="shared" si="6"/>
        <v>1667605.8000002494</v>
      </c>
      <c r="O27" s="108">
        <f t="shared" si="7"/>
        <v>14221259.39999849</v>
      </c>
      <c r="P27" s="111">
        <f t="shared" si="8"/>
        <v>12759.999999998627</v>
      </c>
      <c r="Q27" s="191"/>
      <c r="R27" s="202"/>
      <c r="S27" s="215"/>
      <c r="T27" s="212"/>
      <c r="U27" s="210">
        <v>0</v>
      </c>
      <c r="V27" s="188">
        <f t="shared" si="9"/>
        <v>107.69</v>
      </c>
      <c r="W27" s="3">
        <v>19.580000000000002</v>
      </c>
      <c r="X27" s="3">
        <v>351862.39</v>
      </c>
      <c r="Y27" s="33">
        <v>88.11</v>
      </c>
      <c r="Z27" s="33">
        <v>374042.80980000005</v>
      </c>
      <c r="AA27" s="33">
        <f t="shared" si="0"/>
        <v>725905.19980000006</v>
      </c>
      <c r="AB27" s="128">
        <f t="shared" si="1"/>
        <v>55.941751313377146</v>
      </c>
      <c r="AC27" s="134">
        <v>0</v>
      </c>
      <c r="AD27" s="3">
        <v>0</v>
      </c>
      <c r="AE27" s="3">
        <v>0</v>
      </c>
      <c r="AF27" s="3">
        <v>0</v>
      </c>
      <c r="AG27" s="3">
        <f t="shared" si="2"/>
        <v>0</v>
      </c>
      <c r="AH27" s="3">
        <v>0</v>
      </c>
      <c r="AI27" s="43">
        <f t="shared" si="3"/>
        <v>0</v>
      </c>
      <c r="AJ27" s="142">
        <v>238.4999999999709</v>
      </c>
      <c r="AK27" s="3">
        <v>2003399.9999997555</v>
      </c>
      <c r="AL27" s="39">
        <f t="shared" si="4"/>
        <v>154.39165418856956</v>
      </c>
      <c r="AM27" s="7"/>
    </row>
    <row r="28" spans="1:39" x14ac:dyDescent="0.25">
      <c r="A28" s="35"/>
      <c r="B28" s="58">
        <v>17</v>
      </c>
      <c r="C28" s="149">
        <v>2</v>
      </c>
      <c r="D28" s="151">
        <v>44</v>
      </c>
      <c r="E28" s="106">
        <v>9600.0000000003638</v>
      </c>
      <c r="F28" s="3">
        <v>9943488.0000003763</v>
      </c>
      <c r="G28" s="37">
        <v>1720.0000000002547</v>
      </c>
      <c r="H28" s="3">
        <v>2672312.4000003957</v>
      </c>
      <c r="I28" s="103">
        <f t="shared" si="5"/>
        <v>12615800.400000772</v>
      </c>
      <c r="J28" s="106">
        <v>1220.0000000002547</v>
      </c>
      <c r="K28" s="3">
        <v>1263651.6000002637</v>
      </c>
      <c r="L28" s="186">
        <v>279.99999999997272</v>
      </c>
      <c r="M28" s="187">
        <v>435027.5999999576</v>
      </c>
      <c r="N28" s="94">
        <f t="shared" si="6"/>
        <v>1698679.2000002214</v>
      </c>
      <c r="O28" s="108">
        <f t="shared" si="7"/>
        <v>14314479.600000992</v>
      </c>
      <c r="P28" s="111">
        <f t="shared" si="8"/>
        <v>12820.000000000846</v>
      </c>
      <c r="Q28" s="191"/>
      <c r="R28" s="204"/>
      <c r="S28" s="215"/>
      <c r="T28" s="212"/>
      <c r="U28" s="210">
        <v>0</v>
      </c>
      <c r="V28" s="188">
        <f t="shared" si="9"/>
        <v>124.6</v>
      </c>
      <c r="W28" s="3">
        <v>37.380000000000003</v>
      </c>
      <c r="X28" s="3">
        <v>671737.29</v>
      </c>
      <c r="Y28" s="33">
        <v>87.22</v>
      </c>
      <c r="Z28" s="33">
        <v>370264.59960000002</v>
      </c>
      <c r="AA28" s="33">
        <f t="shared" si="0"/>
        <v>1042001.8896000001</v>
      </c>
      <c r="AB28" s="128">
        <f t="shared" si="1"/>
        <v>80.30168483726608</v>
      </c>
      <c r="AC28" s="134">
        <v>0</v>
      </c>
      <c r="AD28" s="3">
        <v>0</v>
      </c>
      <c r="AE28" s="3">
        <v>350</v>
      </c>
      <c r="AF28" s="3">
        <v>0</v>
      </c>
      <c r="AG28" s="3">
        <f t="shared" si="2"/>
        <v>350</v>
      </c>
      <c r="AH28" s="3">
        <v>3671500</v>
      </c>
      <c r="AI28" s="43">
        <f t="shared" si="3"/>
        <v>282.94347526874429</v>
      </c>
      <c r="AJ28" s="142">
        <v>95.780000000013388</v>
      </c>
      <c r="AK28" s="3">
        <v>804552.00000011246</v>
      </c>
      <c r="AL28" s="39">
        <f t="shared" si="4"/>
        <v>62.002652571006557</v>
      </c>
      <c r="AM28" s="7"/>
    </row>
    <row r="29" spans="1:39" x14ac:dyDescent="0.25">
      <c r="A29" s="35"/>
      <c r="B29" s="58">
        <v>18</v>
      </c>
      <c r="C29" s="149">
        <v>3</v>
      </c>
      <c r="D29" s="151">
        <v>77</v>
      </c>
      <c r="E29" s="106">
        <v>10479.999999999563</v>
      </c>
      <c r="F29" s="3">
        <v>10854974.399999548</v>
      </c>
      <c r="G29" s="37">
        <v>1759.9999999997635</v>
      </c>
      <c r="H29" s="3">
        <v>2734459.1999996328</v>
      </c>
      <c r="I29" s="103">
        <f t="shared" si="5"/>
        <v>13589433.59999918</v>
      </c>
      <c r="J29" s="106">
        <v>1359.9999999996726</v>
      </c>
      <c r="K29" s="3">
        <v>1408660.7999996608</v>
      </c>
      <c r="L29" s="186">
        <v>299.99999999995453</v>
      </c>
      <c r="M29" s="187">
        <v>466100.99999992939</v>
      </c>
      <c r="N29" s="94">
        <f t="shared" si="6"/>
        <v>1874761.7999995903</v>
      </c>
      <c r="O29" s="108">
        <f t="shared" si="7"/>
        <v>15464195.399998771</v>
      </c>
      <c r="P29" s="111">
        <f t="shared" si="8"/>
        <v>13899.999999998954</v>
      </c>
      <c r="Q29" s="192"/>
      <c r="R29" s="205"/>
      <c r="S29" s="215"/>
      <c r="T29" s="212"/>
      <c r="U29" s="210">
        <v>0</v>
      </c>
      <c r="V29" s="188">
        <f t="shared" si="9"/>
        <v>116.59</v>
      </c>
      <c r="W29" s="3">
        <v>35.6</v>
      </c>
      <c r="X29" s="3">
        <v>639749.80000000005</v>
      </c>
      <c r="Y29" s="33">
        <v>80.989999999999995</v>
      </c>
      <c r="Z29" s="33">
        <v>343817.12819999998</v>
      </c>
      <c r="AA29" s="33">
        <f t="shared" si="0"/>
        <v>983566.92819999997</v>
      </c>
      <c r="AB29" s="128">
        <f t="shared" si="1"/>
        <v>75.798405236091909</v>
      </c>
      <c r="AC29" s="134">
        <v>0</v>
      </c>
      <c r="AD29" s="3">
        <v>0</v>
      </c>
      <c r="AE29" s="3">
        <v>0</v>
      </c>
      <c r="AF29" s="3">
        <v>0</v>
      </c>
      <c r="AG29" s="3">
        <f t="shared" si="2"/>
        <v>0</v>
      </c>
      <c r="AH29" s="3">
        <v>0</v>
      </c>
      <c r="AI29" s="43">
        <f t="shared" si="3"/>
        <v>0</v>
      </c>
      <c r="AJ29" s="142">
        <v>252.64999999999418</v>
      </c>
      <c r="AK29" s="3">
        <v>2122259.9999999511</v>
      </c>
      <c r="AL29" s="39">
        <f t="shared" si="4"/>
        <v>163.55157832597885</v>
      </c>
      <c r="AM29" s="7"/>
    </row>
    <row r="30" spans="1:39" x14ac:dyDescent="0.25">
      <c r="A30" s="35"/>
      <c r="B30" s="58">
        <v>19</v>
      </c>
      <c r="C30" s="149">
        <v>3</v>
      </c>
      <c r="D30" s="151">
        <v>87</v>
      </c>
      <c r="E30" s="106">
        <v>10120.0000000008</v>
      </c>
      <c r="F30" s="3">
        <v>10482093.600000829</v>
      </c>
      <c r="G30" s="37">
        <v>1800.0000000001819</v>
      </c>
      <c r="H30" s="3">
        <v>2796606.0000002827</v>
      </c>
      <c r="I30" s="103">
        <f t="shared" si="5"/>
        <v>13278699.600001112</v>
      </c>
      <c r="J30" s="106">
        <v>1319.999999999709</v>
      </c>
      <c r="K30" s="3">
        <v>1367229.5999996986</v>
      </c>
      <c r="L30" s="186">
        <v>280.00000000020009</v>
      </c>
      <c r="M30" s="187">
        <v>435027.60000031086</v>
      </c>
      <c r="N30" s="94">
        <f t="shared" si="6"/>
        <v>1802257.2000000095</v>
      </c>
      <c r="O30" s="108">
        <f t="shared" si="7"/>
        <v>15080956.800001122</v>
      </c>
      <c r="P30" s="111">
        <f t="shared" si="8"/>
        <v>13520.000000000891</v>
      </c>
      <c r="Q30" s="191"/>
      <c r="R30" s="191"/>
      <c r="S30" s="215"/>
      <c r="T30" s="212"/>
      <c r="U30" s="210">
        <v>0</v>
      </c>
      <c r="V30" s="188">
        <f t="shared" si="9"/>
        <v>83.66</v>
      </c>
      <c r="W30" s="3">
        <v>0</v>
      </c>
      <c r="X30" s="3">
        <v>0</v>
      </c>
      <c r="Y30" s="33">
        <v>83.66</v>
      </c>
      <c r="Z30" s="33">
        <v>355151.75880000001</v>
      </c>
      <c r="AA30" s="33">
        <f t="shared" si="0"/>
        <v>355151.75880000001</v>
      </c>
      <c r="AB30" s="128">
        <f t="shared" si="1"/>
        <v>27.369705265607745</v>
      </c>
      <c r="AC30" s="134">
        <v>0</v>
      </c>
      <c r="AD30" s="3">
        <v>0</v>
      </c>
      <c r="AE30" s="3">
        <v>0</v>
      </c>
      <c r="AF30" s="3">
        <v>12</v>
      </c>
      <c r="AG30" s="3">
        <f t="shared" si="2"/>
        <v>12</v>
      </c>
      <c r="AH30" s="3">
        <v>139500</v>
      </c>
      <c r="AI30" s="43">
        <f t="shared" si="3"/>
        <v>10.750541958324888</v>
      </c>
      <c r="AJ30" s="142">
        <v>239.04000000000815</v>
      </c>
      <c r="AK30" s="3">
        <v>2007936.0000000685</v>
      </c>
      <c r="AL30" s="39">
        <f t="shared" si="4"/>
        <v>154.74122019807726</v>
      </c>
      <c r="AM30" s="7"/>
    </row>
    <row r="31" spans="1:39" x14ac:dyDescent="0.25">
      <c r="A31" s="35"/>
      <c r="B31" s="58">
        <v>20</v>
      </c>
      <c r="C31" s="149">
        <v>6</v>
      </c>
      <c r="D31" s="151">
        <v>70</v>
      </c>
      <c r="E31" s="106">
        <v>9639.9999999994179</v>
      </c>
      <c r="F31" s="3">
        <v>9984919.1999993976</v>
      </c>
      <c r="G31" s="37">
        <v>1800.0000000001819</v>
      </c>
      <c r="H31" s="3">
        <v>2796606.0000002827</v>
      </c>
      <c r="I31" s="103">
        <f t="shared" si="5"/>
        <v>12781525.199999681</v>
      </c>
      <c r="J31" s="106">
        <v>1260.0000000002183</v>
      </c>
      <c r="K31" s="3">
        <v>1305082.8000002261</v>
      </c>
      <c r="L31" s="186">
        <v>259.99999999999091</v>
      </c>
      <c r="M31" s="187">
        <v>403954.19999998587</v>
      </c>
      <c r="N31" s="94">
        <f t="shared" si="6"/>
        <v>1709037.0000002119</v>
      </c>
      <c r="O31" s="108">
        <f t="shared" si="7"/>
        <v>14490562.199999893</v>
      </c>
      <c r="P31" s="111">
        <f t="shared" si="8"/>
        <v>12959.999999999809</v>
      </c>
      <c r="Q31" s="192"/>
      <c r="R31" s="192"/>
      <c r="S31" s="215"/>
      <c r="T31" s="212"/>
      <c r="U31" s="210">
        <v>0</v>
      </c>
      <c r="V31" s="188">
        <f t="shared" si="9"/>
        <v>120.14999999999999</v>
      </c>
      <c r="W31" s="3">
        <v>40.049999999999997</v>
      </c>
      <c r="X31" s="3">
        <v>719718.52499999991</v>
      </c>
      <c r="Y31" s="33">
        <v>80.099999999999994</v>
      </c>
      <c r="Z31" s="33">
        <v>340038.91800000001</v>
      </c>
      <c r="AA31" s="33">
        <f t="shared" si="0"/>
        <v>1059757.443</v>
      </c>
      <c r="AB31" s="128">
        <f t="shared" si="1"/>
        <v>81.670013309093875</v>
      </c>
      <c r="AC31" s="134">
        <v>0</v>
      </c>
      <c r="AD31" s="3">
        <v>0</v>
      </c>
      <c r="AE31" s="3">
        <v>0</v>
      </c>
      <c r="AF31" s="3">
        <v>12</v>
      </c>
      <c r="AG31" s="3">
        <f t="shared" si="2"/>
        <v>12</v>
      </c>
      <c r="AH31" s="3">
        <v>139500</v>
      </c>
      <c r="AI31" s="43">
        <f t="shared" si="3"/>
        <v>10.750541958324888</v>
      </c>
      <c r="AJ31" s="142">
        <v>229.66999999999825</v>
      </c>
      <c r="AK31" s="3">
        <v>1929227.9999999853</v>
      </c>
      <c r="AL31" s="39">
        <f t="shared" si="4"/>
        <v>148.67560258906846</v>
      </c>
      <c r="AM31" s="7"/>
    </row>
    <row r="32" spans="1:39" x14ac:dyDescent="0.25">
      <c r="A32" s="35"/>
      <c r="B32" s="58">
        <v>21</v>
      </c>
      <c r="C32" s="149">
        <v>5</v>
      </c>
      <c r="D32" s="151">
        <v>45</v>
      </c>
      <c r="E32" s="106">
        <v>10480.000000001382</v>
      </c>
      <c r="F32" s="3">
        <v>10854974.400001431</v>
      </c>
      <c r="G32" s="37">
        <v>1879.9999999996544</v>
      </c>
      <c r="H32" s="3">
        <v>2920899.5999994632</v>
      </c>
      <c r="I32" s="103">
        <f t="shared" si="5"/>
        <v>13775874.000000894</v>
      </c>
      <c r="J32" s="106">
        <v>1359.9999999996726</v>
      </c>
      <c r="K32" s="3">
        <v>1408660.7999996608</v>
      </c>
      <c r="L32" s="186">
        <v>279.99999999997272</v>
      </c>
      <c r="M32" s="187">
        <v>435027.5999999576</v>
      </c>
      <c r="N32" s="94">
        <f>+K32+M32</f>
        <v>1843688.3999996185</v>
      </c>
      <c r="O32" s="108">
        <f t="shared" si="7"/>
        <v>15619562.400000513</v>
      </c>
      <c r="P32" s="111">
        <f t="shared" si="8"/>
        <v>14000.000000000682</v>
      </c>
      <c r="Q32" s="191"/>
      <c r="R32" s="203"/>
      <c r="S32" s="215"/>
      <c r="T32" s="212"/>
      <c r="U32" s="210">
        <v>0</v>
      </c>
      <c r="V32" s="188">
        <f t="shared" si="9"/>
        <v>143.29</v>
      </c>
      <c r="W32" s="3">
        <v>56.07</v>
      </c>
      <c r="X32" s="3">
        <v>1007605.9350000001</v>
      </c>
      <c r="Y32" s="33">
        <v>87.22</v>
      </c>
      <c r="Z32" s="33">
        <v>370264.59960000002</v>
      </c>
      <c r="AA32" s="33">
        <f t="shared" si="0"/>
        <v>1377870.5346000001</v>
      </c>
      <c r="AB32" s="128">
        <f t="shared" si="1"/>
        <v>106.18534046850786</v>
      </c>
      <c r="AC32" s="134">
        <v>0</v>
      </c>
      <c r="AD32" s="3">
        <v>0</v>
      </c>
      <c r="AE32" s="3">
        <v>0</v>
      </c>
      <c r="AF32" s="3">
        <v>12</v>
      </c>
      <c r="AG32" s="3">
        <f t="shared" ref="AG32:AG40" si="10">+AE32+AF32</f>
        <v>12</v>
      </c>
      <c r="AH32" s="3">
        <v>139500</v>
      </c>
      <c r="AI32" s="43">
        <f t="shared" si="3"/>
        <v>10.750541958324888</v>
      </c>
      <c r="AJ32" s="142">
        <v>166.13999999999942</v>
      </c>
      <c r="AK32" s="3">
        <v>1395575.9999999951</v>
      </c>
      <c r="AL32" s="39">
        <f t="shared" si="4"/>
        <v>107.54980891778611</v>
      </c>
      <c r="AM32" s="7"/>
    </row>
    <row r="33" spans="1:39" x14ac:dyDescent="0.25">
      <c r="A33" s="35"/>
      <c r="B33" s="58">
        <v>22</v>
      </c>
      <c r="C33" s="149">
        <v>6</v>
      </c>
      <c r="D33" s="151">
        <v>35</v>
      </c>
      <c r="E33" s="106">
        <v>10839.999999998327</v>
      </c>
      <c r="F33" s="3">
        <v>11227855.199998267</v>
      </c>
      <c r="G33" s="37">
        <v>2000</v>
      </c>
      <c r="H33" s="3">
        <v>3107340</v>
      </c>
      <c r="I33" s="103">
        <f t="shared" si="5"/>
        <v>14335195.199998267</v>
      </c>
      <c r="J33" s="106">
        <v>1300.0000000001819</v>
      </c>
      <c r="K33" s="3">
        <v>1346514.0000001884</v>
      </c>
      <c r="L33" s="186">
        <v>279.99999999997272</v>
      </c>
      <c r="M33" s="187">
        <v>435027.5999999576</v>
      </c>
      <c r="N33" s="94">
        <f t="shared" si="6"/>
        <v>1781541.6000001458</v>
      </c>
      <c r="O33" s="108">
        <f t="shared" si="7"/>
        <v>16116736.799998414</v>
      </c>
      <c r="P33" s="111">
        <f t="shared" si="8"/>
        <v>14419.999999998481</v>
      </c>
      <c r="Q33" s="191"/>
      <c r="R33" s="204"/>
      <c r="S33" s="215"/>
      <c r="T33" s="212"/>
      <c r="U33" s="210">
        <v>0</v>
      </c>
      <c r="V33" s="188">
        <f t="shared" si="9"/>
        <v>145.96</v>
      </c>
      <c r="W33" s="3">
        <v>67.64</v>
      </c>
      <c r="X33" s="3">
        <v>1215524.6200000001</v>
      </c>
      <c r="Y33" s="33">
        <v>78.320000000000007</v>
      </c>
      <c r="Z33" s="33">
        <v>332482.49760000006</v>
      </c>
      <c r="AA33" s="33">
        <f t="shared" si="0"/>
        <v>1548007.1176000002</v>
      </c>
      <c r="AB33" s="128">
        <f t="shared" si="1"/>
        <v>119.29688508633959</v>
      </c>
      <c r="AC33" s="134">
        <v>0</v>
      </c>
      <c r="AD33" s="3">
        <v>0</v>
      </c>
      <c r="AE33" s="3">
        <v>0</v>
      </c>
      <c r="AF33" s="3">
        <v>0</v>
      </c>
      <c r="AG33" s="3">
        <f t="shared" si="10"/>
        <v>0</v>
      </c>
      <c r="AH33" s="3">
        <v>0</v>
      </c>
      <c r="AI33" s="43">
        <f t="shared" si="3"/>
        <v>0</v>
      </c>
      <c r="AJ33" s="142">
        <v>149.72999999999593</v>
      </c>
      <c r="AK33" s="3">
        <v>1257731.9999999658</v>
      </c>
      <c r="AL33" s="39">
        <f t="shared" si="4"/>
        <v>96.926886296254551</v>
      </c>
      <c r="AM33" s="7"/>
    </row>
    <row r="34" spans="1:39" x14ac:dyDescent="0.25">
      <c r="A34" s="35"/>
      <c r="B34" s="58">
        <v>23</v>
      </c>
      <c r="C34" s="149">
        <v>5</v>
      </c>
      <c r="D34" s="151">
        <v>58</v>
      </c>
      <c r="E34" s="106">
        <v>10120.0000000008</v>
      </c>
      <c r="F34" s="3">
        <v>10482093.600000829</v>
      </c>
      <c r="G34" s="37">
        <v>1760.0000000002183</v>
      </c>
      <c r="H34" s="3">
        <v>2734459.2000003392</v>
      </c>
      <c r="I34" s="103">
        <f t="shared" si="5"/>
        <v>13216552.800001167</v>
      </c>
      <c r="J34" s="106">
        <v>1260.0000000002183</v>
      </c>
      <c r="K34" s="3">
        <v>1305082.8000002261</v>
      </c>
      <c r="L34" s="186">
        <v>279.99999999997272</v>
      </c>
      <c r="M34" s="187">
        <v>435027.5999999576</v>
      </c>
      <c r="N34" s="94">
        <f t="shared" si="6"/>
        <v>1740110.4000001838</v>
      </c>
      <c r="O34" s="108">
        <f t="shared" si="7"/>
        <v>14956663.200001352</v>
      </c>
      <c r="P34" s="111">
        <f t="shared" si="8"/>
        <v>13420.00000000121</v>
      </c>
      <c r="Q34" s="192"/>
      <c r="R34" s="205"/>
      <c r="S34" s="215"/>
      <c r="T34" s="212"/>
      <c r="U34" s="210">
        <v>0</v>
      </c>
      <c r="V34" s="188">
        <f t="shared" si="9"/>
        <v>141.51</v>
      </c>
      <c r="W34" s="3">
        <v>59.63</v>
      </c>
      <c r="X34" s="3">
        <v>1071580.915</v>
      </c>
      <c r="Y34" s="33">
        <v>81.88</v>
      </c>
      <c r="Z34" s="33">
        <v>347595.33840000001</v>
      </c>
      <c r="AA34" s="33">
        <f t="shared" si="0"/>
        <v>1419176.2534</v>
      </c>
      <c r="AB34" s="128">
        <f t="shared" si="1"/>
        <v>109.36855812498219</v>
      </c>
      <c r="AC34" s="134">
        <v>0</v>
      </c>
      <c r="AD34" s="3">
        <v>0</v>
      </c>
      <c r="AE34" s="3">
        <v>0</v>
      </c>
      <c r="AF34" s="3">
        <v>0</v>
      </c>
      <c r="AG34" s="3">
        <f t="shared" si="10"/>
        <v>0</v>
      </c>
      <c r="AH34" s="3">
        <v>0</v>
      </c>
      <c r="AI34" s="43">
        <f t="shared" si="3"/>
        <v>0</v>
      </c>
      <c r="AJ34" s="142">
        <v>120.94999999999709</v>
      </c>
      <c r="AK34" s="3">
        <v>1015979.9999999756</v>
      </c>
      <c r="AL34" s="39">
        <f t="shared" si="4"/>
        <v>78.296312679703632</v>
      </c>
      <c r="AM34" s="7"/>
    </row>
    <row r="35" spans="1:39" x14ac:dyDescent="0.25">
      <c r="A35" s="35"/>
      <c r="B35" s="58">
        <v>24</v>
      </c>
      <c r="C35" s="149">
        <v>7</v>
      </c>
      <c r="D35" s="151">
        <v>55</v>
      </c>
      <c r="E35" s="106">
        <v>10239.999999999782</v>
      </c>
      <c r="F35" s="3">
        <v>10606387.199999774</v>
      </c>
      <c r="G35" s="37">
        <v>1719.9999999997999</v>
      </c>
      <c r="H35" s="3">
        <v>2672312.3999996893</v>
      </c>
      <c r="I35" s="103">
        <f t="shared" si="5"/>
        <v>13278699.599999463</v>
      </c>
      <c r="J35" s="106">
        <v>1300.0000000001819</v>
      </c>
      <c r="K35" s="3">
        <v>1346514.0000001884</v>
      </c>
      <c r="L35" s="186">
        <v>279.99999999997272</v>
      </c>
      <c r="M35" s="187">
        <v>435027.5999999576</v>
      </c>
      <c r="N35" s="94">
        <f t="shared" si="6"/>
        <v>1781541.6000001458</v>
      </c>
      <c r="O35" s="108">
        <f t="shared" si="7"/>
        <v>15060241.199999608</v>
      </c>
      <c r="P35" s="111">
        <f t="shared" si="8"/>
        <v>13539.999999999736</v>
      </c>
      <c r="Q35" s="191"/>
      <c r="R35" s="203"/>
      <c r="S35" s="215"/>
      <c r="T35" s="212"/>
      <c r="U35" s="210">
        <v>0</v>
      </c>
      <c r="V35" s="188">
        <f t="shared" si="9"/>
        <v>149.52000000000001</v>
      </c>
      <c r="W35" s="3">
        <v>76.540000000000006</v>
      </c>
      <c r="X35" s="3">
        <v>1375462.07</v>
      </c>
      <c r="Y35" s="33">
        <v>72.98</v>
      </c>
      <c r="Z35" s="33">
        <v>309813.23640000005</v>
      </c>
      <c r="AA35" s="33">
        <f t="shared" si="0"/>
        <v>1685275.3064000001</v>
      </c>
      <c r="AB35" s="128">
        <f t="shared" si="1"/>
        <v>129.87543292316869</v>
      </c>
      <c r="AC35" s="134">
        <v>0</v>
      </c>
      <c r="AD35" s="3">
        <v>0</v>
      </c>
      <c r="AE35" s="3">
        <v>0</v>
      </c>
      <c r="AF35" s="3">
        <v>0</v>
      </c>
      <c r="AG35" s="3">
        <f t="shared" si="10"/>
        <v>0</v>
      </c>
      <c r="AH35" s="3">
        <v>0</v>
      </c>
      <c r="AI35" s="43">
        <f t="shared" si="3"/>
        <v>0</v>
      </c>
      <c r="AJ35" s="142">
        <v>105.99000000000524</v>
      </c>
      <c r="AK35" s="3">
        <v>890316.000000044</v>
      </c>
      <c r="AL35" s="39">
        <f t="shared" si="4"/>
        <v>68.612039528089284</v>
      </c>
      <c r="AM35" s="7"/>
    </row>
    <row r="36" spans="1:39" x14ac:dyDescent="0.25">
      <c r="A36" s="35"/>
      <c r="B36" s="58">
        <v>25</v>
      </c>
      <c r="C36" s="149">
        <v>5</v>
      </c>
      <c r="D36" s="151">
        <v>38</v>
      </c>
      <c r="E36" s="106">
        <v>10880.000000001019</v>
      </c>
      <c r="F36" s="3">
        <v>11269286.400001055</v>
      </c>
      <c r="G36" s="37">
        <v>1880.0000000001091</v>
      </c>
      <c r="H36" s="3">
        <v>2920899.6000001696</v>
      </c>
      <c r="I36" s="103">
        <f t="shared" si="5"/>
        <v>14190186.000001224</v>
      </c>
      <c r="J36" s="106">
        <v>1299.9999999992724</v>
      </c>
      <c r="K36" s="3">
        <v>1346513.9999992463</v>
      </c>
      <c r="L36" s="186">
        <v>279.99999999997272</v>
      </c>
      <c r="M36" s="187">
        <v>435027.5999999576</v>
      </c>
      <c r="N36" s="94">
        <f t="shared" si="6"/>
        <v>1781541.5999992038</v>
      </c>
      <c r="O36" s="108">
        <f t="shared" si="7"/>
        <v>15971727.600000428</v>
      </c>
      <c r="P36" s="111">
        <f t="shared" si="8"/>
        <v>14340.000000000373</v>
      </c>
      <c r="Q36" s="191"/>
      <c r="R36" s="203"/>
      <c r="S36" s="215"/>
      <c r="T36" s="212"/>
      <c r="U36" s="210">
        <v>0</v>
      </c>
      <c r="V36" s="188">
        <f t="shared" si="9"/>
        <v>170.88</v>
      </c>
      <c r="W36" s="3">
        <v>85.44</v>
      </c>
      <c r="X36" s="3">
        <v>1535399.52</v>
      </c>
      <c r="Y36" s="33">
        <v>85.44</v>
      </c>
      <c r="Z36" s="33">
        <v>362708.17920000001</v>
      </c>
      <c r="AA36" s="33">
        <f t="shared" si="0"/>
        <v>1898107.6992000001</v>
      </c>
      <c r="AB36" s="128">
        <f t="shared" si="1"/>
        <v>146.27732230587182</v>
      </c>
      <c r="AC36" s="134">
        <v>0</v>
      </c>
      <c r="AD36" s="3">
        <v>0</v>
      </c>
      <c r="AE36" s="3">
        <v>0</v>
      </c>
      <c r="AF36" s="3">
        <v>0</v>
      </c>
      <c r="AG36" s="3">
        <f t="shared" si="10"/>
        <v>0</v>
      </c>
      <c r="AH36" s="3">
        <v>0</v>
      </c>
      <c r="AI36" s="43">
        <f t="shared" si="3"/>
        <v>0</v>
      </c>
      <c r="AJ36" s="142">
        <v>364.5000000000291</v>
      </c>
      <c r="AK36" s="3">
        <v>3061800.0000002445</v>
      </c>
      <c r="AL36" s="39">
        <f t="shared" si="4"/>
        <v>235.95705640144638</v>
      </c>
      <c r="AM36" s="7"/>
    </row>
    <row r="37" spans="1:39" x14ac:dyDescent="0.25">
      <c r="A37" s="35"/>
      <c r="B37" s="58">
        <v>26</v>
      </c>
      <c r="C37" s="149">
        <v>6</v>
      </c>
      <c r="D37" s="151">
        <v>85</v>
      </c>
      <c r="E37" s="106">
        <v>10319.999999999709</v>
      </c>
      <c r="F37" s="3">
        <v>10689249.599999698</v>
      </c>
      <c r="G37" s="37">
        <v>1840.0000000001455</v>
      </c>
      <c r="H37" s="3">
        <v>2858752.8000002261</v>
      </c>
      <c r="I37" s="103">
        <f t="shared" si="5"/>
        <v>13548002.399999924</v>
      </c>
      <c r="J37" s="106">
        <v>1260.0000000002183</v>
      </c>
      <c r="K37" s="3">
        <v>1305082.8000002261</v>
      </c>
      <c r="L37" s="186">
        <v>259.99999999999091</v>
      </c>
      <c r="M37" s="187">
        <v>403954.19999998587</v>
      </c>
      <c r="N37" s="94">
        <f t="shared" si="6"/>
        <v>1709037.0000002119</v>
      </c>
      <c r="O37" s="108">
        <f t="shared" si="7"/>
        <v>15257039.400000136</v>
      </c>
      <c r="P37" s="111">
        <f t="shared" si="8"/>
        <v>13680.000000000064</v>
      </c>
      <c r="Q37" s="191"/>
      <c r="R37" s="203"/>
      <c r="S37" s="215"/>
      <c r="T37" s="212"/>
      <c r="U37" s="210">
        <v>0</v>
      </c>
      <c r="V37" s="188">
        <f t="shared" si="9"/>
        <v>169.1</v>
      </c>
      <c r="W37" s="3">
        <v>80.989999999999995</v>
      </c>
      <c r="X37" s="3">
        <v>1455430.7949999999</v>
      </c>
      <c r="Y37" s="33">
        <v>88.11</v>
      </c>
      <c r="Z37" s="33">
        <v>374042.80980000005</v>
      </c>
      <c r="AA37" s="33">
        <f t="shared" si="0"/>
        <v>1829473.6047999999</v>
      </c>
      <c r="AB37" s="128">
        <f t="shared" si="1"/>
        <v>140.98804838745721</v>
      </c>
      <c r="AC37" s="134">
        <v>0</v>
      </c>
      <c r="AD37" s="3">
        <v>0</v>
      </c>
      <c r="AE37" s="3">
        <v>400</v>
      </c>
      <c r="AF37" s="3">
        <v>12</v>
      </c>
      <c r="AG37" s="3">
        <f t="shared" si="10"/>
        <v>412</v>
      </c>
      <c r="AH37" s="3">
        <v>4335500</v>
      </c>
      <c r="AI37" s="43">
        <f t="shared" si="3"/>
        <v>334.11451369403261</v>
      </c>
      <c r="AJ37" s="142">
        <v>191.57000000000698</v>
      </c>
      <c r="AK37" s="3">
        <v>1609188.0000000587</v>
      </c>
      <c r="AL37" s="39">
        <f t="shared" si="4"/>
        <v>124.01177858662037</v>
      </c>
      <c r="AM37" s="7"/>
    </row>
    <row r="38" spans="1:39" x14ac:dyDescent="0.25">
      <c r="A38" s="35"/>
      <c r="B38" s="58">
        <v>27</v>
      </c>
      <c r="C38" s="149">
        <v>6</v>
      </c>
      <c r="D38" s="151">
        <v>93</v>
      </c>
      <c r="E38" s="106">
        <v>10799.999999999272</v>
      </c>
      <c r="F38" s="3">
        <v>11186423.999999246</v>
      </c>
      <c r="G38" s="37">
        <v>2000</v>
      </c>
      <c r="H38" s="3">
        <v>3107340</v>
      </c>
      <c r="I38" s="103">
        <f t="shared" si="5"/>
        <v>14293763.999999246</v>
      </c>
      <c r="J38" s="106">
        <v>1300.0000000001819</v>
      </c>
      <c r="K38" s="3">
        <v>1346514.0000001884</v>
      </c>
      <c r="L38" s="186">
        <v>279.99999999997272</v>
      </c>
      <c r="M38" s="187">
        <v>435027.5999999576</v>
      </c>
      <c r="N38" s="94">
        <f t="shared" si="6"/>
        <v>1781541.6000001458</v>
      </c>
      <c r="O38" s="108">
        <f t="shared" si="7"/>
        <v>16075305.599999391</v>
      </c>
      <c r="P38" s="111">
        <f t="shared" si="8"/>
        <v>14379.999999999427</v>
      </c>
      <c r="Q38" s="191"/>
      <c r="R38" s="203"/>
      <c r="S38" s="215"/>
      <c r="T38" s="212"/>
      <c r="U38" s="210">
        <v>0</v>
      </c>
      <c r="V38" s="188">
        <f t="shared" si="9"/>
        <v>150.41</v>
      </c>
      <c r="W38" s="3">
        <v>70.31</v>
      </c>
      <c r="X38" s="3">
        <v>1263505.855</v>
      </c>
      <c r="Y38" s="33">
        <v>80.099999999999994</v>
      </c>
      <c r="Z38" s="33">
        <v>340038.91800000001</v>
      </c>
      <c r="AA38" s="33">
        <f t="shared" si="0"/>
        <v>1603544.773</v>
      </c>
      <c r="AB38" s="128">
        <f t="shared" si="1"/>
        <v>123.57688433110437</v>
      </c>
      <c r="AC38" s="134">
        <v>0</v>
      </c>
      <c r="AD38" s="3">
        <v>0</v>
      </c>
      <c r="AE38" s="3">
        <v>0</v>
      </c>
      <c r="AF38" s="3">
        <v>12</v>
      </c>
      <c r="AG38" s="3">
        <f t="shared" si="10"/>
        <v>12</v>
      </c>
      <c r="AH38" s="3">
        <v>139500</v>
      </c>
      <c r="AI38" s="43">
        <f t="shared" si="3"/>
        <v>10.750541958324888</v>
      </c>
      <c r="AJ38" s="142">
        <v>132</v>
      </c>
      <c r="AK38" s="3">
        <v>1108800</v>
      </c>
      <c r="AL38" s="39">
        <f t="shared" si="4"/>
        <v>85.449468984879118</v>
      </c>
      <c r="AM38" s="7"/>
    </row>
    <row r="39" spans="1:39" x14ac:dyDescent="0.25">
      <c r="A39" s="35"/>
      <c r="B39" s="58">
        <v>28</v>
      </c>
      <c r="C39" s="149">
        <v>3</v>
      </c>
      <c r="D39" s="151">
        <v>56</v>
      </c>
      <c r="E39" s="106">
        <v>10360.000000000582</v>
      </c>
      <c r="F39" s="3">
        <v>10730680.800000602</v>
      </c>
      <c r="G39" s="37">
        <v>1880.0000000001091</v>
      </c>
      <c r="H39" s="3">
        <v>2920899.6000001696</v>
      </c>
      <c r="I39" s="103">
        <f t="shared" si="5"/>
        <v>13651580.400000772</v>
      </c>
      <c r="J39" s="106">
        <v>1279.9999999997453</v>
      </c>
      <c r="K39" s="3">
        <v>1325798.3999997361</v>
      </c>
      <c r="L39" s="186">
        <v>280.00000000020009</v>
      </c>
      <c r="M39" s="187">
        <v>435027.60000031086</v>
      </c>
      <c r="N39" s="94">
        <f t="shared" si="6"/>
        <v>1760826.000000047</v>
      </c>
      <c r="O39" s="108">
        <f t="shared" si="7"/>
        <v>15412406.400000818</v>
      </c>
      <c r="P39" s="111">
        <f t="shared" si="8"/>
        <v>13800.000000000637</v>
      </c>
      <c r="Q39" s="191"/>
      <c r="R39" s="206"/>
      <c r="S39" s="215"/>
      <c r="T39" s="212"/>
      <c r="U39" s="210">
        <v>0</v>
      </c>
      <c r="V39" s="188">
        <f t="shared" si="9"/>
        <v>142.4</v>
      </c>
      <c r="W39" s="3">
        <v>61.410000000000004</v>
      </c>
      <c r="X39" s="3">
        <v>1103568.405</v>
      </c>
      <c r="Y39" s="33">
        <v>80.989999999999995</v>
      </c>
      <c r="Z39" s="33">
        <v>343817.12819999998</v>
      </c>
      <c r="AA39" s="33">
        <f t="shared" si="0"/>
        <v>1447385.5331999999</v>
      </c>
      <c r="AB39" s="128">
        <f t="shared" si="1"/>
        <v>111.54250110780674</v>
      </c>
      <c r="AC39" s="134">
        <v>0</v>
      </c>
      <c r="AD39" s="3">
        <v>0</v>
      </c>
      <c r="AE39" s="3">
        <v>0</v>
      </c>
      <c r="AF39" s="3">
        <v>12</v>
      </c>
      <c r="AG39" s="3">
        <f t="shared" si="10"/>
        <v>12</v>
      </c>
      <c r="AH39" s="3">
        <v>139500</v>
      </c>
      <c r="AI39" s="43">
        <f t="shared" si="3"/>
        <v>10.750541958324888</v>
      </c>
      <c r="AJ39" s="142">
        <v>119.8799999999901</v>
      </c>
      <c r="AK39" s="3">
        <v>1006991.9999999169</v>
      </c>
      <c r="AL39" s="39">
        <f t="shared" si="4"/>
        <v>77.603654105351993</v>
      </c>
      <c r="AM39" s="7"/>
    </row>
    <row r="40" spans="1:39" x14ac:dyDescent="0.25">
      <c r="A40" s="35"/>
      <c r="B40" s="58">
        <v>29</v>
      </c>
      <c r="C40" s="149">
        <v>6</v>
      </c>
      <c r="D40" s="151">
        <v>59</v>
      </c>
      <c r="E40" s="106">
        <v>11119.999999998981</v>
      </c>
      <c r="F40" s="3">
        <v>11517873.599998945</v>
      </c>
      <c r="G40" s="37">
        <v>1879.9999999996544</v>
      </c>
      <c r="H40" s="3">
        <v>2920899.5999994632</v>
      </c>
      <c r="I40" s="103">
        <f t="shared" si="5"/>
        <v>14438773.199998409</v>
      </c>
      <c r="J40" s="106">
        <v>1200.0000000007276</v>
      </c>
      <c r="K40" s="3">
        <v>1242936.0000007537</v>
      </c>
      <c r="L40" s="186">
        <v>259.99999999999091</v>
      </c>
      <c r="M40" s="187">
        <v>403954.19999998587</v>
      </c>
      <c r="N40" s="94">
        <f t="shared" si="6"/>
        <v>1646890.2000007397</v>
      </c>
      <c r="O40" s="108">
        <f t="shared" ref="O40:O41" si="11">N40+I40</f>
        <v>16085663.399999149</v>
      </c>
      <c r="P40" s="111">
        <f t="shared" ref="P40:P41" si="12">L40+J40+G40+E40</f>
        <v>14459.999999999354</v>
      </c>
      <c r="Q40" s="192"/>
      <c r="R40" s="207"/>
      <c r="S40" s="215"/>
      <c r="T40" s="212"/>
      <c r="U40" s="210">
        <v>0</v>
      </c>
      <c r="V40" s="188">
        <f t="shared" si="9"/>
        <v>80.989999999999995</v>
      </c>
      <c r="W40" s="3">
        <v>0</v>
      </c>
      <c r="X40" s="3">
        <v>0</v>
      </c>
      <c r="Y40" s="33">
        <v>80.989999999999995</v>
      </c>
      <c r="Z40" s="33">
        <v>343817.12819999998</v>
      </c>
      <c r="AA40" s="33">
        <f t="shared" ref="AA40:AA41" si="13">Z40+X40</f>
        <v>343817.12819999998</v>
      </c>
      <c r="AB40" s="128">
        <f t="shared" si="1"/>
        <v>26.496204033726645</v>
      </c>
      <c r="AC40" s="134">
        <v>0</v>
      </c>
      <c r="AD40" s="3">
        <v>0</v>
      </c>
      <c r="AE40" s="3">
        <v>0</v>
      </c>
      <c r="AF40" s="3">
        <v>12</v>
      </c>
      <c r="AG40" s="3">
        <f t="shared" si="10"/>
        <v>12</v>
      </c>
      <c r="AH40" s="3">
        <v>139500</v>
      </c>
      <c r="AI40" s="43">
        <f t="shared" si="3"/>
        <v>10.750541958324888</v>
      </c>
      <c r="AJ40" s="142">
        <v>103.91000000000349</v>
      </c>
      <c r="AK40" s="3">
        <v>872844.00000002934</v>
      </c>
      <c r="AL40" s="39">
        <f t="shared" si="4"/>
        <v>67.265563047114298</v>
      </c>
      <c r="AM40" s="7"/>
    </row>
    <row r="41" spans="1:39" ht="17.25" customHeight="1" x14ac:dyDescent="0.25">
      <c r="A41" s="35"/>
      <c r="B41" s="58">
        <v>30</v>
      </c>
      <c r="C41" s="149">
        <v>3</v>
      </c>
      <c r="D41" s="151">
        <v>78</v>
      </c>
      <c r="E41" s="106">
        <v>10720.000000001164</v>
      </c>
      <c r="F41" s="3">
        <v>11103561.600001205</v>
      </c>
      <c r="G41" s="37">
        <v>2000</v>
      </c>
      <c r="H41" s="3">
        <v>3107340</v>
      </c>
      <c r="I41" s="103">
        <f t="shared" si="5"/>
        <v>14210901.600001205</v>
      </c>
      <c r="J41" s="106">
        <v>1319.999999999709</v>
      </c>
      <c r="K41" s="3">
        <v>1367229.5999996986</v>
      </c>
      <c r="L41" s="186">
        <v>279.99999999997272</v>
      </c>
      <c r="M41" s="187">
        <v>435027.5999999576</v>
      </c>
      <c r="N41" s="94">
        <f t="shared" si="6"/>
        <v>1802257.1999996561</v>
      </c>
      <c r="O41" s="108">
        <f t="shared" si="11"/>
        <v>16013158.800000861</v>
      </c>
      <c r="P41" s="111">
        <f t="shared" si="12"/>
        <v>14320.000000000846</v>
      </c>
      <c r="Q41" s="191"/>
      <c r="R41" s="208"/>
      <c r="S41" s="215"/>
      <c r="T41" s="212"/>
      <c r="U41" s="210">
        <v>0</v>
      </c>
      <c r="V41" s="188">
        <f t="shared" si="9"/>
        <v>78.320000000000007</v>
      </c>
      <c r="W41" s="3">
        <v>0</v>
      </c>
      <c r="X41" s="3">
        <v>0</v>
      </c>
      <c r="Y41" s="33">
        <v>78.320000000000007</v>
      </c>
      <c r="Z41" s="33">
        <v>332482.49760000006</v>
      </c>
      <c r="AA41" s="33">
        <f t="shared" si="13"/>
        <v>332482.49760000006</v>
      </c>
      <c r="AB41" s="128">
        <f t="shared" si="1"/>
        <v>25.622702801845552</v>
      </c>
      <c r="AC41" s="134">
        <v>0</v>
      </c>
      <c r="AD41" s="3">
        <v>0</v>
      </c>
      <c r="AE41" s="3">
        <v>0</v>
      </c>
      <c r="AF41" s="3">
        <v>12</v>
      </c>
      <c r="AG41" s="3">
        <f>+AE41+AF41</f>
        <v>12</v>
      </c>
      <c r="AH41" s="3">
        <v>139500</v>
      </c>
      <c r="AI41" s="43">
        <f t="shared" si="3"/>
        <v>10.750541958324888</v>
      </c>
      <c r="AJ41" s="142">
        <v>165.94999999999709</v>
      </c>
      <c r="AK41" s="3">
        <v>1393979.9999999756</v>
      </c>
      <c r="AL41" s="39">
        <f t="shared" si="4"/>
        <v>107.42681347000334</v>
      </c>
      <c r="AM41" s="7"/>
    </row>
    <row r="42" spans="1:39" ht="16.5" thickBot="1" x14ac:dyDescent="0.3">
      <c r="A42" s="35"/>
      <c r="B42" s="122"/>
      <c r="C42" s="150"/>
      <c r="D42" s="152"/>
      <c r="E42" s="104"/>
      <c r="F42" s="104"/>
      <c r="G42" s="95"/>
      <c r="H42" s="96"/>
      <c r="I42" s="105"/>
      <c r="J42" s="107"/>
      <c r="K42" s="95"/>
      <c r="L42" s="96"/>
      <c r="M42" s="97"/>
      <c r="N42" s="98"/>
      <c r="O42" s="109"/>
      <c r="P42" s="112"/>
      <c r="Q42" s="177"/>
      <c r="R42" s="209"/>
      <c r="S42" s="216"/>
      <c r="T42" s="216"/>
      <c r="U42" s="211"/>
      <c r="V42" s="188"/>
      <c r="W42" s="3"/>
      <c r="X42" s="3"/>
      <c r="Y42" s="33"/>
      <c r="Z42" s="33"/>
      <c r="AA42" s="18"/>
      <c r="AB42" s="129"/>
      <c r="AC42" s="127"/>
      <c r="AD42" s="3"/>
      <c r="AE42" s="2"/>
      <c r="AF42" s="2"/>
      <c r="AG42" s="2"/>
      <c r="AH42" s="3"/>
      <c r="AI42" s="43"/>
      <c r="AJ42" s="142"/>
      <c r="AK42" s="3"/>
      <c r="AL42" s="39"/>
      <c r="AM42" s="7"/>
    </row>
    <row r="43" spans="1:39" s="8" customFormat="1" ht="4.5" customHeight="1" x14ac:dyDescent="0.25">
      <c r="A43" s="15"/>
      <c r="B43" s="117"/>
      <c r="C43" s="118"/>
      <c r="D43" s="118"/>
      <c r="E43" s="116"/>
      <c r="F43" s="7"/>
      <c r="G43" s="15"/>
      <c r="H43" s="7"/>
      <c r="I43" s="15"/>
      <c r="J43" s="15"/>
      <c r="K43" s="15"/>
      <c r="L43" s="7"/>
      <c r="M43" s="62"/>
      <c r="N43" s="66"/>
      <c r="O43" s="15"/>
      <c r="P43" s="66"/>
      <c r="Q43" s="15"/>
      <c r="R43" s="86"/>
      <c r="S43" s="7"/>
      <c r="T43" s="15"/>
      <c r="U43" s="34"/>
      <c r="V43" s="130"/>
      <c r="W43" s="15"/>
      <c r="X43" s="15"/>
      <c r="Y43" s="15"/>
      <c r="Z43" s="15"/>
      <c r="AA43" s="15"/>
      <c r="AB43" s="34"/>
      <c r="AC43" s="15"/>
      <c r="AD43" s="7"/>
      <c r="AE43" s="15"/>
      <c r="AF43" s="15"/>
      <c r="AG43" s="15"/>
      <c r="AH43" s="15"/>
      <c r="AI43" s="15"/>
      <c r="AJ43" s="86"/>
      <c r="AK43" s="15"/>
      <c r="AL43" s="34"/>
      <c r="AM43" s="15"/>
    </row>
    <row r="44" spans="1:39" s="8" customFormat="1" ht="6" customHeight="1" x14ac:dyDescent="0.25">
      <c r="A44" s="15"/>
      <c r="B44" s="117"/>
      <c r="C44" s="118"/>
      <c r="D44" s="118"/>
      <c r="E44" s="116"/>
      <c r="F44" s="7"/>
      <c r="G44" s="15"/>
      <c r="H44" s="7"/>
      <c r="I44" s="15"/>
      <c r="J44" s="15"/>
      <c r="K44" s="15"/>
      <c r="L44" s="7"/>
      <c r="M44" s="62"/>
      <c r="N44" s="66"/>
      <c r="O44" s="15"/>
      <c r="P44" s="66"/>
      <c r="Q44" s="15"/>
      <c r="R44" s="86"/>
      <c r="S44" s="16"/>
      <c r="T44" s="16"/>
      <c r="U44" s="34"/>
      <c r="V44" s="130"/>
      <c r="W44" s="15"/>
      <c r="X44" s="15"/>
      <c r="Y44" s="15"/>
      <c r="Z44" s="15"/>
      <c r="AA44" s="15"/>
      <c r="AB44" s="131"/>
      <c r="AC44" s="15"/>
      <c r="AD44" s="7"/>
      <c r="AE44" s="15"/>
      <c r="AF44" s="15"/>
      <c r="AG44" s="15"/>
      <c r="AH44" s="7"/>
      <c r="AI44" s="15"/>
      <c r="AJ44" s="88"/>
      <c r="AK44" s="5"/>
      <c r="AL44" s="40"/>
      <c r="AM44" s="15"/>
    </row>
    <row r="45" spans="1:39" s="8" customFormat="1" ht="16.5" thickBot="1" x14ac:dyDescent="0.3">
      <c r="A45" s="15"/>
      <c r="B45" s="119"/>
      <c r="C45" s="120"/>
      <c r="D45" s="120"/>
      <c r="E45" s="121"/>
      <c r="F45" s="72"/>
      <c r="G45" s="71"/>
      <c r="H45" s="72"/>
      <c r="I45" s="71"/>
      <c r="J45" s="71"/>
      <c r="K45" s="71"/>
      <c r="L45" s="72"/>
      <c r="M45" s="73"/>
      <c r="N45" s="74"/>
      <c r="O45" s="71"/>
      <c r="P45" s="74"/>
      <c r="Q45" s="71"/>
      <c r="R45" s="87"/>
      <c r="S45" s="75"/>
      <c r="T45" s="71"/>
      <c r="U45" s="189"/>
      <c r="V45" s="132"/>
      <c r="W45" s="77"/>
      <c r="X45" s="71"/>
      <c r="Y45" s="71"/>
      <c r="Z45" s="71"/>
      <c r="AA45" s="71"/>
      <c r="AB45" s="76"/>
      <c r="AC45" s="78"/>
      <c r="AD45" s="72"/>
      <c r="AE45" s="78"/>
      <c r="AF45" s="78"/>
      <c r="AG45" s="78"/>
      <c r="AH45" s="72"/>
      <c r="AI45" s="71"/>
      <c r="AJ45" s="143"/>
      <c r="AK45" s="79"/>
      <c r="AL45" s="80"/>
      <c r="AM45" s="15"/>
    </row>
    <row r="46" spans="1:39" ht="17.25" thickTop="1" thickBot="1" x14ac:dyDescent="0.3">
      <c r="A46" s="26"/>
      <c r="B46" s="69"/>
      <c r="C46" s="70">
        <f t="shared" ref="C46:P46" si="14">SUM(C12:C42)</f>
        <v>99</v>
      </c>
      <c r="D46" s="70">
        <f t="shared" si="14"/>
        <v>1853</v>
      </c>
      <c r="E46" s="70">
        <f t="shared" si="14"/>
        <v>305200.0000000007</v>
      </c>
      <c r="F46" s="70">
        <f t="shared" si="14"/>
        <v>316120056.00000077</v>
      </c>
      <c r="G46" s="70">
        <f t="shared" si="14"/>
        <v>55759.999999999753</v>
      </c>
      <c r="H46" s="70">
        <f t="shared" si="14"/>
        <v>86632639.199999616</v>
      </c>
      <c r="I46" s="70">
        <f t="shared" si="14"/>
        <v>402752695.20000041</v>
      </c>
      <c r="J46" s="70">
        <f t="shared" si="14"/>
        <v>38020.000000000437</v>
      </c>
      <c r="K46" s="70">
        <f t="shared" si="14"/>
        <v>39380355.600000449</v>
      </c>
      <c r="L46" s="70">
        <f t="shared" si="14"/>
        <v>8039.9999999999636</v>
      </c>
      <c r="M46" s="70">
        <f t="shared" si="14"/>
        <v>12491506.799999939</v>
      </c>
      <c r="N46" s="70">
        <f t="shared" si="14"/>
        <v>51871862.400000393</v>
      </c>
      <c r="O46" s="70">
        <f t="shared" si="14"/>
        <v>454624557.60000074</v>
      </c>
      <c r="P46" s="82">
        <f t="shared" si="14"/>
        <v>407020.00000000087</v>
      </c>
      <c r="Q46" s="190" t="e">
        <f>+#REF!</f>
        <v>#REF!</v>
      </c>
      <c r="R46" s="123" t="e">
        <f>+#REF!</f>
        <v>#REF!</v>
      </c>
      <c r="S46" s="115" t="e">
        <f>Q46+P46</f>
        <v>#REF!</v>
      </c>
      <c r="T46" s="115" t="e">
        <f>R46+O46</f>
        <v>#REF!</v>
      </c>
      <c r="U46" s="137" t="e">
        <f>T46/AL47</f>
        <v>#REF!</v>
      </c>
      <c r="V46" s="178">
        <f t="shared" ref="V46:AA46" si="15">SUM(V12:V41)</f>
        <v>3916.8899999999994</v>
      </c>
      <c r="W46" s="52">
        <f t="shared" si="15"/>
        <v>1496.0900000000004</v>
      </c>
      <c r="X46" s="52">
        <f t="shared" si="15"/>
        <v>26885485.345000003</v>
      </c>
      <c r="Y46" s="52">
        <f t="shared" si="15"/>
        <v>2420.7999999999997</v>
      </c>
      <c r="Z46" s="52">
        <f t="shared" si="15"/>
        <v>10276731.744000001</v>
      </c>
      <c r="AA46" s="136">
        <f t="shared" si="15"/>
        <v>37162217.089000009</v>
      </c>
      <c r="AB46" s="124">
        <f>AA46/$AL$47</f>
        <v>2863.8994557682636</v>
      </c>
      <c r="AC46" s="44">
        <f>SUM(AC12:AC41)</f>
        <v>0</v>
      </c>
      <c r="AD46" s="138">
        <f>SUM(AD12:AD41)</f>
        <v>0</v>
      </c>
      <c r="AE46" s="44">
        <f>SUM(AE12:AE41)</f>
        <v>2350</v>
      </c>
      <c r="AF46" s="44">
        <f>SUM(AF12:AF41)</f>
        <v>204</v>
      </c>
      <c r="AG46" s="214">
        <f>SUM(AG12:AG41)</f>
        <v>2554</v>
      </c>
      <c r="AH46" s="146">
        <f>SUM(AH12:AH42)</f>
        <v>27023000</v>
      </c>
      <c r="AI46" s="147">
        <f>AH46/$AL$47</f>
        <v>2082.5225472388061</v>
      </c>
      <c r="AJ46" s="213">
        <f>SUM(AJ12:AJ42)</f>
        <v>5156.2700000000186</v>
      </c>
      <c r="AK46" s="144">
        <f>SUM(AK12:AK42)</f>
        <v>43312668.000000156</v>
      </c>
      <c r="AL46" s="145">
        <f>AK46/AL47</f>
        <v>3337.8828291110926</v>
      </c>
      <c r="AM46" s="26"/>
    </row>
    <row r="47" spans="1:39" s="1" customFormat="1" x14ac:dyDescent="0.25">
      <c r="A47" s="26"/>
      <c r="B47" s="26"/>
      <c r="C47" s="5"/>
      <c r="D47" s="11"/>
      <c r="E47" s="5"/>
      <c r="F47" s="5"/>
      <c r="G47" s="11"/>
      <c r="H47" s="5"/>
      <c r="I47" s="9"/>
      <c r="J47" s="9"/>
      <c r="K47" s="9"/>
      <c r="L47" s="17"/>
      <c r="M47" s="63"/>
      <c r="N47" s="67"/>
      <c r="O47" s="10"/>
      <c r="P47" s="67"/>
      <c r="Q47" s="10"/>
      <c r="R47" s="114"/>
      <c r="S47" s="14"/>
      <c r="T47" s="81" t="s">
        <v>29</v>
      </c>
      <c r="U47" s="153" t="e">
        <f>U46/S46</f>
        <v>#REF!</v>
      </c>
      <c r="V47" s="193" t="s">
        <v>53</v>
      </c>
      <c r="W47" s="11"/>
      <c r="X47" s="11"/>
      <c r="Y47" s="139"/>
      <c r="Z47" s="11"/>
      <c r="AA47" s="11"/>
      <c r="AB47" s="11"/>
      <c r="AC47" s="16"/>
      <c r="AD47" s="7"/>
      <c r="AE47" s="16"/>
      <c r="AF47" s="16"/>
      <c r="AG47" s="7"/>
      <c r="AH47" s="219"/>
      <c r="AI47" s="11"/>
      <c r="AJ47" s="88"/>
      <c r="AK47" s="11"/>
      <c r="AL47" s="148">
        <v>12976.09</v>
      </c>
      <c r="AM47" s="26"/>
    </row>
    <row r="48" spans="1:39" s="1" customFormat="1" x14ac:dyDescent="0.25">
      <c r="A48" s="26"/>
      <c r="B48" s="26"/>
      <c r="C48" s="5"/>
      <c r="D48" s="11"/>
      <c r="E48" s="5"/>
      <c r="F48" s="5"/>
      <c r="G48" s="11"/>
      <c r="H48" s="5"/>
      <c r="I48" s="9"/>
      <c r="J48" s="9"/>
      <c r="K48" s="9"/>
      <c r="L48" s="17"/>
      <c r="M48" s="63"/>
      <c r="N48" s="67"/>
      <c r="O48" s="10"/>
      <c r="P48" s="67"/>
      <c r="Q48" s="10"/>
      <c r="R48" s="114"/>
      <c r="S48" s="14"/>
      <c r="T48" s="220"/>
      <c r="U48" s="153"/>
      <c r="V48" s="193"/>
      <c r="W48" s="11"/>
      <c r="X48" s="218"/>
      <c r="Y48" s="139"/>
      <c r="Z48" s="218"/>
      <c r="AA48" s="11"/>
      <c r="AB48" s="11"/>
      <c r="AC48" s="16"/>
      <c r="AD48" s="7"/>
      <c r="AE48" s="16"/>
      <c r="AF48" s="16"/>
      <c r="AG48" s="7"/>
      <c r="AH48" s="219"/>
      <c r="AI48" s="11"/>
      <c r="AJ48" s="88"/>
      <c r="AK48" s="11"/>
      <c r="AL48" s="148"/>
      <c r="AM48" s="26"/>
    </row>
    <row r="49" spans="1:39" s="1" customFormat="1" x14ac:dyDescent="0.25">
      <c r="A49" s="26"/>
      <c r="B49" s="26"/>
      <c r="C49" s="5"/>
      <c r="D49" s="11"/>
      <c r="E49" s="5"/>
      <c r="F49" s="5"/>
      <c r="G49" s="11"/>
      <c r="H49" s="5"/>
      <c r="I49" s="9"/>
      <c r="J49" s="9"/>
      <c r="K49" s="9"/>
      <c r="L49" s="17"/>
      <c r="M49" s="63"/>
      <c r="N49" s="67"/>
      <c r="O49" s="10"/>
      <c r="P49" s="67"/>
      <c r="Q49" s="10"/>
      <c r="R49" s="114"/>
      <c r="S49" s="14"/>
      <c r="T49" s="81"/>
      <c r="U49" s="153"/>
      <c r="V49" s="193"/>
      <c r="W49" s="221">
        <f>W46/V46</f>
        <v>0.38195864576232691</v>
      </c>
      <c r="X49" s="11"/>
      <c r="Y49" s="139"/>
      <c r="Z49" s="218"/>
      <c r="AA49" s="11"/>
      <c r="AB49" s="11"/>
      <c r="AC49" s="16"/>
      <c r="AD49" s="7"/>
      <c r="AE49" s="16"/>
      <c r="AF49" s="16"/>
      <c r="AG49" s="7"/>
      <c r="AH49" s="219"/>
      <c r="AI49" s="11"/>
      <c r="AJ49" s="88"/>
      <c r="AK49" s="11"/>
      <c r="AL49" s="148"/>
      <c r="AM49" s="26"/>
    </row>
    <row r="50" spans="1:39" s="196" customFormat="1" x14ac:dyDescent="0.25">
      <c r="A50" s="194"/>
      <c r="B50" s="194"/>
      <c r="C50" s="195"/>
      <c r="E50" s="195"/>
      <c r="F50" s="195"/>
      <c r="H50" s="195"/>
      <c r="L50" s="195"/>
      <c r="M50" s="197"/>
      <c r="N50" s="198"/>
      <c r="P50" s="198"/>
      <c r="R50" s="199"/>
      <c r="T50" s="217"/>
      <c r="AD50" s="195"/>
      <c r="AH50" s="195"/>
      <c r="AJ50" s="199"/>
      <c r="AL50" s="200"/>
      <c r="AM50" s="194"/>
    </row>
    <row r="51" spans="1:39" s="196" customFormat="1" x14ac:dyDescent="0.25">
      <c r="A51" s="194"/>
      <c r="B51" s="194"/>
      <c r="C51" s="195"/>
      <c r="E51" s="195"/>
      <c r="F51" s="195"/>
      <c r="H51" s="195"/>
      <c r="L51" s="195"/>
      <c r="M51" s="197"/>
      <c r="N51" s="198"/>
      <c r="P51" s="198"/>
      <c r="R51" s="199"/>
      <c r="AD51" s="195"/>
      <c r="AH51" s="195"/>
      <c r="AJ51" s="199"/>
      <c r="AL51" s="200"/>
      <c r="AM51" s="194"/>
    </row>
    <row r="52" spans="1:39" s="196" customFormat="1" x14ac:dyDescent="0.25">
      <c r="A52" s="194"/>
      <c r="B52" s="194"/>
      <c r="C52" s="195"/>
      <c r="E52" s="195"/>
      <c r="F52" s="195"/>
      <c r="H52" s="195"/>
      <c r="L52" s="195"/>
      <c r="M52" s="197"/>
      <c r="N52" s="198"/>
      <c r="P52" s="198"/>
      <c r="R52" s="199"/>
      <c r="AD52" s="195"/>
      <c r="AH52" s="195"/>
      <c r="AJ52" s="199"/>
      <c r="AL52" s="200"/>
      <c r="AM52" s="194"/>
    </row>
    <row r="53" spans="1:39" s="196" customFormat="1" x14ac:dyDescent="0.25">
      <c r="A53" s="194"/>
      <c r="B53" s="194"/>
      <c r="C53" s="195"/>
      <c r="E53" s="195"/>
      <c r="F53" s="195"/>
      <c r="H53" s="195"/>
      <c r="L53" s="195"/>
      <c r="M53" s="197"/>
      <c r="N53" s="198"/>
      <c r="P53" s="198"/>
      <c r="R53" s="199"/>
      <c r="AD53" s="195"/>
      <c r="AH53" s="195"/>
      <c r="AJ53" s="199"/>
      <c r="AL53" s="200"/>
      <c r="AM53" s="194"/>
    </row>
    <row r="54" spans="1:39" s="196" customFormat="1" x14ac:dyDescent="0.25">
      <c r="A54" s="194"/>
      <c r="B54" s="194"/>
      <c r="C54" s="195"/>
      <c r="E54" s="195"/>
      <c r="F54" s="195"/>
      <c r="H54" s="195"/>
      <c r="L54" s="195"/>
      <c r="M54" s="197"/>
      <c r="N54" s="198"/>
      <c r="P54" s="198"/>
      <c r="R54" s="199"/>
      <c r="T54" s="217"/>
      <c r="AD54" s="195"/>
      <c r="AH54" s="195"/>
      <c r="AJ54" s="199"/>
      <c r="AL54" s="200"/>
      <c r="AM54" s="194"/>
    </row>
    <row r="55" spans="1:39" s="196" customFormat="1" x14ac:dyDescent="0.25">
      <c r="A55" s="194"/>
      <c r="B55" s="194"/>
      <c r="C55" s="195"/>
      <c r="E55" s="195"/>
      <c r="F55" s="195"/>
      <c r="H55" s="195"/>
      <c r="L55" s="195"/>
      <c r="M55" s="197"/>
      <c r="N55" s="198"/>
      <c r="P55" s="198"/>
      <c r="R55" s="199"/>
      <c r="AD55" s="195"/>
      <c r="AH55" s="195"/>
      <c r="AJ55" s="199"/>
      <c r="AL55" s="200"/>
      <c r="AM55" s="194"/>
    </row>
    <row r="56" spans="1:39" s="196" customFormat="1" x14ac:dyDescent="0.25">
      <c r="A56" s="194"/>
      <c r="B56" s="194"/>
      <c r="C56" s="195"/>
      <c r="E56" s="195"/>
      <c r="F56" s="195"/>
      <c r="H56" s="195"/>
      <c r="L56" s="195"/>
      <c r="M56" s="197"/>
      <c r="N56" s="198"/>
      <c r="P56" s="198"/>
      <c r="R56" s="199"/>
      <c r="AD56" s="195"/>
      <c r="AH56" s="195"/>
      <c r="AJ56" s="199"/>
      <c r="AL56" s="200"/>
      <c r="AM56" s="194"/>
    </row>
    <row r="57" spans="1:39" s="196" customFormat="1" x14ac:dyDescent="0.25">
      <c r="A57" s="194"/>
      <c r="B57" s="194"/>
      <c r="C57" s="195"/>
      <c r="E57" s="195"/>
      <c r="F57" s="195"/>
      <c r="H57" s="195"/>
      <c r="L57" s="195"/>
      <c r="M57" s="197"/>
      <c r="N57" s="198"/>
      <c r="P57" s="198"/>
      <c r="R57" s="199"/>
      <c r="AD57" s="195"/>
      <c r="AH57" s="195"/>
      <c r="AJ57" s="199"/>
      <c r="AL57" s="200"/>
      <c r="AM57" s="194"/>
    </row>
    <row r="58" spans="1:39" s="196" customFormat="1" x14ac:dyDescent="0.25">
      <c r="A58" s="194"/>
      <c r="B58" s="194"/>
      <c r="C58" s="195"/>
      <c r="E58" s="195"/>
      <c r="F58" s="195"/>
      <c r="H58" s="195"/>
      <c r="L58" s="195"/>
      <c r="M58" s="197"/>
      <c r="N58" s="198"/>
      <c r="P58" s="198"/>
      <c r="R58" s="199"/>
      <c r="AD58" s="195"/>
      <c r="AH58" s="195"/>
      <c r="AJ58" s="199"/>
      <c r="AL58" s="200"/>
      <c r="AM58" s="194"/>
    </row>
    <row r="59" spans="1:39" s="196" customFormat="1" x14ac:dyDescent="0.25">
      <c r="A59" s="194"/>
      <c r="B59" s="194"/>
      <c r="C59" s="195"/>
      <c r="E59" s="195"/>
      <c r="F59" s="195"/>
      <c r="H59" s="195"/>
      <c r="L59" s="195"/>
      <c r="M59" s="197"/>
      <c r="N59" s="198"/>
      <c r="P59" s="198"/>
      <c r="R59" s="199"/>
      <c r="AD59" s="195"/>
      <c r="AH59" s="195"/>
      <c r="AJ59" s="199"/>
      <c r="AL59" s="200"/>
      <c r="AM59" s="194"/>
    </row>
    <row r="60" spans="1:39" s="196" customFormat="1" x14ac:dyDescent="0.25">
      <c r="A60" s="194"/>
      <c r="B60" s="194"/>
      <c r="C60" s="195"/>
      <c r="E60" s="195"/>
      <c r="F60" s="195"/>
      <c r="H60" s="195"/>
      <c r="L60" s="195"/>
      <c r="M60" s="197"/>
      <c r="N60" s="198"/>
      <c r="P60" s="198"/>
      <c r="R60" s="199"/>
      <c r="AD60" s="195"/>
      <c r="AH60" s="195"/>
      <c r="AJ60" s="199"/>
      <c r="AL60" s="200"/>
      <c r="AM60" s="194"/>
    </row>
    <row r="61" spans="1:39" s="196" customFormat="1" x14ac:dyDescent="0.25">
      <c r="A61" s="194"/>
      <c r="B61" s="194"/>
      <c r="C61" s="195"/>
      <c r="E61" s="195"/>
      <c r="F61" s="195"/>
      <c r="H61" s="195"/>
      <c r="L61" s="195"/>
      <c r="M61" s="197"/>
      <c r="N61" s="198"/>
      <c r="P61" s="198"/>
      <c r="R61" s="199"/>
      <c r="AD61" s="195"/>
      <c r="AH61" s="195"/>
      <c r="AJ61" s="199"/>
      <c r="AL61" s="200"/>
      <c r="AM61" s="194"/>
    </row>
    <row r="62" spans="1:39" s="196" customFormat="1" x14ac:dyDescent="0.25">
      <c r="A62" s="194"/>
      <c r="B62" s="194"/>
      <c r="C62" s="195"/>
      <c r="E62" s="195"/>
      <c r="F62" s="195"/>
      <c r="H62" s="195"/>
      <c r="L62" s="195"/>
      <c r="M62" s="197"/>
      <c r="N62" s="198"/>
      <c r="P62" s="198"/>
      <c r="R62" s="199"/>
      <c r="AD62" s="195"/>
      <c r="AH62" s="195"/>
      <c r="AJ62" s="199"/>
      <c r="AL62" s="200"/>
      <c r="AM62" s="194"/>
    </row>
    <row r="63" spans="1:39" s="196" customFormat="1" x14ac:dyDescent="0.25">
      <c r="A63" s="194"/>
      <c r="B63" s="194"/>
      <c r="C63" s="195"/>
      <c r="E63" s="195"/>
      <c r="F63" s="195"/>
      <c r="H63" s="195"/>
      <c r="L63" s="195"/>
      <c r="M63" s="197"/>
      <c r="N63" s="198"/>
      <c r="P63" s="198"/>
      <c r="R63" s="199"/>
      <c r="AD63" s="195"/>
      <c r="AH63" s="195"/>
      <c r="AJ63" s="199"/>
      <c r="AL63" s="200"/>
      <c r="AM63" s="194"/>
    </row>
    <row r="64" spans="1:39" s="196" customFormat="1" x14ac:dyDescent="0.25">
      <c r="A64" s="194"/>
      <c r="B64" s="194"/>
      <c r="C64" s="195"/>
      <c r="E64" s="195"/>
      <c r="F64" s="195"/>
      <c r="H64" s="195"/>
      <c r="L64" s="195"/>
      <c r="M64" s="197"/>
      <c r="N64" s="198"/>
      <c r="P64" s="198"/>
      <c r="R64" s="199"/>
      <c r="AD64" s="195"/>
      <c r="AH64" s="195"/>
      <c r="AJ64" s="199"/>
      <c r="AL64" s="200"/>
      <c r="AM64" s="194"/>
    </row>
    <row r="65" spans="1:39" s="196" customFormat="1" x14ac:dyDescent="0.25">
      <c r="A65" s="194"/>
      <c r="B65" s="194"/>
      <c r="C65" s="195"/>
      <c r="E65" s="195"/>
      <c r="F65" s="195"/>
      <c r="H65" s="195"/>
      <c r="L65" s="195"/>
      <c r="M65" s="197"/>
      <c r="N65" s="198"/>
      <c r="P65" s="198"/>
      <c r="R65" s="199"/>
      <c r="AD65" s="195"/>
      <c r="AH65" s="195"/>
      <c r="AJ65" s="199"/>
      <c r="AL65" s="200"/>
      <c r="AM65" s="194"/>
    </row>
    <row r="66" spans="1:39" s="196" customFormat="1" x14ac:dyDescent="0.25">
      <c r="A66" s="194"/>
      <c r="B66" s="194"/>
      <c r="C66" s="195"/>
      <c r="E66" s="195"/>
      <c r="F66" s="195"/>
      <c r="H66" s="195"/>
      <c r="L66" s="195"/>
      <c r="M66" s="197"/>
      <c r="N66" s="198"/>
      <c r="P66" s="198"/>
      <c r="R66" s="199"/>
      <c r="AD66" s="195"/>
      <c r="AH66" s="195"/>
      <c r="AJ66" s="199"/>
      <c r="AL66" s="200"/>
      <c r="AM66" s="194"/>
    </row>
    <row r="67" spans="1:39" s="196" customFormat="1" x14ac:dyDescent="0.25">
      <c r="A67" s="194"/>
      <c r="B67" s="194"/>
      <c r="C67" s="195"/>
      <c r="E67" s="195"/>
      <c r="F67" s="195"/>
      <c r="H67" s="195"/>
      <c r="L67" s="195"/>
      <c r="M67" s="197"/>
      <c r="N67" s="198"/>
      <c r="P67" s="198"/>
      <c r="R67" s="199"/>
      <c r="AD67" s="195"/>
      <c r="AH67" s="195"/>
      <c r="AJ67" s="199"/>
      <c r="AL67" s="200"/>
      <c r="AM67" s="194"/>
    </row>
    <row r="68" spans="1:39" s="196" customFormat="1" x14ac:dyDescent="0.25">
      <c r="A68" s="194"/>
      <c r="B68" s="194"/>
      <c r="C68" s="195"/>
      <c r="E68" s="195"/>
      <c r="F68" s="195"/>
      <c r="H68" s="195"/>
      <c r="L68" s="195"/>
      <c r="M68" s="197"/>
      <c r="N68" s="198"/>
      <c r="P68" s="198"/>
      <c r="R68" s="199"/>
      <c r="AD68" s="195"/>
      <c r="AH68" s="195"/>
      <c r="AJ68" s="199"/>
      <c r="AL68" s="200"/>
      <c r="AM68" s="194"/>
    </row>
    <row r="69" spans="1:39" s="196" customFormat="1" x14ac:dyDescent="0.25">
      <c r="A69" s="194"/>
      <c r="B69" s="194"/>
      <c r="C69" s="195"/>
      <c r="E69" s="195"/>
      <c r="F69" s="195"/>
      <c r="H69" s="195"/>
      <c r="L69" s="195"/>
      <c r="M69" s="197"/>
      <c r="N69" s="198"/>
      <c r="P69" s="198"/>
      <c r="R69" s="199"/>
      <c r="AD69" s="195"/>
      <c r="AH69" s="195"/>
      <c r="AJ69" s="199"/>
      <c r="AL69" s="200"/>
      <c r="AM69" s="194"/>
    </row>
  </sheetData>
  <mergeCells count="18">
    <mergeCell ref="Q9:Q10"/>
    <mergeCell ref="AJ9:AL9"/>
    <mergeCell ref="R9:R10"/>
    <mergeCell ref="S9:S10"/>
    <mergeCell ref="T9:U9"/>
    <mergeCell ref="AA9:AB9"/>
    <mergeCell ref="B7:AL7"/>
    <mergeCell ref="B8:B10"/>
    <mergeCell ref="C8:C10"/>
    <mergeCell ref="D8:D10"/>
    <mergeCell ref="E8:U8"/>
    <mergeCell ref="V8:AB8"/>
    <mergeCell ref="AC8:AL8"/>
    <mergeCell ref="E9:I9"/>
    <mergeCell ref="J9:N9"/>
    <mergeCell ref="O9:O10"/>
    <mergeCell ref="AC9:AI9"/>
    <mergeCell ref="P9:P1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F35" sqref="F35"/>
    </sheetView>
  </sheetViews>
  <sheetFormatPr defaultRowHeight="15" x14ac:dyDescent="0.25"/>
  <cols>
    <col min="1" max="1" width="9.5703125" bestFit="1" customWidth="1"/>
    <col min="2" max="2" width="9.28515625" bestFit="1" customWidth="1"/>
    <col min="3" max="3" width="9.5703125" bestFit="1" customWidth="1"/>
  </cols>
  <sheetData>
    <row r="1" spans="1:3" ht="18" x14ac:dyDescent="0.35">
      <c r="A1" s="27" t="s">
        <v>28</v>
      </c>
    </row>
    <row r="2" spans="1:3" ht="18" x14ac:dyDescent="0.35">
      <c r="A2" s="261">
        <v>44075</v>
      </c>
      <c r="B2" s="262"/>
      <c r="C2" s="262"/>
    </row>
    <row r="3" spans="1:3" x14ac:dyDescent="0.25">
      <c r="A3" s="264" t="s">
        <v>1</v>
      </c>
      <c r="B3" s="263" t="s">
        <v>2</v>
      </c>
      <c r="C3" s="263" t="s">
        <v>3</v>
      </c>
    </row>
    <row r="4" spans="1:3" x14ac:dyDescent="0.25">
      <c r="A4" s="264"/>
      <c r="B4" s="263"/>
      <c r="C4" s="263"/>
    </row>
    <row r="5" spans="1:3" x14ac:dyDescent="0.25">
      <c r="A5" s="264"/>
      <c r="B5" s="263"/>
      <c r="C5" s="263"/>
    </row>
    <row r="6" spans="1:3" x14ac:dyDescent="0.25">
      <c r="A6" s="2">
        <v>1</v>
      </c>
      <c r="B6" s="2">
        <v>2</v>
      </c>
      <c r="C6" s="2">
        <v>46</v>
      </c>
    </row>
    <row r="7" spans="1:3" x14ac:dyDescent="0.25">
      <c r="A7" s="2">
        <v>2</v>
      </c>
      <c r="B7" s="2">
        <v>2</v>
      </c>
      <c r="C7" s="2">
        <v>74</v>
      </c>
    </row>
    <row r="8" spans="1:3" x14ac:dyDescent="0.25">
      <c r="A8" s="2">
        <f>A7+1</f>
        <v>3</v>
      </c>
      <c r="B8" s="2">
        <v>1</v>
      </c>
      <c r="C8" s="2">
        <v>49</v>
      </c>
    </row>
    <row r="9" spans="1:3" x14ac:dyDescent="0.25">
      <c r="A9" s="2">
        <f>A8+1</f>
        <v>4</v>
      </c>
      <c r="B9" s="2">
        <v>2</v>
      </c>
      <c r="C9" s="2">
        <v>85</v>
      </c>
    </row>
    <row r="10" spans="1:3" x14ac:dyDescent="0.25">
      <c r="A10" s="2">
        <f t="shared" ref="A10:A35" si="0">A9+1</f>
        <v>5</v>
      </c>
      <c r="B10" s="2">
        <v>4</v>
      </c>
      <c r="C10" s="2">
        <v>91</v>
      </c>
    </row>
    <row r="11" spans="1:3" x14ac:dyDescent="0.25">
      <c r="A11" s="2">
        <f t="shared" si="0"/>
        <v>6</v>
      </c>
      <c r="B11" s="2">
        <v>2</v>
      </c>
      <c r="C11" s="2">
        <v>98</v>
      </c>
    </row>
    <row r="12" spans="1:3" x14ac:dyDescent="0.25">
      <c r="A12" s="2">
        <f t="shared" si="0"/>
        <v>7</v>
      </c>
      <c r="B12" s="2">
        <v>1</v>
      </c>
      <c r="C12" s="2">
        <v>52</v>
      </c>
    </row>
    <row r="13" spans="1:3" x14ac:dyDescent="0.25">
      <c r="A13" s="2">
        <f t="shared" si="0"/>
        <v>8</v>
      </c>
      <c r="B13" s="2">
        <v>2</v>
      </c>
      <c r="C13" s="2">
        <v>40</v>
      </c>
    </row>
    <row r="14" spans="1:3" x14ac:dyDescent="0.25">
      <c r="A14" s="2">
        <f t="shared" si="0"/>
        <v>9</v>
      </c>
      <c r="B14" s="2">
        <v>1</v>
      </c>
      <c r="C14" s="2">
        <v>66</v>
      </c>
    </row>
    <row r="15" spans="1:3" x14ac:dyDescent="0.25">
      <c r="A15" s="2">
        <f t="shared" si="0"/>
        <v>10</v>
      </c>
      <c r="B15" s="2">
        <v>6</v>
      </c>
      <c r="C15" s="2">
        <v>40</v>
      </c>
    </row>
    <row r="16" spans="1:3" x14ac:dyDescent="0.25">
      <c r="A16" s="2">
        <f t="shared" si="0"/>
        <v>11</v>
      </c>
      <c r="B16" s="2">
        <v>6</v>
      </c>
      <c r="C16" s="2">
        <v>35</v>
      </c>
    </row>
    <row r="17" spans="1:3" x14ac:dyDescent="0.25">
      <c r="A17" s="2">
        <f t="shared" si="0"/>
        <v>12</v>
      </c>
      <c r="B17" s="2">
        <v>0</v>
      </c>
      <c r="C17" s="2">
        <v>75</v>
      </c>
    </row>
    <row r="18" spans="1:3" x14ac:dyDescent="0.25">
      <c r="A18" s="2">
        <f t="shared" si="0"/>
        <v>13</v>
      </c>
      <c r="B18" s="2">
        <v>0</v>
      </c>
      <c r="C18" s="2">
        <v>80</v>
      </c>
    </row>
    <row r="19" spans="1:3" x14ac:dyDescent="0.25">
      <c r="A19" s="2">
        <f t="shared" si="0"/>
        <v>14</v>
      </c>
      <c r="B19" s="2">
        <v>1</v>
      </c>
      <c r="C19" s="2">
        <v>25</v>
      </c>
    </row>
    <row r="20" spans="1:3" x14ac:dyDescent="0.25">
      <c r="A20" s="2">
        <f t="shared" si="0"/>
        <v>15</v>
      </c>
      <c r="B20" s="2">
        <v>2</v>
      </c>
      <c r="C20" s="2">
        <v>41</v>
      </c>
    </row>
    <row r="21" spans="1:3" x14ac:dyDescent="0.25">
      <c r="A21" s="2">
        <f t="shared" si="0"/>
        <v>16</v>
      </c>
      <c r="B21" s="2">
        <v>1</v>
      </c>
      <c r="C21" s="2">
        <v>76</v>
      </c>
    </row>
    <row r="22" spans="1:3" x14ac:dyDescent="0.25">
      <c r="A22" s="2">
        <f t="shared" si="0"/>
        <v>17</v>
      </c>
      <c r="B22" s="2">
        <v>2</v>
      </c>
      <c r="C22" s="2">
        <v>44</v>
      </c>
    </row>
    <row r="23" spans="1:3" x14ac:dyDescent="0.25">
      <c r="A23" s="2">
        <f t="shared" si="0"/>
        <v>18</v>
      </c>
      <c r="B23" s="2">
        <v>3</v>
      </c>
      <c r="C23" s="2">
        <v>77</v>
      </c>
    </row>
    <row r="24" spans="1:3" x14ac:dyDescent="0.25">
      <c r="A24" s="2">
        <f t="shared" si="0"/>
        <v>19</v>
      </c>
      <c r="B24" s="2">
        <v>3</v>
      </c>
      <c r="C24" s="2">
        <v>87</v>
      </c>
    </row>
    <row r="25" spans="1:3" x14ac:dyDescent="0.25">
      <c r="A25" s="2">
        <f t="shared" si="0"/>
        <v>20</v>
      </c>
      <c r="B25" s="2">
        <v>6</v>
      </c>
      <c r="C25" s="2">
        <v>70</v>
      </c>
    </row>
    <row r="26" spans="1:3" x14ac:dyDescent="0.25">
      <c r="A26" s="2">
        <f t="shared" si="0"/>
        <v>21</v>
      </c>
      <c r="B26" s="2">
        <v>5</v>
      </c>
      <c r="C26" s="2">
        <v>45</v>
      </c>
    </row>
    <row r="27" spans="1:3" x14ac:dyDescent="0.25">
      <c r="A27" s="2">
        <f t="shared" si="0"/>
        <v>22</v>
      </c>
      <c r="B27" s="2">
        <v>6</v>
      </c>
      <c r="C27" s="2">
        <v>35</v>
      </c>
    </row>
    <row r="28" spans="1:3" x14ac:dyDescent="0.25">
      <c r="A28" s="2">
        <f t="shared" si="0"/>
        <v>23</v>
      </c>
      <c r="B28" s="2">
        <v>5</v>
      </c>
      <c r="C28" s="2">
        <v>58</v>
      </c>
    </row>
    <row r="29" spans="1:3" x14ac:dyDescent="0.25">
      <c r="A29" s="2">
        <f t="shared" si="0"/>
        <v>24</v>
      </c>
      <c r="B29" s="2">
        <v>7</v>
      </c>
      <c r="C29" s="2">
        <v>55</v>
      </c>
    </row>
    <row r="30" spans="1:3" x14ac:dyDescent="0.25">
      <c r="A30" s="2">
        <f t="shared" si="0"/>
        <v>25</v>
      </c>
      <c r="B30" s="2">
        <v>5</v>
      </c>
      <c r="C30" s="2">
        <v>38</v>
      </c>
    </row>
    <row r="31" spans="1:3" x14ac:dyDescent="0.25">
      <c r="A31" s="2">
        <f t="shared" si="0"/>
        <v>26</v>
      </c>
      <c r="B31" s="2">
        <v>6</v>
      </c>
      <c r="C31" s="2">
        <v>85</v>
      </c>
    </row>
    <row r="32" spans="1:3" x14ac:dyDescent="0.25">
      <c r="A32" s="2">
        <f t="shared" si="0"/>
        <v>27</v>
      </c>
      <c r="B32" s="2">
        <v>6</v>
      </c>
      <c r="C32" s="2">
        <v>93</v>
      </c>
    </row>
    <row r="33" spans="1:3" x14ac:dyDescent="0.25">
      <c r="A33" s="2">
        <f t="shared" si="0"/>
        <v>28</v>
      </c>
      <c r="B33" s="2">
        <v>3</v>
      </c>
      <c r="C33" s="2">
        <v>56</v>
      </c>
    </row>
    <row r="34" spans="1:3" x14ac:dyDescent="0.25">
      <c r="A34" s="2">
        <f t="shared" si="0"/>
        <v>29</v>
      </c>
      <c r="B34" s="2">
        <v>6</v>
      </c>
      <c r="C34" s="2">
        <v>59</v>
      </c>
    </row>
    <row r="35" spans="1:3" x14ac:dyDescent="0.25">
      <c r="A35" s="2">
        <f t="shared" si="0"/>
        <v>30</v>
      </c>
      <c r="B35" s="2">
        <v>3</v>
      </c>
      <c r="C35" s="2">
        <v>78</v>
      </c>
    </row>
    <row r="37" spans="1:3" x14ac:dyDescent="0.25">
      <c r="B37" s="6">
        <f>SUM(B6:B35)</f>
        <v>99</v>
      </c>
      <c r="C37" s="6">
        <f>SUM(C6:C35)</f>
        <v>1853</v>
      </c>
    </row>
  </sheetData>
  <mergeCells count="4">
    <mergeCell ref="A2:C2"/>
    <mergeCell ref="C3:C5"/>
    <mergeCell ref="A3:A5"/>
    <mergeCell ref="B3:B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047CC794813E498F4E0E4373AD9880" ma:contentTypeVersion="13" ma:contentTypeDescription="Create a new document." ma:contentTypeScope="" ma:versionID="0f442fd14c8c2f27e599873b8aa4e1da">
  <xsd:schema xmlns:xsd="http://www.w3.org/2001/XMLSchema" xmlns:xs="http://www.w3.org/2001/XMLSchema" xmlns:p="http://schemas.microsoft.com/office/2006/metadata/properties" xmlns:ns3="ed2f2222-2bff-489f-89bb-9539c67e7b9c" xmlns:ns4="77842aba-bda6-4832-96cd-e75cb5324294" targetNamespace="http://schemas.microsoft.com/office/2006/metadata/properties" ma:root="true" ma:fieldsID="e4c8dcf7dcd090c9b8489b6930ce9acf" ns3:_="" ns4:_="">
    <xsd:import namespace="ed2f2222-2bff-489f-89bb-9539c67e7b9c"/>
    <xsd:import namespace="77842aba-bda6-4832-96cd-e75cb532429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2f2222-2bff-489f-89bb-9539c67e7b9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42aba-bda6-4832-96cd-e75cb5324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4C324EC-38EF-4CFC-9AFF-4A199CEAD0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2f2222-2bff-489f-89bb-9539c67e7b9c"/>
    <ds:schemaRef ds:uri="77842aba-bda6-4832-96cd-e75cb53242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EAE74F4-7ADC-443D-BDD6-B8BBEBD453E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F63AC17-9EFD-48DA-BB12-4FD1F7102A5E}">
  <ds:schemaRefs>
    <ds:schemaRef ds:uri="ed2f2222-2bff-489f-89bb-9539c67e7b9c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77842aba-bda6-4832-96cd-e75cb5324294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FS Jimbaran September 2020</vt:lpstr>
      <vt:lpstr>RNs &amp; Covers September 2020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Wu</dc:creator>
  <cp:lastModifiedBy>Tjokorda Gde Sparsa Krisyana Krisyana</cp:lastModifiedBy>
  <cp:lastPrinted>2020-11-17T04:34:44Z</cp:lastPrinted>
  <dcterms:created xsi:type="dcterms:W3CDTF">2020-09-16T08:52:25Z</dcterms:created>
  <dcterms:modified xsi:type="dcterms:W3CDTF">2022-04-30T11:03:49Z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0x010100E0047CC794813E498F4E0E4373AD9880</vt:lpwstr>
  </property>
</Properties>
</file>