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Nov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8" i="7" l="1"/>
  <c r="AV7" i="7" l="1"/>
  <c r="AW7" i="7" s="1"/>
  <c r="AV8" i="7"/>
  <c r="AV9" i="7" l="1"/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R2" i="9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S38" i="7" l="1"/>
  <c r="AO7" i="7"/>
  <c r="Z38" i="7"/>
  <c r="AR7" i="7"/>
  <c r="AC38" i="7"/>
  <c r="I2" i="9"/>
  <c r="U38" i="7"/>
  <c r="AP7" i="7"/>
  <c r="AA38" i="7"/>
  <c r="AL7" i="7"/>
  <c r="W38" i="7"/>
  <c r="AG7" i="7"/>
  <c r="R38" i="7"/>
  <c r="J2" i="9"/>
  <c r="V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Q38" i="7" l="1"/>
  <c r="AJ38" i="7"/>
  <c r="AK38" i="7"/>
  <c r="AI38" i="7"/>
  <c r="AR38" i="7"/>
  <c r="AP38" i="7"/>
  <c r="AO38" i="7"/>
  <c r="AN38" i="7"/>
  <c r="AM38" i="7"/>
  <c r="AL38" i="7"/>
  <c r="AH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<sst xmlns="http://schemas.openxmlformats.org/spreadsheetml/2006/main" count="129" uniqueCount="50">
  <si>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</si>
  <si>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</si>
  <si>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</si>
  <si>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</si>
  <si>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</si>
  <si>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</si>
  <si>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</si>
  <si>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</si>
  <si>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</si>
  <si>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</si>
  <si>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</si>
  <si>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</si>
  <si>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</si>
  <si>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</si>
  <si>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</si>
  <si>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</si>
  <si>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</si>
  <si>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</si>
  <si>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</si>
  <si>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</si>
  <si>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</si>
  <si>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</si>
  <si>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</si>
  <si>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</si>
  <si>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</si>
  <si>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</si>
  <si>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</si>
  <si>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</si>
  <si>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</si>
  <si>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</si>
  <si>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</si>
  <si>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</si>
  <si>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</si>
  <si>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</si>
  <si>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</si>
  <si>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</si>
  <si>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</si>
  <si>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</si>
  <si>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</si>
  <si>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</si>
  <si>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</si>
  <si>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</si>
  <si>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</si>
  <si>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</si>
  <si>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</si>
  <si>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</si>
  <si>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</si>
  <si>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</si>
  <si>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November</t>
  </si>
  <si>
    <t xml:space="preserve">340998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</si>
</sst>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7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11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65260</v>
      </c>
      <c r="F2" s="11">
        <v>5.0000000000000001E-3</v>
      </c>
      <c r="G2" s="12">
        <f>Submetering!R2</f>
        <v>710.89999799999998</v>
      </c>
      <c r="H2" s="11">
        <v>0.52800000000000002</v>
      </c>
      <c r="I2" s="12">
        <f>Hotel!B7</f>
        <v>70</v>
      </c>
    </row>
    <row r="3" spans="1:9" s="15" customFormat="1" x14ac:dyDescent="0.25">
      <c r="A3" s="21" t="s">
        <v>31</v>
      </c>
      <c r="B3" s="14">
        <f>B2+1</f>
        <v>2</v>
      </c>
      <c r="C3" s="3">
        <v>11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54830</v>
      </c>
      <c r="F3" s="11">
        <v>5.0000000000000001E-3</v>
      </c>
      <c r="G3" s="12">
        <f>Submetering!R3</f>
        <v>688.56607900000006</v>
      </c>
      <c r="H3" s="11">
        <v>0.52800000000000002</v>
      </c>
      <c r="I3" s="12">
        <f>Hotel!B8</f>
        <v>84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11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63800</v>
      </c>
      <c r="F4" s="11">
        <v>5.0000000000000001E-3</v>
      </c>
      <c r="G4" s="12">
        <f>Submetering!R4</f>
        <v>948.62374599999998</v>
      </c>
      <c r="H4" s="11">
        <v>0.52800000000000002</v>
      </c>
      <c r="I4" s="12">
        <f>Hotel!B9</f>
        <v>106</v>
      </c>
    </row>
    <row r="5" spans="1:9" s="15" customFormat="1" x14ac:dyDescent="0.25">
      <c r="A5" s="21" t="s">
        <v>31</v>
      </c>
      <c r="B5" s="14">
        <f t="shared" si="0"/>
        <v>4</v>
      </c>
      <c r="C5" s="3">
        <v>11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64620</v>
      </c>
      <c r="F5" s="11">
        <v>5.0000000000000001E-3</v>
      </c>
      <c r="G5" s="12">
        <f>Submetering!R5</f>
        <v>874.05116899999996</v>
      </c>
      <c r="H5" s="11">
        <v>0.52800000000000002</v>
      </c>
      <c r="I5" s="12">
        <f>Hotel!B10</f>
        <v>156</v>
      </c>
    </row>
    <row r="6" spans="1:9" s="15" customFormat="1" x14ac:dyDescent="0.25">
      <c r="A6" s="21" t="s">
        <v>31</v>
      </c>
      <c r="B6" s="14">
        <f t="shared" si="0"/>
        <v>5</v>
      </c>
      <c r="C6" s="3">
        <v>11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66420</v>
      </c>
      <c r="F6" s="11">
        <v>5.0000000000000001E-3</v>
      </c>
      <c r="G6" s="12">
        <f>Submetering!R6</f>
        <v>795.69318199999998</v>
      </c>
      <c r="H6" s="11">
        <v>0.52800000000000002</v>
      </c>
      <c r="I6" s="12">
        <f>Hotel!B11</f>
        <v>149</v>
      </c>
    </row>
    <row r="7" spans="1:9" s="15" customFormat="1" x14ac:dyDescent="0.25">
      <c r="A7" s="21" t="s">
        <v>31</v>
      </c>
      <c r="B7" s="14">
        <f t="shared" si="0"/>
        <v>6</v>
      </c>
      <c r="C7" s="3">
        <v>11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61270</v>
      </c>
      <c r="F7" s="11">
        <v>5.0000000000000001E-3</v>
      </c>
      <c r="G7" s="12">
        <f>Submetering!R7</f>
        <v>818.40564199999994</v>
      </c>
      <c r="H7" s="11">
        <v>0.52800000000000002</v>
      </c>
      <c r="I7" s="12">
        <f>Hotel!B12</f>
        <v>79</v>
      </c>
    </row>
    <row r="8" spans="1:9" s="15" customFormat="1" x14ac:dyDescent="0.25">
      <c r="A8" s="21" t="s">
        <v>31</v>
      </c>
      <c r="B8" s="14">
        <f t="shared" si="0"/>
        <v>7</v>
      </c>
      <c r="C8" s="3">
        <v>11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64760</v>
      </c>
      <c r="F8" s="11">
        <v>5.0000000000000001E-3</v>
      </c>
      <c r="G8" s="12">
        <f>Submetering!R8</f>
        <v>788.50090299999999</v>
      </c>
      <c r="H8" s="11">
        <v>0.52800000000000002</v>
      </c>
      <c r="I8" s="12">
        <f>Hotel!B13</f>
        <v>54</v>
      </c>
    </row>
    <row r="9" spans="1:9" s="15" customFormat="1" x14ac:dyDescent="0.25">
      <c r="A9" s="21" t="s">
        <v>31</v>
      </c>
      <c r="B9" s="14">
        <f t="shared" si="0"/>
        <v>8</v>
      </c>
      <c r="C9" s="3">
        <v>11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58440</v>
      </c>
      <c r="F9" s="11">
        <v>5.0000000000000001E-3</v>
      </c>
      <c r="G9" s="12">
        <f>Submetering!R9</f>
        <v>667.36778300000003</v>
      </c>
      <c r="H9" s="11">
        <v>0.52800000000000002</v>
      </c>
      <c r="I9" s="12">
        <f>Hotel!B14</f>
        <v>46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11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11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11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11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11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11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11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11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11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11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11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11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11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11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11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11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11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11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11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11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11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11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11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11</v>
      </c>
      <c r="D2" s="11">
        <v>2021</v>
      </c>
      <c r="E2" s="4">
        <f>Hotel!Q7</f>
        <v>9580</v>
      </c>
      <c r="F2" s="4">
        <f>Hotel!R7</f>
        <v>3610</v>
      </c>
      <c r="G2" s="4">
        <f>Hotel!S7</f>
        <v>1530</v>
      </c>
      <c r="H2" s="4">
        <f>Hotel!T7</f>
        <v>4830</v>
      </c>
      <c r="I2" s="4">
        <f>Hotel!U7</f>
        <v>4280</v>
      </c>
      <c r="J2" s="4">
        <f>Hotel!V7</f>
        <v>4030</v>
      </c>
      <c r="K2" s="4">
        <f>Hotel!W7</f>
        <v>2400</v>
      </c>
      <c r="L2" s="4">
        <f>Hotel!X7</f>
        <v>4600</v>
      </c>
      <c r="M2" s="4">
        <f>Hotel!Y7</f>
        <v>6400</v>
      </c>
      <c r="N2" s="4">
        <f>Hotel!Z7</f>
        <v>2700</v>
      </c>
      <c r="O2" s="4">
        <f>Hotel!AA7</f>
        <v>3260</v>
      </c>
      <c r="P2" s="4">
        <f>Hotel!AB7</f>
        <v>7450</v>
      </c>
      <c r="Q2" s="4">
        <f>Hotel!AC7</f>
        <v>10590</v>
      </c>
      <c r="R2" s="4">
        <f>Hotel!AV7*0.00378541*100</f>
        <v>710.89999799999998</v>
      </c>
      <c r="S2" s="4">
        <f>Hotel!B7</f>
        <v>70</v>
      </c>
    </row>
    <row r="3" spans="1:19" x14ac:dyDescent="0.25">
      <c r="A3" s="21" t="s">
        <v>31</v>
      </c>
      <c r="B3" s="2">
        <f>B2+1</f>
        <v>2</v>
      </c>
      <c r="C3" s="3">
        <v>11</v>
      </c>
      <c r="D3" s="11">
        <v>2021</v>
      </c>
      <c r="E3" s="4">
        <f>Hotel!Q8</f>
        <v>8790</v>
      </c>
      <c r="F3" s="4">
        <f>Hotel!R8</f>
        <v>3610</v>
      </c>
      <c r="G3" s="4">
        <f>Hotel!S8</f>
        <v>110</v>
      </c>
      <c r="H3" s="4">
        <f>Hotel!T8</f>
        <v>3190</v>
      </c>
      <c r="I3" s="4">
        <f>Hotel!U8</f>
        <v>4170</v>
      </c>
      <c r="J3" s="4">
        <f>Hotel!V8</f>
        <v>4010</v>
      </c>
      <c r="K3" s="4">
        <f>Hotel!W8</f>
        <v>2440</v>
      </c>
      <c r="L3" s="4">
        <f>Hotel!X8</f>
        <v>4200</v>
      </c>
      <c r="M3" s="4">
        <f>Hotel!Y8</f>
        <v>4690</v>
      </c>
      <c r="N3" s="4">
        <f>Hotel!Z8</f>
        <v>2230</v>
      </c>
      <c r="O3" s="4">
        <f>Hotel!AA8</f>
        <v>2600</v>
      </c>
      <c r="P3" s="4">
        <f>Hotel!AB8</f>
        <v>6040</v>
      </c>
      <c r="Q3" s="4">
        <f>Hotel!AC8</f>
        <v>8750</v>
      </c>
      <c r="R3" s="4">
        <f>Hotel!AV8*0.00378541*100</f>
        <v>688.56607900000006</v>
      </c>
      <c r="S3" s="4">
        <f>Hotel!B8</f>
        <v>84</v>
      </c>
    </row>
    <row r="4" spans="1:19" x14ac:dyDescent="0.25">
      <c r="A4" s="21" t="s">
        <v>31</v>
      </c>
      <c r="B4" s="2">
        <f t="shared" ref="B4:B29" si="0">B3+1</f>
        <v>3</v>
      </c>
      <c r="C4" s="3">
        <v>11</v>
      </c>
      <c r="D4" s="11">
        <v>2021</v>
      </c>
      <c r="E4" s="4">
        <f>Hotel!Q9</f>
        <v>14200</v>
      </c>
      <c r="F4" s="4">
        <f>Hotel!R9</f>
        <v>3670</v>
      </c>
      <c r="G4" s="4">
        <f>Hotel!S9</f>
        <v>40</v>
      </c>
      <c r="H4" s="4">
        <f>Hotel!T9</f>
        <v>1670</v>
      </c>
      <c r="I4" s="4">
        <f>Hotel!U9</f>
        <v>4360</v>
      </c>
      <c r="J4" s="4">
        <f>Hotel!V9</f>
        <v>4000</v>
      </c>
      <c r="K4" s="4">
        <f>Hotel!W9</f>
        <v>2530</v>
      </c>
      <c r="L4" s="4">
        <f>Hotel!X9</f>
        <v>4830</v>
      </c>
      <c r="M4" s="4">
        <f>Hotel!Y9</f>
        <v>5260</v>
      </c>
      <c r="N4" s="4">
        <f>Hotel!Z9</f>
        <v>2710</v>
      </c>
      <c r="O4" s="4">
        <f>Hotel!AA9</f>
        <v>3060</v>
      </c>
      <c r="P4" s="4">
        <f>Hotel!AB9</f>
        <v>7060</v>
      </c>
      <c r="Q4" s="4">
        <f>Hotel!AC9</f>
        <v>10410</v>
      </c>
      <c r="R4" s="4">
        <f>Hotel!AV9*0.00378541*100</f>
        <v>948.62374599999998</v>
      </c>
      <c r="S4" s="4">
        <f>Hotel!B9</f>
        <v>106</v>
      </c>
    </row>
    <row r="5" spans="1:19" x14ac:dyDescent="0.25">
      <c r="A5" s="21" t="s">
        <v>31</v>
      </c>
      <c r="B5" s="2">
        <f t="shared" si="0"/>
        <v>4</v>
      </c>
      <c r="C5" s="3">
        <v>11</v>
      </c>
      <c r="D5" s="11">
        <v>2021</v>
      </c>
      <c r="E5" s="4">
        <f>Hotel!Q10</f>
        <v>13950</v>
      </c>
      <c r="F5" s="4">
        <f>Hotel!R10</f>
        <v>3650</v>
      </c>
      <c r="G5" s="4">
        <f>Hotel!S10</f>
        <v>80</v>
      </c>
      <c r="H5" s="4">
        <f>Hotel!T10</f>
        <v>1680</v>
      </c>
      <c r="I5" s="4">
        <f>Hotel!U10</f>
        <v>4600</v>
      </c>
      <c r="J5" s="4">
        <f>Hotel!V10</f>
        <v>4080</v>
      </c>
      <c r="K5" s="4">
        <f>Hotel!W10</f>
        <v>2470</v>
      </c>
      <c r="L5" s="4">
        <f>Hotel!X10</f>
        <v>4710</v>
      </c>
      <c r="M5" s="4">
        <f>Hotel!Y10</f>
        <v>5650</v>
      </c>
      <c r="N5" s="4">
        <f>Hotel!Z10</f>
        <v>2710</v>
      </c>
      <c r="O5" s="4">
        <f>Hotel!AA10</f>
        <v>3300</v>
      </c>
      <c r="P5" s="4">
        <f>Hotel!AB10</f>
        <v>7330</v>
      </c>
      <c r="Q5" s="4">
        <f>Hotel!AC10</f>
        <v>10410</v>
      </c>
      <c r="R5" s="4">
        <f>Hotel!AV10*0.00378541*100</f>
        <v>874.05116899999996</v>
      </c>
      <c r="S5" s="4">
        <f>Hotel!B10</f>
        <v>156</v>
      </c>
    </row>
    <row r="6" spans="1:19" x14ac:dyDescent="0.25">
      <c r="A6" s="21" t="s">
        <v>31</v>
      </c>
      <c r="B6" s="2">
        <f t="shared" si="0"/>
        <v>5</v>
      </c>
      <c r="C6" s="3">
        <v>11</v>
      </c>
      <c r="D6" s="11">
        <v>2021</v>
      </c>
      <c r="E6" s="4">
        <f>Hotel!Q11</f>
        <v>13290</v>
      </c>
      <c r="F6" s="4">
        <f>Hotel!R11</f>
        <v>3680</v>
      </c>
      <c r="G6" s="4">
        <f>Hotel!S11</f>
        <v>80</v>
      </c>
      <c r="H6" s="4">
        <f>Hotel!T11</f>
        <v>1680</v>
      </c>
      <c r="I6" s="4">
        <f>Hotel!U11</f>
        <v>4600</v>
      </c>
      <c r="J6" s="4">
        <f>Hotel!V11</f>
        <v>4170</v>
      </c>
      <c r="K6" s="4">
        <f>Hotel!W11</f>
        <v>2490</v>
      </c>
      <c r="L6" s="4">
        <f>Hotel!X11</f>
        <v>4820</v>
      </c>
      <c r="M6" s="4">
        <f>Hotel!Y11</f>
        <v>6060</v>
      </c>
      <c r="N6" s="4">
        <f>Hotel!Z11</f>
        <v>2780</v>
      </c>
      <c r="O6" s="4">
        <f>Hotel!AA11</f>
        <v>3280</v>
      </c>
      <c r="P6" s="4">
        <f>Hotel!AB11</f>
        <v>7290</v>
      </c>
      <c r="Q6" s="4">
        <f>Hotel!AC11</f>
        <v>12200</v>
      </c>
      <c r="R6" s="4">
        <f>Hotel!AV11*0.00378541*100</f>
        <v>795.69318199999998</v>
      </c>
      <c r="S6" s="4">
        <f>Hotel!B11</f>
        <v>149</v>
      </c>
    </row>
    <row r="7" spans="1:19" x14ac:dyDescent="0.25">
      <c r="A7" s="21" t="s">
        <v>31</v>
      </c>
      <c r="B7" s="2">
        <f t="shared" si="0"/>
        <v>6</v>
      </c>
      <c r="C7" s="3">
        <v>11</v>
      </c>
      <c r="D7" s="11">
        <v>2021</v>
      </c>
      <c r="E7" s="4">
        <f>Hotel!Q12</f>
        <v>12480</v>
      </c>
      <c r="F7" s="4">
        <f>Hotel!R12</f>
        <v>3530</v>
      </c>
      <c r="G7" s="4">
        <f>Hotel!S12</f>
        <v>70</v>
      </c>
      <c r="H7" s="4">
        <f>Hotel!T12</f>
        <v>1600</v>
      </c>
      <c r="I7" s="4">
        <f>Hotel!U12</f>
        <v>4450</v>
      </c>
      <c r="J7" s="4">
        <f>Hotel!V12</f>
        <v>4020</v>
      </c>
      <c r="K7" s="4">
        <f>Hotel!W12</f>
        <v>2370</v>
      </c>
      <c r="L7" s="4">
        <f>Hotel!X12</f>
        <v>4530</v>
      </c>
      <c r="M7" s="4">
        <f>Hotel!Y12</f>
        <v>5660</v>
      </c>
      <c r="N7" s="4">
        <f>Hotel!Z12</f>
        <v>2550</v>
      </c>
      <c r="O7" s="4">
        <f>Hotel!AA12</f>
        <v>3180</v>
      </c>
      <c r="P7" s="4">
        <f>Hotel!AB12</f>
        <v>6860</v>
      </c>
      <c r="Q7" s="4">
        <f>Hotel!AC12</f>
        <v>9970</v>
      </c>
      <c r="R7" s="4">
        <f>Hotel!AV12*0.00378541*100</f>
        <v>818.40564199999994</v>
      </c>
      <c r="S7" s="4">
        <f>Hotel!B12</f>
        <v>79</v>
      </c>
    </row>
    <row r="8" spans="1:19" x14ac:dyDescent="0.25">
      <c r="A8" s="21" t="s">
        <v>31</v>
      </c>
      <c r="B8" s="2">
        <f t="shared" si="0"/>
        <v>7</v>
      </c>
      <c r="C8" s="3">
        <v>11</v>
      </c>
      <c r="D8" s="11">
        <v>2021</v>
      </c>
      <c r="E8" s="4">
        <f>Hotel!Q13</f>
        <v>8490</v>
      </c>
      <c r="F8" s="4">
        <f>Hotel!R13</f>
        <v>8760</v>
      </c>
      <c r="G8" s="4">
        <f>Hotel!S13</f>
        <v>90</v>
      </c>
      <c r="H8" s="4">
        <f>Hotel!T13</f>
        <v>1690</v>
      </c>
      <c r="I8" s="4">
        <f>Hotel!U13</f>
        <v>4340</v>
      </c>
      <c r="J8" s="4">
        <f>Hotel!V13</f>
        <v>3980</v>
      </c>
      <c r="K8" s="4">
        <f>Hotel!W13</f>
        <v>2610</v>
      </c>
      <c r="L8" s="4">
        <f>Hotel!X13</f>
        <v>4410</v>
      </c>
      <c r="M8" s="4">
        <f>Hotel!Y13</f>
        <v>6020</v>
      </c>
      <c r="N8" s="4">
        <f>Hotel!Z13</f>
        <v>2600</v>
      </c>
      <c r="O8" s="4">
        <f>Hotel!AA13</f>
        <v>3060</v>
      </c>
      <c r="P8" s="4">
        <f>Hotel!AB13</f>
        <v>7370</v>
      </c>
      <c r="Q8" s="4">
        <f>Hotel!AC13</f>
        <v>11340</v>
      </c>
      <c r="R8" s="4">
        <f>Hotel!AV13*0.00378541*100</f>
        <v>788.50090299999999</v>
      </c>
      <c r="S8" s="4">
        <f>Hotel!B13</f>
        <v>54</v>
      </c>
    </row>
    <row r="9" spans="1:19" x14ac:dyDescent="0.25">
      <c r="A9" s="21" t="s">
        <v>31</v>
      </c>
      <c r="B9" s="2">
        <f t="shared" si="0"/>
        <v>8</v>
      </c>
      <c r="C9" s="3">
        <v>11</v>
      </c>
      <c r="D9" s="11">
        <v>2021</v>
      </c>
      <c r="E9" s="4">
        <f>Hotel!Q14</f>
        <v>950</v>
      </c>
      <c r="F9" s="4">
        <f>Hotel!R14</f>
        <v>14180</v>
      </c>
      <c r="G9" s="4">
        <f>Hotel!S14</f>
        <v>70</v>
      </c>
      <c r="H9" s="4">
        <f>Hotel!T14</f>
        <v>1510</v>
      </c>
      <c r="I9" s="4">
        <f>Hotel!U14</f>
        <v>4040</v>
      </c>
      <c r="J9" s="4">
        <f>Hotel!V14</f>
        <v>3590</v>
      </c>
      <c r="K9" s="4">
        <f>Hotel!W14</f>
        <v>2290</v>
      </c>
      <c r="L9" s="4">
        <f>Hotel!X14</f>
        <v>4230</v>
      </c>
      <c r="M9" s="4">
        <f>Hotel!Y14</f>
        <v>6000</v>
      </c>
      <c r="N9" s="4">
        <f>Hotel!Z14</f>
        <v>2290</v>
      </c>
      <c r="O9" s="4">
        <f>Hotel!AA14</f>
        <v>2640</v>
      </c>
      <c r="P9" s="4">
        <f>Hotel!AB14</f>
        <v>6490</v>
      </c>
      <c r="Q9" s="4">
        <f>Hotel!AC14</f>
        <v>10160</v>
      </c>
      <c r="R9" s="4">
        <f>Hotel!AV14*0.00378541*100</f>
        <v>667.36778300000003</v>
      </c>
      <c r="S9" s="4">
        <f>Hotel!B14</f>
        <v>46</v>
      </c>
    </row>
    <row r="10" spans="1:19" x14ac:dyDescent="0.25">
      <c r="A10" s="21" t="s">
        <v>31</v>
      </c>
      <c r="B10" s="2">
        <f t="shared" si="0"/>
        <v>9</v>
      </c>
      <c r="C10" s="3">
        <v>11</v>
      </c>
      <c r="D10" s="11">
        <v>2021</v>
      </c>
      <c r="E10" s="4" t="str">
        <f>Hotel!Q15</f>
        <v>0</v>
      </c>
      <c r="F10" s="4" t="str">
        <f>Hotel!R15</f>
        <v>0</v>
      </c>
      <c r="G10" s="4" t="str">
        <f>Hotel!S15</f>
        <v>0</v>
      </c>
      <c r="H10" s="4" t="str">
        <f>Hotel!T15</f>
        <v>0</v>
      </c>
      <c r="I10" s="4" t="str">
        <f>Hotel!U15</f>
        <v>0</v>
      </c>
      <c r="J10" s="4" t="str">
        <f>Hotel!V15</f>
        <v>0</v>
      </c>
      <c r="K10" s="4" t="str">
        <f>Hotel!W15</f>
        <v>0</v>
      </c>
      <c r="L10" s="4" t="str">
        <f>Hotel!X15</f>
        <v>0</v>
      </c>
      <c r="M10" s="4" t="str">
        <f>Hotel!Y15</f>
        <v>0</v>
      </c>
      <c r="N10" s="4" t="str">
        <f>Hotel!Z15</f>
        <v>0</v>
      </c>
      <c r="O10" s="4" t="str">
        <f>Hotel!AA15</f>
        <v>0</v>
      </c>
      <c r="P10" s="4" t="str">
        <f>Hotel!AB15</f>
        <v>0</v>
      </c>
      <c r="Q10" s="4" t="str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3">
        <v>11</v>
      </c>
      <c r="D11" s="11">
        <v>2021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3">
        <v>11</v>
      </c>
      <c r="D12" s="11">
        <v>2021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3">
        <v>11</v>
      </c>
      <c r="D13" s="11">
        <v>2021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11</v>
      </c>
      <c r="D14" s="11">
        <v>2021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11</v>
      </c>
      <c r="D15" s="11">
        <v>2021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11</v>
      </c>
      <c r="D16" s="11">
        <v>2021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11</v>
      </c>
      <c r="D17" s="11">
        <v>2021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11</v>
      </c>
      <c r="D18" s="11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11</v>
      </c>
      <c r="D19" s="11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11</v>
      </c>
      <c r="D20" s="11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11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11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11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11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11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11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11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11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11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11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11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11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R1" zoomScale="93" zoomScaleNormal="93" workbookViewId="0">
      <selection activeCell="L23" sqref="L23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51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ht="30" x14ac:dyDescent="0.25">
      <c r="A2" s="23">
        <v>44500</v>
      </c>
      <c r="B2" s="40">
        <v>66</v>
      </c>
      <c r="C2" s="24">
        <v>7346180</v>
      </c>
      <c r="D2" s="24">
        <v>17454260</v>
      </c>
      <c r="E2" s="24">
        <v>3102240</v>
      </c>
      <c r="F2" s="24">
        <v>3729400</v>
      </c>
      <c r="G2" s="24">
        <v>11000320</v>
      </c>
      <c r="H2" s="24">
        <v>6032330</v>
      </c>
      <c r="I2" s="24">
        <v>5421080</v>
      </c>
      <c r="J2" s="24">
        <v>6531220</v>
      </c>
      <c r="K2" s="24">
        <v>9963680</v>
      </c>
      <c r="L2" s="24">
        <v>4206390</v>
      </c>
      <c r="M2" s="24">
        <v>8349450</v>
      </c>
      <c r="N2" s="24">
        <v>13067220</v>
      </c>
      <c r="O2" s="24">
        <v>18043070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52" t="s">
        <v>49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2">
        <v>340998</v>
      </c>
      <c r="AV6" s="37"/>
    </row>
    <row r="7" spans="1:49" x14ac:dyDescent="0.25">
      <c r="A7" s="23">
        <v>44501</v>
      </c>
      <c r="B7" s="40">
        <v>70</v>
      </c>
      <c r="C7" s="24">
        <v>7355760</v>
      </c>
      <c r="D7" s="24">
        <v>17457870</v>
      </c>
      <c r="E7" s="24">
        <v>3103770</v>
      </c>
      <c r="F7" s="24">
        <v>3734230</v>
      </c>
      <c r="G7" s="24">
        <v>11004600</v>
      </c>
      <c r="H7" s="24">
        <v>6036360</v>
      </c>
      <c r="I7" s="24">
        <v>5423480</v>
      </c>
      <c r="J7" s="24">
        <v>6535820</v>
      </c>
      <c r="K7" s="24">
        <v>9970080</v>
      </c>
      <c r="L7" s="24">
        <v>4209090</v>
      </c>
      <c r="M7" s="24">
        <v>8352710</v>
      </c>
      <c r="N7" s="24">
        <v>13074670</v>
      </c>
      <c r="O7" s="24">
        <v>18053660</v>
      </c>
      <c r="Q7" s="37">
        <f>IF((C7-C2&lt;0), "0",C7-C2)</f>
        <v>9580</v>
      </c>
      <c r="R7" s="37">
        <f t="shared" ref="R7:AC7" si="0">IF((D7-D2&lt;0), "0",D7-D2)</f>
        <v>3610</v>
      </c>
      <c r="S7" s="37">
        <f>IF((E7-E2&lt;0), "0",E7-E2)</f>
        <v>1530</v>
      </c>
      <c r="T7" s="37">
        <f t="shared" si="0"/>
        <v>4830</v>
      </c>
      <c r="U7" s="37">
        <f t="shared" si="0"/>
        <v>4280</v>
      </c>
      <c r="V7" s="37">
        <f t="shared" si="0"/>
        <v>4030</v>
      </c>
      <c r="W7" s="37">
        <f t="shared" si="0"/>
        <v>2400</v>
      </c>
      <c r="X7" s="37">
        <f t="shared" si="0"/>
        <v>4600</v>
      </c>
      <c r="Y7" s="37">
        <f t="shared" si="0"/>
        <v>6400</v>
      </c>
      <c r="Z7" s="37">
        <f t="shared" si="0"/>
        <v>2700</v>
      </c>
      <c r="AA7" s="37">
        <f t="shared" si="0"/>
        <v>3260</v>
      </c>
      <c r="AB7" s="37">
        <f t="shared" si="0"/>
        <v>7450</v>
      </c>
      <c r="AC7" s="37">
        <f t="shared" si="0"/>
        <v>10590</v>
      </c>
      <c r="AD7" s="34">
        <f>SUM(Q7:AC7)</f>
        <v>65260</v>
      </c>
      <c r="AF7" s="20">
        <f t="shared" ref="AF7:AF36" si="1">Q7*$D$39</f>
        <v>47.9</v>
      </c>
      <c r="AG7" s="20">
        <f t="shared" ref="AG7:AG36" si="2">R7*$D$39</f>
        <v>18.05</v>
      </c>
      <c r="AH7" s="20">
        <f t="shared" ref="AH7:AH36" si="3">S7*$D$39</f>
        <v>7.65</v>
      </c>
      <c r="AI7" s="20">
        <f t="shared" ref="AI7:AI36" si="4">T7*$D$39</f>
        <v>24.150000000000002</v>
      </c>
      <c r="AJ7" s="20">
        <f t="shared" ref="AJ7:AJ36" si="5">U7*$D$39</f>
        <v>21.400000000000002</v>
      </c>
      <c r="AK7" s="20">
        <f t="shared" ref="AK7:AK36" si="6">V7*$D$39</f>
        <v>20.150000000000002</v>
      </c>
      <c r="AL7" s="20">
        <f t="shared" ref="AL7:AL36" si="7">W7*$D$39</f>
        <v>12</v>
      </c>
      <c r="AM7" s="20">
        <f t="shared" ref="AM7:AM36" si="8">X7*$D$39</f>
        <v>23</v>
      </c>
      <c r="AN7" s="20">
        <f t="shared" ref="AN7:AN36" si="9">Y7*$D$39</f>
        <v>32</v>
      </c>
      <c r="AO7" s="20">
        <f t="shared" ref="AO7:AO36" si="10">Z7*$D$39</f>
        <v>13.5</v>
      </c>
      <c r="AP7" s="20">
        <f t="shared" ref="AP7:AP36" si="11">AA7*$D$39</f>
        <v>16.3</v>
      </c>
      <c r="AQ7" s="20">
        <f t="shared" ref="AQ7:AQ36" si="12">AB7*$D$39</f>
        <v>37.25</v>
      </c>
      <c r="AR7" s="20">
        <f t="shared" ref="AR7:AR36" si="13">AC7*$D$39</f>
        <v>52.95</v>
      </c>
      <c r="AS7" s="35">
        <f>SUM(AF7:AR7)</f>
        <v>326.3</v>
      </c>
      <c r="AU7" s="53">
        <v>342876</v>
      </c>
      <c r="AV7" s="37">
        <f>IF((AU7-AU6&lt;0),"0",AU7-AU6)</f>
        <v>1878</v>
      </c>
      <c r="AW7" s="35">
        <f t="shared" ref="AW7:AW35" si="14">AV7*$D$40</f>
        <v>3.7560000000000002</v>
      </c>
    </row>
    <row r="8" spans="1:49" x14ac:dyDescent="0.25">
      <c r="A8" s="23">
        <v>44502</v>
      </c>
      <c r="B8" s="40">
        <v>84</v>
      </c>
      <c r="C8" s="24">
        <v>7364550</v>
      </c>
      <c r="D8" s="24">
        <v>17461480</v>
      </c>
      <c r="E8" s="24">
        <v>3103880</v>
      </c>
      <c r="F8" s="24">
        <v>3737420</v>
      </c>
      <c r="G8" s="24">
        <v>11008770</v>
      </c>
      <c r="H8" s="24">
        <v>6040370</v>
      </c>
      <c r="I8" s="24">
        <v>5425920</v>
      </c>
      <c r="J8" s="24">
        <v>6540020</v>
      </c>
      <c r="K8" s="24">
        <v>9974770</v>
      </c>
      <c r="L8" s="24">
        <v>4211320</v>
      </c>
      <c r="M8" s="24">
        <v>8355310</v>
      </c>
      <c r="N8" s="24">
        <v>13080710</v>
      </c>
      <c r="O8" s="24">
        <v>18062410</v>
      </c>
      <c r="Q8" s="37">
        <f>IF((C8-C7&lt;0), "0",C8-C7)</f>
        <v>8790</v>
      </c>
      <c r="R8" s="37">
        <f t="shared" ref="R8:AC8" si="15">IF((D8-D7&lt;0), "0",D8-D7)</f>
        <v>3610</v>
      </c>
      <c r="S8" s="37">
        <f t="shared" ref="S8:S35" si="16">IF((E8-E7&lt;0), "0",E8-E7)</f>
        <v>110</v>
      </c>
      <c r="T8" s="37">
        <f t="shared" si="15"/>
        <v>3190</v>
      </c>
      <c r="U8" s="37">
        <f t="shared" si="15"/>
        <v>4170</v>
      </c>
      <c r="V8" s="37">
        <f t="shared" si="15"/>
        <v>4010</v>
      </c>
      <c r="W8" s="37">
        <f t="shared" si="15"/>
        <v>2440</v>
      </c>
      <c r="X8" s="37">
        <f t="shared" si="15"/>
        <v>4200</v>
      </c>
      <c r="Y8" s="37">
        <f t="shared" si="15"/>
        <v>4690</v>
      </c>
      <c r="Z8" s="37">
        <f t="shared" si="15"/>
        <v>2230</v>
      </c>
      <c r="AA8" s="37">
        <f t="shared" si="15"/>
        <v>2600</v>
      </c>
      <c r="AB8" s="37">
        <f t="shared" si="15"/>
        <v>6040</v>
      </c>
      <c r="AC8" s="37">
        <f t="shared" si="15"/>
        <v>8750</v>
      </c>
      <c r="AD8" s="35">
        <f>SUM(Q8:AC8)</f>
        <v>54830</v>
      </c>
      <c r="AF8" s="20">
        <f t="shared" si="1"/>
        <v>43.95</v>
      </c>
      <c r="AG8" s="20">
        <f t="shared" si="2"/>
        <v>18.05</v>
      </c>
      <c r="AH8" s="20">
        <f t="shared" si="3"/>
        <v>0.55000000000000004</v>
      </c>
      <c r="AI8" s="20">
        <f t="shared" si="4"/>
        <v>15.950000000000001</v>
      </c>
      <c r="AJ8" s="20">
        <f t="shared" si="5"/>
        <v>20.85</v>
      </c>
      <c r="AK8" s="20">
        <f t="shared" si="6"/>
        <v>20.05</v>
      </c>
      <c r="AL8" s="20">
        <f t="shared" si="7"/>
        <v>12.200000000000001</v>
      </c>
      <c r="AM8" s="20">
        <f t="shared" si="8"/>
        <v>21</v>
      </c>
      <c r="AN8" s="20">
        <f t="shared" si="9"/>
        <v>23.45</v>
      </c>
      <c r="AO8" s="20">
        <f t="shared" si="10"/>
        <v>11.15</v>
      </c>
      <c r="AP8" s="20">
        <f t="shared" si="11"/>
        <v>13</v>
      </c>
      <c r="AQ8" s="20">
        <f t="shared" si="12"/>
        <v>30.2</v>
      </c>
      <c r="AR8" s="20">
        <f t="shared" si="13"/>
        <v>43.75</v>
      </c>
      <c r="AS8" s="35">
        <f>SUM(AF8:AR8)</f>
        <v>274.14999999999998</v>
      </c>
      <c r="AU8" s="53">
        <v>344695</v>
      </c>
      <c r="AV8" s="37">
        <f>IF((AU8-AU7&lt;0),"0",AU8-AU7)</f>
        <v>1819</v>
      </c>
      <c r="AW8" s="35">
        <f t="shared" si="14"/>
        <v>3.6379999999999999</v>
      </c>
    </row>
    <row r="9" spans="1:49" x14ac:dyDescent="0.25">
      <c r="A9" s="23">
        <v>44503</v>
      </c>
      <c r="B9" s="40">
        <v>106</v>
      </c>
      <c r="C9" s="24">
        <v>7378750</v>
      </c>
      <c r="D9" s="24">
        <v>17465150</v>
      </c>
      <c r="E9" s="24">
        <v>3103920</v>
      </c>
      <c r="F9" s="24">
        <v>3739090</v>
      </c>
      <c r="G9" s="24">
        <v>11013130</v>
      </c>
      <c r="H9" s="24">
        <v>6044370</v>
      </c>
      <c r="I9" s="24">
        <v>5428450</v>
      </c>
      <c r="J9" s="24">
        <v>6544850</v>
      </c>
      <c r="K9" s="24">
        <v>9980030</v>
      </c>
      <c r="L9" s="24">
        <v>4214030</v>
      </c>
      <c r="M9" s="24">
        <v>8358370</v>
      </c>
      <c r="N9" s="24">
        <v>13087770</v>
      </c>
      <c r="O9" s="24">
        <v>18072820</v>
      </c>
      <c r="Q9" s="37">
        <f t="shared" ref="Q9:Q30" si="17">IF((C9-C8&lt;0), "0",C9-C8)</f>
        <v>14200</v>
      </c>
      <c r="R9" s="37">
        <f t="shared" ref="R9:R35" si="18">IF((D9-D8&lt;0), "0",D9-D8)</f>
        <v>3670</v>
      </c>
      <c r="S9" s="37">
        <f t="shared" si="16"/>
        <v>40</v>
      </c>
      <c r="T9" s="37">
        <f t="shared" ref="T9:T35" si="19">IF((F9-F8&lt;0), "0",F9-F8)</f>
        <v>1670</v>
      </c>
      <c r="U9" s="37">
        <f t="shared" ref="U9:U35" si="20">IF((G9-G8&lt;0), "0",G9-G8)</f>
        <v>4360</v>
      </c>
      <c r="V9" s="37">
        <f t="shared" ref="V9:V35" si="21">IF((H9-H8&lt;0), "0",H9-H8)</f>
        <v>4000</v>
      </c>
      <c r="W9" s="37">
        <f t="shared" ref="W9:W35" si="22">IF((I9-I8&lt;0), "0",I9-I8)</f>
        <v>2530</v>
      </c>
      <c r="X9" s="37">
        <f t="shared" ref="X9:X35" si="23">IF((J9-J8&lt;0), "0",J9-J8)</f>
        <v>4830</v>
      </c>
      <c r="Y9" s="37">
        <f t="shared" ref="Y9:Y35" si="24">IF((K9-K8&lt;0), "0",K9-K8)</f>
        <v>5260</v>
      </c>
      <c r="Z9" s="37">
        <f t="shared" ref="Z9:Z35" si="25">IF((L9-L8&lt;0), "0",L9-L8)</f>
        <v>2710</v>
      </c>
      <c r="AA9" s="37">
        <f t="shared" ref="AA9:AA35" si="26">IF((M9-M8&lt;0), "0",M9-M8)</f>
        <v>3060</v>
      </c>
      <c r="AB9" s="37">
        <f t="shared" ref="AB9:AB37" si="27">IF((N9-N8&lt;0), "0",N9-N8)</f>
        <v>7060</v>
      </c>
      <c r="AC9" s="37">
        <f t="shared" ref="AC9:AC37" si="28">IF((O9-O8&lt;0), "0",O9-O8)</f>
        <v>10410</v>
      </c>
      <c r="AD9" s="35">
        <f t="shared" ref="AD9:AD37" si="29">SUM(Q9:AC9)</f>
        <v>63800</v>
      </c>
      <c r="AF9" s="20">
        <f t="shared" si="1"/>
        <v>71</v>
      </c>
      <c r="AG9" s="20">
        <f t="shared" si="2"/>
        <v>18.350000000000001</v>
      </c>
      <c r="AH9" s="20">
        <f t="shared" si="3"/>
        <v>0.2</v>
      </c>
      <c r="AI9" s="20">
        <f t="shared" si="4"/>
        <v>8.35</v>
      </c>
      <c r="AJ9" s="20">
        <f t="shared" si="5"/>
        <v>21.8</v>
      </c>
      <c r="AK9" s="20">
        <f t="shared" si="6"/>
        <v>20</v>
      </c>
      <c r="AL9" s="20">
        <f t="shared" si="7"/>
        <v>12.65</v>
      </c>
      <c r="AM9" s="20">
        <f t="shared" si="8"/>
        <v>24.150000000000002</v>
      </c>
      <c r="AN9" s="20">
        <f t="shared" si="9"/>
        <v>26.3</v>
      </c>
      <c r="AO9" s="20">
        <f t="shared" si="10"/>
        <v>13.55</v>
      </c>
      <c r="AP9" s="20">
        <f t="shared" si="11"/>
        <v>15.3</v>
      </c>
      <c r="AQ9" s="20">
        <f t="shared" si="12"/>
        <v>35.300000000000004</v>
      </c>
      <c r="AR9" s="20">
        <f t="shared" si="13"/>
        <v>52.050000000000004</v>
      </c>
      <c r="AS9" s="35">
        <f t="shared" ref="AS9:AS33" si="30">SUM(AF9:AR9)</f>
        <v>319.00000000000006</v>
      </c>
      <c r="AU9" s="53">
        <v>347201</v>
      </c>
      <c r="AV9" s="37">
        <f t="shared" ref="AV9" si="31">IF((AU9-AU8&lt;0),"0",AU9-AU8)</f>
        <v>2506</v>
      </c>
      <c r="AW9" s="35">
        <f t="shared" si="14"/>
        <v>5.0120000000000005</v>
      </c>
    </row>
    <row r="10" spans="1:49" x14ac:dyDescent="0.25">
      <c r="A10" s="23">
        <v>44504</v>
      </c>
      <c r="B10" s="40">
        <v>156</v>
      </c>
      <c r="C10" s="24">
        <v>7392700</v>
      </c>
      <c r="D10" s="24">
        <v>17468800</v>
      </c>
      <c r="E10" s="24">
        <v>3104000</v>
      </c>
      <c r="F10" s="24">
        <v>3740770</v>
      </c>
      <c r="G10" s="24">
        <v>11017730</v>
      </c>
      <c r="H10" s="24">
        <v>6048450</v>
      </c>
      <c r="I10" s="24">
        <v>5430920</v>
      </c>
      <c r="J10" s="24">
        <v>6549560</v>
      </c>
      <c r="K10" s="24">
        <v>9985680</v>
      </c>
      <c r="L10" s="24">
        <v>4216740</v>
      </c>
      <c r="M10" s="24">
        <v>8361670</v>
      </c>
      <c r="N10" s="24">
        <v>13095100</v>
      </c>
      <c r="O10" s="24">
        <v>18083230</v>
      </c>
      <c r="Q10" s="37">
        <f t="shared" si="17"/>
        <v>13950</v>
      </c>
      <c r="R10" s="37">
        <f t="shared" si="18"/>
        <v>3650</v>
      </c>
      <c r="S10" s="37">
        <f t="shared" si="16"/>
        <v>80</v>
      </c>
      <c r="T10" s="37">
        <f t="shared" si="19"/>
        <v>1680</v>
      </c>
      <c r="U10" s="37">
        <f t="shared" si="20"/>
        <v>4600</v>
      </c>
      <c r="V10" s="37">
        <f t="shared" si="21"/>
        <v>4080</v>
      </c>
      <c r="W10" s="37">
        <f t="shared" si="22"/>
        <v>2470</v>
      </c>
      <c r="X10" s="37">
        <f t="shared" si="23"/>
        <v>4710</v>
      </c>
      <c r="Y10" s="37">
        <f t="shared" si="24"/>
        <v>5650</v>
      </c>
      <c r="Z10" s="37">
        <f t="shared" si="25"/>
        <v>2710</v>
      </c>
      <c r="AA10" s="37">
        <f t="shared" si="26"/>
        <v>3300</v>
      </c>
      <c r="AB10" s="37">
        <f t="shared" si="27"/>
        <v>7330</v>
      </c>
      <c r="AC10" s="37">
        <f t="shared" si="28"/>
        <v>10410</v>
      </c>
      <c r="AD10" s="35">
        <f t="shared" si="29"/>
        <v>64620</v>
      </c>
      <c r="AF10" s="20">
        <f t="shared" si="1"/>
        <v>69.75</v>
      </c>
      <c r="AG10" s="20">
        <f t="shared" si="2"/>
        <v>18.25</v>
      </c>
      <c r="AH10" s="20">
        <f t="shared" si="3"/>
        <v>0.4</v>
      </c>
      <c r="AI10" s="20">
        <f t="shared" si="4"/>
        <v>8.4</v>
      </c>
      <c r="AJ10" s="20">
        <f t="shared" si="5"/>
        <v>23</v>
      </c>
      <c r="AK10" s="20">
        <f t="shared" si="6"/>
        <v>20.400000000000002</v>
      </c>
      <c r="AL10" s="20">
        <f t="shared" si="7"/>
        <v>12.35</v>
      </c>
      <c r="AM10" s="20">
        <f t="shared" si="8"/>
        <v>23.55</v>
      </c>
      <c r="AN10" s="20">
        <f t="shared" si="9"/>
        <v>28.25</v>
      </c>
      <c r="AO10" s="20">
        <f t="shared" si="10"/>
        <v>13.55</v>
      </c>
      <c r="AP10" s="20">
        <f t="shared" si="11"/>
        <v>16.5</v>
      </c>
      <c r="AQ10" s="20">
        <f t="shared" si="12"/>
        <v>36.65</v>
      </c>
      <c r="AR10" s="20">
        <f t="shared" si="13"/>
        <v>52.050000000000004</v>
      </c>
      <c r="AS10" s="35">
        <f t="shared" si="30"/>
        <v>323.10000000000002</v>
      </c>
      <c r="AU10" s="53">
        <v>349510</v>
      </c>
      <c r="AV10" s="37">
        <f t="shared" ref="AV10:AV26" si="32">IF((AU10-AU9&lt;0),"0",AU10-AU9)</f>
        <v>2309</v>
      </c>
      <c r="AW10" s="35">
        <f t="shared" si="14"/>
        <v>4.6180000000000003</v>
      </c>
    </row>
    <row r="11" spans="1:49" x14ac:dyDescent="0.25">
      <c r="A11" s="23">
        <v>44505</v>
      </c>
      <c r="B11" s="40">
        <v>149</v>
      </c>
      <c r="C11" s="24">
        <v>7405990</v>
      </c>
      <c r="D11" s="24">
        <v>17472480</v>
      </c>
      <c r="E11" s="24">
        <v>3104080</v>
      </c>
      <c r="F11" s="24">
        <v>3742450</v>
      </c>
      <c r="G11" s="24">
        <v>11022330</v>
      </c>
      <c r="H11" s="24">
        <v>6052620</v>
      </c>
      <c r="I11" s="24">
        <v>5433410</v>
      </c>
      <c r="J11" s="24">
        <v>6554380</v>
      </c>
      <c r="K11" s="24">
        <v>9991740</v>
      </c>
      <c r="L11" s="24">
        <v>4219520</v>
      </c>
      <c r="M11" s="24">
        <v>8364950</v>
      </c>
      <c r="N11" s="24">
        <v>13102390</v>
      </c>
      <c r="O11" s="24">
        <v>18095430</v>
      </c>
      <c r="Q11" s="37">
        <f t="shared" si="17"/>
        <v>13290</v>
      </c>
      <c r="R11" s="37">
        <f t="shared" si="18"/>
        <v>3680</v>
      </c>
      <c r="S11" s="37">
        <f t="shared" si="16"/>
        <v>80</v>
      </c>
      <c r="T11" s="37">
        <f t="shared" si="19"/>
        <v>1680</v>
      </c>
      <c r="U11" s="37">
        <f t="shared" si="20"/>
        <v>4600</v>
      </c>
      <c r="V11" s="37">
        <f t="shared" si="21"/>
        <v>4170</v>
      </c>
      <c r="W11" s="37">
        <f t="shared" si="22"/>
        <v>2490</v>
      </c>
      <c r="X11" s="37">
        <f t="shared" si="23"/>
        <v>4820</v>
      </c>
      <c r="Y11" s="37">
        <f t="shared" si="24"/>
        <v>6060</v>
      </c>
      <c r="Z11" s="37">
        <f t="shared" si="25"/>
        <v>2780</v>
      </c>
      <c r="AA11" s="37">
        <f t="shared" si="26"/>
        <v>3280</v>
      </c>
      <c r="AB11" s="37">
        <f t="shared" si="27"/>
        <v>7290</v>
      </c>
      <c r="AC11" s="37">
        <f t="shared" si="28"/>
        <v>12200</v>
      </c>
      <c r="AD11" s="35">
        <f t="shared" si="29"/>
        <v>66420</v>
      </c>
      <c r="AF11" s="20">
        <f t="shared" si="1"/>
        <v>66.45</v>
      </c>
      <c r="AG11" s="20">
        <f t="shared" si="2"/>
        <v>18.400000000000002</v>
      </c>
      <c r="AH11" s="20">
        <f t="shared" si="3"/>
        <v>0.4</v>
      </c>
      <c r="AI11" s="20">
        <f t="shared" si="4"/>
        <v>8.4</v>
      </c>
      <c r="AJ11" s="20">
        <f t="shared" si="5"/>
        <v>23</v>
      </c>
      <c r="AK11" s="20">
        <f t="shared" si="6"/>
        <v>20.85</v>
      </c>
      <c r="AL11" s="20">
        <f t="shared" si="7"/>
        <v>12.450000000000001</v>
      </c>
      <c r="AM11" s="20">
        <f t="shared" si="8"/>
        <v>24.1</v>
      </c>
      <c r="AN11" s="20">
        <f t="shared" si="9"/>
        <v>30.3</v>
      </c>
      <c r="AO11" s="20">
        <f t="shared" si="10"/>
        <v>13.9</v>
      </c>
      <c r="AP11" s="20">
        <f t="shared" si="11"/>
        <v>16.399999999999999</v>
      </c>
      <c r="AQ11" s="20">
        <f t="shared" si="12"/>
        <v>36.450000000000003</v>
      </c>
      <c r="AR11" s="20">
        <f t="shared" si="13"/>
        <v>61</v>
      </c>
      <c r="AS11" s="35">
        <f t="shared" si="30"/>
        <v>332.1</v>
      </c>
      <c r="AU11" s="53">
        <v>351612</v>
      </c>
      <c r="AV11" s="37">
        <f t="shared" si="32"/>
        <v>2102</v>
      </c>
      <c r="AW11" s="35">
        <f t="shared" si="14"/>
        <v>4.2039999999999997</v>
      </c>
    </row>
    <row r="12" spans="1:49" x14ac:dyDescent="0.25">
      <c r="A12" s="23">
        <v>44506</v>
      </c>
      <c r="B12" s="40">
        <v>79</v>
      </c>
      <c r="C12" s="46">
        <v>7418470</v>
      </c>
      <c r="D12" s="24">
        <v>17476010</v>
      </c>
      <c r="E12" s="24">
        <v>3104150</v>
      </c>
      <c r="F12" s="24">
        <v>3744050</v>
      </c>
      <c r="G12" s="24">
        <v>11026780</v>
      </c>
      <c r="H12" s="24">
        <v>6056640</v>
      </c>
      <c r="I12" s="24">
        <v>5435780</v>
      </c>
      <c r="J12" s="24">
        <v>6558910</v>
      </c>
      <c r="K12" s="24">
        <v>9997400</v>
      </c>
      <c r="L12" s="24">
        <v>4222070</v>
      </c>
      <c r="M12" s="24">
        <v>8368130</v>
      </c>
      <c r="N12" s="24">
        <v>13109250</v>
      </c>
      <c r="O12" s="24">
        <v>18105400</v>
      </c>
      <c r="Q12" s="37">
        <f t="shared" si="17"/>
        <v>12480</v>
      </c>
      <c r="R12" s="37">
        <f t="shared" si="18"/>
        <v>3530</v>
      </c>
      <c r="S12" s="37">
        <f t="shared" si="16"/>
        <v>70</v>
      </c>
      <c r="T12" s="37">
        <f t="shared" ref="T12:W14" si="33">IF((F12-F11&lt;0), "0",F12-F11)</f>
        <v>1600</v>
      </c>
      <c r="U12" s="37">
        <f t="shared" si="33"/>
        <v>4450</v>
      </c>
      <c r="V12" s="37">
        <f t="shared" si="33"/>
        <v>4020</v>
      </c>
      <c r="W12" s="37">
        <f t="shared" si="33"/>
        <v>2370</v>
      </c>
      <c r="X12" s="37">
        <f t="shared" si="23"/>
        <v>4530</v>
      </c>
      <c r="Y12" s="37">
        <f t="shared" si="24"/>
        <v>5660</v>
      </c>
      <c r="Z12" s="37">
        <f>IF((L12-L11&lt;0), "0",L12-L11)</f>
        <v>2550</v>
      </c>
      <c r="AA12" s="37">
        <f t="shared" si="26"/>
        <v>3180</v>
      </c>
      <c r="AB12" s="37">
        <f t="shared" si="27"/>
        <v>6860</v>
      </c>
      <c r="AC12" s="37">
        <f t="shared" si="28"/>
        <v>9970</v>
      </c>
      <c r="AD12" s="35">
        <f t="shared" si="29"/>
        <v>61270</v>
      </c>
      <c r="AF12" s="20">
        <f t="shared" si="1"/>
        <v>62.4</v>
      </c>
      <c r="AG12" s="20">
        <f t="shared" si="2"/>
        <v>17.650000000000002</v>
      </c>
      <c r="AH12" s="20">
        <f t="shared" si="3"/>
        <v>0.35000000000000003</v>
      </c>
      <c r="AI12" s="20">
        <f t="shared" si="4"/>
        <v>8</v>
      </c>
      <c r="AJ12" s="20">
        <f t="shared" si="5"/>
        <v>22.25</v>
      </c>
      <c r="AK12" s="20">
        <f t="shared" si="6"/>
        <v>20.100000000000001</v>
      </c>
      <c r="AL12" s="20">
        <f t="shared" si="7"/>
        <v>11.85</v>
      </c>
      <c r="AM12" s="20">
        <f t="shared" si="8"/>
        <v>22.650000000000002</v>
      </c>
      <c r="AN12" s="20">
        <f t="shared" si="9"/>
        <v>28.3</v>
      </c>
      <c r="AO12" s="20">
        <f t="shared" si="10"/>
        <v>12.75</v>
      </c>
      <c r="AP12" s="20">
        <f t="shared" si="11"/>
        <v>15.9</v>
      </c>
      <c r="AQ12" s="20">
        <f t="shared" si="12"/>
        <v>34.300000000000004</v>
      </c>
      <c r="AR12" s="20">
        <f t="shared" si="13"/>
        <v>49.85</v>
      </c>
      <c r="AS12" s="35">
        <f t="shared" si="30"/>
        <v>306.35000000000002</v>
      </c>
      <c r="AU12" s="53">
        <v>353774</v>
      </c>
      <c r="AV12" s="37">
        <f t="shared" si="32"/>
        <v>2162</v>
      </c>
      <c r="AW12" s="35">
        <f t="shared" si="14"/>
        <v>4.3239999999999998</v>
      </c>
    </row>
    <row r="13" spans="1:49" x14ac:dyDescent="0.25">
      <c r="A13" s="23">
        <v>44507</v>
      </c>
      <c r="B13" s="40">
        <v>54</v>
      </c>
      <c r="C13" s="24">
        <v>7426960</v>
      </c>
      <c r="D13" s="24">
        <v>17484770</v>
      </c>
      <c r="E13" s="24">
        <v>3104240</v>
      </c>
      <c r="F13" s="24">
        <v>3745740</v>
      </c>
      <c r="G13" s="24">
        <v>11031120</v>
      </c>
      <c r="H13" s="24">
        <v>6060620</v>
      </c>
      <c r="I13" s="24">
        <v>5438390</v>
      </c>
      <c r="J13" s="24">
        <v>6563320</v>
      </c>
      <c r="K13" s="24">
        <v>10003420</v>
      </c>
      <c r="L13" s="24">
        <v>4224670</v>
      </c>
      <c r="M13" s="24">
        <v>8371190</v>
      </c>
      <c r="N13" s="24">
        <v>13116620</v>
      </c>
      <c r="O13" s="24">
        <v>18116740</v>
      </c>
      <c r="Q13" s="37">
        <f t="shared" si="17"/>
        <v>8490</v>
      </c>
      <c r="R13" s="37">
        <f t="shared" si="18"/>
        <v>8760</v>
      </c>
      <c r="S13" s="37">
        <f t="shared" si="16"/>
        <v>90</v>
      </c>
      <c r="T13" s="37">
        <f t="shared" si="33"/>
        <v>1690</v>
      </c>
      <c r="U13" s="37">
        <f t="shared" si="33"/>
        <v>4340</v>
      </c>
      <c r="V13" s="37">
        <f t="shared" si="33"/>
        <v>3980</v>
      </c>
      <c r="W13" s="37">
        <f t="shared" si="33"/>
        <v>2610</v>
      </c>
      <c r="X13" s="37">
        <f t="shared" si="23"/>
        <v>4410</v>
      </c>
      <c r="Y13" s="37">
        <f t="shared" si="24"/>
        <v>6020</v>
      </c>
      <c r="Z13" s="37">
        <f>IF((L13-L12&lt;0), "0",L13-L12)</f>
        <v>2600</v>
      </c>
      <c r="AA13" s="37">
        <f t="shared" si="26"/>
        <v>3060</v>
      </c>
      <c r="AB13" s="37">
        <f t="shared" si="27"/>
        <v>7370</v>
      </c>
      <c r="AC13" s="37">
        <f t="shared" si="28"/>
        <v>11340</v>
      </c>
      <c r="AD13" s="35">
        <f t="shared" si="29"/>
        <v>64760</v>
      </c>
      <c r="AF13" s="20">
        <f t="shared" si="1"/>
        <v>42.45</v>
      </c>
      <c r="AG13" s="20">
        <f t="shared" si="2"/>
        <v>43.800000000000004</v>
      </c>
      <c r="AH13" s="20">
        <f t="shared" si="3"/>
        <v>0.45</v>
      </c>
      <c r="AI13" s="20">
        <f t="shared" si="4"/>
        <v>8.4499999999999993</v>
      </c>
      <c r="AJ13" s="20">
        <f t="shared" si="5"/>
        <v>21.7</v>
      </c>
      <c r="AK13" s="20">
        <f t="shared" si="6"/>
        <v>19.900000000000002</v>
      </c>
      <c r="AL13" s="20">
        <f t="shared" si="7"/>
        <v>13.05</v>
      </c>
      <c r="AM13" s="20">
        <f t="shared" si="8"/>
        <v>22.05</v>
      </c>
      <c r="AN13" s="20">
        <f t="shared" si="9"/>
        <v>30.1</v>
      </c>
      <c r="AO13" s="20">
        <f t="shared" si="10"/>
        <v>13</v>
      </c>
      <c r="AP13" s="20">
        <f t="shared" si="11"/>
        <v>15.3</v>
      </c>
      <c r="AQ13" s="20">
        <f t="shared" si="12"/>
        <v>36.85</v>
      </c>
      <c r="AR13" s="20">
        <f t="shared" si="13"/>
        <v>56.7</v>
      </c>
      <c r="AS13" s="35">
        <f t="shared" si="30"/>
        <v>323.8</v>
      </c>
      <c r="AU13" s="53">
        <v>355857</v>
      </c>
      <c r="AV13" s="37">
        <f t="shared" si="32"/>
        <v>2083</v>
      </c>
      <c r="AW13" s="35">
        <f t="shared" si="14"/>
        <v>4.1660000000000004</v>
      </c>
    </row>
    <row r="14" spans="1:49" x14ac:dyDescent="0.25">
      <c r="A14" s="23">
        <v>44508</v>
      </c>
      <c r="B14" s="40">
        <v>46</v>
      </c>
      <c r="C14" s="24">
        <v>7427910</v>
      </c>
      <c r="D14" s="24">
        <v>17498950</v>
      </c>
      <c r="E14" s="24">
        <v>3104310</v>
      </c>
      <c r="F14" s="24">
        <v>3747250</v>
      </c>
      <c r="G14" s="24">
        <v>11035160</v>
      </c>
      <c r="H14" s="24">
        <v>6064210</v>
      </c>
      <c r="I14" s="24">
        <v>5440680</v>
      </c>
      <c r="J14" s="24">
        <v>6567550</v>
      </c>
      <c r="K14" s="24">
        <v>10009420</v>
      </c>
      <c r="L14" s="24">
        <v>4226960</v>
      </c>
      <c r="M14" s="24">
        <v>8373830</v>
      </c>
      <c r="N14" s="24">
        <v>13123110</v>
      </c>
      <c r="O14" s="24">
        <v>18126900</v>
      </c>
      <c r="P14" s="50"/>
      <c r="Q14" s="37">
        <f t="shared" si="17"/>
        <v>950</v>
      </c>
      <c r="R14" s="37">
        <f t="shared" si="18"/>
        <v>14180</v>
      </c>
      <c r="S14" s="37">
        <f t="shared" si="16"/>
        <v>70</v>
      </c>
      <c r="T14" s="37">
        <f t="shared" si="33"/>
        <v>1510</v>
      </c>
      <c r="U14" s="37">
        <f t="shared" si="33"/>
        <v>4040</v>
      </c>
      <c r="V14" s="37">
        <f t="shared" si="33"/>
        <v>3590</v>
      </c>
      <c r="W14" s="37">
        <f t="shared" si="33"/>
        <v>2290</v>
      </c>
      <c r="X14" s="37">
        <f t="shared" si="23"/>
        <v>4230</v>
      </c>
      <c r="Y14" s="37">
        <f t="shared" si="24"/>
        <v>6000</v>
      </c>
      <c r="Z14" s="37">
        <f>IF((L14-L13&lt;0), "0",L14-L13)</f>
        <v>2290</v>
      </c>
      <c r="AA14" s="37">
        <f t="shared" si="26"/>
        <v>2640</v>
      </c>
      <c r="AB14" s="37">
        <f t="shared" si="27"/>
        <v>6490</v>
      </c>
      <c r="AC14" s="37">
        <f t="shared" si="28"/>
        <v>10160</v>
      </c>
      <c r="AD14" s="35">
        <f t="shared" si="29"/>
        <v>58440</v>
      </c>
      <c r="AF14" s="20">
        <f t="shared" si="1"/>
        <v>4.75</v>
      </c>
      <c r="AG14" s="20">
        <f t="shared" si="2"/>
        <v>70.900000000000006</v>
      </c>
      <c r="AH14" s="20">
        <f t="shared" si="3"/>
        <v>0.35000000000000003</v>
      </c>
      <c r="AI14" s="20">
        <f t="shared" si="4"/>
        <v>7.55</v>
      </c>
      <c r="AJ14" s="20">
        <f t="shared" si="5"/>
        <v>20.2</v>
      </c>
      <c r="AK14" s="20">
        <f t="shared" si="6"/>
        <v>17.95</v>
      </c>
      <c r="AL14" s="20">
        <f t="shared" si="7"/>
        <v>11.450000000000001</v>
      </c>
      <c r="AM14" s="20">
        <f t="shared" si="8"/>
        <v>21.150000000000002</v>
      </c>
      <c r="AN14" s="20">
        <f t="shared" si="9"/>
        <v>30</v>
      </c>
      <c r="AO14" s="20">
        <f t="shared" si="10"/>
        <v>11.450000000000001</v>
      </c>
      <c r="AP14" s="20">
        <f t="shared" si="11"/>
        <v>13.200000000000001</v>
      </c>
      <c r="AQ14" s="20">
        <f t="shared" si="12"/>
        <v>32.450000000000003</v>
      </c>
      <c r="AR14" s="20">
        <f t="shared" si="13"/>
        <v>50.800000000000004</v>
      </c>
      <c r="AS14" s="35">
        <f t="shared" si="30"/>
        <v>292.2</v>
      </c>
      <c r="AU14" s="53">
        <v>357620</v>
      </c>
      <c r="AV14" s="37">
        <f t="shared" si="32"/>
        <v>1763</v>
      </c>
      <c r="AW14" s="35">
        <f t="shared" si="14"/>
        <v>3.5260000000000002</v>
      </c>
    </row>
    <row r="15" spans="1:49" x14ac:dyDescent="0.25">
      <c r="A15" s="23">
        <v>44509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 t="str">
        <f t="shared" si="17"/>
        <v>0</v>
      </c>
      <c r="R15" s="37" t="str">
        <f t="shared" si="18"/>
        <v>0</v>
      </c>
      <c r="S15" s="37" t="str">
        <f t="shared" si="16"/>
        <v>0</v>
      </c>
      <c r="T15" s="37" t="str">
        <f t="shared" si="19"/>
        <v>0</v>
      </c>
      <c r="U15" s="37" t="str">
        <f t="shared" si="20"/>
        <v>0</v>
      </c>
      <c r="V15" s="37" t="str">
        <f t="shared" si="21"/>
        <v>0</v>
      </c>
      <c r="W15" s="37" t="str">
        <f t="shared" si="22"/>
        <v>0</v>
      </c>
      <c r="X15" s="37" t="str">
        <f t="shared" si="23"/>
        <v>0</v>
      </c>
      <c r="Y15" s="37" t="str">
        <f t="shared" si="24"/>
        <v>0</v>
      </c>
      <c r="Z15" s="37" t="str">
        <f t="shared" si="25"/>
        <v>0</v>
      </c>
      <c r="AA15" s="37" t="str">
        <f t="shared" si="26"/>
        <v>0</v>
      </c>
      <c r="AB15" s="37" t="str">
        <f t="shared" si="27"/>
        <v>0</v>
      </c>
      <c r="AC15" s="37" t="str">
        <f t="shared" si="28"/>
        <v>0</v>
      </c>
      <c r="AD15" s="35">
        <f t="shared" si="29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30"/>
        <v>0</v>
      </c>
      <c r="AU15" s="53"/>
      <c r="AV15" s="37" t="str">
        <f t="shared" si="32"/>
        <v>0</v>
      </c>
      <c r="AW15" s="35">
        <f t="shared" si="14"/>
        <v>0</v>
      </c>
    </row>
    <row r="16" spans="1:49" x14ac:dyDescent="0.25">
      <c r="A16" s="23">
        <v>44510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7"/>
        <v>0</v>
      </c>
      <c r="R16" s="37">
        <f t="shared" si="18"/>
        <v>0</v>
      </c>
      <c r="S16" s="37">
        <f t="shared" si="16"/>
        <v>0</v>
      </c>
      <c r="T16" s="37">
        <f t="shared" si="19"/>
        <v>0</v>
      </c>
      <c r="U16" s="37">
        <f t="shared" si="20"/>
        <v>0</v>
      </c>
      <c r="V16" s="37">
        <f t="shared" si="21"/>
        <v>0</v>
      </c>
      <c r="W16" s="37">
        <f t="shared" si="22"/>
        <v>0</v>
      </c>
      <c r="X16" s="37">
        <f t="shared" si="23"/>
        <v>0</v>
      </c>
      <c r="Y16" s="37">
        <f t="shared" si="24"/>
        <v>0</v>
      </c>
      <c r="Z16" s="37">
        <f t="shared" si="25"/>
        <v>0</v>
      </c>
      <c r="AA16" s="37">
        <f t="shared" si="26"/>
        <v>0</v>
      </c>
      <c r="AB16" s="37">
        <f t="shared" si="27"/>
        <v>0</v>
      </c>
      <c r="AC16" s="37">
        <f t="shared" si="28"/>
        <v>0</v>
      </c>
      <c r="AD16" s="35">
        <f t="shared" si="29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30"/>
        <v>0</v>
      </c>
      <c r="AU16" s="53"/>
      <c r="AV16" s="37">
        <f t="shared" si="32"/>
        <v>0</v>
      </c>
      <c r="AW16" s="35">
        <f t="shared" si="14"/>
        <v>0</v>
      </c>
    </row>
    <row r="17" spans="1:49" x14ac:dyDescent="0.25">
      <c r="A17" s="23">
        <v>44511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7"/>
        <v>0</v>
      </c>
      <c r="R17" s="37">
        <f t="shared" si="18"/>
        <v>0</v>
      </c>
      <c r="S17" s="37">
        <f t="shared" si="16"/>
        <v>0</v>
      </c>
      <c r="T17" s="37">
        <f t="shared" si="19"/>
        <v>0</v>
      </c>
      <c r="U17" s="37">
        <f t="shared" si="20"/>
        <v>0</v>
      </c>
      <c r="V17" s="37">
        <f t="shared" si="21"/>
        <v>0</v>
      </c>
      <c r="W17" s="37">
        <f t="shared" si="22"/>
        <v>0</v>
      </c>
      <c r="X17" s="37">
        <f t="shared" si="23"/>
        <v>0</v>
      </c>
      <c r="Y17" s="37">
        <f t="shared" si="24"/>
        <v>0</v>
      </c>
      <c r="Z17" s="37">
        <f t="shared" si="25"/>
        <v>0</v>
      </c>
      <c r="AA17" s="37">
        <f t="shared" si="26"/>
        <v>0</v>
      </c>
      <c r="AB17" s="37">
        <f t="shared" si="27"/>
        <v>0</v>
      </c>
      <c r="AC17" s="37">
        <f t="shared" si="28"/>
        <v>0</v>
      </c>
      <c r="AD17" s="35">
        <f t="shared" si="29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30"/>
        <v>0</v>
      </c>
      <c r="AU17" s="53"/>
      <c r="AV17" s="37">
        <f t="shared" si="32"/>
        <v>0</v>
      </c>
      <c r="AW17" s="35">
        <f t="shared" si="14"/>
        <v>0</v>
      </c>
    </row>
    <row r="18" spans="1:49" x14ac:dyDescent="0.25">
      <c r="A18" s="23">
        <v>44512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7"/>
        <v>0</v>
      </c>
      <c r="R18" s="37">
        <f t="shared" si="18"/>
        <v>0</v>
      </c>
      <c r="S18" s="37">
        <f t="shared" si="16"/>
        <v>0</v>
      </c>
      <c r="T18" s="37">
        <f t="shared" si="19"/>
        <v>0</v>
      </c>
      <c r="U18" s="37">
        <f t="shared" si="20"/>
        <v>0</v>
      </c>
      <c r="V18" s="37">
        <f t="shared" si="21"/>
        <v>0</v>
      </c>
      <c r="W18" s="37">
        <f t="shared" si="22"/>
        <v>0</v>
      </c>
      <c r="X18" s="37">
        <f t="shared" si="23"/>
        <v>0</v>
      </c>
      <c r="Y18" s="37">
        <f t="shared" si="24"/>
        <v>0</v>
      </c>
      <c r="Z18" s="37">
        <f t="shared" si="25"/>
        <v>0</v>
      </c>
      <c r="AA18" s="37">
        <f t="shared" si="26"/>
        <v>0</v>
      </c>
      <c r="AB18" s="37">
        <f t="shared" si="27"/>
        <v>0</v>
      </c>
      <c r="AC18" s="37">
        <f t="shared" si="28"/>
        <v>0</v>
      </c>
      <c r="AD18" s="35">
        <f t="shared" si="29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30"/>
        <v>0</v>
      </c>
      <c r="AU18" s="53"/>
      <c r="AV18" s="37">
        <f t="shared" si="32"/>
        <v>0</v>
      </c>
      <c r="AW18" s="35">
        <f t="shared" si="14"/>
        <v>0</v>
      </c>
    </row>
    <row r="19" spans="1:49" x14ac:dyDescent="0.25">
      <c r="A19" s="23">
        <v>44513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7"/>
        <v>0</v>
      </c>
      <c r="R19" s="37">
        <f t="shared" si="18"/>
        <v>0</v>
      </c>
      <c r="S19" s="37">
        <f t="shared" si="16"/>
        <v>0</v>
      </c>
      <c r="T19" s="37">
        <f t="shared" si="19"/>
        <v>0</v>
      </c>
      <c r="U19" s="37">
        <f t="shared" si="20"/>
        <v>0</v>
      </c>
      <c r="V19" s="37">
        <f t="shared" si="21"/>
        <v>0</v>
      </c>
      <c r="W19" s="37">
        <f t="shared" si="22"/>
        <v>0</v>
      </c>
      <c r="X19" s="37">
        <f t="shared" si="23"/>
        <v>0</v>
      </c>
      <c r="Y19" s="37">
        <f t="shared" si="24"/>
        <v>0</v>
      </c>
      <c r="Z19" s="37">
        <f t="shared" si="25"/>
        <v>0</v>
      </c>
      <c r="AA19" s="37">
        <f t="shared" si="26"/>
        <v>0</v>
      </c>
      <c r="AB19" s="37">
        <f t="shared" si="27"/>
        <v>0</v>
      </c>
      <c r="AC19" s="37">
        <f t="shared" si="28"/>
        <v>0</v>
      </c>
      <c r="AD19" s="35">
        <f t="shared" si="29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0"/>
        <v>0</v>
      </c>
      <c r="AU19" s="53"/>
      <c r="AV19" s="37">
        <f t="shared" si="32"/>
        <v>0</v>
      </c>
      <c r="AW19" s="35">
        <f t="shared" si="14"/>
        <v>0</v>
      </c>
    </row>
    <row r="20" spans="1:49" x14ac:dyDescent="0.25">
      <c r="A20" s="23">
        <v>44514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7"/>
        <v>0</v>
      </c>
      <c r="R20" s="37">
        <f t="shared" si="18"/>
        <v>0</v>
      </c>
      <c r="S20" s="37">
        <f t="shared" si="16"/>
        <v>0</v>
      </c>
      <c r="T20" s="37">
        <f t="shared" si="19"/>
        <v>0</v>
      </c>
      <c r="U20" s="37">
        <f t="shared" si="20"/>
        <v>0</v>
      </c>
      <c r="V20" s="37">
        <f t="shared" si="21"/>
        <v>0</v>
      </c>
      <c r="W20" s="37">
        <f t="shared" si="22"/>
        <v>0</v>
      </c>
      <c r="X20" s="37">
        <f t="shared" si="23"/>
        <v>0</v>
      </c>
      <c r="Y20" s="37">
        <f t="shared" si="24"/>
        <v>0</v>
      </c>
      <c r="Z20" s="37">
        <f t="shared" si="25"/>
        <v>0</v>
      </c>
      <c r="AA20" s="37">
        <f t="shared" si="26"/>
        <v>0</v>
      </c>
      <c r="AB20" s="37">
        <f t="shared" si="27"/>
        <v>0</v>
      </c>
      <c r="AC20" s="37">
        <f t="shared" si="28"/>
        <v>0</v>
      </c>
      <c r="AD20" s="35">
        <f t="shared" si="29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0"/>
        <v>0</v>
      </c>
      <c r="AU20" s="53"/>
      <c r="AV20" s="37">
        <f t="shared" si="32"/>
        <v>0</v>
      </c>
      <c r="AW20" s="35">
        <f t="shared" si="14"/>
        <v>0</v>
      </c>
    </row>
    <row r="21" spans="1:49" x14ac:dyDescent="0.25">
      <c r="A21" s="23">
        <v>44515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7"/>
        <v>0</v>
      </c>
      <c r="R21" s="37">
        <f t="shared" si="18"/>
        <v>0</v>
      </c>
      <c r="S21" s="37">
        <f t="shared" si="16"/>
        <v>0</v>
      </c>
      <c r="T21" s="37">
        <f t="shared" si="19"/>
        <v>0</v>
      </c>
      <c r="U21" s="37">
        <f t="shared" si="20"/>
        <v>0</v>
      </c>
      <c r="V21" s="37">
        <f t="shared" si="21"/>
        <v>0</v>
      </c>
      <c r="W21" s="37">
        <f t="shared" si="22"/>
        <v>0</v>
      </c>
      <c r="X21" s="37">
        <f t="shared" si="23"/>
        <v>0</v>
      </c>
      <c r="Y21" s="37">
        <f t="shared" si="24"/>
        <v>0</v>
      </c>
      <c r="Z21" s="37">
        <f t="shared" si="25"/>
        <v>0</v>
      </c>
      <c r="AA21" s="37">
        <f t="shared" si="26"/>
        <v>0</v>
      </c>
      <c r="AB21" s="37">
        <f t="shared" si="27"/>
        <v>0</v>
      </c>
      <c r="AC21" s="37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53"/>
      <c r="AV21" s="37">
        <f t="shared" si="32"/>
        <v>0</v>
      </c>
      <c r="AW21" s="35">
        <f t="shared" si="14"/>
        <v>0</v>
      </c>
    </row>
    <row r="22" spans="1:49" x14ac:dyDescent="0.25">
      <c r="A22" s="23">
        <v>44516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53"/>
      <c r="AV22" s="37">
        <f t="shared" si="32"/>
        <v>0</v>
      </c>
      <c r="AW22" s="35">
        <f t="shared" si="14"/>
        <v>0</v>
      </c>
    </row>
    <row r="23" spans="1:49" x14ac:dyDescent="0.25">
      <c r="A23" s="23">
        <v>44517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53"/>
      <c r="AV23" s="37">
        <f t="shared" si="32"/>
        <v>0</v>
      </c>
      <c r="AW23" s="35">
        <f t="shared" si="14"/>
        <v>0</v>
      </c>
    </row>
    <row r="24" spans="1:49" x14ac:dyDescent="0.25">
      <c r="A24" s="23">
        <v>44518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53"/>
      <c r="AV24" s="37">
        <f t="shared" si="32"/>
        <v>0</v>
      </c>
      <c r="AW24" s="35">
        <f t="shared" si="14"/>
        <v>0</v>
      </c>
    </row>
    <row r="25" spans="1:49" x14ac:dyDescent="0.25">
      <c r="A25" s="23">
        <v>44519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4">IF((C25-C24&lt;0), "0",C25-C24)</f>
        <v>0</v>
      </c>
      <c r="R25" s="37">
        <f t="shared" si="34"/>
        <v>0</v>
      </c>
      <c r="S25" s="37">
        <f t="shared" si="34"/>
        <v>0</v>
      </c>
      <c r="T25" s="37">
        <f t="shared" si="34"/>
        <v>0</v>
      </c>
      <c r="U25" s="37">
        <f t="shared" si="34"/>
        <v>0</v>
      </c>
      <c r="V25" s="37">
        <f t="shared" si="34"/>
        <v>0</v>
      </c>
      <c r="W25" s="37">
        <f t="shared" si="34"/>
        <v>0</v>
      </c>
      <c r="X25" s="37">
        <f t="shared" si="34"/>
        <v>0</v>
      </c>
      <c r="Y25" s="37">
        <f t="shared" si="34"/>
        <v>0</v>
      </c>
      <c r="Z25" s="37">
        <f t="shared" si="34"/>
        <v>0</v>
      </c>
      <c r="AA25" s="37">
        <f t="shared" si="34"/>
        <v>0</v>
      </c>
      <c r="AB25" s="37">
        <f t="shared" si="34"/>
        <v>0</v>
      </c>
      <c r="AC25" s="37">
        <f t="shared" si="34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53"/>
      <c r="AV25" s="37">
        <f t="shared" si="32"/>
        <v>0</v>
      </c>
      <c r="AW25" s="35">
        <f t="shared" si="14"/>
        <v>0</v>
      </c>
    </row>
    <row r="26" spans="1:49" x14ac:dyDescent="0.25">
      <c r="A26" s="23">
        <v>44520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4"/>
        <v>0</v>
      </c>
      <c r="R26" s="37">
        <f t="shared" si="34"/>
        <v>0</v>
      </c>
      <c r="S26" s="37">
        <f t="shared" si="34"/>
        <v>0</v>
      </c>
      <c r="T26" s="37">
        <f t="shared" si="34"/>
        <v>0</v>
      </c>
      <c r="U26" s="37">
        <f t="shared" si="34"/>
        <v>0</v>
      </c>
      <c r="V26" s="37">
        <f t="shared" si="34"/>
        <v>0</v>
      </c>
      <c r="W26" s="37">
        <f t="shared" si="34"/>
        <v>0</v>
      </c>
      <c r="X26" s="37">
        <f t="shared" si="34"/>
        <v>0</v>
      </c>
      <c r="Y26" s="37">
        <f t="shared" si="34"/>
        <v>0</v>
      </c>
      <c r="Z26" s="37">
        <f t="shared" si="34"/>
        <v>0</v>
      </c>
      <c r="AA26" s="37">
        <f t="shared" si="34"/>
        <v>0</v>
      </c>
      <c r="AB26" s="37">
        <f t="shared" si="34"/>
        <v>0</v>
      </c>
      <c r="AC26" s="37">
        <f t="shared" si="34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53"/>
      <c r="AV26" s="37">
        <f t="shared" si="32"/>
        <v>0</v>
      </c>
      <c r="AW26" s="35">
        <f t="shared" si="14"/>
        <v>0</v>
      </c>
    </row>
    <row r="27" spans="1:49" x14ac:dyDescent="0.25">
      <c r="A27" s="23">
        <v>44521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4"/>
        <v>0</v>
      </c>
      <c r="R27" s="37">
        <f t="shared" si="34"/>
        <v>0</v>
      </c>
      <c r="S27" s="37">
        <f t="shared" si="34"/>
        <v>0</v>
      </c>
      <c r="T27" s="37">
        <f t="shared" si="34"/>
        <v>0</v>
      </c>
      <c r="U27" s="37">
        <f t="shared" si="34"/>
        <v>0</v>
      </c>
      <c r="V27" s="37">
        <f t="shared" si="34"/>
        <v>0</v>
      </c>
      <c r="W27" s="37">
        <f t="shared" si="34"/>
        <v>0</v>
      </c>
      <c r="X27" s="37">
        <f t="shared" si="34"/>
        <v>0</v>
      </c>
      <c r="Y27" s="37">
        <f t="shared" si="34"/>
        <v>0</v>
      </c>
      <c r="Z27" s="37">
        <f t="shared" si="34"/>
        <v>0</v>
      </c>
      <c r="AA27" s="37">
        <f t="shared" si="34"/>
        <v>0</v>
      </c>
      <c r="AB27" s="37">
        <f t="shared" si="34"/>
        <v>0</v>
      </c>
      <c r="AC27" s="37">
        <f t="shared" si="34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53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44522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53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44523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53"/>
      <c r="AV29" s="37">
        <f t="shared" ref="AV29:AV35" si="35">IF((AU29-AU28&lt;0),"0",AU29-AU28)</f>
        <v>0</v>
      </c>
      <c r="AW29" s="35">
        <f t="shared" si="14"/>
        <v>0</v>
      </c>
    </row>
    <row r="30" spans="1:49" x14ac:dyDescent="0.25">
      <c r="A30" s="23">
        <v>44524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53"/>
      <c r="AV30" s="37">
        <f t="shared" si="35"/>
        <v>0</v>
      </c>
      <c r="AW30" s="35">
        <f t="shared" si="14"/>
        <v>0</v>
      </c>
    </row>
    <row r="31" spans="1:49" x14ac:dyDescent="0.25">
      <c r="A31" s="23">
        <v>44525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53"/>
      <c r="AV31" s="37">
        <f t="shared" si="35"/>
        <v>0</v>
      </c>
      <c r="AW31" s="35">
        <f t="shared" si="14"/>
        <v>0</v>
      </c>
    </row>
    <row r="32" spans="1:49" x14ac:dyDescent="0.25">
      <c r="A32" s="23">
        <v>44526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53"/>
      <c r="AV32" s="37">
        <f t="shared" si="35"/>
        <v>0</v>
      </c>
      <c r="AW32" s="35">
        <f t="shared" si="14"/>
        <v>0</v>
      </c>
    </row>
    <row r="33" spans="1:49" x14ac:dyDescent="0.25">
      <c r="A33" s="23">
        <v>44527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53"/>
      <c r="AV33" s="37">
        <f t="shared" si="35"/>
        <v>0</v>
      </c>
      <c r="AW33" s="35">
        <f t="shared" si="14"/>
        <v>0</v>
      </c>
    </row>
    <row r="34" spans="1:49" x14ac:dyDescent="0.25">
      <c r="A34" s="23">
        <v>44528</v>
      </c>
      <c r="B34" s="48"/>
      <c r="C34" s="47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53"/>
      <c r="AV34" s="37">
        <f t="shared" si="35"/>
        <v>0</v>
      </c>
      <c r="AW34" s="35">
        <f t="shared" si="14"/>
        <v>0</v>
      </c>
    </row>
    <row r="35" spans="1:49" x14ac:dyDescent="0.25">
      <c r="A35" s="23">
        <v>44529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53"/>
      <c r="AV35" s="37">
        <f t="shared" si="35"/>
        <v>0</v>
      </c>
      <c r="AW35" s="35">
        <f t="shared" si="14"/>
        <v>0</v>
      </c>
    </row>
    <row r="36" spans="1:49" x14ac:dyDescent="0.25">
      <c r="A36" s="23">
        <v>44530</v>
      </c>
      <c r="B36" s="40"/>
      <c r="C36" s="24"/>
      <c r="D36" s="24"/>
      <c r="E36" s="24"/>
      <c r="F36" s="24"/>
      <c r="G36" s="24"/>
      <c r="H36" s="24"/>
      <c r="I36" s="24"/>
      <c r="J36" s="49"/>
      <c r="K36" s="24"/>
      <c r="L36" s="24"/>
      <c r="M36" s="24"/>
      <c r="N36" s="24"/>
      <c r="O36" s="24"/>
      <c r="Q36" s="37">
        <f t="shared" ref="Q36:AA36" si="36">IF((C36-C35&lt;0), "0",C36-C35)</f>
        <v>0</v>
      </c>
      <c r="R36" s="37">
        <f t="shared" si="36"/>
        <v>0</v>
      </c>
      <c r="S36" s="37">
        <f t="shared" si="36"/>
        <v>0</v>
      </c>
      <c r="T36" s="37">
        <f t="shared" si="36"/>
        <v>0</v>
      </c>
      <c r="U36" s="37">
        <f t="shared" si="36"/>
        <v>0</v>
      </c>
      <c r="V36" s="37">
        <f t="shared" si="36"/>
        <v>0</v>
      </c>
      <c r="W36" s="37">
        <f t="shared" si="36"/>
        <v>0</v>
      </c>
      <c r="X36" s="37">
        <f t="shared" si="36"/>
        <v>0</v>
      </c>
      <c r="Y36" s="37">
        <f t="shared" si="36"/>
        <v>0</v>
      </c>
      <c r="Z36" s="37">
        <f t="shared" si="36"/>
        <v>0</v>
      </c>
      <c r="AA36" s="37">
        <f t="shared" si="36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53"/>
      <c r="AV36" s="37">
        <f t="shared" ref="AV36:AV37" si="37">IF((AU36-AU35&lt;0),"0",AU36-AU35)</f>
        <v>0</v>
      </c>
      <c r="AW36" s="35">
        <f t="shared" ref="AW36:AW37" si="38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9">IF((C37-C36&lt;0), "0",C37-C36)</f>
        <v>0</v>
      </c>
      <c r="R37" s="37">
        <f t="shared" ref="R37" si="40">IF((D37-D36&lt;0), "0",D37-D36)</f>
        <v>0</v>
      </c>
      <c r="S37" s="37">
        <f t="shared" ref="S37" si="41">IF((E37-E36&lt;0), "0",E37-E36)</f>
        <v>0</v>
      </c>
      <c r="T37" s="37">
        <f t="shared" ref="T37" si="42">IF((F37-F36&lt;0), "0",F37-F36)</f>
        <v>0</v>
      </c>
      <c r="U37" s="37">
        <f t="shared" ref="U37" si="43">IF((G37-G36&lt;0), "0",G37-G36)</f>
        <v>0</v>
      </c>
      <c r="V37" s="37">
        <f t="shared" ref="V37" si="44">IF((H37-H36&lt;0), "0",H37-H36)</f>
        <v>0</v>
      </c>
      <c r="W37" s="37">
        <f t="shared" ref="W37" si="45">IF((I37-I36&lt;0), "0",I37-I36)</f>
        <v>0</v>
      </c>
      <c r="X37" s="37">
        <f t="shared" ref="X37" si="46">IF((J37-J36&lt;0), "0",J37-J36)</f>
        <v>0</v>
      </c>
      <c r="Y37" s="37">
        <f t="shared" ref="Y37" si="47">IF((K37-K36&lt;0), "0",K37-K36)</f>
        <v>0</v>
      </c>
      <c r="Z37" s="37">
        <f t="shared" ref="Z37" si="48">IF((L37-L36&lt;0), "0",L37-L36)</f>
        <v>0</v>
      </c>
      <c r="AA37" s="37">
        <f t="shared" ref="AA37" si="49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50">Q37*$D$39</f>
        <v>0</v>
      </c>
      <c r="AG37" s="20">
        <f t="shared" ref="AG37" si="51">R37*$D$39</f>
        <v>0</v>
      </c>
      <c r="AH37" s="20">
        <f t="shared" ref="AH37" si="52">S37*$D$39</f>
        <v>0</v>
      </c>
      <c r="AI37" s="20">
        <f t="shared" ref="AI37" si="53">T37*$D$39</f>
        <v>0</v>
      </c>
      <c r="AJ37" s="20">
        <f t="shared" ref="AJ37" si="54">U37*$D$39</f>
        <v>0</v>
      </c>
      <c r="AK37" s="20">
        <f t="shared" ref="AK37" si="55">V37*$D$39</f>
        <v>0</v>
      </c>
      <c r="AL37" s="20">
        <f t="shared" ref="AL37" si="56">W37*$D$39</f>
        <v>0</v>
      </c>
      <c r="AM37" s="20">
        <f t="shared" ref="AM37" si="57">X37*$D$39</f>
        <v>0</v>
      </c>
      <c r="AN37" s="20">
        <f t="shared" ref="AN37" si="58">Y37*$D$39</f>
        <v>0</v>
      </c>
      <c r="AO37" s="20">
        <f t="shared" ref="AO37" si="59">Z37*$D$39</f>
        <v>0</v>
      </c>
      <c r="AP37" s="20">
        <f t="shared" ref="AP37" si="60">AA37*$D$39</f>
        <v>0</v>
      </c>
      <c r="AQ37" s="20">
        <f t="shared" ref="AQ37" si="61">AB37*$D$39</f>
        <v>0</v>
      </c>
      <c r="AR37" s="20">
        <f t="shared" ref="AR37" si="62">AC37*$D$39</f>
        <v>0</v>
      </c>
      <c r="AS37" s="35">
        <f>SUM(AF37:AR37)</f>
        <v>0</v>
      </c>
      <c r="AU37" s="53"/>
      <c r="AV37" s="37">
        <f t="shared" si="37"/>
        <v>0</v>
      </c>
      <c r="AW37" s="35">
        <f t="shared" si="38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81730</v>
      </c>
      <c r="R38" s="38">
        <f t="shared" ref="R38:AD38" si="63">SUM(R7:R37)</f>
        <v>44690</v>
      </c>
      <c r="S38" s="38">
        <f t="shared" si="63"/>
        <v>2070</v>
      </c>
      <c r="T38" s="38">
        <f t="shared" si="63"/>
        <v>17850</v>
      </c>
      <c r="U38" s="38">
        <f t="shared" si="63"/>
        <v>34840</v>
      </c>
      <c r="V38" s="38">
        <f t="shared" si="63"/>
        <v>31880</v>
      </c>
      <c r="W38" s="38">
        <f t="shared" si="63"/>
        <v>19600</v>
      </c>
      <c r="X38" s="38">
        <f t="shared" si="63"/>
        <v>36330</v>
      </c>
      <c r="Y38" s="38">
        <f t="shared" si="63"/>
        <v>45740</v>
      </c>
      <c r="Z38" s="38">
        <f t="shared" si="63"/>
        <v>20570</v>
      </c>
      <c r="AA38" s="38">
        <f t="shared" si="63"/>
        <v>24380</v>
      </c>
      <c r="AB38" s="38">
        <f t="shared" si="63"/>
        <v>55890</v>
      </c>
      <c r="AC38" s="38">
        <f t="shared" si="63"/>
        <v>83830</v>
      </c>
      <c r="AD38" s="38">
        <f t="shared" si="63"/>
        <v>499400</v>
      </c>
      <c r="AF38" s="35">
        <f>SUM(AF7:AF37)</f>
        <v>408.65</v>
      </c>
      <c r="AG38" s="35">
        <f t="shared" ref="AG38:AS38" si="64">SUM(AG7:AG37)</f>
        <v>223.45000000000002</v>
      </c>
      <c r="AH38" s="35">
        <f t="shared" si="64"/>
        <v>10.35</v>
      </c>
      <c r="AI38" s="35">
        <f t="shared" si="64"/>
        <v>89.25</v>
      </c>
      <c r="AJ38" s="35">
        <f t="shared" si="64"/>
        <v>174.2</v>
      </c>
      <c r="AK38" s="35">
        <f t="shared" si="64"/>
        <v>159.4</v>
      </c>
      <c r="AL38" s="35">
        <f t="shared" si="64"/>
        <v>98</v>
      </c>
      <c r="AM38" s="35">
        <f t="shared" si="64"/>
        <v>181.65000000000003</v>
      </c>
      <c r="AN38" s="35">
        <f t="shared" si="64"/>
        <v>228.70000000000002</v>
      </c>
      <c r="AO38" s="35">
        <f t="shared" si="64"/>
        <v>102.85000000000001</v>
      </c>
      <c r="AP38" s="35">
        <f t="shared" si="64"/>
        <v>121.9</v>
      </c>
      <c r="AQ38" s="35">
        <f t="shared" si="64"/>
        <v>279.45000000000005</v>
      </c>
      <c r="AR38" s="35">
        <f t="shared" si="64"/>
        <v>419.15000000000003</v>
      </c>
      <c r="AS38" s="35">
        <f t="shared" si="64"/>
        <v>2497</v>
      </c>
      <c r="AU38" s="54"/>
      <c r="AV38" s="35">
        <f>SUM(AV7:AV34)</f>
        <v>16622</v>
      </c>
      <c r="AW38" s="35">
        <f>SUM(AW7:AW34)</f>
        <v>33.244</v>
      </c>
    </row>
    <row r="39" spans="1:49" x14ac:dyDescent="0.25">
      <c r="D39">
        <v>5.0000000000000001E-3</v>
      </c>
      <c r="AV39" s="36">
        <f>AV38*0.00378541*1000</f>
        <v>62921.085019999999</v>
      </c>
    </row>
    <row r="40" spans="1:49" x14ac:dyDescent="0.25">
      <c r="D40">
        <v>2E-3</v>
      </c>
      <c r="AV40">
        <f>AV39/31</f>
        <v>2029.7124200000001</v>
      </c>
    </row>
    <row r="41" spans="1:49" x14ac:dyDescent="0.25">
      <c r="AV41">
        <f>AV38*0.00378541</f>
        <v>62.92108502</v>
      </c>
    </row>
    <row r="44" spans="1:49" x14ac:dyDescent="0.25">
      <c r="AU44" s="51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2021-11-09T09:57:36Z</dcterms:modified>
</cp:coreProperties>
</file>