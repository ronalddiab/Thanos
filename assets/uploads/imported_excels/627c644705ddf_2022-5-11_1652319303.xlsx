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4" i="2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14" i="2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4" i="2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K34" i="3" l="1"/>
  <c r="J34" i="3"/>
  <c r="AE11" i="8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<sst xmlns="http://schemas.openxmlformats.org/spreadsheetml/2006/main" count="442" uniqueCount="149">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</sst>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45699.577780000007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55782.831147999997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52759.105376000007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58501.262596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7">
        <v>1.27</v>
      </c>
      <c r="G13" s="35">
        <f>Gas!C14*0.9147</f>
        <v>0</v>
      </c>
      <c r="H13" s="138">
        <v>3.65</v>
      </c>
      <c r="I13" s="140">
        <f>Submetering!H13+Submetering!AD13+Submetering!AE13</f>
        <v>-194</v>
      </c>
      <c r="J13" s="140">
        <v>10.029999999999999</v>
      </c>
      <c r="K13" s="35">
        <f>ELECT.!B14</f>
        <v>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7">
        <v>1.27</v>
      </c>
      <c r="G14" s="35">
        <f>Gas!C15*0.9147</f>
        <v>0</v>
      </c>
      <c r="H14" s="138">
        <v>3.65</v>
      </c>
      <c r="I14" s="140">
        <f>Submetering!H14+Submetering!AD14+Submetering!AE14</f>
        <v>-194</v>
      </c>
      <c r="J14" s="140">
        <v>10.029999999999999</v>
      </c>
      <c r="K14" s="35">
        <f>ELECT.!B15</f>
        <v>0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7">
        <v>1.27</v>
      </c>
      <c r="G15" s="35">
        <f>Gas!C16*0.9147</f>
        <v>0</v>
      </c>
      <c r="H15" s="138">
        <v>3.65</v>
      </c>
      <c r="I15" s="140">
        <f>Submetering!H15+Submetering!AD15+Submetering!AE15</f>
        <v>-194</v>
      </c>
      <c r="J15" s="140">
        <v>10.029999999999999</v>
      </c>
      <c r="K15" s="35">
        <f>ELECT.!B16</f>
        <v>0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7">
        <v>1.27</v>
      </c>
      <c r="G16" s="35">
        <f>Gas!C17*0.9147</f>
        <v>0</v>
      </c>
      <c r="H16" s="138">
        <v>3.65</v>
      </c>
      <c r="I16" s="140">
        <f>Submetering!H16+Submetering!AD16+Submetering!AE16</f>
        <v>-194</v>
      </c>
      <c r="J16" s="140">
        <v>10.029999999999999</v>
      </c>
      <c r="K16" s="35">
        <f>ELECT.!B17</f>
        <v>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7">
        <v>1.27</v>
      </c>
      <c r="G17" s="35">
        <f>Gas!C18*0.9147</f>
        <v>0</v>
      </c>
      <c r="H17" s="138">
        <v>3.65</v>
      </c>
      <c r="I17" s="140">
        <f>Submetering!H17+Submetering!AD17+Submetering!AE17</f>
        <v>-194</v>
      </c>
      <c r="J17" s="140">
        <v>10.029999999999999</v>
      </c>
      <c r="K17" s="35">
        <f>ELECT.!B18</f>
        <v>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7">
        <v>1.27</v>
      </c>
      <c r="G18" s="35">
        <f>Gas!C19*0.9147</f>
        <v>0</v>
      </c>
      <c r="H18" s="138">
        <v>3.65</v>
      </c>
      <c r="I18" s="140">
        <f>Submetering!H18+Submetering!AD18+Submetering!AE18</f>
        <v>-194</v>
      </c>
      <c r="J18" s="140">
        <v>10.029999999999999</v>
      </c>
      <c r="K18" s="35">
        <f>ELECT.!B19</f>
        <v>0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7">
        <v>1.27</v>
      </c>
      <c r="G19" s="35">
        <f>Gas!C20*0.9147</f>
        <v>0</v>
      </c>
      <c r="H19" s="138">
        <v>3.65</v>
      </c>
      <c r="I19" s="140">
        <f>Submetering!H19+Submetering!AD19+Submetering!AE19</f>
        <v>-194</v>
      </c>
      <c r="J19" s="140">
        <v>10.029999999999999</v>
      </c>
      <c r="K19" s="35">
        <f>ELECT.!B20</f>
        <v>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7">
        <v>1.27</v>
      </c>
      <c r="G20" s="35">
        <f>Gas!C21*0.9147</f>
        <v>0</v>
      </c>
      <c r="H20" s="138">
        <v>3.65</v>
      </c>
      <c r="I20" s="140">
        <f>Submetering!H20+Submetering!AD20+Submetering!AE20</f>
        <v>-194</v>
      </c>
      <c r="J20" s="140">
        <v>10.029999999999999</v>
      </c>
      <c r="K20" s="35">
        <f>ELECT.!B21</f>
        <v>0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7">
        <v>1.27</v>
      </c>
      <c r="G21" s="35">
        <f>Gas!C22*0.9147</f>
        <v>0</v>
      </c>
      <c r="H21" s="138">
        <v>3.65</v>
      </c>
      <c r="I21" s="140">
        <f>Submetering!H21+Submetering!AD21+Submetering!AE21</f>
        <v>-194</v>
      </c>
      <c r="J21" s="140">
        <v>10.029999999999999</v>
      </c>
      <c r="K21" s="35">
        <f>ELECT.!B22</f>
        <v>0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7">
        <v>1.27</v>
      </c>
      <c r="G22" s="35">
        <f>Gas!C23*0.9147</f>
        <v>0</v>
      </c>
      <c r="H22" s="138">
        <v>3.65</v>
      </c>
      <c r="I22" s="140">
        <f>Submetering!H22+Submetering!AD22+Submetering!AE22</f>
        <v>-194</v>
      </c>
      <c r="J22" s="140">
        <v>10.029999999999999</v>
      </c>
      <c r="K22" s="35">
        <f>ELECT.!B23</f>
        <v>0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7">
        <v>1.27</v>
      </c>
      <c r="G23" s="35">
        <f>Gas!C24*0.9147</f>
        <v>0</v>
      </c>
      <c r="H23" s="138">
        <v>3.65</v>
      </c>
      <c r="I23" s="140">
        <f>Submetering!H23+Submetering!AD23+Submetering!AE23</f>
        <v>-194</v>
      </c>
      <c r="J23" s="140">
        <v>10.029999999999999</v>
      </c>
      <c r="K23" s="35">
        <f>ELECT.!B24</f>
        <v>0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7">
        <v>1.27</v>
      </c>
      <c r="G24" s="35">
        <f>Gas!C25*0.9147</f>
        <v>0</v>
      </c>
      <c r="H24" s="138">
        <v>3.65</v>
      </c>
      <c r="I24" s="140">
        <f>Submetering!H24+Submetering!AD24+Submetering!AE24</f>
        <v>-194</v>
      </c>
      <c r="J24" s="140">
        <v>10.029999999999999</v>
      </c>
      <c r="K24" s="35">
        <f>ELECT.!B25</f>
        <v>0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7">
        <v>1.27</v>
      </c>
      <c r="G25" s="35">
        <f>Gas!C26*0.9147</f>
        <v>0</v>
      </c>
      <c r="H25" s="138">
        <v>3.65</v>
      </c>
      <c r="I25" s="140">
        <f>Submetering!H25+Submetering!AD25+Submetering!AE25</f>
        <v>-194</v>
      </c>
      <c r="J25" s="140">
        <v>10.029999999999999</v>
      </c>
      <c r="K25" s="35">
        <f>ELECT.!B26</f>
        <v>0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7">
        <v>1.27</v>
      </c>
      <c r="G26" s="35">
        <f>Gas!C27*0.9147</f>
        <v>0</v>
      </c>
      <c r="H26" s="138">
        <v>3.65</v>
      </c>
      <c r="I26" s="140">
        <f>Submetering!H26+Submetering!AD26+Submetering!AE26</f>
        <v>-194</v>
      </c>
      <c r="J26" s="140">
        <v>10.029999999999999</v>
      </c>
      <c r="K26" s="35">
        <f>ELECT.!B27</f>
        <v>0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7">
        <v>1.27</v>
      </c>
      <c r="G27" s="35">
        <f>Gas!C28*0.9147</f>
        <v>0</v>
      </c>
      <c r="H27" s="138">
        <v>3.65</v>
      </c>
      <c r="I27" s="140">
        <f>Submetering!H27+Submetering!AD27+Submetering!AE27</f>
        <v>-194</v>
      </c>
      <c r="J27" s="140">
        <v>10.029999999999999</v>
      </c>
      <c r="K27" s="35">
        <f>ELECT.!B28</f>
        <v>0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222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209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226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211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 t="str">
        <f>ELECT.!F14</f>
        <v>0</v>
      </c>
      <c r="J13" s="35" t="str">
        <f>ELECT.!H14</f>
        <v>0</v>
      </c>
      <c r="K13" s="35">
        <f>ELECT.!K14</f>
        <v>0</v>
      </c>
      <c r="L13" s="35" t="str">
        <f>ELECT.!M14</f>
        <v>0</v>
      </c>
      <c r="M13" s="35">
        <f>ELECT.!O14</f>
        <v>0</v>
      </c>
      <c r="N13" s="35" t="str">
        <f>ELECT.!Q14</f>
        <v>0</v>
      </c>
      <c r="O13" s="35" t="str">
        <f>ELECT.!S14</f>
        <v>0</v>
      </c>
      <c r="P13" s="35">
        <f>ELECT.!W14*2</f>
        <v>0</v>
      </c>
      <c r="Q13" s="35">
        <f>ELECT.!D14</f>
        <v>0</v>
      </c>
      <c r="R13" s="140" t="str">
        <f>BTU!C14</f>
        <v>0</v>
      </c>
      <c r="S13" s="140" t="str">
        <f>BTU!F14</f>
        <v>0</v>
      </c>
      <c r="T13" s="140" t="str">
        <f>BTU!I14</f>
        <v>0</v>
      </c>
      <c r="U13" s="140" t="str">
        <f>BTU!O14</f>
        <v>0</v>
      </c>
      <c r="V13" s="140" t="str">
        <f>BTU!L14</f>
        <v>0</v>
      </c>
      <c r="W13" s="140" t="str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40">
        <f>BTU!C15</f>
        <v>0</v>
      </c>
      <c r="S14" s="140">
        <f>BTU!F15</f>
        <v>0</v>
      </c>
      <c r="T14" s="140">
        <f>BTU!I15</f>
        <v>0</v>
      </c>
      <c r="U14" s="140">
        <f>BTU!O15</f>
        <v>0</v>
      </c>
      <c r="V14" s="140">
        <f>BTU!L15</f>
        <v>0</v>
      </c>
      <c r="W14" s="140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40">
        <f>BTU!C16</f>
        <v>0</v>
      </c>
      <c r="S15" s="140">
        <f>BTU!F16</f>
        <v>0</v>
      </c>
      <c r="T15" s="140">
        <f>BTU!I16</f>
        <v>0</v>
      </c>
      <c r="U15" s="140">
        <f>BTU!O16</f>
        <v>0</v>
      </c>
      <c r="V15" s="140">
        <f>BTU!L16</f>
        <v>0</v>
      </c>
      <c r="W15" s="140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40">
        <f>BTU!C17</f>
        <v>0</v>
      </c>
      <c r="S16" s="140">
        <f>BTU!F17</f>
        <v>0</v>
      </c>
      <c r="T16" s="140">
        <f>BTU!I17</f>
        <v>0</v>
      </c>
      <c r="U16" s="140">
        <f>BTU!O17</f>
        <v>0</v>
      </c>
      <c r="V16" s="140">
        <f>BTU!L17</f>
        <v>0</v>
      </c>
      <c r="W16" s="140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40">
        <f>BTU!C18</f>
        <v>0</v>
      </c>
      <c r="S17" s="140">
        <f>BTU!F18</f>
        <v>0</v>
      </c>
      <c r="T17" s="140">
        <f>BTU!I18</f>
        <v>0</v>
      </c>
      <c r="U17" s="140">
        <f>BTU!O18</f>
        <v>0</v>
      </c>
      <c r="V17" s="140">
        <f>BTU!L18</f>
        <v>0</v>
      </c>
      <c r="W17" s="140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40">
        <f>BTU!C19</f>
        <v>0</v>
      </c>
      <c r="S18" s="140">
        <f>BTU!F19</f>
        <v>0</v>
      </c>
      <c r="T18" s="140">
        <f>BTU!I19</f>
        <v>0</v>
      </c>
      <c r="U18" s="140">
        <f>BTU!O19</f>
        <v>0</v>
      </c>
      <c r="V18" s="140">
        <f>BTU!L19</f>
        <v>0</v>
      </c>
      <c r="W18" s="140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40">
        <f>BTU!C20</f>
        <v>0</v>
      </c>
      <c r="S19" s="140">
        <f>BTU!F20</f>
        <v>0</v>
      </c>
      <c r="T19" s="140">
        <f>BTU!I20</f>
        <v>0</v>
      </c>
      <c r="U19" s="140">
        <f>BTU!O20</f>
        <v>0</v>
      </c>
      <c r="V19" s="140">
        <f>BTU!L20</f>
        <v>0</v>
      </c>
      <c r="W19" s="140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40">
        <f>BTU!C21</f>
        <v>0</v>
      </c>
      <c r="S20" s="140">
        <f>BTU!F21</f>
        <v>0</v>
      </c>
      <c r="T20" s="140">
        <f>BTU!I21</f>
        <v>0</v>
      </c>
      <c r="U20" s="140">
        <f>BTU!O21</f>
        <v>0</v>
      </c>
      <c r="V20" s="140">
        <f>BTU!L21</f>
        <v>0</v>
      </c>
      <c r="W20" s="140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40">
        <f>BTU!C22</f>
        <v>0</v>
      </c>
      <c r="S21" s="140">
        <f>BTU!F22</f>
        <v>0</v>
      </c>
      <c r="T21" s="140">
        <f>BTU!I22</f>
        <v>0</v>
      </c>
      <c r="U21" s="140">
        <f>BTU!O22</f>
        <v>0</v>
      </c>
      <c r="V21" s="140">
        <f>BTU!L22</f>
        <v>0</v>
      </c>
      <c r="W21" s="140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40">
        <f>BTU!C23</f>
        <v>0</v>
      </c>
      <c r="S22" s="140">
        <f>BTU!F23</f>
        <v>0</v>
      </c>
      <c r="T22" s="140">
        <f>BTU!I23</f>
        <v>0</v>
      </c>
      <c r="U22" s="140">
        <f>BTU!O23</f>
        <v>0</v>
      </c>
      <c r="V22" s="140">
        <f>BTU!L23</f>
        <v>0</v>
      </c>
      <c r="W22" s="140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40">
        <f>BTU!C24</f>
        <v>0</v>
      </c>
      <c r="S23" s="140">
        <f>BTU!F24</f>
        <v>0</v>
      </c>
      <c r="T23" s="140">
        <f>BTU!I24</f>
        <v>0</v>
      </c>
      <c r="U23" s="140">
        <f>BTU!O24</f>
        <v>0</v>
      </c>
      <c r="V23" s="140">
        <f>BTU!L24</f>
        <v>0</v>
      </c>
      <c r="W23" s="140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40">
        <f>BTU!C25</f>
        <v>0</v>
      </c>
      <c r="S24" s="140">
        <f>BTU!F25</f>
        <v>0</v>
      </c>
      <c r="T24" s="140">
        <f>BTU!I25</f>
        <v>0</v>
      </c>
      <c r="U24" s="140">
        <f>BTU!O25</f>
        <v>0</v>
      </c>
      <c r="V24" s="140">
        <f>BTU!L25</f>
        <v>0</v>
      </c>
      <c r="W24" s="140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40">
        <f>BTU!C26</f>
        <v>0</v>
      </c>
      <c r="S25" s="140">
        <f>BTU!F26</f>
        <v>0</v>
      </c>
      <c r="T25" s="140">
        <f>BTU!I26</f>
        <v>0</v>
      </c>
      <c r="U25" s="140">
        <f>BTU!O26</f>
        <v>0</v>
      </c>
      <c r="V25" s="140">
        <f>BTU!L26</f>
        <v>0</v>
      </c>
      <c r="W25" s="140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40">
        <f>BTU!C27</f>
        <v>0</v>
      </c>
      <c r="S26" s="140">
        <f>BTU!F27</f>
        <v>0</v>
      </c>
      <c r="T26" s="140">
        <f>BTU!I27</f>
        <v>0</v>
      </c>
      <c r="U26" s="140">
        <f>BTU!O27</f>
        <v>0</v>
      </c>
      <c r="V26" s="140">
        <f>BTU!L27</f>
        <v>0</v>
      </c>
      <c r="W26" s="140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40">
        <f>BTU!C28</f>
        <v>0</v>
      </c>
      <c r="S27" s="140">
        <f>BTU!F28</f>
        <v>0</v>
      </c>
      <c r="T27" s="140">
        <f>BTU!I28</f>
        <v>0</v>
      </c>
      <c r="U27" s="140">
        <f>BTU!O28</f>
        <v>0</v>
      </c>
      <c r="V27" s="140">
        <f>BTU!L28</f>
        <v>0</v>
      </c>
      <c r="W27" s="140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40">
        <f>BTU!C29</f>
        <v>0</v>
      </c>
      <c r="S28" s="140">
        <f>BTU!F29</f>
        <v>0</v>
      </c>
      <c r="T28" s="140">
        <f>BTU!I29</f>
        <v>0</v>
      </c>
      <c r="U28" s="140">
        <f>BTU!O29</f>
        <v>0</v>
      </c>
      <c r="V28" s="140">
        <f>BTU!L29</f>
        <v>0</v>
      </c>
      <c r="W28" s="140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150581</v>
      </c>
      <c r="Q6" s="14">
        <f t="shared" si="0"/>
        <v>222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150790</v>
      </c>
      <c r="Q7" s="14">
        <f t="shared" si="0"/>
        <v>209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151016</v>
      </c>
      <c r="Q8" s="14">
        <f t="shared" si="0"/>
        <v>226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151227</v>
      </c>
      <c r="Q9" s="14">
        <f t="shared" si="0"/>
        <v>211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151353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151480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151610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151750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f t="shared" ref="B13:B33" si="11">B13</f>
        <v>46994</v>
      </c>
      <c r="C14" s="14">
        <f t="shared" si="9"/>
        <v>0</v>
      </c>
      <c r="D14" s="30">
        <f t="shared" ref="D13:D33" si="12">D13</f>
        <v>40573</v>
      </c>
      <c r="E14" s="14">
        <f t="shared" si="1"/>
        <v>0</v>
      </c>
      <c r="F14" s="30">
        <f t="shared" ref="F13:F33" si="13">F13</f>
        <v>21621</v>
      </c>
      <c r="G14" s="14">
        <f t="shared" si="2"/>
        <v>0</v>
      </c>
      <c r="H14" s="30">
        <f t="shared" ref="H13:H33" si="14">H13</f>
        <v>254907</v>
      </c>
      <c r="I14" s="14">
        <f t="shared" si="3"/>
        <v>0</v>
      </c>
      <c r="J14" s="30">
        <f t="shared" ref="J13:J33" si="15">J13</f>
        <v>313105</v>
      </c>
      <c r="K14" s="14">
        <f t="shared" si="4"/>
        <v>0</v>
      </c>
      <c r="L14" s="30">
        <f t="shared" ref="L13:L33" si="16">L13</f>
        <v>26110</v>
      </c>
      <c r="M14" s="14">
        <f t="shared" si="5"/>
        <v>0</v>
      </c>
      <c r="N14" s="30">
        <f t="shared" ref="N13:N33" si="17">N13</f>
        <v>225972</v>
      </c>
      <c r="O14" s="14">
        <f t="shared" si="6"/>
        <v>0</v>
      </c>
      <c r="P14" s="30">
        <f t="shared" ref="P13:P33" si="18">P13</f>
        <v>151750</v>
      </c>
      <c r="Q14" s="14">
        <f t="shared" si="0"/>
        <v>0</v>
      </c>
      <c r="R14" s="30">
        <f t="shared" si="10"/>
        <v>55047</v>
      </c>
      <c r="S14" s="14">
        <v>0</v>
      </c>
      <c r="T14" s="30">
        <f t="shared" ref="T13:T33" si="19">T13</f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f t="shared" si="11"/>
        <v>46994</v>
      </c>
      <c r="C15" s="14">
        <f t="shared" si="9"/>
        <v>0</v>
      </c>
      <c r="D15" s="30">
        <f t="shared" si="12"/>
        <v>40573</v>
      </c>
      <c r="E15" s="14">
        <f t="shared" si="1"/>
        <v>0</v>
      </c>
      <c r="F15" s="30">
        <f t="shared" si="13"/>
        <v>21621</v>
      </c>
      <c r="G15" s="14">
        <f t="shared" ref="G15" si="20">(F15-F14)*100/5</f>
        <v>0</v>
      </c>
      <c r="H15" s="30">
        <f t="shared" si="14"/>
        <v>254907</v>
      </c>
      <c r="I15" s="14">
        <f t="shared" ref="I15" si="21">(H15-H14)</f>
        <v>0</v>
      </c>
      <c r="J15" s="30">
        <f t="shared" si="15"/>
        <v>313105</v>
      </c>
      <c r="K15" s="14">
        <f t="shared" si="4"/>
        <v>0</v>
      </c>
      <c r="L15" s="30">
        <f t="shared" si="16"/>
        <v>26110</v>
      </c>
      <c r="M15" s="14">
        <f t="shared" si="5"/>
        <v>0</v>
      </c>
      <c r="N15" s="30">
        <f t="shared" si="17"/>
        <v>225972</v>
      </c>
      <c r="O15" s="14">
        <f t="shared" ref="O15" si="22">N15-N14</f>
        <v>0</v>
      </c>
      <c r="P15" s="30">
        <f t="shared" si="18"/>
        <v>151750</v>
      </c>
      <c r="Q15" s="14">
        <f t="shared" si="0"/>
        <v>0</v>
      </c>
      <c r="R15" s="30">
        <f t="shared" si="10"/>
        <v>55047</v>
      </c>
      <c r="S15" s="14">
        <v>0</v>
      </c>
      <c r="T15" s="30">
        <f t="shared" si="19"/>
        <v>3986</v>
      </c>
      <c r="U15" s="14">
        <f t="shared" ref="U15" si="23">(T15-T14)*800/5</f>
        <v>0</v>
      </c>
      <c r="X15" t="s">
        <v>12</v>
      </c>
    </row>
    <row r="16" spans="1:24" ht="13.5" thickBot="1" x14ac:dyDescent="0.25">
      <c r="A16" s="9">
        <v>44695</v>
      </c>
      <c r="B16" s="30">
        <f t="shared" si="11"/>
        <v>46994</v>
      </c>
      <c r="C16" s="14">
        <f t="shared" si="9"/>
        <v>0</v>
      </c>
      <c r="D16" s="30">
        <f t="shared" si="12"/>
        <v>40573</v>
      </c>
      <c r="E16" s="14">
        <f t="shared" si="1"/>
        <v>0</v>
      </c>
      <c r="F16" s="30">
        <f t="shared" si="13"/>
        <v>21621</v>
      </c>
      <c r="G16" s="14">
        <f t="shared" si="2"/>
        <v>0</v>
      </c>
      <c r="H16" s="30">
        <f t="shared" si="14"/>
        <v>254907</v>
      </c>
      <c r="I16" s="14">
        <f t="shared" si="3"/>
        <v>0</v>
      </c>
      <c r="J16" s="30">
        <f t="shared" si="15"/>
        <v>313105</v>
      </c>
      <c r="K16" s="14">
        <f t="shared" si="4"/>
        <v>0</v>
      </c>
      <c r="L16" s="30">
        <f t="shared" si="16"/>
        <v>26110</v>
      </c>
      <c r="M16" s="14">
        <f t="shared" si="5"/>
        <v>0</v>
      </c>
      <c r="N16" s="30">
        <f t="shared" si="17"/>
        <v>225972</v>
      </c>
      <c r="O16" s="14">
        <f t="shared" si="6"/>
        <v>0</v>
      </c>
      <c r="P16" s="30">
        <f t="shared" si="18"/>
        <v>151750</v>
      </c>
      <c r="Q16" s="14">
        <f t="shared" si="0"/>
        <v>0</v>
      </c>
      <c r="R16" s="30">
        <f t="shared" si="10"/>
        <v>55047</v>
      </c>
      <c r="S16" s="14">
        <f t="shared" si="7"/>
        <v>0</v>
      </c>
      <c r="T16" s="30">
        <f t="shared" si="19"/>
        <v>3986</v>
      </c>
      <c r="U16" s="14">
        <f t="shared" si="8"/>
        <v>0</v>
      </c>
      <c r="W16" t="s">
        <v>12</v>
      </c>
    </row>
    <row r="17" spans="1:23" ht="13.5" thickBot="1" x14ac:dyDescent="0.25">
      <c r="A17" s="9">
        <v>44696</v>
      </c>
      <c r="B17" s="30">
        <f t="shared" si="11"/>
        <v>46994</v>
      </c>
      <c r="C17" s="14">
        <f t="shared" si="9"/>
        <v>0</v>
      </c>
      <c r="D17" s="30">
        <f t="shared" si="12"/>
        <v>40573</v>
      </c>
      <c r="E17" s="14">
        <f t="shared" si="1"/>
        <v>0</v>
      </c>
      <c r="F17" s="30">
        <f t="shared" si="13"/>
        <v>21621</v>
      </c>
      <c r="G17" s="14">
        <f t="shared" si="2"/>
        <v>0</v>
      </c>
      <c r="H17" s="30">
        <f t="shared" si="14"/>
        <v>254907</v>
      </c>
      <c r="I17" s="14">
        <f t="shared" si="3"/>
        <v>0</v>
      </c>
      <c r="J17" s="30">
        <f t="shared" si="15"/>
        <v>313105</v>
      </c>
      <c r="K17" s="14">
        <f t="shared" si="4"/>
        <v>0</v>
      </c>
      <c r="L17" s="30">
        <f t="shared" si="16"/>
        <v>26110</v>
      </c>
      <c r="M17" s="14">
        <f t="shared" si="5"/>
        <v>0</v>
      </c>
      <c r="N17" s="30">
        <f t="shared" si="17"/>
        <v>225972</v>
      </c>
      <c r="O17" s="14">
        <f t="shared" si="6"/>
        <v>0</v>
      </c>
      <c r="P17" s="30">
        <f t="shared" si="18"/>
        <v>151750</v>
      </c>
      <c r="Q17" s="14">
        <f t="shared" si="0"/>
        <v>0</v>
      </c>
      <c r="R17" s="30">
        <f t="shared" si="10"/>
        <v>55047</v>
      </c>
      <c r="S17" s="14">
        <f>S16</f>
        <v>0</v>
      </c>
      <c r="T17" s="30">
        <f t="shared" si="19"/>
        <v>3986</v>
      </c>
      <c r="U17" s="14">
        <f t="shared" si="8"/>
        <v>0</v>
      </c>
    </row>
    <row r="18" spans="1:23" ht="13.5" thickBot="1" x14ac:dyDescent="0.25">
      <c r="A18" s="9">
        <v>44697</v>
      </c>
      <c r="B18" s="30">
        <f t="shared" si="11"/>
        <v>46994</v>
      </c>
      <c r="C18" s="14">
        <f t="shared" si="9"/>
        <v>0</v>
      </c>
      <c r="D18" s="30">
        <f t="shared" si="12"/>
        <v>40573</v>
      </c>
      <c r="E18" s="14">
        <f t="shared" si="1"/>
        <v>0</v>
      </c>
      <c r="F18" s="30">
        <f t="shared" si="13"/>
        <v>21621</v>
      </c>
      <c r="G18" s="14">
        <f t="shared" si="2"/>
        <v>0</v>
      </c>
      <c r="H18" s="30">
        <f t="shared" si="14"/>
        <v>254907</v>
      </c>
      <c r="I18" s="14">
        <f t="shared" si="3"/>
        <v>0</v>
      </c>
      <c r="J18" s="30">
        <f t="shared" si="15"/>
        <v>313105</v>
      </c>
      <c r="K18" s="14">
        <f t="shared" si="4"/>
        <v>0</v>
      </c>
      <c r="L18" s="30">
        <f t="shared" si="16"/>
        <v>26110</v>
      </c>
      <c r="M18" s="14">
        <f t="shared" si="5"/>
        <v>0</v>
      </c>
      <c r="N18" s="30">
        <f t="shared" si="17"/>
        <v>225972</v>
      </c>
      <c r="O18" s="14">
        <f t="shared" si="6"/>
        <v>0</v>
      </c>
      <c r="P18" s="30">
        <f t="shared" si="18"/>
        <v>151750</v>
      </c>
      <c r="Q18" s="14">
        <f t="shared" si="0"/>
        <v>0</v>
      </c>
      <c r="R18" s="30">
        <f t="shared" si="10"/>
        <v>55047</v>
      </c>
      <c r="S18" s="14">
        <f t="shared" si="7"/>
        <v>0</v>
      </c>
      <c r="T18" s="30">
        <f t="shared" si="19"/>
        <v>3986</v>
      </c>
      <c r="U18" s="14">
        <f t="shared" si="8"/>
        <v>0</v>
      </c>
    </row>
    <row r="19" spans="1:23" ht="13.5" thickBot="1" x14ac:dyDescent="0.25">
      <c r="A19" s="9">
        <v>44698</v>
      </c>
      <c r="B19" s="30">
        <f t="shared" si="11"/>
        <v>46994</v>
      </c>
      <c r="C19" s="14">
        <f t="shared" si="9"/>
        <v>0</v>
      </c>
      <c r="D19" s="30">
        <f t="shared" si="12"/>
        <v>40573</v>
      </c>
      <c r="E19" s="14">
        <f t="shared" si="1"/>
        <v>0</v>
      </c>
      <c r="F19" s="30">
        <f t="shared" si="13"/>
        <v>21621</v>
      </c>
      <c r="G19" s="14">
        <f t="shared" si="2"/>
        <v>0</v>
      </c>
      <c r="H19" s="30">
        <f t="shared" si="14"/>
        <v>254907</v>
      </c>
      <c r="I19" s="14">
        <f t="shared" si="3"/>
        <v>0</v>
      </c>
      <c r="J19" s="30">
        <f t="shared" si="15"/>
        <v>313105</v>
      </c>
      <c r="K19" s="14">
        <f t="shared" si="4"/>
        <v>0</v>
      </c>
      <c r="L19" s="30">
        <f t="shared" si="16"/>
        <v>26110</v>
      </c>
      <c r="M19" s="14">
        <f t="shared" si="5"/>
        <v>0</v>
      </c>
      <c r="N19" s="30">
        <f t="shared" si="17"/>
        <v>225972</v>
      </c>
      <c r="O19" s="14">
        <f t="shared" si="6"/>
        <v>0</v>
      </c>
      <c r="P19" s="30">
        <f t="shared" si="18"/>
        <v>151750</v>
      </c>
      <c r="Q19" s="14">
        <f t="shared" si="0"/>
        <v>0</v>
      </c>
      <c r="R19" s="30">
        <f t="shared" si="10"/>
        <v>55047</v>
      </c>
      <c r="S19" s="14">
        <f t="shared" si="7"/>
        <v>0</v>
      </c>
      <c r="T19" s="30">
        <f t="shared" si="19"/>
        <v>3986</v>
      </c>
      <c r="U19" s="14">
        <f t="shared" si="8"/>
        <v>0</v>
      </c>
      <c r="W19" t="s">
        <v>12</v>
      </c>
    </row>
    <row r="20" spans="1:23" ht="13.5" thickBot="1" x14ac:dyDescent="0.25">
      <c r="A20" s="9">
        <v>44699</v>
      </c>
      <c r="B20" s="30">
        <f t="shared" si="11"/>
        <v>46994</v>
      </c>
      <c r="C20" s="14">
        <f t="shared" si="9"/>
        <v>0</v>
      </c>
      <c r="D20" s="30">
        <f t="shared" si="12"/>
        <v>40573</v>
      </c>
      <c r="E20" s="14">
        <f t="shared" si="1"/>
        <v>0</v>
      </c>
      <c r="F20" s="30">
        <f t="shared" si="13"/>
        <v>21621</v>
      </c>
      <c r="G20" s="14">
        <f t="shared" si="2"/>
        <v>0</v>
      </c>
      <c r="H20" s="30">
        <f t="shared" si="14"/>
        <v>254907</v>
      </c>
      <c r="I20" s="14">
        <f t="shared" si="3"/>
        <v>0</v>
      </c>
      <c r="J20" s="30">
        <f t="shared" si="15"/>
        <v>313105</v>
      </c>
      <c r="K20" s="14">
        <f t="shared" si="4"/>
        <v>0</v>
      </c>
      <c r="L20" s="30">
        <f t="shared" si="16"/>
        <v>26110</v>
      </c>
      <c r="M20" s="14">
        <f t="shared" si="5"/>
        <v>0</v>
      </c>
      <c r="N20" s="30">
        <f t="shared" si="17"/>
        <v>225972</v>
      </c>
      <c r="O20" s="14">
        <f t="shared" si="6"/>
        <v>0</v>
      </c>
      <c r="P20" s="30">
        <f t="shared" si="18"/>
        <v>151750</v>
      </c>
      <c r="Q20" s="14">
        <f t="shared" si="0"/>
        <v>0</v>
      </c>
      <c r="R20" s="30">
        <f t="shared" si="10"/>
        <v>55047</v>
      </c>
      <c r="S20" s="14">
        <f t="shared" si="7"/>
        <v>0</v>
      </c>
      <c r="T20" s="30">
        <f t="shared" si="19"/>
        <v>3986</v>
      </c>
      <c r="U20" s="14">
        <f t="shared" si="8"/>
        <v>0</v>
      </c>
    </row>
    <row r="21" spans="1:23" ht="13.5" thickBot="1" x14ac:dyDescent="0.25">
      <c r="A21" s="9">
        <v>44700</v>
      </c>
      <c r="B21" s="30">
        <f t="shared" si="11"/>
        <v>46994</v>
      </c>
      <c r="C21" s="14">
        <f t="shared" si="9"/>
        <v>0</v>
      </c>
      <c r="D21" s="30">
        <f t="shared" si="12"/>
        <v>40573</v>
      </c>
      <c r="E21" s="14">
        <f t="shared" si="1"/>
        <v>0</v>
      </c>
      <c r="F21" s="30">
        <f t="shared" si="13"/>
        <v>21621</v>
      </c>
      <c r="G21" s="14">
        <f t="shared" si="2"/>
        <v>0</v>
      </c>
      <c r="H21" s="30">
        <f t="shared" si="14"/>
        <v>254907</v>
      </c>
      <c r="I21" s="14">
        <f t="shared" si="3"/>
        <v>0</v>
      </c>
      <c r="J21" s="30">
        <f t="shared" si="15"/>
        <v>313105</v>
      </c>
      <c r="K21" s="14">
        <f t="shared" si="4"/>
        <v>0</v>
      </c>
      <c r="L21" s="30">
        <f t="shared" si="16"/>
        <v>26110</v>
      </c>
      <c r="M21" s="14">
        <f t="shared" si="5"/>
        <v>0</v>
      </c>
      <c r="N21" s="30">
        <f t="shared" si="17"/>
        <v>225972</v>
      </c>
      <c r="O21" s="14">
        <f t="shared" si="6"/>
        <v>0</v>
      </c>
      <c r="P21" s="30">
        <f t="shared" si="18"/>
        <v>151750</v>
      </c>
      <c r="Q21" s="14">
        <f t="shared" si="0"/>
        <v>0</v>
      </c>
      <c r="R21" s="30">
        <f t="shared" si="10"/>
        <v>55047</v>
      </c>
      <c r="S21" s="14">
        <f t="shared" si="7"/>
        <v>0</v>
      </c>
      <c r="T21" s="30">
        <f t="shared" si="19"/>
        <v>3986</v>
      </c>
      <c r="U21" s="14">
        <f t="shared" si="8"/>
        <v>0</v>
      </c>
    </row>
    <row r="22" spans="1:23" ht="13.5" thickBot="1" x14ac:dyDescent="0.25">
      <c r="A22" s="9">
        <v>44701</v>
      </c>
      <c r="B22" s="30">
        <f t="shared" si="11"/>
        <v>46994</v>
      </c>
      <c r="C22" s="14">
        <f t="shared" si="9"/>
        <v>0</v>
      </c>
      <c r="D22" s="30">
        <f t="shared" si="12"/>
        <v>40573</v>
      </c>
      <c r="E22" s="14">
        <f t="shared" si="1"/>
        <v>0</v>
      </c>
      <c r="F22" s="30">
        <f t="shared" si="13"/>
        <v>21621</v>
      </c>
      <c r="G22" s="14">
        <f t="shared" si="2"/>
        <v>0</v>
      </c>
      <c r="H22" s="30">
        <f t="shared" si="14"/>
        <v>254907</v>
      </c>
      <c r="I22" s="14">
        <f t="shared" si="3"/>
        <v>0</v>
      </c>
      <c r="J22" s="30">
        <f t="shared" si="15"/>
        <v>313105</v>
      </c>
      <c r="K22" s="14">
        <f t="shared" si="4"/>
        <v>0</v>
      </c>
      <c r="L22" s="30">
        <f t="shared" si="16"/>
        <v>26110</v>
      </c>
      <c r="M22" s="14">
        <f t="shared" si="5"/>
        <v>0</v>
      </c>
      <c r="N22" s="30">
        <f t="shared" si="17"/>
        <v>225972</v>
      </c>
      <c r="O22" s="14">
        <f t="shared" si="6"/>
        <v>0</v>
      </c>
      <c r="P22" s="30">
        <f t="shared" si="18"/>
        <v>151750</v>
      </c>
      <c r="Q22" s="14">
        <f t="shared" si="0"/>
        <v>0</v>
      </c>
      <c r="R22" s="30">
        <f t="shared" si="10"/>
        <v>55047</v>
      </c>
      <c r="S22" s="14">
        <f t="shared" si="7"/>
        <v>0</v>
      </c>
      <c r="T22" s="30">
        <f t="shared" si="19"/>
        <v>3986</v>
      </c>
      <c r="U22" s="14">
        <f t="shared" si="8"/>
        <v>0</v>
      </c>
    </row>
    <row r="23" spans="1:23" ht="13.5" thickBot="1" x14ac:dyDescent="0.25">
      <c r="A23" s="9">
        <v>44702</v>
      </c>
      <c r="B23" s="30">
        <f t="shared" si="11"/>
        <v>46994</v>
      </c>
      <c r="C23" s="14">
        <f t="shared" si="9"/>
        <v>0</v>
      </c>
      <c r="D23" s="30">
        <f t="shared" si="12"/>
        <v>40573</v>
      </c>
      <c r="E23" s="14">
        <f t="shared" si="1"/>
        <v>0</v>
      </c>
      <c r="F23" s="30">
        <f t="shared" si="13"/>
        <v>21621</v>
      </c>
      <c r="G23" s="14">
        <f t="shared" si="2"/>
        <v>0</v>
      </c>
      <c r="H23" s="30">
        <f t="shared" si="14"/>
        <v>254907</v>
      </c>
      <c r="I23" s="14">
        <f t="shared" si="3"/>
        <v>0</v>
      </c>
      <c r="J23" s="30">
        <f t="shared" si="15"/>
        <v>313105</v>
      </c>
      <c r="K23" s="14">
        <f t="shared" si="4"/>
        <v>0</v>
      </c>
      <c r="L23" s="30">
        <f t="shared" si="16"/>
        <v>26110</v>
      </c>
      <c r="M23" s="14">
        <f t="shared" si="5"/>
        <v>0</v>
      </c>
      <c r="N23" s="30">
        <f t="shared" si="17"/>
        <v>225972</v>
      </c>
      <c r="O23" s="14">
        <f t="shared" si="6"/>
        <v>0</v>
      </c>
      <c r="P23" s="30">
        <f t="shared" si="18"/>
        <v>151750</v>
      </c>
      <c r="Q23" s="14">
        <f t="shared" si="0"/>
        <v>0</v>
      </c>
      <c r="R23" s="30">
        <f t="shared" si="10"/>
        <v>55047</v>
      </c>
      <c r="S23" s="14">
        <f t="shared" si="7"/>
        <v>0</v>
      </c>
      <c r="T23" s="30">
        <f t="shared" si="19"/>
        <v>3986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f t="shared" si="11"/>
        <v>46994</v>
      </c>
      <c r="C24" s="14">
        <f t="shared" si="9"/>
        <v>0</v>
      </c>
      <c r="D24" s="30">
        <f t="shared" si="12"/>
        <v>40573</v>
      </c>
      <c r="E24" s="14">
        <f t="shared" si="1"/>
        <v>0</v>
      </c>
      <c r="F24" s="30">
        <f t="shared" si="13"/>
        <v>21621</v>
      </c>
      <c r="G24" s="14">
        <f t="shared" si="2"/>
        <v>0</v>
      </c>
      <c r="H24" s="30">
        <f t="shared" si="14"/>
        <v>254907</v>
      </c>
      <c r="I24" s="14">
        <f t="shared" si="3"/>
        <v>0</v>
      </c>
      <c r="J24" s="30">
        <f t="shared" si="15"/>
        <v>313105</v>
      </c>
      <c r="K24" s="14">
        <f t="shared" si="4"/>
        <v>0</v>
      </c>
      <c r="L24" s="30">
        <f t="shared" si="16"/>
        <v>26110</v>
      </c>
      <c r="M24" s="14">
        <f t="shared" si="5"/>
        <v>0</v>
      </c>
      <c r="N24" s="30">
        <f t="shared" si="17"/>
        <v>225972</v>
      </c>
      <c r="O24" s="14">
        <f t="shared" si="6"/>
        <v>0</v>
      </c>
      <c r="P24" s="30">
        <f t="shared" si="18"/>
        <v>151750</v>
      </c>
      <c r="Q24" s="14">
        <f t="shared" si="0"/>
        <v>0</v>
      </c>
      <c r="R24" s="30">
        <f t="shared" si="10"/>
        <v>55047</v>
      </c>
      <c r="S24" s="14">
        <f t="shared" si="7"/>
        <v>0</v>
      </c>
      <c r="T24" s="30">
        <f t="shared" si="19"/>
        <v>3986</v>
      </c>
      <c r="U24" s="14">
        <f t="shared" si="8"/>
        <v>0</v>
      </c>
    </row>
    <row r="25" spans="1:23" ht="13.5" thickBot="1" x14ac:dyDescent="0.25">
      <c r="A25" s="9">
        <v>44704</v>
      </c>
      <c r="B25" s="30">
        <f t="shared" si="11"/>
        <v>46994</v>
      </c>
      <c r="C25" s="14">
        <f t="shared" si="9"/>
        <v>0</v>
      </c>
      <c r="D25" s="30">
        <f t="shared" si="12"/>
        <v>40573</v>
      </c>
      <c r="E25" s="14">
        <f t="shared" si="1"/>
        <v>0</v>
      </c>
      <c r="F25" s="30">
        <f t="shared" si="13"/>
        <v>21621</v>
      </c>
      <c r="G25" s="14">
        <f t="shared" si="2"/>
        <v>0</v>
      </c>
      <c r="H25" s="30">
        <f t="shared" si="14"/>
        <v>254907</v>
      </c>
      <c r="I25" s="14">
        <f t="shared" si="3"/>
        <v>0</v>
      </c>
      <c r="J25" s="30">
        <f t="shared" si="15"/>
        <v>313105</v>
      </c>
      <c r="K25" s="14">
        <f t="shared" si="4"/>
        <v>0</v>
      </c>
      <c r="L25" s="30">
        <f t="shared" si="16"/>
        <v>26110</v>
      </c>
      <c r="M25" s="14">
        <f t="shared" si="5"/>
        <v>0</v>
      </c>
      <c r="N25" s="30">
        <f t="shared" si="17"/>
        <v>225972</v>
      </c>
      <c r="O25" s="14">
        <f t="shared" si="6"/>
        <v>0</v>
      </c>
      <c r="P25" s="30">
        <f t="shared" si="18"/>
        <v>151750</v>
      </c>
      <c r="Q25" s="14">
        <f t="shared" si="0"/>
        <v>0</v>
      </c>
      <c r="R25" s="30">
        <f t="shared" si="10"/>
        <v>55047</v>
      </c>
      <c r="S25" s="14">
        <f t="shared" si="7"/>
        <v>0</v>
      </c>
      <c r="T25" s="30">
        <f t="shared" si="19"/>
        <v>3986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44705</v>
      </c>
      <c r="B26" s="30">
        <f t="shared" si="11"/>
        <v>46994</v>
      </c>
      <c r="C26" s="14">
        <f t="shared" si="9"/>
        <v>0</v>
      </c>
      <c r="D26" s="30">
        <f t="shared" si="12"/>
        <v>40573</v>
      </c>
      <c r="E26" s="14">
        <f t="shared" si="1"/>
        <v>0</v>
      </c>
      <c r="F26" s="30">
        <f t="shared" si="13"/>
        <v>21621</v>
      </c>
      <c r="G26" s="14">
        <f t="shared" si="2"/>
        <v>0</v>
      </c>
      <c r="H26" s="30">
        <f t="shared" si="14"/>
        <v>254907</v>
      </c>
      <c r="I26" s="14">
        <f t="shared" si="3"/>
        <v>0</v>
      </c>
      <c r="J26" s="30">
        <f t="shared" si="15"/>
        <v>313105</v>
      </c>
      <c r="K26" s="14">
        <f t="shared" si="4"/>
        <v>0</v>
      </c>
      <c r="L26" s="30">
        <f t="shared" si="16"/>
        <v>26110</v>
      </c>
      <c r="M26" s="14">
        <f t="shared" si="5"/>
        <v>0</v>
      </c>
      <c r="N26" s="30">
        <f t="shared" si="17"/>
        <v>225972</v>
      </c>
      <c r="O26" s="14">
        <f t="shared" si="6"/>
        <v>0</v>
      </c>
      <c r="P26" s="30">
        <f t="shared" si="18"/>
        <v>151750</v>
      </c>
      <c r="Q26" s="14">
        <f t="shared" si="0"/>
        <v>0</v>
      </c>
      <c r="R26" s="30">
        <f t="shared" si="10"/>
        <v>55047</v>
      </c>
      <c r="S26" s="14">
        <f t="shared" si="7"/>
        <v>0</v>
      </c>
      <c r="T26" s="30">
        <f t="shared" si="19"/>
        <v>3986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f t="shared" si="11"/>
        <v>46994</v>
      </c>
      <c r="C27" s="14">
        <f t="shared" si="9"/>
        <v>0</v>
      </c>
      <c r="D27" s="30">
        <f t="shared" si="12"/>
        <v>40573</v>
      </c>
      <c r="E27" s="14">
        <f t="shared" si="1"/>
        <v>0</v>
      </c>
      <c r="F27" s="30">
        <f t="shared" si="13"/>
        <v>21621</v>
      </c>
      <c r="G27" s="14">
        <f t="shared" si="2"/>
        <v>0</v>
      </c>
      <c r="H27" s="30">
        <f t="shared" si="14"/>
        <v>254907</v>
      </c>
      <c r="I27" s="14">
        <f t="shared" si="3"/>
        <v>0</v>
      </c>
      <c r="J27" s="30">
        <f t="shared" si="15"/>
        <v>313105</v>
      </c>
      <c r="K27" s="14">
        <f t="shared" si="4"/>
        <v>0</v>
      </c>
      <c r="L27" s="30">
        <f t="shared" si="16"/>
        <v>26110</v>
      </c>
      <c r="M27" s="14">
        <f t="shared" si="5"/>
        <v>0</v>
      </c>
      <c r="N27" s="30">
        <f t="shared" si="17"/>
        <v>225972</v>
      </c>
      <c r="O27" s="14">
        <f t="shared" si="6"/>
        <v>0</v>
      </c>
      <c r="P27" s="30">
        <f t="shared" si="18"/>
        <v>151750</v>
      </c>
      <c r="Q27" s="14">
        <f t="shared" si="0"/>
        <v>0</v>
      </c>
      <c r="R27" s="30">
        <f t="shared" si="10"/>
        <v>55047</v>
      </c>
      <c r="S27" s="14">
        <f t="shared" si="7"/>
        <v>0</v>
      </c>
      <c r="T27" s="30">
        <f t="shared" si="19"/>
        <v>3986</v>
      </c>
      <c r="U27" s="14">
        <f>(T27-T26)*800/5</f>
        <v>0</v>
      </c>
    </row>
    <row r="28" spans="1:23" ht="13.5" thickBot="1" x14ac:dyDescent="0.25">
      <c r="A28" s="9">
        <v>44707</v>
      </c>
      <c r="B28" s="30">
        <f t="shared" si="11"/>
        <v>46994</v>
      </c>
      <c r="C28" s="14">
        <f t="shared" si="9"/>
        <v>0</v>
      </c>
      <c r="D28" s="30">
        <f t="shared" si="12"/>
        <v>40573</v>
      </c>
      <c r="E28" s="14">
        <f t="shared" si="1"/>
        <v>0</v>
      </c>
      <c r="F28" s="30">
        <f t="shared" si="13"/>
        <v>21621</v>
      </c>
      <c r="G28" s="14">
        <f t="shared" si="2"/>
        <v>0</v>
      </c>
      <c r="H28" s="30">
        <f t="shared" si="14"/>
        <v>254907</v>
      </c>
      <c r="I28" s="14">
        <f t="shared" si="3"/>
        <v>0</v>
      </c>
      <c r="J28" s="30">
        <f t="shared" si="15"/>
        <v>313105</v>
      </c>
      <c r="K28" s="14">
        <f t="shared" si="4"/>
        <v>0</v>
      </c>
      <c r="L28" s="30">
        <f t="shared" si="16"/>
        <v>26110</v>
      </c>
      <c r="M28" s="14">
        <f t="shared" si="5"/>
        <v>0</v>
      </c>
      <c r="N28" s="30">
        <f t="shared" si="17"/>
        <v>225972</v>
      </c>
      <c r="O28" s="14">
        <f t="shared" si="6"/>
        <v>0</v>
      </c>
      <c r="P28" s="30">
        <f t="shared" si="18"/>
        <v>151750</v>
      </c>
      <c r="Q28" s="14">
        <f t="shared" si="0"/>
        <v>0</v>
      </c>
      <c r="R28" s="30">
        <f t="shared" si="10"/>
        <v>55047</v>
      </c>
      <c r="S28" s="15">
        <f t="shared" si="7"/>
        <v>0</v>
      </c>
      <c r="T28" s="30">
        <f t="shared" si="19"/>
        <v>3986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si="11"/>
        <v>46994</v>
      </c>
      <c r="C29" s="14">
        <f t="shared" si="9"/>
        <v>0</v>
      </c>
      <c r="D29" s="30">
        <f t="shared" si="12"/>
        <v>40573</v>
      </c>
      <c r="E29" s="14">
        <f t="shared" si="1"/>
        <v>0</v>
      </c>
      <c r="F29" s="30">
        <f t="shared" si="13"/>
        <v>21621</v>
      </c>
      <c r="G29" s="14">
        <f t="shared" si="2"/>
        <v>0</v>
      </c>
      <c r="H29" s="30">
        <f t="shared" si="14"/>
        <v>254907</v>
      </c>
      <c r="I29" s="14">
        <f t="shared" si="3"/>
        <v>0</v>
      </c>
      <c r="J29" s="30">
        <f t="shared" si="15"/>
        <v>313105</v>
      </c>
      <c r="K29" s="14">
        <f t="shared" si="4"/>
        <v>0</v>
      </c>
      <c r="L29" s="30">
        <f t="shared" si="16"/>
        <v>26110</v>
      </c>
      <c r="M29" s="14">
        <f t="shared" si="5"/>
        <v>0</v>
      </c>
      <c r="N29" s="30">
        <f t="shared" si="17"/>
        <v>225972</v>
      </c>
      <c r="O29" s="14">
        <f t="shared" si="6"/>
        <v>0</v>
      </c>
      <c r="P29" s="30">
        <f t="shared" si="18"/>
        <v>151750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19"/>
        <v>3986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1"/>
        <v>46994</v>
      </c>
      <c r="C30" s="14">
        <f t="shared" si="9"/>
        <v>0</v>
      </c>
      <c r="D30" s="30">
        <f t="shared" si="12"/>
        <v>40573</v>
      </c>
      <c r="E30" s="14">
        <f t="shared" si="1"/>
        <v>0</v>
      </c>
      <c r="F30" s="30">
        <f t="shared" si="13"/>
        <v>21621</v>
      </c>
      <c r="G30" s="14">
        <f t="shared" si="2"/>
        <v>0</v>
      </c>
      <c r="H30" s="30">
        <f t="shared" si="14"/>
        <v>254907</v>
      </c>
      <c r="I30" s="14">
        <f t="shared" si="3"/>
        <v>0</v>
      </c>
      <c r="J30" s="30">
        <f t="shared" si="15"/>
        <v>313105</v>
      </c>
      <c r="K30" s="14">
        <f t="shared" si="4"/>
        <v>0</v>
      </c>
      <c r="L30" s="30">
        <f t="shared" si="16"/>
        <v>26110</v>
      </c>
      <c r="M30" s="14">
        <f t="shared" si="5"/>
        <v>0</v>
      </c>
      <c r="N30" s="30">
        <f t="shared" si="17"/>
        <v>225972</v>
      </c>
      <c r="O30" s="14">
        <f t="shared" si="6"/>
        <v>0</v>
      </c>
      <c r="P30" s="30">
        <f t="shared" si="18"/>
        <v>151750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19"/>
        <v>3986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1"/>
        <v>46994</v>
      </c>
      <c r="C31" s="14">
        <f t="shared" si="9"/>
        <v>0</v>
      </c>
      <c r="D31" s="30">
        <f t="shared" si="12"/>
        <v>40573</v>
      </c>
      <c r="E31" s="14">
        <f t="shared" si="1"/>
        <v>0</v>
      </c>
      <c r="F31" s="30">
        <f t="shared" si="13"/>
        <v>21621</v>
      </c>
      <c r="G31" s="14">
        <f t="shared" si="2"/>
        <v>0</v>
      </c>
      <c r="H31" s="30">
        <f t="shared" si="14"/>
        <v>254907</v>
      </c>
      <c r="I31" s="14">
        <f t="shared" si="3"/>
        <v>0</v>
      </c>
      <c r="J31" s="30">
        <f t="shared" si="15"/>
        <v>313105</v>
      </c>
      <c r="K31" s="14">
        <f t="shared" si="4"/>
        <v>0</v>
      </c>
      <c r="L31" s="30">
        <f t="shared" si="16"/>
        <v>26110</v>
      </c>
      <c r="M31" s="14">
        <f t="shared" si="5"/>
        <v>0</v>
      </c>
      <c r="N31" s="30">
        <f t="shared" si="17"/>
        <v>225972</v>
      </c>
      <c r="O31" s="14">
        <f t="shared" si="6"/>
        <v>0</v>
      </c>
      <c r="P31" s="30">
        <f t="shared" si="18"/>
        <v>151750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19"/>
        <v>3986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1"/>
        <v>46994</v>
      </c>
      <c r="C32" s="14">
        <f t="shared" si="9"/>
        <v>0</v>
      </c>
      <c r="D32" s="30">
        <f t="shared" si="12"/>
        <v>40573</v>
      </c>
      <c r="E32" s="14">
        <f t="shared" si="1"/>
        <v>0</v>
      </c>
      <c r="F32" s="30">
        <f t="shared" si="13"/>
        <v>21621</v>
      </c>
      <c r="G32" s="14">
        <f t="shared" si="2"/>
        <v>0</v>
      </c>
      <c r="H32" s="30">
        <f t="shared" si="14"/>
        <v>254907</v>
      </c>
      <c r="I32" s="14">
        <f t="shared" si="3"/>
        <v>0</v>
      </c>
      <c r="J32" s="30">
        <f t="shared" si="15"/>
        <v>313105</v>
      </c>
      <c r="K32" s="14">
        <f t="shared" si="4"/>
        <v>0</v>
      </c>
      <c r="L32" s="30">
        <f t="shared" si="16"/>
        <v>26110</v>
      </c>
      <c r="M32" s="14">
        <f t="shared" si="5"/>
        <v>0</v>
      </c>
      <c r="N32" s="30">
        <f t="shared" si="17"/>
        <v>225972</v>
      </c>
      <c r="O32" s="14">
        <f t="shared" si="6"/>
        <v>0</v>
      </c>
      <c r="P32" s="30">
        <f t="shared" si="18"/>
        <v>151750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19"/>
        <v>3986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1"/>
        <v>46994</v>
      </c>
      <c r="C33" s="14">
        <f t="shared" ref="C33" si="24">(B33-B32)*800/5</f>
        <v>0</v>
      </c>
      <c r="D33" s="30">
        <f t="shared" si="12"/>
        <v>40573</v>
      </c>
      <c r="E33" s="14">
        <f t="shared" ref="E33" si="25">(D33-D32)*800/5</f>
        <v>0</v>
      </c>
      <c r="F33" s="30">
        <f t="shared" si="13"/>
        <v>21621</v>
      </c>
      <c r="G33" s="14">
        <f t="shared" ref="G33" si="26">(F33-F32)*100/5</f>
        <v>0</v>
      </c>
      <c r="H33" s="30">
        <f t="shared" si="14"/>
        <v>254907</v>
      </c>
      <c r="I33" s="14">
        <f t="shared" ref="I33" si="27">(H33-H32)</f>
        <v>0</v>
      </c>
      <c r="J33" s="30">
        <f t="shared" si="15"/>
        <v>313105</v>
      </c>
      <c r="K33" s="14">
        <f t="shared" ref="K33" si="28">(J33-J32)</f>
        <v>0</v>
      </c>
      <c r="L33" s="30">
        <f t="shared" si="16"/>
        <v>26110</v>
      </c>
      <c r="M33" s="14">
        <f t="shared" ref="M33" si="29">(L33-L32)*300/5</f>
        <v>0</v>
      </c>
      <c r="N33" s="30">
        <f t="shared" si="17"/>
        <v>225972</v>
      </c>
      <c r="O33" s="14">
        <f t="shared" ref="O33" si="30">N33-N32</f>
        <v>0</v>
      </c>
      <c r="P33" s="30">
        <f t="shared" si="18"/>
        <v>151750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19"/>
        <v>3986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8000</v>
      </c>
      <c r="D34" s="11"/>
      <c r="E34" s="14">
        <f>SUM(E3:E33)</f>
        <v>5600</v>
      </c>
      <c r="F34" s="11"/>
      <c r="G34" s="14">
        <f>SUM(G3:G33)</f>
        <v>720</v>
      </c>
      <c r="H34" s="11"/>
      <c r="I34" s="14">
        <f>SUM(I3:I33)</f>
        <v>178</v>
      </c>
      <c r="J34" s="11"/>
      <c r="K34" s="14">
        <f>SUM(K3:K33)</f>
        <v>1424</v>
      </c>
      <c r="L34" s="11"/>
      <c r="M34" s="14">
        <f>SUM(M3:M33)</f>
        <v>1800</v>
      </c>
      <c r="N34" s="31"/>
      <c r="O34" s="14">
        <f>SUM(O3:O33)</f>
        <v>36</v>
      </c>
      <c r="P34" s="30"/>
      <c r="Q34" s="14">
        <f>SUM(Q3:Q33)</f>
        <v>1575</v>
      </c>
      <c r="R34" s="1"/>
      <c r="S34" s="14">
        <f>SUM(S3:S33)</f>
        <v>0</v>
      </c>
      <c r="T34" s="1"/>
      <c r="U34" s="14">
        <f>SUM(U3:U33)</f>
        <v>800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3" sqref="A13:XFD13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/>
      <c r="C14" s="143"/>
      <c r="D14" s="37">
        <f t="shared" si="4"/>
        <v>0</v>
      </c>
      <c r="E14" s="144"/>
      <c r="F14" s="37" t="str">
        <f t="shared" si="5"/>
        <v>0</v>
      </c>
      <c r="G14" s="145"/>
      <c r="H14" s="37" t="str">
        <f t="shared" si="6"/>
        <v>0</v>
      </c>
      <c r="I14" s="146">
        <f t="shared" si="7"/>
        <v>0</v>
      </c>
      <c r="J14" s="144"/>
      <c r="K14" s="37">
        <f t="shared" si="15"/>
        <v>0</v>
      </c>
      <c r="L14" s="147"/>
      <c r="M14" s="37" t="str">
        <f t="shared" si="8"/>
        <v>0</v>
      </c>
      <c r="N14" s="144"/>
      <c r="O14" s="37">
        <f t="shared" si="16"/>
        <v>0</v>
      </c>
      <c r="P14" s="147"/>
      <c r="Q14" s="37" t="str">
        <f t="shared" si="9"/>
        <v>0</v>
      </c>
      <c r="R14" s="144"/>
      <c r="S14" s="37" t="str">
        <f>IF((R14-R13)&lt;0,"0",(R14-R13))</f>
        <v>0</v>
      </c>
      <c r="T14" s="144">
        <v>0</v>
      </c>
      <c r="U14" s="148"/>
      <c r="V14" s="144"/>
      <c r="W14" s="37" t="str">
        <f t="shared" si="11"/>
        <v>0</v>
      </c>
      <c r="X14" s="19">
        <f t="shared" si="12"/>
        <v>0</v>
      </c>
      <c r="Y14" s="149">
        <f t="shared" si="13"/>
        <v>0</v>
      </c>
      <c r="Z14" s="167">
        <f t="shared" si="14"/>
        <v>0</v>
      </c>
      <c r="AA14" s="167">
        <f t="shared" si="17"/>
        <v>20729.490579199999</v>
      </c>
    </row>
    <row r="15" spans="1:27" ht="16.5" thickBot="1" x14ac:dyDescent="0.3">
      <c r="A15" s="9">
        <v>44694</v>
      </c>
      <c r="B15" s="37"/>
      <c r="C15" s="143"/>
      <c r="D15" s="37">
        <f t="shared" si="4"/>
        <v>0</v>
      </c>
      <c r="E15" s="144"/>
      <c r="F15" s="37">
        <f t="shared" si="5"/>
        <v>0</v>
      </c>
      <c r="G15" s="145"/>
      <c r="H15" s="37">
        <f t="shared" si="6"/>
        <v>0</v>
      </c>
      <c r="I15" s="146">
        <f t="shared" si="7"/>
        <v>0</v>
      </c>
      <c r="J15" s="144"/>
      <c r="K15" s="37">
        <f t="shared" si="15"/>
        <v>0</v>
      </c>
      <c r="L15" s="147"/>
      <c r="M15" s="37">
        <f t="shared" si="8"/>
        <v>0</v>
      </c>
      <c r="N15" s="144"/>
      <c r="O15" s="37">
        <f t="shared" si="16"/>
        <v>0</v>
      </c>
      <c r="P15" s="147"/>
      <c r="Q15" s="37">
        <f t="shared" si="9"/>
        <v>0</v>
      </c>
      <c r="R15" s="144"/>
      <c r="S15" s="37">
        <f>IF((R15-R14)&lt;0,"0",(R15-R14))</f>
        <v>0</v>
      </c>
      <c r="T15" s="144">
        <v>0</v>
      </c>
      <c r="U15" s="148"/>
      <c r="V15" s="144"/>
      <c r="W15" s="37">
        <f t="shared" si="11"/>
        <v>0</v>
      </c>
      <c r="X15" s="19">
        <f t="shared" si="12"/>
        <v>0</v>
      </c>
      <c r="Y15" s="149">
        <f t="shared" si="13"/>
        <v>0</v>
      </c>
      <c r="Z15" s="167">
        <f t="shared" si="14"/>
        <v>0</v>
      </c>
      <c r="AA15" s="167">
        <f t="shared" si="17"/>
        <v>15262.824720000001</v>
      </c>
    </row>
    <row r="16" spans="1:27" ht="16.5" thickBot="1" x14ac:dyDescent="0.3">
      <c r="A16" s="9">
        <v>44695</v>
      </c>
      <c r="B16" s="37"/>
      <c r="C16" s="143"/>
      <c r="D16" s="37">
        <f t="shared" si="4"/>
        <v>0</v>
      </c>
      <c r="E16" s="144"/>
      <c r="F16" s="37">
        <f t="shared" si="5"/>
        <v>0</v>
      </c>
      <c r="G16" s="145"/>
      <c r="H16" s="37">
        <f t="shared" si="6"/>
        <v>0</v>
      </c>
      <c r="I16" s="146">
        <f t="shared" si="7"/>
        <v>0</v>
      </c>
      <c r="J16" s="144"/>
      <c r="K16" s="37">
        <f t="shared" si="15"/>
        <v>0</v>
      </c>
      <c r="L16" s="147"/>
      <c r="M16" s="37">
        <f t="shared" si="8"/>
        <v>0</v>
      </c>
      <c r="N16" s="144"/>
      <c r="O16" s="37">
        <f t="shared" si="16"/>
        <v>0</v>
      </c>
      <c r="P16" s="147"/>
      <c r="Q16" s="37">
        <f t="shared" si="9"/>
        <v>0</v>
      </c>
      <c r="R16" s="144"/>
      <c r="S16" s="37">
        <f t="shared" si="10"/>
        <v>0</v>
      </c>
      <c r="T16" s="144">
        <v>0</v>
      </c>
      <c r="U16" s="148"/>
      <c r="V16" s="144"/>
      <c r="W16" s="37">
        <f t="shared" si="11"/>
        <v>0</v>
      </c>
      <c r="X16" s="19">
        <f t="shared" si="12"/>
        <v>0</v>
      </c>
      <c r="Y16" s="149">
        <f t="shared" si="13"/>
        <v>0</v>
      </c>
      <c r="Z16" s="167">
        <f t="shared" si="14"/>
        <v>0</v>
      </c>
      <c r="AA16" s="167">
        <f t="shared" si="17"/>
        <v>7034.2367056000003</v>
      </c>
    </row>
    <row r="17" spans="1:27" s="129" customFormat="1" ht="16.5" thickBot="1" x14ac:dyDescent="0.3">
      <c r="A17" s="9">
        <v>44696</v>
      </c>
      <c r="B17" s="37"/>
      <c r="C17" s="143"/>
      <c r="D17" s="37">
        <f t="shared" si="4"/>
        <v>0</v>
      </c>
      <c r="E17" s="144"/>
      <c r="F17" s="37">
        <f t="shared" si="5"/>
        <v>0</v>
      </c>
      <c r="G17" s="145"/>
      <c r="H17" s="37">
        <f t="shared" si="6"/>
        <v>0</v>
      </c>
      <c r="I17" s="150">
        <f t="shared" si="7"/>
        <v>0</v>
      </c>
      <c r="J17" s="144"/>
      <c r="K17" s="128">
        <f t="shared" si="15"/>
        <v>0</v>
      </c>
      <c r="L17" s="147"/>
      <c r="M17" s="128">
        <f t="shared" si="8"/>
        <v>0</v>
      </c>
      <c r="N17" s="144"/>
      <c r="O17" s="128">
        <f t="shared" si="16"/>
        <v>0</v>
      </c>
      <c r="P17" s="147"/>
      <c r="Q17" s="128">
        <f t="shared" si="9"/>
        <v>0</v>
      </c>
      <c r="R17" s="144"/>
      <c r="S17" s="128">
        <f t="shared" si="10"/>
        <v>0</v>
      </c>
      <c r="T17" s="151">
        <v>0</v>
      </c>
      <c r="U17" s="148"/>
      <c r="V17" s="144"/>
      <c r="W17" s="128">
        <f t="shared" si="11"/>
        <v>0</v>
      </c>
      <c r="X17" s="19">
        <f t="shared" si="12"/>
        <v>0</v>
      </c>
      <c r="Y17" s="152">
        <f t="shared" si="13"/>
        <v>0</v>
      </c>
      <c r="Z17" s="168">
        <f t="shared" si="14"/>
        <v>0</v>
      </c>
      <c r="AA17" s="167">
        <f t="shared" si="17"/>
        <v>0</v>
      </c>
    </row>
    <row r="18" spans="1:27" s="129" customFormat="1" ht="16.5" thickBot="1" x14ac:dyDescent="0.3">
      <c r="A18" s="9">
        <v>44697</v>
      </c>
      <c r="B18" s="37"/>
      <c r="C18" s="143"/>
      <c r="D18" s="37">
        <f t="shared" si="4"/>
        <v>0</v>
      </c>
      <c r="E18" s="144"/>
      <c r="F18" s="37">
        <f t="shared" si="5"/>
        <v>0</v>
      </c>
      <c r="G18" s="145"/>
      <c r="H18" s="37">
        <f t="shared" si="6"/>
        <v>0</v>
      </c>
      <c r="I18" s="150">
        <f t="shared" si="7"/>
        <v>0</v>
      </c>
      <c r="J18" s="144"/>
      <c r="K18" s="128">
        <f t="shared" si="15"/>
        <v>0</v>
      </c>
      <c r="L18" s="147"/>
      <c r="M18" s="128">
        <f t="shared" si="8"/>
        <v>0</v>
      </c>
      <c r="N18" s="144"/>
      <c r="O18" s="128">
        <f t="shared" si="16"/>
        <v>0</v>
      </c>
      <c r="P18" s="147"/>
      <c r="Q18" s="128">
        <f t="shared" si="9"/>
        <v>0</v>
      </c>
      <c r="R18" s="144"/>
      <c r="S18" s="128">
        <f t="shared" si="10"/>
        <v>0</v>
      </c>
      <c r="T18" s="151">
        <v>0</v>
      </c>
      <c r="U18" s="148"/>
      <c r="V18" s="144"/>
      <c r="W18" s="128">
        <f t="shared" si="11"/>
        <v>0</v>
      </c>
      <c r="X18" s="19">
        <f t="shared" si="12"/>
        <v>0</v>
      </c>
      <c r="Y18" s="152">
        <f t="shared" si="13"/>
        <v>0</v>
      </c>
      <c r="Z18" s="168">
        <f t="shared" si="14"/>
        <v>0</v>
      </c>
      <c r="AA18" s="167">
        <f t="shared" si="17"/>
        <v>0</v>
      </c>
    </row>
    <row r="19" spans="1:27" s="129" customFormat="1" ht="16.5" thickBot="1" x14ac:dyDescent="0.3">
      <c r="A19" s="9">
        <v>44698</v>
      </c>
      <c r="B19" s="37"/>
      <c r="C19" s="143"/>
      <c r="D19" s="37">
        <f t="shared" si="4"/>
        <v>0</v>
      </c>
      <c r="E19" s="144"/>
      <c r="F19" s="37">
        <f t="shared" si="5"/>
        <v>0</v>
      </c>
      <c r="G19" s="145"/>
      <c r="H19" s="37">
        <f t="shared" si="6"/>
        <v>0</v>
      </c>
      <c r="I19" s="150">
        <f t="shared" si="7"/>
        <v>0</v>
      </c>
      <c r="J19" s="144"/>
      <c r="K19" s="128">
        <f t="shared" si="15"/>
        <v>0</v>
      </c>
      <c r="L19" s="147"/>
      <c r="M19" s="128">
        <f t="shared" si="8"/>
        <v>0</v>
      </c>
      <c r="N19" s="144"/>
      <c r="O19" s="128">
        <f t="shared" si="16"/>
        <v>0</v>
      </c>
      <c r="P19" s="147"/>
      <c r="Q19" s="128">
        <f t="shared" si="9"/>
        <v>0</v>
      </c>
      <c r="R19" s="144"/>
      <c r="S19" s="128">
        <f t="shared" si="10"/>
        <v>0</v>
      </c>
      <c r="T19" s="151">
        <v>0</v>
      </c>
      <c r="U19" s="148"/>
      <c r="V19" s="144"/>
      <c r="W19" s="128">
        <f t="shared" si="11"/>
        <v>0</v>
      </c>
      <c r="X19" s="19">
        <f t="shared" si="12"/>
        <v>0</v>
      </c>
      <c r="Y19" s="152">
        <f t="shared" si="13"/>
        <v>0</v>
      </c>
      <c r="Z19" s="168">
        <f t="shared" si="14"/>
        <v>0</v>
      </c>
      <c r="AA19" s="167">
        <f t="shared" si="17"/>
        <v>0</v>
      </c>
    </row>
    <row r="20" spans="1:27" s="129" customFormat="1" ht="16.5" thickBot="1" x14ac:dyDescent="0.3">
      <c r="A20" s="9">
        <v>44699</v>
      </c>
      <c r="B20" s="37"/>
      <c r="C20" s="143"/>
      <c r="D20" s="37">
        <f t="shared" si="4"/>
        <v>0</v>
      </c>
      <c r="E20" s="144"/>
      <c r="F20" s="37">
        <f t="shared" si="5"/>
        <v>0</v>
      </c>
      <c r="G20" s="145"/>
      <c r="H20" s="37">
        <f t="shared" si="6"/>
        <v>0</v>
      </c>
      <c r="I20" s="150">
        <f t="shared" si="7"/>
        <v>0</v>
      </c>
      <c r="J20" s="144"/>
      <c r="K20" s="128">
        <f t="shared" si="15"/>
        <v>0</v>
      </c>
      <c r="L20" s="147"/>
      <c r="M20" s="128">
        <f t="shared" si="8"/>
        <v>0</v>
      </c>
      <c r="N20" s="144"/>
      <c r="O20" s="128">
        <f t="shared" si="16"/>
        <v>0</v>
      </c>
      <c r="P20" s="147"/>
      <c r="Q20" s="128">
        <f t="shared" si="9"/>
        <v>0</v>
      </c>
      <c r="R20" s="144"/>
      <c r="S20" s="128">
        <f t="shared" si="10"/>
        <v>0</v>
      </c>
      <c r="T20" s="151">
        <v>0</v>
      </c>
      <c r="U20" s="148"/>
      <c r="V20" s="144"/>
      <c r="W20" s="128">
        <f t="shared" si="11"/>
        <v>0</v>
      </c>
      <c r="X20" s="19">
        <f t="shared" si="12"/>
        <v>0</v>
      </c>
      <c r="Y20" s="152">
        <f t="shared" si="13"/>
        <v>0</v>
      </c>
      <c r="Z20" s="168">
        <f t="shared" si="14"/>
        <v>0</v>
      </c>
      <c r="AA20" s="167">
        <f t="shared" si="17"/>
        <v>0</v>
      </c>
    </row>
    <row r="21" spans="1:27" s="129" customFormat="1" ht="16.5" thickBot="1" x14ac:dyDescent="0.3">
      <c r="A21" s="9">
        <v>44700</v>
      </c>
      <c r="B21" s="37"/>
      <c r="C21" s="143"/>
      <c r="D21" s="37">
        <f t="shared" si="4"/>
        <v>0</v>
      </c>
      <c r="E21" s="144"/>
      <c r="F21" s="37">
        <f t="shared" si="5"/>
        <v>0</v>
      </c>
      <c r="G21" s="145"/>
      <c r="H21" s="37">
        <f t="shared" si="6"/>
        <v>0</v>
      </c>
      <c r="I21" s="150">
        <f t="shared" si="7"/>
        <v>0</v>
      </c>
      <c r="J21" s="144"/>
      <c r="K21" s="128">
        <f t="shared" si="15"/>
        <v>0</v>
      </c>
      <c r="L21" s="147"/>
      <c r="M21" s="128">
        <f t="shared" si="8"/>
        <v>0</v>
      </c>
      <c r="N21" s="144"/>
      <c r="O21" s="128">
        <f t="shared" si="16"/>
        <v>0</v>
      </c>
      <c r="P21" s="147"/>
      <c r="Q21" s="128">
        <f t="shared" si="9"/>
        <v>0</v>
      </c>
      <c r="R21" s="144"/>
      <c r="S21" s="128">
        <f t="shared" si="10"/>
        <v>0</v>
      </c>
      <c r="T21" s="151">
        <v>0</v>
      </c>
      <c r="U21" s="148"/>
      <c r="V21" s="144"/>
      <c r="W21" s="128">
        <f t="shared" si="11"/>
        <v>0</v>
      </c>
      <c r="X21" s="19">
        <f t="shared" si="12"/>
        <v>0</v>
      </c>
      <c r="Y21" s="152">
        <f t="shared" si="13"/>
        <v>0</v>
      </c>
      <c r="Z21" s="168">
        <f t="shared" si="14"/>
        <v>0</v>
      </c>
      <c r="AA21" s="167">
        <f t="shared" si="17"/>
        <v>0</v>
      </c>
    </row>
    <row r="22" spans="1:27" ht="16.5" thickBot="1" x14ac:dyDescent="0.3">
      <c r="A22" s="9">
        <v>44701</v>
      </c>
      <c r="B22" s="37"/>
      <c r="C22" s="143"/>
      <c r="D22" s="37">
        <f t="shared" si="4"/>
        <v>0</v>
      </c>
      <c r="E22" s="144"/>
      <c r="F22" s="37">
        <f t="shared" si="5"/>
        <v>0</v>
      </c>
      <c r="G22" s="145"/>
      <c r="H22" s="37">
        <f t="shared" si="6"/>
        <v>0</v>
      </c>
      <c r="I22" s="146">
        <f t="shared" si="7"/>
        <v>0</v>
      </c>
      <c r="J22" s="144"/>
      <c r="K22" s="37">
        <f t="shared" si="15"/>
        <v>0</v>
      </c>
      <c r="L22" s="147"/>
      <c r="M22" s="37">
        <f t="shared" si="8"/>
        <v>0</v>
      </c>
      <c r="N22" s="144"/>
      <c r="O22" s="37">
        <f t="shared" si="16"/>
        <v>0</v>
      </c>
      <c r="P22" s="147"/>
      <c r="Q22" s="37">
        <f t="shared" si="9"/>
        <v>0</v>
      </c>
      <c r="R22" s="144"/>
      <c r="S22" s="37">
        <f t="shared" si="10"/>
        <v>0</v>
      </c>
      <c r="T22" s="144">
        <v>0</v>
      </c>
      <c r="U22" s="148"/>
      <c r="V22" s="144"/>
      <c r="W22" s="37">
        <f t="shared" si="11"/>
        <v>0</v>
      </c>
      <c r="X22" s="19">
        <f t="shared" si="12"/>
        <v>0</v>
      </c>
      <c r="Y22" s="149">
        <f t="shared" si="13"/>
        <v>0</v>
      </c>
      <c r="Z22" s="167">
        <f t="shared" si="14"/>
        <v>0</v>
      </c>
      <c r="AA22" s="167">
        <f t="shared" si="17"/>
        <v>0</v>
      </c>
    </row>
    <row r="23" spans="1:27" ht="16.5" thickBot="1" x14ac:dyDescent="0.3">
      <c r="A23" s="9">
        <v>44702</v>
      </c>
      <c r="B23" s="37"/>
      <c r="C23" s="143"/>
      <c r="D23" s="37">
        <f t="shared" si="4"/>
        <v>0</v>
      </c>
      <c r="E23" s="144"/>
      <c r="F23" s="37">
        <f t="shared" si="5"/>
        <v>0</v>
      </c>
      <c r="G23" s="145"/>
      <c r="H23" s="37">
        <f t="shared" si="6"/>
        <v>0</v>
      </c>
      <c r="I23" s="146">
        <f t="shared" si="7"/>
        <v>0</v>
      </c>
      <c r="J23" s="144"/>
      <c r="K23" s="37">
        <f t="shared" si="15"/>
        <v>0</v>
      </c>
      <c r="L23" s="147"/>
      <c r="M23" s="37">
        <f t="shared" si="8"/>
        <v>0</v>
      </c>
      <c r="N23" s="144"/>
      <c r="O23" s="37">
        <f t="shared" si="16"/>
        <v>0</v>
      </c>
      <c r="P23" s="147"/>
      <c r="Q23" s="37">
        <f t="shared" si="9"/>
        <v>0</v>
      </c>
      <c r="R23" s="144"/>
      <c r="S23" s="37">
        <f t="shared" si="10"/>
        <v>0</v>
      </c>
      <c r="T23" s="144">
        <v>0</v>
      </c>
      <c r="U23" s="148"/>
      <c r="V23" s="144"/>
      <c r="W23" s="37">
        <f t="shared" si="11"/>
        <v>0</v>
      </c>
      <c r="X23" s="19">
        <f t="shared" si="12"/>
        <v>0</v>
      </c>
      <c r="Y23" s="149">
        <f t="shared" si="13"/>
        <v>0</v>
      </c>
      <c r="Z23" s="167">
        <f t="shared" si="14"/>
        <v>0</v>
      </c>
      <c r="AA23" s="167">
        <f t="shared" si="17"/>
        <v>0</v>
      </c>
    </row>
    <row r="24" spans="1:27" ht="16.5" thickBot="1" x14ac:dyDescent="0.3">
      <c r="A24" s="9">
        <v>44703</v>
      </c>
      <c r="B24" s="37"/>
      <c r="C24" s="143"/>
      <c r="D24" s="37">
        <f t="shared" si="4"/>
        <v>0</v>
      </c>
      <c r="E24" s="144"/>
      <c r="F24" s="37">
        <f t="shared" si="5"/>
        <v>0</v>
      </c>
      <c r="G24" s="145"/>
      <c r="H24" s="37">
        <f t="shared" si="6"/>
        <v>0</v>
      </c>
      <c r="I24" s="146">
        <f t="shared" si="7"/>
        <v>0</v>
      </c>
      <c r="J24" s="144"/>
      <c r="K24" s="37">
        <f t="shared" si="15"/>
        <v>0</v>
      </c>
      <c r="L24" s="147"/>
      <c r="M24" s="37">
        <f t="shared" si="8"/>
        <v>0</v>
      </c>
      <c r="N24" s="144"/>
      <c r="O24" s="37">
        <f t="shared" si="16"/>
        <v>0</v>
      </c>
      <c r="P24" s="147"/>
      <c r="Q24" s="37">
        <f t="shared" si="9"/>
        <v>0</v>
      </c>
      <c r="R24" s="144"/>
      <c r="S24" s="37">
        <f t="shared" si="10"/>
        <v>0</v>
      </c>
      <c r="T24" s="144">
        <v>0</v>
      </c>
      <c r="U24" s="148"/>
      <c r="V24" s="144"/>
      <c r="W24" s="37">
        <f t="shared" si="11"/>
        <v>0</v>
      </c>
      <c r="X24" s="19">
        <f t="shared" si="12"/>
        <v>0</v>
      </c>
      <c r="Y24" s="149">
        <f t="shared" si="13"/>
        <v>0</v>
      </c>
      <c r="Z24" s="167">
        <f t="shared" si="14"/>
        <v>0</v>
      </c>
      <c r="AA24" s="167">
        <f t="shared" si="17"/>
        <v>0</v>
      </c>
    </row>
    <row r="25" spans="1:27" ht="16.5" thickBot="1" x14ac:dyDescent="0.3">
      <c r="A25" s="9">
        <v>44704</v>
      </c>
      <c r="B25" s="37"/>
      <c r="C25" s="143"/>
      <c r="D25" s="37">
        <f t="shared" si="4"/>
        <v>0</v>
      </c>
      <c r="E25" s="144"/>
      <c r="F25" s="37">
        <f t="shared" si="5"/>
        <v>0</v>
      </c>
      <c r="G25" s="145"/>
      <c r="H25" s="37">
        <f t="shared" si="6"/>
        <v>0</v>
      </c>
      <c r="I25" s="146">
        <f t="shared" si="7"/>
        <v>0</v>
      </c>
      <c r="J25" s="144"/>
      <c r="K25" s="37">
        <f t="shared" si="15"/>
        <v>0</v>
      </c>
      <c r="L25" s="147"/>
      <c r="M25" s="37">
        <f t="shared" si="8"/>
        <v>0</v>
      </c>
      <c r="N25" s="144"/>
      <c r="O25" s="37">
        <f t="shared" si="16"/>
        <v>0</v>
      </c>
      <c r="P25" s="147"/>
      <c r="Q25" s="37">
        <f t="shared" si="9"/>
        <v>0</v>
      </c>
      <c r="R25" s="144"/>
      <c r="S25" s="37">
        <f t="shared" si="10"/>
        <v>0</v>
      </c>
      <c r="T25" s="144">
        <v>0</v>
      </c>
      <c r="U25" s="148"/>
      <c r="V25" s="144"/>
      <c r="W25" s="37">
        <f t="shared" si="11"/>
        <v>0</v>
      </c>
      <c r="X25" s="19">
        <f t="shared" si="12"/>
        <v>0</v>
      </c>
      <c r="Y25" s="149">
        <f t="shared" si="13"/>
        <v>0</v>
      </c>
      <c r="Z25" s="167">
        <f t="shared" si="14"/>
        <v>0</v>
      </c>
      <c r="AA25" s="167">
        <f t="shared" si="17"/>
        <v>0</v>
      </c>
    </row>
    <row r="26" spans="1:27" ht="16.5" thickBot="1" x14ac:dyDescent="0.3">
      <c r="A26" s="9">
        <v>44705</v>
      </c>
      <c r="B26" s="37"/>
      <c r="C26" s="143"/>
      <c r="D26" s="37">
        <f t="shared" si="4"/>
        <v>0</v>
      </c>
      <c r="E26" s="144"/>
      <c r="F26" s="37">
        <f t="shared" si="5"/>
        <v>0</v>
      </c>
      <c r="G26" s="145"/>
      <c r="H26" s="37">
        <f t="shared" si="6"/>
        <v>0</v>
      </c>
      <c r="I26" s="146">
        <f t="shared" si="7"/>
        <v>0</v>
      </c>
      <c r="J26" s="144"/>
      <c r="K26" s="37">
        <f t="shared" si="15"/>
        <v>0</v>
      </c>
      <c r="L26" s="147"/>
      <c r="M26" s="37">
        <f t="shared" si="8"/>
        <v>0</v>
      </c>
      <c r="N26" s="144"/>
      <c r="O26" s="37">
        <f t="shared" si="16"/>
        <v>0</v>
      </c>
      <c r="P26" s="147"/>
      <c r="Q26" s="37">
        <f t="shared" si="9"/>
        <v>0</v>
      </c>
      <c r="R26" s="144"/>
      <c r="S26" s="37">
        <f t="shared" si="10"/>
        <v>0</v>
      </c>
      <c r="T26" s="144">
        <v>0</v>
      </c>
      <c r="U26" s="148"/>
      <c r="V26" s="144"/>
      <c r="W26" s="37">
        <f t="shared" si="11"/>
        <v>0</v>
      </c>
      <c r="X26" s="19">
        <f t="shared" si="12"/>
        <v>0</v>
      </c>
      <c r="Y26" s="149">
        <f t="shared" si="13"/>
        <v>0</v>
      </c>
      <c r="Z26" s="167">
        <f t="shared" si="14"/>
        <v>0</v>
      </c>
      <c r="AA26" s="167">
        <f t="shared" si="17"/>
        <v>0</v>
      </c>
    </row>
    <row r="27" spans="1:27" ht="16.5" thickBot="1" x14ac:dyDescent="0.3">
      <c r="A27" s="9">
        <v>44706</v>
      </c>
      <c r="B27" s="37"/>
      <c r="C27" s="143"/>
      <c r="D27" s="37">
        <f t="shared" si="4"/>
        <v>0</v>
      </c>
      <c r="E27" s="144"/>
      <c r="F27" s="37">
        <f t="shared" si="5"/>
        <v>0</v>
      </c>
      <c r="G27" s="145"/>
      <c r="H27" s="37">
        <f t="shared" si="6"/>
        <v>0</v>
      </c>
      <c r="I27" s="146">
        <f t="shared" si="7"/>
        <v>0</v>
      </c>
      <c r="J27" s="144"/>
      <c r="K27" s="37">
        <f t="shared" si="15"/>
        <v>0</v>
      </c>
      <c r="L27" s="147"/>
      <c r="M27" s="37">
        <f t="shared" si="8"/>
        <v>0</v>
      </c>
      <c r="N27" s="144"/>
      <c r="O27" s="37">
        <f t="shared" si="16"/>
        <v>0</v>
      </c>
      <c r="P27" s="147"/>
      <c r="Q27" s="37">
        <f t="shared" si="9"/>
        <v>0</v>
      </c>
      <c r="R27" s="144"/>
      <c r="S27" s="37">
        <f t="shared" si="10"/>
        <v>0</v>
      </c>
      <c r="T27" s="144">
        <v>0</v>
      </c>
      <c r="U27" s="148"/>
      <c r="V27" s="144"/>
      <c r="W27" s="37">
        <f t="shared" si="11"/>
        <v>0</v>
      </c>
      <c r="X27" s="19">
        <f t="shared" si="12"/>
        <v>0</v>
      </c>
      <c r="Y27" s="149">
        <f t="shared" si="13"/>
        <v>0</v>
      </c>
      <c r="Z27" s="167">
        <f t="shared" si="14"/>
        <v>0</v>
      </c>
      <c r="AA27" s="167">
        <f t="shared" si="17"/>
        <v>0</v>
      </c>
    </row>
    <row r="28" spans="1:27" ht="16.5" thickBot="1" x14ac:dyDescent="0.3">
      <c r="A28" s="9">
        <v>44707</v>
      </c>
      <c r="B28" s="37"/>
      <c r="C28" s="143"/>
      <c r="D28" s="37">
        <f t="shared" si="4"/>
        <v>0</v>
      </c>
      <c r="E28" s="144"/>
      <c r="F28" s="37">
        <f t="shared" si="5"/>
        <v>0</v>
      </c>
      <c r="G28" s="145"/>
      <c r="H28" s="37">
        <f t="shared" si="6"/>
        <v>0</v>
      </c>
      <c r="I28" s="146">
        <f t="shared" si="7"/>
        <v>0</v>
      </c>
      <c r="J28" s="144"/>
      <c r="K28" s="37">
        <f t="shared" si="15"/>
        <v>0</v>
      </c>
      <c r="L28" s="147"/>
      <c r="M28" s="37">
        <f t="shared" si="8"/>
        <v>0</v>
      </c>
      <c r="N28" s="144"/>
      <c r="O28" s="37">
        <f t="shared" si="16"/>
        <v>0</v>
      </c>
      <c r="P28" s="147"/>
      <c r="Q28" s="37">
        <f t="shared" si="9"/>
        <v>0</v>
      </c>
      <c r="R28" s="144"/>
      <c r="S28" s="37">
        <f t="shared" si="10"/>
        <v>0</v>
      </c>
      <c r="T28" s="144">
        <v>0</v>
      </c>
      <c r="U28" s="148"/>
      <c r="V28" s="144"/>
      <c r="W28" s="37">
        <f t="shared" si="11"/>
        <v>0</v>
      </c>
      <c r="X28" s="19">
        <f t="shared" si="12"/>
        <v>0</v>
      </c>
      <c r="Y28" s="149">
        <f t="shared" si="13"/>
        <v>0</v>
      </c>
      <c r="Z28" s="167">
        <f t="shared" si="14"/>
        <v>0</v>
      </c>
      <c r="AA28" s="167">
        <f t="shared" si="17"/>
        <v>0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>
        <f t="shared" si="5"/>
        <v>0</v>
      </c>
      <c r="G29" s="145"/>
      <c r="H29" s="37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>
        <f t="shared" si="8"/>
        <v>0</v>
      </c>
      <c r="N29" s="144"/>
      <c r="O29" s="37">
        <f t="shared" si="16"/>
        <v>0</v>
      </c>
      <c r="P29" s="147"/>
      <c r="Q29" s="37">
        <f t="shared" si="9"/>
        <v>0</v>
      </c>
      <c r="R29" s="144"/>
      <c r="S29" s="37">
        <f t="shared" si="10"/>
        <v>0</v>
      </c>
      <c r="T29" s="144">
        <v>0</v>
      </c>
      <c r="U29" s="148"/>
      <c r="V29" s="144"/>
      <c r="W29" s="37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0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0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0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2908</v>
      </c>
      <c r="C34" s="135">
        <v>0</v>
      </c>
      <c r="D34" s="54">
        <f>SUM(D3:D33)</f>
        <v>5920</v>
      </c>
      <c r="E34" s="54">
        <v>0</v>
      </c>
      <c r="F34" s="54">
        <f>SUM(F3:F33)</f>
        <v>135093</v>
      </c>
      <c r="G34" s="54">
        <v>0</v>
      </c>
      <c r="H34" s="54">
        <f>SUM(H3:H33)</f>
        <v>486122</v>
      </c>
      <c r="I34" s="54">
        <f>SUM(I3:I33)</f>
        <v>621215</v>
      </c>
      <c r="J34" s="54">
        <v>0</v>
      </c>
      <c r="K34" s="54">
        <f>SUM(K2:K33)</f>
        <v>89320</v>
      </c>
      <c r="L34" s="54">
        <v>0</v>
      </c>
      <c r="M34" s="54">
        <f>SUM(M3:M33)</f>
        <v>65626</v>
      </c>
      <c r="N34" s="54">
        <v>0</v>
      </c>
      <c r="O34" s="54">
        <f>SUM(O3:O33)</f>
        <v>65734</v>
      </c>
      <c r="P34" s="54">
        <v>0</v>
      </c>
      <c r="Q34" s="54">
        <f>SUM(Q3:Q33)</f>
        <v>96352</v>
      </c>
      <c r="R34" s="54">
        <v>0</v>
      </c>
      <c r="S34" s="54">
        <f>SUM(S3:S33)</f>
        <v>111389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110769</v>
      </c>
      <c r="X34" s="54">
        <f>SUM(X3:X33)</f>
        <v>539190</v>
      </c>
      <c r="Y34" s="54">
        <f>SUM(Y3:Y32)</f>
        <v>82025</v>
      </c>
      <c r="Z34" s="169">
        <f>SUM(Z3:Z32)</f>
        <v>77385.989449599991</v>
      </c>
      <c r="AA34" s="169">
        <f>SUM(AA3:AA32)</f>
        <v>309543.95779839996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/>
      <c r="C14" s="37">
        <f t="shared" si="7"/>
        <v>0</v>
      </c>
      <c r="D14" s="3"/>
      <c r="E14" s="37">
        <f t="shared" si="2"/>
        <v>0</v>
      </c>
      <c r="F14" s="3"/>
      <c r="G14" s="37">
        <f t="shared" si="5"/>
        <v>0</v>
      </c>
      <c r="H14" s="3"/>
      <c r="I14" s="42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44694</v>
      </c>
      <c r="B15" s="3"/>
      <c r="C15" s="37">
        <f t="shared" si="7"/>
        <v>0</v>
      </c>
      <c r="D15" s="3"/>
      <c r="E15" s="37">
        <f t="shared" si="2"/>
        <v>0</v>
      </c>
      <c r="F15" s="3"/>
      <c r="G15" s="37">
        <f t="shared" si="5"/>
        <v>0</v>
      </c>
      <c r="H15" s="3"/>
      <c r="I15" s="42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44695</v>
      </c>
      <c r="B16" s="3"/>
      <c r="C16" s="37">
        <f t="shared" si="7"/>
        <v>0</v>
      </c>
      <c r="D16" s="3"/>
      <c r="E16" s="37">
        <f t="shared" si="2"/>
        <v>0</v>
      </c>
      <c r="F16" s="3"/>
      <c r="G16" s="37">
        <f t="shared" si="5"/>
        <v>0</v>
      </c>
      <c r="H16" s="3"/>
      <c r="I16" s="42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44696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44698</v>
      </c>
      <c r="B19" s="3"/>
      <c r="C19" s="37">
        <f t="shared" si="7"/>
        <v>0</v>
      </c>
      <c r="D19" s="3"/>
      <c r="E19" s="37">
        <f t="shared" ref="E19:E33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44699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44700</v>
      </c>
      <c r="B21" s="3"/>
      <c r="C21" s="37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44701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44703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44704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20">
        <f t="shared" si="4"/>
        <v>0</v>
      </c>
      <c r="Y25" s="53"/>
    </row>
    <row r="26" spans="1:25" ht="16.5" thickBot="1" x14ac:dyDescent="0.3">
      <c r="A26" s="9">
        <v>44705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44706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44707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10830</v>
      </c>
      <c r="D34" s="3"/>
      <c r="E34" s="54">
        <f>SUM(E3:E33)</f>
        <v>5100</v>
      </c>
      <c r="F34" s="3"/>
      <c r="G34" s="54">
        <f>SUM(G3:G33)</f>
        <v>5092.2</v>
      </c>
      <c r="H34" s="3"/>
      <c r="I34" s="54">
        <f>SUM(I3:I33)</f>
        <v>50.598000000000006</v>
      </c>
      <c r="J34" s="54">
        <f>SUM(J3:J33)</f>
        <v>21072.798000000003</v>
      </c>
      <c r="K34" s="54">
        <f>SUM(K3:K33)</f>
        <v>123486.59627999998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3" sqref="A13:XFD1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/>
      <c r="C14" s="43" t="str">
        <f t="shared" si="0"/>
        <v>0</v>
      </c>
    </row>
    <row r="15" spans="1:9" ht="24" thickBot="1" x14ac:dyDescent="0.4">
      <c r="A15" s="9">
        <v>44694</v>
      </c>
      <c r="B15" s="131"/>
      <c r="C15" s="43">
        <f t="shared" si="0"/>
        <v>0</v>
      </c>
      <c r="I15" t="s">
        <v>12</v>
      </c>
    </row>
    <row r="16" spans="1:9" ht="26.25" customHeight="1" thickBot="1" x14ac:dyDescent="0.4">
      <c r="A16" s="9">
        <v>44695</v>
      </c>
      <c r="B16" s="131"/>
      <c r="C16" s="43">
        <f t="shared" si="0"/>
        <v>0</v>
      </c>
      <c r="F16" s="153"/>
    </row>
    <row r="17" spans="1:9" ht="25.5" customHeight="1" thickBot="1" x14ac:dyDescent="0.4">
      <c r="A17" s="9">
        <v>44696</v>
      </c>
      <c r="B17" s="131"/>
      <c r="C17" s="43">
        <f t="shared" si="0"/>
        <v>0</v>
      </c>
    </row>
    <row r="18" spans="1:9" ht="24" thickBot="1" x14ac:dyDescent="0.4">
      <c r="A18" s="9">
        <v>44697</v>
      </c>
      <c r="B18" s="131"/>
      <c r="C18" s="43">
        <f t="shared" si="0"/>
        <v>0</v>
      </c>
      <c r="I18" s="33"/>
    </row>
    <row r="19" spans="1:9" ht="24" thickBot="1" x14ac:dyDescent="0.4">
      <c r="A19" s="9">
        <v>44698</v>
      </c>
      <c r="B19" s="131"/>
      <c r="C19" s="43">
        <f t="shared" si="0"/>
        <v>0</v>
      </c>
    </row>
    <row r="20" spans="1:9" ht="24" thickBot="1" x14ac:dyDescent="0.4">
      <c r="A20" s="9">
        <v>44699</v>
      </c>
      <c r="B20" s="131"/>
      <c r="C20" s="43">
        <f t="shared" si="0"/>
        <v>0</v>
      </c>
    </row>
    <row r="21" spans="1:9" ht="24" thickBot="1" x14ac:dyDescent="0.4">
      <c r="A21" s="9">
        <v>44700</v>
      </c>
      <c r="B21" s="131"/>
      <c r="C21" s="43">
        <f t="shared" si="0"/>
        <v>0</v>
      </c>
    </row>
    <row r="22" spans="1:9" ht="24" thickBot="1" x14ac:dyDescent="0.4">
      <c r="A22" s="9">
        <v>44701</v>
      </c>
      <c r="B22" s="131"/>
      <c r="C22" s="43">
        <f t="shared" si="0"/>
        <v>0</v>
      </c>
    </row>
    <row r="23" spans="1:9" ht="24" thickBot="1" x14ac:dyDescent="0.4">
      <c r="A23" s="9">
        <v>44702</v>
      </c>
      <c r="B23" s="131"/>
      <c r="C23" s="43">
        <f t="shared" si="0"/>
        <v>0</v>
      </c>
      <c r="F23" t="s">
        <v>12</v>
      </c>
    </row>
    <row r="24" spans="1:9" ht="24" thickBot="1" x14ac:dyDescent="0.4">
      <c r="A24" s="9">
        <v>44703</v>
      </c>
      <c r="B24" s="131"/>
      <c r="C24" s="43">
        <f t="shared" si="0"/>
        <v>0</v>
      </c>
      <c r="E24" t="s">
        <v>12</v>
      </c>
    </row>
    <row r="25" spans="1:9" ht="24" thickBot="1" x14ac:dyDescent="0.4">
      <c r="A25" s="9">
        <v>44704</v>
      </c>
      <c r="B25" s="131"/>
      <c r="C25" s="43">
        <f t="shared" si="0"/>
        <v>0</v>
      </c>
    </row>
    <row r="26" spans="1:9" ht="24" thickBot="1" x14ac:dyDescent="0.4">
      <c r="A26" s="9">
        <v>44705</v>
      </c>
      <c r="B26" s="131"/>
      <c r="C26" s="43">
        <f t="shared" si="0"/>
        <v>0</v>
      </c>
    </row>
    <row r="27" spans="1:9" ht="24" thickBot="1" x14ac:dyDescent="0.4">
      <c r="A27" s="9">
        <v>44706</v>
      </c>
      <c r="B27" s="131"/>
      <c r="C27" s="43">
        <f t="shared" si="0"/>
        <v>0</v>
      </c>
    </row>
    <row r="28" spans="1:9" ht="24" thickBot="1" x14ac:dyDescent="0.4">
      <c r="A28" s="9">
        <v>44707</v>
      </c>
      <c r="B28" s="131"/>
      <c r="C28" s="43">
        <f t="shared" si="0"/>
        <v>0</v>
      </c>
      <c r="I28" t="s">
        <v>12</v>
      </c>
    </row>
    <row r="29" spans="1:9" ht="24" thickBot="1" x14ac:dyDescent="0.4">
      <c r="A29" s="9">
        <v>44708</v>
      </c>
      <c r="B29" s="131"/>
      <c r="C29" s="43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24168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/>
      <c r="C14" s="42" t="str">
        <f t="shared" si="22"/>
        <v>0</v>
      </c>
      <c r="D14" s="26">
        <f t="shared" si="23"/>
        <v>0</v>
      </c>
      <c r="E14" s="157"/>
      <c r="F14" s="42" t="str">
        <f t="shared" si="24"/>
        <v>0</v>
      </c>
      <c r="G14" s="26">
        <f t="shared" si="25"/>
        <v>0</v>
      </c>
      <c r="H14" s="157"/>
      <c r="I14" s="42" t="str">
        <f t="shared" si="26"/>
        <v>0</v>
      </c>
      <c r="J14" s="26">
        <f t="shared" si="27"/>
        <v>0</v>
      </c>
      <c r="K14" s="7"/>
      <c r="L14" s="42" t="str">
        <f t="shared" si="28"/>
        <v>0</v>
      </c>
      <c r="M14" s="26">
        <f t="shared" si="29"/>
        <v>0</v>
      </c>
      <c r="N14" s="157"/>
      <c r="O14" s="42" t="str">
        <f>IF((N14-N13)&lt;0,"0",(N14-N13))</f>
        <v>0</v>
      </c>
      <c r="P14" s="26">
        <f t="shared" si="31"/>
        <v>0</v>
      </c>
      <c r="Q14" s="157"/>
      <c r="R14" s="42" t="str">
        <f t="shared" si="32"/>
        <v>0</v>
      </c>
      <c r="S14" s="26">
        <f t="shared" si="33"/>
        <v>0</v>
      </c>
      <c r="T14" s="8">
        <f t="shared" si="35"/>
        <v>0</v>
      </c>
      <c r="U14" s="28">
        <f t="shared" si="34"/>
        <v>0</v>
      </c>
      <c r="W14" s="154">
        <v>44693</v>
      </c>
      <c r="X14" s="155"/>
      <c r="Y14" s="160" t="str">
        <f t="shared" si="21"/>
        <v>0</v>
      </c>
      <c r="Z14" s="155"/>
      <c r="AA14" s="160" t="str">
        <f t="shared" si="21"/>
        <v>0</v>
      </c>
      <c r="AB14" s="155"/>
      <c r="AC14" s="160" t="str">
        <f t="shared" si="21"/>
        <v>0</v>
      </c>
      <c r="AD14" s="155"/>
      <c r="AE14" s="160" t="str">
        <f t="shared" si="21"/>
        <v>0</v>
      </c>
      <c r="AF14" s="155"/>
      <c r="AG14" s="160" t="str">
        <f t="shared" si="21"/>
        <v>0</v>
      </c>
    </row>
    <row r="15" spans="1:33" ht="16.5" thickBot="1" x14ac:dyDescent="0.25">
      <c r="A15" s="9">
        <v>44694</v>
      </c>
      <c r="B15" s="157"/>
      <c r="C15" s="42">
        <f t="shared" ref="C15" si="36">IF((B15-B14)&lt;0,"0",(B15-B14))</f>
        <v>0</v>
      </c>
      <c r="D15" s="26">
        <f t="shared" ref="D15" si="37">C15*1.9*1000</f>
        <v>0</v>
      </c>
      <c r="E15" s="157"/>
      <c r="F15" s="42">
        <f t="shared" ref="F15" si="38">IF((E15-E14)&lt;0,"0",(E15-E14))</f>
        <v>0</v>
      </c>
      <c r="G15" s="26">
        <f t="shared" ref="G15" si="39">F15*1.9*1000</f>
        <v>0</v>
      </c>
      <c r="H15" s="157"/>
      <c r="I15" s="42">
        <f t="shared" ref="I15" si="40">IF((H15-H14)&lt;0,"0",(H15-H14))</f>
        <v>0</v>
      </c>
      <c r="J15" s="26">
        <f t="shared" ref="J15" si="41">I15*1.9*1000</f>
        <v>0</v>
      </c>
      <c r="K15" s="7"/>
      <c r="L15" s="42">
        <f t="shared" ref="L15" si="42">IF((K15-K14)&lt;0,"0",(K15-K14))</f>
        <v>0</v>
      </c>
      <c r="M15" s="26">
        <f t="shared" ref="M15" si="43">L15*1.9*1000</f>
        <v>0</v>
      </c>
      <c r="N15" s="157"/>
      <c r="O15" s="42">
        <f>IF((N15-N14)&lt;0,"0",(N15-N14))</f>
        <v>0</v>
      </c>
      <c r="P15" s="26">
        <f t="shared" ref="P15" si="44">O15*1.9*1000</f>
        <v>0</v>
      </c>
      <c r="Q15" s="157"/>
      <c r="R15" s="42">
        <f t="shared" ref="R15" si="45">IF((Q15-Q14)&lt;0,"0",(Q15-Q14))</f>
        <v>0</v>
      </c>
      <c r="S15" s="26">
        <f t="shared" ref="S15" si="46">R15*1.9*1000</f>
        <v>0</v>
      </c>
      <c r="T15" s="8">
        <f t="shared" ref="T15" si="47">C15+F15+I15+L15+O15+R15</f>
        <v>0</v>
      </c>
      <c r="U15" s="28">
        <f t="shared" ref="U15" si="48">T15*1.9*1000</f>
        <v>0</v>
      </c>
      <c r="W15" s="154">
        <v>44694</v>
      </c>
      <c r="X15" s="155"/>
      <c r="Y15" s="160">
        <f t="shared" si="21"/>
        <v>0</v>
      </c>
      <c r="Z15" s="155"/>
      <c r="AA15" s="160">
        <f t="shared" si="21"/>
        <v>0</v>
      </c>
      <c r="AB15" s="155"/>
      <c r="AC15" s="160">
        <f t="shared" si="21"/>
        <v>0</v>
      </c>
      <c r="AD15" s="155"/>
      <c r="AE15" s="160">
        <f t="shared" si="21"/>
        <v>0</v>
      </c>
      <c r="AF15" s="155"/>
      <c r="AG15" s="160">
        <f t="shared" si="21"/>
        <v>0</v>
      </c>
    </row>
    <row r="16" spans="1:33" ht="16.5" thickBot="1" x14ac:dyDescent="0.25">
      <c r="A16" s="9">
        <v>44695</v>
      </c>
      <c r="B16" s="157"/>
      <c r="C16" s="42">
        <f t="shared" si="22"/>
        <v>0</v>
      </c>
      <c r="D16" s="26">
        <f t="shared" si="23"/>
        <v>0</v>
      </c>
      <c r="E16" s="157"/>
      <c r="F16" s="42">
        <f t="shared" si="24"/>
        <v>0</v>
      </c>
      <c r="G16" s="26">
        <f t="shared" si="25"/>
        <v>0</v>
      </c>
      <c r="H16" s="157"/>
      <c r="I16" s="42">
        <f t="shared" si="26"/>
        <v>0</v>
      </c>
      <c r="J16" s="26">
        <f t="shared" si="27"/>
        <v>0</v>
      </c>
      <c r="K16" s="7"/>
      <c r="L16" s="42">
        <f t="shared" si="28"/>
        <v>0</v>
      </c>
      <c r="M16" s="26">
        <f t="shared" si="29"/>
        <v>0</v>
      </c>
      <c r="N16" s="157"/>
      <c r="O16" s="42">
        <f t="shared" si="30"/>
        <v>0</v>
      </c>
      <c r="P16" s="26">
        <f t="shared" si="31"/>
        <v>0</v>
      </c>
      <c r="Q16" s="157"/>
      <c r="R16" s="42">
        <f t="shared" si="32"/>
        <v>0</v>
      </c>
      <c r="S16" s="26">
        <f t="shared" si="33"/>
        <v>0</v>
      </c>
      <c r="T16" s="8">
        <f t="shared" si="35"/>
        <v>0</v>
      </c>
      <c r="U16" s="28">
        <f t="shared" si="34"/>
        <v>0</v>
      </c>
      <c r="W16" s="154">
        <v>44695</v>
      </c>
      <c r="X16" s="155"/>
      <c r="Y16" s="160">
        <f t="shared" si="21"/>
        <v>0</v>
      </c>
      <c r="Z16" s="155"/>
      <c r="AA16" s="160">
        <f t="shared" si="21"/>
        <v>0</v>
      </c>
      <c r="AB16" s="155"/>
      <c r="AC16" s="160">
        <f t="shared" si="21"/>
        <v>0</v>
      </c>
      <c r="AD16" s="155"/>
      <c r="AE16" s="160">
        <f t="shared" si="21"/>
        <v>0</v>
      </c>
      <c r="AF16" s="155"/>
      <c r="AG16" s="160">
        <f t="shared" si="21"/>
        <v>0</v>
      </c>
    </row>
    <row r="17" spans="1:33" ht="16.5" thickBot="1" x14ac:dyDescent="0.25">
      <c r="A17" s="9">
        <v>44696</v>
      </c>
      <c r="B17" s="157"/>
      <c r="C17" s="42">
        <f t="shared" si="22"/>
        <v>0</v>
      </c>
      <c r="D17" s="26">
        <f t="shared" si="23"/>
        <v>0</v>
      </c>
      <c r="E17" s="157"/>
      <c r="F17" s="42">
        <f t="shared" si="24"/>
        <v>0</v>
      </c>
      <c r="G17" s="26">
        <f t="shared" si="25"/>
        <v>0</v>
      </c>
      <c r="H17" s="157"/>
      <c r="I17" s="42">
        <f t="shared" si="26"/>
        <v>0</v>
      </c>
      <c r="J17" s="26">
        <f t="shared" si="27"/>
        <v>0</v>
      </c>
      <c r="K17" s="7"/>
      <c r="L17" s="42">
        <f t="shared" si="28"/>
        <v>0</v>
      </c>
      <c r="M17" s="26">
        <f t="shared" si="29"/>
        <v>0</v>
      </c>
      <c r="N17" s="157"/>
      <c r="O17" s="42">
        <f t="shared" si="30"/>
        <v>0</v>
      </c>
      <c r="P17" s="26">
        <f t="shared" si="31"/>
        <v>0</v>
      </c>
      <c r="Q17" s="157"/>
      <c r="R17" s="42">
        <f t="shared" si="32"/>
        <v>0</v>
      </c>
      <c r="S17" s="26">
        <f t="shared" si="33"/>
        <v>0</v>
      </c>
      <c r="T17" s="8">
        <f t="shared" si="35"/>
        <v>0</v>
      </c>
      <c r="U17" s="28">
        <f t="shared" si="34"/>
        <v>0</v>
      </c>
      <c r="W17" s="154">
        <v>44696</v>
      </c>
      <c r="X17" s="155"/>
      <c r="Y17" s="160">
        <f t="shared" si="21"/>
        <v>0</v>
      </c>
      <c r="Z17" s="155"/>
      <c r="AA17" s="160">
        <f t="shared" si="21"/>
        <v>0</v>
      </c>
      <c r="AB17" s="155"/>
      <c r="AC17" s="160">
        <f t="shared" si="21"/>
        <v>0</v>
      </c>
      <c r="AD17" s="155"/>
      <c r="AE17" s="160">
        <f t="shared" si="21"/>
        <v>0</v>
      </c>
      <c r="AF17" s="155"/>
      <c r="AG17" s="160">
        <f t="shared" si="21"/>
        <v>0</v>
      </c>
    </row>
    <row r="18" spans="1:33" ht="16.5" thickBot="1" x14ac:dyDescent="0.25">
      <c r="A18" s="9">
        <v>44697</v>
      </c>
      <c r="B18" s="157"/>
      <c r="C18" s="42">
        <f t="shared" si="22"/>
        <v>0</v>
      </c>
      <c r="D18" s="26">
        <f t="shared" si="23"/>
        <v>0</v>
      </c>
      <c r="E18" s="157"/>
      <c r="F18" s="42">
        <f t="shared" si="24"/>
        <v>0</v>
      </c>
      <c r="G18" s="26">
        <f t="shared" si="25"/>
        <v>0</v>
      </c>
      <c r="H18" s="157"/>
      <c r="I18" s="42">
        <f t="shared" si="26"/>
        <v>0</v>
      </c>
      <c r="J18" s="26">
        <f t="shared" si="27"/>
        <v>0</v>
      </c>
      <c r="K18" s="7"/>
      <c r="L18" s="42">
        <f t="shared" si="28"/>
        <v>0</v>
      </c>
      <c r="M18" s="26">
        <f t="shared" si="29"/>
        <v>0</v>
      </c>
      <c r="N18" s="157"/>
      <c r="O18" s="42">
        <f t="shared" si="30"/>
        <v>0</v>
      </c>
      <c r="P18" s="26">
        <f t="shared" si="31"/>
        <v>0</v>
      </c>
      <c r="Q18" s="157"/>
      <c r="R18" s="42">
        <f t="shared" si="32"/>
        <v>0</v>
      </c>
      <c r="S18" s="26">
        <f t="shared" si="33"/>
        <v>0</v>
      </c>
      <c r="T18" s="8">
        <f t="shared" si="35"/>
        <v>0</v>
      </c>
      <c r="U18" s="28">
        <f t="shared" si="34"/>
        <v>0</v>
      </c>
      <c r="W18" s="154">
        <v>44697</v>
      </c>
      <c r="X18" s="155"/>
      <c r="Y18" s="160">
        <f t="shared" si="21"/>
        <v>0</v>
      </c>
      <c r="Z18" s="155"/>
      <c r="AA18" s="160">
        <f t="shared" si="21"/>
        <v>0</v>
      </c>
      <c r="AB18" s="155"/>
      <c r="AC18" s="160">
        <f t="shared" si="21"/>
        <v>0</v>
      </c>
      <c r="AD18" s="155"/>
      <c r="AE18" s="160">
        <f t="shared" si="21"/>
        <v>0</v>
      </c>
      <c r="AF18" s="155"/>
      <c r="AG18" s="160">
        <f t="shared" si="21"/>
        <v>0</v>
      </c>
    </row>
    <row r="19" spans="1:33" ht="16.5" thickBot="1" x14ac:dyDescent="0.25">
      <c r="A19" s="9">
        <v>44698</v>
      </c>
      <c r="B19" s="157"/>
      <c r="C19" s="42">
        <f t="shared" si="22"/>
        <v>0</v>
      </c>
      <c r="D19" s="26">
        <f t="shared" si="23"/>
        <v>0</v>
      </c>
      <c r="E19" s="157"/>
      <c r="F19" s="42">
        <f t="shared" si="24"/>
        <v>0</v>
      </c>
      <c r="G19" s="26">
        <f t="shared" si="25"/>
        <v>0</v>
      </c>
      <c r="H19" s="157"/>
      <c r="I19" s="42">
        <f t="shared" si="26"/>
        <v>0</v>
      </c>
      <c r="J19" s="26">
        <f t="shared" si="27"/>
        <v>0</v>
      </c>
      <c r="K19" s="7"/>
      <c r="L19" s="42">
        <f t="shared" si="28"/>
        <v>0</v>
      </c>
      <c r="M19" s="26">
        <f t="shared" si="29"/>
        <v>0</v>
      </c>
      <c r="N19" s="157"/>
      <c r="O19" s="42">
        <f t="shared" si="30"/>
        <v>0</v>
      </c>
      <c r="P19" s="26">
        <f t="shared" si="31"/>
        <v>0</v>
      </c>
      <c r="Q19" s="157"/>
      <c r="R19" s="42">
        <f t="shared" si="32"/>
        <v>0</v>
      </c>
      <c r="S19" s="26">
        <f t="shared" si="33"/>
        <v>0</v>
      </c>
      <c r="T19" s="8">
        <f t="shared" si="35"/>
        <v>0</v>
      </c>
      <c r="U19" s="28">
        <f t="shared" si="34"/>
        <v>0</v>
      </c>
      <c r="W19" s="154">
        <v>44698</v>
      </c>
      <c r="X19" s="155"/>
      <c r="Y19" s="160">
        <f t="shared" si="21"/>
        <v>0</v>
      </c>
      <c r="Z19" s="155"/>
      <c r="AA19" s="160">
        <f t="shared" si="21"/>
        <v>0</v>
      </c>
      <c r="AB19" s="155"/>
      <c r="AC19" s="160">
        <f t="shared" si="21"/>
        <v>0</v>
      </c>
      <c r="AD19" s="155"/>
      <c r="AE19" s="160">
        <f t="shared" si="21"/>
        <v>0</v>
      </c>
      <c r="AF19" s="155"/>
      <c r="AG19" s="160">
        <f t="shared" si="21"/>
        <v>0</v>
      </c>
    </row>
    <row r="20" spans="1:33" ht="16.5" thickBot="1" x14ac:dyDescent="0.25">
      <c r="A20" s="9">
        <v>44699</v>
      </c>
      <c r="B20" s="157"/>
      <c r="C20" s="42">
        <f t="shared" si="22"/>
        <v>0</v>
      </c>
      <c r="D20" s="26">
        <f t="shared" si="23"/>
        <v>0</v>
      </c>
      <c r="E20" s="157"/>
      <c r="F20" s="42">
        <f t="shared" si="24"/>
        <v>0</v>
      </c>
      <c r="G20" s="26">
        <f t="shared" si="25"/>
        <v>0</v>
      </c>
      <c r="H20" s="157"/>
      <c r="I20" s="42">
        <f t="shared" si="26"/>
        <v>0</v>
      </c>
      <c r="J20" s="26">
        <f t="shared" si="27"/>
        <v>0</v>
      </c>
      <c r="K20" s="7"/>
      <c r="L20" s="42">
        <f t="shared" si="28"/>
        <v>0</v>
      </c>
      <c r="M20" s="26">
        <f t="shared" si="29"/>
        <v>0</v>
      </c>
      <c r="N20" s="157"/>
      <c r="O20" s="42">
        <f t="shared" si="30"/>
        <v>0</v>
      </c>
      <c r="P20" s="26">
        <f t="shared" si="31"/>
        <v>0</v>
      </c>
      <c r="Q20" s="157"/>
      <c r="R20" s="42">
        <f t="shared" si="32"/>
        <v>0</v>
      </c>
      <c r="S20" s="26">
        <f t="shared" si="33"/>
        <v>0</v>
      </c>
      <c r="T20" s="8">
        <f t="shared" si="35"/>
        <v>0</v>
      </c>
      <c r="U20" s="28">
        <f t="shared" si="34"/>
        <v>0</v>
      </c>
      <c r="W20" s="154">
        <v>44699</v>
      </c>
      <c r="X20" s="155"/>
      <c r="Y20" s="160">
        <f t="shared" si="21"/>
        <v>0</v>
      </c>
      <c r="Z20" s="155"/>
      <c r="AA20" s="160">
        <f t="shared" si="21"/>
        <v>0</v>
      </c>
      <c r="AB20" s="155"/>
      <c r="AC20" s="160">
        <f t="shared" si="21"/>
        <v>0</v>
      </c>
      <c r="AD20" s="155"/>
      <c r="AE20" s="160">
        <f t="shared" si="21"/>
        <v>0</v>
      </c>
      <c r="AF20" s="155"/>
      <c r="AG20" s="160">
        <f t="shared" si="21"/>
        <v>0</v>
      </c>
    </row>
    <row r="21" spans="1:33" ht="16.5" thickBot="1" x14ac:dyDescent="0.25">
      <c r="A21" s="9">
        <v>44700</v>
      </c>
      <c r="B21" s="157"/>
      <c r="C21" s="42">
        <f t="shared" si="22"/>
        <v>0</v>
      </c>
      <c r="D21" s="26">
        <f t="shared" si="23"/>
        <v>0</v>
      </c>
      <c r="E21" s="157"/>
      <c r="F21" s="42">
        <f t="shared" si="24"/>
        <v>0</v>
      </c>
      <c r="G21" s="26">
        <f t="shared" si="25"/>
        <v>0</v>
      </c>
      <c r="H21" s="157"/>
      <c r="I21" s="42">
        <f t="shared" si="26"/>
        <v>0</v>
      </c>
      <c r="J21" s="26">
        <f t="shared" si="27"/>
        <v>0</v>
      </c>
      <c r="K21" s="7"/>
      <c r="L21" s="42">
        <f t="shared" si="28"/>
        <v>0</v>
      </c>
      <c r="M21" s="26">
        <f t="shared" si="29"/>
        <v>0</v>
      </c>
      <c r="N21" s="157"/>
      <c r="O21" s="42">
        <f t="shared" si="30"/>
        <v>0</v>
      </c>
      <c r="P21" s="26">
        <f t="shared" si="31"/>
        <v>0</v>
      </c>
      <c r="Q21" s="157"/>
      <c r="R21" s="42">
        <f t="shared" si="32"/>
        <v>0</v>
      </c>
      <c r="S21" s="26">
        <f t="shared" si="33"/>
        <v>0</v>
      </c>
      <c r="T21" s="8">
        <f t="shared" si="35"/>
        <v>0</v>
      </c>
      <c r="U21" s="28">
        <f t="shared" si="34"/>
        <v>0</v>
      </c>
      <c r="W21" s="154">
        <v>44700</v>
      </c>
      <c r="X21" s="155"/>
      <c r="Y21" s="160">
        <f t="shared" si="21"/>
        <v>0</v>
      </c>
      <c r="Z21" s="155"/>
      <c r="AA21" s="160">
        <f t="shared" si="21"/>
        <v>0</v>
      </c>
      <c r="AB21" s="155"/>
      <c r="AC21" s="160">
        <f t="shared" si="21"/>
        <v>0</v>
      </c>
      <c r="AD21" s="155"/>
      <c r="AE21" s="160">
        <f t="shared" si="21"/>
        <v>0</v>
      </c>
      <c r="AF21" s="155"/>
      <c r="AG21" s="160">
        <f t="shared" si="21"/>
        <v>0</v>
      </c>
    </row>
    <row r="22" spans="1:33" ht="16.5" thickBot="1" x14ac:dyDescent="0.25">
      <c r="A22" s="9">
        <v>44701</v>
      </c>
      <c r="B22" s="157"/>
      <c r="C22" s="42">
        <f t="shared" si="22"/>
        <v>0</v>
      </c>
      <c r="D22" s="26">
        <f t="shared" si="23"/>
        <v>0</v>
      </c>
      <c r="E22" s="157"/>
      <c r="F22" s="42">
        <f t="shared" si="24"/>
        <v>0</v>
      </c>
      <c r="G22" s="26">
        <f t="shared" si="25"/>
        <v>0</v>
      </c>
      <c r="H22" s="157"/>
      <c r="I22" s="42">
        <f t="shared" si="26"/>
        <v>0</v>
      </c>
      <c r="J22" s="26">
        <f t="shared" si="27"/>
        <v>0</v>
      </c>
      <c r="K22" s="7"/>
      <c r="L22" s="42">
        <f t="shared" si="28"/>
        <v>0</v>
      </c>
      <c r="M22" s="26">
        <f t="shared" si="29"/>
        <v>0</v>
      </c>
      <c r="N22" s="157"/>
      <c r="O22" s="42">
        <f t="shared" si="30"/>
        <v>0</v>
      </c>
      <c r="P22" s="26">
        <f t="shared" si="31"/>
        <v>0</v>
      </c>
      <c r="Q22" s="157"/>
      <c r="R22" s="42">
        <f t="shared" si="32"/>
        <v>0</v>
      </c>
      <c r="S22" s="26">
        <f t="shared" si="33"/>
        <v>0</v>
      </c>
      <c r="T22" s="8">
        <f t="shared" si="35"/>
        <v>0</v>
      </c>
      <c r="U22" s="28">
        <f t="shared" si="34"/>
        <v>0</v>
      </c>
      <c r="W22" s="154">
        <v>44701</v>
      </c>
      <c r="X22" s="155"/>
      <c r="Y22" s="160">
        <f t="shared" si="21"/>
        <v>0</v>
      </c>
      <c r="Z22" s="155"/>
      <c r="AA22" s="160">
        <f t="shared" si="21"/>
        <v>0</v>
      </c>
      <c r="AB22" s="155"/>
      <c r="AC22" s="160">
        <f t="shared" si="21"/>
        <v>0</v>
      </c>
      <c r="AD22" s="155"/>
      <c r="AE22" s="160">
        <f t="shared" si="21"/>
        <v>0</v>
      </c>
      <c r="AF22" s="155"/>
      <c r="AG22" s="160">
        <f t="shared" si="21"/>
        <v>0</v>
      </c>
    </row>
    <row r="23" spans="1:33" ht="16.5" thickBot="1" x14ac:dyDescent="0.25">
      <c r="A23" s="9">
        <v>44702</v>
      </c>
      <c r="B23" s="157"/>
      <c r="C23" s="42">
        <f t="shared" si="22"/>
        <v>0</v>
      </c>
      <c r="D23" s="26">
        <f t="shared" si="23"/>
        <v>0</v>
      </c>
      <c r="E23" s="157"/>
      <c r="F23" s="42">
        <f t="shared" si="24"/>
        <v>0</v>
      </c>
      <c r="G23" s="26">
        <f t="shared" si="25"/>
        <v>0</v>
      </c>
      <c r="H23" s="157"/>
      <c r="I23" s="42">
        <f t="shared" si="26"/>
        <v>0</v>
      </c>
      <c r="J23" s="26">
        <f t="shared" si="27"/>
        <v>0</v>
      </c>
      <c r="K23" s="7"/>
      <c r="L23" s="42">
        <f t="shared" si="28"/>
        <v>0</v>
      </c>
      <c r="M23" s="26">
        <f t="shared" si="29"/>
        <v>0</v>
      </c>
      <c r="N23" s="157"/>
      <c r="O23" s="42">
        <f t="shared" si="30"/>
        <v>0</v>
      </c>
      <c r="P23" s="26">
        <f t="shared" si="31"/>
        <v>0</v>
      </c>
      <c r="Q23" s="157"/>
      <c r="R23" s="42">
        <f t="shared" si="32"/>
        <v>0</v>
      </c>
      <c r="S23" s="26">
        <f t="shared" si="33"/>
        <v>0</v>
      </c>
      <c r="T23" s="8">
        <f t="shared" si="35"/>
        <v>0</v>
      </c>
      <c r="U23" s="28">
        <f t="shared" si="34"/>
        <v>0</v>
      </c>
      <c r="W23" s="154">
        <v>44702</v>
      </c>
      <c r="X23" s="155"/>
      <c r="Y23" s="160">
        <f t="shared" si="21"/>
        <v>0</v>
      </c>
      <c r="Z23" s="155"/>
      <c r="AA23" s="160">
        <f t="shared" si="21"/>
        <v>0</v>
      </c>
      <c r="AB23" s="155"/>
      <c r="AC23" s="160">
        <f t="shared" si="21"/>
        <v>0</v>
      </c>
      <c r="AD23" s="155"/>
      <c r="AE23" s="160">
        <f t="shared" si="21"/>
        <v>0</v>
      </c>
      <c r="AF23" s="155"/>
      <c r="AG23" s="160">
        <f t="shared" si="21"/>
        <v>0</v>
      </c>
    </row>
    <row r="24" spans="1:33" ht="16.5" thickBot="1" x14ac:dyDescent="0.25">
      <c r="A24" s="9">
        <v>44703</v>
      </c>
      <c r="B24" s="157"/>
      <c r="C24" s="42">
        <f t="shared" si="22"/>
        <v>0</v>
      </c>
      <c r="D24" s="26">
        <f t="shared" si="23"/>
        <v>0</v>
      </c>
      <c r="E24" s="157"/>
      <c r="F24" s="42">
        <f t="shared" si="24"/>
        <v>0</v>
      </c>
      <c r="G24" s="26">
        <f t="shared" si="25"/>
        <v>0</v>
      </c>
      <c r="H24" s="157"/>
      <c r="I24" s="42">
        <f t="shared" si="26"/>
        <v>0</v>
      </c>
      <c r="J24" s="26">
        <f t="shared" si="27"/>
        <v>0</v>
      </c>
      <c r="K24" s="7"/>
      <c r="L24" s="42">
        <f t="shared" si="28"/>
        <v>0</v>
      </c>
      <c r="M24" s="26">
        <f t="shared" si="29"/>
        <v>0</v>
      </c>
      <c r="N24" s="157"/>
      <c r="O24" s="42">
        <f t="shared" si="30"/>
        <v>0</v>
      </c>
      <c r="P24" s="26">
        <f t="shared" si="31"/>
        <v>0</v>
      </c>
      <c r="Q24" s="157"/>
      <c r="R24" s="42">
        <f t="shared" si="32"/>
        <v>0</v>
      </c>
      <c r="S24" s="26">
        <f t="shared" si="33"/>
        <v>0</v>
      </c>
      <c r="T24" s="8">
        <f t="shared" si="35"/>
        <v>0</v>
      </c>
      <c r="U24" s="28">
        <f t="shared" si="34"/>
        <v>0</v>
      </c>
      <c r="W24" s="154">
        <v>44703</v>
      </c>
      <c r="X24" s="155"/>
      <c r="Y24" s="160">
        <f t="shared" si="21"/>
        <v>0</v>
      </c>
      <c r="Z24" s="155"/>
      <c r="AA24" s="160">
        <f t="shared" si="21"/>
        <v>0</v>
      </c>
      <c r="AB24" s="155"/>
      <c r="AC24" s="160">
        <f t="shared" si="21"/>
        <v>0</v>
      </c>
      <c r="AD24" s="155"/>
      <c r="AE24" s="160">
        <f t="shared" si="21"/>
        <v>0</v>
      </c>
      <c r="AF24" s="155"/>
      <c r="AG24" s="160">
        <f t="shared" si="21"/>
        <v>0</v>
      </c>
    </row>
    <row r="25" spans="1:33" ht="16.5" thickBot="1" x14ac:dyDescent="0.25">
      <c r="A25" s="9">
        <v>44704</v>
      </c>
      <c r="B25" s="157"/>
      <c r="C25" s="42">
        <f t="shared" si="22"/>
        <v>0</v>
      </c>
      <c r="D25" s="26">
        <f t="shared" si="23"/>
        <v>0</v>
      </c>
      <c r="E25" s="157"/>
      <c r="F25" s="42">
        <f t="shared" si="24"/>
        <v>0</v>
      </c>
      <c r="G25" s="26">
        <f t="shared" si="25"/>
        <v>0</v>
      </c>
      <c r="H25" s="157"/>
      <c r="I25" s="42">
        <f t="shared" si="26"/>
        <v>0</v>
      </c>
      <c r="J25" s="26">
        <f t="shared" si="27"/>
        <v>0</v>
      </c>
      <c r="K25" s="7"/>
      <c r="L25" s="42">
        <f t="shared" si="28"/>
        <v>0</v>
      </c>
      <c r="M25" s="26">
        <f t="shared" si="29"/>
        <v>0</v>
      </c>
      <c r="N25" s="157"/>
      <c r="O25" s="42">
        <f t="shared" si="30"/>
        <v>0</v>
      </c>
      <c r="P25" s="26">
        <f t="shared" si="31"/>
        <v>0</v>
      </c>
      <c r="Q25" s="157"/>
      <c r="R25" s="42">
        <f t="shared" si="32"/>
        <v>0</v>
      </c>
      <c r="S25" s="26">
        <f t="shared" si="33"/>
        <v>0</v>
      </c>
      <c r="T25" s="8">
        <f t="shared" si="35"/>
        <v>0</v>
      </c>
      <c r="U25" s="28">
        <f t="shared" si="34"/>
        <v>0</v>
      </c>
      <c r="W25" s="154">
        <v>44704</v>
      </c>
      <c r="X25" s="155"/>
      <c r="Y25" s="160">
        <f t="shared" si="21"/>
        <v>0</v>
      </c>
      <c r="Z25" s="155"/>
      <c r="AA25" s="160">
        <f t="shared" si="21"/>
        <v>0</v>
      </c>
      <c r="AB25" s="155"/>
      <c r="AC25" s="160">
        <f t="shared" si="21"/>
        <v>0</v>
      </c>
      <c r="AD25" s="155"/>
      <c r="AE25" s="160">
        <f t="shared" si="21"/>
        <v>0</v>
      </c>
      <c r="AF25" s="155"/>
      <c r="AG25" s="160">
        <f t="shared" si="21"/>
        <v>0</v>
      </c>
    </row>
    <row r="26" spans="1:33" ht="16.5" thickBot="1" x14ac:dyDescent="0.25">
      <c r="A26" s="9">
        <v>44705</v>
      </c>
      <c r="B26" s="157"/>
      <c r="C26" s="42">
        <f t="shared" si="22"/>
        <v>0</v>
      </c>
      <c r="D26" s="26">
        <f t="shared" si="23"/>
        <v>0</v>
      </c>
      <c r="E26" s="157"/>
      <c r="F26" s="42">
        <f t="shared" si="24"/>
        <v>0</v>
      </c>
      <c r="G26" s="26">
        <f t="shared" si="25"/>
        <v>0</v>
      </c>
      <c r="H26" s="157"/>
      <c r="I26" s="42">
        <f t="shared" si="26"/>
        <v>0</v>
      </c>
      <c r="J26" s="26">
        <f t="shared" si="27"/>
        <v>0</v>
      </c>
      <c r="K26" s="7"/>
      <c r="L26" s="42">
        <f>IF((K26-K25)&lt;0,"0",(K26-K25))</f>
        <v>0</v>
      </c>
      <c r="M26" s="26">
        <f t="shared" si="29"/>
        <v>0</v>
      </c>
      <c r="N26" s="157"/>
      <c r="O26" s="42">
        <f t="shared" si="30"/>
        <v>0</v>
      </c>
      <c r="P26" s="26">
        <f t="shared" si="31"/>
        <v>0</v>
      </c>
      <c r="Q26" s="157"/>
      <c r="R26" s="42">
        <f t="shared" si="32"/>
        <v>0</v>
      </c>
      <c r="S26" s="26">
        <f t="shared" si="33"/>
        <v>0</v>
      </c>
      <c r="T26" s="8">
        <f t="shared" si="35"/>
        <v>0</v>
      </c>
      <c r="U26" s="28">
        <f t="shared" si="34"/>
        <v>0</v>
      </c>
      <c r="V26" t="s">
        <v>12</v>
      </c>
      <c r="W26" s="154">
        <v>44705</v>
      </c>
      <c r="X26" s="155"/>
      <c r="Y26" s="160">
        <f t="shared" si="21"/>
        <v>0</v>
      </c>
      <c r="Z26" s="155"/>
      <c r="AA26" s="160">
        <f t="shared" si="21"/>
        <v>0</v>
      </c>
      <c r="AB26" s="155"/>
      <c r="AC26" s="160">
        <f t="shared" si="21"/>
        <v>0</v>
      </c>
      <c r="AD26" s="155"/>
      <c r="AE26" s="160">
        <f t="shared" si="21"/>
        <v>0</v>
      </c>
      <c r="AF26" s="155"/>
      <c r="AG26" s="160">
        <f t="shared" si="21"/>
        <v>0</v>
      </c>
    </row>
    <row r="27" spans="1:33" ht="16.5" thickBot="1" x14ac:dyDescent="0.25">
      <c r="A27" s="9">
        <v>44706</v>
      </c>
      <c r="B27" s="157"/>
      <c r="C27" s="42">
        <f t="shared" si="22"/>
        <v>0</v>
      </c>
      <c r="D27" s="26">
        <f t="shared" si="23"/>
        <v>0</v>
      </c>
      <c r="E27" s="157"/>
      <c r="F27" s="42">
        <f t="shared" si="24"/>
        <v>0</v>
      </c>
      <c r="G27" s="26">
        <f t="shared" si="25"/>
        <v>0</v>
      </c>
      <c r="H27" s="157"/>
      <c r="I27" s="42">
        <f t="shared" si="26"/>
        <v>0</v>
      </c>
      <c r="J27" s="26">
        <f t="shared" si="27"/>
        <v>0</v>
      </c>
      <c r="K27" s="7"/>
      <c r="L27" s="42">
        <f t="shared" si="28"/>
        <v>0</v>
      </c>
      <c r="M27" s="26">
        <f t="shared" si="29"/>
        <v>0</v>
      </c>
      <c r="N27" s="157"/>
      <c r="O27" s="42">
        <f t="shared" si="30"/>
        <v>0</v>
      </c>
      <c r="P27" s="26">
        <f t="shared" si="31"/>
        <v>0</v>
      </c>
      <c r="Q27" s="157"/>
      <c r="R27" s="42">
        <f t="shared" si="32"/>
        <v>0</v>
      </c>
      <c r="S27" s="26">
        <f t="shared" si="33"/>
        <v>0</v>
      </c>
      <c r="T27" s="8">
        <f t="shared" si="35"/>
        <v>0</v>
      </c>
      <c r="U27" s="28">
        <f t="shared" si="34"/>
        <v>0</v>
      </c>
      <c r="V27" t="s">
        <v>12</v>
      </c>
      <c r="W27" s="154">
        <v>44706</v>
      </c>
      <c r="X27" s="155"/>
      <c r="Y27" s="160">
        <f t="shared" si="21"/>
        <v>0</v>
      </c>
      <c r="Z27" s="155"/>
      <c r="AA27" s="160">
        <f t="shared" si="21"/>
        <v>0</v>
      </c>
      <c r="AB27" s="155"/>
      <c r="AC27" s="160">
        <f t="shared" si="21"/>
        <v>0</v>
      </c>
      <c r="AD27" s="155"/>
      <c r="AE27" s="160">
        <f t="shared" si="21"/>
        <v>0</v>
      </c>
      <c r="AF27" s="155"/>
      <c r="AG27" s="160">
        <f t="shared" si="21"/>
        <v>0</v>
      </c>
    </row>
    <row r="28" spans="1:33" ht="16.5" thickBot="1" x14ac:dyDescent="0.25">
      <c r="A28" s="9">
        <v>44707</v>
      </c>
      <c r="B28" s="157"/>
      <c r="C28" s="42">
        <f t="shared" si="22"/>
        <v>0</v>
      </c>
      <c r="D28" s="26">
        <f t="shared" si="23"/>
        <v>0</v>
      </c>
      <c r="E28" s="157"/>
      <c r="F28" s="42">
        <f t="shared" si="24"/>
        <v>0</v>
      </c>
      <c r="G28" s="26">
        <f t="shared" si="25"/>
        <v>0</v>
      </c>
      <c r="H28" s="157"/>
      <c r="I28" s="42">
        <f t="shared" si="26"/>
        <v>0</v>
      </c>
      <c r="J28" s="26">
        <f t="shared" si="27"/>
        <v>0</v>
      </c>
      <c r="K28" s="7"/>
      <c r="L28" s="42">
        <f t="shared" si="28"/>
        <v>0</v>
      </c>
      <c r="M28" s="26">
        <f t="shared" si="29"/>
        <v>0</v>
      </c>
      <c r="N28" s="157"/>
      <c r="O28" s="42">
        <f t="shared" si="30"/>
        <v>0</v>
      </c>
      <c r="P28" s="26">
        <f t="shared" si="31"/>
        <v>0</v>
      </c>
      <c r="Q28" s="157"/>
      <c r="R28" s="42">
        <f t="shared" si="32"/>
        <v>0</v>
      </c>
      <c r="S28" s="26">
        <f t="shared" si="33"/>
        <v>0</v>
      </c>
      <c r="T28" s="8">
        <f t="shared" si="35"/>
        <v>0</v>
      </c>
      <c r="U28" s="28">
        <f t="shared" si="34"/>
        <v>0</v>
      </c>
      <c r="W28" s="154">
        <v>44707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44708</v>
      </c>
      <c r="B29" s="157"/>
      <c r="C29" s="42">
        <f t="shared" si="22"/>
        <v>0</v>
      </c>
      <c r="D29" s="26">
        <f t="shared" si="23"/>
        <v>0</v>
      </c>
      <c r="E29" s="157"/>
      <c r="F29" s="42">
        <f t="shared" si="24"/>
        <v>0</v>
      </c>
      <c r="G29" s="26">
        <f t="shared" si="25"/>
        <v>0</v>
      </c>
      <c r="H29" s="157"/>
      <c r="I29" s="42">
        <f t="shared" si="26"/>
        <v>0</v>
      </c>
      <c r="J29" s="26">
        <f t="shared" si="27"/>
        <v>0</v>
      </c>
      <c r="K29" s="7"/>
      <c r="L29" s="42">
        <f t="shared" si="28"/>
        <v>0</v>
      </c>
      <c r="M29" s="26">
        <f t="shared" si="29"/>
        <v>0</v>
      </c>
      <c r="N29" s="157"/>
      <c r="O29" s="42">
        <f t="shared" si="30"/>
        <v>0</v>
      </c>
      <c r="P29" s="26">
        <f t="shared" si="31"/>
        <v>0</v>
      </c>
      <c r="Q29" s="157"/>
      <c r="R29" s="42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88.934999999997672</v>
      </c>
      <c r="D34" s="135">
        <f>SUM(D3:D32)</f>
        <v>168976.49999999558</v>
      </c>
      <c r="E34" s="135"/>
      <c r="F34" s="42">
        <f>SUM(F2:F32)</f>
        <v>16.046000000000276</v>
      </c>
      <c r="G34" s="135">
        <f>SUM(G3:G32)</f>
        <v>30487.400000000525</v>
      </c>
      <c r="H34" s="135"/>
      <c r="I34" s="42">
        <f>SUM(I2:I32)</f>
        <v>59</v>
      </c>
      <c r="J34" s="135">
        <f>SUM(J3:J32)</f>
        <v>112100</v>
      </c>
      <c r="K34" s="135"/>
      <c r="L34" s="42">
        <f>SUM(L2:L32)</f>
        <v>15.709999999999127</v>
      </c>
      <c r="M34" s="135">
        <f>SUM(M3:M32)</f>
        <v>29848.999999998341</v>
      </c>
      <c r="N34" s="135"/>
      <c r="O34" s="42">
        <f>SUM(O2:O32)</f>
        <v>16.942000000000007</v>
      </c>
      <c r="P34" s="135">
        <f>SUM(P3:P32)</f>
        <v>32189.80000000001</v>
      </c>
      <c r="Q34" s="135"/>
      <c r="R34" s="42">
        <f>SUM(R3:R32)</f>
        <v>13.899999999999636</v>
      </c>
      <c r="S34" s="135">
        <f>SUM(S3:S32)</f>
        <v>26409.999999999309</v>
      </c>
      <c r="T34" s="135">
        <f>SUM(T3:T32)</f>
        <v>210.53299999999672</v>
      </c>
      <c r="U34" s="135">
        <f>SUM(U3:U32)</f>
        <v>400012.69999999378</v>
      </c>
      <c r="V34"/>
      <c r="W34" s="135" t="s">
        <v>141</v>
      </c>
      <c r="X34" s="135"/>
      <c r="Y34" s="135">
        <f>SUM(Y2:Y33)</f>
        <v>1649</v>
      </c>
      <c r="Z34" s="135"/>
      <c r="AA34" s="135">
        <f>SUM(AA2:AA33)</f>
        <v>102</v>
      </c>
      <c r="AB34" s="135"/>
      <c r="AC34" s="135">
        <f>SUM(AC2:AC33)</f>
        <v>0</v>
      </c>
      <c r="AD34" s="135"/>
      <c r="AE34" s="135">
        <f>SUM(AE2:AE33)</f>
        <v>25</v>
      </c>
      <c r="AF34" s="135">
        <v>0</v>
      </c>
      <c r="AG34" s="135">
        <f>SUM(AG2:AG33)</f>
        <v>787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68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76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76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78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78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77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77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76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76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78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78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77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77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76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76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78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78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77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77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76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76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78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78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77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77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76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76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78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78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77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77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76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76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78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78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77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77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76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76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78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78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77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77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76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76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78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78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77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77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76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76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78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78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77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77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76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76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78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78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77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77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76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76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78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78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77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77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76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76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78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78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77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77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76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76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78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78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77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77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76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76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78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78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77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77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76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76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78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78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76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76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78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78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76">
        <v>23</v>
      </c>
      <c r="D49" s="59" t="s">
        <v>83</v>
      </c>
      <c r="E49" s="60"/>
      <c r="F49" s="74"/>
      <c r="G49" s="61">
        <f t="shared" si="2"/>
        <v>0</v>
      </c>
      <c r="H49" s="62"/>
      <c r="J49" s="176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78"/>
      <c r="D50" s="59" t="s">
        <v>82</v>
      </c>
      <c r="E50" s="60"/>
      <c r="F50" s="74"/>
      <c r="G50" s="61">
        <f t="shared" si="2"/>
        <v>0</v>
      </c>
      <c r="H50" s="62"/>
      <c r="J50" s="178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79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79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80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80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81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81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76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76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77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77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76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76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77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77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76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76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77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77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76">
        <v>28</v>
      </c>
      <c r="D62" s="185" t="s">
        <v>86</v>
      </c>
      <c r="E62" s="60"/>
      <c r="F62" s="60"/>
      <c r="G62" s="61"/>
      <c r="H62" s="187" t="s">
        <v>87</v>
      </c>
      <c r="I62" s="65"/>
      <c r="J62" s="176">
        <v>28</v>
      </c>
      <c r="K62" s="185" t="s">
        <v>86</v>
      </c>
      <c r="L62" s="60"/>
      <c r="M62" s="60"/>
      <c r="N62" s="61"/>
      <c r="O62" s="187" t="s">
        <v>87</v>
      </c>
    </row>
    <row r="63" spans="1:15" ht="15" x14ac:dyDescent="0.2">
      <c r="A63" s="65"/>
      <c r="B63" s="55"/>
      <c r="C63" s="177"/>
      <c r="D63" s="186"/>
      <c r="E63" s="60"/>
      <c r="F63" s="60"/>
      <c r="G63" s="61"/>
      <c r="H63" s="188"/>
      <c r="I63" s="65"/>
      <c r="J63" s="177"/>
      <c r="K63" s="186"/>
      <c r="L63" s="60"/>
      <c r="M63" s="60"/>
      <c r="N63" s="61"/>
      <c r="O63" s="188"/>
    </row>
    <row r="64" spans="1:15" x14ac:dyDescent="0.2">
      <c r="A64" s="65"/>
      <c r="B64" s="55"/>
      <c r="C64" s="189" t="s">
        <v>88</v>
      </c>
      <c r="D64" s="189"/>
      <c r="E64" s="189"/>
      <c r="F64" s="189"/>
      <c r="G64" s="79">
        <f>SUM(G2:G63)</f>
        <v>35162</v>
      </c>
      <c r="H64" s="80"/>
      <c r="I64" s="65"/>
      <c r="J64" s="189" t="s">
        <v>88</v>
      </c>
      <c r="K64" s="189"/>
      <c r="L64" s="189"/>
      <c r="M64" s="189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90">
        <v>44621</v>
      </c>
      <c r="C69" s="191"/>
      <c r="D69" s="191"/>
      <c r="E69" s="192"/>
      <c r="F69" s="83"/>
      <c r="G69" s="190">
        <v>44652</v>
      </c>
      <c r="H69" s="191"/>
      <c r="I69" s="191"/>
      <c r="J69" s="192"/>
      <c r="K69" s="83"/>
      <c r="L69" s="182" t="s">
        <v>25</v>
      </c>
      <c r="M69" s="183"/>
      <c r="N69" s="183"/>
      <c r="O69" s="184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-16579301</v>
      </c>
      <c r="D7" s="103">
        <f t="shared" si="0"/>
        <v>-21055712.27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12498</v>
      </c>
      <c r="D8" s="103">
        <f t="shared" si="0"/>
        <v>15872.460000000001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2260</v>
      </c>
      <c r="D9" s="103">
        <f t="shared" si="0"/>
        <v>2870.2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4800</v>
      </c>
      <c r="D10" s="103">
        <f t="shared" si="0"/>
        <v>6096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1575</v>
      </c>
      <c r="D11" s="103">
        <f t="shared" si="0"/>
        <v>2000.25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3986</v>
      </c>
      <c r="K16" s="92">
        <f>(J16-I16)*160</f>
        <v>800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313105</v>
      </c>
      <c r="K17" s="92">
        <f>(J17-I17)</f>
        <v>1424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26110</v>
      </c>
      <c r="K18" s="92">
        <f>(J18-I18)*160</f>
        <v>4800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151750</v>
      </c>
      <c r="K19" s="92">
        <f>J19-I19</f>
        <v>1575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46994</v>
      </c>
      <c r="K21" s="92">
        <f>(J21-I21)*120</f>
        <v>6000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40573</v>
      </c>
      <c r="K22" s="92">
        <f>(J22-I22)*160</f>
        <v>5600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21621</v>
      </c>
      <c r="K23" s="92">
        <f>(J23-I23)*20</f>
        <v>720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254907</v>
      </c>
      <c r="K24" s="92">
        <f>J24-I24</f>
        <v>178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225972</v>
      </c>
      <c r="K25" s="92">
        <f>J25-I25</f>
        <v>36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2022-05-12T01:33:52Z</dcterms:modified>
</cp:coreProperties>
</file>