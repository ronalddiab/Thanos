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<sst xmlns="http://schemas.openxmlformats.org/spreadsheetml/2006/main" count="128" uniqueCount="49">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</sst>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E32" sqref="E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28830</v>
      </c>
      <c r="F2" s="11">
        <v>5.0000000000000001E-3</v>
      </c>
      <c r="G2" s="12">
        <f>Submetering!R2</f>
        <v>339.55127699999997</v>
      </c>
      <c r="H2" s="11">
        <v>0.52800000000000002</v>
      </c>
      <c r="I2" s="12">
        <f>Hotel!B7</f>
        <v>9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27010</v>
      </c>
      <c r="F3" s="11">
        <v>5.0000000000000001E-3</v>
      </c>
      <c r="G3" s="12">
        <f>Submetering!R3</f>
        <v>366.04914699999995</v>
      </c>
      <c r="H3" s="11">
        <v>0.52800000000000002</v>
      </c>
      <c r="I3" s="12">
        <f>Hotel!B8</f>
        <v>10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26770</v>
      </c>
      <c r="F4" s="11">
        <v>5.0000000000000001E-3</v>
      </c>
      <c r="G4" s="12">
        <f>Submetering!R4</f>
        <v>366.80622899999997</v>
      </c>
      <c r="H4" s="11">
        <v>0.52800000000000002</v>
      </c>
      <c r="I4" s="12">
        <f>Hotel!B9</f>
        <v>7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26710</v>
      </c>
      <c r="F5" s="11">
        <v>5.0000000000000001E-3</v>
      </c>
      <c r="G5" s="12">
        <f>Submetering!R5</f>
        <v>155.20180999999999</v>
      </c>
      <c r="H5" s="11">
        <v>0.52800000000000002</v>
      </c>
      <c r="I5" s="12">
        <f>Hotel!B10</f>
        <v>11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27060</v>
      </c>
      <c r="F6" s="11">
        <v>5.0000000000000001E-3</v>
      </c>
      <c r="G6" s="12">
        <f>Submetering!R6</f>
        <v>822.94813399999998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30160</v>
      </c>
      <c r="F7" s="11">
        <v>5.0000000000000001E-3</v>
      </c>
      <c r="G7" s="12">
        <f>Submetering!R7</f>
        <v>363.77790099999999</v>
      </c>
      <c r="H7" s="11">
        <v>0.52800000000000002</v>
      </c>
      <c r="I7" s="12">
        <f>Hotel!B12</f>
        <v>11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24480</v>
      </c>
      <c r="F8" s="11">
        <v>5.0000000000000001E-3</v>
      </c>
      <c r="G8" s="12">
        <f>Submetering!R8</f>
        <v>419.80196899999999</v>
      </c>
      <c r="H8" s="11">
        <v>0.52800000000000002</v>
      </c>
      <c r="I8" s="12">
        <f>Hotel!B13</f>
        <v>9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25200</v>
      </c>
      <c r="F9" s="11">
        <v>5.0000000000000001E-3</v>
      </c>
      <c r="G9" s="12">
        <f>Submetering!R9</f>
        <v>425.85862499999996</v>
      </c>
      <c r="H9" s="11">
        <v>0.52800000000000002</v>
      </c>
      <c r="I9" s="12">
        <f>Hotel!B14</f>
        <v>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27040</v>
      </c>
      <c r="F10" s="11">
        <v>5.0000000000000001E-3</v>
      </c>
      <c r="G10" s="12">
        <f>Submetering!R10</f>
        <v>426.99424800000003</v>
      </c>
      <c r="H10" s="11">
        <v>0.52800000000000002</v>
      </c>
      <c r="I10" s="12">
        <f>Hotel!B15</f>
        <v>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5</v>
      </c>
      <c r="D2" s="2">
        <v>2020</v>
      </c>
      <c r="E2" s="4">
        <f>Hotel!Q7</f>
        <v>590</v>
      </c>
      <c r="F2" s="4">
        <f>Hotel!R7</f>
        <v>1960</v>
      </c>
      <c r="G2" s="4">
        <f>Hotel!S7</f>
        <v>3090</v>
      </c>
      <c r="H2" s="4">
        <f>Hotel!T7</f>
        <v>1440</v>
      </c>
      <c r="I2" s="4">
        <f>Hotel!U7</f>
        <v>3120</v>
      </c>
      <c r="J2" s="4">
        <f>Hotel!V7</f>
        <v>2300</v>
      </c>
      <c r="K2" s="4">
        <f>Hotel!W7</f>
        <v>2190</v>
      </c>
      <c r="L2" s="4">
        <f>Hotel!X7</f>
        <v>1420</v>
      </c>
      <c r="M2" s="4">
        <f>Hotel!Y7</f>
        <v>2040</v>
      </c>
      <c r="N2" s="4">
        <f>Hotel!Z7</f>
        <v>2410</v>
      </c>
      <c r="O2" s="4">
        <f>Hotel!AA7</f>
        <v>1490</v>
      </c>
      <c r="P2" s="4">
        <f>Hotel!AB7</f>
        <v>3900</v>
      </c>
      <c r="Q2" s="4">
        <f>Hotel!AC7</f>
        <v>2880</v>
      </c>
      <c r="R2" s="4">
        <f>Hotel!AV7*0.00378541*100</f>
        <v>339.55127699999997</v>
      </c>
      <c r="S2" s="4">
        <f>Hotel!B7</f>
        <v>9</v>
      </c>
    </row>
    <row r="3" spans="1:19" x14ac:dyDescent="0.25">
      <c r="A3" s="21" t="s">
        <v>31</v>
      </c>
      <c r="B3" s="2">
        <f>B2+1</f>
        <v>2</v>
      </c>
      <c r="C3" s="10">
        <v>5</v>
      </c>
      <c r="D3" s="2">
        <v>2020</v>
      </c>
      <c r="E3" s="4">
        <f>Hotel!Q8</f>
        <v>570</v>
      </c>
      <c r="F3" s="4">
        <f>Hotel!R8</f>
        <v>1880</v>
      </c>
      <c r="G3" s="4">
        <f>Hotel!S8</f>
        <v>2950</v>
      </c>
      <c r="H3" s="4">
        <f>Hotel!T8</f>
        <v>1380</v>
      </c>
      <c r="I3" s="4">
        <f>Hotel!U8</f>
        <v>3050</v>
      </c>
      <c r="J3" s="4">
        <f>Hotel!V8</f>
        <v>2340</v>
      </c>
      <c r="K3" s="4">
        <f>Hotel!W8</f>
        <v>2040</v>
      </c>
      <c r="L3" s="4">
        <f>Hotel!X8</f>
        <v>1190</v>
      </c>
      <c r="M3" s="4">
        <f>Hotel!Y8</f>
        <v>1940</v>
      </c>
      <c r="N3" s="4">
        <f>Hotel!Z8</f>
        <v>2350</v>
      </c>
      <c r="O3" s="4">
        <f>Hotel!AA8</f>
        <v>1460</v>
      </c>
      <c r="P3" s="4">
        <f>Hotel!AB8</f>
        <v>3180</v>
      </c>
      <c r="Q3" s="4">
        <f>Hotel!AC8</f>
        <v>2680</v>
      </c>
      <c r="R3" s="4">
        <f>Hotel!AV8*0.00378541*100</f>
        <v>366.04914699999995</v>
      </c>
      <c r="S3" s="4">
        <f>Hotel!B8</f>
        <v>10</v>
      </c>
    </row>
    <row r="4" spans="1:19" x14ac:dyDescent="0.25">
      <c r="A4" s="21" t="s">
        <v>31</v>
      </c>
      <c r="B4" s="2">
        <f t="shared" ref="B4:B29" si="0">B3+1</f>
        <v>3</v>
      </c>
      <c r="C4" s="10">
        <v>5</v>
      </c>
      <c r="D4" s="2">
        <v>2020</v>
      </c>
      <c r="E4" s="4">
        <f>Hotel!Q9</f>
        <v>560</v>
      </c>
      <c r="F4" s="4">
        <f>Hotel!R9</f>
        <v>1880</v>
      </c>
      <c r="G4" s="4">
        <f>Hotel!S9</f>
        <v>2890</v>
      </c>
      <c r="H4" s="4">
        <f>Hotel!T9</f>
        <v>1370</v>
      </c>
      <c r="I4" s="4">
        <f>Hotel!U9</f>
        <v>3020</v>
      </c>
      <c r="J4" s="4">
        <f>Hotel!V9</f>
        <v>2030</v>
      </c>
      <c r="K4" s="4">
        <f>Hotel!W9</f>
        <v>2080</v>
      </c>
      <c r="L4" s="4">
        <f>Hotel!X9</f>
        <v>1100</v>
      </c>
      <c r="M4" s="4">
        <f>Hotel!Y9</f>
        <v>1950</v>
      </c>
      <c r="N4" s="4">
        <f>Hotel!Z9</f>
        <v>2310</v>
      </c>
      <c r="O4" s="4">
        <f>Hotel!AA9</f>
        <v>1470</v>
      </c>
      <c r="P4" s="4">
        <f>Hotel!AB9</f>
        <v>3460</v>
      </c>
      <c r="Q4" s="4">
        <f>Hotel!AC9</f>
        <v>2650</v>
      </c>
      <c r="R4" s="4">
        <f>Hotel!AV9*0.00378541*100</f>
        <v>366.80622899999997</v>
      </c>
      <c r="S4" s="4">
        <f>Hotel!B9</f>
        <v>7</v>
      </c>
    </row>
    <row r="5" spans="1:19" x14ac:dyDescent="0.25">
      <c r="A5" s="21" t="s">
        <v>31</v>
      </c>
      <c r="B5" s="2">
        <f t="shared" si="0"/>
        <v>4</v>
      </c>
      <c r="C5" s="10">
        <v>5</v>
      </c>
      <c r="D5" s="2">
        <v>2020</v>
      </c>
      <c r="E5" s="4">
        <f>Hotel!Q10</f>
        <v>580</v>
      </c>
      <c r="F5" s="4">
        <f>Hotel!R10</f>
        <v>1880</v>
      </c>
      <c r="G5" s="4">
        <f>Hotel!S10</f>
        <v>2850</v>
      </c>
      <c r="H5" s="4">
        <f>Hotel!T10</f>
        <v>1370</v>
      </c>
      <c r="I5" s="4">
        <f>Hotel!U10</f>
        <v>2960</v>
      </c>
      <c r="J5" s="4">
        <f>Hotel!V10</f>
        <v>2010</v>
      </c>
      <c r="K5" s="4">
        <f>Hotel!W10</f>
        <v>2080</v>
      </c>
      <c r="L5" s="4">
        <f>Hotel!X10</f>
        <v>1110</v>
      </c>
      <c r="M5" s="4">
        <f>Hotel!Y10</f>
        <v>1950</v>
      </c>
      <c r="N5" s="4">
        <f>Hotel!Z10</f>
        <v>2280</v>
      </c>
      <c r="O5" s="4">
        <f>Hotel!AA10</f>
        <v>1470</v>
      </c>
      <c r="P5" s="4">
        <f>Hotel!AB10</f>
        <v>3460</v>
      </c>
      <c r="Q5" s="4">
        <f>Hotel!AC10</f>
        <v>2710</v>
      </c>
      <c r="R5" s="4">
        <f>Hotel!AV10*0.00378541*100</f>
        <v>155.20180999999999</v>
      </c>
      <c r="S5" s="4">
        <f>Hotel!B10</f>
        <v>11</v>
      </c>
    </row>
    <row r="6" spans="1:19" x14ac:dyDescent="0.25">
      <c r="A6" s="21" t="s">
        <v>31</v>
      </c>
      <c r="B6" s="2">
        <f t="shared" si="0"/>
        <v>5</v>
      </c>
      <c r="C6" s="10">
        <v>5</v>
      </c>
      <c r="D6" s="2">
        <v>2020</v>
      </c>
      <c r="E6" s="4">
        <f>Hotel!Q11</f>
        <v>560</v>
      </c>
      <c r="F6" s="4">
        <f>Hotel!R11</f>
        <v>1880</v>
      </c>
      <c r="G6" s="4">
        <f>Hotel!S11</f>
        <v>2920</v>
      </c>
      <c r="H6" s="4">
        <f>Hotel!T11</f>
        <v>1380</v>
      </c>
      <c r="I6" s="4">
        <f>Hotel!U11</f>
        <v>2920</v>
      </c>
      <c r="J6" s="4">
        <f>Hotel!V11</f>
        <v>2060</v>
      </c>
      <c r="K6" s="4">
        <f>Hotel!W11</f>
        <v>2110</v>
      </c>
      <c r="L6" s="4">
        <f>Hotel!X11</f>
        <v>1170</v>
      </c>
      <c r="M6" s="4">
        <f>Hotel!Y11</f>
        <v>1960</v>
      </c>
      <c r="N6" s="4">
        <f>Hotel!Z11</f>
        <v>2300</v>
      </c>
      <c r="O6" s="4">
        <f>Hotel!AA11</f>
        <v>1410</v>
      </c>
      <c r="P6" s="4">
        <f>Hotel!AB11</f>
        <v>3650</v>
      </c>
      <c r="Q6" s="4">
        <f>Hotel!AC11</f>
        <v>2740</v>
      </c>
      <c r="R6" s="4">
        <f>Hotel!AV11*0.00378541*100</f>
        <v>822.94813399999998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5</v>
      </c>
      <c r="D7" s="2">
        <v>2020</v>
      </c>
      <c r="E7" s="4">
        <f>Hotel!Q12</f>
        <v>640</v>
      </c>
      <c r="F7" s="4">
        <f>Hotel!R12</f>
        <v>2100</v>
      </c>
      <c r="G7" s="4">
        <f>Hotel!S12</f>
        <v>3330</v>
      </c>
      <c r="H7" s="4">
        <f>Hotel!T12</f>
        <v>1550</v>
      </c>
      <c r="I7" s="4">
        <f>Hotel!U12</f>
        <v>3190</v>
      </c>
      <c r="J7" s="4">
        <f>Hotel!V12</f>
        <v>2210</v>
      </c>
      <c r="K7" s="4">
        <f>Hotel!W12</f>
        <v>2380</v>
      </c>
      <c r="L7" s="4">
        <f>Hotel!X12</f>
        <v>1420</v>
      </c>
      <c r="M7" s="4">
        <f>Hotel!Y12</f>
        <v>2200</v>
      </c>
      <c r="N7" s="4">
        <f>Hotel!Z12</f>
        <v>2550</v>
      </c>
      <c r="O7" s="4">
        <f>Hotel!AA12</f>
        <v>1500</v>
      </c>
      <c r="P7" s="4">
        <f>Hotel!AB12</f>
        <v>4080</v>
      </c>
      <c r="Q7" s="4">
        <f>Hotel!AC12</f>
        <v>3010</v>
      </c>
      <c r="R7" s="4">
        <f>Hotel!AV12*0.00378541*100</f>
        <v>363.77790099999999</v>
      </c>
      <c r="S7" s="4">
        <f>Hotel!B12</f>
        <v>11</v>
      </c>
    </row>
    <row r="8" spans="1:19" x14ac:dyDescent="0.25">
      <c r="A8" s="21" t="s">
        <v>31</v>
      </c>
      <c r="B8" s="2">
        <f t="shared" si="0"/>
        <v>7</v>
      </c>
      <c r="C8" s="10">
        <v>5</v>
      </c>
      <c r="D8" s="2">
        <v>2020</v>
      </c>
      <c r="E8" s="4">
        <f>Hotel!Q13</f>
        <v>500</v>
      </c>
      <c r="F8" s="4">
        <f>Hotel!R13</f>
        <v>1660</v>
      </c>
      <c r="G8" s="4">
        <f>Hotel!S13</f>
        <v>2550</v>
      </c>
      <c r="H8" s="4">
        <f>Hotel!T13</f>
        <v>1210</v>
      </c>
      <c r="I8" s="4">
        <f>Hotel!U13</f>
        <v>2570</v>
      </c>
      <c r="J8" s="4">
        <f>Hotel!V13</f>
        <v>1790</v>
      </c>
      <c r="K8" s="4">
        <f>Hotel!W13</f>
        <v>2390</v>
      </c>
      <c r="L8" s="4">
        <f>Hotel!X13</f>
        <v>1120</v>
      </c>
      <c r="M8" s="4">
        <f>Hotel!Y13</f>
        <v>1720</v>
      </c>
      <c r="N8" s="4">
        <f>Hotel!Z13</f>
        <v>2070</v>
      </c>
      <c r="O8" s="4">
        <f>Hotel!AA13</f>
        <v>1230</v>
      </c>
      <c r="P8" s="4">
        <f>Hotel!AB13</f>
        <v>3160</v>
      </c>
      <c r="Q8" s="4">
        <f>Hotel!AC13</f>
        <v>2510</v>
      </c>
      <c r="R8" s="4">
        <f>Hotel!AV13*0.00378541*100</f>
        <v>419.80196899999999</v>
      </c>
      <c r="S8" s="4">
        <f>Hotel!B13</f>
        <v>9</v>
      </c>
    </row>
    <row r="9" spans="1:19" x14ac:dyDescent="0.25">
      <c r="A9" s="21" t="s">
        <v>31</v>
      </c>
      <c r="B9" s="2">
        <f t="shared" si="0"/>
        <v>8</v>
      </c>
      <c r="C9" s="10">
        <v>5</v>
      </c>
      <c r="D9" s="2">
        <v>2020</v>
      </c>
      <c r="E9" s="4">
        <f>Hotel!Q14</f>
        <v>550</v>
      </c>
      <c r="F9" s="4">
        <f>Hotel!R14</f>
        <v>1800</v>
      </c>
      <c r="G9" s="4">
        <f>Hotel!S14</f>
        <v>2770</v>
      </c>
      <c r="H9" s="4">
        <f>Hotel!T14</f>
        <v>1320</v>
      </c>
      <c r="I9" s="4">
        <f>Hotel!U14</f>
        <v>2650</v>
      </c>
      <c r="J9" s="4">
        <f>Hotel!V14</f>
        <v>1910</v>
      </c>
      <c r="K9" s="4">
        <f>Hotel!W14</f>
        <v>1400</v>
      </c>
      <c r="L9" s="4">
        <f>Hotel!X14</f>
        <v>1250</v>
      </c>
      <c r="M9" s="4">
        <f>Hotel!Y14</f>
        <v>1840</v>
      </c>
      <c r="N9" s="4">
        <f>Hotel!Z14</f>
        <v>2160</v>
      </c>
      <c r="O9" s="4">
        <f>Hotel!AA14</f>
        <v>1420</v>
      </c>
      <c r="P9" s="4">
        <f>Hotel!AB14</f>
        <v>3440</v>
      </c>
      <c r="Q9" s="4">
        <f>Hotel!AC14</f>
        <v>2690</v>
      </c>
      <c r="R9" s="4">
        <f>Hotel!AV14*0.00378541*100</f>
        <v>425.85862499999996</v>
      </c>
      <c r="S9" s="4">
        <f>Hotel!B14</f>
        <v>9</v>
      </c>
    </row>
    <row r="10" spans="1:19" x14ac:dyDescent="0.25">
      <c r="A10" s="21" t="s">
        <v>31</v>
      </c>
      <c r="B10" s="2">
        <f t="shared" si="0"/>
        <v>9</v>
      </c>
      <c r="C10" s="10">
        <v>5</v>
      </c>
      <c r="D10" s="2">
        <v>2020</v>
      </c>
      <c r="E10" s="4">
        <f>Hotel!Q15</f>
        <v>560</v>
      </c>
      <c r="F10" s="4">
        <f>Hotel!R15</f>
        <v>1870</v>
      </c>
      <c r="G10" s="4">
        <f>Hotel!S15</f>
        <v>2910</v>
      </c>
      <c r="H10" s="4">
        <f>Hotel!T15</f>
        <v>1370</v>
      </c>
      <c r="I10" s="4">
        <f>Hotel!U15</f>
        <v>2840</v>
      </c>
      <c r="J10" s="4">
        <f>Hotel!V15</f>
        <v>1980</v>
      </c>
      <c r="K10" s="4">
        <f>Hotel!W15</f>
        <v>2060</v>
      </c>
      <c r="L10" s="4">
        <f>Hotel!X15</f>
        <v>1280</v>
      </c>
      <c r="M10" s="4">
        <f>Hotel!Y15</f>
        <v>1870</v>
      </c>
      <c r="N10" s="4">
        <f>Hotel!Z15</f>
        <v>2310</v>
      </c>
      <c r="O10" s="4">
        <f>Hotel!AA15</f>
        <v>1520</v>
      </c>
      <c r="P10" s="4">
        <f>Hotel!AB15</f>
        <v>3610</v>
      </c>
      <c r="Q10" s="4">
        <f>Hotel!AC15</f>
        <v>2860</v>
      </c>
      <c r="R10" s="4">
        <f>Hotel!AV15*0.00378541*100</f>
        <v>426.99424800000003</v>
      </c>
      <c r="S10" s="4">
        <f>Hotel!B15</f>
        <v>9</v>
      </c>
    </row>
    <row r="11" spans="1:19" x14ac:dyDescent="0.25">
      <c r="A11" s="21" t="s">
        <v>31</v>
      </c>
      <c r="B11" s="2">
        <f t="shared" si="0"/>
        <v>10</v>
      </c>
      <c r="C11" s="10">
        <v>5</v>
      </c>
      <c r="D11" s="2">
        <v>2020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5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5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5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5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5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5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5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5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5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5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5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5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5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5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5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5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5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5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5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5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5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Q1" zoomScale="93" zoomScaleNormal="93" workbookViewId="0">
      <selection activeCell="AK27" sqref="AK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43951</v>
      </c>
      <c r="B2" s="40">
        <v>19</v>
      </c>
      <c r="C2" s="24">
        <v>6004670</v>
      </c>
      <c r="D2" s="24">
        <v>13013880</v>
      </c>
      <c r="E2" s="24">
        <v>1668350</v>
      </c>
      <c r="F2" s="24">
        <v>2817830</v>
      </c>
      <c r="G2" s="24">
        <v>8718530</v>
      </c>
      <c r="H2" s="24">
        <v>4336080</v>
      </c>
      <c r="I2" s="24">
        <v>4162230</v>
      </c>
      <c r="J2" s="53">
        <v>4738070</v>
      </c>
      <c r="K2" s="24">
        <v>7469390</v>
      </c>
      <c r="L2" s="24">
        <v>2822710</v>
      </c>
      <c r="M2" s="24">
        <v>6751070</v>
      </c>
      <c r="N2" s="24">
        <v>9551840</v>
      </c>
      <c r="O2" s="24">
        <v>13018870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905510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905510</v>
      </c>
    </row>
    <row r="7" spans="1:49" x14ac:dyDescent="0.25">
      <c r="A7" s="23">
        <v>43952</v>
      </c>
      <c r="B7" s="40">
        <v>9</v>
      </c>
      <c r="C7" s="24">
        <v>6005260</v>
      </c>
      <c r="D7" s="24">
        <v>13015840</v>
      </c>
      <c r="E7" s="24">
        <v>1671440</v>
      </c>
      <c r="F7" s="24">
        <v>2819270</v>
      </c>
      <c r="G7" s="24">
        <v>8721650</v>
      </c>
      <c r="H7" s="24">
        <v>4338380</v>
      </c>
      <c r="I7" s="24">
        <v>4164420</v>
      </c>
      <c r="J7" s="24">
        <v>4739490</v>
      </c>
      <c r="K7" s="24">
        <v>7471430</v>
      </c>
      <c r="L7" s="24">
        <v>2825120</v>
      </c>
      <c r="M7" s="24">
        <v>6752560</v>
      </c>
      <c r="N7" s="24">
        <v>9555740</v>
      </c>
      <c r="O7" s="24">
        <v>13021750</v>
      </c>
      <c r="Q7" s="37">
        <f>IF((C7-C2&lt;0), "0",C7-C2)</f>
        <v>590</v>
      </c>
      <c r="R7" s="37">
        <f t="shared" ref="R7:AC7" si="0">IF((D7-D2&lt;0), "0",D7-D2)</f>
        <v>1960</v>
      </c>
      <c r="S7" s="37">
        <f>IF((E7-E2&lt;0), "0",E7-E2)</f>
        <v>3090</v>
      </c>
      <c r="T7" s="37">
        <f t="shared" si="0"/>
        <v>1440</v>
      </c>
      <c r="U7" s="37">
        <f t="shared" si="0"/>
        <v>3120</v>
      </c>
      <c r="V7" s="37">
        <f t="shared" si="0"/>
        <v>2300</v>
      </c>
      <c r="W7" s="37">
        <f t="shared" si="0"/>
        <v>2190</v>
      </c>
      <c r="X7" s="37">
        <f t="shared" si="0"/>
        <v>1420</v>
      </c>
      <c r="Y7" s="37">
        <f t="shared" si="0"/>
        <v>2040</v>
      </c>
      <c r="Z7" s="37">
        <f t="shared" si="0"/>
        <v>2410</v>
      </c>
      <c r="AA7" s="37">
        <f t="shared" si="0"/>
        <v>1490</v>
      </c>
      <c r="AB7" s="37">
        <f t="shared" si="0"/>
        <v>3900</v>
      </c>
      <c r="AC7" s="37">
        <f t="shared" si="0"/>
        <v>2880</v>
      </c>
      <c r="AD7" s="34">
        <f>SUM(Q7:AC7)</f>
        <v>28830</v>
      </c>
      <c r="AF7" s="20">
        <f t="shared" ref="AF7:AF36" si="1">Q7*$D$39</f>
        <v>2.95</v>
      </c>
      <c r="AG7" s="20">
        <f t="shared" ref="AG7:AG36" si="2">R7*$D$39</f>
        <v>9.8000000000000007</v>
      </c>
      <c r="AH7" s="20">
        <f t="shared" ref="AH7:AH36" si="3">S7*$D$39</f>
        <v>15.450000000000001</v>
      </c>
      <c r="AI7" s="20">
        <f t="shared" ref="AI7:AI36" si="4">T7*$D$39</f>
        <v>7.2</v>
      </c>
      <c r="AJ7" s="20">
        <f t="shared" ref="AJ7:AJ36" si="5">U7*$D$39</f>
        <v>15.6</v>
      </c>
      <c r="AK7" s="20">
        <f t="shared" ref="AK7:AK36" si="6">V7*$D$39</f>
        <v>11.5</v>
      </c>
      <c r="AL7" s="20">
        <f t="shared" ref="AL7:AL36" si="7">W7*$D$39</f>
        <v>10.950000000000001</v>
      </c>
      <c r="AM7" s="20">
        <f t="shared" ref="AM7:AM36" si="8">X7*$D$39</f>
        <v>7.1000000000000005</v>
      </c>
      <c r="AN7" s="20">
        <f t="shared" ref="AN7:AN36" si="9">Y7*$D$39</f>
        <v>10.200000000000001</v>
      </c>
      <c r="AO7" s="20">
        <f t="shared" ref="AO7:AO36" si="10">Z7*$D$39</f>
        <v>12.05</v>
      </c>
      <c r="AP7" s="20">
        <f t="shared" ref="AP7:AP36" si="11">AA7*$D$39</f>
        <v>7.45</v>
      </c>
      <c r="AQ7" s="20">
        <f t="shared" ref="AQ7:AQ36" si="12">AB7*$D$39</f>
        <v>19.5</v>
      </c>
      <c r="AR7" s="20">
        <f t="shared" ref="AR7:AR36" si="13">AC7*$D$39</f>
        <v>14.4</v>
      </c>
      <c r="AS7" s="35">
        <f>SUM(AF7:AR7)</f>
        <v>144.15</v>
      </c>
      <c r="AU7" s="47">
        <v>906407</v>
      </c>
      <c r="AV7" s="37">
        <f>IF((AU7-AU6&lt;0),"0",AU7-AU6)</f>
        <v>897</v>
      </c>
      <c r="AW7" s="50">
        <v>0</v>
      </c>
    </row>
    <row r="8" spans="1:49" x14ac:dyDescent="0.25">
      <c r="A8" s="23">
        <v>43953</v>
      </c>
      <c r="B8" s="40">
        <v>10</v>
      </c>
      <c r="C8" s="24">
        <v>6005830</v>
      </c>
      <c r="D8" s="24">
        <v>13017720</v>
      </c>
      <c r="E8" s="24">
        <v>1674390</v>
      </c>
      <c r="F8" s="24">
        <v>2820650</v>
      </c>
      <c r="G8" s="24">
        <v>8724700</v>
      </c>
      <c r="H8" s="24">
        <v>4340720</v>
      </c>
      <c r="I8" s="24">
        <v>4166460</v>
      </c>
      <c r="J8" s="24">
        <v>4740680</v>
      </c>
      <c r="K8" s="24">
        <v>7473370</v>
      </c>
      <c r="L8" s="24">
        <v>2827470</v>
      </c>
      <c r="M8" s="24">
        <v>6754020</v>
      </c>
      <c r="N8" s="24">
        <v>9558920</v>
      </c>
      <c r="O8" s="24">
        <v>13024430</v>
      </c>
      <c r="Q8" s="37">
        <f>IF((C8-C7&lt;0), "0",C8-C7)</f>
        <v>570</v>
      </c>
      <c r="R8" s="37">
        <f t="shared" ref="R8:AC8" si="14">IF((D8-D7&lt;0), "0",D8-D7)</f>
        <v>1880</v>
      </c>
      <c r="S8" s="37">
        <f t="shared" ref="S8:S35" si="15">IF((E8-E7&lt;0), "0",E8-E7)</f>
        <v>2950</v>
      </c>
      <c r="T8" s="37">
        <f t="shared" si="14"/>
        <v>1380</v>
      </c>
      <c r="U8" s="37">
        <f t="shared" si="14"/>
        <v>3050</v>
      </c>
      <c r="V8" s="37">
        <f t="shared" si="14"/>
        <v>2340</v>
      </c>
      <c r="W8" s="37">
        <f t="shared" si="14"/>
        <v>2040</v>
      </c>
      <c r="X8" s="37">
        <f t="shared" si="14"/>
        <v>1190</v>
      </c>
      <c r="Y8" s="37">
        <f t="shared" si="14"/>
        <v>1940</v>
      </c>
      <c r="Z8" s="37">
        <f t="shared" si="14"/>
        <v>2350</v>
      </c>
      <c r="AA8" s="37">
        <f t="shared" si="14"/>
        <v>1460</v>
      </c>
      <c r="AB8" s="37">
        <f t="shared" si="14"/>
        <v>3180</v>
      </c>
      <c r="AC8" s="37">
        <f t="shared" si="14"/>
        <v>2680</v>
      </c>
      <c r="AD8" s="35">
        <f>SUM(Q8:AC8)</f>
        <v>27010</v>
      </c>
      <c r="AF8" s="20">
        <f t="shared" si="1"/>
        <v>2.85</v>
      </c>
      <c r="AG8" s="20">
        <f t="shared" si="2"/>
        <v>9.4</v>
      </c>
      <c r="AH8" s="20">
        <f t="shared" si="3"/>
        <v>14.75</v>
      </c>
      <c r="AI8" s="20">
        <f t="shared" si="4"/>
        <v>6.9</v>
      </c>
      <c r="AJ8" s="20">
        <f t="shared" si="5"/>
        <v>15.25</v>
      </c>
      <c r="AK8" s="20">
        <f t="shared" si="6"/>
        <v>11.700000000000001</v>
      </c>
      <c r="AL8" s="20">
        <f t="shared" si="7"/>
        <v>10.200000000000001</v>
      </c>
      <c r="AM8" s="20">
        <f t="shared" si="8"/>
        <v>5.95</v>
      </c>
      <c r="AN8" s="20">
        <f t="shared" si="9"/>
        <v>9.7000000000000011</v>
      </c>
      <c r="AO8" s="20">
        <f t="shared" si="10"/>
        <v>11.75</v>
      </c>
      <c r="AP8" s="20">
        <f t="shared" si="11"/>
        <v>7.3</v>
      </c>
      <c r="AQ8" s="20">
        <f t="shared" si="12"/>
        <v>15.9</v>
      </c>
      <c r="AR8" s="20">
        <f t="shared" si="13"/>
        <v>13.4</v>
      </c>
      <c r="AS8" s="35">
        <f>SUM(AF8:AR8)</f>
        <v>135.05000000000001</v>
      </c>
      <c r="AU8" s="47">
        <v>907374</v>
      </c>
      <c r="AV8" s="37">
        <f>IF((AU8-AU7&lt;0),"0",AU8-AU7)</f>
        <v>967</v>
      </c>
      <c r="AW8" s="35">
        <v>0</v>
      </c>
    </row>
    <row r="9" spans="1:49" x14ac:dyDescent="0.25">
      <c r="A9" s="23">
        <v>43954</v>
      </c>
      <c r="B9" s="40">
        <v>7</v>
      </c>
      <c r="C9" s="24">
        <v>6006390</v>
      </c>
      <c r="D9" s="24">
        <v>13019600</v>
      </c>
      <c r="E9" s="24">
        <v>1677280</v>
      </c>
      <c r="F9" s="24">
        <v>2822020</v>
      </c>
      <c r="G9" s="24">
        <v>8727720</v>
      </c>
      <c r="H9" s="24">
        <v>4342750</v>
      </c>
      <c r="I9" s="24">
        <v>4168540</v>
      </c>
      <c r="J9" s="24">
        <v>4741780</v>
      </c>
      <c r="K9" s="24">
        <v>7475320</v>
      </c>
      <c r="L9" s="24">
        <v>2829780</v>
      </c>
      <c r="M9" s="24">
        <v>6755490</v>
      </c>
      <c r="N9" s="24">
        <v>9562380</v>
      </c>
      <c r="O9" s="24">
        <v>13027080</v>
      </c>
      <c r="Q9" s="37">
        <f t="shared" ref="Q9:Q30" si="16">IF((C9-C8&lt;0), "0",C9-C8)</f>
        <v>560</v>
      </c>
      <c r="R9" s="37">
        <f t="shared" ref="R9:R35" si="17">IF((D9-D8&lt;0), "0",D9-D8)</f>
        <v>1880</v>
      </c>
      <c r="S9" s="37">
        <f t="shared" si="15"/>
        <v>2890</v>
      </c>
      <c r="T9" s="37">
        <f t="shared" ref="T9:T35" si="18">IF((F9-F8&lt;0), "0",F9-F8)</f>
        <v>1370</v>
      </c>
      <c r="U9" s="37">
        <f t="shared" ref="U9:U35" si="19">IF((G9-G8&lt;0), "0",G9-G8)</f>
        <v>3020</v>
      </c>
      <c r="V9" s="37">
        <f t="shared" ref="V9:V35" si="20">IF((H9-H8&lt;0), "0",H9-H8)</f>
        <v>2030</v>
      </c>
      <c r="W9" s="37">
        <f t="shared" ref="W9:W35" si="21">IF((I9-I8&lt;0), "0",I9-I8)</f>
        <v>2080</v>
      </c>
      <c r="X9" s="37">
        <f t="shared" ref="X9:X35" si="22">IF((J9-J8&lt;0), "0",J9-J8)</f>
        <v>1100</v>
      </c>
      <c r="Y9" s="37">
        <f t="shared" ref="Y9:Y35" si="23">IF((K9-K8&lt;0), "0",K9-K8)</f>
        <v>1950</v>
      </c>
      <c r="Z9" s="37">
        <f t="shared" ref="Z9:Z35" si="24">IF((L9-L8&lt;0), "0",L9-L8)</f>
        <v>2310</v>
      </c>
      <c r="AA9" s="37">
        <f t="shared" ref="AA9:AA35" si="25">IF((M9-M8&lt;0), "0",M9-M8)</f>
        <v>1470</v>
      </c>
      <c r="AB9" s="37">
        <f t="shared" ref="AB9:AB37" si="26">IF((N9-N8&lt;0), "0",N9-N8)</f>
        <v>3460</v>
      </c>
      <c r="AC9" s="37">
        <f t="shared" ref="AC9:AC37" si="27">IF((O9-O8&lt;0), "0",O9-O8)</f>
        <v>2650</v>
      </c>
      <c r="AD9" s="35">
        <f t="shared" ref="AD9:AD37" si="28">SUM(Q9:AC9)</f>
        <v>26770</v>
      </c>
      <c r="AF9" s="20">
        <f t="shared" si="1"/>
        <v>2.8000000000000003</v>
      </c>
      <c r="AG9" s="20">
        <f t="shared" si="2"/>
        <v>9.4</v>
      </c>
      <c r="AH9" s="20">
        <f t="shared" si="3"/>
        <v>14.450000000000001</v>
      </c>
      <c r="AI9" s="20">
        <f t="shared" si="4"/>
        <v>6.8500000000000005</v>
      </c>
      <c r="AJ9" s="20">
        <f t="shared" si="5"/>
        <v>15.1</v>
      </c>
      <c r="AK9" s="20">
        <f t="shared" si="6"/>
        <v>10.15</v>
      </c>
      <c r="AL9" s="20">
        <f t="shared" si="7"/>
        <v>10.4</v>
      </c>
      <c r="AM9" s="20">
        <f t="shared" si="8"/>
        <v>5.5</v>
      </c>
      <c r="AN9" s="20">
        <f t="shared" si="9"/>
        <v>9.75</v>
      </c>
      <c r="AO9" s="20">
        <f t="shared" si="10"/>
        <v>11.55</v>
      </c>
      <c r="AP9" s="20">
        <f t="shared" si="11"/>
        <v>7.3500000000000005</v>
      </c>
      <c r="AQ9" s="20">
        <f t="shared" si="12"/>
        <v>17.3</v>
      </c>
      <c r="AR9" s="20">
        <f t="shared" si="13"/>
        <v>13.25</v>
      </c>
      <c r="AS9" s="35">
        <f t="shared" ref="AS9:AS33" si="29">SUM(AF9:AR9)</f>
        <v>133.85</v>
      </c>
      <c r="AU9" s="47">
        <v>908343</v>
      </c>
      <c r="AV9" s="37">
        <f>IF((AU9-AU8&lt;0),"0",AU9-AU8)</f>
        <v>969</v>
      </c>
      <c r="AW9" s="35">
        <f t="shared" ref="AW9:AW35" si="30">AV9*$D$40</f>
        <v>1.9379999999999999</v>
      </c>
    </row>
    <row r="10" spans="1:49" x14ac:dyDescent="0.25">
      <c r="A10" s="23">
        <v>43955</v>
      </c>
      <c r="B10" s="40">
        <v>11</v>
      </c>
      <c r="C10" s="24">
        <v>6006970</v>
      </c>
      <c r="D10" s="24">
        <v>13021480</v>
      </c>
      <c r="E10" s="24">
        <v>1680130</v>
      </c>
      <c r="F10" s="24">
        <v>2823390</v>
      </c>
      <c r="G10" s="24">
        <v>8730680</v>
      </c>
      <c r="H10" s="24">
        <v>4344760</v>
      </c>
      <c r="I10" s="24">
        <v>4170620</v>
      </c>
      <c r="J10" s="24">
        <v>4742890</v>
      </c>
      <c r="K10" s="24">
        <v>7477270</v>
      </c>
      <c r="L10" s="24">
        <v>2832060</v>
      </c>
      <c r="M10" s="24">
        <v>6756960</v>
      </c>
      <c r="N10" s="24">
        <v>9565840</v>
      </c>
      <c r="O10" s="24">
        <v>13029790</v>
      </c>
      <c r="Q10" s="37">
        <f t="shared" si="16"/>
        <v>580</v>
      </c>
      <c r="R10" s="37">
        <f t="shared" si="17"/>
        <v>1880</v>
      </c>
      <c r="S10" s="37">
        <f t="shared" si="15"/>
        <v>2850</v>
      </c>
      <c r="T10" s="37">
        <f t="shared" si="18"/>
        <v>1370</v>
      </c>
      <c r="U10" s="37">
        <f t="shared" si="19"/>
        <v>2960</v>
      </c>
      <c r="V10" s="37">
        <f t="shared" si="20"/>
        <v>2010</v>
      </c>
      <c r="W10" s="37">
        <f t="shared" si="21"/>
        <v>2080</v>
      </c>
      <c r="X10" s="37">
        <f t="shared" si="22"/>
        <v>1110</v>
      </c>
      <c r="Y10" s="37">
        <f t="shared" si="23"/>
        <v>1950</v>
      </c>
      <c r="Z10" s="37">
        <f t="shared" si="24"/>
        <v>2280</v>
      </c>
      <c r="AA10" s="37">
        <f t="shared" si="25"/>
        <v>1470</v>
      </c>
      <c r="AB10" s="37">
        <f t="shared" si="26"/>
        <v>3460</v>
      </c>
      <c r="AC10" s="37">
        <f t="shared" si="27"/>
        <v>2710</v>
      </c>
      <c r="AD10" s="35">
        <f t="shared" si="28"/>
        <v>26710</v>
      </c>
      <c r="AF10" s="20">
        <f t="shared" si="1"/>
        <v>2.9</v>
      </c>
      <c r="AG10" s="20">
        <f t="shared" si="2"/>
        <v>9.4</v>
      </c>
      <c r="AH10" s="20">
        <f t="shared" si="3"/>
        <v>14.25</v>
      </c>
      <c r="AI10" s="20">
        <f t="shared" si="4"/>
        <v>6.8500000000000005</v>
      </c>
      <c r="AJ10" s="20">
        <f t="shared" si="5"/>
        <v>14.8</v>
      </c>
      <c r="AK10" s="20">
        <f t="shared" si="6"/>
        <v>10.050000000000001</v>
      </c>
      <c r="AL10" s="20">
        <f t="shared" si="7"/>
        <v>10.4</v>
      </c>
      <c r="AM10" s="20">
        <f t="shared" si="8"/>
        <v>5.55</v>
      </c>
      <c r="AN10" s="20">
        <f t="shared" si="9"/>
        <v>9.75</v>
      </c>
      <c r="AO10" s="20">
        <f t="shared" si="10"/>
        <v>11.4</v>
      </c>
      <c r="AP10" s="20">
        <f t="shared" si="11"/>
        <v>7.3500000000000005</v>
      </c>
      <c r="AQ10" s="20">
        <f t="shared" si="12"/>
        <v>17.3</v>
      </c>
      <c r="AR10" s="20">
        <f t="shared" si="13"/>
        <v>13.55</v>
      </c>
      <c r="AS10" s="35">
        <f t="shared" si="29"/>
        <v>133.55000000000001</v>
      </c>
      <c r="AU10" s="47">
        <v>908753</v>
      </c>
      <c r="AV10" s="37">
        <f t="shared" ref="AV10:AV26" si="31">IF((AU10-AU9&lt;0),"0",AU10-AU9)</f>
        <v>410</v>
      </c>
      <c r="AW10" s="35">
        <f t="shared" si="30"/>
        <v>0.82000000000000006</v>
      </c>
    </row>
    <row r="11" spans="1:49" x14ac:dyDescent="0.25">
      <c r="A11" s="23">
        <v>43956</v>
      </c>
      <c r="B11" s="40">
        <v>6</v>
      </c>
      <c r="C11" s="24">
        <v>6007530</v>
      </c>
      <c r="D11" s="24">
        <v>13023360</v>
      </c>
      <c r="E11" s="24">
        <v>1683050</v>
      </c>
      <c r="F11" s="24">
        <v>2824770</v>
      </c>
      <c r="G11" s="24">
        <v>8733600</v>
      </c>
      <c r="H11" s="24">
        <v>4346820</v>
      </c>
      <c r="I11" s="24">
        <v>4172730</v>
      </c>
      <c r="J11" s="24">
        <v>4744060</v>
      </c>
      <c r="K11" s="24">
        <v>7479230</v>
      </c>
      <c r="L11" s="24">
        <v>2834360</v>
      </c>
      <c r="M11" s="24">
        <v>6758370</v>
      </c>
      <c r="N11" s="24">
        <v>9569490</v>
      </c>
      <c r="O11" s="24">
        <v>13032530</v>
      </c>
      <c r="Q11" s="37">
        <f t="shared" si="16"/>
        <v>560</v>
      </c>
      <c r="R11" s="37">
        <f t="shared" si="17"/>
        <v>1880</v>
      </c>
      <c r="S11" s="37">
        <f t="shared" si="15"/>
        <v>2920</v>
      </c>
      <c r="T11" s="37">
        <f t="shared" si="18"/>
        <v>1380</v>
      </c>
      <c r="U11" s="37">
        <f t="shared" si="19"/>
        <v>2920</v>
      </c>
      <c r="V11" s="37">
        <f t="shared" si="20"/>
        <v>2060</v>
      </c>
      <c r="W11" s="37">
        <f t="shared" si="21"/>
        <v>2110</v>
      </c>
      <c r="X11" s="37">
        <f t="shared" si="22"/>
        <v>1170</v>
      </c>
      <c r="Y11" s="37">
        <f t="shared" si="23"/>
        <v>1960</v>
      </c>
      <c r="Z11" s="37">
        <f t="shared" si="24"/>
        <v>2300</v>
      </c>
      <c r="AA11" s="37">
        <f t="shared" si="25"/>
        <v>1410</v>
      </c>
      <c r="AB11" s="37">
        <f t="shared" si="26"/>
        <v>3650</v>
      </c>
      <c r="AC11" s="37">
        <f t="shared" si="27"/>
        <v>2740</v>
      </c>
      <c r="AD11" s="35">
        <f t="shared" si="28"/>
        <v>27060</v>
      </c>
      <c r="AF11" s="20">
        <f t="shared" si="1"/>
        <v>2.8000000000000003</v>
      </c>
      <c r="AG11" s="20">
        <f t="shared" si="2"/>
        <v>9.4</v>
      </c>
      <c r="AH11" s="20">
        <f t="shared" si="3"/>
        <v>14.6</v>
      </c>
      <c r="AI11" s="20">
        <f t="shared" si="4"/>
        <v>6.9</v>
      </c>
      <c r="AJ11" s="20">
        <f t="shared" si="5"/>
        <v>14.6</v>
      </c>
      <c r="AK11" s="20">
        <f t="shared" si="6"/>
        <v>10.3</v>
      </c>
      <c r="AL11" s="20">
        <f t="shared" si="7"/>
        <v>10.55</v>
      </c>
      <c r="AM11" s="20">
        <f t="shared" si="8"/>
        <v>5.8500000000000005</v>
      </c>
      <c r="AN11" s="20">
        <f t="shared" si="9"/>
        <v>9.8000000000000007</v>
      </c>
      <c r="AO11" s="20">
        <f t="shared" si="10"/>
        <v>11.5</v>
      </c>
      <c r="AP11" s="20">
        <f t="shared" si="11"/>
        <v>7.05</v>
      </c>
      <c r="AQ11" s="20">
        <f t="shared" si="12"/>
        <v>18.25</v>
      </c>
      <c r="AR11" s="20">
        <f t="shared" si="13"/>
        <v>13.700000000000001</v>
      </c>
      <c r="AS11" s="35">
        <f t="shared" si="29"/>
        <v>135.29999999999998</v>
      </c>
      <c r="AU11" s="47">
        <v>910927</v>
      </c>
      <c r="AV11" s="37">
        <f t="shared" si="31"/>
        <v>2174</v>
      </c>
      <c r="AW11" s="35">
        <f t="shared" si="30"/>
        <v>4.3479999999999999</v>
      </c>
    </row>
    <row r="12" spans="1:49" x14ac:dyDescent="0.25">
      <c r="A12" s="23">
        <v>43957</v>
      </c>
      <c r="B12" s="40">
        <v>11</v>
      </c>
      <c r="C12" s="49">
        <v>6008170</v>
      </c>
      <c r="D12" s="24">
        <v>13025460</v>
      </c>
      <c r="E12" s="24">
        <v>1686380</v>
      </c>
      <c r="F12" s="24">
        <v>2826320</v>
      </c>
      <c r="G12" s="24">
        <v>8736790</v>
      </c>
      <c r="H12" s="24">
        <v>4349030</v>
      </c>
      <c r="I12" s="24">
        <v>4175110</v>
      </c>
      <c r="J12" s="24">
        <v>4745480</v>
      </c>
      <c r="K12" s="24">
        <v>7481430</v>
      </c>
      <c r="L12" s="24">
        <v>2836910</v>
      </c>
      <c r="M12" s="24">
        <v>6759870</v>
      </c>
      <c r="N12" s="24">
        <v>9573570</v>
      </c>
      <c r="O12" s="24">
        <v>13035540</v>
      </c>
      <c r="Q12" s="37">
        <f t="shared" si="16"/>
        <v>640</v>
      </c>
      <c r="R12" s="37">
        <f t="shared" si="17"/>
        <v>2100</v>
      </c>
      <c r="S12" s="37">
        <f t="shared" si="15"/>
        <v>3330</v>
      </c>
      <c r="T12" s="37">
        <f t="shared" ref="T12:W14" si="32">IF((F12-F11&lt;0), "0",F12-F11)</f>
        <v>1550</v>
      </c>
      <c r="U12" s="37">
        <f t="shared" si="32"/>
        <v>3190</v>
      </c>
      <c r="V12" s="37">
        <f t="shared" si="32"/>
        <v>2210</v>
      </c>
      <c r="W12" s="37">
        <f t="shared" si="32"/>
        <v>2380</v>
      </c>
      <c r="X12" s="37">
        <f t="shared" si="22"/>
        <v>1420</v>
      </c>
      <c r="Y12" s="37">
        <f t="shared" si="23"/>
        <v>2200</v>
      </c>
      <c r="Z12" s="37">
        <f>IF((L12-L11&lt;0), "0",L12-L11)</f>
        <v>2550</v>
      </c>
      <c r="AA12" s="37">
        <f t="shared" si="25"/>
        <v>1500</v>
      </c>
      <c r="AB12" s="37">
        <f t="shared" si="26"/>
        <v>4080</v>
      </c>
      <c r="AC12" s="37">
        <f t="shared" si="27"/>
        <v>3010</v>
      </c>
      <c r="AD12" s="35">
        <f t="shared" si="28"/>
        <v>30160</v>
      </c>
      <c r="AF12" s="20">
        <f t="shared" si="1"/>
        <v>3.2</v>
      </c>
      <c r="AG12" s="20">
        <f t="shared" si="2"/>
        <v>10.5</v>
      </c>
      <c r="AH12" s="20">
        <f t="shared" si="3"/>
        <v>16.649999999999999</v>
      </c>
      <c r="AI12" s="20">
        <f t="shared" si="4"/>
        <v>7.75</v>
      </c>
      <c r="AJ12" s="20">
        <f t="shared" si="5"/>
        <v>15.950000000000001</v>
      </c>
      <c r="AK12" s="20">
        <f t="shared" si="6"/>
        <v>11.05</v>
      </c>
      <c r="AL12" s="20">
        <f t="shared" si="7"/>
        <v>11.9</v>
      </c>
      <c r="AM12" s="20">
        <f t="shared" si="8"/>
        <v>7.1000000000000005</v>
      </c>
      <c r="AN12" s="20">
        <f t="shared" si="9"/>
        <v>11</v>
      </c>
      <c r="AO12" s="20">
        <f t="shared" si="10"/>
        <v>12.75</v>
      </c>
      <c r="AP12" s="20">
        <f t="shared" si="11"/>
        <v>7.5</v>
      </c>
      <c r="AQ12" s="20">
        <f t="shared" si="12"/>
        <v>20.400000000000002</v>
      </c>
      <c r="AR12" s="20">
        <f t="shared" si="13"/>
        <v>15.05</v>
      </c>
      <c r="AS12" s="35">
        <f t="shared" si="29"/>
        <v>150.80000000000001</v>
      </c>
      <c r="AU12" s="47">
        <v>911888</v>
      </c>
      <c r="AV12" s="37">
        <f t="shared" si="31"/>
        <v>961</v>
      </c>
      <c r="AW12" s="35">
        <f t="shared" si="30"/>
        <v>1.9219999999999999</v>
      </c>
    </row>
    <row r="13" spans="1:49" x14ac:dyDescent="0.25">
      <c r="A13" s="23">
        <v>43958</v>
      </c>
      <c r="B13" s="40">
        <v>9</v>
      </c>
      <c r="C13" s="24">
        <v>6008670</v>
      </c>
      <c r="D13" s="24">
        <v>13027120</v>
      </c>
      <c r="E13" s="24">
        <v>1688930</v>
      </c>
      <c r="F13" s="24">
        <v>2827530</v>
      </c>
      <c r="G13" s="24">
        <v>8739360</v>
      </c>
      <c r="H13" s="24">
        <v>4350820</v>
      </c>
      <c r="I13" s="24">
        <v>4177500</v>
      </c>
      <c r="J13" s="24">
        <v>4746600</v>
      </c>
      <c r="K13" s="24">
        <v>7483150</v>
      </c>
      <c r="L13" s="24">
        <v>2838980</v>
      </c>
      <c r="M13" s="24">
        <v>6761100</v>
      </c>
      <c r="N13" s="24">
        <v>9576730</v>
      </c>
      <c r="O13" s="24">
        <v>13038050</v>
      </c>
      <c r="Q13" s="37">
        <f t="shared" si="16"/>
        <v>500</v>
      </c>
      <c r="R13" s="37">
        <f t="shared" si="17"/>
        <v>1660</v>
      </c>
      <c r="S13" s="37">
        <f t="shared" si="15"/>
        <v>2550</v>
      </c>
      <c r="T13" s="37">
        <f t="shared" si="32"/>
        <v>1210</v>
      </c>
      <c r="U13" s="37">
        <f t="shared" si="32"/>
        <v>2570</v>
      </c>
      <c r="V13" s="37">
        <f t="shared" si="32"/>
        <v>1790</v>
      </c>
      <c r="W13" s="37">
        <f t="shared" si="32"/>
        <v>2390</v>
      </c>
      <c r="X13" s="37">
        <f t="shared" si="22"/>
        <v>1120</v>
      </c>
      <c r="Y13" s="37">
        <f t="shared" si="23"/>
        <v>1720</v>
      </c>
      <c r="Z13" s="37">
        <f>IF((L13-L12&lt;0), "0",L13-L12)</f>
        <v>2070</v>
      </c>
      <c r="AA13" s="37">
        <f t="shared" si="25"/>
        <v>1230</v>
      </c>
      <c r="AB13" s="37">
        <f t="shared" si="26"/>
        <v>3160</v>
      </c>
      <c r="AC13" s="37">
        <f t="shared" si="27"/>
        <v>2510</v>
      </c>
      <c r="AD13" s="35">
        <f t="shared" si="28"/>
        <v>24480</v>
      </c>
      <c r="AF13" s="20">
        <f t="shared" si="1"/>
        <v>2.5</v>
      </c>
      <c r="AG13" s="20">
        <f t="shared" si="2"/>
        <v>8.3000000000000007</v>
      </c>
      <c r="AH13" s="20">
        <f t="shared" si="3"/>
        <v>12.75</v>
      </c>
      <c r="AI13" s="20">
        <f t="shared" si="4"/>
        <v>6.05</v>
      </c>
      <c r="AJ13" s="20">
        <f t="shared" si="5"/>
        <v>12.85</v>
      </c>
      <c r="AK13" s="20">
        <f t="shared" si="6"/>
        <v>8.9500000000000011</v>
      </c>
      <c r="AL13" s="20">
        <f t="shared" si="7"/>
        <v>11.950000000000001</v>
      </c>
      <c r="AM13" s="20">
        <f t="shared" si="8"/>
        <v>5.6000000000000005</v>
      </c>
      <c r="AN13" s="20">
        <f t="shared" si="9"/>
        <v>8.6</v>
      </c>
      <c r="AO13" s="20">
        <f t="shared" si="10"/>
        <v>10.35</v>
      </c>
      <c r="AP13" s="20">
        <f t="shared" si="11"/>
        <v>6.15</v>
      </c>
      <c r="AQ13" s="20">
        <f t="shared" si="12"/>
        <v>15.8</v>
      </c>
      <c r="AR13" s="20">
        <f t="shared" si="13"/>
        <v>12.55</v>
      </c>
      <c r="AS13" s="35">
        <f t="shared" si="29"/>
        <v>122.39999999999999</v>
      </c>
      <c r="AU13" s="47">
        <v>912997</v>
      </c>
      <c r="AV13" s="37">
        <f t="shared" si="31"/>
        <v>1109</v>
      </c>
      <c r="AW13" s="35">
        <f t="shared" si="30"/>
        <v>2.218</v>
      </c>
    </row>
    <row r="14" spans="1:49" x14ac:dyDescent="0.25">
      <c r="A14" s="23">
        <v>43959</v>
      </c>
      <c r="B14" s="40">
        <v>9</v>
      </c>
      <c r="C14" s="24">
        <v>6009220</v>
      </c>
      <c r="D14" s="24">
        <v>13028920</v>
      </c>
      <c r="E14" s="24">
        <v>1691700</v>
      </c>
      <c r="F14" s="24">
        <v>2828850</v>
      </c>
      <c r="G14" s="24">
        <v>8742010</v>
      </c>
      <c r="H14" s="24">
        <v>4352730</v>
      </c>
      <c r="I14" s="24">
        <v>4178900</v>
      </c>
      <c r="J14" s="24">
        <v>4747850</v>
      </c>
      <c r="K14" s="24">
        <v>7484990</v>
      </c>
      <c r="L14" s="24">
        <v>2841140</v>
      </c>
      <c r="M14" s="24">
        <v>6762520</v>
      </c>
      <c r="N14" s="24">
        <v>9580170</v>
      </c>
      <c r="O14" s="24">
        <v>13040740</v>
      </c>
      <c r="P14" s="54"/>
      <c r="Q14" s="37">
        <f t="shared" si="16"/>
        <v>550</v>
      </c>
      <c r="R14" s="37">
        <f t="shared" si="17"/>
        <v>1800</v>
      </c>
      <c r="S14" s="37">
        <f t="shared" si="15"/>
        <v>2770</v>
      </c>
      <c r="T14" s="37">
        <f t="shared" si="32"/>
        <v>1320</v>
      </c>
      <c r="U14" s="37">
        <f t="shared" si="32"/>
        <v>2650</v>
      </c>
      <c r="V14" s="37">
        <f t="shared" si="32"/>
        <v>1910</v>
      </c>
      <c r="W14" s="37">
        <f t="shared" si="32"/>
        <v>1400</v>
      </c>
      <c r="X14" s="37">
        <f t="shared" si="22"/>
        <v>1250</v>
      </c>
      <c r="Y14" s="37">
        <f t="shared" si="23"/>
        <v>1840</v>
      </c>
      <c r="Z14" s="37">
        <f>IF((L14-L13&lt;0), "0",L14-L13)</f>
        <v>2160</v>
      </c>
      <c r="AA14" s="37">
        <f t="shared" si="25"/>
        <v>1420</v>
      </c>
      <c r="AB14" s="37">
        <f t="shared" si="26"/>
        <v>3440</v>
      </c>
      <c r="AC14" s="37">
        <f t="shared" si="27"/>
        <v>2690</v>
      </c>
      <c r="AD14" s="35">
        <f t="shared" si="28"/>
        <v>25200</v>
      </c>
      <c r="AF14" s="20">
        <f t="shared" si="1"/>
        <v>2.75</v>
      </c>
      <c r="AG14" s="20">
        <f t="shared" si="2"/>
        <v>9</v>
      </c>
      <c r="AH14" s="20">
        <f t="shared" si="3"/>
        <v>13.85</v>
      </c>
      <c r="AI14" s="20">
        <f t="shared" si="4"/>
        <v>6.6000000000000005</v>
      </c>
      <c r="AJ14" s="20">
        <f t="shared" si="5"/>
        <v>13.25</v>
      </c>
      <c r="AK14" s="20">
        <f t="shared" si="6"/>
        <v>9.5500000000000007</v>
      </c>
      <c r="AL14" s="20">
        <f t="shared" si="7"/>
        <v>7</v>
      </c>
      <c r="AM14" s="20">
        <f t="shared" si="8"/>
        <v>6.25</v>
      </c>
      <c r="AN14" s="20">
        <f t="shared" si="9"/>
        <v>9.2000000000000011</v>
      </c>
      <c r="AO14" s="20">
        <f t="shared" si="10"/>
        <v>10.8</v>
      </c>
      <c r="AP14" s="20">
        <f t="shared" si="11"/>
        <v>7.1000000000000005</v>
      </c>
      <c r="AQ14" s="20">
        <f t="shared" si="12"/>
        <v>17.2</v>
      </c>
      <c r="AR14" s="20">
        <f t="shared" si="13"/>
        <v>13.450000000000001</v>
      </c>
      <c r="AS14" s="35">
        <f t="shared" si="29"/>
        <v>126</v>
      </c>
      <c r="AU14" s="47">
        <v>914122</v>
      </c>
      <c r="AV14" s="37">
        <f t="shared" si="31"/>
        <v>1125</v>
      </c>
      <c r="AW14" s="35">
        <f t="shared" si="30"/>
        <v>2.25</v>
      </c>
    </row>
    <row r="15" spans="1:49" x14ac:dyDescent="0.25">
      <c r="A15" s="23">
        <v>43960</v>
      </c>
      <c r="B15" s="40">
        <v>9</v>
      </c>
      <c r="C15" s="24">
        <v>6009780</v>
      </c>
      <c r="D15" s="24">
        <v>13030790</v>
      </c>
      <c r="E15" s="24">
        <v>1694610</v>
      </c>
      <c r="F15" s="24">
        <v>2830220</v>
      </c>
      <c r="G15" s="24">
        <v>8744850</v>
      </c>
      <c r="H15" s="24">
        <v>4354710</v>
      </c>
      <c r="I15" s="24">
        <v>4180960</v>
      </c>
      <c r="J15" s="24">
        <v>4749130</v>
      </c>
      <c r="K15" s="24">
        <v>7486860</v>
      </c>
      <c r="L15" s="24">
        <v>2843450</v>
      </c>
      <c r="M15" s="24">
        <v>6764040</v>
      </c>
      <c r="N15" s="24">
        <v>9583780</v>
      </c>
      <c r="O15" s="24">
        <v>13043600</v>
      </c>
      <c r="Q15" s="37">
        <f t="shared" si="16"/>
        <v>560</v>
      </c>
      <c r="R15" s="37">
        <f t="shared" si="17"/>
        <v>1870</v>
      </c>
      <c r="S15" s="37">
        <f t="shared" si="15"/>
        <v>2910</v>
      </c>
      <c r="T15" s="37">
        <f t="shared" si="18"/>
        <v>1370</v>
      </c>
      <c r="U15" s="37">
        <f t="shared" si="19"/>
        <v>2840</v>
      </c>
      <c r="V15" s="37">
        <f t="shared" si="20"/>
        <v>1980</v>
      </c>
      <c r="W15" s="37">
        <f t="shared" si="21"/>
        <v>2060</v>
      </c>
      <c r="X15" s="37">
        <f t="shared" si="22"/>
        <v>1280</v>
      </c>
      <c r="Y15" s="37">
        <f t="shared" si="23"/>
        <v>1870</v>
      </c>
      <c r="Z15" s="37">
        <f t="shared" si="24"/>
        <v>2310</v>
      </c>
      <c r="AA15" s="37">
        <f t="shared" si="25"/>
        <v>1520</v>
      </c>
      <c r="AB15" s="37">
        <f t="shared" si="26"/>
        <v>3610</v>
      </c>
      <c r="AC15" s="37">
        <f t="shared" si="27"/>
        <v>2860</v>
      </c>
      <c r="AD15" s="35">
        <f t="shared" si="28"/>
        <v>27040</v>
      </c>
      <c r="AF15" s="20">
        <f t="shared" si="1"/>
        <v>2.8000000000000003</v>
      </c>
      <c r="AG15" s="20">
        <f t="shared" si="2"/>
        <v>9.35</v>
      </c>
      <c r="AH15" s="20">
        <f t="shared" si="3"/>
        <v>14.55</v>
      </c>
      <c r="AI15" s="20">
        <f t="shared" si="4"/>
        <v>6.8500000000000005</v>
      </c>
      <c r="AJ15" s="20">
        <f t="shared" si="5"/>
        <v>14.200000000000001</v>
      </c>
      <c r="AK15" s="20">
        <f t="shared" si="6"/>
        <v>9.9</v>
      </c>
      <c r="AL15" s="20">
        <f t="shared" si="7"/>
        <v>10.3</v>
      </c>
      <c r="AM15" s="20">
        <f t="shared" si="8"/>
        <v>6.4</v>
      </c>
      <c r="AN15" s="20">
        <f t="shared" si="9"/>
        <v>9.35</v>
      </c>
      <c r="AO15" s="20">
        <f t="shared" si="10"/>
        <v>11.55</v>
      </c>
      <c r="AP15" s="20">
        <f t="shared" si="11"/>
        <v>7.6000000000000005</v>
      </c>
      <c r="AQ15" s="20">
        <f t="shared" si="12"/>
        <v>18.05</v>
      </c>
      <c r="AR15" s="20">
        <f t="shared" si="13"/>
        <v>14.3</v>
      </c>
      <c r="AS15" s="35">
        <f t="shared" si="29"/>
        <v>135.19999999999999</v>
      </c>
      <c r="AU15" s="47">
        <v>915250</v>
      </c>
      <c r="AV15" s="37">
        <f t="shared" si="31"/>
        <v>1128</v>
      </c>
      <c r="AW15" s="35">
        <f t="shared" si="30"/>
        <v>2.2560000000000002</v>
      </c>
    </row>
    <row r="16" spans="1:49" x14ac:dyDescent="0.25">
      <c r="A16" s="23">
        <v>43961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43962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43963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43964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43965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43966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43967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43968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43969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43970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43971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43979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43981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43982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5110</v>
      </c>
      <c r="R38" s="30">
        <f t="shared" si="62"/>
        <v>16910</v>
      </c>
      <c r="S38" s="30">
        <f t="shared" si="62"/>
        <v>26260</v>
      </c>
      <c r="T38" s="30">
        <f t="shared" si="62"/>
        <v>12390</v>
      </c>
      <c r="U38" s="30">
        <f t="shared" si="62"/>
        <v>26320</v>
      </c>
      <c r="V38" s="30">
        <f t="shared" si="62"/>
        <v>18630</v>
      </c>
      <c r="W38" s="30">
        <f t="shared" si="62"/>
        <v>18730</v>
      </c>
      <c r="X38" s="30">
        <f t="shared" si="62"/>
        <v>11060</v>
      </c>
      <c r="Y38" s="30">
        <f t="shared" si="62"/>
        <v>17470</v>
      </c>
      <c r="Z38" s="30">
        <f t="shared" si="62"/>
        <v>20740</v>
      </c>
      <c r="AA38" s="30">
        <f t="shared" si="62"/>
        <v>12970</v>
      </c>
      <c r="AB38" s="30">
        <f t="shared" si="62"/>
        <v>31940</v>
      </c>
      <c r="AC38" s="30">
        <f t="shared" si="62"/>
        <v>24730</v>
      </c>
      <c r="AD38" s="35">
        <f t="shared" si="62"/>
        <v>243260</v>
      </c>
      <c r="AF38" s="35">
        <f t="shared" ref="AF38:AS38" si="63">SUM(AF7:AF34)</f>
        <v>25.550000000000004</v>
      </c>
      <c r="AG38" s="35">
        <f t="shared" si="63"/>
        <v>84.55</v>
      </c>
      <c r="AH38" s="35">
        <f t="shared" si="63"/>
        <v>131.30000000000001</v>
      </c>
      <c r="AI38" s="35">
        <f t="shared" si="63"/>
        <v>61.95</v>
      </c>
      <c r="AJ38" s="35">
        <f t="shared" si="63"/>
        <v>131.6</v>
      </c>
      <c r="AK38" s="35">
        <f t="shared" si="63"/>
        <v>93.15</v>
      </c>
      <c r="AL38" s="35">
        <f t="shared" si="63"/>
        <v>93.65</v>
      </c>
      <c r="AM38" s="35">
        <f t="shared" si="63"/>
        <v>55.300000000000004</v>
      </c>
      <c r="AN38" s="35">
        <f t="shared" si="63"/>
        <v>87.35</v>
      </c>
      <c r="AO38" s="35">
        <f t="shared" si="63"/>
        <v>103.69999999999999</v>
      </c>
      <c r="AP38" s="35">
        <f t="shared" si="63"/>
        <v>64.849999999999994</v>
      </c>
      <c r="AQ38" s="35">
        <f t="shared" si="63"/>
        <v>159.70000000000002</v>
      </c>
      <c r="AR38" s="35">
        <f t="shared" si="63"/>
        <v>123.64999999999999</v>
      </c>
      <c r="AS38" s="35">
        <f t="shared" si="63"/>
        <v>1216.3</v>
      </c>
      <c r="AU38" s="48"/>
      <c r="AV38" s="35">
        <f>SUM(AV7:AV34)</f>
        <v>9740</v>
      </c>
      <c r="AW38" s="35">
        <f>SUM(AW7:AW34)</f>
        <v>15.752000000000001</v>
      </c>
    </row>
    <row r="39" spans="1:49" x14ac:dyDescent="0.25">
      <c r="D39">
        <v>5.0000000000000001E-3</v>
      </c>
      <c r="AV39" s="36">
        <f>AV38*0.00378541*1000</f>
        <v>36869.893400000001</v>
      </c>
    </row>
    <row r="40" spans="1:49" x14ac:dyDescent="0.25">
      <c r="D40">
        <v>2E-3</v>
      </c>
      <c r="AV40">
        <f>AV39/31</f>
        <v>1189.3514</v>
      </c>
    </row>
    <row r="41" spans="1:49" x14ac:dyDescent="0.25">
      <c r="AV41">
        <f>AV38*0.00378541</f>
        <v>36.869893400000002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2020-05-10T06:42:06Z</dcterms:modified>
</cp:coreProperties>
</file>