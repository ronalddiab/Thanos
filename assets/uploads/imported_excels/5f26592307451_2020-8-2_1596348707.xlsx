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L2" i="3" l="1"/>
  <c r="K2" i="3"/>
  <c r="I2" i="3"/>
  <c r="G2" i="3"/>
  <c r="E2" i="3"/>
  <c r="J2" i="2"/>
  <c r="I2" i="2"/>
  <c r="H2" i="2"/>
  <c r="F2" i="2"/>
  <c r="E2" i="2"/>
  <c r="H40" i="1" l="1"/>
  <c r="K39" i="1"/>
  <c r="J39" i="1"/>
  <c r="I39" i="1"/>
  <c r="I40" i="1" s="1"/>
  <c r="H39" i="1"/>
  <c r="G39" i="1"/>
  <c r="F39" i="1"/>
  <c r="E39" i="1"/>
  <c r="C39" i="1"/>
  <c r="B39" i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L17" i="3"/>
  <c r="K17" i="3"/>
  <c r="I17" i="3"/>
  <c r="G17" i="3"/>
  <c r="E17" i="3"/>
  <c r="J18" i="2"/>
  <c r="I18" i="2"/>
  <c r="H18" i="2"/>
  <c r="F18" i="2"/>
  <c r="E18" i="2"/>
  <c r="J17" i="2"/>
  <c r="I17" i="2"/>
  <c r="H17" i="2"/>
  <c r="F17" i="2"/>
  <c r="E17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23" i="3"/>
  <c r="L24" i="3"/>
  <c r="L25" i="3"/>
  <c r="L28" i="3"/>
  <c r="L30" i="3"/>
  <c r="K3" i="3"/>
  <c r="K14" i="3"/>
  <c r="K15" i="3"/>
  <c r="K23" i="3"/>
  <c r="K24" i="3"/>
  <c r="K25" i="3"/>
  <c r="K28" i="3"/>
  <c r="K30" i="3"/>
  <c r="I3" i="3"/>
  <c r="I14" i="3"/>
  <c r="I15" i="3"/>
  <c r="I23" i="3"/>
  <c r="I24" i="3"/>
  <c r="I25" i="3"/>
  <c r="I28" i="3"/>
  <c r="I30" i="3"/>
  <c r="G3" i="3"/>
  <c r="G14" i="3"/>
  <c r="G15" i="3"/>
  <c r="G23" i="3"/>
  <c r="G24" i="3"/>
  <c r="G25" i="3"/>
  <c r="G28" i="3"/>
  <c r="G30" i="3"/>
  <c r="E3" i="3" l="1"/>
  <c r="E14" i="3"/>
  <c r="E15" i="3"/>
  <c r="E23" i="3"/>
  <c r="E24" i="3"/>
  <c r="E25" i="3"/>
  <c r="E28" i="3"/>
  <c r="E30" i="3"/>
  <c r="J3" i="2" l="1"/>
  <c r="J15" i="2"/>
  <c r="J23" i="2"/>
  <c r="J24" i="2"/>
  <c r="J25" i="2"/>
  <c r="J28" i="2"/>
  <c r="J30" i="2"/>
  <c r="I3" i="2"/>
  <c r="I15" i="2"/>
  <c r="I23" i="2"/>
  <c r="I24" i="2"/>
  <c r="I25" i="2"/>
  <c r="I28" i="2"/>
  <c r="I30" i="2"/>
  <c r="H3" i="2"/>
  <c r="H15" i="2"/>
  <c r="H23" i="2"/>
  <c r="H24" i="2"/>
  <c r="H25" i="2"/>
  <c r="H28" i="2"/>
  <c r="H30" i="2"/>
  <c r="F30" i="2" l="1"/>
  <c r="F28" i="2"/>
  <c r="F25" i="2"/>
  <c r="F24" i="2"/>
  <c r="F23" i="2"/>
  <c r="F15" i="2"/>
  <c r="F3" i="2"/>
  <c r="E3" i="2" l="1"/>
  <c r="E15" i="2"/>
  <c r="E23" i="2"/>
  <c r="E24" i="2"/>
  <c r="E25" i="2"/>
  <c r="E28" i="2"/>
  <c r="E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<sst xmlns="http://schemas.openxmlformats.org/spreadsheetml/2006/main" count="107" uniqueCount="38">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</sst>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T15" sqref="T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v>0</v>
      </c>
      <c r="F4" s="22">
        <v>0.11799999999999999</v>
      </c>
      <c r="G4" s="24">
        <v>0</v>
      </c>
      <c r="H4" s="22">
        <v>0.99</v>
      </c>
      <c r="I4" s="24">
        <v>0</v>
      </c>
      <c r="J4" s="22">
        <v>8.1000000000000003E-2</v>
      </c>
      <c r="K4" s="56">
        <v>0</v>
      </c>
      <c r="L4" s="24">
        <v>0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0</v>
      </c>
      <c r="F5" s="22">
        <v>0.11799999999999999</v>
      </c>
      <c r="G5" s="24">
        <f>(('08 - 2020'!E11-'08 - 2020'!E10)+('08 - 2020'!F11-'08 - 2020'!F10)+('08 - 2020'!G11-'08 - 2020'!G10))*1.81</f>
        <v>0</v>
      </c>
      <c r="H5" s="22">
        <v>0.99</v>
      </c>
      <c r="I5" s="24">
        <f>'08 - 2020'!J11-'08 - 2020'!J10</f>
        <v>0</v>
      </c>
      <c r="J5" s="22">
        <v>8.1000000000000003E-2</v>
      </c>
      <c r="K5" s="56">
        <f>'08 - 2020'!H11-'08 - 2020'!H10</f>
        <v>0</v>
      </c>
      <c r="L5" s="24">
        <f>'08 - 2020'!I11-'08 - 2020'!I10</f>
        <v>0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0</v>
      </c>
      <c r="F6" s="22">
        <v>0.11799999999999999</v>
      </c>
      <c r="G6" s="24">
        <f>(('08 - 2020'!E12-'08 - 2020'!E11)+('08 - 2020'!F12-'08 - 2020'!F11)+('08 - 2020'!G12-'08 - 2020'!G11))*1.81</f>
        <v>0</v>
      </c>
      <c r="H6" s="22">
        <v>0.99</v>
      </c>
      <c r="I6" s="24">
        <f>'08 - 2020'!J12-'08 - 2020'!J11</f>
        <v>0</v>
      </c>
      <c r="J6" s="22">
        <v>8.1000000000000003E-2</v>
      </c>
      <c r="K6" s="56">
        <f>'08 - 2020'!H12-'08 - 2020'!H11</f>
        <v>0</v>
      </c>
      <c r="L6" s="24">
        <f>'08 - 2020'!I12-'08 - 2020'!I11</f>
        <v>0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0</v>
      </c>
      <c r="F7" s="22">
        <v>0.11799999999999999</v>
      </c>
      <c r="G7" s="24">
        <f>(('08 - 2020'!E13-'08 - 2020'!E12)+('08 - 2020'!F13-'08 - 2020'!F12)+('08 - 2020'!G13-'08 - 2020'!G12))*1.81</f>
        <v>0</v>
      </c>
      <c r="H7" s="22">
        <v>0.99</v>
      </c>
      <c r="I7" s="24">
        <f>'08 - 2020'!J13-'08 - 2020'!J12</f>
        <v>0</v>
      </c>
      <c r="J7" s="22">
        <v>8.1000000000000003E-2</v>
      </c>
      <c r="K7" s="56">
        <f>'08 - 2020'!H13-'08 - 2020'!H12</f>
        <v>0</v>
      </c>
      <c r="L7" s="24">
        <f>'08 - 2020'!I13-'08 - 2020'!I12</f>
        <v>0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0</v>
      </c>
      <c r="F8" s="22">
        <v>0.11799999999999999</v>
      </c>
      <c r="G8" s="24">
        <f>(('08 - 2020'!E14-'08 - 2020'!E13)+('08 - 2020'!F14-'08 - 2020'!F13)+('08 - 2020'!G14-'08 - 2020'!G13))*1.81</f>
        <v>0</v>
      </c>
      <c r="H8" s="22">
        <v>0.99</v>
      </c>
      <c r="I8" s="24">
        <f>'08 - 2020'!J14-'08 - 2020'!J13</f>
        <v>0</v>
      </c>
      <c r="J8" s="22">
        <v>8.1000000000000003E-2</v>
      </c>
      <c r="K8" s="56">
        <f>'08 - 2020'!H14-'08 - 2020'!H13</f>
        <v>0</v>
      </c>
      <c r="L8" s="24">
        <f>'08 - 2020'!I14-'08 - 2020'!I13</f>
        <v>0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0</v>
      </c>
      <c r="F9" s="22">
        <v>0.11799999999999999</v>
      </c>
      <c r="G9" s="24">
        <f>(('08 - 2020'!E15-'08 - 2020'!E14)+('08 - 2020'!F15-'08 - 2020'!F14)+('08 - 2020'!G15-'08 - 2020'!G14))*1.81</f>
        <v>0</v>
      </c>
      <c r="H9" s="22">
        <v>0.99</v>
      </c>
      <c r="I9" s="24">
        <f>'08 - 2020'!J15-'08 - 2020'!J14</f>
        <v>0</v>
      </c>
      <c r="J9" s="22">
        <v>8.1000000000000003E-2</v>
      </c>
      <c r="K9" s="56">
        <f>'08 - 2020'!H15-'08 - 2020'!H14</f>
        <v>0</v>
      </c>
      <c r="L9" s="24">
        <f>'08 - 2020'!I15-'08 - 2020'!I14</f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0</v>
      </c>
      <c r="F10" s="22">
        <v>0.11799999999999999</v>
      </c>
      <c r="G10" s="24">
        <f>(('08 - 2020'!E16-'08 - 2020'!E15)+('08 - 2020'!F16-'08 - 2020'!F15)+('08 - 2020'!G16-'08 - 2020'!G15))*1.81</f>
        <v>0</v>
      </c>
      <c r="H10" s="22">
        <v>0.99</v>
      </c>
      <c r="I10" s="24">
        <f>'08 - 2020'!J16-'08 - 2020'!J15</f>
        <v>0</v>
      </c>
      <c r="J10" s="22">
        <v>8.1000000000000003E-2</v>
      </c>
      <c r="K10" s="56">
        <f>'08 - 2020'!H16-'08 - 2020'!H15</f>
        <v>0</v>
      </c>
      <c r="L10" s="24">
        <f>'08 - 2020'!I16-'08 - 2020'!I15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0</v>
      </c>
      <c r="F11" s="22">
        <v>0.11799999999999999</v>
      </c>
      <c r="G11" s="24">
        <f>(('08 - 2020'!E17-'08 - 2020'!E16)+('08 - 2020'!F17-'08 - 2020'!F16)+('08 - 2020'!G17-'08 - 2020'!G16))*1.81</f>
        <v>0</v>
      </c>
      <c r="H11" s="22">
        <v>0.99</v>
      </c>
      <c r="I11" s="24">
        <f>'08 - 2020'!J17-'08 - 2020'!J16</f>
        <v>0</v>
      </c>
      <c r="J11" s="22">
        <v>8.1000000000000003E-2</v>
      </c>
      <c r="K11" s="56">
        <f>'08 - 2020'!H17-'08 - 2020'!H16</f>
        <v>0</v>
      </c>
      <c r="L11" s="24">
        <f>'08 - 2020'!I17-'08 - 2020'!I16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0</v>
      </c>
      <c r="F12" s="22">
        <v>0.11799999999999999</v>
      </c>
      <c r="G12" s="24">
        <f>(('08 - 2020'!E18-'08 - 2020'!E17)+('08 - 2020'!F18-'08 - 2020'!F17)+('08 - 2020'!G18-'08 - 2020'!G17))*1.81</f>
        <v>0</v>
      </c>
      <c r="H12" s="22">
        <v>0.99</v>
      </c>
      <c r="I12" s="24">
        <f>'08 - 2020'!J18-'08 - 2020'!J17</f>
        <v>0</v>
      </c>
      <c r="J12" s="22">
        <v>8.1000000000000003E-2</v>
      </c>
      <c r="K12" s="56">
        <f>'08 - 2020'!H18-'08 - 2020'!H17</f>
        <v>0</v>
      </c>
      <c r="L12" s="24">
        <f>'08 - 2020'!I18-'08 - 2020'!I17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0</v>
      </c>
      <c r="F13" s="22">
        <v>0.11799999999999999</v>
      </c>
      <c r="G13" s="24">
        <f>(('08 - 2020'!E19-'08 - 2020'!E18)+('08 - 2020'!F19-'08 - 2020'!F18)+('08 - 2020'!G19-'08 - 2020'!G18))*1.81</f>
        <v>0</v>
      </c>
      <c r="H13" s="22">
        <v>0.99</v>
      </c>
      <c r="I13" s="24">
        <f>'08 - 2020'!J19-'08 - 2020'!J18</f>
        <v>0</v>
      </c>
      <c r="J13" s="22">
        <v>8.1000000000000003E-2</v>
      </c>
      <c r="K13" s="56">
        <f>'08 - 2020'!H19-'08 - 2020'!H18</f>
        <v>0</v>
      </c>
      <c r="L13" s="24">
        <f>'08 - 2020'!I19-'08 - 2020'!I18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0</v>
      </c>
      <c r="F14" s="22">
        <v>0.11799999999999999</v>
      </c>
      <c r="G14" s="24">
        <f>(('08 - 2020'!E20-'08 - 2020'!E19)+('08 - 2020'!F20-'08 - 2020'!F19)+('08 - 2020'!G20-'08 - 2020'!G19))*1.81</f>
        <v>0</v>
      </c>
      <c r="H14" s="22">
        <v>0.99</v>
      </c>
      <c r="I14" s="24">
        <f>'08 - 2020'!J20-'08 - 2020'!J19</f>
        <v>0</v>
      </c>
      <c r="J14" s="22">
        <v>8.1000000000000003E-2</v>
      </c>
      <c r="K14" s="56">
        <f>'08 - 2020'!H20-'08 - 2020'!H19</f>
        <v>0</v>
      </c>
      <c r="L14" s="24">
        <f>'08 - 2020'!I20-'08 - 2020'!I19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0</v>
      </c>
      <c r="F15" s="22">
        <v>0.11799999999999999</v>
      </c>
      <c r="G15" s="24">
        <f>(('08 - 2020'!E21-'08 - 2020'!E20)+('08 - 2020'!F21-'08 - 2020'!F20)+('08 - 2020'!G21-'08 - 2020'!G20))*1.81</f>
        <v>0</v>
      </c>
      <c r="H15" s="22">
        <v>0.99</v>
      </c>
      <c r="I15" s="24">
        <f>'08 - 2020'!J21-'08 - 2020'!J20</f>
        <v>0</v>
      </c>
      <c r="J15" s="22">
        <v>8.1000000000000003E-2</v>
      </c>
      <c r="K15" s="56">
        <f>'08 - 2020'!H21-'08 - 2020'!H20</f>
        <v>0</v>
      </c>
      <c r="L15" s="24">
        <f>'08 - 2020'!I21-'08 - 2020'!I20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0</v>
      </c>
      <c r="F16" s="22">
        <v>0.11799999999999999</v>
      </c>
      <c r="G16" s="24">
        <f>(('08 - 2020'!E22-'08 - 2020'!E21)+('08 - 2020'!F22-'08 - 2020'!F21)+('08 - 2020'!G22-'08 - 2020'!G21))*1.81</f>
        <v>0</v>
      </c>
      <c r="H16" s="22">
        <v>0.99</v>
      </c>
      <c r="I16" s="24">
        <f>'08 - 2020'!J22-'08 - 2020'!J21</f>
        <v>0</v>
      </c>
      <c r="J16" s="22">
        <v>8.1000000000000003E-2</v>
      </c>
      <c r="K16" s="56">
        <f>'08 - 2020'!H22-'08 - 2020'!H21</f>
        <v>0</v>
      </c>
      <c r="L16" s="24">
        <f>'08 - 2020'!I22-'08 - 2020'!I21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0</v>
      </c>
      <c r="F17" s="22">
        <v>0.11799999999999999</v>
      </c>
      <c r="G17" s="24">
        <f>(('08 - 2020'!E23-'08 - 2020'!E22)+('08 - 2020'!F23-'08 - 2020'!F22)+('08 - 2020'!G23-'08 - 2020'!G22))*1.81</f>
        <v>0</v>
      </c>
      <c r="H17" s="22">
        <v>0.99</v>
      </c>
      <c r="I17" s="24">
        <f>'08 - 2020'!J23-'08 - 2020'!J22</f>
        <v>0</v>
      </c>
      <c r="J17" s="22">
        <v>8.1000000000000003E-2</v>
      </c>
      <c r="K17" s="56">
        <f>'08 - 2020'!H23-'08 - 2020'!H22</f>
        <v>0</v>
      </c>
      <c r="L17" s="24">
        <f>'08 - 2020'!I23-'08 - 2020'!I22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0</v>
      </c>
      <c r="F18" s="22">
        <v>0.11799999999999999</v>
      </c>
      <c r="G18" s="24">
        <f>(('08 - 2020'!E24-'08 - 2020'!E23)+('08 - 2020'!F24-'08 - 2020'!F23)+('08 - 2020'!G24-'08 - 2020'!G23))*1.81</f>
        <v>0</v>
      </c>
      <c r="H18" s="22">
        <v>0.99</v>
      </c>
      <c r="I18" s="24">
        <f>'08 - 2020'!J24-'08 - 2020'!J23</f>
        <v>0</v>
      </c>
      <c r="J18" s="22">
        <v>8.1000000000000003E-2</v>
      </c>
      <c r="K18" s="56">
        <f>'08 - 2020'!H24-'08 - 2020'!H23</f>
        <v>0</v>
      </c>
      <c r="L18" s="24">
        <f>'08 - 2020'!I24-'08 - 2020'!I23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0</v>
      </c>
      <c r="F19" s="22">
        <v>0.11799999999999999</v>
      </c>
      <c r="G19" s="24">
        <f>(('08 - 2020'!E25-'08 - 2020'!E24)+('08 - 2020'!F25-'08 - 2020'!F24)+('08 - 2020'!G25-'08 - 2020'!G24))*1.81</f>
        <v>0</v>
      </c>
      <c r="H19" s="22">
        <v>0.99</v>
      </c>
      <c r="I19" s="24">
        <f>'08 - 2020'!J25-'08 - 2020'!J24</f>
        <v>0</v>
      </c>
      <c r="J19" s="22">
        <v>8.1000000000000003E-2</v>
      </c>
      <c r="K19" s="56">
        <f>'08 - 2020'!H25-'08 - 2020'!H24</f>
        <v>0</v>
      </c>
      <c r="L19" s="24">
        <f>'08 - 2020'!I25-'08 - 2020'!I24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0</v>
      </c>
      <c r="F20" s="22">
        <v>0.11799999999999999</v>
      </c>
      <c r="G20" s="24">
        <f>(('08 - 2020'!E26-'08 - 2020'!E25)+('08 - 2020'!F26-'08 - 2020'!F25)+('08 - 2020'!G26-'08 - 2020'!G25))*1.81</f>
        <v>0</v>
      </c>
      <c r="H20" s="22">
        <v>0.99</v>
      </c>
      <c r="I20" s="24">
        <f>'08 - 2020'!J26-'08 - 2020'!J25</f>
        <v>0</v>
      </c>
      <c r="J20" s="22">
        <v>8.1000000000000003E-2</v>
      </c>
      <c r="K20" s="56">
        <f>'08 - 2020'!H26-'08 - 2020'!H25</f>
        <v>0</v>
      </c>
      <c r="L20" s="24">
        <f>'08 - 2020'!I26-'08 - 2020'!I25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0</v>
      </c>
      <c r="F21" s="22">
        <v>0.11799999999999999</v>
      </c>
      <c r="G21" s="24">
        <f>(('08 - 2020'!E27-'08 - 2020'!E26)+('08 - 2020'!F27-'08 - 2020'!F26)+('08 - 2020'!G27-'08 - 2020'!G26))*1.81</f>
        <v>0</v>
      </c>
      <c r="H21" s="22">
        <v>0.99</v>
      </c>
      <c r="I21" s="24">
        <f>'08 - 2020'!J27-'08 - 2020'!J26</f>
        <v>0</v>
      </c>
      <c r="J21" s="22">
        <v>8.1000000000000003E-2</v>
      </c>
      <c r="K21" s="56">
        <f>'08 - 2020'!H27-'08 - 2020'!H26</f>
        <v>0</v>
      </c>
      <c r="L21" s="24">
        <f>'08 - 2020'!I27-'08 - 2020'!I26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0</v>
      </c>
      <c r="F22" s="22">
        <v>0.11799999999999999</v>
      </c>
      <c r="G22" s="24">
        <f>(('08 - 2020'!E28-'08 - 2020'!E27)+('08 - 2020'!F28-'08 - 2020'!F27)+('08 - 2020'!G28-'08 - 2020'!G27))*1.81</f>
        <v>0</v>
      </c>
      <c r="H22" s="22">
        <v>0.99</v>
      </c>
      <c r="I22" s="24">
        <f>'08 - 2020'!J28-'08 - 2020'!J27</f>
        <v>0</v>
      </c>
      <c r="J22" s="22">
        <v>8.1000000000000003E-2</v>
      </c>
      <c r="K22" s="56">
        <f>'08 - 2020'!H28-'08 - 2020'!H27</f>
        <v>0</v>
      </c>
      <c r="L22" s="24">
        <f>'08 - 2020'!I28-'08 - 2020'!I27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0</v>
      </c>
      <c r="F23" s="22">
        <v>0.11799999999999999</v>
      </c>
      <c r="G23" s="24">
        <f>(('08 - 2020'!E29-'08 - 2020'!E28)+('08 - 2020'!F29-'08 - 2020'!F28)+('08 - 2020'!G29-'08 - 2020'!G28))*1.81</f>
        <v>0</v>
      </c>
      <c r="H23" s="22">
        <v>0.99</v>
      </c>
      <c r="I23" s="24">
        <f>'08 - 2020'!J29-'08 - 2020'!J28</f>
        <v>0</v>
      </c>
      <c r="J23" s="22">
        <v>8.1000000000000003E-2</v>
      </c>
      <c r="K23" s="56">
        <f>'08 - 2020'!H29-'08 - 2020'!H28</f>
        <v>0</v>
      </c>
      <c r="L23" s="24">
        <f>'08 - 2020'!I29-'08 - 2020'!I28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0</v>
      </c>
      <c r="F24" s="22">
        <v>0.11799999999999999</v>
      </c>
      <c r="G24" s="24">
        <f>(('08 - 2020'!E30-'08 - 2020'!E29)+('08 - 2020'!F30-'08 - 2020'!F29)+('08 - 2020'!G30-'08 - 2020'!G29))*1.81</f>
        <v>0</v>
      </c>
      <c r="H24" s="22">
        <v>0.99</v>
      </c>
      <c r="I24" s="24">
        <f>'08 - 2020'!J30-'08 - 2020'!J29</f>
        <v>0</v>
      </c>
      <c r="J24" s="22">
        <v>8.1000000000000003E-2</v>
      </c>
      <c r="K24" s="56">
        <f>'08 - 2020'!H30-'08 - 2020'!H29</f>
        <v>0</v>
      </c>
      <c r="L24" s="24">
        <f>'08 - 2020'!I30-'08 - 2020'!I29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0</v>
      </c>
      <c r="F25" s="22">
        <v>0.11799999999999999</v>
      </c>
      <c r="G25" s="24">
        <f>(('08 - 2020'!E31-'08 - 2020'!E30)+('08 - 2020'!F31-'08 - 2020'!F30)+('08 - 2020'!G31-'08 - 2020'!G30))*1.81</f>
        <v>0</v>
      </c>
      <c r="H25" s="22">
        <v>0.99</v>
      </c>
      <c r="I25" s="24">
        <f>'08 - 2020'!J31-'08 - 2020'!J30</f>
        <v>0</v>
      </c>
      <c r="J25" s="22">
        <v>8.1000000000000003E-2</v>
      </c>
      <c r="K25" s="56">
        <f>'08 - 2020'!H31-'08 - 2020'!H30</f>
        <v>0</v>
      </c>
      <c r="L25" s="24">
        <f>'08 - 2020'!I31-'08 - 2020'!I30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0</v>
      </c>
      <c r="F26" s="22">
        <v>0.11799999999999999</v>
      </c>
      <c r="G26" s="24">
        <f>(('08 - 2020'!E32-'08 - 2020'!E31)+('08 - 2020'!F32-'08 - 2020'!F31)+('08 - 2020'!G32-'08 - 2020'!G31))*1.81</f>
        <v>0</v>
      </c>
      <c r="H26" s="22">
        <v>0.99</v>
      </c>
      <c r="I26" s="24">
        <f>'08 - 2020'!J32-'08 - 2020'!J31</f>
        <v>0</v>
      </c>
      <c r="J26" s="22">
        <v>8.1000000000000003E-2</v>
      </c>
      <c r="K26" s="56">
        <f>'08 - 2020'!H32-'08 - 2020'!H31</f>
        <v>0</v>
      </c>
      <c r="L26" s="24">
        <f>'08 - 2020'!I32-'08 - 2020'!I31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0</v>
      </c>
      <c r="F27" s="22">
        <v>0.11799999999999999</v>
      </c>
      <c r="G27" s="24">
        <f>(('08 - 2020'!E33-'08 - 2020'!E32)+('08 - 2020'!F33-'08 - 2020'!F32)+('08 - 2020'!G33-'08 - 2020'!G32))*1.81</f>
        <v>0</v>
      </c>
      <c r="H27" s="22">
        <v>0.99</v>
      </c>
      <c r="I27" s="24">
        <f>'08 - 2020'!J33-'08 - 2020'!J32</f>
        <v>0</v>
      </c>
      <c r="J27" s="22">
        <v>8.1000000000000003E-2</v>
      </c>
      <c r="K27" s="56">
        <f>'08 - 2020'!H33-'08 - 2020'!H32</f>
        <v>0</v>
      </c>
      <c r="L27" s="24">
        <f>'08 - 2020'!I33-'08 - 2020'!I32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0</v>
      </c>
      <c r="F28" s="22">
        <v>0.11799999999999999</v>
      </c>
      <c r="G28" s="24">
        <f>(('08 - 2020'!E34-'08 - 2020'!E33)+('08 - 2020'!F34-'08 - 2020'!F33)+('08 - 2020'!G34-'08 - 2020'!G33))*1.81</f>
        <v>0</v>
      </c>
      <c r="H28" s="22">
        <v>0.99</v>
      </c>
      <c r="I28" s="24">
        <f>'08 - 2020'!J34-'08 - 2020'!J33</f>
        <v>0</v>
      </c>
      <c r="J28" s="22">
        <v>8.1000000000000003E-2</v>
      </c>
      <c r="K28" s="56">
        <f>'08 - 2020'!H34-'08 - 2020'!H33</f>
        <v>0</v>
      </c>
      <c r="L28" s="24">
        <f>'08 - 2020'!I34-'08 - 2020'!I33</f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0</v>
      </c>
      <c r="F29" s="22">
        <v>0.11799999999999999</v>
      </c>
      <c r="G29" s="24">
        <f>(('08 - 2020'!E35-'08 - 2020'!E34)+('08 - 2020'!F35-'08 - 2020'!F34)+('08 - 2020'!G35-'08 - 2020'!G34))*1.81</f>
        <v>0</v>
      </c>
      <c r="H29" s="22">
        <v>0.99</v>
      </c>
      <c r="I29" s="24">
        <f>'08 - 2020'!J35-'08 - 2020'!J34</f>
        <v>0</v>
      </c>
      <c r="J29" s="22">
        <v>8.1000000000000003E-2</v>
      </c>
      <c r="K29" s="56">
        <f>'08 - 2020'!H35-'08 - 2020'!H34</f>
        <v>0</v>
      </c>
      <c r="L29" s="24">
        <f>'08 - 2020'!I35-'08 - 2020'!I34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0</v>
      </c>
      <c r="F30" s="22">
        <v>0.11799999999999999</v>
      </c>
      <c r="G30" s="24">
        <f>(('08 - 2020'!E36-'08 - 2020'!E35)+('08 - 2020'!F36-'08 - 2020'!F35)+('08 - 2020'!G36-'08 - 2020'!G35))*1.81</f>
        <v>0</v>
      </c>
      <c r="H30" s="22">
        <v>0.99</v>
      </c>
      <c r="I30" s="24">
        <f>'08 - 2020'!J36-'08 - 2020'!J35</f>
        <v>0</v>
      </c>
      <c r="J30" s="22">
        <v>8.1000000000000003E-2</v>
      </c>
      <c r="K30" s="56">
        <f>'08 - 2020'!H36-'08 - 2020'!H35</f>
        <v>0</v>
      </c>
      <c r="L30" s="24">
        <f>'08 - 2020'!I36-'08 - 2020'!I35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0</v>
      </c>
      <c r="F31" s="22">
        <v>0.11799999999999999</v>
      </c>
      <c r="G31" s="24">
        <f>(('08 - 2020'!E37-'08 - 2020'!E36)+('08 - 2020'!F37-'08 - 2020'!F36)+('08 - 2020'!G37-'08 - 2020'!G36))*1.81</f>
        <v>0</v>
      </c>
      <c r="H31" s="22">
        <v>0.99</v>
      </c>
      <c r="I31" s="24">
        <f>'08 - 2020'!J37-'08 - 2020'!J36</f>
        <v>0</v>
      </c>
      <c r="J31" s="22">
        <v>8.1000000000000003E-2</v>
      </c>
      <c r="K31" s="56">
        <f>'08 - 2020'!H37-'08 - 2020'!H36</f>
        <v>0</v>
      </c>
      <c r="L31" s="24">
        <f>'08 - 2020'!I37-'08 - 2020'!I36</f>
        <v>0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0</v>
      </c>
      <c r="F32" s="22">
        <v>0.11799999999999999</v>
      </c>
      <c r="G32" s="24">
        <f>(('08 - 2020'!E38-'08 - 2020'!E37)+('08 - 2020'!F38-'08 - 2020'!F37)+('08 - 2020'!G38-'08 - 2020'!G37))*1.81</f>
        <v>0</v>
      </c>
      <c r="H32" s="22">
        <v>0.99</v>
      </c>
      <c r="I32" s="24">
        <f>'08 - 2020'!J38-'08 - 2020'!J37</f>
        <v>0</v>
      </c>
      <c r="J32" s="22">
        <v>8.1000000000000003E-2</v>
      </c>
      <c r="K32" s="56">
        <f>'08 - 2020'!H38-'08 - 2020'!H37</f>
        <v>0</v>
      </c>
      <c r="L32" s="24">
        <f>'08 - 2020'!I38-'08 - 2020'!I37</f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" sqref="J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v>0</v>
      </c>
      <c r="F4" s="24">
        <v>0</v>
      </c>
      <c r="G4" s="22">
        <v>0.11799999999999999</v>
      </c>
      <c r="H4" s="24">
        <v>0</v>
      </c>
      <c r="I4" s="24">
        <v>0</v>
      </c>
      <c r="J4" s="24">
        <v>0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0</v>
      </c>
      <c r="F5" s="24">
        <f>'08 - 2020'!C11-'08 - 2020'!C10</f>
        <v>0</v>
      </c>
      <c r="G5" s="22">
        <v>0.11799999999999999</v>
      </c>
      <c r="H5" s="24">
        <f>'08 - 2020'!E11-'08 - 2020'!E10</f>
        <v>0</v>
      </c>
      <c r="I5" s="24">
        <f>'08 - 2020'!F11-'08 - 2020'!F10</f>
        <v>0</v>
      </c>
      <c r="J5" s="24">
        <f>'08 - 2020'!G11-'08 - 2020'!G10</f>
        <v>0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0</v>
      </c>
      <c r="F6" s="24">
        <f>'08 - 2020'!C12-'08 - 2020'!C11</f>
        <v>0</v>
      </c>
      <c r="G6" s="22">
        <v>0.11799999999999999</v>
      </c>
      <c r="H6" s="24">
        <f>'08 - 2020'!E12-'08 - 2020'!E11</f>
        <v>0</v>
      </c>
      <c r="I6" s="24">
        <f>'08 - 2020'!F12-'08 - 2020'!F11</f>
        <v>0</v>
      </c>
      <c r="J6" s="24">
        <f>'08 - 2020'!G12-'08 - 2020'!G11</f>
        <v>0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0</v>
      </c>
      <c r="F7" s="24">
        <f>'08 - 2020'!C13-'08 - 2020'!C12</f>
        <v>0</v>
      </c>
      <c r="G7" s="22">
        <v>0.11799999999999999</v>
      </c>
      <c r="H7" s="24">
        <f>'08 - 2020'!E13-'08 - 2020'!E12</f>
        <v>0</v>
      </c>
      <c r="I7" s="24">
        <f>'08 - 2020'!F13-'08 - 2020'!F12</f>
        <v>0</v>
      </c>
      <c r="J7" s="24">
        <f>'08 - 2020'!G13-'08 - 2020'!G12</f>
        <v>0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0</v>
      </c>
      <c r="F8" s="24">
        <f>'08 - 2020'!C14-'08 - 2020'!C13</f>
        <v>0</v>
      </c>
      <c r="G8" s="22">
        <v>0.11799999999999999</v>
      </c>
      <c r="H8" s="24">
        <f>'08 - 2020'!E14-'08 - 2020'!E13</f>
        <v>0</v>
      </c>
      <c r="I8" s="24">
        <f>'08 - 2020'!F14-'08 - 2020'!F13</f>
        <v>0</v>
      </c>
      <c r="J8" s="24">
        <f>'08 - 2020'!G14-'08 - 2020'!G13</f>
        <v>0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0</v>
      </c>
      <c r="F9" s="24">
        <f>'08 - 2020'!C15-'08 - 2020'!C14</f>
        <v>0</v>
      </c>
      <c r="G9" s="22">
        <v>0.11799999999999999</v>
      </c>
      <c r="H9" s="24">
        <f>'08 - 2020'!E15-'08 - 2020'!E14</f>
        <v>0</v>
      </c>
      <c r="I9" s="24">
        <f>'08 - 2020'!F15-'08 - 2020'!F14</f>
        <v>0</v>
      </c>
      <c r="J9" s="24">
        <f>'08 - 2020'!G15-'08 - 2020'!G14</f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0</v>
      </c>
      <c r="F10" s="24">
        <f>'08 - 2020'!C16-'08 - 2020'!C15</f>
        <v>0</v>
      </c>
      <c r="G10" s="22">
        <v>0.11799999999999999</v>
      </c>
      <c r="H10" s="24">
        <f>'08 - 2020'!E16-'08 - 2020'!E15</f>
        <v>0</v>
      </c>
      <c r="I10" s="24">
        <f>'08 - 2020'!F16-'08 - 2020'!F15</f>
        <v>0</v>
      </c>
      <c r="J10" s="24">
        <f>'08 - 2020'!G16-'08 - 2020'!G15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0</v>
      </c>
      <c r="F11" s="24">
        <f>'08 - 2020'!C17-'08 - 2020'!C16</f>
        <v>0</v>
      </c>
      <c r="G11" s="22">
        <v>0.11799999999999999</v>
      </c>
      <c r="H11" s="24">
        <f>'08 - 2020'!E17-'08 - 2020'!E16</f>
        <v>0</v>
      </c>
      <c r="I11" s="24">
        <f>'08 - 2020'!F17-'08 - 2020'!F16</f>
        <v>0</v>
      </c>
      <c r="J11" s="24">
        <f>'08 - 2020'!G17-'08 - 2020'!G16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0</v>
      </c>
      <c r="F12" s="24">
        <f>'08 - 2020'!C18-'08 - 2020'!C17</f>
        <v>0</v>
      </c>
      <c r="G12" s="22">
        <v>0.11799999999999999</v>
      </c>
      <c r="H12" s="24">
        <f>'08 - 2020'!E18-'08 - 2020'!E17</f>
        <v>0</v>
      </c>
      <c r="I12" s="24">
        <f>'08 - 2020'!F18-'08 - 2020'!F17</f>
        <v>0</v>
      </c>
      <c r="J12" s="24">
        <f>'08 - 2020'!G18-'08 - 2020'!G17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0</v>
      </c>
      <c r="F13" s="24">
        <f>'08 - 2020'!C19-'08 - 2020'!C18</f>
        <v>0</v>
      </c>
      <c r="G13" s="22">
        <v>0.11799999999999999</v>
      </c>
      <c r="H13" s="24">
        <f>'08 - 2020'!E19-'08 - 2020'!E18</f>
        <v>0</v>
      </c>
      <c r="I13" s="24">
        <f>'08 - 2020'!F19-'08 - 2020'!F18</f>
        <v>0</v>
      </c>
      <c r="J13" s="24">
        <f>'08 - 2020'!G19-'08 - 2020'!G18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0</v>
      </c>
      <c r="F14" s="24">
        <f>'08 - 2020'!C20-'08 - 2020'!C19</f>
        <v>0</v>
      </c>
      <c r="G14" s="22">
        <v>0.11799999999999999</v>
      </c>
      <c r="H14" s="24">
        <f>'08 - 2020'!E20-'08 - 2020'!E19</f>
        <v>0</v>
      </c>
      <c r="I14" s="24">
        <f>'08 - 2020'!F20-'08 - 2020'!F19</f>
        <v>0</v>
      </c>
      <c r="J14" s="24">
        <f>'08 - 2020'!G20-'08 - 2020'!G19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0</v>
      </c>
      <c r="F15" s="24">
        <f>'08 - 2020'!C21-'08 - 2020'!C20</f>
        <v>0</v>
      </c>
      <c r="G15" s="22">
        <v>0.11799999999999999</v>
      </c>
      <c r="H15" s="24">
        <f>'08 - 2020'!E21-'08 - 2020'!E20</f>
        <v>0</v>
      </c>
      <c r="I15" s="24">
        <f>'08 - 2020'!F21-'08 - 2020'!F20</f>
        <v>0</v>
      </c>
      <c r="J15" s="24">
        <f>'08 - 2020'!G21-'08 - 2020'!G20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0</v>
      </c>
      <c r="F16" s="24">
        <f>'08 - 2020'!C22-'08 - 2020'!C21</f>
        <v>0</v>
      </c>
      <c r="G16" s="22">
        <v>0.11799999999999999</v>
      </c>
      <c r="H16" s="24">
        <f>'08 - 2020'!E22-'08 - 2020'!E21</f>
        <v>0</v>
      </c>
      <c r="I16" s="24">
        <f>'08 - 2020'!F22-'08 - 2020'!F21</f>
        <v>0</v>
      </c>
      <c r="J16" s="24">
        <f>'08 - 2020'!G22-'08 - 2020'!G21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0</v>
      </c>
      <c r="F17" s="24">
        <f>'08 - 2020'!C23-'08 - 2020'!C22</f>
        <v>0</v>
      </c>
      <c r="G17" s="22">
        <v>0.11799999999999999</v>
      </c>
      <c r="H17" s="24">
        <f>'08 - 2020'!E23-'08 - 2020'!E22</f>
        <v>0</v>
      </c>
      <c r="I17" s="24">
        <f>'08 - 2020'!F23-'08 - 2020'!F22</f>
        <v>0</v>
      </c>
      <c r="J17" s="24">
        <f>'08 - 2020'!G23-'08 - 2020'!G22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0</v>
      </c>
      <c r="F18" s="24">
        <f>'08 - 2020'!C24-'08 - 2020'!C23</f>
        <v>0</v>
      </c>
      <c r="G18" s="22">
        <v>0.11799999999999999</v>
      </c>
      <c r="H18" s="24">
        <f>'08 - 2020'!E24-'08 - 2020'!E23</f>
        <v>0</v>
      </c>
      <c r="I18" s="24">
        <f>'08 - 2020'!F24-'08 - 2020'!F23</f>
        <v>0</v>
      </c>
      <c r="J18" s="24">
        <f>'08 - 2020'!G24-'08 - 2020'!G23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0</v>
      </c>
      <c r="F19" s="24">
        <f>'08 - 2020'!C25-'08 - 2020'!C24</f>
        <v>0</v>
      </c>
      <c r="G19" s="22">
        <v>0.11799999999999999</v>
      </c>
      <c r="H19" s="24">
        <f>'08 - 2020'!E25-'08 - 2020'!E24</f>
        <v>0</v>
      </c>
      <c r="I19" s="24">
        <f>'08 - 2020'!F25-'08 - 2020'!F24</f>
        <v>0</v>
      </c>
      <c r="J19" s="24">
        <f>'08 - 2020'!G25-'08 - 2020'!G24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0</v>
      </c>
      <c r="F20" s="24">
        <f>'08 - 2020'!C26-'08 - 2020'!C25</f>
        <v>0</v>
      </c>
      <c r="G20" s="22">
        <v>0.11799999999999999</v>
      </c>
      <c r="H20" s="24">
        <f>'08 - 2020'!E26-'08 - 2020'!E25</f>
        <v>0</v>
      </c>
      <c r="I20" s="24">
        <f>'08 - 2020'!F26-'08 - 2020'!F25</f>
        <v>0</v>
      </c>
      <c r="J20" s="24">
        <f>'08 - 2020'!G26-'08 - 2020'!G25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0</v>
      </c>
      <c r="F21" s="24">
        <f>'08 - 2020'!C27-'08 - 2020'!C26</f>
        <v>0</v>
      </c>
      <c r="G21" s="22">
        <v>0.11799999999999999</v>
      </c>
      <c r="H21" s="24">
        <f>'08 - 2020'!E27-'08 - 2020'!E26</f>
        <v>0</v>
      </c>
      <c r="I21" s="24">
        <f>'08 - 2020'!F27-'08 - 2020'!F26</f>
        <v>0</v>
      </c>
      <c r="J21" s="24">
        <f>'08 - 2020'!G27-'08 - 2020'!G26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0</v>
      </c>
      <c r="F22" s="24">
        <f>'08 - 2020'!C28-'08 - 2020'!C27</f>
        <v>0</v>
      </c>
      <c r="G22" s="22">
        <v>0.11799999999999999</v>
      </c>
      <c r="H22" s="24">
        <f>'08 - 2020'!E28-'08 - 2020'!E27</f>
        <v>0</v>
      </c>
      <c r="I22" s="24">
        <f>'08 - 2020'!F28-'08 - 2020'!F27</f>
        <v>0</v>
      </c>
      <c r="J22" s="24">
        <f>'08 - 2020'!G28-'08 - 2020'!G27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0</v>
      </c>
      <c r="F23" s="24">
        <f>'08 - 2020'!C29-'08 - 2020'!C28</f>
        <v>0</v>
      </c>
      <c r="G23" s="22">
        <v>0.11799999999999999</v>
      </c>
      <c r="H23" s="24">
        <f>'08 - 2020'!E29-'08 - 2020'!E28</f>
        <v>0</v>
      </c>
      <c r="I23" s="24">
        <f>'08 - 2020'!F29-'08 - 2020'!F28</f>
        <v>0</v>
      </c>
      <c r="J23" s="24">
        <f>'08 - 2020'!G29-'08 - 2020'!G28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0</v>
      </c>
      <c r="F24" s="24">
        <f>'08 - 2020'!C30-'08 - 2020'!C29</f>
        <v>0</v>
      </c>
      <c r="G24" s="22">
        <v>0.11799999999999999</v>
      </c>
      <c r="H24" s="24">
        <f>'08 - 2020'!E30-'08 - 2020'!E29</f>
        <v>0</v>
      </c>
      <c r="I24" s="24">
        <f>'08 - 2020'!F30-'08 - 2020'!F29</f>
        <v>0</v>
      </c>
      <c r="J24" s="24">
        <f>'08 - 2020'!G30-'08 - 2020'!G29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0</v>
      </c>
      <c r="F25" s="24">
        <f>'08 - 2020'!C31-'08 - 2020'!C30</f>
        <v>0</v>
      </c>
      <c r="G25" s="22">
        <v>0.11799999999999999</v>
      </c>
      <c r="H25" s="24">
        <f>'08 - 2020'!E31-'08 - 2020'!E30</f>
        <v>0</v>
      </c>
      <c r="I25" s="24">
        <f>'08 - 2020'!F31-'08 - 2020'!F30</f>
        <v>0</v>
      </c>
      <c r="J25" s="24">
        <f>'08 - 2020'!G31-'08 - 2020'!G30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0</v>
      </c>
      <c r="F26" s="24">
        <f>'08 - 2020'!C32-'08 - 2020'!C31</f>
        <v>0</v>
      </c>
      <c r="G26" s="22">
        <v>0.11799999999999999</v>
      </c>
      <c r="H26" s="24">
        <f>'08 - 2020'!E32-'08 - 2020'!E31</f>
        <v>0</v>
      </c>
      <c r="I26" s="24">
        <f>'08 - 2020'!F32-'08 - 2020'!F31</f>
        <v>0</v>
      </c>
      <c r="J26" s="24">
        <f>'08 - 2020'!G32-'08 - 2020'!G31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0</v>
      </c>
      <c r="F27" s="24">
        <f>'08 - 2020'!C33-'08 - 2020'!C32</f>
        <v>0</v>
      </c>
      <c r="G27" s="22">
        <v>0.11799999999999999</v>
      </c>
      <c r="H27" s="24">
        <f>'08 - 2020'!E33-'08 - 2020'!E32</f>
        <v>0</v>
      </c>
      <c r="I27" s="24">
        <f>'08 - 2020'!F33-'08 - 2020'!F32</f>
        <v>0</v>
      </c>
      <c r="J27" s="24">
        <f>'08 - 2020'!G33-'08 - 2020'!G32</f>
        <v>0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0</v>
      </c>
      <c r="F28" s="24">
        <f>'08 - 2020'!C34-'08 - 2020'!C33</f>
        <v>0</v>
      </c>
      <c r="G28" s="22">
        <v>0.11799999999999999</v>
      </c>
      <c r="H28" s="24">
        <f>'08 - 2020'!E34-'08 - 2020'!E33</f>
        <v>0</v>
      </c>
      <c r="I28" s="24">
        <f>'08 - 2020'!F34-'08 - 2020'!F33</f>
        <v>0</v>
      </c>
      <c r="J28" s="24">
        <f>'08 - 2020'!G34-'08 - 2020'!G33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0</v>
      </c>
      <c r="F29" s="24">
        <f>'08 - 2020'!C35-'08 - 2020'!C34</f>
        <v>0</v>
      </c>
      <c r="G29" s="22">
        <v>0.11799999999999999</v>
      </c>
      <c r="H29" s="24">
        <f>'08 - 2020'!E35-'08 - 2020'!E34</f>
        <v>0</v>
      </c>
      <c r="I29" s="24">
        <f>'08 - 2020'!F35-'08 - 2020'!F34</f>
        <v>0</v>
      </c>
      <c r="J29" s="24">
        <f>'08 - 2020'!G35-'08 - 2020'!G34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0</v>
      </c>
      <c r="F30" s="24">
        <f>'08 - 2020'!C36-'08 - 2020'!C35</f>
        <v>0</v>
      </c>
      <c r="G30" s="22">
        <v>0.11799999999999999</v>
      </c>
      <c r="H30" s="24">
        <f>'08 - 2020'!E36-'08 - 2020'!E35</f>
        <v>0</v>
      </c>
      <c r="I30" s="24">
        <f>'08 - 2020'!F36-'08 - 2020'!F35</f>
        <v>0</v>
      </c>
      <c r="J30" s="24">
        <f>'08 - 2020'!G36-'08 - 2020'!G35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0</v>
      </c>
      <c r="F31" s="24">
        <f>'08 - 2020'!C37-'08 - 2020'!C36</f>
        <v>0</v>
      </c>
      <c r="G31" s="22">
        <v>0.11799999999999999</v>
      </c>
      <c r="H31" s="24">
        <f>'08 - 2020'!E37-'08 - 2020'!E36</f>
        <v>0</v>
      </c>
      <c r="I31" s="24">
        <f>'08 - 2020'!F37-'08 - 2020'!F36</f>
        <v>0</v>
      </c>
      <c r="J31" s="24">
        <f>'08 - 2020'!G37-'08 - 2020'!G36</f>
        <v>0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0</v>
      </c>
      <c r="F32" s="24">
        <f>'08 - 2020'!C38-'08 - 2020'!C37</f>
        <v>0</v>
      </c>
      <c r="G32" s="22">
        <v>0.11799999999999999</v>
      </c>
      <c r="H32" s="24">
        <f>'08 - 2020'!E38-'08 - 2020'!E37</f>
        <v>0</v>
      </c>
      <c r="I32" s="24">
        <f>'08 - 2020'!F38-'08 - 2020'!F37</f>
        <v>0</v>
      </c>
      <c r="J32" s="24">
        <f>'08 - 2020'!G38-'08 - 2020'!G37</f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G9" sqref="G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/>
      <c r="C10" s="15"/>
      <c r="D10" s="16"/>
      <c r="E10" s="21"/>
      <c r="F10" s="21"/>
      <c r="G10" s="21"/>
      <c r="H10" s="19"/>
      <c r="I10" s="15"/>
      <c r="J10" s="61"/>
      <c r="K10" s="18"/>
      <c r="L10" s="30"/>
      <c r="M10" s="46"/>
    </row>
    <row r="11" spans="1:15" ht="12.75" customHeight="1" x14ac:dyDescent="0.25">
      <c r="A11" s="45">
        <v>44047</v>
      </c>
      <c r="B11" s="15"/>
      <c r="C11" s="15"/>
      <c r="D11" s="16"/>
      <c r="E11" s="21"/>
      <c r="F11" s="21"/>
      <c r="G11" s="21"/>
      <c r="H11" s="19"/>
      <c r="I11" s="15"/>
      <c r="J11" s="15"/>
      <c r="K11" s="18"/>
      <c r="L11" s="30"/>
      <c r="M11" s="46"/>
    </row>
    <row r="12" spans="1:15" ht="12.75" customHeight="1" x14ac:dyDescent="0.25">
      <c r="A12" s="45">
        <v>44048</v>
      </c>
      <c r="B12" s="15"/>
      <c r="C12" s="15"/>
      <c r="D12" s="16"/>
      <c r="E12" s="21"/>
      <c r="F12" s="21"/>
      <c r="G12" s="21"/>
      <c r="H12" s="15"/>
      <c r="I12" s="15"/>
      <c r="J12" s="15"/>
      <c r="K12" s="18"/>
      <c r="L12" s="30"/>
      <c r="M12" s="46"/>
    </row>
    <row r="13" spans="1:15" ht="12.75" customHeight="1" x14ac:dyDescent="0.25">
      <c r="A13" s="45">
        <v>44049</v>
      </c>
      <c r="B13" s="15"/>
      <c r="C13" s="15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v>44050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44051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44052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44053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44054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44055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44056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44057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44058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44059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44060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44061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44062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44063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44064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44065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44066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44067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44068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44069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44070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44071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44072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44073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-747680</v>
      </c>
      <c r="C39" s="33">
        <f>C36-C7</f>
        <v>-1116307</v>
      </c>
      <c r="D39" s="33">
        <v>0</v>
      </c>
      <c r="E39" s="33">
        <f t="shared" ref="E39:J39" si="0">E36-E7</f>
        <v>-11345.99</v>
      </c>
      <c r="F39" s="33">
        <f t="shared" si="0"/>
        <v>-2189.85</v>
      </c>
      <c r="G39" s="33">
        <f t="shared" si="0"/>
        <v>-20199.349999999999</v>
      </c>
      <c r="H39" s="33">
        <f t="shared" si="0"/>
        <v>-14528</v>
      </c>
      <c r="I39" s="33">
        <f t="shared" si="0"/>
        <v>-95704</v>
      </c>
      <c r="J39" s="33">
        <f t="shared" si="0"/>
        <v>-39962872</v>
      </c>
      <c r="K39" s="33">
        <f>SUM(K7:K38)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-21051913.175999999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2020-08-02T05:57:48Z</dcterms:modified>
</cp:coreProperties>
</file>