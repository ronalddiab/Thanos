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4A8D0A80-B099-4311-AC28-83556ECB2308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M33" i="3" s="1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<sst xmlns="http://schemas.openxmlformats.org/spreadsheetml/2006/main" count="203" uniqueCount="130">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</sst>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-267320</c:v>
                </c:pt>
                <c:pt idx="3">
                  <c:v>-1016150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-58917</c:v>
                </c:pt>
                <c:pt idx="1">
                  <c:v>0.30284043012521333</c:v>
                </c:pt>
                <c:pt idx="2" formatCode="_(* #,##0.00_);_(* \(#,##0.00\);_(* &quot;-&quot;??_);_(@_)">
                  <c:v>-223914</c:v>
                </c:pt>
                <c:pt idx="3">
                  <c:v>1.1509447539938731</c:v>
                </c:pt>
                <c:pt idx="4" formatCode="0.00">
                  <c:v>-28709</c:v>
                </c:pt>
                <c:pt idx="5">
                  <c:v>0.14756769537594835</c:v>
                </c:pt>
                <c:pt idx="6" formatCode="0.00">
                  <c:v>-39838</c:v>
                </c:pt>
                <c:pt idx="7">
                  <c:v>0.20477208709418757</c:v>
                </c:pt>
                <c:pt idx="8" formatCode="0.00">
                  <c:v>-7085</c:v>
                </c:pt>
                <c:pt idx="9">
                  <c:v>3.6417747805168904E-2</c:v>
                </c:pt>
                <c:pt idx="10" formatCode="0.00">
                  <c:v>-1139</c:v>
                </c:pt>
                <c:pt idx="11">
                  <c:v>5.854596295001748E-3</c:v>
                </c:pt>
                <c:pt idx="12" formatCode="0.00">
                  <c:v>-8105</c:v>
                </c:pt>
                <c:pt idx="13">
                  <c:v>4.166066986039435E-2</c:v>
                </c:pt>
                <c:pt idx="14" formatCode="_(* #,##0.00_);_(* \(#,##0.00\);_(* &quot;-&quot;??_);_(@_)">
                  <c:v>-26193</c:v>
                </c:pt>
                <c:pt idx="15">
                  <c:v>0.13463515430639225</c:v>
                </c:pt>
                <c:pt idx="16" formatCode="0.00">
                  <c:v>-1850</c:v>
                </c:pt>
                <c:pt idx="17">
                  <c:v>9.5092213746736029E-3</c:v>
                </c:pt>
                <c:pt idx="18" formatCode="0.00">
                  <c:v>-7085</c:v>
                </c:pt>
                <c:pt idx="19">
                  <c:v>3.6417747805168904E-2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-194548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-402835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506432"/>
        <c:axId val="225507968"/>
      </c:barChart>
      <c:catAx>
        <c:axId val="225506432"/>
        <c:scaling>
          <c:orientation val="minMax"/>
        </c:scaling>
        <c:delete val="1"/>
        <c:axPos val="b"/>
        <c:majorTickMark val="none"/>
        <c:minorTickMark val="none"/>
        <c:tickLblPos val="nextTo"/>
        <c:crossAx val="225507968"/>
        <c:crosses val="autoZero"/>
        <c:auto val="1"/>
        <c:lblAlgn val="ctr"/>
        <c:lblOffset val="100"/>
        <c:noMultiLvlLbl val="0"/>
      </c:catAx>
      <c:valAx>
        <c:axId val="22550796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5506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31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0.18</v>
      </c>
      <c r="G2" s="104">
        <v>5666</v>
      </c>
      <c r="H2" s="117">
        <v>0.63500000000000001</v>
      </c>
      <c r="I2" s="63">
        <v>319</v>
      </c>
      <c r="J2" s="73">
        <v>1.8</v>
      </c>
      <c r="K2" s="101"/>
      <c r="L2" s="73">
        <v>0.9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>
        <v>21749.999999999316</v>
      </c>
      <c r="F3" s="120">
        <v>0.18</v>
      </c>
      <c r="G3" s="104">
        <v>5777</v>
      </c>
      <c r="H3" s="117">
        <v>0.63500000000000001</v>
      </c>
      <c r="I3" s="63">
        <v>377</v>
      </c>
      <c r="J3" s="73">
        <v>1.8</v>
      </c>
      <c r="K3" s="101"/>
      <c r="L3" s="73">
        <v>0.9</v>
      </c>
      <c r="M3" s="69">
        <v>31</v>
      </c>
      <c r="N3" s="69">
        <v>84</v>
      </c>
      <c r="O3" s="69">
        <v>233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>
        <v>22360.000000001266</v>
      </c>
      <c r="F4" s="120">
        <v>0.18</v>
      </c>
      <c r="G4" s="104">
        <v>5967</v>
      </c>
      <c r="H4" s="117">
        <v>0.63500000000000001</v>
      </c>
      <c r="I4" s="63">
        <v>468</v>
      </c>
      <c r="J4" s="73">
        <v>1.8</v>
      </c>
      <c r="K4" s="101"/>
      <c r="L4" s="73">
        <v>0.9</v>
      </c>
      <c r="M4" s="69">
        <v>37</v>
      </c>
      <c r="N4" s="69">
        <v>100</v>
      </c>
      <c r="O4" s="69">
        <v>267</v>
      </c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>
        <v>22200.000000000273</v>
      </c>
      <c r="F5" s="120">
        <v>0.18</v>
      </c>
      <c r="G5" s="104">
        <v>5887</v>
      </c>
      <c r="H5" s="117">
        <v>0.63500000000000001</v>
      </c>
      <c r="I5" s="63">
        <v>461</v>
      </c>
      <c r="J5" s="73">
        <v>1.8</v>
      </c>
      <c r="K5" s="101"/>
      <c r="L5" s="73">
        <v>0.9</v>
      </c>
      <c r="M5" s="69">
        <v>42</v>
      </c>
      <c r="N5" s="69">
        <v>105</v>
      </c>
      <c r="O5" s="69">
        <v>294</v>
      </c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>
        <v>20259.999999998399</v>
      </c>
      <c r="F6" s="120">
        <v>0.18</v>
      </c>
      <c r="G6" s="104">
        <v>5576</v>
      </c>
      <c r="H6" s="117">
        <v>0.63500000000000001</v>
      </c>
      <c r="I6" s="63">
        <v>484</v>
      </c>
      <c r="J6" s="73">
        <v>1.8</v>
      </c>
      <c r="K6" s="101"/>
      <c r="L6" s="73">
        <v>0.9</v>
      </c>
      <c r="M6" s="69">
        <v>40</v>
      </c>
      <c r="N6" s="69">
        <v>96</v>
      </c>
      <c r="O6" s="69">
        <v>289</v>
      </c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>
        <v>24270.000000000891</v>
      </c>
      <c r="F7" s="120">
        <v>0.18</v>
      </c>
      <c r="G7" s="104">
        <v>6519</v>
      </c>
      <c r="H7" s="117">
        <v>0.63500000000000001</v>
      </c>
      <c r="I7" s="63">
        <v>462</v>
      </c>
      <c r="J7" s="73">
        <v>1.8</v>
      </c>
      <c r="K7" s="101"/>
      <c r="L7" s="73">
        <v>0.9</v>
      </c>
      <c r="M7" s="69">
        <v>40</v>
      </c>
      <c r="N7" s="69">
        <v>90</v>
      </c>
      <c r="O7" s="69">
        <v>276</v>
      </c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>
        <v>20169.999999999389</v>
      </c>
      <c r="F8" s="120">
        <v>0.18</v>
      </c>
      <c r="G8" s="104">
        <v>5796</v>
      </c>
      <c r="H8" s="117">
        <v>0.63500000000000001</v>
      </c>
      <c r="I8" s="63">
        <v>343</v>
      </c>
      <c r="J8" s="73">
        <v>1.8</v>
      </c>
      <c r="K8" s="101"/>
      <c r="L8" s="73">
        <v>0.9</v>
      </c>
      <c r="M8" s="69">
        <v>36</v>
      </c>
      <c r="N8" s="69">
        <v>83</v>
      </c>
      <c r="O8" s="69">
        <v>254</v>
      </c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>
        <v>25770.000000000437</v>
      </c>
      <c r="F9" s="120">
        <v>0.18</v>
      </c>
      <c r="G9" s="104">
        <v>6360</v>
      </c>
      <c r="H9" s="117">
        <v>0.63500000000000001</v>
      </c>
      <c r="I9" s="63">
        <v>396</v>
      </c>
      <c r="J9" s="73">
        <v>1.8</v>
      </c>
      <c r="K9" s="101"/>
      <c r="L9" s="73">
        <v>0.9</v>
      </c>
      <c r="M9" s="69">
        <v>31</v>
      </c>
      <c r="N9" s="69">
        <v>72</v>
      </c>
      <c r="O9" s="69">
        <v>209</v>
      </c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>
        <v>21809.999999999716</v>
      </c>
      <c r="F10" s="120">
        <v>0.18</v>
      </c>
      <c r="G10" s="104">
        <v>5933</v>
      </c>
      <c r="H10" s="117">
        <v>0.63500000000000001</v>
      </c>
      <c r="I10" s="63">
        <v>417</v>
      </c>
      <c r="J10" s="73">
        <v>1.8</v>
      </c>
      <c r="K10" s="101"/>
      <c r="L10" s="73">
        <v>0.9</v>
      </c>
      <c r="M10" s="69">
        <v>29</v>
      </c>
      <c r="N10" s="69">
        <v>65</v>
      </c>
      <c r="O10" s="69">
        <v>191</v>
      </c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>
        <v>21080.000000000153</v>
      </c>
      <c r="F11" s="120">
        <v>0.18</v>
      </c>
      <c r="G11" s="104">
        <v>5474</v>
      </c>
      <c r="H11" s="117">
        <v>0.63500000000000001</v>
      </c>
      <c r="I11" s="63">
        <v>368</v>
      </c>
      <c r="J11" s="73">
        <v>1.8</v>
      </c>
      <c r="K11" s="101"/>
      <c r="L11" s="73">
        <v>0.9</v>
      </c>
      <c r="M11" s="69">
        <v>29</v>
      </c>
      <c r="N11" s="69">
        <v>73</v>
      </c>
      <c r="O11" s="69">
        <v>203</v>
      </c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>
        <v>20149.999999999862</v>
      </c>
      <c r="F12" s="120">
        <v>0.18</v>
      </c>
      <c r="G12" s="104">
        <v>5375</v>
      </c>
      <c r="H12" s="117">
        <v>0.63500000000000001</v>
      </c>
      <c r="I12" s="63">
        <v>353</v>
      </c>
      <c r="J12" s="73">
        <v>1.8</v>
      </c>
      <c r="K12" s="101"/>
      <c r="L12" s="73">
        <v>0.9</v>
      </c>
      <c r="M12" s="69">
        <v>31</v>
      </c>
      <c r="N12" s="69">
        <v>83</v>
      </c>
      <c r="O12" s="69">
        <v>228</v>
      </c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>
        <v>20259.999999999993</v>
      </c>
      <c r="F13" s="120">
        <v>0.18</v>
      </c>
      <c r="G13" s="104">
        <v>5193</v>
      </c>
      <c r="H13" s="117">
        <v>0.63500000000000001</v>
      </c>
      <c r="I13" s="63">
        <v>360</v>
      </c>
      <c r="J13" s="73">
        <v>1.8</v>
      </c>
      <c r="K13" s="101"/>
      <c r="L13" s="73">
        <v>0.9</v>
      </c>
      <c r="M13" s="69">
        <v>36</v>
      </c>
      <c r="N13" s="69">
        <v>104</v>
      </c>
      <c r="O13" s="69">
        <v>231</v>
      </c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>
        <v>20889.999999998734</v>
      </c>
      <c r="F14" s="120">
        <v>0.18</v>
      </c>
      <c r="G14" s="104">
        <v>5544</v>
      </c>
      <c r="H14" s="117">
        <v>0.63500000000000001</v>
      </c>
      <c r="I14" s="63">
        <v>390</v>
      </c>
      <c r="J14" s="73">
        <v>1.8</v>
      </c>
      <c r="K14" s="101"/>
      <c r="L14" s="73">
        <v>0.9</v>
      </c>
      <c r="M14" s="69">
        <v>54</v>
      </c>
      <c r="N14" s="69">
        <v>150</v>
      </c>
      <c r="O14" s="69">
        <v>315</v>
      </c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>
        <v>22300.000000001091</v>
      </c>
      <c r="F15" s="120">
        <v>0.18</v>
      </c>
      <c r="G15" s="104">
        <v>5792</v>
      </c>
      <c r="H15" s="117">
        <v>0.63500000000000001</v>
      </c>
      <c r="I15" s="63">
        <v>371</v>
      </c>
      <c r="J15" s="73">
        <v>1.8</v>
      </c>
      <c r="K15" s="101"/>
      <c r="L15" s="73">
        <v>0.9</v>
      </c>
      <c r="M15" s="69">
        <v>55</v>
      </c>
      <c r="N15" s="69">
        <v>147</v>
      </c>
      <c r="O15" s="69">
        <v>351</v>
      </c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>
        <v>22360.000000000582</v>
      </c>
      <c r="F16" s="120">
        <v>0.18</v>
      </c>
      <c r="G16" s="104">
        <v>6029</v>
      </c>
      <c r="H16" s="117">
        <v>0.63500000000000001</v>
      </c>
      <c r="I16" s="63">
        <v>354</v>
      </c>
      <c r="J16" s="73">
        <v>1.8</v>
      </c>
      <c r="K16" s="101"/>
      <c r="L16" s="73">
        <v>0.9</v>
      </c>
      <c r="M16" s="69">
        <v>65</v>
      </c>
      <c r="N16" s="69">
        <v>169</v>
      </c>
      <c r="O16" s="69">
        <v>415</v>
      </c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>
        <v>23420.000000000073</v>
      </c>
      <c r="F17" s="120">
        <v>0.18</v>
      </c>
      <c r="G17" s="104">
        <v>6477</v>
      </c>
      <c r="H17" s="117">
        <v>0.63500000000000001</v>
      </c>
      <c r="I17" s="63">
        <v>392</v>
      </c>
      <c r="J17" s="73">
        <v>1.8</v>
      </c>
      <c r="K17" s="101"/>
      <c r="L17" s="73">
        <v>0.9</v>
      </c>
      <c r="M17" s="69">
        <v>74</v>
      </c>
      <c r="N17" s="69">
        <v>201</v>
      </c>
      <c r="O17" s="69">
        <v>555</v>
      </c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>
        <v>22370.0000000008</v>
      </c>
      <c r="F18" s="120">
        <v>0.18</v>
      </c>
      <c r="G18" s="104">
        <v>5828</v>
      </c>
      <c r="H18" s="117">
        <v>0.63500000000000001</v>
      </c>
      <c r="I18" s="63">
        <v>421</v>
      </c>
      <c r="J18" s="73">
        <v>1.8</v>
      </c>
      <c r="K18" s="101"/>
      <c r="L18" s="73">
        <v>0.9</v>
      </c>
      <c r="M18" s="69">
        <v>70</v>
      </c>
      <c r="N18" s="69">
        <v>185</v>
      </c>
      <c r="O18" s="69">
        <v>502</v>
      </c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>
        <v>23879.99999999829</v>
      </c>
      <c r="F19" s="120">
        <v>0.18</v>
      </c>
      <c r="G19" s="104">
        <v>6395</v>
      </c>
      <c r="H19" s="117">
        <v>0.63500000000000001</v>
      </c>
      <c r="I19" s="63">
        <v>470</v>
      </c>
      <c r="J19" s="73">
        <v>1.8</v>
      </c>
      <c r="K19" s="101"/>
      <c r="L19" s="73">
        <v>0.9</v>
      </c>
      <c r="M19" s="69">
        <v>57</v>
      </c>
      <c r="N19" s="69">
        <v>156</v>
      </c>
      <c r="O19" s="69">
        <v>424</v>
      </c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>
        <v>24589.99999999992</v>
      </c>
      <c r="F20" s="120">
        <v>0.18</v>
      </c>
      <c r="G20" s="104">
        <v>6548</v>
      </c>
      <c r="H20" s="117">
        <v>0.63500000000000001</v>
      </c>
      <c r="I20" s="63">
        <v>469</v>
      </c>
      <c r="J20" s="73">
        <v>1.8</v>
      </c>
      <c r="K20" s="101"/>
      <c r="L20" s="73">
        <v>0.9</v>
      </c>
      <c r="M20" s="69">
        <v>52</v>
      </c>
      <c r="N20" s="69">
        <v>150</v>
      </c>
      <c r="O20" s="69">
        <v>427</v>
      </c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>
        <v>24680.000000000065</v>
      </c>
      <c r="F21" s="120">
        <v>0.18</v>
      </c>
      <c r="G21" s="104">
        <v>6492</v>
      </c>
      <c r="H21" s="117">
        <v>0.63500000000000001</v>
      </c>
      <c r="I21" s="63">
        <v>384</v>
      </c>
      <c r="J21" s="73">
        <v>1.8</v>
      </c>
      <c r="K21" s="101"/>
      <c r="L21" s="73">
        <v>0.9</v>
      </c>
      <c r="M21" s="69">
        <v>59</v>
      </c>
      <c r="N21" s="69">
        <v>170</v>
      </c>
      <c r="O21" s="69">
        <v>460</v>
      </c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>
        <v>23709.999999999807</v>
      </c>
      <c r="F22" s="120">
        <v>0.18</v>
      </c>
      <c r="G22" s="104">
        <v>6383</v>
      </c>
      <c r="H22" s="117">
        <v>0.63500000000000001</v>
      </c>
      <c r="I22" s="63">
        <v>449</v>
      </c>
      <c r="J22" s="73">
        <v>1.8</v>
      </c>
      <c r="K22" s="101"/>
      <c r="L22" s="73">
        <v>0.9</v>
      </c>
      <c r="M22" s="69">
        <v>55</v>
      </c>
      <c r="N22" s="69">
        <v>158</v>
      </c>
      <c r="O22" s="69">
        <v>402</v>
      </c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>
        <v>25000.000000000455</v>
      </c>
      <c r="F23" s="120">
        <v>0.18</v>
      </c>
      <c r="G23" s="104">
        <v>6698</v>
      </c>
      <c r="H23" s="117">
        <v>0.63500000000000001</v>
      </c>
      <c r="I23" s="63">
        <v>443</v>
      </c>
      <c r="J23" s="73">
        <v>1.8</v>
      </c>
      <c r="K23" s="101"/>
      <c r="L23" s="73">
        <v>0.9</v>
      </c>
      <c r="M23" s="69">
        <v>55</v>
      </c>
      <c r="N23" s="69">
        <v>161</v>
      </c>
      <c r="O23" s="69">
        <v>429</v>
      </c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>
        <v>24359.999999999902</v>
      </c>
      <c r="F24" s="120">
        <v>0.18</v>
      </c>
      <c r="G24" s="104">
        <v>6409</v>
      </c>
      <c r="H24" s="117">
        <v>0.63500000000000001</v>
      </c>
      <c r="I24" s="63">
        <v>451</v>
      </c>
      <c r="J24" s="73">
        <v>1.8</v>
      </c>
      <c r="K24" s="101"/>
      <c r="L24" s="73">
        <v>0.9</v>
      </c>
      <c r="M24" s="69">
        <v>54</v>
      </c>
      <c r="N24" s="69">
        <v>153</v>
      </c>
      <c r="O24" s="69">
        <v>408</v>
      </c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>
        <v>23810.000000000851</v>
      </c>
      <c r="F25" s="120">
        <v>0.18</v>
      </c>
      <c r="G25" s="104">
        <v>6353</v>
      </c>
      <c r="H25" s="117">
        <v>0.63500000000000001</v>
      </c>
      <c r="I25" s="63">
        <v>472</v>
      </c>
      <c r="J25" s="73">
        <v>1.8</v>
      </c>
      <c r="K25" s="101"/>
      <c r="L25" s="73">
        <v>0.9</v>
      </c>
      <c r="M25" s="69">
        <v>58</v>
      </c>
      <c r="N25" s="69">
        <v>161</v>
      </c>
      <c r="O25" s="69">
        <v>417</v>
      </c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>
        <v>22589.999999997872</v>
      </c>
      <c r="F26" s="120">
        <v>0.18</v>
      </c>
      <c r="G26" s="104">
        <v>6230</v>
      </c>
      <c r="H26" s="117">
        <v>0.63500000000000001</v>
      </c>
      <c r="I26" s="63">
        <v>458</v>
      </c>
      <c r="J26" s="73">
        <v>1.8</v>
      </c>
      <c r="K26" s="101"/>
      <c r="L26" s="73">
        <v>0.9</v>
      </c>
      <c r="M26" s="69">
        <v>62</v>
      </c>
      <c r="N26" s="69">
        <v>175</v>
      </c>
      <c r="O26" s="69">
        <v>468</v>
      </c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>
        <v>23730.000000000698</v>
      </c>
      <c r="F27" s="120">
        <v>0.18</v>
      </c>
      <c r="G27" s="104">
        <v>6383</v>
      </c>
      <c r="H27" s="117">
        <v>0.63500000000000001</v>
      </c>
      <c r="I27" s="63">
        <v>315</v>
      </c>
      <c r="J27" s="73">
        <v>1.8</v>
      </c>
      <c r="K27" s="101"/>
      <c r="L27" s="73">
        <v>0.9</v>
      </c>
      <c r="M27" s="69">
        <v>64</v>
      </c>
      <c r="N27" s="69">
        <v>178</v>
      </c>
      <c r="O27" s="69">
        <v>505</v>
      </c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>
        <v>24229.999999999789</v>
      </c>
      <c r="F28" s="120">
        <v>0.18</v>
      </c>
      <c r="G28" s="104">
        <v>6464</v>
      </c>
      <c r="H28" s="117">
        <v>0.63500000000000001</v>
      </c>
      <c r="I28" s="63">
        <v>402</v>
      </c>
      <c r="J28" s="73">
        <v>1.8</v>
      </c>
      <c r="K28" s="101"/>
      <c r="L28" s="73">
        <v>0.9</v>
      </c>
      <c r="M28" s="69">
        <v>74</v>
      </c>
      <c r="N28" s="69">
        <v>211</v>
      </c>
      <c r="O28" s="69">
        <v>653</v>
      </c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>
        <v>76</v>
      </c>
      <c r="N29" s="69">
        <v>212</v>
      </c>
      <c r="O29" s="69">
        <v>614</v>
      </c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>
        <v>78</v>
      </c>
      <c r="N30" s="69">
        <v>214</v>
      </c>
      <c r="O30" s="69">
        <v>590</v>
      </c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>
        <v>76</v>
      </c>
      <c r="N31" s="69">
        <v>211</v>
      </c>
      <c r="O31" s="69">
        <v>569</v>
      </c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613259.99999999825</v>
      </c>
      <c r="F33" s="97">
        <v>0</v>
      </c>
      <c r="G33" s="118">
        <f>SUM(G2:G32)</f>
        <v>163548</v>
      </c>
      <c r="H33" s="95">
        <v>0</v>
      </c>
      <c r="I33" s="96">
        <f>SUM(I2:I32)</f>
        <v>11049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1562</v>
      </c>
      <c r="N33" s="99">
        <f t="shared" si="1"/>
        <v>4223</v>
      </c>
      <c r="O33" s="99">
        <f t="shared" si="1"/>
        <v>11460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>
        <v>31</v>
      </c>
      <c r="W5" s="103">
        <v>84</v>
      </c>
      <c r="X5" s="103">
        <v>233</v>
      </c>
      <c r="Y5" s="17"/>
    </row>
    <row r="6" spans="1:25" ht="21" customHeight="1" x14ac:dyDescent="0.25">
      <c r="A6" s="8">
        <v>44533</v>
      </c>
      <c r="B6" s="108">
        <v>1.1758</v>
      </c>
      <c r="C6" s="109">
        <v>267.81</v>
      </c>
      <c r="D6" s="109">
        <v>7827908.8200000003</v>
      </c>
      <c r="E6" s="109">
        <v>8635757.3100000005</v>
      </c>
      <c r="F6" s="109">
        <v>2.7654999999999998</v>
      </c>
      <c r="G6" s="109">
        <v>876.67</v>
      </c>
      <c r="H6" s="109">
        <v>723.19</v>
      </c>
      <c r="I6" s="109">
        <v>279.64</v>
      </c>
      <c r="J6" s="109">
        <v>365.2</v>
      </c>
      <c r="K6" s="109">
        <v>386.94</v>
      </c>
      <c r="L6" s="109">
        <v>265.95999999999998</v>
      </c>
      <c r="M6" s="109">
        <v>636.41</v>
      </c>
      <c r="N6" s="109">
        <v>591.55999999999995</v>
      </c>
      <c r="O6" s="109">
        <v>183.1</v>
      </c>
      <c r="P6" s="109">
        <v>769.91</v>
      </c>
      <c r="Q6" s="109">
        <v>568.47</v>
      </c>
      <c r="R6" s="109">
        <v>190.15</v>
      </c>
      <c r="S6" s="109">
        <v>134.4</v>
      </c>
      <c r="T6" s="109">
        <v>492.39</v>
      </c>
      <c r="V6" s="103">
        <v>37</v>
      </c>
      <c r="W6" s="103">
        <v>100</v>
      </c>
      <c r="X6" s="103">
        <v>267</v>
      </c>
      <c r="Y6" s="17"/>
    </row>
    <row r="7" spans="1:25" ht="21" customHeight="1" x14ac:dyDescent="0.25">
      <c r="A7" s="8">
        <v>44534</v>
      </c>
      <c r="B7" s="108">
        <v>1.177</v>
      </c>
      <c r="C7" s="109">
        <v>268.06</v>
      </c>
      <c r="D7" s="109">
        <v>7829907.1699999999</v>
      </c>
      <c r="E7" s="109">
        <v>8638015.9499999993</v>
      </c>
      <c r="F7" s="109">
        <v>2.7681</v>
      </c>
      <c r="G7" s="109">
        <v>877.54</v>
      </c>
      <c r="H7" s="109">
        <v>724.13</v>
      </c>
      <c r="I7" s="109">
        <v>279.89</v>
      </c>
      <c r="J7" s="109">
        <v>365.64</v>
      </c>
      <c r="K7" s="109">
        <v>387.27</v>
      </c>
      <c r="L7" s="109">
        <v>266.14999999999998</v>
      </c>
      <c r="M7" s="109">
        <v>637.19000000000005</v>
      </c>
      <c r="N7" s="109">
        <v>592.39</v>
      </c>
      <c r="O7" s="109">
        <v>183.25</v>
      </c>
      <c r="P7" s="109">
        <v>770.56</v>
      </c>
      <c r="Q7" s="109">
        <v>569.14</v>
      </c>
      <c r="R7" s="109">
        <v>190.15</v>
      </c>
      <c r="S7" s="109">
        <v>134.54</v>
      </c>
      <c r="T7" s="109">
        <v>492.67</v>
      </c>
      <c r="V7" s="103">
        <v>42</v>
      </c>
      <c r="W7" s="103">
        <v>105</v>
      </c>
      <c r="X7" s="103">
        <v>294</v>
      </c>
      <c r="Y7" s="17"/>
    </row>
    <row r="8" spans="1:25" ht="21" customHeight="1" x14ac:dyDescent="0.25">
      <c r="A8" s="8">
        <v>44535</v>
      </c>
      <c r="B8" s="108">
        <v>1.1780999999999999</v>
      </c>
      <c r="C8" s="109">
        <v>268.3</v>
      </c>
      <c r="D8" s="109">
        <v>7831935.8499999996</v>
      </c>
      <c r="E8" s="109">
        <v>8640580.5899999999</v>
      </c>
      <c r="F8" s="109">
        <v>2.7707000000000002</v>
      </c>
      <c r="G8" s="109">
        <v>878.47</v>
      </c>
      <c r="H8" s="109">
        <v>725.27</v>
      </c>
      <c r="I8" s="109">
        <v>280.12</v>
      </c>
      <c r="J8" s="109">
        <v>366.01</v>
      </c>
      <c r="K8" s="109">
        <v>387.59</v>
      </c>
      <c r="L8" s="109">
        <v>266.37</v>
      </c>
      <c r="M8" s="109">
        <v>637.9</v>
      </c>
      <c r="N8" s="109">
        <v>593.01</v>
      </c>
      <c r="O8" s="109">
        <v>183.43</v>
      </c>
      <c r="P8" s="109">
        <v>771.88</v>
      </c>
      <c r="Q8" s="109">
        <v>569.70000000000005</v>
      </c>
      <c r="R8" s="109">
        <v>190.15</v>
      </c>
      <c r="S8" s="109">
        <v>134.66</v>
      </c>
      <c r="T8" s="109">
        <v>493.22</v>
      </c>
      <c r="V8" s="103">
        <v>40</v>
      </c>
      <c r="W8" s="103">
        <v>96</v>
      </c>
      <c r="X8" s="103">
        <v>289</v>
      </c>
      <c r="Y8" s="17"/>
    </row>
    <row r="9" spans="1:25" ht="21" customHeight="1" x14ac:dyDescent="0.25">
      <c r="A9" s="8">
        <v>44536</v>
      </c>
      <c r="B9" s="110">
        <v>1.1792</v>
      </c>
      <c r="C9" s="111">
        <v>268.56</v>
      </c>
      <c r="D9" s="110">
        <v>7834077.46</v>
      </c>
      <c r="E9" s="112">
        <v>8643320.8599999994</v>
      </c>
      <c r="F9" s="111">
        <v>2.7732999999999999</v>
      </c>
      <c r="G9" s="110">
        <v>879.39</v>
      </c>
      <c r="H9" s="112">
        <v>726.36</v>
      </c>
      <c r="I9" s="112">
        <v>280.37</v>
      </c>
      <c r="J9" s="109">
        <v>366.41</v>
      </c>
      <c r="K9" s="109">
        <v>387.93</v>
      </c>
      <c r="L9" s="109">
        <v>266.60000000000002</v>
      </c>
      <c r="M9" s="109">
        <v>638.6</v>
      </c>
      <c r="N9" s="109">
        <v>593.54</v>
      </c>
      <c r="O9" s="109">
        <v>183.67</v>
      </c>
      <c r="P9" s="109">
        <v>772.92</v>
      </c>
      <c r="Q9" s="109">
        <v>570.30999999999995</v>
      </c>
      <c r="R9" s="109">
        <v>190.15</v>
      </c>
      <c r="S9" s="109">
        <v>134.9</v>
      </c>
      <c r="T9" s="109">
        <v>493.75</v>
      </c>
      <c r="V9" s="103">
        <v>40</v>
      </c>
      <c r="W9" s="103">
        <v>90</v>
      </c>
      <c r="X9" s="103">
        <v>276</v>
      </c>
      <c r="Y9" s="17"/>
    </row>
    <row r="10" spans="1:25" ht="21" customHeight="1" x14ac:dyDescent="0.25">
      <c r="A10" s="8">
        <v>44537</v>
      </c>
      <c r="B10" s="106">
        <v>1.1802999999999999</v>
      </c>
      <c r="C10" s="107">
        <v>268.79000000000002</v>
      </c>
      <c r="D10" s="107">
        <v>7836087.2199999997</v>
      </c>
      <c r="E10" s="107">
        <v>8645890.3200000003</v>
      </c>
      <c r="F10" s="107">
        <v>2.7759</v>
      </c>
      <c r="G10" s="107">
        <v>880.35</v>
      </c>
      <c r="H10" s="107">
        <v>727.31</v>
      </c>
      <c r="I10" s="107">
        <v>280.62</v>
      </c>
      <c r="J10" s="109">
        <v>366.79</v>
      </c>
      <c r="K10" s="109">
        <v>388.3</v>
      </c>
      <c r="L10" s="109">
        <v>266.82</v>
      </c>
      <c r="M10" s="109">
        <v>639.27</v>
      </c>
      <c r="N10" s="109">
        <v>594.14</v>
      </c>
      <c r="O10" s="109">
        <v>183.9</v>
      </c>
      <c r="P10" s="109">
        <v>773.94</v>
      </c>
      <c r="Q10" s="109">
        <v>570.98</v>
      </c>
      <c r="R10" s="109">
        <v>190.15</v>
      </c>
      <c r="S10" s="109">
        <v>134.91999999999999</v>
      </c>
      <c r="T10" s="109">
        <v>494.28</v>
      </c>
      <c r="V10" s="103">
        <v>36</v>
      </c>
      <c r="W10" s="103">
        <v>83</v>
      </c>
      <c r="X10" s="103">
        <v>254</v>
      </c>
      <c r="Y10" s="17"/>
    </row>
    <row r="11" spans="1:25" ht="21" customHeight="1" x14ac:dyDescent="0.25">
      <c r="A11" s="8">
        <v>44538</v>
      </c>
      <c r="B11" s="108">
        <v>1.1814</v>
      </c>
      <c r="C11" s="109">
        <v>269.06</v>
      </c>
      <c r="D11" s="109">
        <v>7838074.8200000003</v>
      </c>
      <c r="E11" s="109">
        <v>8648276.4299999997</v>
      </c>
      <c r="F11" s="109">
        <v>2.7785000000000002</v>
      </c>
      <c r="G11" s="109">
        <v>881.33</v>
      </c>
      <c r="H11" s="109">
        <v>728.39</v>
      </c>
      <c r="I11" s="109">
        <v>280.89</v>
      </c>
      <c r="J11" s="109">
        <v>367.24</v>
      </c>
      <c r="K11" s="109">
        <v>388.66</v>
      </c>
      <c r="L11" s="109">
        <v>267.02999999999997</v>
      </c>
      <c r="M11" s="109">
        <v>639.95000000000005</v>
      </c>
      <c r="N11" s="109">
        <v>594.79999999999995</v>
      </c>
      <c r="O11" s="109">
        <v>184.12</v>
      </c>
      <c r="P11" s="109">
        <v>775.05</v>
      </c>
      <c r="Q11" s="109">
        <v>571.63</v>
      </c>
      <c r="R11" s="109">
        <v>190.15</v>
      </c>
      <c r="S11" s="109">
        <v>135.05000000000001</v>
      </c>
      <c r="T11" s="109">
        <v>494.8</v>
      </c>
      <c r="V11" s="103">
        <v>31</v>
      </c>
      <c r="W11" s="103">
        <v>72</v>
      </c>
      <c r="X11" s="103">
        <v>209</v>
      </c>
      <c r="Y11" s="17"/>
    </row>
    <row r="12" spans="1:25" ht="21" customHeight="1" x14ac:dyDescent="0.25">
      <c r="A12" s="8">
        <v>44539</v>
      </c>
      <c r="B12" s="108">
        <v>1.1825000000000001</v>
      </c>
      <c r="C12" s="109">
        <v>269.33999999999997</v>
      </c>
      <c r="D12" s="109">
        <v>7839976.1699999999</v>
      </c>
      <c r="E12" s="109">
        <v>8650924.9800000004</v>
      </c>
      <c r="F12" s="109">
        <v>2.7810000000000001</v>
      </c>
      <c r="G12" s="109">
        <v>882.19</v>
      </c>
      <c r="H12" s="109">
        <v>729.49</v>
      </c>
      <c r="I12" s="109">
        <v>281.16000000000003</v>
      </c>
      <c r="J12" s="109">
        <v>367.64</v>
      </c>
      <c r="K12" s="109">
        <v>389.05</v>
      </c>
      <c r="L12" s="109">
        <v>267.26</v>
      </c>
      <c r="M12" s="109">
        <v>640.58000000000004</v>
      </c>
      <c r="N12" s="109">
        <v>595.45000000000005</v>
      </c>
      <c r="O12" s="109">
        <v>184.34</v>
      </c>
      <c r="P12" s="109">
        <v>776.04</v>
      </c>
      <c r="Q12" s="109">
        <v>572.29</v>
      </c>
      <c r="R12" s="109">
        <v>190.15</v>
      </c>
      <c r="S12" s="109">
        <v>135.16999999999999</v>
      </c>
      <c r="T12" s="109">
        <v>495.33</v>
      </c>
      <c r="V12" s="103">
        <v>29</v>
      </c>
      <c r="W12" s="103">
        <v>65</v>
      </c>
      <c r="X12" s="103">
        <v>191</v>
      </c>
      <c r="Y12" s="17"/>
    </row>
    <row r="13" spans="1:25" ht="21" customHeight="1" x14ac:dyDescent="0.25">
      <c r="A13" s="8">
        <v>44540</v>
      </c>
      <c r="B13" s="108">
        <v>1.1836</v>
      </c>
      <c r="C13" s="109">
        <v>269.60000000000002</v>
      </c>
      <c r="D13" s="109">
        <v>7841826.1600000001</v>
      </c>
      <c r="E13" s="109">
        <v>8653464.5099999998</v>
      </c>
      <c r="F13" s="109">
        <v>2.7835999999999999</v>
      </c>
      <c r="G13" s="109">
        <v>883</v>
      </c>
      <c r="H13" s="109">
        <v>730.54</v>
      </c>
      <c r="I13" s="109">
        <v>281.42</v>
      </c>
      <c r="J13" s="109">
        <v>367.99</v>
      </c>
      <c r="K13" s="109">
        <v>389.33</v>
      </c>
      <c r="L13" s="109">
        <v>267.45999999999998</v>
      </c>
      <c r="M13" s="109">
        <v>641.20000000000005</v>
      </c>
      <c r="N13" s="109">
        <v>596.12</v>
      </c>
      <c r="O13" s="109">
        <v>184.54</v>
      </c>
      <c r="P13" s="109">
        <v>776.97</v>
      </c>
      <c r="Q13" s="109">
        <v>572.94000000000005</v>
      </c>
      <c r="R13" s="109">
        <v>190.15</v>
      </c>
      <c r="S13" s="109">
        <v>135.30000000000001</v>
      </c>
      <c r="T13" s="109">
        <v>495.81</v>
      </c>
      <c r="V13" s="103">
        <v>29</v>
      </c>
      <c r="W13" s="103">
        <v>73</v>
      </c>
      <c r="X13" s="103">
        <v>203</v>
      </c>
      <c r="Y13" s="17"/>
    </row>
    <row r="14" spans="1:25" ht="21" customHeight="1" x14ac:dyDescent="0.25">
      <c r="A14" s="8">
        <v>44541</v>
      </c>
      <c r="B14" s="108">
        <v>1.1846000000000001</v>
      </c>
      <c r="C14" s="109">
        <v>269.88</v>
      </c>
      <c r="D14" s="109">
        <v>7843692.5899999999</v>
      </c>
      <c r="E14" s="109">
        <v>8655766.2400000002</v>
      </c>
      <c r="F14" s="109">
        <v>2.7862</v>
      </c>
      <c r="G14" s="109">
        <v>883.8</v>
      </c>
      <c r="H14" s="109">
        <v>731.68</v>
      </c>
      <c r="I14" s="109">
        <v>281.64999999999998</v>
      </c>
      <c r="J14" s="109">
        <v>368.35</v>
      </c>
      <c r="K14" s="109">
        <v>389.63</v>
      </c>
      <c r="L14" s="109">
        <v>267.68</v>
      </c>
      <c r="M14" s="109">
        <v>641.78</v>
      </c>
      <c r="N14" s="109">
        <v>596.76</v>
      </c>
      <c r="O14" s="109">
        <v>184.74</v>
      </c>
      <c r="P14" s="109">
        <v>777.88</v>
      </c>
      <c r="Q14" s="109">
        <v>573.54999999999995</v>
      </c>
      <c r="R14" s="109">
        <v>190.15</v>
      </c>
      <c r="S14" s="109">
        <v>135.41999999999999</v>
      </c>
      <c r="T14" s="109">
        <v>496.04</v>
      </c>
      <c r="V14" s="103">
        <v>31</v>
      </c>
      <c r="W14" s="103">
        <v>83</v>
      </c>
      <c r="X14" s="103">
        <v>228</v>
      </c>
      <c r="Y14" s="17"/>
    </row>
    <row r="15" spans="1:25" ht="21" customHeight="1" x14ac:dyDescent="0.25">
      <c r="A15" s="8">
        <v>44542</v>
      </c>
      <c r="B15" s="108">
        <v>1.1856</v>
      </c>
      <c r="C15" s="109">
        <v>270.14999999999998</v>
      </c>
      <c r="D15" s="109">
        <v>7845538.1200000001</v>
      </c>
      <c r="E15" s="109">
        <v>8658130.4100000001</v>
      </c>
      <c r="F15" s="109">
        <v>2.7888000000000002</v>
      </c>
      <c r="G15" s="109">
        <v>884.54</v>
      </c>
      <c r="H15" s="109">
        <v>732.69</v>
      </c>
      <c r="I15" s="109">
        <v>281.86</v>
      </c>
      <c r="J15" s="109">
        <v>368.84</v>
      </c>
      <c r="K15" s="109">
        <v>389.98</v>
      </c>
      <c r="L15" s="109">
        <v>267.92</v>
      </c>
      <c r="M15" s="109">
        <v>642.29999999999995</v>
      </c>
      <c r="N15" s="109">
        <v>597.22</v>
      </c>
      <c r="O15" s="109">
        <v>184.94</v>
      </c>
      <c r="P15" s="109">
        <v>778.64</v>
      </c>
      <c r="Q15" s="109">
        <v>574.13</v>
      </c>
      <c r="R15" s="109">
        <v>190.15</v>
      </c>
      <c r="S15" s="109">
        <v>135.58000000000001</v>
      </c>
      <c r="T15" s="109">
        <v>496.57</v>
      </c>
      <c r="V15" s="103">
        <v>36</v>
      </c>
      <c r="W15" s="103">
        <v>104</v>
      </c>
      <c r="X15" s="103">
        <v>231</v>
      </c>
      <c r="Y15" s="17"/>
    </row>
    <row r="16" spans="1:25" ht="21" customHeight="1" x14ac:dyDescent="0.25">
      <c r="A16" s="8">
        <v>44543</v>
      </c>
      <c r="B16" s="108">
        <v>1.1865000000000001</v>
      </c>
      <c r="C16" s="109">
        <v>270.43</v>
      </c>
      <c r="D16" s="109">
        <v>7847149.3899999997</v>
      </c>
      <c r="E16" s="109">
        <v>8660270.8699999992</v>
      </c>
      <c r="F16" s="109">
        <v>2.7913999999999999</v>
      </c>
      <c r="G16" s="109">
        <v>885.32</v>
      </c>
      <c r="H16" s="109">
        <v>733.63</v>
      </c>
      <c r="I16" s="109">
        <v>282.06</v>
      </c>
      <c r="J16" s="109">
        <v>369.33</v>
      </c>
      <c r="K16" s="109">
        <v>390.27</v>
      </c>
      <c r="L16" s="109">
        <v>268.16000000000003</v>
      </c>
      <c r="M16" s="109">
        <v>642.84</v>
      </c>
      <c r="N16" s="109">
        <v>597.63</v>
      </c>
      <c r="O16" s="109">
        <v>185.14</v>
      </c>
      <c r="P16" s="109">
        <v>779.34</v>
      </c>
      <c r="Q16" s="109">
        <v>574.62</v>
      </c>
      <c r="R16" s="109">
        <v>190.15</v>
      </c>
      <c r="S16" s="109">
        <v>135.72</v>
      </c>
      <c r="T16" s="109">
        <v>497.04</v>
      </c>
      <c r="V16" s="103">
        <v>54</v>
      </c>
      <c r="W16" s="103">
        <v>150</v>
      </c>
      <c r="X16" s="103">
        <v>315</v>
      </c>
      <c r="Y16" s="17"/>
    </row>
    <row r="17" spans="1:25" ht="21" customHeight="1" x14ac:dyDescent="0.25">
      <c r="A17" s="8">
        <v>44544</v>
      </c>
      <c r="B17" s="108">
        <v>1.1875</v>
      </c>
      <c r="C17" s="109">
        <v>270.70999999999998</v>
      </c>
      <c r="D17" s="109">
        <v>7849020.1100000003</v>
      </c>
      <c r="E17" s="109">
        <v>8662774.2400000002</v>
      </c>
      <c r="F17" s="109">
        <v>2.794</v>
      </c>
      <c r="G17" s="109">
        <v>886.1</v>
      </c>
      <c r="H17" s="109">
        <v>734.57</v>
      </c>
      <c r="I17" s="109">
        <v>282.27999999999997</v>
      </c>
      <c r="J17" s="109">
        <v>369.76</v>
      </c>
      <c r="K17" s="109">
        <v>390.6</v>
      </c>
      <c r="L17" s="109">
        <v>268.39999999999998</v>
      </c>
      <c r="M17" s="109">
        <v>643.47</v>
      </c>
      <c r="N17" s="109">
        <v>598.24</v>
      </c>
      <c r="O17" s="109">
        <v>185.35</v>
      </c>
      <c r="P17" s="109">
        <v>780.3</v>
      </c>
      <c r="Q17" s="109">
        <v>575.14</v>
      </c>
      <c r="R17" s="109">
        <v>190.15</v>
      </c>
      <c r="S17" s="109">
        <v>135.87</v>
      </c>
      <c r="T17" s="109">
        <v>497.5</v>
      </c>
      <c r="V17" s="103">
        <v>55</v>
      </c>
      <c r="W17" s="103">
        <v>147</v>
      </c>
      <c r="X17" s="103">
        <v>351</v>
      </c>
      <c r="Y17" s="17"/>
    </row>
    <row r="18" spans="1:25" ht="21" customHeight="1" x14ac:dyDescent="0.25">
      <c r="A18" s="8">
        <v>44545</v>
      </c>
      <c r="B18" s="108">
        <v>1.1884999999999999</v>
      </c>
      <c r="C18" s="109">
        <v>271</v>
      </c>
      <c r="D18" s="109">
        <v>7851045.0999999996</v>
      </c>
      <c r="E18" s="109">
        <v>8665035.3800000008</v>
      </c>
      <c r="F18" s="109">
        <v>2.7966000000000002</v>
      </c>
      <c r="G18" s="109">
        <v>886.91</v>
      </c>
      <c r="H18" s="109">
        <v>735.52</v>
      </c>
      <c r="I18" s="109">
        <v>282.5</v>
      </c>
      <c r="J18" s="109">
        <v>370.33</v>
      </c>
      <c r="K18" s="109">
        <v>391.02</v>
      </c>
      <c r="L18" s="109">
        <v>268.66000000000003</v>
      </c>
      <c r="M18" s="109">
        <v>644.17999999999995</v>
      </c>
      <c r="N18" s="109">
        <v>598.97</v>
      </c>
      <c r="O18" s="109">
        <v>185.57</v>
      </c>
      <c r="P18" s="109">
        <v>781.22</v>
      </c>
      <c r="Q18" s="109">
        <v>575.76</v>
      </c>
      <c r="R18" s="109">
        <v>190.15</v>
      </c>
      <c r="S18" s="109">
        <v>136.02000000000001</v>
      </c>
      <c r="T18" s="109">
        <v>498.01</v>
      </c>
      <c r="V18" s="103">
        <v>65</v>
      </c>
      <c r="W18" s="103">
        <v>169</v>
      </c>
      <c r="X18" s="103">
        <v>415</v>
      </c>
      <c r="Y18" s="17"/>
    </row>
    <row r="19" spans="1:25" ht="21" customHeight="1" x14ac:dyDescent="0.25">
      <c r="A19" s="8">
        <v>44546</v>
      </c>
      <c r="B19" s="108">
        <v>1.1895</v>
      </c>
      <c r="C19" s="109">
        <v>271.29000000000002</v>
      </c>
      <c r="D19" s="109">
        <v>7853211.7199999997</v>
      </c>
      <c r="E19" s="109">
        <v>8667551.6699999999</v>
      </c>
      <c r="F19" s="109">
        <v>2.7993000000000001</v>
      </c>
      <c r="G19" s="109">
        <v>887.7</v>
      </c>
      <c r="H19" s="109">
        <v>736.5</v>
      </c>
      <c r="I19" s="109">
        <v>282.73</v>
      </c>
      <c r="J19" s="109">
        <v>370.94</v>
      </c>
      <c r="K19" s="109">
        <v>391.5</v>
      </c>
      <c r="L19" s="109">
        <v>268.94</v>
      </c>
      <c r="M19" s="109">
        <v>644.82000000000005</v>
      </c>
      <c r="N19" s="109">
        <v>599.82000000000005</v>
      </c>
      <c r="O19" s="109">
        <v>185.83</v>
      </c>
      <c r="P19" s="109">
        <v>782.23</v>
      </c>
      <c r="Q19" s="109">
        <v>576.41999999999996</v>
      </c>
      <c r="R19" s="109">
        <v>190.15</v>
      </c>
      <c r="S19" s="109">
        <v>136.16999999999999</v>
      </c>
      <c r="T19" s="109">
        <v>498.55</v>
      </c>
      <c r="V19" s="103">
        <v>74</v>
      </c>
      <c r="W19" s="103">
        <v>201</v>
      </c>
      <c r="X19" s="103">
        <v>555</v>
      </c>
      <c r="Y19" s="17"/>
    </row>
    <row r="20" spans="1:25" ht="21" customHeight="1" x14ac:dyDescent="0.25">
      <c r="A20" s="8">
        <v>44547</v>
      </c>
      <c r="B20" s="108">
        <v>1.1906000000000001</v>
      </c>
      <c r="C20" s="109">
        <v>271.57</v>
      </c>
      <c r="D20" s="109">
        <v>7855437.6399999997</v>
      </c>
      <c r="E20" s="109">
        <v>8670192.9499999993</v>
      </c>
      <c r="F20" s="109">
        <v>2.8020999999999998</v>
      </c>
      <c r="G20" s="109">
        <v>888.67</v>
      </c>
      <c r="H20" s="109">
        <v>737.77</v>
      </c>
      <c r="I20" s="109">
        <v>283.02</v>
      </c>
      <c r="J20" s="109">
        <v>371.63</v>
      </c>
      <c r="K20" s="109">
        <v>391.93</v>
      </c>
      <c r="L20" s="109">
        <v>269.20999999999998</v>
      </c>
      <c r="M20" s="109">
        <v>645.66999999999996</v>
      </c>
      <c r="N20" s="109">
        <v>600.73</v>
      </c>
      <c r="O20" s="109">
        <v>186.04</v>
      </c>
      <c r="P20" s="109">
        <v>783.28</v>
      </c>
      <c r="Q20" s="109">
        <v>577.17999999999995</v>
      </c>
      <c r="R20" s="109">
        <v>190.15</v>
      </c>
      <c r="S20" s="109">
        <v>136.33000000000001</v>
      </c>
      <c r="T20" s="109">
        <v>499.07</v>
      </c>
      <c r="V20" s="103">
        <v>70</v>
      </c>
      <c r="W20" s="103">
        <v>185</v>
      </c>
      <c r="X20" s="103">
        <v>502</v>
      </c>
      <c r="Y20" s="17"/>
    </row>
    <row r="21" spans="1:25" ht="21" customHeight="1" x14ac:dyDescent="0.25">
      <c r="A21" s="8">
        <v>44548</v>
      </c>
      <c r="B21" s="108">
        <v>1.1915</v>
      </c>
      <c r="C21" s="109">
        <v>271.83999999999997</v>
      </c>
      <c r="D21" s="109">
        <v>7857359.1500000004</v>
      </c>
      <c r="E21" s="109">
        <v>8672452.3599999994</v>
      </c>
      <c r="F21" s="109">
        <v>2.8048000000000002</v>
      </c>
      <c r="G21" s="109">
        <v>889.44</v>
      </c>
      <c r="H21" s="109">
        <v>738.77</v>
      </c>
      <c r="I21" s="109">
        <v>283.20999999999998</v>
      </c>
      <c r="J21" s="109">
        <v>372.3</v>
      </c>
      <c r="K21" s="109">
        <v>392.39</v>
      </c>
      <c r="L21" s="109">
        <v>269.52</v>
      </c>
      <c r="M21" s="109">
        <v>646.29999999999995</v>
      </c>
      <c r="N21" s="109">
        <v>601.30999999999995</v>
      </c>
      <c r="O21" s="109">
        <v>186.27</v>
      </c>
      <c r="P21" s="109">
        <v>784.15</v>
      </c>
      <c r="Q21" s="109">
        <v>577.77</v>
      </c>
      <c r="R21" s="109">
        <v>190.15</v>
      </c>
      <c r="S21" s="109">
        <v>136.49</v>
      </c>
      <c r="T21" s="109">
        <v>499.63</v>
      </c>
      <c r="V21" s="103">
        <v>57</v>
      </c>
      <c r="W21" s="103">
        <v>156</v>
      </c>
      <c r="X21" s="103">
        <v>424</v>
      </c>
      <c r="Y21" s="17"/>
    </row>
    <row r="22" spans="1:25" ht="21" customHeight="1" x14ac:dyDescent="0.25">
      <c r="A22" s="8">
        <v>44549</v>
      </c>
      <c r="B22" s="108">
        <v>1.1926000000000001</v>
      </c>
      <c r="C22" s="109">
        <v>272.12</v>
      </c>
      <c r="D22" s="109">
        <v>7859450.6299999999</v>
      </c>
      <c r="E22" s="109">
        <v>8675098.7899999991</v>
      </c>
      <c r="F22" s="109">
        <v>2.8075000000000001</v>
      </c>
      <c r="G22" s="109">
        <v>890.33</v>
      </c>
      <c r="H22" s="109">
        <v>739.95</v>
      </c>
      <c r="I22" s="109">
        <v>283.47000000000003</v>
      </c>
      <c r="J22" s="109">
        <v>372.91</v>
      </c>
      <c r="K22" s="109">
        <v>392.9</v>
      </c>
      <c r="L22" s="109">
        <v>269.82</v>
      </c>
      <c r="M22" s="109">
        <v>647.11</v>
      </c>
      <c r="N22" s="109">
        <v>602.04</v>
      </c>
      <c r="O22" s="109">
        <v>186.52</v>
      </c>
      <c r="P22" s="109">
        <v>785.14</v>
      </c>
      <c r="Q22" s="109">
        <v>578.4</v>
      </c>
      <c r="R22" s="113">
        <v>190.15</v>
      </c>
      <c r="S22" s="109">
        <v>136.63999999999999</v>
      </c>
      <c r="T22" s="109">
        <v>500.2</v>
      </c>
      <c r="V22" s="103">
        <v>52</v>
      </c>
      <c r="W22" s="103">
        <v>150</v>
      </c>
      <c r="X22" s="103">
        <v>427</v>
      </c>
      <c r="Y22" s="17"/>
    </row>
    <row r="23" spans="1:25" ht="21" customHeight="1" x14ac:dyDescent="0.25">
      <c r="A23" s="8">
        <v>44550</v>
      </c>
      <c r="B23" s="108">
        <v>1.1937</v>
      </c>
      <c r="C23" s="109">
        <v>272.39999999999998</v>
      </c>
      <c r="D23" s="109">
        <v>7861814.7400000002</v>
      </c>
      <c r="E23" s="109">
        <v>8678050.8499999996</v>
      </c>
      <c r="F23" s="109">
        <v>2.8102</v>
      </c>
      <c r="G23" s="109">
        <v>891.34</v>
      </c>
      <c r="H23" s="109">
        <v>741.01</v>
      </c>
      <c r="I23" s="109">
        <v>283.73</v>
      </c>
      <c r="J23" s="109">
        <v>373.55</v>
      </c>
      <c r="K23" s="109">
        <v>393.42</v>
      </c>
      <c r="L23" s="109">
        <v>270.11</v>
      </c>
      <c r="M23" s="109">
        <v>647.86</v>
      </c>
      <c r="N23" s="109">
        <v>602.78</v>
      </c>
      <c r="O23" s="109">
        <v>186.76</v>
      </c>
      <c r="P23" s="109">
        <v>786.06</v>
      </c>
      <c r="Q23" s="109">
        <v>579.11</v>
      </c>
      <c r="R23" s="109">
        <v>190.15</v>
      </c>
      <c r="S23" s="109">
        <v>136.80000000000001</v>
      </c>
      <c r="T23" s="109">
        <v>500.79</v>
      </c>
      <c r="V23" s="103">
        <v>59</v>
      </c>
      <c r="W23" s="103">
        <v>170</v>
      </c>
      <c r="X23" s="103">
        <v>460</v>
      </c>
      <c r="Y23" s="17"/>
    </row>
    <row r="24" spans="1:25" ht="21" customHeight="1" x14ac:dyDescent="0.25">
      <c r="A24" s="8">
        <v>44551</v>
      </c>
      <c r="B24" s="108">
        <v>1.1948000000000001</v>
      </c>
      <c r="C24" s="109">
        <v>272.68</v>
      </c>
      <c r="D24" s="109">
        <v>7864121.0599999996</v>
      </c>
      <c r="E24" s="109">
        <v>8680834.7400000002</v>
      </c>
      <c r="F24" s="109">
        <v>2.8129</v>
      </c>
      <c r="G24" s="109">
        <v>892.37</v>
      </c>
      <c r="H24" s="109">
        <v>742.22</v>
      </c>
      <c r="I24" s="109">
        <v>284.02999999999997</v>
      </c>
      <c r="J24" s="109">
        <v>374.24</v>
      </c>
      <c r="K24" s="109">
        <v>393.92</v>
      </c>
      <c r="L24" s="109">
        <v>270.41000000000003</v>
      </c>
      <c r="M24" s="109">
        <v>648.57000000000005</v>
      </c>
      <c r="N24" s="109">
        <v>603.52</v>
      </c>
      <c r="O24" s="109">
        <v>186.99</v>
      </c>
      <c r="P24" s="109">
        <v>787.02</v>
      </c>
      <c r="Q24" s="109">
        <v>579.87</v>
      </c>
      <c r="R24" s="109">
        <v>190.15</v>
      </c>
      <c r="S24" s="109">
        <v>136.94999999999999</v>
      </c>
      <c r="T24" s="109">
        <v>501.39</v>
      </c>
      <c r="V24" s="103">
        <v>55</v>
      </c>
      <c r="W24" s="103">
        <v>158</v>
      </c>
      <c r="X24" s="103">
        <v>402</v>
      </c>
      <c r="Y24" s="17"/>
    </row>
    <row r="25" spans="1:25" ht="21" customHeight="1" x14ac:dyDescent="0.25">
      <c r="A25" s="8">
        <v>44552</v>
      </c>
      <c r="B25" s="108">
        <v>1.1959</v>
      </c>
      <c r="C25" s="109">
        <v>272.98</v>
      </c>
      <c r="D25" s="109">
        <v>7866243.8300000001</v>
      </c>
      <c r="E25" s="109">
        <v>8683480.9700000007</v>
      </c>
      <c r="F25" s="109">
        <v>2.8157000000000001</v>
      </c>
      <c r="G25" s="109">
        <v>893.38</v>
      </c>
      <c r="H25" s="109">
        <v>743.5</v>
      </c>
      <c r="I25" s="109">
        <v>284.36</v>
      </c>
      <c r="J25" s="109">
        <v>374.8</v>
      </c>
      <c r="K25" s="109">
        <v>394.43</v>
      </c>
      <c r="L25" s="109">
        <v>270.70999999999998</v>
      </c>
      <c r="M25" s="109">
        <v>649.34</v>
      </c>
      <c r="N25" s="109">
        <v>604.22</v>
      </c>
      <c r="O25" s="109">
        <v>187.22</v>
      </c>
      <c r="P25" s="109">
        <v>787.92</v>
      </c>
      <c r="Q25" s="109">
        <v>580.57000000000005</v>
      </c>
      <c r="R25" s="109">
        <v>190.15</v>
      </c>
      <c r="S25" s="109">
        <v>137.11000000000001</v>
      </c>
      <c r="T25" s="109">
        <v>502</v>
      </c>
      <c r="V25" s="103">
        <v>55</v>
      </c>
      <c r="W25" s="103">
        <v>161</v>
      </c>
      <c r="X25" s="103">
        <v>429</v>
      </c>
      <c r="Y25" s="17"/>
    </row>
    <row r="26" spans="1:25" ht="21" customHeight="1" x14ac:dyDescent="0.25">
      <c r="A26" s="8">
        <v>44553</v>
      </c>
      <c r="B26" s="108">
        <v>1.1970000000000001</v>
      </c>
      <c r="C26" s="109">
        <v>273.26</v>
      </c>
      <c r="D26" s="109">
        <v>7868428.46</v>
      </c>
      <c r="E26" s="109">
        <v>8686249.4399999995</v>
      </c>
      <c r="F26" s="109">
        <v>2.8184999999999998</v>
      </c>
      <c r="G26" s="109">
        <v>894.39</v>
      </c>
      <c r="H26" s="109">
        <v>744.83</v>
      </c>
      <c r="I26" s="109">
        <v>284.69</v>
      </c>
      <c r="J26" s="109">
        <v>375.4</v>
      </c>
      <c r="K26" s="109">
        <v>394.95</v>
      </c>
      <c r="L26" s="109">
        <v>270.98</v>
      </c>
      <c r="M26" s="109">
        <v>650.21</v>
      </c>
      <c r="N26" s="109">
        <v>605.04</v>
      </c>
      <c r="O26" s="109">
        <v>187.48</v>
      </c>
      <c r="P26" s="109">
        <v>788.88</v>
      </c>
      <c r="Q26" s="109">
        <v>581.28</v>
      </c>
      <c r="R26" s="109">
        <v>190.15</v>
      </c>
      <c r="S26" s="109">
        <v>137.27000000000001</v>
      </c>
      <c r="T26" s="109">
        <v>502.62</v>
      </c>
      <c r="V26" s="103">
        <v>54</v>
      </c>
      <c r="W26" s="103">
        <v>153</v>
      </c>
      <c r="X26" s="103">
        <v>408</v>
      </c>
      <c r="Y26" s="17"/>
    </row>
    <row r="27" spans="1:25" ht="21" customHeight="1" x14ac:dyDescent="0.25">
      <c r="A27" s="8">
        <v>44554</v>
      </c>
      <c r="B27" s="108">
        <v>1.1980999999999999</v>
      </c>
      <c r="C27" s="109">
        <v>273.56</v>
      </c>
      <c r="D27" s="109">
        <v>7870433.6699999999</v>
      </c>
      <c r="E27" s="109">
        <v>8688737.5600000005</v>
      </c>
      <c r="F27" s="109">
        <v>2.8214000000000001</v>
      </c>
      <c r="G27" s="109">
        <v>895.39</v>
      </c>
      <c r="H27" s="109">
        <v>746.15</v>
      </c>
      <c r="I27" s="109">
        <v>284.98</v>
      </c>
      <c r="J27" s="109">
        <v>375.97</v>
      </c>
      <c r="K27" s="109">
        <v>395.46</v>
      </c>
      <c r="L27" s="109">
        <v>271.27</v>
      </c>
      <c r="M27" s="109">
        <v>651.04999999999995</v>
      </c>
      <c r="N27" s="109">
        <v>605.80999999999995</v>
      </c>
      <c r="O27" s="109">
        <v>187.69</v>
      </c>
      <c r="P27" s="109">
        <v>789.91</v>
      </c>
      <c r="Q27" s="109">
        <v>581.92999999999995</v>
      </c>
      <c r="R27" s="109">
        <v>190.15</v>
      </c>
      <c r="S27" s="109">
        <v>137.41999999999999</v>
      </c>
      <c r="T27" s="109">
        <v>503.2</v>
      </c>
      <c r="V27" s="103">
        <v>58</v>
      </c>
      <c r="W27" s="103">
        <v>161</v>
      </c>
      <c r="X27" s="103">
        <v>417</v>
      </c>
      <c r="Y27" s="17"/>
    </row>
    <row r="28" spans="1:25" ht="21" customHeight="1" x14ac:dyDescent="0.25">
      <c r="A28" s="8">
        <v>44555</v>
      </c>
      <c r="B28" s="108">
        <v>1.1992</v>
      </c>
      <c r="C28" s="109">
        <v>273.83</v>
      </c>
      <c r="D28" s="109">
        <v>7872365.7300000004</v>
      </c>
      <c r="E28" s="109">
        <v>8691210.7599999998</v>
      </c>
      <c r="F28" s="109">
        <v>2.8243</v>
      </c>
      <c r="G28" s="109">
        <v>896.43</v>
      </c>
      <c r="H28" s="109">
        <v>747.41</v>
      </c>
      <c r="I28" s="109">
        <v>285.29000000000002</v>
      </c>
      <c r="J28" s="109">
        <v>376.58</v>
      </c>
      <c r="K28" s="109">
        <v>395.97</v>
      </c>
      <c r="L28" s="109">
        <v>271.58</v>
      </c>
      <c r="M28" s="109">
        <v>651.96</v>
      </c>
      <c r="N28" s="109">
        <v>606.6</v>
      </c>
      <c r="O28" s="109">
        <v>187.92</v>
      </c>
      <c r="P28" s="109">
        <v>791</v>
      </c>
      <c r="Q28" s="109">
        <v>582.62</v>
      </c>
      <c r="R28" s="109">
        <v>190.15</v>
      </c>
      <c r="S28" s="109">
        <v>137.58000000000001</v>
      </c>
      <c r="T28" s="109">
        <v>503.62</v>
      </c>
      <c r="V28" s="103">
        <v>62</v>
      </c>
      <c r="W28" s="103">
        <v>175</v>
      </c>
      <c r="X28" s="103">
        <v>468</v>
      </c>
      <c r="Y28" s="17"/>
    </row>
    <row r="29" spans="1:25" ht="21" customHeight="1" x14ac:dyDescent="0.25">
      <c r="A29" s="8">
        <v>44556</v>
      </c>
      <c r="B29" s="108">
        <v>1.2002999999999999</v>
      </c>
      <c r="C29" s="109">
        <v>274.12</v>
      </c>
      <c r="D29" s="109">
        <v>7874271.4500000002</v>
      </c>
      <c r="E29" s="109">
        <v>8693500.9199999999</v>
      </c>
      <c r="F29" s="109">
        <v>2.8269000000000002</v>
      </c>
      <c r="G29" s="109">
        <v>897.36</v>
      </c>
      <c r="H29" s="109">
        <v>748.56</v>
      </c>
      <c r="I29" s="109">
        <v>285.58</v>
      </c>
      <c r="J29" s="109">
        <v>377.05</v>
      </c>
      <c r="K29" s="109">
        <v>396.4</v>
      </c>
      <c r="L29" s="109">
        <v>271.83999999999997</v>
      </c>
      <c r="M29" s="109">
        <v>652.78</v>
      </c>
      <c r="N29" s="109">
        <v>607.22</v>
      </c>
      <c r="O29" s="109">
        <v>188.15</v>
      </c>
      <c r="P29" s="109">
        <v>791.98</v>
      </c>
      <c r="Q29" s="109">
        <v>583.24</v>
      </c>
      <c r="R29" s="109">
        <v>190.15</v>
      </c>
      <c r="S29" s="109">
        <v>137.72999999999999</v>
      </c>
      <c r="T29" s="109">
        <v>504.27</v>
      </c>
      <c r="V29" s="103">
        <v>64</v>
      </c>
      <c r="W29" s="103">
        <v>178</v>
      </c>
      <c r="X29" s="103">
        <v>505</v>
      </c>
      <c r="Y29" s="17"/>
    </row>
    <row r="30" spans="1:25" ht="21" customHeight="1" x14ac:dyDescent="0.25">
      <c r="A30" s="8">
        <v>44557</v>
      </c>
      <c r="B30" s="108">
        <v>1.2014</v>
      </c>
      <c r="C30" s="109">
        <v>274.39999999999998</v>
      </c>
      <c r="D30" s="109">
        <v>7876265.2699999996</v>
      </c>
      <c r="E30" s="109">
        <v>8696280</v>
      </c>
      <c r="F30" s="109">
        <v>2.8296000000000001</v>
      </c>
      <c r="G30" s="109">
        <v>898.34</v>
      </c>
      <c r="H30" s="109">
        <v>749.77</v>
      </c>
      <c r="I30" s="109">
        <v>285.85000000000002</v>
      </c>
      <c r="J30" s="109">
        <v>377.74</v>
      </c>
      <c r="K30" s="109">
        <v>396.86</v>
      </c>
      <c r="L30" s="109">
        <v>272.14999999999998</v>
      </c>
      <c r="M30" s="109">
        <v>653.63</v>
      </c>
      <c r="N30" s="109">
        <v>607.86</v>
      </c>
      <c r="O30" s="109">
        <v>188.38</v>
      </c>
      <c r="P30" s="109">
        <v>793.04</v>
      </c>
      <c r="Q30" s="109">
        <v>583.95000000000005</v>
      </c>
      <c r="R30" s="109">
        <v>190.15</v>
      </c>
      <c r="S30" s="109">
        <v>137.88999999999999</v>
      </c>
      <c r="T30" s="109">
        <v>504.9</v>
      </c>
      <c r="V30" s="103">
        <v>74</v>
      </c>
      <c r="W30" s="103">
        <v>211</v>
      </c>
      <c r="X30" s="103">
        <v>653</v>
      </c>
      <c r="Y30" s="17"/>
    </row>
    <row r="31" spans="1:25" ht="21" customHeight="1" x14ac:dyDescent="0.25">
      <c r="A31" s="8">
        <v>44558</v>
      </c>
      <c r="B31" s="108">
        <v>1.2024999999999999</v>
      </c>
      <c r="C31" s="109">
        <v>274.7</v>
      </c>
      <c r="D31" s="109">
        <v>7878446.6299999999</v>
      </c>
      <c r="E31" s="109">
        <v>8699091.1199999992</v>
      </c>
      <c r="F31" s="109">
        <v>2.8325</v>
      </c>
      <c r="G31" s="109">
        <v>899.32</v>
      </c>
      <c r="H31" s="109">
        <v>750.99</v>
      </c>
      <c r="I31" s="109">
        <v>286.11</v>
      </c>
      <c r="J31" s="109">
        <v>378.35</v>
      </c>
      <c r="K31" s="109">
        <v>397.37</v>
      </c>
      <c r="L31" s="109">
        <v>272.48</v>
      </c>
      <c r="M31" s="109">
        <v>654.54999999999995</v>
      </c>
      <c r="N31" s="109">
        <v>608.54999999999995</v>
      </c>
      <c r="O31" s="109">
        <v>188.61</v>
      </c>
      <c r="P31" s="109">
        <v>794.06</v>
      </c>
      <c r="Q31" s="109">
        <v>584.76</v>
      </c>
      <c r="R31" s="109">
        <v>190.15</v>
      </c>
      <c r="S31" s="109">
        <v>138.04</v>
      </c>
      <c r="T31" s="109">
        <v>505.5</v>
      </c>
      <c r="V31" s="103">
        <v>76</v>
      </c>
      <c r="W31" s="103">
        <v>212</v>
      </c>
      <c r="X31" s="103">
        <v>614</v>
      </c>
      <c r="Y31" s="17"/>
    </row>
    <row r="32" spans="1:25" ht="21" customHeight="1" x14ac:dyDescent="0.25">
      <c r="A32" s="8">
        <v>44559</v>
      </c>
      <c r="B32" s="106">
        <v>1.2036</v>
      </c>
      <c r="C32" s="106">
        <v>274.99</v>
      </c>
      <c r="D32" s="106">
        <v>7885044.5499999998</v>
      </c>
      <c r="E32" s="114">
        <v>8701767.1300000008</v>
      </c>
      <c r="F32" s="106">
        <v>2.8353000000000002</v>
      </c>
      <c r="G32" s="106">
        <v>900.23</v>
      </c>
      <c r="H32" s="106">
        <v>752.16</v>
      </c>
      <c r="I32" s="106">
        <v>286.38</v>
      </c>
      <c r="J32" s="106">
        <v>379.16</v>
      </c>
      <c r="K32" s="106">
        <v>397.91</v>
      </c>
      <c r="L32" s="106">
        <v>272.77999999999997</v>
      </c>
      <c r="M32" s="106">
        <v>655.4</v>
      </c>
      <c r="N32" s="106">
        <v>609.27</v>
      </c>
      <c r="O32" s="106">
        <v>188.89</v>
      </c>
      <c r="P32" s="106">
        <v>795.11</v>
      </c>
      <c r="Q32" s="106">
        <v>585.54999999999995</v>
      </c>
      <c r="R32" s="109">
        <v>190.15</v>
      </c>
      <c r="S32" s="114">
        <v>138.19</v>
      </c>
      <c r="T32" s="106">
        <v>506.14</v>
      </c>
      <c r="V32" s="103">
        <v>78</v>
      </c>
      <c r="W32" s="103">
        <v>214</v>
      </c>
      <c r="X32" s="103">
        <v>590</v>
      </c>
      <c r="Y32" s="17"/>
    </row>
    <row r="33" spans="1:25" ht="19.5" customHeight="1" x14ac:dyDescent="0.25">
      <c r="A33" s="8">
        <v>44560</v>
      </c>
      <c r="B33" s="106">
        <v>1.2047000000000001</v>
      </c>
      <c r="C33" s="114">
        <v>275.27999999999997</v>
      </c>
      <c r="D33" s="106">
        <v>7882669.2199999997</v>
      </c>
      <c r="E33" s="114">
        <v>8704385.4600000009</v>
      </c>
      <c r="F33" s="106">
        <v>2.8380999999999998</v>
      </c>
      <c r="G33" s="106">
        <v>901.1</v>
      </c>
      <c r="H33" s="106">
        <v>753.38</v>
      </c>
      <c r="I33" s="106">
        <v>286.68</v>
      </c>
      <c r="J33" s="106">
        <v>380.16</v>
      </c>
      <c r="K33" s="106">
        <v>398.5</v>
      </c>
      <c r="L33" s="106">
        <v>273.13</v>
      </c>
      <c r="M33" s="106">
        <v>656.23</v>
      </c>
      <c r="N33" s="106">
        <v>610.02</v>
      </c>
      <c r="O33" s="106">
        <v>189.16</v>
      </c>
      <c r="P33" s="106">
        <v>796.16</v>
      </c>
      <c r="Q33" s="106">
        <v>586.35</v>
      </c>
      <c r="R33" s="109">
        <v>190.15</v>
      </c>
      <c r="S33" s="114">
        <v>138.37</v>
      </c>
      <c r="T33" s="106">
        <v>506.8</v>
      </c>
      <c r="V33" s="103">
        <v>76</v>
      </c>
      <c r="W33" s="103">
        <v>211</v>
      </c>
      <c r="X33" s="103">
        <v>569</v>
      </c>
      <c r="Y33" s="17"/>
    </row>
    <row r="34" spans="1:25" ht="19.5" customHeight="1" x14ac:dyDescent="0.25">
      <c r="A34" s="8">
        <v>44561</v>
      </c>
      <c r="B34" s="1">
        <v>1.2059</v>
      </c>
      <c r="C34" s="1">
        <v>275.55</v>
      </c>
      <c r="D34" s="1">
        <v>7884719.0300000003</v>
      </c>
      <c r="E34" s="1">
        <v>8707041.9000000004</v>
      </c>
      <c r="F34" s="1">
        <v>2.8410000000000002</v>
      </c>
      <c r="G34" s="1">
        <v>901.93</v>
      </c>
      <c r="H34" s="1">
        <v>754.55</v>
      </c>
      <c r="I34" s="1">
        <v>286.95999999999998</v>
      </c>
      <c r="J34" s="1">
        <v>381.08</v>
      </c>
      <c r="K34" s="1">
        <v>399.06</v>
      </c>
      <c r="L34" s="1">
        <v>273.45999999999998</v>
      </c>
      <c r="M34" s="1">
        <v>657.01</v>
      </c>
      <c r="N34" s="1">
        <v>610.75</v>
      </c>
      <c r="O34" s="1">
        <v>189.42</v>
      </c>
      <c r="P34" s="1">
        <v>797.16</v>
      </c>
      <c r="Q34" s="1">
        <v>587.14</v>
      </c>
      <c r="R34" s="109">
        <v>190.15</v>
      </c>
      <c r="S34" s="1">
        <v>138.54</v>
      </c>
      <c r="T34" s="1">
        <v>507.42</v>
      </c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1562</v>
      </c>
      <c r="W35" s="75">
        <f>SUM(W4:W34)</f>
        <v>4223</v>
      </c>
      <c r="X35" s="75">
        <f>SUM(X4:X34)</f>
        <v>11460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L43" sqref="L4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21749.999999999316</v>
      </c>
      <c r="C5" s="4">
        <f>('Kwh Reading'!T6-'Kwh Reading'!T5)*1000</f>
        <v>500</v>
      </c>
      <c r="D5" s="2">
        <f>('Kwh Reading'!F6-'Kwh Reading'!F5)*1000000</f>
        <v>2599.9999999997135</v>
      </c>
      <c r="E5" s="2">
        <f>('Kwh Reading'!C6-'Kwh Reading'!C5)*1000</f>
        <v>280.00000000002956</v>
      </c>
      <c r="F5" s="2">
        <f>('Kwh Reading'!J6-'Kwh Reading'!J5)*1000</f>
        <v>389.99999999998636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229.99999999996135</v>
      </c>
      <c r="L5" s="2">
        <f>('Kwh Reading'!B6-'Kwh Reading'!B5)*1000000</f>
        <v>1099.9999999998788</v>
      </c>
      <c r="M5" s="2">
        <f>('Kwh Reading'!M6-'Kwh Reading'!M5)*1000</f>
        <v>809.99999999994543</v>
      </c>
      <c r="N5" s="2">
        <f>('Kwh Reading'!H6-'Kwh Reading'!H5)*1000</f>
        <v>880.00000000010914</v>
      </c>
      <c r="O5" s="2">
        <f>('Kwh Reading'!P6-'Kwh Reading'!P5)*1000</f>
        <v>870.00000000000455</v>
      </c>
      <c r="P5" s="2">
        <f>('Kwh Reading'!G6-'Kwh Reading'!G5)*1000</f>
        <v>839.99999999991815</v>
      </c>
      <c r="Q5" s="2">
        <f>('Kwh Reading'!Q6-'Kwh Reading'!Q5)*1000</f>
        <v>649.99999999997726</v>
      </c>
      <c r="R5" s="2">
        <f>('Kwh Reading'!N6-'Kwh Reading'!N5)*1000</f>
        <v>849.99999999990905</v>
      </c>
      <c r="S5" s="2">
        <f>'Kwh Reading'!E6-'Kwh Reading'!E5</f>
        <v>2292.7200000006706</v>
      </c>
      <c r="T5" s="2">
        <f>'Kwh Reading'!D6-'Kwh Reading'!D5</f>
        <v>1917.3100000005215</v>
      </c>
      <c r="U5" s="27">
        <f>('Kwh Reading'!O6-'Kwh Reading'!O5)*1000</f>
        <v>169.99999999998749</v>
      </c>
      <c r="V5" s="16">
        <f t="shared" ref="V5:V11" si="0">B5-(SUM(C5:U5))</f>
        <v>6739.9699999987079</v>
      </c>
    </row>
    <row r="6" spans="1:22" x14ac:dyDescent="0.25">
      <c r="A6" s="3">
        <f>'Kwh Reading'!A6</f>
        <v>44533</v>
      </c>
      <c r="B6" s="26">
        <f>TOTAL!E4</f>
        <v>22360.000000001266</v>
      </c>
      <c r="C6" s="4">
        <f>('Kwh Reading'!T7-'Kwh Reading'!T6)*1000</f>
        <v>280.00000000002956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439.99999999999773</v>
      </c>
      <c r="G6" s="2">
        <f>('Kwh Reading'!K7-'Kwh Reading'!K6)*1000</f>
        <v>329.99999999998408</v>
      </c>
      <c r="H6" s="2">
        <f>('Kwh Reading'!L7-'Kwh Reading'!L6)*1000</f>
        <v>189.99999999999773</v>
      </c>
      <c r="I6" s="2">
        <f>('Kwh Reading'!R7-'Kwh Reading'!R6)*1000</f>
        <v>0</v>
      </c>
      <c r="J6" s="2">
        <f>('Kwh Reading'!S7-'Kwh Reading'!S6)*1000</f>
        <v>139.99999999998636</v>
      </c>
      <c r="K6" s="2">
        <f>('Kwh Reading'!I7-'Kwh Reading'!I6)*1000</f>
        <v>250</v>
      </c>
      <c r="L6" s="2">
        <f>('Kwh Reading'!B7-'Kwh Reading'!B6)*1000000</f>
        <v>1200.0000000000898</v>
      </c>
      <c r="M6" s="2">
        <f>('Kwh Reading'!M7-'Kwh Reading'!M6)*1000</f>
        <v>780.0000000000864</v>
      </c>
      <c r="N6" s="2">
        <f>('Kwh Reading'!H7-'Kwh Reading'!H6)*1000</f>
        <v>939.99999999994088</v>
      </c>
      <c r="O6" s="2">
        <f>('Kwh Reading'!P7-'Kwh Reading'!P6)*1000</f>
        <v>649.99999999997726</v>
      </c>
      <c r="P6" s="2">
        <f>('Kwh Reading'!G7-'Kwh Reading'!G6)*1000</f>
        <v>870.00000000000455</v>
      </c>
      <c r="Q6" s="2">
        <f>('Kwh Reading'!Q7-'Kwh Reading'!Q6)*1000</f>
        <v>669.99999999995907</v>
      </c>
      <c r="R6" s="2">
        <f>('Kwh Reading'!N7-'Kwh Reading'!N6)*1000</f>
        <v>830.00000000004093</v>
      </c>
      <c r="S6" s="2">
        <f>'Kwh Reading'!E7-'Kwh Reading'!E6</f>
        <v>2258.6399999987334</v>
      </c>
      <c r="T6" s="2">
        <f>'Kwh Reading'!D7-'Kwh Reading'!D6</f>
        <v>1998.3499999996275</v>
      </c>
      <c r="U6" s="27">
        <f>('Kwh Reading'!O7-'Kwh Reading'!O6)*1000</f>
        <v>150.00000000000568</v>
      </c>
      <c r="V6" s="16">
        <f t="shared" si="0"/>
        <v>7533.0100000026487</v>
      </c>
    </row>
    <row r="7" spans="1:22" x14ac:dyDescent="0.25">
      <c r="A7" s="3">
        <f>'Kwh Reading'!A7</f>
        <v>44534</v>
      </c>
      <c r="B7" s="26">
        <f>TOTAL!E5</f>
        <v>22200.000000000273</v>
      </c>
      <c r="C7" s="4">
        <f>('Kwh Reading'!T8-'Kwh Reading'!T7)*1000</f>
        <v>550.00000000001137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370.00000000000455</v>
      </c>
      <c r="G7" s="2">
        <f>('Kwh Reading'!K8-'Kwh Reading'!K7)*1000</f>
        <v>319.99999999999318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120.00000000000455</v>
      </c>
      <c r="K7" s="2">
        <f>('Kwh Reading'!I8-'Kwh Reading'!I7)*1000</f>
        <v>230.00000000001819</v>
      </c>
      <c r="L7" s="2">
        <f>('Kwh Reading'!B8-'Kwh Reading'!B7)*1000000</f>
        <v>1099.9999999998788</v>
      </c>
      <c r="M7" s="2">
        <f>('Kwh Reading'!M8-'Kwh Reading'!M7)*1000</f>
        <v>709.99999999992269</v>
      </c>
      <c r="N7" s="2">
        <f>('Kwh Reading'!H8-'Kwh Reading'!H7)*1000</f>
        <v>1139.9999999999864</v>
      </c>
      <c r="O7" s="2">
        <f>('Kwh Reading'!P8-'Kwh Reading'!P7)*1000</f>
        <v>1320.00000000005</v>
      </c>
      <c r="P7" s="2">
        <f>('Kwh Reading'!G8-'Kwh Reading'!G7)*1000</f>
        <v>930.00000000006366</v>
      </c>
      <c r="Q7" s="2">
        <f>('Kwh Reading'!Q8-'Kwh Reading'!Q7)*1000</f>
        <v>560.00000000005912</v>
      </c>
      <c r="R7" s="2">
        <f>('Kwh Reading'!N8-'Kwh Reading'!N7)*1000</f>
        <v>620.00000000000455</v>
      </c>
      <c r="S7" s="2">
        <f>'Kwh Reading'!E8-'Kwh Reading'!E7</f>
        <v>2564.640000000596</v>
      </c>
      <c r="T7" s="2">
        <f>'Kwh Reading'!D8-'Kwh Reading'!D7</f>
        <v>2028.679999999702</v>
      </c>
      <c r="U7" s="27">
        <f>('Kwh Reading'!O8-'Kwh Reading'!O7)*1000</f>
        <v>180.00000000000682</v>
      </c>
      <c r="V7" s="16">
        <f t="shared" si="0"/>
        <v>6396.6799999997747</v>
      </c>
    </row>
    <row r="8" spans="1:22" x14ac:dyDescent="0.25">
      <c r="A8" s="3">
        <f>'Kwh Reading'!A8</f>
        <v>44535</v>
      </c>
      <c r="B8" s="26">
        <f>TOTAL!E6</f>
        <v>20259.999999998399</v>
      </c>
      <c r="C8" s="4">
        <f>('Kwh Reading'!T9-'Kwh Reading'!T8)*1000</f>
        <v>529.99999999997272</v>
      </c>
      <c r="D8" s="2">
        <f>('Kwh Reading'!F9-'Kwh Reading'!F8)*1000000</f>
        <v>2599.9999999997135</v>
      </c>
      <c r="E8" s="2">
        <f>('Kwh Reading'!C9-'Kwh Reading'!C8)*1000</f>
        <v>259.99999999999091</v>
      </c>
      <c r="F8" s="2">
        <f>('Kwh Reading'!J9-'Kwh Reading'!J8)*1000</f>
        <v>400.00000000003411</v>
      </c>
      <c r="G8" s="2">
        <f>('Kwh Reading'!K9-'Kwh Reading'!K8)*1000</f>
        <v>340.00000000003183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240.00000000000909</v>
      </c>
      <c r="K8" s="2">
        <f>('Kwh Reading'!I9-'Kwh Reading'!I8)*1000</f>
        <v>250</v>
      </c>
      <c r="L8" s="2">
        <f>('Kwh Reading'!B9-'Kwh Reading'!B8)*1000000</f>
        <v>1100.000000000101</v>
      </c>
      <c r="M8" s="2">
        <f>('Kwh Reading'!M9-'Kwh Reading'!M8)*1000</f>
        <v>700.00000000004547</v>
      </c>
      <c r="N8" s="2">
        <f>('Kwh Reading'!H9-'Kwh Reading'!H8)*1000</f>
        <v>1090.0000000000318</v>
      </c>
      <c r="O8" s="2">
        <f>('Kwh Reading'!P9-'Kwh Reading'!P8)*1000</f>
        <v>1039.9999999999636</v>
      </c>
      <c r="P8" s="2">
        <f>('Kwh Reading'!G9-'Kwh Reading'!G8)*1000</f>
        <v>919.99999999995907</v>
      </c>
      <c r="Q8" s="2">
        <f>('Kwh Reading'!Q9-'Kwh Reading'!Q8)*1000</f>
        <v>609.99999999989996</v>
      </c>
      <c r="R8" s="2">
        <f>('Kwh Reading'!N9-'Kwh Reading'!N8)*1000</f>
        <v>529.99999999997272</v>
      </c>
      <c r="S8" s="2">
        <f>'Kwh Reading'!E9-'Kwh Reading'!E8</f>
        <v>2740.269999999553</v>
      </c>
      <c r="T8" s="2">
        <f>'Kwh Reading'!D9-'Kwh Reading'!D8</f>
        <v>2141.6100000003353</v>
      </c>
      <c r="U8" s="27">
        <f>('Kwh Reading'!O9-'Kwh Reading'!O8)*1000</f>
        <v>239.99999999998067</v>
      </c>
      <c r="V8" s="16">
        <f t="shared" si="0"/>
        <v>4298.1199999987857</v>
      </c>
    </row>
    <row r="9" spans="1:22" x14ac:dyDescent="0.25">
      <c r="A9" s="3">
        <f>'Kwh Reading'!A9</f>
        <v>44536</v>
      </c>
      <c r="B9" s="26">
        <f>TOTAL!E7</f>
        <v>24270.000000000891</v>
      </c>
      <c r="C9" s="4">
        <f>('Kwh Reading'!T10-'Kwh Reading'!T9)*1000</f>
        <v>529.99999999997272</v>
      </c>
      <c r="D9" s="2">
        <f>('Kwh Reading'!F10-'Kwh Reading'!F9)*1000000</f>
        <v>2600.0000000001578</v>
      </c>
      <c r="E9" s="2">
        <f>('Kwh Reading'!C10-'Kwh Reading'!C9)*1000</f>
        <v>230.00000000001819</v>
      </c>
      <c r="F9" s="2">
        <f>('Kwh Reading'!J10-'Kwh Reading'!J9)*1000</f>
        <v>379.99999999999545</v>
      </c>
      <c r="G9" s="2">
        <f>('Kwh Reading'!K10-'Kwh Reading'!K9)*1000</f>
        <v>370.00000000000455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19.99999999998181</v>
      </c>
      <c r="K9" s="2">
        <f>('Kwh Reading'!I10-'Kwh Reading'!I9)*1000</f>
        <v>250</v>
      </c>
      <c r="L9" s="2">
        <f>('Kwh Reading'!B10-'Kwh Reading'!B9)*1000000</f>
        <v>1099.9999999998788</v>
      </c>
      <c r="M9" s="2">
        <f>('Kwh Reading'!M10-'Kwh Reading'!M9)*1000</f>
        <v>669.99999999995907</v>
      </c>
      <c r="N9" s="2">
        <f>('Kwh Reading'!H10-'Kwh Reading'!H9)*1000</f>
        <v>949.99999999993179</v>
      </c>
      <c r="O9" s="2">
        <f>('Kwh Reading'!P10-'Kwh Reading'!P9)*1000</f>
        <v>1020.0000000000955</v>
      </c>
      <c r="P9" s="2">
        <f>('Kwh Reading'!G10-'Kwh Reading'!G9)*1000</f>
        <v>960.00000000003638</v>
      </c>
      <c r="Q9" s="2">
        <f>('Kwh Reading'!Q10-'Kwh Reading'!Q9)*1000</f>
        <v>670.00000000007276</v>
      </c>
      <c r="R9" s="2">
        <f>('Kwh Reading'!N10-'Kwh Reading'!N9)*1000</f>
        <v>600.00000000002274</v>
      </c>
      <c r="S9" s="2">
        <f>'Kwh Reading'!E10-'Kwh Reading'!E9</f>
        <v>2569.4600000008941</v>
      </c>
      <c r="T9" s="2">
        <f>'Kwh Reading'!D10-'Kwh Reading'!D9</f>
        <v>2009.7599999997765</v>
      </c>
      <c r="U9" s="27">
        <f>('Kwh Reading'!O10-'Kwh Reading'!O9)*1000</f>
        <v>230.00000000001819</v>
      </c>
      <c r="V9" s="16">
        <f t="shared" si="0"/>
        <v>8890.7800000001043</v>
      </c>
    </row>
    <row r="10" spans="1:22" x14ac:dyDescent="0.25">
      <c r="A10" s="3">
        <f>'Kwh Reading'!A10</f>
        <v>44537</v>
      </c>
      <c r="B10" s="26">
        <f>TOTAL!E8</f>
        <v>20169.999999999389</v>
      </c>
      <c r="C10" s="4">
        <f>('Kwh Reading'!T11-'Kwh Reading'!T10)*1000</f>
        <v>520.00000000003865</v>
      </c>
      <c r="D10" s="2">
        <f>('Kwh Reading'!F11-'Kwh Reading'!F10)*1000000</f>
        <v>2600.0000000001578</v>
      </c>
      <c r="E10" s="2">
        <f>('Kwh Reading'!C11-'Kwh Reading'!C10)*1000</f>
        <v>269.99999999998181</v>
      </c>
      <c r="F10" s="2">
        <f>('Kwh Reading'!J11-'Kwh Reading'!J10)*1000</f>
        <v>449.99999999998863</v>
      </c>
      <c r="G10" s="2">
        <f>('Kwh Reading'!K11-'Kwh Reading'!K10)*1000</f>
        <v>360.00000000001364</v>
      </c>
      <c r="H10" s="2">
        <f>('Kwh Reading'!L11-'Kwh Reading'!L10)*1000</f>
        <v>209.99999999997954</v>
      </c>
      <c r="I10" s="2">
        <f>('Kwh Reading'!R11-'Kwh Reading'!R10)*1000</f>
        <v>0</v>
      </c>
      <c r="J10" s="2">
        <f>('Kwh Reading'!S11-'Kwh Reading'!S10)*1000</f>
        <v>130.00000000002387</v>
      </c>
      <c r="K10" s="2">
        <f>('Kwh Reading'!I11-'Kwh Reading'!I10)*1000</f>
        <v>269.99999999998181</v>
      </c>
      <c r="L10" s="2">
        <f>('Kwh Reading'!B11-'Kwh Reading'!B10)*1000000</f>
        <v>1100.000000000101</v>
      </c>
      <c r="M10" s="2">
        <f>('Kwh Reading'!M11-'Kwh Reading'!M10)*1000</f>
        <v>680.00000000006366</v>
      </c>
      <c r="N10" s="2">
        <f>('Kwh Reading'!H11-'Kwh Reading'!H10)*1000</f>
        <v>1080.0000000000409</v>
      </c>
      <c r="O10" s="2">
        <f>('Kwh Reading'!P11-'Kwh Reading'!P10)*1000</f>
        <v>1109.9999999999</v>
      </c>
      <c r="P10" s="2">
        <f>('Kwh Reading'!G11-'Kwh Reading'!G10)*1000</f>
        <v>980.00000000001819</v>
      </c>
      <c r="Q10" s="2">
        <f>('Kwh Reading'!Q11-'Kwh Reading'!Q10)*1000</f>
        <v>649.99999999997726</v>
      </c>
      <c r="R10" s="2">
        <f>('Kwh Reading'!N11-'Kwh Reading'!N10)*1000</f>
        <v>659.99999999996817</v>
      </c>
      <c r="S10" s="33">
        <f>'Kwh Reading'!E11-'Kwh Reading'!E10</f>
        <v>2386.109999999404</v>
      </c>
      <c r="T10" s="33">
        <f>'Kwh Reading'!D11-'Kwh Reading'!D10</f>
        <v>1987.6000000005588</v>
      </c>
      <c r="U10" s="27">
        <f>('Kwh Reading'!O11-'Kwh Reading'!O10)*1000</f>
        <v>219.99999999999886</v>
      </c>
      <c r="V10" s="16">
        <f t="shared" si="0"/>
        <v>4506.2899999991951</v>
      </c>
    </row>
    <row r="11" spans="1:22" x14ac:dyDescent="0.25">
      <c r="A11" s="3">
        <f>'Kwh Reading'!A11</f>
        <v>44538</v>
      </c>
      <c r="B11" s="26">
        <f>TOTAL!E9</f>
        <v>25770.000000000437</v>
      </c>
      <c r="C11" s="4">
        <f>('Kwh Reading'!T12-'Kwh Reading'!T11)*1000</f>
        <v>529.99999999997272</v>
      </c>
      <c r="D11" s="2">
        <f>('Kwh Reading'!F12-'Kwh Reading'!F11)*1000000</f>
        <v>2499.9999999999468</v>
      </c>
      <c r="E11" s="2">
        <f>('Kwh Reading'!C12-'Kwh Reading'!C11)*1000</f>
        <v>279.99999999997272</v>
      </c>
      <c r="F11" s="2">
        <f>('Kwh Reading'!J12-'Kwh Reading'!J11)*1000</f>
        <v>399.99999999997726</v>
      </c>
      <c r="G11" s="2">
        <f>('Kwh Reading'!K12-'Kwh Reading'!K11)*1000</f>
        <v>389.99999999998636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119.99999999997613</v>
      </c>
      <c r="K11" s="2">
        <f>('Kwh Reading'!I12-'Kwh Reading'!I11)*1000</f>
        <v>270.00000000003865</v>
      </c>
      <c r="L11" s="2">
        <f>('Kwh Reading'!B12-'Kwh Reading'!B11)*1000000</f>
        <v>1100.000000000101</v>
      </c>
      <c r="M11" s="2">
        <f>('Kwh Reading'!M12-'Kwh Reading'!M11)*1000</f>
        <v>629.99999999999545</v>
      </c>
      <c r="N11" s="2">
        <f>('Kwh Reading'!H12-'Kwh Reading'!H11)*1000</f>
        <v>1100.0000000000227</v>
      </c>
      <c r="O11" s="2">
        <f>('Kwh Reading'!P12-'Kwh Reading'!P11)*1000</f>
        <v>990.00000000000909</v>
      </c>
      <c r="P11" s="2">
        <f>('Kwh Reading'!G12-'Kwh Reading'!G11)*1000</f>
        <v>860.00000000001364</v>
      </c>
      <c r="Q11" s="2">
        <f>('Kwh Reading'!Q12-'Kwh Reading'!Q11)*1000</f>
        <v>659.99999999996817</v>
      </c>
      <c r="R11" s="2">
        <f>('Kwh Reading'!N12-'Kwh Reading'!N11)*1000</f>
        <v>650.00000000009095</v>
      </c>
      <c r="S11" s="33">
        <f>'Kwh Reading'!E12-'Kwh Reading'!E11</f>
        <v>2648.5500000007451</v>
      </c>
      <c r="T11" s="33">
        <f>'Kwh Reading'!D12-'Kwh Reading'!D11</f>
        <v>1901.3499999996275</v>
      </c>
      <c r="U11" s="27">
        <f>('Kwh Reading'!O12-'Kwh Reading'!O11)*1000</f>
        <v>219.99999999999886</v>
      </c>
      <c r="V11" s="16">
        <f t="shared" si="0"/>
        <v>10290.099999999975</v>
      </c>
    </row>
    <row r="12" spans="1:22" x14ac:dyDescent="0.25">
      <c r="A12" s="3">
        <f>'Kwh Reading'!A12</f>
        <v>44539</v>
      </c>
      <c r="B12" s="26">
        <f>TOTAL!E10</f>
        <v>21809.999999999716</v>
      </c>
      <c r="C12" s="4">
        <f>('Kwh Reading'!T13-'Kwh Reading'!T12)*1000</f>
        <v>480.00000000001819</v>
      </c>
      <c r="D12" s="2">
        <f>('Kwh Reading'!F13-'Kwh Reading'!F12)*1000000</f>
        <v>2599.9999999997135</v>
      </c>
      <c r="E12" s="2">
        <f>('Kwh Reading'!C13-'Kwh Reading'!C12)*1000</f>
        <v>260.00000000004775</v>
      </c>
      <c r="F12" s="2">
        <f>('Kwh Reading'!J13-'Kwh Reading'!J12)*1000</f>
        <v>350.00000000002274</v>
      </c>
      <c r="G12" s="2">
        <f>('Kwh Reading'!K13-'Kwh Reading'!K12)*1000</f>
        <v>279.99999999997272</v>
      </c>
      <c r="H12" s="2">
        <f>('Kwh Reading'!L13-'Kwh Reading'!L12)*1000</f>
        <v>199.99999999998863</v>
      </c>
      <c r="I12" s="2">
        <f>('Kwh Reading'!R13-'Kwh Reading'!R12)*1000</f>
        <v>0</v>
      </c>
      <c r="J12" s="2">
        <f>('Kwh Reading'!S13-'Kwh Reading'!S12)*1000</f>
        <v>130.00000000002387</v>
      </c>
      <c r="K12" s="2">
        <f>('Kwh Reading'!I13-'Kwh Reading'!I12)*1000</f>
        <v>259.99999999999091</v>
      </c>
      <c r="L12" s="2">
        <f>('Kwh Reading'!B13-'Kwh Reading'!B12)*1000000</f>
        <v>1099.9999999998788</v>
      </c>
      <c r="M12" s="2">
        <f>('Kwh Reading'!M13-'Kwh Reading'!M12)*1000</f>
        <v>620.00000000000455</v>
      </c>
      <c r="N12" s="2">
        <f>('Kwh Reading'!H13-'Kwh Reading'!H12)*1000</f>
        <v>1049.9999999999545</v>
      </c>
      <c r="O12" s="2">
        <f>('Kwh Reading'!P13-'Kwh Reading'!P12)*1000</f>
        <v>930.00000000006366</v>
      </c>
      <c r="P12" s="2">
        <f>('Kwh Reading'!G13-'Kwh Reading'!G12)*1000</f>
        <v>809.99999999994543</v>
      </c>
      <c r="Q12" s="2">
        <f>('Kwh Reading'!Q13-'Kwh Reading'!Q12)*1000</f>
        <v>650.00000000009095</v>
      </c>
      <c r="R12" s="2">
        <f>('Kwh Reading'!N13-'Kwh Reading'!N12)*1000</f>
        <v>669.99999999995907</v>
      </c>
      <c r="S12" s="33">
        <f>'Kwh Reading'!E13-'Kwh Reading'!E12</f>
        <v>2539.5299999993294</v>
      </c>
      <c r="T12" s="33">
        <f>'Kwh Reading'!D13-'Kwh Reading'!D12</f>
        <v>1849.9900000002235</v>
      </c>
      <c r="U12" s="27">
        <f>('Kwh Reading'!O13-'Kwh Reading'!O12)*1000</f>
        <v>199.99999999998863</v>
      </c>
      <c r="V12" s="16">
        <f t="shared" ref="V12:V34" si="1">B12-(SUM(C12:U12))</f>
        <v>6830.480000000498</v>
      </c>
    </row>
    <row r="13" spans="1:22" x14ac:dyDescent="0.25">
      <c r="A13" s="3">
        <f>'Kwh Reading'!A13</f>
        <v>44540</v>
      </c>
      <c r="B13" s="26">
        <f>TOTAL!E11</f>
        <v>21080.000000000153</v>
      </c>
      <c r="C13" s="4">
        <f>('Kwh Reading'!T14-'Kwh Reading'!T13)*1000</f>
        <v>230.00000000001819</v>
      </c>
      <c r="D13" s="2">
        <f>('Kwh Reading'!F14-'Kwh Reading'!F13)*1000000</f>
        <v>2600.0000000001578</v>
      </c>
      <c r="E13" s="2">
        <f>('Kwh Reading'!C14-'Kwh Reading'!C13)*1000</f>
        <v>279.99999999997272</v>
      </c>
      <c r="F13" s="2">
        <f>('Kwh Reading'!J14-'Kwh Reading'!J13)*1000</f>
        <v>360.00000000001364</v>
      </c>
      <c r="G13" s="2">
        <f>('Kwh Reading'!K14-'Kwh Reading'!K13)*1000</f>
        <v>300.00000000001137</v>
      </c>
      <c r="H13" s="2">
        <f>('Kwh Reading'!L14-'Kwh Reading'!L13)*1000</f>
        <v>220.00000000002728</v>
      </c>
      <c r="I13" s="2">
        <f>('Kwh Reading'!R14-'Kwh Reading'!R13)*1000</f>
        <v>0</v>
      </c>
      <c r="J13" s="2">
        <f>('Kwh Reading'!S14-'Kwh Reading'!S13)*1000</f>
        <v>119.99999999997613</v>
      </c>
      <c r="K13" s="2">
        <f>('Kwh Reading'!I14-'Kwh Reading'!I13)*1000</f>
        <v>229.99999999996135</v>
      </c>
      <c r="L13" s="2">
        <f>('Kwh Reading'!B14-'Kwh Reading'!B13)*1000000</f>
        <v>1000.0000000001119</v>
      </c>
      <c r="M13" s="2">
        <f>('Kwh Reading'!M14-'Kwh Reading'!M13)*1000</f>
        <v>579.99999999992724</v>
      </c>
      <c r="N13" s="2">
        <f>('Kwh Reading'!H14-'Kwh Reading'!H13)*1000</f>
        <v>1139.9999999999864</v>
      </c>
      <c r="O13" s="2">
        <f>('Kwh Reading'!P14-'Kwh Reading'!P13)*1000</f>
        <v>909.99999999996817</v>
      </c>
      <c r="P13" s="2">
        <f>('Kwh Reading'!G14-'Kwh Reading'!G13)*1000</f>
        <v>799.99999999995453</v>
      </c>
      <c r="Q13" s="2">
        <f>('Kwh Reading'!Q14-'Kwh Reading'!Q13)*1000</f>
        <v>609.99999999989996</v>
      </c>
      <c r="R13" s="2">
        <f>('Kwh Reading'!N14-'Kwh Reading'!N13)*1000</f>
        <v>639.99999999998636</v>
      </c>
      <c r="S13" s="33">
        <f>'Kwh Reading'!E14-'Kwh Reading'!E13</f>
        <v>2301.730000000447</v>
      </c>
      <c r="T13" s="33">
        <f>'Kwh Reading'!D14-'Kwh Reading'!D13</f>
        <v>1866.429999999702</v>
      </c>
      <c r="U13" s="27">
        <f>('Kwh Reading'!O14-'Kwh Reading'!O13)*1000</f>
        <v>200.00000000001705</v>
      </c>
      <c r="V13" s="16">
        <f t="shared" si="1"/>
        <v>6691.8400000000129</v>
      </c>
    </row>
    <row r="14" spans="1:22" x14ac:dyDescent="0.25">
      <c r="A14" s="3">
        <f>'Kwh Reading'!A14</f>
        <v>44541</v>
      </c>
      <c r="B14" s="26">
        <f>TOTAL!E12</f>
        <v>20149.999999999862</v>
      </c>
      <c r="C14" s="4">
        <f>('Kwh Reading'!T15-'Kwh Reading'!T14)*1000</f>
        <v>529.99999999997272</v>
      </c>
      <c r="D14" s="2">
        <f>('Kwh Reading'!F15-'Kwh Reading'!F14)*1000000</f>
        <v>2600.0000000001578</v>
      </c>
      <c r="E14" s="2">
        <f>('Kwh Reading'!C15-'Kwh Reading'!C14)*1000</f>
        <v>269.99999999998181</v>
      </c>
      <c r="F14" s="2">
        <f>('Kwh Reading'!J15-'Kwh Reading'!J14)*1000</f>
        <v>489.99999999995225</v>
      </c>
      <c r="G14" s="2">
        <f>('Kwh Reading'!K15-'Kwh Reading'!K14)*1000</f>
        <v>350.00000000002274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160.00000000002501</v>
      </c>
      <c r="K14" s="2">
        <f>('Kwh Reading'!I15-'Kwh Reading'!I14)*1000</f>
        <v>210.00000000003638</v>
      </c>
      <c r="L14" s="2">
        <f>('Kwh Reading'!B15-'Kwh Reading'!B14)*1000000</f>
        <v>999.99999999988984</v>
      </c>
      <c r="M14" s="2">
        <f>('Kwh Reading'!M15-'Kwh Reading'!M14)*1000</f>
        <v>519.99999999998181</v>
      </c>
      <c r="N14" s="2">
        <f>('Kwh Reading'!H15-'Kwh Reading'!H14)*1000</f>
        <v>1010.0000000001046</v>
      </c>
      <c r="O14" s="2">
        <f>('Kwh Reading'!P15-'Kwh Reading'!P14)*1000</f>
        <v>759.99999999999091</v>
      </c>
      <c r="P14" s="2">
        <f>('Kwh Reading'!G15-'Kwh Reading'!G14)*1000</f>
        <v>740.00000000000909</v>
      </c>
      <c r="Q14" s="2">
        <f>('Kwh Reading'!Q15-'Kwh Reading'!Q14)*1000</f>
        <v>580.00000000004093</v>
      </c>
      <c r="R14" s="2">
        <f>('Kwh Reading'!N15-'Kwh Reading'!N14)*1000</f>
        <v>460.00000000003638</v>
      </c>
      <c r="S14" s="33">
        <f>'Kwh Reading'!E15-'Kwh Reading'!E14</f>
        <v>2364.1699999999255</v>
      </c>
      <c r="T14" s="33">
        <f>'Kwh Reading'!D15-'Kwh Reading'!D14</f>
        <v>1845.5300000002608</v>
      </c>
      <c r="U14" s="27">
        <f>('Kwh Reading'!O15-'Kwh Reading'!O14)*1000</f>
        <v>199.99999999998863</v>
      </c>
      <c r="V14" s="16">
        <f t="shared" si="1"/>
        <v>5820.2999999994754</v>
      </c>
    </row>
    <row r="15" spans="1:22" x14ac:dyDescent="0.25">
      <c r="A15" s="3">
        <f>'Kwh Reading'!A15</f>
        <v>44542</v>
      </c>
      <c r="B15" s="26">
        <f>TOTAL!E13</f>
        <v>20259.999999999993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280.00000000002956</v>
      </c>
      <c r="F15" s="2">
        <f>('Kwh Reading'!J16-'Kwh Reading'!J15)*1000</f>
        <v>490.00000000000909</v>
      </c>
      <c r="G15" s="2">
        <f>('Kwh Reading'!K16-'Kwh Reading'!K15)*1000</f>
        <v>289.99999999996362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199.99999999998863</v>
      </c>
      <c r="L15" s="2">
        <f>('Kwh Reading'!B16-'Kwh Reading'!B15)*1000000</f>
        <v>900.0000000001229</v>
      </c>
      <c r="M15" s="2">
        <f>('Kwh Reading'!M16-'Kwh Reading'!M15)*1000</f>
        <v>540.00000000007731</v>
      </c>
      <c r="N15" s="2">
        <f>('Kwh Reading'!H16-'Kwh Reading'!H15)*1000</f>
        <v>939.99999999994088</v>
      </c>
      <c r="O15" s="2">
        <f>('Kwh Reading'!P16-'Kwh Reading'!P15)*1000</f>
        <v>700.00000000004547</v>
      </c>
      <c r="P15" s="2">
        <f>('Kwh Reading'!G16-'Kwh Reading'!G15)*1000</f>
        <v>780.0000000000864</v>
      </c>
      <c r="Q15" s="2">
        <f>('Kwh Reading'!Q16-'Kwh Reading'!Q15)*1000</f>
        <v>490.00000000000909</v>
      </c>
      <c r="R15" s="2">
        <f>('Kwh Reading'!N16-'Kwh Reading'!N15)*1000</f>
        <v>409.99999999996817</v>
      </c>
      <c r="S15" s="33">
        <f>'Kwh Reading'!E16-'Kwh Reading'!E15</f>
        <v>2140.4599999990314</v>
      </c>
      <c r="T15" s="33">
        <f>'Kwh Reading'!D16-'Kwh Reading'!D15</f>
        <v>1611.269999999553</v>
      </c>
      <c r="U15" s="27">
        <f>('Kwh Reading'!O16-'Kwh Reading'!O15)*1000</f>
        <v>199.99999999998863</v>
      </c>
      <c r="V15" s="16">
        <f t="shared" si="1"/>
        <v>6838.2700000014411</v>
      </c>
    </row>
    <row r="16" spans="1:22" x14ac:dyDescent="0.25">
      <c r="A16" s="3">
        <f>'Kwh Reading'!A16</f>
        <v>44543</v>
      </c>
      <c r="B16" s="26">
        <f>TOTAL!E14</f>
        <v>20889.999999998734</v>
      </c>
      <c r="C16" s="4">
        <f>('Kwh Reading'!T17-'Kwh Reading'!T16)*1000</f>
        <v>459.99999999997954</v>
      </c>
      <c r="D16" s="2">
        <f>('Kwh Reading'!F17-'Kwh Reading'!F16)*1000000</f>
        <v>2600.0000000001578</v>
      </c>
      <c r="E16" s="2">
        <f>('Kwh Reading'!C17-'Kwh Reading'!C16)*1000</f>
        <v>279.99999999997272</v>
      </c>
      <c r="F16" s="2">
        <f>('Kwh Reading'!J17-'Kwh Reading'!J16)*1000</f>
        <v>430.00000000000682</v>
      </c>
      <c r="G16" s="2">
        <f>('Kwh Reading'!K17-'Kwh Reading'!K16)*1000</f>
        <v>330.00000000004093</v>
      </c>
      <c r="H16" s="2">
        <f>('Kwh Reading'!L17-'Kwh Reading'!L16)*1000</f>
        <v>239.99999999995225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219.99999999997044</v>
      </c>
      <c r="L16" s="2">
        <f>('Kwh Reading'!B17-'Kwh Reading'!B16)*1000000</f>
        <v>999.99999999988984</v>
      </c>
      <c r="M16" s="2">
        <f>('Kwh Reading'!M17-'Kwh Reading'!M16)*1000</f>
        <v>629.99999999999545</v>
      </c>
      <c r="N16" s="2">
        <f>('Kwh Reading'!H17-'Kwh Reading'!H16)*1000</f>
        <v>940.00000000005457</v>
      </c>
      <c r="O16" s="2">
        <f>('Kwh Reading'!P17-'Kwh Reading'!P16)*1000</f>
        <v>959.99999999992269</v>
      </c>
      <c r="P16" s="2">
        <f>('Kwh Reading'!G17-'Kwh Reading'!G16)*1000</f>
        <v>779.99999999997272</v>
      </c>
      <c r="Q16" s="2">
        <f>('Kwh Reading'!Q17-'Kwh Reading'!Q16)*1000</f>
        <v>519.99999999998181</v>
      </c>
      <c r="R16" s="2">
        <f>('Kwh Reading'!N17-'Kwh Reading'!N16)*1000</f>
        <v>610.00000000001364</v>
      </c>
      <c r="S16" s="33">
        <f>'Kwh Reading'!E17-'Kwh Reading'!E16</f>
        <v>2503.3700000010431</v>
      </c>
      <c r="T16" s="33">
        <f>'Kwh Reading'!D17-'Kwh Reading'!D16</f>
        <v>1870.7200000006706</v>
      </c>
      <c r="U16" s="27">
        <f>('Kwh Reading'!O17-'Kwh Reading'!O16)*1000</f>
        <v>210.00000000000796</v>
      </c>
      <c r="V16" s="16">
        <f t="shared" si="1"/>
        <v>6155.9099999970967</v>
      </c>
    </row>
    <row r="17" spans="1:22" x14ac:dyDescent="0.25">
      <c r="A17" s="3">
        <f>'Kwh Reading'!A17</f>
        <v>44544</v>
      </c>
      <c r="B17" s="26">
        <f>TOTAL!E15</f>
        <v>22300.000000001091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290.00000000002046</v>
      </c>
      <c r="F17" s="2">
        <f>('Kwh Reading'!J18-'Kwh Reading'!J17)*1000</f>
        <v>569.99999999999318</v>
      </c>
      <c r="G17" s="2">
        <f>('Kwh Reading'!K18-'Kwh Reading'!K17)*1000</f>
        <v>419.99999999995907</v>
      </c>
      <c r="H17" s="2">
        <f>('Kwh Reading'!L18-'Kwh Reading'!L17)*1000</f>
        <v>260.00000000004775</v>
      </c>
      <c r="I17" s="2">
        <f>('Kwh Reading'!R18-'Kwh Reading'!R17)*1000</f>
        <v>0</v>
      </c>
      <c r="J17" s="2">
        <f>('Kwh Reading'!S18-'Kwh Reading'!S17)*1000</f>
        <v>150.00000000000568</v>
      </c>
      <c r="K17" s="2">
        <f>('Kwh Reading'!I18-'Kwh Reading'!I17)*1000</f>
        <v>220.00000000002728</v>
      </c>
      <c r="L17" s="2">
        <f>('Kwh Reading'!B18-'Kwh Reading'!B17)*1000000</f>
        <v>999.99999999988984</v>
      </c>
      <c r="M17" s="2">
        <f>('Kwh Reading'!M18-'Kwh Reading'!M17)*1000</f>
        <v>709.99999999992269</v>
      </c>
      <c r="N17" s="2">
        <f>('Kwh Reading'!H18-'Kwh Reading'!H17)*1000</f>
        <v>949.99999999993179</v>
      </c>
      <c r="O17" s="2">
        <f>('Kwh Reading'!P18-'Kwh Reading'!P17)*1000</f>
        <v>920.00000000007276</v>
      </c>
      <c r="P17" s="2">
        <f>('Kwh Reading'!G18-'Kwh Reading'!G17)*1000</f>
        <v>809.99999999994543</v>
      </c>
      <c r="Q17" s="2">
        <f>('Kwh Reading'!Q18-'Kwh Reading'!Q17)*1000</f>
        <v>620.00000000000455</v>
      </c>
      <c r="R17" s="2">
        <f>('Kwh Reading'!N18-'Kwh Reading'!N17)*1000</f>
        <v>730.00000000001819</v>
      </c>
      <c r="S17" s="33">
        <f>'Kwh Reading'!E18-'Kwh Reading'!E17</f>
        <v>2261.140000000596</v>
      </c>
      <c r="T17" s="33">
        <f>'Kwh Reading'!D18-'Kwh Reading'!D17</f>
        <v>2024.9899999992922</v>
      </c>
      <c r="U17" s="27">
        <f>('Kwh Reading'!O18-'Kwh Reading'!O17)*1000</f>
        <v>219.99999999999886</v>
      </c>
      <c r="V17" s="16">
        <f t="shared" si="1"/>
        <v>7033.8700000012195</v>
      </c>
    </row>
    <row r="18" spans="1:22" x14ac:dyDescent="0.25">
      <c r="A18" s="3">
        <f>'Kwh Reading'!A18</f>
        <v>44545</v>
      </c>
      <c r="B18" s="26">
        <f>TOTAL!E16</f>
        <v>22360.000000000582</v>
      </c>
      <c r="C18" s="4">
        <f>('Kwh Reading'!T19-'Kwh Reading'!T18)*1000</f>
        <v>540.00000000002046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610.00000000001364</v>
      </c>
      <c r="G18" s="2">
        <f>('Kwh Reading'!K19-'Kwh Reading'!K18)*1000</f>
        <v>480.00000000001819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149.99999999997726</v>
      </c>
      <c r="K18" s="2">
        <f>('Kwh Reading'!I19-'Kwh Reading'!I18)*1000</f>
        <v>230.00000000001819</v>
      </c>
      <c r="L18" s="2">
        <f>('Kwh Reading'!B19-'Kwh Reading'!B18)*1000000</f>
        <v>1000.0000000001119</v>
      </c>
      <c r="M18" s="2">
        <f>('Kwh Reading'!M19-'Kwh Reading'!M18)*1000</f>
        <v>640.00000000010004</v>
      </c>
      <c r="N18" s="2">
        <f>('Kwh Reading'!H19-'Kwh Reading'!H18)*1000</f>
        <v>980.00000000001819</v>
      </c>
      <c r="O18" s="2">
        <f>('Kwh Reading'!P19-'Kwh Reading'!P18)*1000</f>
        <v>1009.9999999999909</v>
      </c>
      <c r="P18" s="2">
        <f>('Kwh Reading'!G19-'Kwh Reading'!G18)*1000</f>
        <v>790.00000000007731</v>
      </c>
      <c r="Q18" s="2">
        <f>('Kwh Reading'!Q19-'Kwh Reading'!Q18)*1000</f>
        <v>659.99999999996817</v>
      </c>
      <c r="R18" s="2">
        <f>('Kwh Reading'!N19-'Kwh Reading'!N18)*1000</f>
        <v>850.00000000002274</v>
      </c>
      <c r="S18" s="33">
        <f>'Kwh Reading'!E19-'Kwh Reading'!E18</f>
        <v>2516.2899999991059</v>
      </c>
      <c r="T18" s="33">
        <f>'Kwh Reading'!D19-'Kwh Reading'!D18</f>
        <v>2166.6200000001118</v>
      </c>
      <c r="U18" s="27">
        <f>('Kwh Reading'!O19-'Kwh Reading'!O18)*1000</f>
        <v>260.00000000001933</v>
      </c>
      <c r="V18" s="16">
        <f t="shared" si="1"/>
        <v>6207.0900000010934</v>
      </c>
    </row>
    <row r="19" spans="1:22" x14ac:dyDescent="0.25">
      <c r="A19" s="3">
        <f>'Kwh Reading'!A19</f>
        <v>44546</v>
      </c>
      <c r="B19" s="26">
        <f>TOTAL!E17</f>
        <v>23420.000000000073</v>
      </c>
      <c r="C19" s="4">
        <f>('Kwh Reading'!T20-'Kwh Reading'!T19)*1000</f>
        <v>519.99999999998181</v>
      </c>
      <c r="D19" s="2">
        <f>('Kwh Reading'!F20-'Kwh Reading'!F19)*1000000</f>
        <v>2799.9999999996917</v>
      </c>
      <c r="E19" s="2">
        <f>('Kwh Reading'!C20-'Kwh Reading'!C19)*1000</f>
        <v>279.99999999997272</v>
      </c>
      <c r="F19" s="2">
        <f>('Kwh Reading'!J20-'Kwh Reading'!J19)*1000</f>
        <v>689.99999999999773</v>
      </c>
      <c r="G19" s="2">
        <f>('Kwh Reading'!K20-'Kwh Reading'!K19)*1000</f>
        <v>430.00000000000682</v>
      </c>
      <c r="H19" s="2">
        <f>('Kwh Reading'!L20-'Kwh Reading'!L19)*1000</f>
        <v>269.99999999998181</v>
      </c>
      <c r="I19" s="2">
        <f>('Kwh Reading'!R20-'Kwh Reading'!R19)*1000</f>
        <v>0</v>
      </c>
      <c r="J19" s="2">
        <f>('Kwh Reading'!S20-'Kwh Reading'!S19)*1000</f>
        <v>160.00000000002501</v>
      </c>
      <c r="K19" s="2">
        <f>('Kwh Reading'!I20-'Kwh Reading'!I19)*1000</f>
        <v>289.99999999996362</v>
      </c>
      <c r="L19" s="2">
        <f>('Kwh Reading'!B20-'Kwh Reading'!B19)*1000000</f>
        <v>1100.000000000101</v>
      </c>
      <c r="M19" s="2">
        <f>('Kwh Reading'!M20-'Kwh Reading'!M19)*1000</f>
        <v>849.99999999990905</v>
      </c>
      <c r="N19" s="2">
        <f>('Kwh Reading'!H20-'Kwh Reading'!H19)*1000</f>
        <v>1269.9999999999818</v>
      </c>
      <c r="O19" s="2">
        <f>('Kwh Reading'!P20-'Kwh Reading'!P19)*1000</f>
        <v>1049.9999999999545</v>
      </c>
      <c r="P19" s="2">
        <f>('Kwh Reading'!G20-'Kwh Reading'!G19)*1000</f>
        <v>969.9999999999136</v>
      </c>
      <c r="Q19" s="2">
        <f>('Kwh Reading'!Q20-'Kwh Reading'!Q19)*1000</f>
        <v>759.99999999999091</v>
      </c>
      <c r="R19" s="2">
        <f>('Kwh Reading'!N20-'Kwh Reading'!N19)*1000</f>
        <v>909.99999999996817</v>
      </c>
      <c r="S19" s="33">
        <f>'Kwh Reading'!E20-'Kwh Reading'!E19</f>
        <v>2641.2799999993294</v>
      </c>
      <c r="T19" s="33">
        <f>'Kwh Reading'!D20-'Kwh Reading'!D19</f>
        <v>2225.9199999999255</v>
      </c>
      <c r="U19" s="27">
        <f>('Kwh Reading'!O20-'Kwh Reading'!O19)*1000</f>
        <v>209.99999999997954</v>
      </c>
      <c r="V19" s="16">
        <f t="shared" si="1"/>
        <v>5992.8000000013963</v>
      </c>
    </row>
    <row r="20" spans="1:22" x14ac:dyDescent="0.25">
      <c r="A20" s="3">
        <f>'Kwh Reading'!A20</f>
        <v>44547</v>
      </c>
      <c r="B20" s="26">
        <f>TOTAL!E18</f>
        <v>22370.0000000008</v>
      </c>
      <c r="C20" s="4">
        <f>('Kwh Reading'!T21-'Kwh Reading'!T20)*1000</f>
        <v>560.00000000000227</v>
      </c>
      <c r="D20" s="2">
        <f>('Kwh Reading'!F21-'Kwh Reading'!F20)*1000000</f>
        <v>2700.0000000003688</v>
      </c>
      <c r="E20" s="2">
        <f>('Kwh Reading'!C21-'Kwh Reading'!C20)*1000</f>
        <v>269.99999999998181</v>
      </c>
      <c r="F20" s="2">
        <f>('Kwh Reading'!J21-'Kwh Reading'!J20)*1000</f>
        <v>670.00000000001592</v>
      </c>
      <c r="G20" s="2">
        <f>('Kwh Reading'!K21-'Kwh Reading'!K20)*1000</f>
        <v>459.99999999997954</v>
      </c>
      <c r="H20" s="2">
        <f>('Kwh Reading'!L21-'Kwh Reading'!L20)*1000</f>
        <v>310.00000000000227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189.99999999999773</v>
      </c>
      <c r="L20" s="2">
        <f>('Kwh Reading'!B21-'Kwh Reading'!B20)*1000000</f>
        <v>899.99999999990087</v>
      </c>
      <c r="M20" s="2">
        <f>('Kwh Reading'!M21-'Kwh Reading'!M20)*1000</f>
        <v>629.99999999999545</v>
      </c>
      <c r="N20" s="2">
        <f>('Kwh Reading'!H21-'Kwh Reading'!H20)*1000</f>
        <v>1000</v>
      </c>
      <c r="O20" s="2">
        <f>('Kwh Reading'!P21-'Kwh Reading'!P20)*1000</f>
        <v>870.00000000000455</v>
      </c>
      <c r="P20" s="2">
        <f>('Kwh Reading'!G21-'Kwh Reading'!G20)*1000</f>
        <v>770.0000000000955</v>
      </c>
      <c r="Q20" s="2">
        <f>('Kwh Reading'!Q21-'Kwh Reading'!Q20)*1000</f>
        <v>590.00000000003183</v>
      </c>
      <c r="R20" s="2">
        <f>('Kwh Reading'!N21-'Kwh Reading'!N20)*1000</f>
        <v>579.99999999992724</v>
      </c>
      <c r="S20" s="33">
        <f>'Kwh Reading'!E21-'Kwh Reading'!E20</f>
        <v>2259.410000000149</v>
      </c>
      <c r="T20" s="33">
        <f>'Kwh Reading'!D21-'Kwh Reading'!D20</f>
        <v>1921.5100000007078</v>
      </c>
      <c r="U20" s="27">
        <f>('Kwh Reading'!O21-'Kwh Reading'!O20)*1000</f>
        <v>230.00000000001819</v>
      </c>
      <c r="V20" s="16">
        <f t="shared" si="1"/>
        <v>7299.0799999996234</v>
      </c>
    </row>
    <row r="21" spans="1:22" ht="16.5" customHeight="1" x14ac:dyDescent="0.25">
      <c r="A21" s="3">
        <f>'Kwh Reading'!A21</f>
        <v>44548</v>
      </c>
      <c r="B21" s="26">
        <f>TOTAL!E19</f>
        <v>23879.99999999829</v>
      </c>
      <c r="C21" s="4">
        <f>('Kwh Reading'!T22-'Kwh Reading'!T21)*1000</f>
        <v>569.99999999999318</v>
      </c>
      <c r="D21" s="2">
        <f>('Kwh Reading'!F22-'Kwh Reading'!F21)*1000000</f>
        <v>2699.9999999999245</v>
      </c>
      <c r="E21" s="2">
        <f>('Kwh Reading'!C22-'Kwh Reading'!C21)*1000</f>
        <v>280.00000000002956</v>
      </c>
      <c r="F21" s="2">
        <f>('Kwh Reading'!J22-'Kwh Reading'!J21)*1000</f>
        <v>610.00000000001364</v>
      </c>
      <c r="G21" s="2">
        <f>('Kwh Reading'!K22-'Kwh Reading'!K21)*1000</f>
        <v>509.99999999999091</v>
      </c>
      <c r="H21" s="2">
        <f>('Kwh Reading'!L22-'Kwh Reading'!L21)*1000</f>
        <v>300.00000000001137</v>
      </c>
      <c r="I21" s="2">
        <f>('Kwh Reading'!R22-'Kwh Reading'!R21)*1000</f>
        <v>0</v>
      </c>
      <c r="J21" s="2">
        <f>('Kwh Reading'!S22-'Kwh Reading'!S21)*1000</f>
        <v>149.99999999997726</v>
      </c>
      <c r="K21" s="2">
        <f>('Kwh Reading'!I22-'Kwh Reading'!I21)*1000</f>
        <v>260.00000000004775</v>
      </c>
      <c r="L21" s="2">
        <f>('Kwh Reading'!B22-'Kwh Reading'!B21)*1000000</f>
        <v>1100.000000000101</v>
      </c>
      <c r="M21" s="2">
        <f>('Kwh Reading'!M22-'Kwh Reading'!M21)*1000</f>
        <v>810.00000000005912</v>
      </c>
      <c r="N21" s="2">
        <f>('Kwh Reading'!H22-'Kwh Reading'!H21)*1000</f>
        <v>1180.0000000000637</v>
      </c>
      <c r="O21" s="2">
        <f>('Kwh Reading'!P22-'Kwh Reading'!P21)*1000</f>
        <v>990.00000000000909</v>
      </c>
      <c r="P21" s="2">
        <f>('Kwh Reading'!G22-'Kwh Reading'!G21)*1000</f>
        <v>889.99999999998636</v>
      </c>
      <c r="Q21" s="2">
        <f>('Kwh Reading'!Q22-'Kwh Reading'!Q21)*1000</f>
        <v>629.99999999999545</v>
      </c>
      <c r="R21" s="2">
        <f>('Kwh Reading'!N22-'Kwh Reading'!N21)*1000</f>
        <v>730.00000000001819</v>
      </c>
      <c r="S21" s="33">
        <f>'Kwh Reading'!E22-'Kwh Reading'!E21</f>
        <v>2646.429999999702</v>
      </c>
      <c r="T21" s="33">
        <f>'Kwh Reading'!D22-'Kwh Reading'!D21</f>
        <v>2091.4799999995157</v>
      </c>
      <c r="U21" s="27">
        <f>('Kwh Reading'!O22-'Kwh Reading'!O21)*1000</f>
        <v>250</v>
      </c>
      <c r="V21" s="16">
        <f t="shared" si="1"/>
        <v>7182.0899999988505</v>
      </c>
    </row>
    <row r="22" spans="1:22" x14ac:dyDescent="0.25">
      <c r="A22" s="3">
        <f>'Kwh Reading'!A22</f>
        <v>44549</v>
      </c>
      <c r="B22" s="26">
        <f>TOTAL!E20</f>
        <v>24589.99999999992</v>
      </c>
      <c r="C22" s="4">
        <f>('Kwh Reading'!T23-'Kwh Reading'!T22)*1000</f>
        <v>590.00000000003183</v>
      </c>
      <c r="D22" s="2">
        <f>('Kwh Reading'!F23-'Kwh Reading'!F22)*1000000</f>
        <v>2699.9999999999245</v>
      </c>
      <c r="E22" s="2">
        <f>('Kwh Reading'!C23-'Kwh Reading'!C22)*1000</f>
        <v>279.99999999997272</v>
      </c>
      <c r="F22" s="2">
        <f>('Kwh Reading'!J23-'Kwh Reading'!J22)*1000</f>
        <v>639.99999999998636</v>
      </c>
      <c r="G22" s="2">
        <f>('Kwh Reading'!K23-'Kwh Reading'!K22)*1000</f>
        <v>520.00000000003865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160.00000000002501</v>
      </c>
      <c r="K22" s="2">
        <f>('Kwh Reading'!I23-'Kwh Reading'!I22)*1000</f>
        <v>259.99999999999091</v>
      </c>
      <c r="L22" s="2">
        <f>('Kwh Reading'!B23-'Kwh Reading'!B22)*1000000</f>
        <v>1099.9999999998788</v>
      </c>
      <c r="M22" s="2">
        <f>('Kwh Reading'!M23-'Kwh Reading'!M22)*1000</f>
        <v>750</v>
      </c>
      <c r="N22" s="2">
        <f>('Kwh Reading'!H23-'Kwh Reading'!H22)*1000</f>
        <v>1059.9999999999454</v>
      </c>
      <c r="O22" s="2">
        <f>('Kwh Reading'!P23-'Kwh Reading'!P22)*1000</f>
        <v>919.99999999995907</v>
      </c>
      <c r="P22" s="2">
        <f>('Kwh Reading'!G23-'Kwh Reading'!G22)*1000</f>
        <v>1009.9999999999909</v>
      </c>
      <c r="Q22" s="2">
        <f>('Kwh Reading'!Q23-'Kwh Reading'!Q22)*1000</f>
        <v>710.00000000003638</v>
      </c>
      <c r="R22" s="2">
        <f>('Kwh Reading'!N23-'Kwh Reading'!N22)*1000</f>
        <v>740.00000000000909</v>
      </c>
      <c r="S22" s="33">
        <f>'Kwh Reading'!E23-'Kwh Reading'!E22</f>
        <v>2952.0600000005215</v>
      </c>
      <c r="T22" s="33">
        <f>'Kwh Reading'!D23-'Kwh Reading'!D22</f>
        <v>2364.1100000003353</v>
      </c>
      <c r="U22" s="27">
        <f>('Kwh Reading'!O23-'Kwh Reading'!O22)*1000</f>
        <v>239.99999999998067</v>
      </c>
      <c r="V22" s="16">
        <f t="shared" si="1"/>
        <v>7303.8299999992705</v>
      </c>
    </row>
    <row r="23" spans="1:22" x14ac:dyDescent="0.25">
      <c r="A23" s="3">
        <f>'Kwh Reading'!A23</f>
        <v>44550</v>
      </c>
      <c r="B23" s="26">
        <f>TOTAL!E21</f>
        <v>24680.000000000065</v>
      </c>
      <c r="C23" s="4">
        <f>('Kwh Reading'!T24-'Kwh Reading'!T23)*1000</f>
        <v>599.99999999996589</v>
      </c>
      <c r="D23" s="2">
        <f>('Kwh Reading'!F24-'Kwh Reading'!F23)*1000000</f>
        <v>2699.9999999999245</v>
      </c>
      <c r="E23" s="2">
        <f>('Kwh Reading'!C24-'Kwh Reading'!C23)*1000</f>
        <v>280.00000000002956</v>
      </c>
      <c r="F23" s="2">
        <f>('Kwh Reading'!J24-'Kwh Reading'!J23)*1000</f>
        <v>689.99999999999773</v>
      </c>
      <c r="G23" s="2">
        <f>('Kwh Reading'!K24-'Kwh Reading'!K23)*1000</f>
        <v>500</v>
      </c>
      <c r="H23" s="2">
        <f>('Kwh Reading'!L24-'Kwh Reading'!L23)*1000</f>
        <v>300.00000000001137</v>
      </c>
      <c r="I23" s="2">
        <f>('Kwh Reading'!R24-'Kwh Reading'!R23)*1000</f>
        <v>0</v>
      </c>
      <c r="J23" s="2">
        <f>('Kwh Reading'!S24-'Kwh Reading'!S23)*1000</f>
        <v>149.99999999997726</v>
      </c>
      <c r="K23" s="2">
        <f>('Kwh Reading'!I24-'Kwh Reading'!I23)*1000</f>
        <v>299.99999999995453</v>
      </c>
      <c r="L23" s="2">
        <f>('Kwh Reading'!B24-'Kwh Reading'!B23)*1000000</f>
        <v>1100.000000000101</v>
      </c>
      <c r="M23" s="2">
        <f>('Kwh Reading'!M24-'Kwh Reading'!M23)*1000</f>
        <v>710.00000000003638</v>
      </c>
      <c r="N23" s="2">
        <f>('Kwh Reading'!H24-'Kwh Reading'!H23)*1000</f>
        <v>1210.0000000000364</v>
      </c>
      <c r="O23" s="2">
        <f>('Kwh Reading'!P24-'Kwh Reading'!P23)*1000</f>
        <v>960.00000000003638</v>
      </c>
      <c r="P23" s="2">
        <f>('Kwh Reading'!G24-'Kwh Reading'!G23)*1000</f>
        <v>1029.9999999999727</v>
      </c>
      <c r="Q23" s="2">
        <f>('Kwh Reading'!Q24-'Kwh Reading'!Q23)*1000</f>
        <v>759.99999999999091</v>
      </c>
      <c r="R23" s="2">
        <f>('Kwh Reading'!N24-'Kwh Reading'!N23)*1000</f>
        <v>740.00000000000909</v>
      </c>
      <c r="S23" s="33">
        <f>'Kwh Reading'!E24-'Kwh Reading'!E23</f>
        <v>2783.890000000596</v>
      </c>
      <c r="T23" s="33">
        <f>'Kwh Reading'!D24-'Kwh Reading'!D23</f>
        <v>2306.3199999993667</v>
      </c>
      <c r="U23" s="27">
        <f>('Kwh Reading'!O24-'Kwh Reading'!O23)*1000</f>
        <v>230.00000000001819</v>
      </c>
      <c r="V23" s="16">
        <f t="shared" si="1"/>
        <v>7329.7900000000409</v>
      </c>
    </row>
    <row r="24" spans="1:22" x14ac:dyDescent="0.25">
      <c r="A24" s="3">
        <f>'Kwh Reading'!A24</f>
        <v>44551</v>
      </c>
      <c r="B24" s="26">
        <f>TOTAL!E22</f>
        <v>23709.999999999807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300.00000000001137</v>
      </c>
      <c r="F24" s="2">
        <f>('Kwh Reading'!J25-'Kwh Reading'!J24)*1000</f>
        <v>560.00000000000227</v>
      </c>
      <c r="G24" s="2">
        <f>('Kwh Reading'!K25-'Kwh Reading'!K24)*1000</f>
        <v>509.99999999999091</v>
      </c>
      <c r="H24" s="2">
        <f>('Kwh Reading'!L25-'Kwh Reading'!L24)*1000</f>
        <v>299.99999999995453</v>
      </c>
      <c r="I24" s="2">
        <f>('Kwh Reading'!R25-'Kwh Reading'!R24)*1000</f>
        <v>0</v>
      </c>
      <c r="J24" s="2">
        <f>('Kwh Reading'!S25-'Kwh Reading'!S24)*1000</f>
        <v>160.00000000002501</v>
      </c>
      <c r="K24" s="2">
        <f>('Kwh Reading'!I25-'Kwh Reading'!I24)*1000</f>
        <v>330.00000000004093</v>
      </c>
      <c r="L24" s="2">
        <f>('Kwh Reading'!B25-'Kwh Reading'!B24)*1000000</f>
        <v>1099.9999999998788</v>
      </c>
      <c r="M24" s="2">
        <f>('Kwh Reading'!M25-'Kwh Reading'!M24)*1000</f>
        <v>769.99999999998181</v>
      </c>
      <c r="N24" s="2">
        <f>('Kwh Reading'!H25-'Kwh Reading'!H24)*1000</f>
        <v>1279.9999999999727</v>
      </c>
      <c r="O24" s="2">
        <f>('Kwh Reading'!P25-'Kwh Reading'!P24)*1000</f>
        <v>899.99999999997726</v>
      </c>
      <c r="P24" s="2">
        <f>('Kwh Reading'!G25-'Kwh Reading'!G24)*1000</f>
        <v>1009.9999999999909</v>
      </c>
      <c r="Q24" s="2">
        <f>('Kwh Reading'!Q25-'Kwh Reading'!Q24)*1000</f>
        <v>700.00000000004547</v>
      </c>
      <c r="R24" s="2">
        <f>('Kwh Reading'!N25-'Kwh Reading'!N24)*1000</f>
        <v>700.00000000004547</v>
      </c>
      <c r="S24" s="2">
        <f>'Kwh Reading'!E25-'Kwh Reading'!E24</f>
        <v>2646.230000000447</v>
      </c>
      <c r="T24" s="2">
        <f>'Kwh Reading'!D25-'Kwh Reading'!D24</f>
        <v>2122.7700000004843</v>
      </c>
      <c r="U24" s="27">
        <f>('Kwh Reading'!O25-'Kwh Reading'!O24)*1000</f>
        <v>229.99999999998977</v>
      </c>
      <c r="V24" s="16">
        <f t="shared" si="1"/>
        <v>6680.9999999988213</v>
      </c>
    </row>
    <row r="25" spans="1:22" x14ac:dyDescent="0.25">
      <c r="A25" s="3">
        <f>'Kwh Reading'!A25</f>
        <v>44552</v>
      </c>
      <c r="B25" s="26">
        <f>TOTAL!E23</f>
        <v>25000.000000000455</v>
      </c>
      <c r="C25" s="4">
        <f>('Kwh Reading'!T26-'Kwh Reading'!T25)*1000</f>
        <v>620.00000000000455</v>
      </c>
      <c r="D25" s="2">
        <f>('Kwh Reading'!F26-'Kwh Reading'!F25)*1000000</f>
        <v>2799.9999999996917</v>
      </c>
      <c r="E25" s="2">
        <f>('Kwh Reading'!C26-'Kwh Reading'!C25)*1000</f>
        <v>279.99999999997272</v>
      </c>
      <c r="F25" s="2">
        <f>('Kwh Reading'!J26-'Kwh Reading'!J25)*1000</f>
        <v>599.99999999996589</v>
      </c>
      <c r="G25" s="2">
        <f>('Kwh Reading'!K26-'Kwh Reading'!K25)*1000</f>
        <v>519.99999999998181</v>
      </c>
      <c r="H25" s="2">
        <f>('Kwh Reading'!L26-'Kwh Reading'!L25)*1000</f>
        <v>270.00000000003865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329.99999999998408</v>
      </c>
      <c r="L25" s="2">
        <f>('Kwh Reading'!B26-'Kwh Reading'!B25)*1000000</f>
        <v>1100.000000000101</v>
      </c>
      <c r="M25" s="2">
        <f>('Kwh Reading'!M26-'Kwh Reading'!M25)*1000</f>
        <v>870.00000000000455</v>
      </c>
      <c r="N25" s="2">
        <f>('Kwh Reading'!H26-'Kwh Reading'!H25)*1000</f>
        <v>1330.0000000000409</v>
      </c>
      <c r="O25" s="2">
        <f>('Kwh Reading'!P26-'Kwh Reading'!P25)*1000</f>
        <v>960.00000000003638</v>
      </c>
      <c r="P25" s="2">
        <f>('Kwh Reading'!G26-'Kwh Reading'!G25)*1000</f>
        <v>1009.9999999999909</v>
      </c>
      <c r="Q25" s="2">
        <f>('Kwh Reading'!Q26-'Kwh Reading'!Q25)*1000</f>
        <v>709.99999999992269</v>
      </c>
      <c r="R25" s="2">
        <f>('Kwh Reading'!N26-'Kwh Reading'!N25)*1000</f>
        <v>819.99999999993634</v>
      </c>
      <c r="S25" s="2">
        <f>'Kwh Reading'!E26-'Kwh Reading'!E25</f>
        <v>2768.4699999988079</v>
      </c>
      <c r="T25" s="2">
        <f>'Kwh Reading'!D26-'Kwh Reading'!D25</f>
        <v>2184.6299999998882</v>
      </c>
      <c r="U25" s="27">
        <f>('Kwh Reading'!O26-'Kwh Reading'!O25)*1000</f>
        <v>259.99999999999091</v>
      </c>
      <c r="V25" s="16">
        <f t="shared" si="1"/>
        <v>7406.9000000021006</v>
      </c>
    </row>
    <row r="26" spans="1:22" x14ac:dyDescent="0.25">
      <c r="A26" s="3">
        <f>'Kwh Reading'!A26</f>
        <v>44553</v>
      </c>
      <c r="B26" s="26">
        <f>TOTAL!E24</f>
        <v>24359.999999999902</v>
      </c>
      <c r="C26" s="4">
        <f>('Kwh Reading'!T27-'Kwh Reading'!T26)*1000</f>
        <v>579.99999999998408</v>
      </c>
      <c r="D26" s="2">
        <f>('Kwh Reading'!F27-'Kwh Reading'!F26)*1000000</f>
        <v>2900.0000000003465</v>
      </c>
      <c r="E26" s="2">
        <f>('Kwh Reading'!C27-'Kwh Reading'!C26)*1000</f>
        <v>300.00000000001137</v>
      </c>
      <c r="F26" s="2">
        <f>('Kwh Reading'!J27-'Kwh Reading'!J26)*1000</f>
        <v>570.00000000005002</v>
      </c>
      <c r="G26" s="2">
        <f>('Kwh Reading'!K27-'Kwh Reading'!K26)*1000</f>
        <v>509.99999999999091</v>
      </c>
      <c r="H26" s="2">
        <f>('Kwh Reading'!L27-'Kwh Reading'!L26)*1000</f>
        <v>289.99999999996362</v>
      </c>
      <c r="I26" s="2">
        <f>('Kwh Reading'!R27-'Kwh Reading'!R26)*1000</f>
        <v>0</v>
      </c>
      <c r="J26" s="2">
        <f>('Kwh Reading'!S27-'Kwh Reading'!S26)*1000</f>
        <v>149.99999999997726</v>
      </c>
      <c r="K26" s="2">
        <f>('Kwh Reading'!I27-'Kwh Reading'!I26)*1000</f>
        <v>290.00000000002046</v>
      </c>
      <c r="L26" s="2">
        <f>('Kwh Reading'!B27-'Kwh Reading'!B26)*1000000</f>
        <v>1099.9999999998788</v>
      </c>
      <c r="M26" s="2">
        <f>('Kwh Reading'!M27-'Kwh Reading'!M26)*1000</f>
        <v>839.99999999991815</v>
      </c>
      <c r="N26" s="2">
        <f>('Kwh Reading'!H27-'Kwh Reading'!H26)*1000</f>
        <v>1319.9999999999363</v>
      </c>
      <c r="O26" s="2">
        <f>('Kwh Reading'!P27-'Kwh Reading'!P26)*1000</f>
        <v>1029.9999999999727</v>
      </c>
      <c r="P26" s="2">
        <f>('Kwh Reading'!G27-'Kwh Reading'!G26)*1000</f>
        <v>1000</v>
      </c>
      <c r="Q26" s="2">
        <f>('Kwh Reading'!Q27-'Kwh Reading'!Q26)*1000</f>
        <v>649.99999999997726</v>
      </c>
      <c r="R26" s="2">
        <f>('Kwh Reading'!N27-'Kwh Reading'!N26)*1000</f>
        <v>769.99999999998181</v>
      </c>
      <c r="S26" s="2">
        <f>'Kwh Reading'!E27-'Kwh Reading'!E26</f>
        <v>2488.1200000010431</v>
      </c>
      <c r="T26" s="2">
        <f>'Kwh Reading'!D27-'Kwh Reading'!D26</f>
        <v>2005.2099999999627</v>
      </c>
      <c r="U26" s="27">
        <f>('Kwh Reading'!O27-'Kwh Reading'!O26)*1000</f>
        <v>210.00000000000796</v>
      </c>
      <c r="V26" s="16">
        <f t="shared" si="1"/>
        <v>7356.6699999988814</v>
      </c>
    </row>
    <row r="27" spans="1:22" x14ac:dyDescent="0.25">
      <c r="A27" s="3">
        <f>'Kwh Reading'!A27</f>
        <v>44554</v>
      </c>
      <c r="B27" s="26">
        <f>TOTAL!E25</f>
        <v>23810.000000000851</v>
      </c>
      <c r="C27" s="4">
        <f>('Kwh Reading'!T28-'Kwh Reading'!T27)*1000</f>
        <v>420.00000000001592</v>
      </c>
      <c r="D27" s="2">
        <f>('Kwh Reading'!F28-'Kwh Reading'!F27)*1000000</f>
        <v>2899.9999999999027</v>
      </c>
      <c r="E27" s="2">
        <f>('Kwh Reading'!C28-'Kwh Reading'!C27)*1000</f>
        <v>269.99999999998181</v>
      </c>
      <c r="F27" s="2">
        <f>('Kwh Reading'!J28-'Kwh Reading'!J27)*1000</f>
        <v>609.9999999999568</v>
      </c>
      <c r="G27" s="2">
        <f>('Kwh Reading'!K28-'Kwh Reading'!K27)*1000</f>
        <v>510.00000000004775</v>
      </c>
      <c r="H27" s="2">
        <f>('Kwh Reading'!L28-'Kwh Reading'!L27)*1000</f>
        <v>310.00000000000227</v>
      </c>
      <c r="I27" s="2">
        <f>('Kwh Reading'!R28-'Kwh Reading'!R27)*1000</f>
        <v>0</v>
      </c>
      <c r="J27" s="2">
        <f>('Kwh Reading'!S28-'Kwh Reading'!S27)*1000</f>
        <v>160.00000000002501</v>
      </c>
      <c r="K27" s="2">
        <f>('Kwh Reading'!I28-'Kwh Reading'!I27)*1000</f>
        <v>310.00000000000227</v>
      </c>
      <c r="L27" s="2">
        <f>('Kwh Reading'!B28-'Kwh Reading'!B27)*1000000</f>
        <v>1100.000000000101</v>
      </c>
      <c r="M27" s="2">
        <f>('Kwh Reading'!M28-'Kwh Reading'!M27)*1000</f>
        <v>910.00000000008185</v>
      </c>
      <c r="N27" s="2">
        <f>('Kwh Reading'!H28-'Kwh Reading'!H27)*1000</f>
        <v>1259.9999999999909</v>
      </c>
      <c r="O27" s="2">
        <f>('Kwh Reading'!P28-'Kwh Reading'!P27)*1000</f>
        <v>1090.0000000000318</v>
      </c>
      <c r="P27" s="2">
        <f>('Kwh Reading'!G28-'Kwh Reading'!G27)*1000</f>
        <v>1039.9999999999636</v>
      </c>
      <c r="Q27" s="2">
        <f>('Kwh Reading'!Q28-'Kwh Reading'!Q27)*1000</f>
        <v>690.00000000005457</v>
      </c>
      <c r="R27" s="2">
        <f>('Kwh Reading'!N28-'Kwh Reading'!N27)*1000</f>
        <v>790.00000000007731</v>
      </c>
      <c r="S27" s="2">
        <f>'Kwh Reading'!E28-'Kwh Reading'!E27</f>
        <v>2473.1999999992549</v>
      </c>
      <c r="T27" s="2">
        <f>'Kwh Reading'!D28-'Kwh Reading'!D27</f>
        <v>1932.0600000005215</v>
      </c>
      <c r="U27" s="27">
        <f>('Kwh Reading'!O28-'Kwh Reading'!O27)*1000</f>
        <v>229.99999999998977</v>
      </c>
      <c r="V27" s="16">
        <f t="shared" si="1"/>
        <v>6804.7400000008492</v>
      </c>
    </row>
    <row r="28" spans="1:22" x14ac:dyDescent="0.25">
      <c r="A28" s="3">
        <f>'Kwh Reading'!A28</f>
        <v>44555</v>
      </c>
      <c r="B28" s="26">
        <f>TOTAL!E26</f>
        <v>22589.999999997872</v>
      </c>
      <c r="C28" s="4">
        <f>('Kwh Reading'!T29-'Kwh Reading'!T28)*1000</f>
        <v>649.99999999997726</v>
      </c>
      <c r="D28" s="2">
        <f>('Kwh Reading'!F29-'Kwh Reading'!F28)*1000000</f>
        <v>2600.0000000001578</v>
      </c>
      <c r="E28" s="2">
        <f>('Kwh Reading'!C29-'Kwh Reading'!C28)*1000</f>
        <v>290.00000000002046</v>
      </c>
      <c r="F28" s="2">
        <f>('Kwh Reading'!J29-'Kwh Reading'!J28)*1000</f>
        <v>470.00000000002728</v>
      </c>
      <c r="G28" s="2">
        <f>('Kwh Reading'!K29-'Kwh Reading'!K28)*1000</f>
        <v>429.99999999994998</v>
      </c>
      <c r="H28" s="2">
        <f>('Kwh Reading'!L29-'Kwh Reading'!L28)*1000</f>
        <v>259.99999999999091</v>
      </c>
      <c r="I28" s="2">
        <f>('Kwh Reading'!R29-'Kwh Reading'!R28)*1000</f>
        <v>0</v>
      </c>
      <c r="J28" s="2">
        <f>('Kwh Reading'!S29-'Kwh Reading'!S28)*1000</f>
        <v>149.99999999997726</v>
      </c>
      <c r="K28" s="2">
        <f>('Kwh Reading'!I29-'Kwh Reading'!I28)*1000</f>
        <v>289.99999999996362</v>
      </c>
      <c r="L28" s="2">
        <f>('Kwh Reading'!B29-'Kwh Reading'!B28)*1000000</f>
        <v>1099.9999999998788</v>
      </c>
      <c r="M28" s="2">
        <f>('Kwh Reading'!M29-'Kwh Reading'!M28)*1000</f>
        <v>819.99999999993634</v>
      </c>
      <c r="N28" s="2">
        <f>('Kwh Reading'!H29-'Kwh Reading'!H28)*1000</f>
        <v>1149.9999999999773</v>
      </c>
      <c r="O28" s="2">
        <f>('Kwh Reading'!P29-'Kwh Reading'!P28)*1000</f>
        <v>980.00000000001819</v>
      </c>
      <c r="P28" s="2">
        <f>('Kwh Reading'!G29-'Kwh Reading'!G28)*1000</f>
        <v>930.00000000006366</v>
      </c>
      <c r="Q28" s="2">
        <f>('Kwh Reading'!Q29-'Kwh Reading'!Q28)*1000</f>
        <v>620.00000000000455</v>
      </c>
      <c r="R28" s="2">
        <f>('Kwh Reading'!N29-'Kwh Reading'!N28)*1000</f>
        <v>620.00000000000455</v>
      </c>
      <c r="S28" s="2">
        <f>'Kwh Reading'!E29-'Kwh Reading'!E28</f>
        <v>2290.160000000149</v>
      </c>
      <c r="T28" s="2">
        <f>'Kwh Reading'!D29-'Kwh Reading'!D28</f>
        <v>1905.7199999997392</v>
      </c>
      <c r="U28" s="27">
        <f>('Kwh Reading'!O29-'Kwh Reading'!O28)*1000</f>
        <v>230.00000000001819</v>
      </c>
      <c r="V28" s="16">
        <f t="shared" si="1"/>
        <v>6804.1199999980163</v>
      </c>
    </row>
    <row r="29" spans="1:22" x14ac:dyDescent="0.25">
      <c r="A29" s="3">
        <f>'Kwh Reading'!A29</f>
        <v>44556</v>
      </c>
      <c r="B29" s="26">
        <f>TOTAL!E27</f>
        <v>23730.000000000698</v>
      </c>
      <c r="C29" s="4">
        <f>('Kwh Reading'!T30-'Kwh Reading'!T29)*1000</f>
        <v>629.99999999999545</v>
      </c>
      <c r="D29" s="2">
        <f>('Kwh Reading'!F30-'Kwh Reading'!F29)*1000000</f>
        <v>2699.9999999999245</v>
      </c>
      <c r="E29" s="2">
        <f>('Kwh Reading'!C30-'Kwh Reading'!C29)*1000</f>
        <v>279.99999999997272</v>
      </c>
      <c r="F29" s="2">
        <f>('Kwh Reading'!J30-'Kwh Reading'!J29)*1000</f>
        <v>689.99999999999773</v>
      </c>
      <c r="G29" s="2">
        <f>('Kwh Reading'!K30-'Kwh Reading'!K29)*1000</f>
        <v>460.00000000003638</v>
      </c>
      <c r="H29" s="2">
        <f>('Kwh Reading'!L30-'Kwh Reading'!L29)*1000</f>
        <v>310.00000000000227</v>
      </c>
      <c r="I29" s="2">
        <f>('Kwh Reading'!R30-'Kwh Reading'!R29)*1000</f>
        <v>0</v>
      </c>
      <c r="J29" s="2">
        <f>('Kwh Reading'!S30-'Kwh Reading'!S29)*1000</f>
        <v>159.99999999999659</v>
      </c>
      <c r="K29" s="2">
        <f>('Kwh Reading'!I30-'Kwh Reading'!I29)*1000</f>
        <v>270.00000000003865</v>
      </c>
      <c r="L29" s="2">
        <f>('Kwh Reading'!B30-'Kwh Reading'!B29)*1000000</f>
        <v>1100.000000000101</v>
      </c>
      <c r="M29" s="2">
        <f>('Kwh Reading'!M30-'Kwh Reading'!M29)*1000</f>
        <v>850.00000000002274</v>
      </c>
      <c r="N29" s="2">
        <f>('Kwh Reading'!H30-'Kwh Reading'!H29)*1000</f>
        <v>1210.0000000000364</v>
      </c>
      <c r="O29" s="2">
        <f>('Kwh Reading'!P30-'Kwh Reading'!P29)*1000</f>
        <v>1059.9999999999454</v>
      </c>
      <c r="P29" s="2">
        <f>('Kwh Reading'!G30-'Kwh Reading'!G29)*1000</f>
        <v>980.00000000001819</v>
      </c>
      <c r="Q29" s="2">
        <f>('Kwh Reading'!Q30-'Kwh Reading'!Q29)*1000</f>
        <v>710.00000000003638</v>
      </c>
      <c r="R29" s="2">
        <f>('Kwh Reading'!N30-'Kwh Reading'!N29)*1000</f>
        <v>639.99999999998636</v>
      </c>
      <c r="S29" s="2">
        <f>'Kwh Reading'!E30-'Kwh Reading'!E29</f>
        <v>2779.0800000000745</v>
      </c>
      <c r="T29" s="2">
        <f>'Kwh Reading'!D30-'Kwh Reading'!D29</f>
        <v>1993.8199999993667</v>
      </c>
      <c r="U29" s="27">
        <f>('Kwh Reading'!O30-'Kwh Reading'!O29)*1000</f>
        <v>229.99999999998977</v>
      </c>
      <c r="V29" s="16">
        <f t="shared" si="1"/>
        <v>6677.1000000011591</v>
      </c>
    </row>
    <row r="30" spans="1:22" x14ac:dyDescent="0.25">
      <c r="A30" s="3">
        <f>'Kwh Reading'!A30</f>
        <v>44557</v>
      </c>
      <c r="B30" s="26">
        <f>TOTAL!E28</f>
        <v>24229.999999999789</v>
      </c>
      <c r="C30" s="4">
        <f>('Kwh Reading'!T31-'Kwh Reading'!T30)*1000</f>
        <v>600.00000000002274</v>
      </c>
      <c r="D30" s="2">
        <f>('Kwh Reading'!F31-'Kwh Reading'!F30)*1000000</f>
        <v>2899.9999999999027</v>
      </c>
      <c r="E30" s="2">
        <f>('Kwh Reading'!C31-'Kwh Reading'!C30)*1000</f>
        <v>300.00000000001137</v>
      </c>
      <c r="F30" s="2">
        <f>('Kwh Reading'!J31-'Kwh Reading'!J30)*1000</f>
        <v>610.00000000001364</v>
      </c>
      <c r="G30" s="2">
        <f>('Kwh Reading'!K31-'Kwh Reading'!K30)*1000</f>
        <v>509.99999999999091</v>
      </c>
      <c r="H30" s="2">
        <f>('Kwh Reading'!L31-'Kwh Reading'!L30)*1000</f>
        <v>330.00000000004093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259.99999999999091</v>
      </c>
      <c r="L30" s="2">
        <f>('Kwh Reading'!B31-'Kwh Reading'!B30)*1000000</f>
        <v>1099.9999999998788</v>
      </c>
      <c r="M30" s="2">
        <f>('Kwh Reading'!M31-'Kwh Reading'!M30)*1000</f>
        <v>919.99999999995907</v>
      </c>
      <c r="N30" s="2">
        <f>('Kwh Reading'!H31-'Kwh Reading'!H30)*1000</f>
        <v>1220.0000000000273</v>
      </c>
      <c r="O30" s="2">
        <f>('Kwh Reading'!P31-'Kwh Reading'!P30)*1000</f>
        <v>1019.9999999999818</v>
      </c>
      <c r="P30" s="2">
        <f>('Kwh Reading'!G31-'Kwh Reading'!G30)*1000</f>
        <v>980.00000000001819</v>
      </c>
      <c r="Q30" s="2">
        <f>('Kwh Reading'!Q31-'Kwh Reading'!Q30)*1000</f>
        <v>809.99999999994543</v>
      </c>
      <c r="R30" s="2">
        <f>('Kwh Reading'!N31-'Kwh Reading'!N30)*1000</f>
        <v>689.99999999994088</v>
      </c>
      <c r="S30" s="2">
        <f>'Kwh Reading'!E31-'Kwh Reading'!E30</f>
        <v>2811.1199999991804</v>
      </c>
      <c r="T30" s="2">
        <f>'Kwh Reading'!D31-'Kwh Reading'!D30</f>
        <v>2181.3600000003353</v>
      </c>
      <c r="U30" s="27">
        <f>('Kwh Reading'!O31-'Kwh Reading'!O30)*1000</f>
        <v>230.00000000001819</v>
      </c>
      <c r="V30" s="16">
        <f t="shared" si="1"/>
        <v>6607.5200000005243</v>
      </c>
    </row>
    <row r="31" spans="1:22" x14ac:dyDescent="0.25">
      <c r="A31" s="3">
        <f>'Kwh Reading'!A31</f>
        <v>44558</v>
      </c>
      <c r="B31" s="26">
        <f>TOTAL!E29</f>
        <v>0</v>
      </c>
      <c r="C31" s="4">
        <f>('Kwh Reading'!T32-'Kwh Reading'!T31)*1000</f>
        <v>639.99999999998636</v>
      </c>
      <c r="D31" s="2">
        <f>('Kwh Reading'!F32-'Kwh Reading'!F31)*1000000</f>
        <v>2800.0000000001355</v>
      </c>
      <c r="E31" s="2">
        <f>('Kwh Reading'!C32-'Kwh Reading'!C31)*1000</f>
        <v>290.00000000002046</v>
      </c>
      <c r="F31" s="2">
        <f>('Kwh Reading'!J32-'Kwh Reading'!J31)*1000</f>
        <v>810.00000000000227</v>
      </c>
      <c r="G31" s="2">
        <f>('Kwh Reading'!K32-'Kwh Reading'!K31)*1000</f>
        <v>540.00000000002046</v>
      </c>
      <c r="H31" s="2">
        <f>('Kwh Reading'!L32-'Kwh Reading'!L31)*1000</f>
        <v>299.99999999995453</v>
      </c>
      <c r="I31" s="2">
        <f>('Kwh Reading'!R32-'Kwh Reading'!R31)*1000</f>
        <v>0</v>
      </c>
      <c r="J31" s="2">
        <f>('Kwh Reading'!S32-'Kwh Reading'!S31)*1000</f>
        <v>150.00000000000568</v>
      </c>
      <c r="K31" s="2">
        <f>('Kwh Reading'!I32-'Kwh Reading'!I31)*1000</f>
        <v>269.99999999998181</v>
      </c>
      <c r="L31" s="2">
        <f>('Kwh Reading'!B32-'Kwh Reading'!B31)*1000000</f>
        <v>1100.000000000101</v>
      </c>
      <c r="M31" s="2">
        <f>('Kwh Reading'!M32-'Kwh Reading'!M31)*1000</f>
        <v>850.00000000002274</v>
      </c>
      <c r="N31" s="2">
        <f>('Kwh Reading'!H32-'Kwh Reading'!H31)*1000</f>
        <v>1169.9999999999591</v>
      </c>
      <c r="O31" s="2">
        <f>('Kwh Reading'!P32-'Kwh Reading'!P31)*1000</f>
        <v>1050.0000000000682</v>
      </c>
      <c r="P31" s="2">
        <f>('Kwh Reading'!G32-'Kwh Reading'!G31)*1000</f>
        <v>909.99999999996817</v>
      </c>
      <c r="Q31" s="2">
        <f>('Kwh Reading'!Q32-'Kwh Reading'!Q31)*1000</f>
        <v>789.99999999996362</v>
      </c>
      <c r="R31" s="2">
        <f>('Kwh Reading'!N32-'Kwh Reading'!N31)*1000</f>
        <v>720.00000000002728</v>
      </c>
      <c r="S31" s="2">
        <f>'Kwh Reading'!E32-'Kwh Reading'!E31</f>
        <v>2676.0100000016391</v>
      </c>
      <c r="T31" s="2">
        <f>'Kwh Reading'!D32-'Kwh Reading'!D31</f>
        <v>6597.9199999999255</v>
      </c>
      <c r="U31" s="27">
        <f>('Kwh Reading'!O32-'Kwh Reading'!O31)*1000</f>
        <v>279.99999999997272</v>
      </c>
      <c r="V31" s="16">
        <f t="shared" si="1"/>
        <v>-21943.930000001754</v>
      </c>
    </row>
    <row r="32" spans="1:22" x14ac:dyDescent="0.25">
      <c r="A32" s="3">
        <f>'Kwh Reading'!A32</f>
        <v>44559</v>
      </c>
      <c r="B32" s="26">
        <f>TOTAL!E30</f>
        <v>0</v>
      </c>
      <c r="C32" s="4">
        <f>('Kwh Reading'!T33-'Kwh Reading'!T32)*1000</f>
        <v>660.00000000002501</v>
      </c>
      <c r="D32" s="2">
        <f>('Kwh Reading'!F33-'Kwh Reading'!F32)*1000000</f>
        <v>2799.9999999996917</v>
      </c>
      <c r="E32" s="2">
        <f>('Kwh Reading'!C33-'Kwh Reading'!C32)*1000</f>
        <v>289.99999999996362</v>
      </c>
      <c r="F32" s="2">
        <f>('Kwh Reading'!J33-'Kwh Reading'!J32)*1000</f>
        <v>1000</v>
      </c>
      <c r="G32" s="2">
        <f>('Kwh Reading'!K33-'Kwh Reading'!K32)*1000</f>
        <v>589.99999999997499</v>
      </c>
      <c r="H32" s="2">
        <f>('Kwh Reading'!L33-'Kwh Reading'!L32)*1000</f>
        <v>350.00000000002274</v>
      </c>
      <c r="I32" s="2">
        <f>('Kwh Reading'!R33-'Kwh Reading'!R32)*1000</f>
        <v>0</v>
      </c>
      <c r="J32" s="2">
        <f>('Kwh Reading'!S33-'Kwh Reading'!S32)*1000</f>
        <v>180.00000000000682</v>
      </c>
      <c r="K32" s="2">
        <f>('Kwh Reading'!I33-'Kwh Reading'!I32)*1000</f>
        <v>300.00000000001137</v>
      </c>
      <c r="L32" s="2">
        <f>('Kwh Reading'!B33-'Kwh Reading'!B32)*1000000</f>
        <v>1100.000000000101</v>
      </c>
      <c r="M32" s="2">
        <f>('Kwh Reading'!M33-'Kwh Reading'!M32)*1000</f>
        <v>830.00000000004093</v>
      </c>
      <c r="N32" s="2">
        <f>('Kwh Reading'!H33-'Kwh Reading'!H32)*1000</f>
        <v>1220.0000000000273</v>
      </c>
      <c r="O32" s="2">
        <f>('Kwh Reading'!P33-'Kwh Reading'!P32)*1000</f>
        <v>1049.9999999999545</v>
      </c>
      <c r="P32" s="2">
        <f>('Kwh Reading'!G33-'Kwh Reading'!G32)*1000</f>
        <v>870.00000000000455</v>
      </c>
      <c r="Q32" s="2">
        <f>('Kwh Reading'!Q33-'Kwh Reading'!Q32)*1000</f>
        <v>800.00000000006821</v>
      </c>
      <c r="R32" s="2">
        <f>('Kwh Reading'!N33-'Kwh Reading'!N32)*1000</f>
        <v>750</v>
      </c>
      <c r="S32" s="2">
        <f>'Kwh Reading'!E33-'Kwh Reading'!E32</f>
        <v>2618.3300000000745</v>
      </c>
      <c r="T32" s="2">
        <f>'Kwh Reading'!D33-'Kwh Reading'!D32</f>
        <v>-2375.3300000000745</v>
      </c>
      <c r="U32" s="27">
        <f>('Kwh Reading'!O33-'Kwh Reading'!O32)*1000</f>
        <v>270.00000000001023</v>
      </c>
      <c r="V32" s="16">
        <f t="shared" si="1"/>
        <v>-13302.999999999902</v>
      </c>
    </row>
    <row r="33" spans="1:22" x14ac:dyDescent="0.25">
      <c r="A33" s="3">
        <f>'Kwh Reading'!A33</f>
        <v>44560</v>
      </c>
      <c r="B33" s="26">
        <f>TOTAL!E31</f>
        <v>0</v>
      </c>
      <c r="C33" s="4">
        <f>('Kwh Reading'!T34-'Kwh Reading'!T33)*1000</f>
        <v>620.00000000000455</v>
      </c>
      <c r="D33" s="2">
        <f>('Kwh Reading'!F34-'Kwh Reading'!F33)*1000000</f>
        <v>2900.0000000003465</v>
      </c>
      <c r="E33" s="2">
        <f>('Kwh Reading'!C34-'Kwh Reading'!C33)*1000</f>
        <v>270.00000000003865</v>
      </c>
      <c r="F33" s="2">
        <f>('Kwh Reading'!J34-'Kwh Reading'!J33)*1000</f>
        <v>919.99999999995907</v>
      </c>
      <c r="G33" s="2">
        <f>('Kwh Reading'!K34-'Kwh Reading'!K33)*1000</f>
        <v>560.00000000000227</v>
      </c>
      <c r="H33" s="2">
        <f>('Kwh Reading'!L34-'Kwh Reading'!L33)*1000</f>
        <v>329.99999999998408</v>
      </c>
      <c r="I33" s="2">
        <f>('Kwh Reading'!R34-'Kwh Reading'!R33)*1000</f>
        <v>0</v>
      </c>
      <c r="J33" s="2">
        <f>('Kwh Reading'!S34-'Kwh Reading'!S33)*1000</f>
        <v>169.99999999998749</v>
      </c>
      <c r="K33" s="2">
        <f>('Kwh Reading'!I34-'Kwh Reading'!I33)*1000</f>
        <v>279.99999999997272</v>
      </c>
      <c r="L33" s="2">
        <f>('Kwh Reading'!B34-'Kwh Reading'!B33)*1000000</f>
        <v>1199.9999999998679</v>
      </c>
      <c r="M33" s="2">
        <f>('Kwh Reading'!M34-'Kwh Reading'!M33)*1000</f>
        <v>779.99999999997272</v>
      </c>
      <c r="N33" s="2">
        <f>('Kwh Reading'!H34-'Kwh Reading'!H33)*1000</f>
        <v>1169.9999999999591</v>
      </c>
      <c r="O33" s="2">
        <f>('Kwh Reading'!P34-'Kwh Reading'!P33)*1000</f>
        <v>1000</v>
      </c>
      <c r="P33" s="2">
        <f>('Kwh Reading'!G34-'Kwh Reading'!G33)*1000</f>
        <v>829.99999999992724</v>
      </c>
      <c r="Q33" s="2">
        <f>('Kwh Reading'!Q34-'Kwh Reading'!Q33)*1000</f>
        <v>789.99999999996362</v>
      </c>
      <c r="R33" s="2">
        <f>('Kwh Reading'!N34-'Kwh Reading'!N33)*1000</f>
        <v>730.00000000001819</v>
      </c>
      <c r="S33" s="2">
        <f>'Kwh Reading'!E34-'Kwh Reading'!E33</f>
        <v>2656.4399999994785</v>
      </c>
      <c r="T33" s="2">
        <f>'Kwh Reading'!D34-'Kwh Reading'!D33</f>
        <v>2049.8100000005215</v>
      </c>
      <c r="U33" s="27">
        <f>('Kwh Reading'!O34-'Kwh Reading'!O33)*1000</f>
        <v>259.99999999999091</v>
      </c>
      <c r="V33" s="16">
        <f t="shared" si="1"/>
        <v>-17516.249999999993</v>
      </c>
    </row>
    <row r="34" spans="1:22" x14ac:dyDescent="0.25">
      <c r="A34" s="3">
        <f>'Kwh Reading'!A34</f>
        <v>44561</v>
      </c>
      <c r="B34" s="26">
        <f>TOTAL!E32</f>
        <v>0</v>
      </c>
      <c r="C34" s="4">
        <f>('Kwh Reading'!T35-'Kwh Reading'!T34)*1000</f>
        <v>-507420</v>
      </c>
      <c r="D34" s="2">
        <f>('Kwh Reading'!F35-'Kwh Reading'!F34)*1000000</f>
        <v>-2841000</v>
      </c>
      <c r="E34" s="2">
        <f>('Kwh Reading'!C35-'Kwh Reading'!C34)*1000</f>
        <v>-275550</v>
      </c>
      <c r="F34" s="2">
        <f>('Kwh Reading'!J35-'Kwh Reading'!J34)*1000</f>
        <v>-381080</v>
      </c>
      <c r="G34" s="2">
        <f>('Kwh Reading'!K35-'Kwh Reading'!K34)*1000</f>
        <v>-399060</v>
      </c>
      <c r="H34" s="2">
        <f>('Kwh Reading'!L35-'Kwh Reading'!L34)*1000</f>
        <v>-273460</v>
      </c>
      <c r="I34" s="2">
        <f>('Kwh Reading'!R35-'Kwh Reading'!R34)*1000</f>
        <v>-190150</v>
      </c>
      <c r="J34" s="2">
        <f>('Kwh Reading'!S35-'Kwh Reading'!S34)*1000</f>
        <v>-138540</v>
      </c>
      <c r="K34" s="2">
        <f>('Kwh Reading'!I35-'Kwh Reading'!I34)*1000</f>
        <v>-286960</v>
      </c>
      <c r="L34" s="2">
        <f>('Kwh Reading'!B35-'Kwh Reading'!B34)*1000000</f>
        <v>-1205900</v>
      </c>
      <c r="M34" s="2">
        <f>('Kwh Reading'!M35-'Kwh Reading'!M34)*1000</f>
        <v>-657010</v>
      </c>
      <c r="N34" s="2">
        <f>('Kwh Reading'!H35-'Kwh Reading'!H34)*1000</f>
        <v>-754550</v>
      </c>
      <c r="O34" s="2">
        <f>('Kwh Reading'!P35-'Kwh Reading'!P34)*1000</f>
        <v>-797160</v>
      </c>
      <c r="P34" s="2">
        <f>('Kwh Reading'!G35-'Kwh Reading'!G34)*1000</f>
        <v>-901930</v>
      </c>
      <c r="Q34" s="2">
        <f>('Kwh Reading'!Q35-'Kwh Reading'!Q34)*1000</f>
        <v>-587140</v>
      </c>
      <c r="R34" s="2">
        <f>('Kwh Reading'!N35-'Kwh Reading'!N34)*1000</f>
        <v>-610750</v>
      </c>
      <c r="S34" s="2">
        <f>'Kwh Reading'!E35-'Kwh Reading'!E34</f>
        <v>-8707041.9000000004</v>
      </c>
      <c r="T34" s="2">
        <f>'Kwh Reading'!D35-'Kwh Reading'!D34</f>
        <v>-7884719.0300000003</v>
      </c>
      <c r="U34" s="27">
        <f>('Kwh Reading'!O35-'Kwh Reading'!O34)*1000</f>
        <v>-189420</v>
      </c>
      <c r="V34" s="16">
        <f t="shared" si="1"/>
        <v>27588840.93</v>
      </c>
    </row>
    <row r="35" spans="1:22" x14ac:dyDescent="0.25">
      <c r="A35" s="77" t="s">
        <v>52</v>
      </c>
      <c r="B35" s="76">
        <f>SUM(B4:B34)</f>
        <v>613259.99999999825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-267320</v>
      </c>
      <c r="F35" s="72">
        <f t="shared" ref="F35" si="5">SUM(F4:F34)</f>
        <v>-364350.00000000006</v>
      </c>
      <c r="G35" s="72">
        <f t="shared" ref="G35:U35" si="6">SUM(G4:G34)</f>
        <v>-386280</v>
      </c>
      <c r="H35" s="72">
        <f t="shared" si="6"/>
        <v>-265520</v>
      </c>
      <c r="I35" s="72">
        <f t="shared" si="6"/>
        <v>-190150</v>
      </c>
      <c r="J35" s="72">
        <f t="shared" si="6"/>
        <v>-134130</v>
      </c>
      <c r="K35" s="72">
        <f t="shared" si="6"/>
        <v>-279170.00000000006</v>
      </c>
      <c r="L35" s="72">
        <f t="shared" si="6"/>
        <v>-1173500</v>
      </c>
      <c r="M35" s="72">
        <f t="shared" si="6"/>
        <v>-634870</v>
      </c>
      <c r="N35" s="72">
        <f t="shared" si="6"/>
        <v>-721300</v>
      </c>
      <c r="O35" s="72">
        <f t="shared" si="6"/>
        <v>-768110</v>
      </c>
      <c r="P35" s="72">
        <f t="shared" si="6"/>
        <v>-875010</v>
      </c>
      <c r="Q35" s="72">
        <f t="shared" si="6"/>
        <v>-567200</v>
      </c>
      <c r="R35" s="72">
        <f t="shared" si="6"/>
        <v>-589900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-182770.00000000003</v>
      </c>
      <c r="V35" s="72">
        <f>SUM(V4:V34)</f>
        <v>27719684.969999999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21749.999999999316</v>
      </c>
      <c r="C4" s="1">
        <f>'Kwh Consumption'!C5</f>
        <v>500</v>
      </c>
      <c r="D4" s="1">
        <f>'Kwh Consumption'!D5</f>
        <v>2599.9999999997135</v>
      </c>
      <c r="E4" s="1">
        <f>'Kwh Consumption'!E5</f>
        <v>280.00000000002956</v>
      </c>
      <c r="F4" s="1">
        <f>('Kwh Consumption'!F5+'Kwh Consumption'!G5+'Kwh Consumption'!H5)</f>
        <v>899.99999999997726</v>
      </c>
      <c r="G4" s="16">
        <f>('Kwh Consumption'!I5+'Kwh Consumption'!J5)</f>
        <v>120.00000000000455</v>
      </c>
      <c r="H4" s="1">
        <f>('Kwh Consumption'!K5+'Kwh Consumption'!L5)</f>
        <v>1329.9999999998402</v>
      </c>
      <c r="I4" s="1">
        <f>('Kwh Consumption'!M5+'Kwh Consumption'!N5+'Kwh Consumption'!O5+'Kwh Consumption'!P5+'Kwh Consumption'!Q5+'Kwh Consumption'!R5)</f>
        <v>4899.9999999998636</v>
      </c>
      <c r="J4" s="1">
        <f>('Kwh Consumption'!S5+'Kwh Consumption'!T5)</f>
        <v>4210.0300000011921</v>
      </c>
      <c r="K4" s="1">
        <f>'Kwh Consumption'!U5</f>
        <v>169.99999999998749</v>
      </c>
      <c r="L4" s="31">
        <f t="shared" si="0"/>
        <v>6739.9699999987097</v>
      </c>
    </row>
    <row r="5" spans="1:12" x14ac:dyDescent="0.25">
      <c r="A5" s="14">
        <f>'Kwh Reading'!A6</f>
        <v>44533</v>
      </c>
      <c r="B5" s="80">
        <f>TOTAL!E4</f>
        <v>22360.000000001266</v>
      </c>
      <c r="C5" s="1">
        <f>'Kwh Consumption'!C6</f>
        <v>280.00000000002956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959.99999999997954</v>
      </c>
      <c r="G5" s="16">
        <f>('Kwh Consumption'!I6+'Kwh Consumption'!J6)</f>
        <v>139.99999999998636</v>
      </c>
      <c r="H5" s="1">
        <f>('Kwh Consumption'!K6+'Kwh Consumption'!L6)</f>
        <v>1450.0000000000898</v>
      </c>
      <c r="I5" s="1">
        <f>('Kwh Consumption'!M6+'Kwh Consumption'!N6+'Kwh Consumption'!O6+'Kwh Consumption'!P6+'Kwh Consumption'!Q6+'Kwh Consumption'!R6)</f>
        <v>4740.0000000000091</v>
      </c>
      <c r="J5" s="1">
        <f>('Kwh Consumption'!S6+'Kwh Consumption'!T6)</f>
        <v>4256.9899999983609</v>
      </c>
      <c r="K5" s="1">
        <f>'Kwh Consumption'!U6</f>
        <v>150.00000000000568</v>
      </c>
      <c r="L5" s="31">
        <f t="shared" si="0"/>
        <v>7533.0100000026505</v>
      </c>
    </row>
    <row r="6" spans="1:12" x14ac:dyDescent="0.25">
      <c r="A6" s="14">
        <f>'Kwh Reading'!A7</f>
        <v>44534</v>
      </c>
      <c r="B6" s="80">
        <f>TOTAL!E5</f>
        <v>22200.000000000273</v>
      </c>
      <c r="C6" s="1">
        <f>'Kwh Consumption'!C7</f>
        <v>550.00000000001137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910.00000000002501</v>
      </c>
      <c r="G6" s="16">
        <f>('Kwh Consumption'!I7+'Kwh Consumption'!J7)</f>
        <v>120.00000000000455</v>
      </c>
      <c r="H6" s="1">
        <f>('Kwh Consumption'!K7+'Kwh Consumption'!L7)</f>
        <v>1329.999999999897</v>
      </c>
      <c r="I6" s="1">
        <f>('Kwh Consumption'!M7+'Kwh Consumption'!N7+'Kwh Consumption'!O7+'Kwh Consumption'!P7+'Kwh Consumption'!Q7+'Kwh Consumption'!R7)</f>
        <v>5280.0000000000864</v>
      </c>
      <c r="J6" s="1">
        <f>('Kwh Consumption'!S7+'Kwh Consumption'!T7)</f>
        <v>4593.320000000298</v>
      </c>
      <c r="K6" s="1">
        <f>'Kwh Consumption'!U7</f>
        <v>180.00000000000682</v>
      </c>
      <c r="L6" s="31">
        <f t="shared" si="0"/>
        <v>6396.6799999997747</v>
      </c>
    </row>
    <row r="7" spans="1:12" x14ac:dyDescent="0.25">
      <c r="A7" s="14">
        <f>'Kwh Reading'!A8</f>
        <v>44535</v>
      </c>
      <c r="B7" s="80">
        <f>TOTAL!E6</f>
        <v>20259.999999998399</v>
      </c>
      <c r="C7" s="1">
        <f>'Kwh Consumption'!C8</f>
        <v>529.99999999997272</v>
      </c>
      <c r="D7" s="1">
        <f>'Kwh Consumption'!D8</f>
        <v>2599.9999999997135</v>
      </c>
      <c r="E7" s="1">
        <f>'Kwh Consumption'!E8</f>
        <v>259.99999999999091</v>
      </c>
      <c r="F7" s="1">
        <f>('Kwh Consumption'!F8+'Kwh Consumption'!G8+'Kwh Consumption'!H8)</f>
        <v>970.00000000008413</v>
      </c>
      <c r="G7" s="16">
        <f>('Kwh Consumption'!I8+'Kwh Consumption'!J8)</f>
        <v>240.00000000000909</v>
      </c>
      <c r="H7" s="1">
        <f>('Kwh Consumption'!K8+'Kwh Consumption'!L8)</f>
        <v>1350.000000000101</v>
      </c>
      <c r="I7" s="1">
        <f>('Kwh Consumption'!M8+'Kwh Consumption'!N8+'Kwh Consumption'!O8+'Kwh Consumption'!P8+'Kwh Consumption'!Q8+'Kwh Consumption'!R8)</f>
        <v>4889.9999999998727</v>
      </c>
      <c r="J7" s="1">
        <f>('Kwh Consumption'!S8+'Kwh Consumption'!T8)</f>
        <v>4881.8799999998882</v>
      </c>
      <c r="K7" s="1">
        <f>'Kwh Consumption'!U8</f>
        <v>239.99999999998067</v>
      </c>
      <c r="L7" s="31">
        <f t="shared" si="0"/>
        <v>4298.1199999987921</v>
      </c>
    </row>
    <row r="8" spans="1:12" x14ac:dyDescent="0.25">
      <c r="A8" s="14">
        <f>'Kwh Reading'!A9</f>
        <v>44536</v>
      </c>
      <c r="B8" s="80">
        <f>TOTAL!E7</f>
        <v>24270.000000000891</v>
      </c>
      <c r="C8" s="1">
        <f>'Kwh Consumption'!C9</f>
        <v>529.99999999997272</v>
      </c>
      <c r="D8" s="1">
        <f>'Kwh Consumption'!D9</f>
        <v>2600.0000000001578</v>
      </c>
      <c r="E8" s="1">
        <f>'Kwh Consumption'!E9</f>
        <v>230.00000000001819</v>
      </c>
      <c r="F8" s="1">
        <f>('Kwh Consumption'!F9+'Kwh Consumption'!G9+'Kwh Consumption'!H9)</f>
        <v>969.99999999997044</v>
      </c>
      <c r="G8" s="16">
        <f>('Kwh Consumption'!I9+'Kwh Consumption'!J9)</f>
        <v>19.99999999998181</v>
      </c>
      <c r="H8" s="1">
        <f>('Kwh Consumption'!K9+'Kwh Consumption'!L9)</f>
        <v>1349.9999999998788</v>
      </c>
      <c r="I8" s="1">
        <f>('Kwh Consumption'!M9+'Kwh Consumption'!N9+'Kwh Consumption'!O9+'Kwh Consumption'!P9+'Kwh Consumption'!Q9+'Kwh Consumption'!R9)</f>
        <v>4870.0000000001182</v>
      </c>
      <c r="J8" s="1">
        <f>('Kwh Consumption'!S9+'Kwh Consumption'!T9)</f>
        <v>4579.2200000006706</v>
      </c>
      <c r="K8" s="1">
        <f>'Kwh Consumption'!U9</f>
        <v>230.00000000001819</v>
      </c>
      <c r="L8" s="31">
        <f t="shared" si="0"/>
        <v>8890.7800000001025</v>
      </c>
    </row>
    <row r="9" spans="1:12" x14ac:dyDescent="0.25">
      <c r="A9" s="14">
        <f>'Kwh Reading'!A10</f>
        <v>44537</v>
      </c>
      <c r="B9" s="80">
        <f>TOTAL!E8</f>
        <v>20169.999999999389</v>
      </c>
      <c r="C9" s="1">
        <f>'Kwh Consumption'!C10</f>
        <v>520.00000000003865</v>
      </c>
      <c r="D9" s="1">
        <f>'Kwh Consumption'!D10</f>
        <v>2600.0000000001578</v>
      </c>
      <c r="E9" s="1">
        <f>'Kwh Consumption'!E10</f>
        <v>269.99999999998181</v>
      </c>
      <c r="F9" s="1">
        <f>('Kwh Consumption'!F10+'Kwh Consumption'!G10+'Kwh Consumption'!H10)</f>
        <v>1019.9999999999818</v>
      </c>
      <c r="G9" s="16">
        <f>('Kwh Consumption'!I10+'Kwh Consumption'!J10)</f>
        <v>130.00000000002387</v>
      </c>
      <c r="H9" s="1">
        <f>('Kwh Consumption'!K10+'Kwh Consumption'!L10)</f>
        <v>1370.0000000000828</v>
      </c>
      <c r="I9" s="1">
        <f>('Kwh Consumption'!M10+'Kwh Consumption'!N10+'Kwh Consumption'!O10+'Kwh Consumption'!P10+'Kwh Consumption'!Q10+'Kwh Consumption'!R10)</f>
        <v>5159.9999999999682</v>
      </c>
      <c r="J9" s="1">
        <f>('Kwh Consumption'!S10+'Kwh Consumption'!T10)</f>
        <v>4373.7099999999627</v>
      </c>
      <c r="K9" s="1">
        <f>'Kwh Consumption'!U10</f>
        <v>219.99999999999886</v>
      </c>
      <c r="L9" s="31">
        <f t="shared" si="0"/>
        <v>4506.2899999991942</v>
      </c>
    </row>
    <row r="10" spans="1:12" x14ac:dyDescent="0.25">
      <c r="A10" s="14">
        <f>'Kwh Reading'!A11</f>
        <v>44538</v>
      </c>
      <c r="B10" s="80">
        <f>TOTAL!E9</f>
        <v>25770.000000000437</v>
      </c>
      <c r="C10" s="1">
        <f>'Kwh Consumption'!C11</f>
        <v>529.99999999997272</v>
      </c>
      <c r="D10" s="1">
        <f>'Kwh Consumption'!D11</f>
        <v>2499.9999999999468</v>
      </c>
      <c r="E10" s="1">
        <f>'Kwh Consumption'!E11</f>
        <v>279.99999999997272</v>
      </c>
      <c r="F10" s="1">
        <f>('Kwh Consumption'!F11+'Kwh Consumption'!G11+'Kwh Consumption'!H11)</f>
        <v>1019.9999999999818</v>
      </c>
      <c r="G10" s="16">
        <f>('Kwh Consumption'!I11+'Kwh Consumption'!J11)</f>
        <v>119.99999999997613</v>
      </c>
      <c r="H10" s="1">
        <f>('Kwh Consumption'!K11+'Kwh Consumption'!L11)</f>
        <v>1370.0000000001396</v>
      </c>
      <c r="I10" s="1">
        <f>('Kwh Consumption'!M11+'Kwh Consumption'!N11+'Kwh Consumption'!O11+'Kwh Consumption'!P11+'Kwh Consumption'!Q11+'Kwh Consumption'!R11)</f>
        <v>4890.0000000001</v>
      </c>
      <c r="J10" s="1">
        <f>('Kwh Consumption'!S11+'Kwh Consumption'!T11)</f>
        <v>4549.9000000003725</v>
      </c>
      <c r="K10" s="1">
        <f>'Kwh Consumption'!U11</f>
        <v>219.99999999999886</v>
      </c>
      <c r="L10" s="31">
        <f t="shared" si="0"/>
        <v>10290.09999999998</v>
      </c>
    </row>
    <row r="11" spans="1:12" x14ac:dyDescent="0.25">
      <c r="A11" s="14">
        <f>'Kwh Reading'!A12</f>
        <v>44539</v>
      </c>
      <c r="B11" s="80">
        <f>TOTAL!E10</f>
        <v>21809.999999999716</v>
      </c>
      <c r="C11" s="1">
        <f>'Kwh Consumption'!C12</f>
        <v>480.00000000001819</v>
      </c>
      <c r="D11" s="1">
        <f>'Kwh Consumption'!D12</f>
        <v>2599.9999999997135</v>
      </c>
      <c r="E11" s="1">
        <f>'Kwh Consumption'!E12</f>
        <v>260.00000000004775</v>
      </c>
      <c r="F11" s="1">
        <f>('Kwh Consumption'!F12+'Kwh Consumption'!G12+'Kwh Consumption'!H12)</f>
        <v>829.99999999998408</v>
      </c>
      <c r="G11" s="16">
        <f>('Kwh Consumption'!I12+'Kwh Consumption'!J12)</f>
        <v>130.00000000002387</v>
      </c>
      <c r="H11" s="1">
        <f>('Kwh Consumption'!K12+'Kwh Consumption'!L12)</f>
        <v>1359.9999999998697</v>
      </c>
      <c r="I11" s="1">
        <f>('Kwh Consumption'!M12+'Kwh Consumption'!N12+'Kwh Consumption'!O12+'Kwh Consumption'!P12+'Kwh Consumption'!Q12+'Kwh Consumption'!R12)</f>
        <v>4730.0000000000182</v>
      </c>
      <c r="J11" s="1">
        <f>('Kwh Consumption'!S12+'Kwh Consumption'!T12)</f>
        <v>4389.519999999553</v>
      </c>
      <c r="K11" s="1">
        <f>'Kwh Consumption'!U12</f>
        <v>199.99999999998863</v>
      </c>
      <c r="L11" s="31">
        <f t="shared" si="0"/>
        <v>6830.480000000498</v>
      </c>
    </row>
    <row r="12" spans="1:12" x14ac:dyDescent="0.25">
      <c r="A12" s="14">
        <f>'Kwh Reading'!A13</f>
        <v>44540</v>
      </c>
      <c r="B12" s="80">
        <f>TOTAL!E11</f>
        <v>21080.000000000153</v>
      </c>
      <c r="C12" s="1">
        <f>'Kwh Consumption'!C13</f>
        <v>230.00000000001819</v>
      </c>
      <c r="D12" s="1">
        <f>'Kwh Consumption'!D13</f>
        <v>2600.0000000001578</v>
      </c>
      <c r="E12" s="1">
        <f>'Kwh Consumption'!E13</f>
        <v>279.99999999997272</v>
      </c>
      <c r="F12" s="1">
        <f>('Kwh Consumption'!F13+'Kwh Consumption'!G13+'Kwh Consumption'!H13)</f>
        <v>880.0000000000523</v>
      </c>
      <c r="G12" s="16">
        <f>('Kwh Consumption'!I13+'Kwh Consumption'!J13)</f>
        <v>119.99999999997613</v>
      </c>
      <c r="H12" s="1">
        <f>('Kwh Consumption'!K13+'Kwh Consumption'!L13)</f>
        <v>1230.0000000000732</v>
      </c>
      <c r="I12" s="1">
        <f>('Kwh Consumption'!M13+'Kwh Consumption'!N13+'Kwh Consumption'!O13+'Kwh Consumption'!P13+'Kwh Consumption'!Q13+'Kwh Consumption'!R13)</f>
        <v>4679.9999999997226</v>
      </c>
      <c r="J12" s="1">
        <f>('Kwh Consumption'!S13+'Kwh Consumption'!T13)</f>
        <v>4168.160000000149</v>
      </c>
      <c r="K12" s="1">
        <f>'Kwh Consumption'!U13</f>
        <v>200.00000000001705</v>
      </c>
      <c r="L12" s="31">
        <f t="shared" si="0"/>
        <v>6691.8400000000192</v>
      </c>
    </row>
    <row r="13" spans="1:12" x14ac:dyDescent="0.25">
      <c r="A13" s="14">
        <f>'Kwh Reading'!A14</f>
        <v>44541</v>
      </c>
      <c r="B13" s="80">
        <f>TOTAL!E12</f>
        <v>20149.999999999862</v>
      </c>
      <c r="C13" s="1">
        <f>'Kwh Consumption'!C14</f>
        <v>529.99999999997272</v>
      </c>
      <c r="D13" s="1">
        <f>'Kwh Consumption'!D14</f>
        <v>2600.0000000001578</v>
      </c>
      <c r="E13" s="1">
        <f>'Kwh Consumption'!E14</f>
        <v>269.99999999998181</v>
      </c>
      <c r="F13" s="1">
        <f>('Kwh Consumption'!F14+'Kwh Consumption'!G14+'Kwh Consumption'!H14)</f>
        <v>1079.9999999999841</v>
      </c>
      <c r="G13" s="16">
        <f>('Kwh Consumption'!I14+'Kwh Consumption'!J14)</f>
        <v>160.00000000002501</v>
      </c>
      <c r="H13" s="1">
        <f>('Kwh Consumption'!K14+'Kwh Consumption'!L14)</f>
        <v>1209.9999999999263</v>
      </c>
      <c r="I13" s="1">
        <f>('Kwh Consumption'!M14+'Kwh Consumption'!N14+'Kwh Consumption'!O14+'Kwh Consumption'!P14+'Kwh Consumption'!Q14+'Kwh Consumption'!R14)</f>
        <v>4070.0000000001637</v>
      </c>
      <c r="J13" s="1">
        <f>('Kwh Consumption'!S14+'Kwh Consumption'!T14)</f>
        <v>4209.7000000001863</v>
      </c>
      <c r="K13" s="1">
        <f>'Kwh Consumption'!U14</f>
        <v>199.99999999998863</v>
      </c>
      <c r="L13" s="31">
        <f t="shared" si="0"/>
        <v>5820.299999999479</v>
      </c>
    </row>
    <row r="14" spans="1:12" x14ac:dyDescent="0.25">
      <c r="A14" s="14">
        <f>'Kwh Reading'!A15</f>
        <v>44542</v>
      </c>
      <c r="B14" s="80">
        <f>TOTAL!E13</f>
        <v>20259.999999999993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280.00000000002956</v>
      </c>
      <c r="F14" s="1">
        <f>('Kwh Consumption'!F15+'Kwh Consumption'!G15+'Kwh Consumption'!H15)</f>
        <v>1019.9999999999818</v>
      </c>
      <c r="G14" s="16">
        <f>('Kwh Consumption'!I15+'Kwh Consumption'!J15)</f>
        <v>139.99999999998636</v>
      </c>
      <c r="H14" s="1">
        <f>('Kwh Consumption'!K15+'Kwh Consumption'!L15)</f>
        <v>1100.0000000001114</v>
      </c>
      <c r="I14" s="1">
        <f>('Kwh Consumption'!M15+'Kwh Consumption'!N15+'Kwh Consumption'!O15+'Kwh Consumption'!P15+'Kwh Consumption'!Q15+'Kwh Consumption'!R15)</f>
        <v>3860.0000000001273</v>
      </c>
      <c r="J14" s="1">
        <f>('Kwh Consumption'!S15+'Kwh Consumption'!T15)</f>
        <v>3751.7299999985844</v>
      </c>
      <c r="K14" s="1">
        <f>'Kwh Consumption'!U15</f>
        <v>199.99999999998863</v>
      </c>
      <c r="L14" s="31">
        <f t="shared" si="0"/>
        <v>6838.2700000014429</v>
      </c>
    </row>
    <row r="15" spans="1:12" x14ac:dyDescent="0.25">
      <c r="A15" s="14">
        <f>'Kwh Reading'!A16</f>
        <v>44543</v>
      </c>
      <c r="B15" s="80">
        <f>TOTAL!E14</f>
        <v>20889.999999998734</v>
      </c>
      <c r="C15" s="1">
        <f>'Kwh Consumption'!C16</f>
        <v>459.99999999997954</v>
      </c>
      <c r="D15" s="1">
        <f>'Kwh Consumption'!D16</f>
        <v>2600.0000000001578</v>
      </c>
      <c r="E15" s="1">
        <f>'Kwh Consumption'!E16</f>
        <v>279.99999999997272</v>
      </c>
      <c r="F15" s="1">
        <f>('Kwh Consumption'!F16+'Kwh Consumption'!G16+'Kwh Consumption'!H16)</f>
        <v>1000</v>
      </c>
      <c r="G15" s="16">
        <f>('Kwh Consumption'!I16+'Kwh Consumption'!J16)</f>
        <v>150.00000000000568</v>
      </c>
      <c r="H15" s="1">
        <f>('Kwh Consumption'!K16+'Kwh Consumption'!L16)</f>
        <v>1219.9999999998604</v>
      </c>
      <c r="I15" s="1">
        <f>('Kwh Consumption'!M16+'Kwh Consumption'!N16+'Kwh Consumption'!O16+'Kwh Consumption'!P16+'Kwh Consumption'!Q16+'Kwh Consumption'!R16)</f>
        <v>4439.9999999999409</v>
      </c>
      <c r="J15" s="1">
        <f>('Kwh Consumption'!S16+'Kwh Consumption'!T16)</f>
        <v>4374.0900000017136</v>
      </c>
      <c r="K15" s="1">
        <f>'Kwh Consumption'!U16</f>
        <v>210.00000000000796</v>
      </c>
      <c r="L15" s="31">
        <f t="shared" si="0"/>
        <v>6155.9099999970958</v>
      </c>
    </row>
    <row r="16" spans="1:12" x14ac:dyDescent="0.25">
      <c r="A16" s="14">
        <f>'Kwh Reading'!A17</f>
        <v>44544</v>
      </c>
      <c r="B16" s="80">
        <f>TOTAL!E15</f>
        <v>22300.000000001091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290.00000000002046</v>
      </c>
      <c r="F16" s="1">
        <f>('Kwh Consumption'!F17+'Kwh Consumption'!G17+'Kwh Consumption'!H17)</f>
        <v>1250</v>
      </c>
      <c r="G16" s="16">
        <f>('Kwh Consumption'!I17+'Kwh Consumption'!J17)</f>
        <v>150.00000000000568</v>
      </c>
      <c r="H16" s="1">
        <f>('Kwh Consumption'!K17+'Kwh Consumption'!L17)</f>
        <v>1219.9999999999172</v>
      </c>
      <c r="I16" s="1">
        <f>('Kwh Consumption'!M17+'Kwh Consumption'!N17+'Kwh Consumption'!O17+'Kwh Consumption'!P17+'Kwh Consumption'!Q17+'Kwh Consumption'!R17)</f>
        <v>4739.9999999998954</v>
      </c>
      <c r="J16" s="1">
        <f>('Kwh Consumption'!S17+'Kwh Consumption'!T17)</f>
        <v>4286.1299999998882</v>
      </c>
      <c r="K16" s="1">
        <f>'Kwh Consumption'!U17</f>
        <v>219.99999999999886</v>
      </c>
      <c r="L16" s="31">
        <f t="shared" si="0"/>
        <v>7033.870000001215</v>
      </c>
    </row>
    <row r="17" spans="1:12" x14ac:dyDescent="0.25">
      <c r="A17" s="14">
        <f>'Kwh Reading'!A18</f>
        <v>44545</v>
      </c>
      <c r="B17" s="80">
        <f>TOTAL!E16</f>
        <v>22360.000000000582</v>
      </c>
      <c r="C17" s="1">
        <f>'Kwh Consumption'!C18</f>
        <v>540.00000000002046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1370.0000000000045</v>
      </c>
      <c r="G17" s="16">
        <f>('Kwh Consumption'!I18+'Kwh Consumption'!J18)</f>
        <v>149.99999999997726</v>
      </c>
      <c r="H17" s="1">
        <f>('Kwh Consumption'!K18+'Kwh Consumption'!L18)</f>
        <v>1230.0000000001301</v>
      </c>
      <c r="I17" s="1">
        <f>('Kwh Consumption'!M18+'Kwh Consumption'!N18+'Kwh Consumption'!O18+'Kwh Consumption'!P18+'Kwh Consumption'!Q18+'Kwh Consumption'!R18)</f>
        <v>4930.0000000001774</v>
      </c>
      <c r="J17" s="1">
        <f>('Kwh Consumption'!S18+'Kwh Consumption'!T18)</f>
        <v>4682.9099999992177</v>
      </c>
      <c r="K17" s="30">
        <f>'Kwh Consumption'!U18</f>
        <v>260.00000000001933</v>
      </c>
      <c r="L17" s="31">
        <f t="shared" si="0"/>
        <v>6207.090000001087</v>
      </c>
    </row>
    <row r="18" spans="1:12" x14ac:dyDescent="0.25">
      <c r="A18" s="14">
        <f>'Kwh Reading'!A19</f>
        <v>44546</v>
      </c>
      <c r="B18" s="80">
        <f>TOTAL!E17</f>
        <v>23420.000000000073</v>
      </c>
      <c r="C18" s="1">
        <f>'Kwh Consumption'!C19</f>
        <v>519.99999999998181</v>
      </c>
      <c r="D18" s="1">
        <f>'Kwh Consumption'!D19</f>
        <v>2799.9999999996917</v>
      </c>
      <c r="E18" s="1">
        <f>'Kwh Consumption'!E19</f>
        <v>279.99999999997272</v>
      </c>
      <c r="F18" s="1">
        <f>('Kwh Consumption'!F19+'Kwh Consumption'!G19+'Kwh Consumption'!H19)</f>
        <v>1389.9999999999864</v>
      </c>
      <c r="G18" s="16">
        <f>('Kwh Consumption'!I19+'Kwh Consumption'!J19)</f>
        <v>160.00000000002501</v>
      </c>
      <c r="H18" s="1">
        <f>('Kwh Consumption'!K19+'Kwh Consumption'!L19)</f>
        <v>1390.0000000000646</v>
      </c>
      <c r="I18" s="1">
        <f>('Kwh Consumption'!M19+'Kwh Consumption'!N19+'Kwh Consumption'!O19+'Kwh Consumption'!P19+'Kwh Consumption'!Q19+'Kwh Consumption'!R19)</f>
        <v>5809.9999999997181</v>
      </c>
      <c r="J18" s="1">
        <f>('Kwh Consumption'!S19+'Kwh Consumption'!T19)</f>
        <v>4867.1999999992549</v>
      </c>
      <c r="K18" s="30">
        <f>'Kwh Consumption'!U19</f>
        <v>209.99999999997954</v>
      </c>
      <c r="L18" s="31">
        <f t="shared" si="0"/>
        <v>5992.8000000013999</v>
      </c>
    </row>
    <row r="19" spans="1:12" x14ac:dyDescent="0.25">
      <c r="A19" s="14">
        <f>'Kwh Reading'!A20</f>
        <v>44547</v>
      </c>
      <c r="B19" s="80">
        <f>TOTAL!E18</f>
        <v>22370.0000000008</v>
      </c>
      <c r="C19" s="1">
        <f>'Kwh Consumption'!C20</f>
        <v>560.00000000000227</v>
      </c>
      <c r="D19" s="1">
        <f>'Kwh Consumption'!D20</f>
        <v>2700.0000000003688</v>
      </c>
      <c r="E19" s="1">
        <f>'Kwh Consumption'!E20</f>
        <v>269.99999999998181</v>
      </c>
      <c r="F19" s="1">
        <f>('Kwh Consumption'!F20+'Kwh Consumption'!G20+'Kwh Consumption'!H20)</f>
        <v>1439.9999999999977</v>
      </c>
      <c r="G19" s="16">
        <f>('Kwh Consumption'!I20+'Kwh Consumption'!J20)</f>
        <v>159.99999999999659</v>
      </c>
      <c r="H19" s="1">
        <f>('Kwh Consumption'!K20+'Kwh Consumption'!L20)</f>
        <v>1089.9999999998986</v>
      </c>
      <c r="I19" s="1">
        <f>('Kwh Consumption'!M20+'Kwh Consumption'!N20+'Kwh Consumption'!O20+'Kwh Consumption'!P20+'Kwh Consumption'!Q20+'Kwh Consumption'!R20)</f>
        <v>4440.0000000000546</v>
      </c>
      <c r="J19" s="1">
        <f>('Kwh Consumption'!S20+'Kwh Consumption'!T20)</f>
        <v>4180.9200000008568</v>
      </c>
      <c r="K19" s="1">
        <f>'Kwh Consumption'!U20</f>
        <v>230.00000000001819</v>
      </c>
      <c r="L19" s="31">
        <f t="shared" si="0"/>
        <v>7299.079999999627</v>
      </c>
    </row>
    <row r="20" spans="1:12" x14ac:dyDescent="0.25">
      <c r="A20" s="14">
        <f>'Kwh Reading'!A21</f>
        <v>44548</v>
      </c>
      <c r="B20" s="80">
        <f>TOTAL!E19</f>
        <v>23879.99999999829</v>
      </c>
      <c r="C20" s="1">
        <f>'Kwh Consumption'!C21</f>
        <v>569.99999999999318</v>
      </c>
      <c r="D20" s="1">
        <f>'Kwh Consumption'!D21</f>
        <v>2699.9999999999245</v>
      </c>
      <c r="E20" s="1">
        <f>'Kwh Consumption'!E21</f>
        <v>280.00000000002956</v>
      </c>
      <c r="F20" s="1">
        <f>('Kwh Consumption'!F21+'Kwh Consumption'!G21+'Kwh Consumption'!H21)</f>
        <v>1420.0000000000159</v>
      </c>
      <c r="G20" s="16">
        <f>('Kwh Consumption'!I21+'Kwh Consumption'!J21)</f>
        <v>149.99999999997726</v>
      </c>
      <c r="H20" s="1">
        <f>('Kwh Consumption'!K21+'Kwh Consumption'!L21)</f>
        <v>1360.0000000001487</v>
      </c>
      <c r="I20" s="1">
        <f>('Kwh Consumption'!M21+'Kwh Consumption'!N21+'Kwh Consumption'!O21+'Kwh Consumption'!P21+'Kwh Consumption'!Q21+'Kwh Consumption'!R21)</f>
        <v>5230.0000000001319</v>
      </c>
      <c r="J20" s="1">
        <f>('Kwh Consumption'!S21+'Kwh Consumption'!T21)</f>
        <v>4737.9099999992177</v>
      </c>
      <c r="K20" s="1">
        <f>'Kwh Consumption'!U21</f>
        <v>250</v>
      </c>
      <c r="L20" s="31">
        <f t="shared" si="0"/>
        <v>7182.0899999988542</v>
      </c>
    </row>
    <row r="21" spans="1:12" x14ac:dyDescent="0.25">
      <c r="A21" s="14">
        <f>'Kwh Reading'!A22</f>
        <v>44549</v>
      </c>
      <c r="B21" s="80">
        <f>TOTAL!E20</f>
        <v>24589.99999999992</v>
      </c>
      <c r="C21" s="1">
        <f>'Kwh Consumption'!C22</f>
        <v>590.00000000003183</v>
      </c>
      <c r="D21" s="1">
        <f>'Kwh Consumption'!D22</f>
        <v>2699.9999999999245</v>
      </c>
      <c r="E21" s="1">
        <f>'Kwh Consumption'!E22</f>
        <v>279.99999999997272</v>
      </c>
      <c r="F21" s="1">
        <f>('Kwh Consumption'!F22+'Kwh Consumption'!G22+'Kwh Consumption'!H22)</f>
        <v>1450.0000000000455</v>
      </c>
      <c r="G21" s="16">
        <f>('Kwh Consumption'!I22+'Kwh Consumption'!J22)</f>
        <v>160.00000000002501</v>
      </c>
      <c r="H21" s="1">
        <f>('Kwh Consumption'!K22+'Kwh Consumption'!L22)</f>
        <v>1359.9999999998697</v>
      </c>
      <c r="I21" s="1">
        <f>('Kwh Consumption'!M22+'Kwh Consumption'!N22+'Kwh Consumption'!O22+'Kwh Consumption'!P22+'Kwh Consumption'!Q22+'Kwh Consumption'!R22)</f>
        <v>5189.9999999999409</v>
      </c>
      <c r="J21" s="1">
        <f>('Kwh Consumption'!S22+'Kwh Consumption'!T22)</f>
        <v>5316.1700000008568</v>
      </c>
      <c r="K21" s="1">
        <f>'Kwh Consumption'!U22</f>
        <v>239.99999999998067</v>
      </c>
      <c r="L21" s="31">
        <f t="shared" si="0"/>
        <v>7303.8299999992751</v>
      </c>
    </row>
    <row r="22" spans="1:12" x14ac:dyDescent="0.25">
      <c r="A22" s="14">
        <f>'Kwh Reading'!A23</f>
        <v>44550</v>
      </c>
      <c r="B22" s="80">
        <f>TOTAL!E21</f>
        <v>24680.000000000065</v>
      </c>
      <c r="C22" s="1">
        <f>'Kwh Consumption'!C23</f>
        <v>599.99999999996589</v>
      </c>
      <c r="D22" s="1">
        <f>'Kwh Consumption'!D23</f>
        <v>2699.9999999999245</v>
      </c>
      <c r="E22" s="1">
        <f>'Kwh Consumption'!E23</f>
        <v>280.00000000002956</v>
      </c>
      <c r="F22" s="1">
        <f>('Kwh Consumption'!F23+'Kwh Consumption'!G23+'Kwh Consumption'!H23)</f>
        <v>1490.0000000000091</v>
      </c>
      <c r="G22" s="16">
        <f>('Kwh Consumption'!I23+'Kwh Consumption'!J23)</f>
        <v>149.99999999997726</v>
      </c>
      <c r="H22" s="1">
        <f>('Kwh Consumption'!K23+'Kwh Consumption'!L23)</f>
        <v>1400.0000000000555</v>
      </c>
      <c r="I22" s="1">
        <f>('Kwh Consumption'!M23+'Kwh Consumption'!N23+'Kwh Consumption'!O23+'Kwh Consumption'!P23+'Kwh Consumption'!Q23+'Kwh Consumption'!R23)</f>
        <v>5410.0000000000819</v>
      </c>
      <c r="J22" s="1">
        <f>('Kwh Consumption'!S23+'Kwh Consumption'!T23)</f>
        <v>5090.2099999999627</v>
      </c>
      <c r="K22" s="1">
        <f>'Kwh Consumption'!U23</f>
        <v>230.00000000001819</v>
      </c>
      <c r="L22" s="31">
        <f t="shared" si="0"/>
        <v>7329.7900000000427</v>
      </c>
    </row>
    <row r="23" spans="1:12" x14ac:dyDescent="0.25">
      <c r="A23" s="14">
        <f>'Kwh Reading'!A24</f>
        <v>44551</v>
      </c>
      <c r="B23" s="80">
        <f>TOTAL!E22</f>
        <v>23709.999999999807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300.00000000001137</v>
      </c>
      <c r="F23" s="1">
        <f>('Kwh Consumption'!F24+'Kwh Consumption'!G24+'Kwh Consumption'!H24)</f>
        <v>1369.9999999999477</v>
      </c>
      <c r="G23" s="16">
        <f>('Kwh Consumption'!I24+'Kwh Consumption'!J24)</f>
        <v>160.00000000002501</v>
      </c>
      <c r="H23" s="1">
        <f>('Kwh Consumption'!K24+'Kwh Consumption'!L24)</f>
        <v>1429.9999999999197</v>
      </c>
      <c r="I23" s="1">
        <f>('Kwh Consumption'!M24+'Kwh Consumption'!N24+'Kwh Consumption'!O24+'Kwh Consumption'!P24+'Kwh Consumption'!Q24+'Kwh Consumption'!R24)</f>
        <v>5360.0000000000136</v>
      </c>
      <c r="J23" s="1">
        <f>('Kwh Consumption'!S24+'Kwh Consumption'!T24)</f>
        <v>4769.0000000009313</v>
      </c>
      <c r="K23" s="1">
        <f>'Kwh Consumption'!U24</f>
        <v>229.99999999998977</v>
      </c>
      <c r="L23" s="31">
        <f t="shared" si="0"/>
        <v>6680.9999999988167</v>
      </c>
    </row>
    <row r="24" spans="1:12" x14ac:dyDescent="0.25">
      <c r="A24" s="14">
        <f>'Kwh Reading'!A25</f>
        <v>44552</v>
      </c>
      <c r="B24" s="80">
        <f>TOTAL!E23</f>
        <v>25000.000000000455</v>
      </c>
      <c r="C24" s="1">
        <f>'Kwh Consumption'!C25</f>
        <v>620.00000000000455</v>
      </c>
      <c r="D24" s="1">
        <f>'Kwh Consumption'!D25</f>
        <v>2799.9999999996917</v>
      </c>
      <c r="E24" s="1">
        <f>'Kwh Consumption'!E25</f>
        <v>279.99999999997272</v>
      </c>
      <c r="F24" s="1">
        <f>('Kwh Consumption'!F25+'Kwh Consumption'!G25+'Kwh Consumption'!H25)</f>
        <v>1389.9999999999864</v>
      </c>
      <c r="G24" s="16">
        <f>('Kwh Consumption'!I25+'Kwh Consumption'!J25)</f>
        <v>159.99999999999659</v>
      </c>
      <c r="H24" s="1">
        <f>('Kwh Consumption'!K25+'Kwh Consumption'!L25)</f>
        <v>1430.000000000085</v>
      </c>
      <c r="I24" s="1">
        <f>('Kwh Consumption'!M25+'Kwh Consumption'!N25+'Kwh Consumption'!O25+'Kwh Consumption'!P25+'Kwh Consumption'!Q25+'Kwh Consumption'!R25)</f>
        <v>5699.9999999999318</v>
      </c>
      <c r="J24" s="1">
        <f>('Kwh Consumption'!S25+'Kwh Consumption'!T25)</f>
        <v>4953.0999999986961</v>
      </c>
      <c r="K24" s="1">
        <f>'Kwh Consumption'!U25</f>
        <v>259.99999999999091</v>
      </c>
      <c r="L24" s="31">
        <f t="shared" si="0"/>
        <v>7406.9000000021024</v>
      </c>
    </row>
    <row r="25" spans="1:12" x14ac:dyDescent="0.25">
      <c r="A25" s="14">
        <f>'Kwh Reading'!A26</f>
        <v>44553</v>
      </c>
      <c r="B25" s="80">
        <f>TOTAL!E24</f>
        <v>24359.999999999902</v>
      </c>
      <c r="C25" s="1">
        <f>'Kwh Consumption'!C26</f>
        <v>579.99999999998408</v>
      </c>
      <c r="D25" s="1">
        <f>'Kwh Consumption'!D26</f>
        <v>2900.0000000003465</v>
      </c>
      <c r="E25" s="1">
        <f>'Kwh Consumption'!E26</f>
        <v>300.00000000001137</v>
      </c>
      <c r="F25" s="1">
        <f>('Kwh Consumption'!F26+'Kwh Consumption'!G26+'Kwh Consumption'!H26)</f>
        <v>1370.0000000000045</v>
      </c>
      <c r="G25" s="16">
        <f>('Kwh Consumption'!I26+'Kwh Consumption'!J26)</f>
        <v>149.99999999997726</v>
      </c>
      <c r="H25" s="1">
        <f>('Kwh Consumption'!K26+'Kwh Consumption'!L26)</f>
        <v>1389.9999999998993</v>
      </c>
      <c r="I25" s="1">
        <f>('Kwh Consumption'!M26+'Kwh Consumption'!N26+'Kwh Consumption'!O26+'Kwh Consumption'!P26+'Kwh Consumption'!Q26+'Kwh Consumption'!R26)</f>
        <v>5609.9999999997863</v>
      </c>
      <c r="J25" s="1">
        <f>('Kwh Consumption'!S26+'Kwh Consumption'!T26)</f>
        <v>4493.3300000010058</v>
      </c>
      <c r="K25" s="1">
        <f>'Kwh Consumption'!U26</f>
        <v>210.00000000000796</v>
      </c>
      <c r="L25" s="31">
        <f t="shared" si="0"/>
        <v>7356.6699999988805</v>
      </c>
    </row>
    <row r="26" spans="1:12" x14ac:dyDescent="0.25">
      <c r="A26" s="14">
        <f>'Kwh Reading'!A27</f>
        <v>44554</v>
      </c>
      <c r="B26" s="80">
        <f>TOTAL!E25</f>
        <v>23810.000000000851</v>
      </c>
      <c r="C26" s="1">
        <f>'Kwh Consumption'!C27</f>
        <v>420.00000000001592</v>
      </c>
      <c r="D26" s="1">
        <f>'Kwh Consumption'!D27</f>
        <v>2899.9999999999027</v>
      </c>
      <c r="E26" s="1">
        <f>'Kwh Consumption'!E27</f>
        <v>269.99999999998181</v>
      </c>
      <c r="F26" s="1">
        <f>('Kwh Consumption'!F27+'Kwh Consumption'!G27+'Kwh Consumption'!H27)</f>
        <v>1430.0000000000068</v>
      </c>
      <c r="G26" s="16">
        <f>('Kwh Consumption'!I27+'Kwh Consumption'!J27)</f>
        <v>160.00000000002501</v>
      </c>
      <c r="H26" s="1">
        <f>('Kwh Consumption'!K27+'Kwh Consumption'!L27)</f>
        <v>1410.0000000001032</v>
      </c>
      <c r="I26" s="1">
        <f>('Kwh Consumption'!M27+'Kwh Consumption'!N27+'Kwh Consumption'!O27+'Kwh Consumption'!P27+'Kwh Consumption'!Q27+'Kwh Consumption'!R27)</f>
        <v>5780.0000000002001</v>
      </c>
      <c r="J26" s="1">
        <f>('Kwh Consumption'!S27+'Kwh Consumption'!T27)</f>
        <v>4405.2599999997765</v>
      </c>
      <c r="K26" s="1">
        <f>'Kwh Consumption'!U27</f>
        <v>229.99999999998977</v>
      </c>
      <c r="L26" s="31">
        <f t="shared" si="0"/>
        <v>6804.740000000852</v>
      </c>
    </row>
    <row r="27" spans="1:12" x14ac:dyDescent="0.25">
      <c r="A27" s="14">
        <f>'Kwh Reading'!A28</f>
        <v>44555</v>
      </c>
      <c r="B27" s="80">
        <f>TOTAL!E26</f>
        <v>22589.999999997872</v>
      </c>
      <c r="C27" s="1">
        <f>'Kwh Consumption'!C28</f>
        <v>649.99999999997726</v>
      </c>
      <c r="D27" s="1">
        <f>'Kwh Consumption'!D28</f>
        <v>2600.0000000001578</v>
      </c>
      <c r="E27" s="1">
        <f>'Kwh Consumption'!E28</f>
        <v>290.00000000002046</v>
      </c>
      <c r="F27" s="1">
        <f>('Kwh Consumption'!F28+'Kwh Consumption'!G28+'Kwh Consumption'!H28)</f>
        <v>1159.9999999999682</v>
      </c>
      <c r="G27" s="16">
        <f>('Kwh Consumption'!I28+'Kwh Consumption'!J28)</f>
        <v>149.99999999997726</v>
      </c>
      <c r="H27" s="1">
        <f>('Kwh Consumption'!K28+'Kwh Consumption'!L28)</f>
        <v>1389.9999999998424</v>
      </c>
      <c r="I27" s="1">
        <f>('Kwh Consumption'!M28+'Kwh Consumption'!N28+'Kwh Consumption'!O28+'Kwh Consumption'!P28+'Kwh Consumption'!Q28+'Kwh Consumption'!R28)</f>
        <v>5120.0000000000045</v>
      </c>
      <c r="J27" s="1">
        <f>('Kwh Consumption'!S28+'Kwh Consumption'!T28)</f>
        <v>4195.8799999998882</v>
      </c>
      <c r="K27" s="1">
        <f>'Kwh Consumption'!U28</f>
        <v>230.00000000001819</v>
      </c>
      <c r="L27" s="31">
        <f t="shared" si="0"/>
        <v>6804.1199999980163</v>
      </c>
    </row>
    <row r="28" spans="1:12" x14ac:dyDescent="0.25">
      <c r="A28" s="14">
        <f>'Kwh Reading'!A29</f>
        <v>44556</v>
      </c>
      <c r="B28" s="80">
        <f>TOTAL!E27</f>
        <v>23730.000000000698</v>
      </c>
      <c r="C28" s="1">
        <f>'Kwh Consumption'!C29</f>
        <v>629.99999999999545</v>
      </c>
      <c r="D28" s="1">
        <f>'Kwh Consumption'!D29</f>
        <v>2699.9999999999245</v>
      </c>
      <c r="E28" s="1">
        <f>'Kwh Consumption'!E29</f>
        <v>279.99999999997272</v>
      </c>
      <c r="F28" s="1">
        <f>('Kwh Consumption'!F29+'Kwh Consumption'!G29+'Kwh Consumption'!H29)</f>
        <v>1460.0000000000364</v>
      </c>
      <c r="G28" s="16">
        <f>('Kwh Consumption'!I29+'Kwh Consumption'!J29)</f>
        <v>159.99999999999659</v>
      </c>
      <c r="H28" s="1">
        <f>('Kwh Consumption'!K29+'Kwh Consumption'!L29)</f>
        <v>1370.0000000001396</v>
      </c>
      <c r="I28" s="1">
        <f>('Kwh Consumption'!M29+'Kwh Consumption'!N29+'Kwh Consumption'!O29+'Kwh Consumption'!P29+'Kwh Consumption'!Q29+'Kwh Consumption'!R29)</f>
        <v>5450.0000000000455</v>
      </c>
      <c r="J28" s="1">
        <f>('Kwh Consumption'!S29+'Kwh Consumption'!T29)</f>
        <v>4772.8999999994412</v>
      </c>
      <c r="K28" s="1">
        <f>'Kwh Consumption'!U29</f>
        <v>229.99999999998977</v>
      </c>
      <c r="L28" s="31">
        <f t="shared" si="0"/>
        <v>6677.10000000116</v>
      </c>
    </row>
    <row r="29" spans="1:12" x14ac:dyDescent="0.25">
      <c r="A29" s="14">
        <f>'Kwh Reading'!A30</f>
        <v>44557</v>
      </c>
      <c r="B29" s="80">
        <f>TOTAL!E28</f>
        <v>24229.999999999789</v>
      </c>
      <c r="C29" s="1">
        <f>'Kwh Consumption'!C30</f>
        <v>600.00000000002274</v>
      </c>
      <c r="D29" s="1">
        <f>'Kwh Consumption'!D30</f>
        <v>2899.9999999999027</v>
      </c>
      <c r="E29" s="1">
        <f>'Kwh Consumption'!E30</f>
        <v>300.00000000001137</v>
      </c>
      <c r="F29" s="1">
        <f>('Kwh Consumption'!F30+'Kwh Consumption'!G30+'Kwh Consumption'!H30)</f>
        <v>1450.0000000000455</v>
      </c>
      <c r="G29" s="16">
        <f>('Kwh Consumption'!I30+'Kwh Consumption'!J30)</f>
        <v>150.00000000000568</v>
      </c>
      <c r="H29" s="1">
        <f>('Kwh Consumption'!K30+'Kwh Consumption'!L30)</f>
        <v>1359.9999999998697</v>
      </c>
      <c r="I29" s="1">
        <f>('Kwh Consumption'!M30+'Kwh Consumption'!N30+'Kwh Consumption'!O30+'Kwh Consumption'!P30+'Kwh Consumption'!Q30+'Kwh Consumption'!R30)</f>
        <v>5639.9999999998727</v>
      </c>
      <c r="J29" s="1">
        <f>('Kwh Consumption'!S30+'Kwh Consumption'!T30)</f>
        <v>4992.4799999995157</v>
      </c>
      <c r="K29" s="1">
        <f>'Kwh Consumption'!U30</f>
        <v>230.00000000001819</v>
      </c>
      <c r="L29" s="31">
        <f t="shared" si="0"/>
        <v>6607.5200000005279</v>
      </c>
    </row>
    <row r="30" spans="1:12" x14ac:dyDescent="0.25">
      <c r="A30" s="14">
        <f>'Kwh Reading'!A31</f>
        <v>44558</v>
      </c>
      <c r="B30" s="80">
        <f>TOTAL!E29</f>
        <v>0</v>
      </c>
      <c r="C30" s="1">
        <f>'Kwh Consumption'!C31</f>
        <v>639.99999999998636</v>
      </c>
      <c r="D30" s="1">
        <f>'Kwh Consumption'!D31</f>
        <v>2800.0000000001355</v>
      </c>
      <c r="E30" s="1">
        <f>'Kwh Consumption'!E31</f>
        <v>290.00000000002046</v>
      </c>
      <c r="F30" s="1">
        <f>('Kwh Consumption'!F31+'Kwh Consumption'!G31+'Kwh Consumption'!H31)</f>
        <v>1649.9999999999773</v>
      </c>
      <c r="G30" s="16">
        <f>('Kwh Consumption'!I31+'Kwh Consumption'!J31)</f>
        <v>150.00000000000568</v>
      </c>
      <c r="H30" s="1">
        <f>('Kwh Consumption'!K31+'Kwh Consumption'!L31)</f>
        <v>1370.0000000000828</v>
      </c>
      <c r="I30" s="1">
        <f>('Kwh Consumption'!M31+'Kwh Consumption'!N31+'Kwh Consumption'!O31+'Kwh Consumption'!P31+'Kwh Consumption'!Q31+'Kwh Consumption'!R31)</f>
        <v>5490.0000000000091</v>
      </c>
      <c r="J30" s="1">
        <f>('Kwh Consumption'!S31+'Kwh Consumption'!T31)</f>
        <v>9273.9300000015646</v>
      </c>
      <c r="K30" s="1">
        <f>'Kwh Consumption'!U31</f>
        <v>279.99999999997272</v>
      </c>
      <c r="L30" s="31">
        <f t="shared" si="0"/>
        <v>-21943.930000001754</v>
      </c>
    </row>
    <row r="31" spans="1:12" x14ac:dyDescent="0.25">
      <c r="A31" s="14">
        <f>'Kwh Reading'!A32</f>
        <v>44559</v>
      </c>
      <c r="B31" s="80">
        <f>TOTAL!E30</f>
        <v>0</v>
      </c>
      <c r="C31" s="1">
        <f>'Kwh Consumption'!C32</f>
        <v>660.00000000002501</v>
      </c>
      <c r="D31" s="1">
        <f>'Kwh Consumption'!D32</f>
        <v>2799.9999999996917</v>
      </c>
      <c r="E31" s="1">
        <f>'Kwh Consumption'!E32</f>
        <v>289.99999999996362</v>
      </c>
      <c r="F31" s="1">
        <f>('Kwh Consumption'!F32+'Kwh Consumption'!G32+'Kwh Consumption'!H32)</f>
        <v>1939.9999999999977</v>
      </c>
      <c r="G31" s="16">
        <f>('Kwh Consumption'!I32+'Kwh Consumption'!J32)</f>
        <v>180.00000000000682</v>
      </c>
      <c r="H31" s="1">
        <f>('Kwh Consumption'!K32+'Kwh Consumption'!L32)</f>
        <v>1400.0000000001123</v>
      </c>
      <c r="I31" s="1">
        <f>('Kwh Consumption'!M32+'Kwh Consumption'!N32+'Kwh Consumption'!O32+'Kwh Consumption'!P32+'Kwh Consumption'!Q32+'Kwh Consumption'!R32)</f>
        <v>5520.0000000000955</v>
      </c>
      <c r="J31" s="1">
        <f>('Kwh Consumption'!S32+'Kwh Consumption'!T32)</f>
        <v>243</v>
      </c>
      <c r="K31" s="1">
        <f>'Kwh Consumption'!U32</f>
        <v>270.00000000001023</v>
      </c>
      <c r="L31" s="31">
        <f t="shared" si="0"/>
        <v>-13302.999999999905</v>
      </c>
    </row>
    <row r="32" spans="1:12" x14ac:dyDescent="0.25">
      <c r="A32" s="14">
        <f>'Kwh Reading'!A33</f>
        <v>44560</v>
      </c>
      <c r="B32" s="80">
        <f>TOTAL!E31</f>
        <v>0</v>
      </c>
      <c r="C32" s="1">
        <f>'Kwh Consumption'!C33</f>
        <v>620.00000000000455</v>
      </c>
      <c r="D32" s="1">
        <f>'Kwh Consumption'!D33</f>
        <v>2900.0000000003465</v>
      </c>
      <c r="E32" s="1">
        <f>'Kwh Consumption'!E33</f>
        <v>270.00000000003865</v>
      </c>
      <c r="F32" s="1">
        <f>('Kwh Consumption'!F33+'Kwh Consumption'!G33+'Kwh Consumption'!H33)</f>
        <v>1809.9999999999454</v>
      </c>
      <c r="G32" s="16">
        <f>('Kwh Consumption'!I33+'Kwh Consumption'!J33)</f>
        <v>169.99999999998749</v>
      </c>
      <c r="H32" s="1">
        <f>('Kwh Consumption'!K33+'Kwh Consumption'!L33)</f>
        <v>1479.9999999998406</v>
      </c>
      <c r="I32" s="1">
        <f>('Kwh Consumption'!M33+'Kwh Consumption'!N33+'Kwh Consumption'!O33+'Kwh Consumption'!P33+'Kwh Consumption'!Q33+'Kwh Consumption'!R33)</f>
        <v>5299.9999999998408</v>
      </c>
      <c r="J32" s="1">
        <f>('Kwh Consumption'!S33+'Kwh Consumption'!T33)</f>
        <v>4706.25</v>
      </c>
      <c r="K32" s="1">
        <f>'Kwh Consumption'!U33</f>
        <v>259.99999999999091</v>
      </c>
      <c r="L32" s="31">
        <f t="shared" si="0"/>
        <v>-17516.249999999993</v>
      </c>
    </row>
    <row r="33" spans="1:13" x14ac:dyDescent="0.25">
      <c r="A33" s="14">
        <f>'Kwh Reading'!A34</f>
        <v>44561</v>
      </c>
      <c r="B33" s="80">
        <f>TOTAL!E32</f>
        <v>0</v>
      </c>
      <c r="C33" s="1">
        <f>'Kwh Consumption'!C34</f>
        <v>-507420</v>
      </c>
      <c r="D33" s="1">
        <f>'Kwh Consumption'!D34</f>
        <v>-2841000</v>
      </c>
      <c r="E33" s="1">
        <f>'Kwh Consumption'!E34</f>
        <v>-275550</v>
      </c>
      <c r="F33" s="1">
        <f>('Kwh Consumption'!F34+'Kwh Consumption'!G34+'Kwh Consumption'!H34)</f>
        <v>-1053600</v>
      </c>
      <c r="G33" s="16">
        <f>('Kwh Consumption'!I34+'Kwh Consumption'!J34)</f>
        <v>-328690</v>
      </c>
      <c r="H33" s="1">
        <f>('Kwh Consumption'!K34+'Kwh Consumption'!L34)</f>
        <v>-1492860</v>
      </c>
      <c r="I33" s="1">
        <f>('Kwh Consumption'!M34+'Kwh Consumption'!N34+'Kwh Consumption'!O34+'Kwh Consumption'!P34+'Kwh Consumption'!Q34+'Kwh Consumption'!R34)</f>
        <v>-4308540</v>
      </c>
      <c r="J33" s="1">
        <f>('Kwh Consumption'!S34+'Kwh Consumption'!T34)</f>
        <v>-16591760.93</v>
      </c>
      <c r="K33" s="1">
        <f>'Kwh Consumption'!U34</f>
        <v>-189420</v>
      </c>
      <c r="L33" s="31">
        <f t="shared" si="0"/>
        <v>27588840.93</v>
      </c>
    </row>
    <row r="34" spans="1:13" ht="15.75" x14ac:dyDescent="0.25">
      <c r="A34" s="82" t="s">
        <v>120</v>
      </c>
      <c r="B34" s="72">
        <f>SUM(B3:B33)</f>
        <v>613259.99999999825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-267320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-16455174.969999999</v>
      </c>
      <c r="K34" s="72">
        <f t="shared" si="1"/>
        <v>-182770.00000000003</v>
      </c>
      <c r="L34" s="72">
        <f t="shared" si="1"/>
        <v>27719684.969999999</v>
      </c>
      <c r="M34" s="81">
        <f>C34+D34+E34+F34+G34+H34+I34+J34+K34+L34</f>
        <v>613260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-88446.599999999991</v>
      </c>
      <c r="D36" s="72">
        <f>D34*B36</f>
        <v>-496854</v>
      </c>
      <c r="E36" s="72">
        <f>E34*B36</f>
        <v>-48117.599999999999</v>
      </c>
      <c r="F36" s="72">
        <f>F34*B36</f>
        <v>-182907</v>
      </c>
      <c r="G36" s="72">
        <f>G34*B36</f>
        <v>-58370.400000000001</v>
      </c>
      <c r="H36" s="72">
        <f>H34*B36</f>
        <v>-261480.59999999998</v>
      </c>
      <c r="I36" s="72">
        <f>I34*B36</f>
        <v>-748150.2</v>
      </c>
      <c r="J36" s="72">
        <f>J34*B36</f>
        <v>-2961931.4945999999</v>
      </c>
      <c r="K36" s="72">
        <f>K34*B36</f>
        <v>-32898.600000000006</v>
      </c>
      <c r="L36" s="72">
        <f>L34*B36</f>
        <v>4989543.2945999997</v>
      </c>
      <c r="M36" s="81">
        <f>C36+D36+E36+F36+G36+H36+I36+J36+K36+L36</f>
        <v>110386.79999999981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0.18</v>
      </c>
      <c r="C3" s="11">
        <f>'Kwh Consumption'!B4*' Kwh area wise $ '!B3</f>
        <v>3826.7999999999161</v>
      </c>
      <c r="D3" s="1">
        <f>'Kwh Consumption'!C4*' Kwh area wise $ '!B3</f>
        <v>93.599999999996726</v>
      </c>
      <c r="E3" s="1">
        <f>'Kwh Consumption'!D4*' Kwh area wise $ '!B3</f>
        <v>468.00000000002836</v>
      </c>
      <c r="F3" s="1">
        <f>'Kwh Consumption'!E4*' Kwh area wise $ '!B3</f>
        <v>37.799999999996317</v>
      </c>
      <c r="G3" s="1">
        <f>('Kwh Consumption'!F4+'Kwh Consumption'!G4+'Kwh Consumption'!H4)*' Kwh area wise $ '!B3</f>
        <v>189.00000000000205</v>
      </c>
      <c r="H3" s="16">
        <f>('Kwh Consumption'!I4+'Kwh Consumption'!J4)*' Kwh area wise $ '!B3</f>
        <v>27.000000000001023</v>
      </c>
      <c r="I3" s="1">
        <f>('Kwh Consumption'!K4+'Kwh Consumption'!L4)*' Kwh area wise $ '!B3</f>
        <v>259.20000000001778</v>
      </c>
      <c r="J3" s="1">
        <f>('Kwh Consumption'!M4+'Kwh Consumption'!N4+'Kwh Consumption'!O4+'Kwh Consumption'!P4+'Kwh Consumption'!Q4+'Kwh Consumption'!R4)*' Kwh area wise $ '!B3</f>
        <v>885.6000000000131</v>
      </c>
      <c r="K3" s="1">
        <f>('Kwh Consumption'!S4+'Kwh Consumption'!T4)*' Kwh area wise $ '!B3</f>
        <v>770.60339999981227</v>
      </c>
      <c r="L3" s="1">
        <f>'Kwh Consumption'!U4*' Kwh area wise $ '!B3</f>
        <v>28.799999999999386</v>
      </c>
      <c r="M3" s="1">
        <f>'Kwh Consumption'!V4*' Kwh area wise $ '!B3</f>
        <v>1067.1966000000496</v>
      </c>
    </row>
    <row r="4" spans="1:13" x14ac:dyDescent="0.25">
      <c r="A4" s="14">
        <f>'Kwh Reading'!A5</f>
        <v>44532</v>
      </c>
      <c r="B4" s="11">
        <f>TOTAL!F3</f>
        <v>0.18</v>
      </c>
      <c r="C4" s="11">
        <f>'Kwh Consumption'!B5*' Kwh area wise $ '!B4</f>
        <v>3914.9999999998768</v>
      </c>
      <c r="D4" s="1">
        <f>'Kwh Consumption'!C5*' Kwh area wise $ '!B4</f>
        <v>90</v>
      </c>
      <c r="E4" s="1">
        <f>'Kwh Consumption'!D5*' Kwh area wise $ '!B4</f>
        <v>467.99999999994839</v>
      </c>
      <c r="F4" s="1">
        <f>'Kwh Consumption'!E5*' Kwh area wise $ '!B4</f>
        <v>50.400000000005321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21.600000000000819</v>
      </c>
      <c r="I4" s="1">
        <f>('Kwh Consumption'!K5+'Kwh Consumption'!L5)*' Kwh area wise $ '!B4</f>
        <v>239.39999999997121</v>
      </c>
      <c r="J4" s="1">
        <f>('Kwh Consumption'!M5+'Kwh Consumption'!N5+'Kwh Consumption'!O5+'Kwh Consumption'!P5+'Kwh Consumption'!Q5+'Kwh Consumption'!R5)*' Kwh area wise $ '!B4</f>
        <v>881.99999999997544</v>
      </c>
      <c r="K4" s="1">
        <f>('Kwh Consumption'!S5+'Kwh Consumption'!T5)*' Kwh area wise $ '!B4</f>
        <v>757.8054000002146</v>
      </c>
      <c r="L4" s="1">
        <f>'Kwh Consumption'!U5*' Kwh area wise $ '!B4</f>
        <v>30.599999999997749</v>
      </c>
      <c r="M4" s="1">
        <f>'Kwh Consumption'!V5*' Kwh area wise $ '!B4</f>
        <v>1213.1945999997674</v>
      </c>
    </row>
    <row r="5" spans="1:13" x14ac:dyDescent="0.25">
      <c r="A5" s="14">
        <f>'Kwh Reading'!A6</f>
        <v>44533</v>
      </c>
      <c r="B5" s="11">
        <f>TOTAL!F4</f>
        <v>0.18</v>
      </c>
      <c r="C5" s="11">
        <f>'Kwh Consumption'!B6*' Kwh area wise $ '!B5</f>
        <v>4024.8000000002276</v>
      </c>
      <c r="D5" s="1">
        <f>'Kwh Consumption'!C6*' Kwh area wise $ '!B5</f>
        <v>50.400000000005321</v>
      </c>
      <c r="E5" s="1">
        <f>'Kwh Consumption'!D6*' Kwh area wise $ '!B5</f>
        <v>468.00000000002836</v>
      </c>
      <c r="F5" s="1">
        <f>'Kwh Consumption'!E6*' Kwh area wise $ '!B5</f>
        <v>45</v>
      </c>
      <c r="G5" s="1">
        <f>('Kwh Consumption'!F6+'Kwh Consumption'!G6+'Kwh Consumption'!H6)*' Kwh area wise $ '!B5</f>
        <v>172.79999999999632</v>
      </c>
      <c r="H5" s="16">
        <f>('Kwh Consumption'!I6+'Kwh Consumption'!J6)*' Kwh area wise $ '!B5</f>
        <v>25.199999999997544</v>
      </c>
      <c r="I5" s="1">
        <f>('Kwh Consumption'!K6+'Kwh Consumption'!L6)*' Kwh area wise $ '!B5</f>
        <v>261.00000000001614</v>
      </c>
      <c r="J5" s="1">
        <f>('Kwh Consumption'!M6+'Kwh Consumption'!N6+'Kwh Consumption'!O6+'Kwh Consumption'!P6+'Kwh Consumption'!Q6+'Kwh Consumption'!R6)*' Kwh area wise $ '!B5</f>
        <v>853.20000000000164</v>
      </c>
      <c r="K5" s="1">
        <f>('Kwh Consumption'!S6+'Kwh Consumption'!T6)*' Kwh area wise $ '!B5</f>
        <v>766.25819999970497</v>
      </c>
      <c r="L5" s="1">
        <f>'Kwh Consumption'!U6*' Kwh area wise $ '!B5</f>
        <v>27.000000000001023</v>
      </c>
      <c r="M5" s="1">
        <f>'Kwh Consumption'!V6*' Kwh area wise $ '!B5</f>
        <v>1355.9418000004766</v>
      </c>
    </row>
    <row r="6" spans="1:13" x14ac:dyDescent="0.25">
      <c r="A6" s="14">
        <f>'Kwh Reading'!A7</f>
        <v>44534</v>
      </c>
      <c r="B6" s="11">
        <f>TOTAL!F5</f>
        <v>0.18</v>
      </c>
      <c r="C6" s="11">
        <f>'Kwh Consumption'!B7*' Kwh area wise $ '!B6</f>
        <v>3996.0000000000491</v>
      </c>
      <c r="D6" s="1">
        <f>'Kwh Consumption'!C7*' Kwh area wise $ '!B6</f>
        <v>99.000000000002046</v>
      </c>
      <c r="E6" s="1">
        <f>'Kwh Consumption'!D7*' Kwh area wise $ '!B6</f>
        <v>468.00000000002836</v>
      </c>
      <c r="F6" s="1">
        <f>'Kwh Consumption'!E7*' Kwh area wise $ '!B6</f>
        <v>43.200000000001637</v>
      </c>
      <c r="G6" s="1">
        <f>('Kwh Consumption'!F7+'Kwh Consumption'!G7+'Kwh Consumption'!H7)*' Kwh area wise $ '!B6</f>
        <v>163.8000000000045</v>
      </c>
      <c r="H6" s="16">
        <f>('Kwh Consumption'!I7+'Kwh Consumption'!J7)*' Kwh area wise $ '!B6</f>
        <v>21.600000000000819</v>
      </c>
      <c r="I6" s="1">
        <f>('Kwh Consumption'!K7+'Kwh Consumption'!L7)*' Kwh area wise $ '!B6</f>
        <v>239.39999999998145</v>
      </c>
      <c r="J6" s="1">
        <f>('Kwh Consumption'!M7+'Kwh Consumption'!N7+'Kwh Consumption'!O7+'Kwh Consumption'!P7+'Kwh Consumption'!Q7+'Kwh Consumption'!R7)*' Kwh area wise $ '!B6</f>
        <v>950.40000000001555</v>
      </c>
      <c r="K6" s="1">
        <f>('Kwh Consumption'!S7+'Kwh Consumption'!T7)*' Kwh area wise $ '!B6</f>
        <v>826.79760000005365</v>
      </c>
      <c r="L6" s="1">
        <f>'Kwh Consumption'!U7*' Kwh area wise $ '!B6</f>
        <v>32.400000000001228</v>
      </c>
      <c r="M6" s="1">
        <f>'Kwh Consumption'!V7*' Kwh area wise $ '!B6</f>
        <v>1151.4023999999595</v>
      </c>
    </row>
    <row r="7" spans="1:13" x14ac:dyDescent="0.25">
      <c r="A7" s="14">
        <f>'Kwh Reading'!A8</f>
        <v>44535</v>
      </c>
      <c r="B7" s="11">
        <f>TOTAL!F6</f>
        <v>0.18</v>
      </c>
      <c r="C7" s="11">
        <f>'Kwh Consumption'!B8*' Kwh area wise $ '!B7</f>
        <v>3646.7999999997119</v>
      </c>
      <c r="D7" s="1">
        <f>'Kwh Consumption'!C8*' Kwh area wise $ '!B7</f>
        <v>95.399999999995089</v>
      </c>
      <c r="E7" s="1">
        <f>'Kwh Consumption'!D8*' Kwh area wise $ '!B7</f>
        <v>467.99999999994839</v>
      </c>
      <c r="F7" s="1">
        <f>'Kwh Consumption'!E8*' Kwh area wise $ '!B7</f>
        <v>46.799999999998363</v>
      </c>
      <c r="G7" s="1">
        <f>('Kwh Consumption'!F8+'Kwh Consumption'!G8+'Kwh Consumption'!H8)*' Kwh area wise $ '!B7</f>
        <v>174.60000000001514</v>
      </c>
      <c r="H7" s="16">
        <f>('Kwh Consumption'!I8+'Kwh Consumption'!J8)*' Kwh area wise $ '!B7</f>
        <v>43.200000000001637</v>
      </c>
      <c r="I7" s="1">
        <f>('Kwh Consumption'!K8+'Kwh Consumption'!L8)*' Kwh area wise $ '!B7</f>
        <v>243.00000000001816</v>
      </c>
      <c r="J7" s="1">
        <f>('Kwh Consumption'!M8+'Kwh Consumption'!N8+'Kwh Consumption'!O8+'Kwh Consumption'!P8+'Kwh Consumption'!Q8+'Kwh Consumption'!R8)*' Kwh area wise $ '!B7</f>
        <v>880.19999999997708</v>
      </c>
      <c r="K7" s="1">
        <f>('Kwh Consumption'!S8+'Kwh Consumption'!T8)*' Kwh area wise $ '!B7</f>
        <v>878.73839999997983</v>
      </c>
      <c r="L7" s="1">
        <f>'Kwh Consumption'!U8*' Kwh area wise $ '!B7</f>
        <v>43.199999999996521</v>
      </c>
      <c r="M7" s="1">
        <f>'Kwh Consumption'!V8*' Kwh area wise $ '!B7</f>
        <v>773.6615999997814</v>
      </c>
    </row>
    <row r="8" spans="1:13" x14ac:dyDescent="0.25">
      <c r="A8" s="14">
        <f>'Kwh Reading'!A9</f>
        <v>44536</v>
      </c>
      <c r="B8" s="11">
        <f>TOTAL!F7</f>
        <v>0.18</v>
      </c>
      <c r="C8" s="11">
        <f>'Kwh Consumption'!B9*' Kwh area wise $ '!B8</f>
        <v>4368.6000000001604</v>
      </c>
      <c r="D8" s="1">
        <f>'Kwh Consumption'!C9*' Kwh area wise $ '!B8</f>
        <v>95.399999999995089</v>
      </c>
      <c r="E8" s="1">
        <f>'Kwh Consumption'!D9*' Kwh area wise $ '!B8</f>
        <v>468.00000000002836</v>
      </c>
      <c r="F8" s="1">
        <f>'Kwh Consumption'!E9*' Kwh area wise $ '!B8</f>
        <v>41.400000000003274</v>
      </c>
      <c r="G8" s="1">
        <f>('Kwh Consumption'!F9+'Kwh Consumption'!G9+'Kwh Consumption'!H9)*' Kwh area wise $ '!B8</f>
        <v>174.59999999999468</v>
      </c>
      <c r="H8" s="16">
        <f>('Kwh Consumption'!I9+'Kwh Consumption'!J9)*' Kwh area wise $ '!B8</f>
        <v>3.5999999999967258</v>
      </c>
      <c r="I8" s="1">
        <f>('Kwh Consumption'!K9+'Kwh Consumption'!L9)*' Kwh area wise $ '!B8</f>
        <v>242.99999999997817</v>
      </c>
      <c r="J8" s="1">
        <f>('Kwh Consumption'!M9+'Kwh Consumption'!N9+'Kwh Consumption'!O9+'Kwh Consumption'!P9+'Kwh Consumption'!Q9+'Kwh Consumption'!R9)*' Kwh area wise $ '!B8</f>
        <v>876.60000000002128</v>
      </c>
      <c r="K8" s="1">
        <f>('Kwh Consumption'!S9+'Kwh Consumption'!T9)*' Kwh area wise $ '!B8</f>
        <v>824.25960000012071</v>
      </c>
      <c r="L8" s="1">
        <f>'Kwh Consumption'!U9*' Kwh area wise $ '!B8</f>
        <v>41.400000000003274</v>
      </c>
      <c r="M8" s="1">
        <f>'Kwh Consumption'!V9*' Kwh area wise $ '!B8</f>
        <v>1600.3404000000187</v>
      </c>
    </row>
    <row r="9" spans="1:13" x14ac:dyDescent="0.25">
      <c r="A9" s="14">
        <f>'Kwh Reading'!A10</f>
        <v>44537</v>
      </c>
      <c r="B9" s="11">
        <f>TOTAL!F8</f>
        <v>0.18</v>
      </c>
      <c r="C9" s="11">
        <f>'Kwh Consumption'!B10*' Kwh area wise $ '!B9</f>
        <v>3630.5999999998899</v>
      </c>
      <c r="D9" s="1">
        <f>'Kwh Consumption'!C10*' Kwh area wise $ '!B9</f>
        <v>93.600000000006958</v>
      </c>
      <c r="E9" s="1">
        <f>'Kwh Consumption'!D10*' Kwh area wise $ '!B9</f>
        <v>468.00000000002836</v>
      </c>
      <c r="F9" s="1">
        <f>'Kwh Consumption'!E10*' Kwh area wise $ '!B9</f>
        <v>48.599999999996726</v>
      </c>
      <c r="G9" s="1">
        <f>('Kwh Consumption'!F10+'Kwh Consumption'!G10+'Kwh Consumption'!H10)*' Kwh area wise $ '!B9</f>
        <v>183.59999999999673</v>
      </c>
      <c r="H9" s="16">
        <f>('Kwh Consumption'!I10+'Kwh Consumption'!J10)*' Kwh area wise $ '!B9</f>
        <v>23.400000000004297</v>
      </c>
      <c r="I9" s="1">
        <f>('Kwh Consumption'!K10+'Kwh Consumption'!L10)*' Kwh area wise $ '!B9</f>
        <v>246.60000000001489</v>
      </c>
      <c r="J9" s="1">
        <f>('Kwh Consumption'!M10+'Kwh Consumption'!N10+'Kwh Consumption'!O10+'Kwh Consumption'!P10+'Kwh Consumption'!Q10+'Kwh Consumption'!R10)*' Kwh area wise $ '!B9</f>
        <v>928.79999999999427</v>
      </c>
      <c r="K9" s="1">
        <f>('Kwh Consumption'!S10+'Kwh Consumption'!T10)*' Kwh area wise $ '!B9</f>
        <v>787.26779999999326</v>
      </c>
      <c r="L9" s="1">
        <f>'Kwh Consumption'!U10*' Kwh area wise $ '!B9</f>
        <v>39.599999999999795</v>
      </c>
      <c r="M9" s="1">
        <f>'Kwh Consumption'!V10*' Kwh area wise $ '!B9</f>
        <v>811.13219999985506</v>
      </c>
    </row>
    <row r="10" spans="1:13" x14ac:dyDescent="0.25">
      <c r="A10" s="14">
        <f>'Kwh Reading'!A11</f>
        <v>44538</v>
      </c>
      <c r="B10" s="11">
        <f>TOTAL!F9</f>
        <v>0.18</v>
      </c>
      <c r="C10" s="11">
        <f>'Kwh Consumption'!B11*' Kwh area wise $ '!B10</f>
        <v>4638.6000000000786</v>
      </c>
      <c r="D10" s="1">
        <f>'Kwh Consumption'!C11*' Kwh area wise $ '!B10</f>
        <v>95.399999999995089</v>
      </c>
      <c r="E10" s="1">
        <f>'Kwh Consumption'!D11*' Kwh area wise $ '!B10</f>
        <v>449.99999999999039</v>
      </c>
      <c r="F10" s="1">
        <f>'Kwh Consumption'!E11*' Kwh area wise $ '!B10</f>
        <v>50.399999999995089</v>
      </c>
      <c r="G10" s="1">
        <f>('Kwh Consumption'!F11+'Kwh Consumption'!G11+'Kwh Consumption'!H11)*' Kwh area wise $ '!B10</f>
        <v>183.59999999999673</v>
      </c>
      <c r="H10" s="16">
        <f>('Kwh Consumption'!I11+'Kwh Consumption'!J11)*' Kwh area wise $ '!B10</f>
        <v>21.599999999995703</v>
      </c>
      <c r="I10" s="1">
        <f>('Kwh Consumption'!K11+'Kwh Consumption'!L11)*' Kwh area wise $ '!B10</f>
        <v>246.60000000002512</v>
      </c>
      <c r="J10" s="1">
        <f>('Kwh Consumption'!M11+'Kwh Consumption'!N11+'Kwh Consumption'!O11+'Kwh Consumption'!P11+'Kwh Consumption'!Q11+'Kwh Consumption'!R11)*' Kwh area wise $ '!B10</f>
        <v>880.20000000001801</v>
      </c>
      <c r="K10" s="1">
        <f>('Kwh Consumption'!S11+'Kwh Consumption'!T11)*' Kwh area wise $ '!B10</f>
        <v>818.98200000006705</v>
      </c>
      <c r="L10" s="1">
        <f>'Kwh Consumption'!U11*' Kwh area wise $ '!B10</f>
        <v>39.599999999999795</v>
      </c>
      <c r="M10" s="1">
        <f>'Kwh Consumption'!V11*' Kwh area wise $ '!B10</f>
        <v>1852.2179999999953</v>
      </c>
    </row>
    <row r="11" spans="1:13" x14ac:dyDescent="0.25">
      <c r="A11" s="14">
        <f>'Kwh Reading'!A12</f>
        <v>44539</v>
      </c>
      <c r="B11" s="11">
        <f>TOTAL!F10</f>
        <v>0.18</v>
      </c>
      <c r="C11" s="11">
        <f>'Kwh Consumption'!B12*' Kwh area wise $ '!B11</f>
        <v>3925.7999999999488</v>
      </c>
      <c r="D11" s="1">
        <f>'Kwh Consumption'!C12*' Kwh area wise $ '!B11</f>
        <v>86.400000000003274</v>
      </c>
      <c r="E11" s="1">
        <f>'Kwh Consumption'!D12*' Kwh area wise $ '!B11</f>
        <v>467.99999999994839</v>
      </c>
      <c r="F11" s="1">
        <f>'Kwh Consumption'!E12*' Kwh area wise $ '!B11</f>
        <v>46.800000000008595</v>
      </c>
      <c r="G11" s="1">
        <f>('Kwh Consumption'!F12+'Kwh Consumption'!G12+'Kwh Consumption'!H12)*' Kwh area wise $ '!B11</f>
        <v>149.39999999999714</v>
      </c>
      <c r="H11" s="16">
        <f>('Kwh Consumption'!I12+'Kwh Consumption'!J12)*' Kwh area wise $ '!B11</f>
        <v>23.400000000004297</v>
      </c>
      <c r="I11" s="1">
        <f>('Kwh Consumption'!K12+'Kwh Consumption'!L12)*' Kwh area wise $ '!B11</f>
        <v>244.79999999997654</v>
      </c>
      <c r="J11" s="1">
        <f>('Kwh Consumption'!M12+'Kwh Consumption'!N12+'Kwh Consumption'!O12+'Kwh Consumption'!P12+'Kwh Consumption'!Q12+'Kwh Consumption'!R12)*' Kwh area wise $ '!B11</f>
        <v>851.40000000000327</v>
      </c>
      <c r="K11" s="1">
        <f>('Kwh Consumption'!S12+'Kwh Consumption'!T12)*' Kwh area wise $ '!B11</f>
        <v>790.11359999991953</v>
      </c>
      <c r="L11" s="1">
        <f>'Kwh Consumption'!U12*' Kwh area wise $ '!B11</f>
        <v>35.999999999997954</v>
      </c>
      <c r="M11" s="1">
        <f>'Kwh Consumption'!V12*' Kwh area wise $ '!B11</f>
        <v>1229.4864000000896</v>
      </c>
    </row>
    <row r="12" spans="1:13" x14ac:dyDescent="0.25">
      <c r="A12" s="14">
        <f>'Kwh Reading'!A13</f>
        <v>44540</v>
      </c>
      <c r="B12" s="11">
        <f>TOTAL!F11</f>
        <v>0.18</v>
      </c>
      <c r="C12" s="11">
        <f>'Kwh Consumption'!B13*' Kwh area wise $ '!B12</f>
        <v>3794.4000000000274</v>
      </c>
      <c r="D12" s="1">
        <f>'Kwh Consumption'!C13*' Kwh area wise $ '!B12</f>
        <v>41.400000000003274</v>
      </c>
      <c r="E12" s="1">
        <f>'Kwh Consumption'!D13*' Kwh area wise $ '!B12</f>
        <v>468.00000000002836</v>
      </c>
      <c r="F12" s="1">
        <f>'Kwh Consumption'!E13*' Kwh area wise $ '!B12</f>
        <v>50.399999999995089</v>
      </c>
      <c r="G12" s="1">
        <f>('Kwh Consumption'!F13+'Kwh Consumption'!G13+'Kwh Consumption'!H13)*' Kwh area wise $ '!B12</f>
        <v>158.40000000000941</v>
      </c>
      <c r="H12" s="16">
        <f>('Kwh Consumption'!I13+'Kwh Consumption'!J13)*' Kwh area wise $ '!B12</f>
        <v>21.599999999995703</v>
      </c>
      <c r="I12" s="1">
        <f>('Kwh Consumption'!K13+'Kwh Consumption'!L13)*' Kwh area wise $ '!B12</f>
        <v>221.40000000001316</v>
      </c>
      <c r="J12" s="1">
        <f>('Kwh Consumption'!M13+'Kwh Consumption'!N13+'Kwh Consumption'!O13+'Kwh Consumption'!P13+'Kwh Consumption'!Q13+'Kwh Consumption'!R13)*' Kwh area wise $ '!B12</f>
        <v>842.39999999995007</v>
      </c>
      <c r="K12" s="1">
        <f>('Kwh Consumption'!S13+'Kwh Consumption'!T13)*' Kwh area wise $ '!B12</f>
        <v>750.26880000002677</v>
      </c>
      <c r="L12" s="1">
        <f>'Kwh Consumption'!U13*' Kwh area wise $ '!B12</f>
        <v>36.00000000000307</v>
      </c>
      <c r="M12" s="1">
        <f>'Kwh Consumption'!V13*' Kwh area wise $ '!B12</f>
        <v>1204.5312000000022</v>
      </c>
    </row>
    <row r="13" spans="1:13" x14ac:dyDescent="0.25">
      <c r="A13" s="14">
        <f>'Kwh Reading'!A14</f>
        <v>44541</v>
      </c>
      <c r="B13" s="11">
        <f>TOTAL!F12</f>
        <v>0.18</v>
      </c>
      <c r="C13" s="11">
        <f>'Kwh Consumption'!B14*' Kwh area wise $ '!B13</f>
        <v>3626.999999999975</v>
      </c>
      <c r="D13" s="1">
        <f>'Kwh Consumption'!C14*' Kwh area wise $ '!B13</f>
        <v>95.399999999995089</v>
      </c>
      <c r="E13" s="1">
        <f>'Kwh Consumption'!D14*' Kwh area wise $ '!B13</f>
        <v>468.00000000002836</v>
      </c>
      <c r="F13" s="1">
        <f>'Kwh Consumption'!E14*' Kwh area wise $ '!B13</f>
        <v>48.599999999996726</v>
      </c>
      <c r="G13" s="1">
        <f>('Kwh Consumption'!F14+'Kwh Consumption'!G14+'Kwh Consumption'!H14)*' Kwh area wise $ '!B13</f>
        <v>194.39999999999714</v>
      </c>
      <c r="H13" s="16">
        <f>('Kwh Consumption'!I14+'Kwh Consumption'!J14)*' Kwh area wise $ '!B13</f>
        <v>28.800000000004502</v>
      </c>
      <c r="I13" s="1">
        <f>('Kwh Consumption'!K14+'Kwh Consumption'!L14)*' Kwh area wise $ '!B13</f>
        <v>217.79999999998674</v>
      </c>
      <c r="J13" s="1">
        <f>('Kwh Consumption'!M14+'Kwh Consumption'!N14+'Kwh Consumption'!O14+'Kwh Consumption'!P14+'Kwh Consumption'!Q14+'Kwh Consumption'!R14)*' Kwh area wise $ '!B13</f>
        <v>732.60000000002947</v>
      </c>
      <c r="K13" s="1">
        <f>('Kwh Consumption'!S14+'Kwh Consumption'!T14)*' Kwh area wise $ '!B13</f>
        <v>757.74600000003352</v>
      </c>
      <c r="L13" s="1">
        <f>'Kwh Consumption'!U14*' Kwh area wise $ '!B13</f>
        <v>35.999999999997954</v>
      </c>
      <c r="M13" s="1">
        <f>'Kwh Consumption'!V14*' Kwh area wise $ '!B13</f>
        <v>1047.6539999999056</v>
      </c>
    </row>
    <row r="14" spans="1:13" x14ac:dyDescent="0.25">
      <c r="A14" s="14">
        <f>'Kwh Reading'!A15</f>
        <v>44542</v>
      </c>
      <c r="B14" s="11">
        <f>TOTAL!F13</f>
        <v>0.18</v>
      </c>
      <c r="C14" s="11">
        <f>'Kwh Consumption'!B15*' Kwh area wise $ '!B14</f>
        <v>3646.7999999999984</v>
      </c>
      <c r="D14" s="1">
        <f>'Kwh Consumption'!C15*' Kwh area wise $ '!B14</f>
        <v>84.600000000004911</v>
      </c>
      <c r="E14" s="1">
        <f>'Kwh Consumption'!D15*' Kwh area wise $ '!B14</f>
        <v>467.99999999994839</v>
      </c>
      <c r="F14" s="1">
        <f>'Kwh Consumption'!E15*' Kwh area wise $ '!B14</f>
        <v>50.400000000005321</v>
      </c>
      <c r="G14" s="1">
        <f>('Kwh Consumption'!F15+'Kwh Consumption'!G15+'Kwh Consumption'!H15)*' Kwh area wise $ '!B14</f>
        <v>183.59999999999673</v>
      </c>
      <c r="H14" s="16">
        <f>('Kwh Consumption'!I15+'Kwh Consumption'!J15)*' Kwh area wise $ '!B14</f>
        <v>25.199999999997544</v>
      </c>
      <c r="I14" s="1">
        <f>('Kwh Consumption'!K15+'Kwh Consumption'!L15)*' Kwh area wise $ '!B14</f>
        <v>198.00000000002004</v>
      </c>
      <c r="J14" s="1">
        <f>('Kwh Consumption'!M15+'Kwh Consumption'!N15+'Kwh Consumption'!O15+'Kwh Consumption'!P15+'Kwh Consumption'!Q15+'Kwh Consumption'!R15)*' Kwh area wise $ '!B14</f>
        <v>694.80000000002292</v>
      </c>
      <c r="K14" s="1">
        <f>('Kwh Consumption'!S15+'Kwh Consumption'!T15)*' Kwh area wise $ '!B14</f>
        <v>675.31139999974516</v>
      </c>
      <c r="L14" s="1">
        <f>'Kwh Consumption'!U15*' Kwh area wise $ '!B14</f>
        <v>35.999999999997954</v>
      </c>
      <c r="M14" s="1">
        <f>'Kwh Consumption'!V15*' Kwh area wise $ '!B14</f>
        <v>1230.8886000002594</v>
      </c>
    </row>
    <row r="15" spans="1:13" x14ac:dyDescent="0.25">
      <c r="A15" s="14">
        <f>'Kwh Reading'!A16</f>
        <v>44543</v>
      </c>
      <c r="B15" s="11">
        <f>TOTAL!F14</f>
        <v>0.18</v>
      </c>
      <c r="C15" s="11">
        <f>'Kwh Consumption'!B16*' Kwh area wise $ '!B15</f>
        <v>3760.199999999772</v>
      </c>
      <c r="D15" s="1">
        <f>'Kwh Consumption'!C16*' Kwh area wise $ '!B15</f>
        <v>82.799999999996317</v>
      </c>
      <c r="E15" s="1">
        <f>'Kwh Consumption'!D16*' Kwh area wise $ '!B15</f>
        <v>468.00000000002836</v>
      </c>
      <c r="F15" s="1">
        <f>'Kwh Consumption'!E16*' Kwh area wise $ '!B15</f>
        <v>50.399999999995089</v>
      </c>
      <c r="G15" s="1">
        <f>('Kwh Consumption'!F16+'Kwh Consumption'!G16+'Kwh Consumption'!H16)*' Kwh area wise $ '!B15</f>
        <v>180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219.59999999997487</v>
      </c>
      <c r="J15" s="1">
        <f>('Kwh Consumption'!M16+'Kwh Consumption'!N16+'Kwh Consumption'!O16+'Kwh Consumption'!P16+'Kwh Consumption'!Q16+'Kwh Consumption'!R16)*' Kwh area wise $ '!B15</f>
        <v>799.19999999998936</v>
      </c>
      <c r="K15" s="1">
        <f>('Kwh Consumption'!S16+'Kwh Consumption'!T16)*' Kwh area wise $ '!B15</f>
        <v>787.33620000030839</v>
      </c>
      <c r="L15" s="1">
        <f>'Kwh Consumption'!U16*' Kwh area wise $ '!B15</f>
        <v>37.800000000001432</v>
      </c>
      <c r="M15" s="1">
        <f>'Kwh Consumption'!V16*' Kwh area wise $ '!B15</f>
        <v>1108.0637999994774</v>
      </c>
    </row>
    <row r="16" spans="1:13" x14ac:dyDescent="0.25">
      <c r="A16" s="14">
        <f>'Kwh Reading'!A17</f>
        <v>44544</v>
      </c>
      <c r="B16" s="11">
        <f>TOTAL!F15</f>
        <v>0.18</v>
      </c>
      <c r="C16" s="11">
        <f>'Kwh Consumption'!B17*' Kwh area wise $ '!B16</f>
        <v>4014.0000000001965</v>
      </c>
      <c r="D16" s="1">
        <f>'Kwh Consumption'!C17*' Kwh area wise $ '!B16</f>
        <v>91.799999999998363</v>
      </c>
      <c r="E16" s="1">
        <f>'Kwh Consumption'!D17*' Kwh area wise $ '!B16</f>
        <v>468.00000000002836</v>
      </c>
      <c r="F16" s="1">
        <f>'Kwh Consumption'!E17*' Kwh area wise $ '!B16</f>
        <v>52.200000000003683</v>
      </c>
      <c r="G16" s="1">
        <f>('Kwh Consumption'!F17+'Kwh Consumption'!G17+'Kwh Consumption'!H17)*' Kwh area wise $ '!B16</f>
        <v>225</v>
      </c>
      <c r="H16" s="16">
        <f>('Kwh Consumption'!I17+'Kwh Consumption'!J17)*' Kwh area wise $ '!B16</f>
        <v>27.000000000001023</v>
      </c>
      <c r="I16" s="1">
        <f>('Kwh Consumption'!K17+'Kwh Consumption'!L17)*' Kwh area wise $ '!B16</f>
        <v>219.5999999999851</v>
      </c>
      <c r="J16" s="1">
        <f>('Kwh Consumption'!M17+'Kwh Consumption'!N17+'Kwh Consumption'!O17+'Kwh Consumption'!P17+'Kwh Consumption'!Q17+'Kwh Consumption'!R17)*' Kwh area wise $ '!B16</f>
        <v>853.19999999998117</v>
      </c>
      <c r="K16" s="1">
        <f>('Kwh Consumption'!S17+'Kwh Consumption'!T17)*' Kwh area wise $ '!B16</f>
        <v>771.50339999997982</v>
      </c>
      <c r="L16" s="1">
        <f>'Kwh Consumption'!U17*' Kwh area wise $ '!B16</f>
        <v>39.599999999999795</v>
      </c>
      <c r="M16" s="1">
        <f>'Kwh Consumption'!V17*' Kwh area wise $ '!B16</f>
        <v>1266.0966000002195</v>
      </c>
    </row>
    <row r="17" spans="1:13" x14ac:dyDescent="0.25">
      <c r="A17" s="14">
        <f>'Kwh Reading'!A18</f>
        <v>44545</v>
      </c>
      <c r="B17" s="11">
        <f>TOTAL!F16</f>
        <v>0.18</v>
      </c>
      <c r="C17" s="11">
        <f>'Kwh Consumption'!B18*' Kwh area wise $ '!B17</f>
        <v>4024.8000000001048</v>
      </c>
      <c r="D17" s="1">
        <f>'Kwh Consumption'!C18*' Kwh area wise $ '!B17</f>
        <v>97.200000000003683</v>
      </c>
      <c r="E17" s="1">
        <f>'Kwh Consumption'!D18*' Kwh area wise $ '!B17</f>
        <v>485.99999999998641</v>
      </c>
      <c r="F17" s="1">
        <f>'Kwh Consumption'!E18*' Kwh area wise $ '!B17</f>
        <v>52.200000000003683</v>
      </c>
      <c r="G17" s="1">
        <f>('Kwh Consumption'!F18+'Kwh Consumption'!G18+'Kwh Consumption'!H18)*' Kwh area wise $ '!B17</f>
        <v>246.60000000000082</v>
      </c>
      <c r="H17" s="16">
        <f>('Kwh Consumption'!I18+'Kwh Consumption'!J18)*' Kwh area wise $ '!B17</f>
        <v>26.999999999995907</v>
      </c>
      <c r="I17" s="1">
        <f>('Kwh Consumption'!K18+'Kwh Consumption'!L18)*' Kwh area wise $ '!B17</f>
        <v>221.4000000000234</v>
      </c>
      <c r="J17" s="1">
        <f>('Kwh Consumption'!M18+'Kwh Consumption'!N18+'Kwh Consumption'!O18+'Kwh Consumption'!P18+'Kwh Consumption'!Q18+'Kwh Consumption'!R18)*' Kwh area wise $ '!B17</f>
        <v>887.40000000003192</v>
      </c>
      <c r="K17" s="1">
        <f>('Kwh Consumption'!S18+'Kwh Consumption'!T18)*' Kwh area wise $ '!B17</f>
        <v>842.92379999985917</v>
      </c>
      <c r="L17" s="1">
        <f>'Kwh Consumption'!U18*' Kwh area wise $ '!B17</f>
        <v>46.800000000003479</v>
      </c>
      <c r="M17" s="1">
        <f>'Kwh Consumption'!V18*' Kwh area wise $ '!B17</f>
        <v>1117.2762000001967</v>
      </c>
    </row>
    <row r="18" spans="1:13" x14ac:dyDescent="0.25">
      <c r="A18" s="14">
        <f>'Kwh Reading'!A19</f>
        <v>44546</v>
      </c>
      <c r="B18" s="11">
        <f>TOTAL!F17</f>
        <v>0.18</v>
      </c>
      <c r="C18" s="11">
        <f>'Kwh Consumption'!B19*' Kwh area wise $ '!B18</f>
        <v>4215.6000000000131</v>
      </c>
      <c r="D18" s="1">
        <f>'Kwh Consumption'!C19*' Kwh area wise $ '!B18</f>
        <v>93.599999999996726</v>
      </c>
      <c r="E18" s="1">
        <f>'Kwh Consumption'!D19*' Kwh area wise $ '!B18</f>
        <v>503.99999999994446</v>
      </c>
      <c r="F18" s="1">
        <f>'Kwh Consumption'!E19*' Kwh area wise $ '!B18</f>
        <v>50.399999999995089</v>
      </c>
      <c r="G18" s="1">
        <f>('Kwh Consumption'!F19+'Kwh Consumption'!G19+'Kwh Consumption'!H19)*' Kwh area wise $ '!B18</f>
        <v>250.19999999999754</v>
      </c>
      <c r="H18" s="16">
        <f>('Kwh Consumption'!I19+'Kwh Consumption'!J19)*' Kwh area wise $ '!B18</f>
        <v>28.800000000004502</v>
      </c>
      <c r="I18" s="1">
        <f>('Kwh Consumption'!K19+'Kwh Consumption'!L19)*' Kwh area wise $ '!B18</f>
        <v>250.20000000001161</v>
      </c>
      <c r="J18" s="1">
        <f>('Kwh Consumption'!M19+'Kwh Consumption'!N19+'Kwh Consumption'!O19+'Kwh Consumption'!P19+'Kwh Consumption'!Q19+'Kwh Consumption'!R19)*' Kwh area wise $ '!B18</f>
        <v>1045.7999999999493</v>
      </c>
      <c r="K18" s="1">
        <f>('Kwh Consumption'!S19+'Kwh Consumption'!T19)*' Kwh area wise $ '!B18</f>
        <v>876.09599999986585</v>
      </c>
      <c r="L18" s="1">
        <f>'Kwh Consumption'!U19*' Kwh area wise $ '!B18</f>
        <v>37.799999999996317</v>
      </c>
      <c r="M18" s="1">
        <f>'Kwh Consumption'!V19*' Kwh area wise $ '!B18</f>
        <v>1078.7040000002512</v>
      </c>
    </row>
    <row r="19" spans="1:13" x14ac:dyDescent="0.25">
      <c r="A19" s="14">
        <f>'Kwh Reading'!A20</f>
        <v>44547</v>
      </c>
      <c r="B19" s="11">
        <f>TOTAL!F18</f>
        <v>0.18</v>
      </c>
      <c r="C19" s="11">
        <f>'Kwh Consumption'!B20*' Kwh area wise $ '!B19</f>
        <v>4026.6000000001441</v>
      </c>
      <c r="D19" s="1">
        <f>'Kwh Consumption'!C20*' Kwh area wise $ '!B19</f>
        <v>100.80000000000041</v>
      </c>
      <c r="E19" s="1">
        <f>'Kwh Consumption'!D20*' Kwh area wise $ '!B19</f>
        <v>486.00000000006639</v>
      </c>
      <c r="F19" s="1">
        <f>'Kwh Consumption'!E20*' Kwh area wise $ '!B19</f>
        <v>48.599999999996726</v>
      </c>
      <c r="G19" s="1">
        <f>('Kwh Consumption'!F20+'Kwh Consumption'!G20+'Kwh Consumption'!H20)*' Kwh area wise $ '!B19</f>
        <v>259.19999999999959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196.19999999998174</v>
      </c>
      <c r="J19" s="1">
        <f>('Kwh Consumption'!M20+'Kwh Consumption'!N20+'Kwh Consumption'!O20+'Kwh Consumption'!P20+'Kwh Consumption'!Q20+'Kwh Consumption'!R20)*' Kwh area wise $ '!B19</f>
        <v>799.20000000000982</v>
      </c>
      <c r="K19" s="1">
        <f>('Kwh Consumption'!S20+'Kwh Consumption'!T20)*' Kwh area wise $ '!B19</f>
        <v>752.56560000015418</v>
      </c>
      <c r="L19" s="1">
        <f>'Kwh Consumption'!U20*' Kwh area wise $ '!B19</f>
        <v>41.400000000003274</v>
      </c>
      <c r="M19" s="1">
        <f>'Kwh Consumption'!V20*' Kwh area wise $ '!B19</f>
        <v>1313.8343999999322</v>
      </c>
    </row>
    <row r="20" spans="1:13" x14ac:dyDescent="0.25">
      <c r="A20" s="14">
        <f>'Kwh Reading'!A21</f>
        <v>44548</v>
      </c>
      <c r="B20" s="11">
        <f>TOTAL!F19</f>
        <v>0.18</v>
      </c>
      <c r="C20" s="11">
        <f>'Kwh Consumption'!B21*' Kwh area wise $ '!B20</f>
        <v>4298.3999999996922</v>
      </c>
      <c r="D20" s="1">
        <f>'Kwh Consumption'!C21*' Kwh area wise $ '!B20</f>
        <v>102.59999999999877</v>
      </c>
      <c r="E20" s="1">
        <f>'Kwh Consumption'!D21*' Kwh area wise $ '!B20</f>
        <v>485.99999999998641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255.60000000000286</v>
      </c>
      <c r="H20" s="16">
        <f>('Kwh Consumption'!I21+'Kwh Consumption'!J21)*' Kwh area wise $ '!B20</f>
        <v>26.999999999995907</v>
      </c>
      <c r="I20" s="1">
        <f>('Kwh Consumption'!K21+'Kwh Consumption'!L21)*' Kwh area wise $ '!B20</f>
        <v>244.80000000002676</v>
      </c>
      <c r="J20" s="1">
        <f>('Kwh Consumption'!M21+'Kwh Consumption'!N21+'Kwh Consumption'!O21+'Kwh Consumption'!P21+'Kwh Consumption'!Q21+'Kwh Consumption'!R21)*' Kwh area wise $ '!B20</f>
        <v>941.40000000002374</v>
      </c>
      <c r="K20" s="1">
        <f>('Kwh Consumption'!S21+'Kwh Consumption'!T21)*' Kwh area wise $ '!B20</f>
        <v>852.82379999985915</v>
      </c>
      <c r="L20" s="1">
        <f>'Kwh Consumption'!U21*' Kwh area wise $ '!B20</f>
        <v>45</v>
      </c>
      <c r="M20" s="1">
        <f>'Kwh Consumption'!V21*' Kwh area wise $ '!B20</f>
        <v>1292.7761999997931</v>
      </c>
    </row>
    <row r="21" spans="1:13" x14ac:dyDescent="0.25">
      <c r="A21" s="14">
        <f>'Kwh Reading'!A22</f>
        <v>44549</v>
      </c>
      <c r="B21" s="11">
        <f>TOTAL!F20</f>
        <v>0.18</v>
      </c>
      <c r="C21" s="11">
        <f>'Kwh Consumption'!B22*' Kwh area wise $ '!B21</f>
        <v>4426.1999999999853</v>
      </c>
      <c r="D21" s="1">
        <f>'Kwh Consumption'!C22*' Kwh area wise $ '!B21</f>
        <v>106.20000000000573</v>
      </c>
      <c r="E21" s="1">
        <f>'Kwh Consumption'!D22*' Kwh area wise $ '!B21</f>
        <v>485.99999999998641</v>
      </c>
      <c r="F21" s="1">
        <f>'Kwh Consumption'!E22*' Kwh area wise $ '!B21</f>
        <v>50.399999999995089</v>
      </c>
      <c r="G21" s="1">
        <f>('Kwh Consumption'!F22+'Kwh Consumption'!G22+'Kwh Consumption'!H22)*' Kwh area wise $ '!B21</f>
        <v>261.00000000000819</v>
      </c>
      <c r="H21" s="16">
        <f>('Kwh Consumption'!I22+'Kwh Consumption'!J22)*' Kwh area wise $ '!B21</f>
        <v>28.800000000004502</v>
      </c>
      <c r="I21" s="1">
        <f>('Kwh Consumption'!K22+'Kwh Consumption'!L22)*' Kwh area wise $ '!B21</f>
        <v>244.79999999997654</v>
      </c>
      <c r="J21" s="1">
        <f>('Kwh Consumption'!M22+'Kwh Consumption'!N22+'Kwh Consumption'!O22+'Kwh Consumption'!P22+'Kwh Consumption'!Q22+'Kwh Consumption'!R22)*' Kwh area wise $ '!B21</f>
        <v>934.19999999998936</v>
      </c>
      <c r="K21" s="1">
        <f>('Kwh Consumption'!S22+'Kwh Consumption'!T22)*' Kwh area wise $ '!B21</f>
        <v>956.9106000001542</v>
      </c>
      <c r="L21" s="1">
        <f>'Kwh Consumption'!U22*' Kwh area wise $ '!B21</f>
        <v>43.199999999996521</v>
      </c>
      <c r="M21" s="1">
        <f>'Kwh Consumption'!V22*' Kwh area wise $ '!B21</f>
        <v>1314.6893999998686</v>
      </c>
    </row>
    <row r="22" spans="1:13" x14ac:dyDescent="0.25">
      <c r="A22" s="14">
        <f>'Kwh Reading'!A23</f>
        <v>44550</v>
      </c>
      <c r="B22" s="11">
        <f>TOTAL!F21</f>
        <v>0.18</v>
      </c>
      <c r="C22" s="11">
        <f>'Kwh Consumption'!B23*' Kwh area wise $ '!B22</f>
        <v>4442.4000000000115</v>
      </c>
      <c r="D22" s="1">
        <f>'Kwh Consumption'!C23*' Kwh area wise $ '!B22</f>
        <v>107.99999999999386</v>
      </c>
      <c r="E22" s="1">
        <f>'Kwh Consumption'!D23*' Kwh area wise $ '!B22</f>
        <v>485.99999999998641</v>
      </c>
      <c r="F22" s="1">
        <f>'Kwh Consumption'!E23*' Kwh area wise $ '!B22</f>
        <v>50.400000000005321</v>
      </c>
      <c r="G22" s="1">
        <f>('Kwh Consumption'!F23+'Kwh Consumption'!G23+'Kwh Consumption'!H23)*' Kwh area wise $ '!B22</f>
        <v>268.20000000000164</v>
      </c>
      <c r="H22" s="16">
        <f>('Kwh Consumption'!I23+'Kwh Consumption'!J23)*' Kwh area wise $ '!B22</f>
        <v>26.999999999995907</v>
      </c>
      <c r="I22" s="1">
        <f>('Kwh Consumption'!K23+'Kwh Consumption'!L23)*' Kwh area wise $ '!B22</f>
        <v>252.00000000000998</v>
      </c>
      <c r="J22" s="1">
        <f>('Kwh Consumption'!M23+'Kwh Consumption'!N23+'Kwh Consumption'!O23+'Kwh Consumption'!P23+'Kwh Consumption'!Q23+'Kwh Consumption'!R23)*' Kwh area wise $ '!B22</f>
        <v>973.80000000001473</v>
      </c>
      <c r="K22" s="1">
        <f>('Kwh Consumption'!S23+'Kwh Consumption'!T23)*' Kwh area wise $ '!B22</f>
        <v>916.23779999999329</v>
      </c>
      <c r="L22" s="1">
        <f>'Kwh Consumption'!U23*' Kwh area wise $ '!B22</f>
        <v>41.400000000003274</v>
      </c>
      <c r="M22" s="1">
        <f>'Kwh Consumption'!V23*' Kwh area wise $ '!B22</f>
        <v>1319.3622000000073</v>
      </c>
    </row>
    <row r="23" spans="1:13" x14ac:dyDescent="0.25">
      <c r="A23" s="14">
        <f>'Kwh Reading'!A24</f>
        <v>44551</v>
      </c>
      <c r="B23" s="11">
        <f>TOTAL!F22</f>
        <v>0.18</v>
      </c>
      <c r="C23" s="11">
        <f>'Kwh Consumption'!B24*' Kwh area wise $ '!B23</f>
        <v>4267.7999999999647</v>
      </c>
      <c r="D23" s="1">
        <f>'Kwh Consumption'!C24*' Kwh area wise $ '!B23</f>
        <v>109.80000000000246</v>
      </c>
      <c r="E23" s="1">
        <f>'Kwh Consumption'!D24*' Kwh area wise $ '!B23</f>
        <v>504.00000000002439</v>
      </c>
      <c r="F23" s="1">
        <f>'Kwh Consumption'!E24*' Kwh area wise $ '!B23</f>
        <v>54.000000000002046</v>
      </c>
      <c r="G23" s="1">
        <f>('Kwh Consumption'!F24+'Kwh Consumption'!G24+'Kwh Consumption'!H24)*' Kwh area wise $ '!B23</f>
        <v>246.59999999999059</v>
      </c>
      <c r="H23" s="16">
        <f>('Kwh Consumption'!I24+'Kwh Consumption'!J24)*' Kwh area wise $ '!B23</f>
        <v>28.800000000004502</v>
      </c>
      <c r="I23" s="1">
        <f>('Kwh Consumption'!K24+'Kwh Consumption'!L24)*' Kwh area wise $ '!B23</f>
        <v>257.39999999998554</v>
      </c>
      <c r="J23" s="1">
        <f>('Kwh Consumption'!M24+'Kwh Consumption'!N24+'Kwh Consumption'!O24+'Kwh Consumption'!P24+'Kwh Consumption'!Q24+'Kwh Consumption'!R24)*' Kwh area wise $ '!B23</f>
        <v>964.80000000000246</v>
      </c>
      <c r="K23" s="1">
        <f>('Kwh Consumption'!S24+'Kwh Consumption'!T24)*' Kwh area wise $ '!B23</f>
        <v>858.42000000016765</v>
      </c>
      <c r="L23" s="1">
        <f>'Kwh Consumption'!U24*' Kwh area wise $ '!B23</f>
        <v>41.399999999998158</v>
      </c>
      <c r="M23" s="1">
        <f>'Kwh Consumption'!V24*' Kwh area wise $ '!B23</f>
        <v>1202.5799999997878</v>
      </c>
    </row>
    <row r="24" spans="1:13" x14ac:dyDescent="0.25">
      <c r="A24" s="14">
        <f>'Kwh Reading'!A25</f>
        <v>44552</v>
      </c>
      <c r="B24" s="11">
        <f>TOTAL!F23</f>
        <v>0.18</v>
      </c>
      <c r="C24" s="11">
        <f>'Kwh Consumption'!B25*' Kwh area wise $ '!B24</f>
        <v>4500.0000000000819</v>
      </c>
      <c r="D24" s="1">
        <f>'Kwh Consumption'!C25*' Kwh area wise $ '!B24</f>
        <v>111.60000000000082</v>
      </c>
      <c r="E24" s="1">
        <f>'Kwh Consumption'!D25*' Kwh area wise $ '!B24</f>
        <v>503.99999999994446</v>
      </c>
      <c r="F24" s="1">
        <f>'Kwh Consumption'!E25*' Kwh area wise $ '!B24</f>
        <v>50.399999999995089</v>
      </c>
      <c r="G24" s="1">
        <f>('Kwh Consumption'!F25+'Kwh Consumption'!G25+'Kwh Consumption'!H25)*' Kwh area wise $ '!B24</f>
        <v>250.19999999999754</v>
      </c>
      <c r="H24" s="16">
        <f>('Kwh Consumption'!I25+'Kwh Consumption'!J25)*' Kwh area wise $ '!B24</f>
        <v>28.799999999999386</v>
      </c>
      <c r="I24" s="1">
        <f>('Kwh Consumption'!K25+'Kwh Consumption'!L25)*' Kwh area wise $ '!B24</f>
        <v>257.40000000001532</v>
      </c>
      <c r="J24" s="1">
        <f>('Kwh Consumption'!M25+'Kwh Consumption'!N25+'Kwh Consumption'!O25+'Kwh Consumption'!P25+'Kwh Consumption'!Q25+'Kwh Consumption'!R25)*' Kwh area wise $ '!B24</f>
        <v>1025.9999999999877</v>
      </c>
      <c r="K24" s="1">
        <f>('Kwh Consumption'!S25+'Kwh Consumption'!T25)*' Kwh area wise $ '!B24</f>
        <v>891.55799999976523</v>
      </c>
      <c r="L24" s="1">
        <f>'Kwh Consumption'!U25*' Kwh area wise $ '!B24</f>
        <v>46.799999999998363</v>
      </c>
      <c r="M24" s="1">
        <f>'Kwh Consumption'!V25*' Kwh area wise $ '!B24</f>
        <v>1333.2420000003781</v>
      </c>
    </row>
    <row r="25" spans="1:13" x14ac:dyDescent="0.25">
      <c r="A25" s="14">
        <f>'Kwh Reading'!A26</f>
        <v>44553</v>
      </c>
      <c r="B25" s="11">
        <f>TOTAL!F24</f>
        <v>0.18</v>
      </c>
      <c r="C25" s="11">
        <f>'Kwh Consumption'!B26*' Kwh area wise $ '!B25</f>
        <v>4384.799999999982</v>
      </c>
      <c r="D25" s="1">
        <f>'Kwh Consumption'!C26*' Kwh area wise $ '!B25</f>
        <v>104.39999999999714</v>
      </c>
      <c r="E25" s="1">
        <f>'Kwh Consumption'!D26*' Kwh area wise $ '!B25</f>
        <v>522.0000000000623</v>
      </c>
      <c r="F25" s="1">
        <f>'Kwh Consumption'!E26*' Kwh area wise $ '!B25</f>
        <v>54.000000000002046</v>
      </c>
      <c r="G25" s="1">
        <f>('Kwh Consumption'!F26+'Kwh Consumption'!G26+'Kwh Consumption'!H26)*' Kwh area wise $ '!B25</f>
        <v>246.60000000000082</v>
      </c>
      <c r="H25" s="16">
        <f>('Kwh Consumption'!I26+'Kwh Consumption'!J26)*' Kwh area wise $ '!B25</f>
        <v>26.999999999995907</v>
      </c>
      <c r="I25" s="1">
        <f>('Kwh Consumption'!K26+'Kwh Consumption'!L26)*' Kwh area wise $ '!B25</f>
        <v>250.19999999998186</v>
      </c>
      <c r="J25" s="1">
        <f>('Kwh Consumption'!M26+'Kwh Consumption'!N26+'Kwh Consumption'!O26+'Kwh Consumption'!P26+'Kwh Consumption'!Q26+'Kwh Consumption'!R26)*' Kwh area wise $ '!B25</f>
        <v>1009.7999999999615</v>
      </c>
      <c r="K25" s="1">
        <f>('Kwh Consumption'!S26+'Kwh Consumption'!T26)*' Kwh area wise $ '!B25</f>
        <v>808.79940000018098</v>
      </c>
      <c r="L25" s="1">
        <f>'Kwh Consumption'!U26*' Kwh area wise $ '!B25</f>
        <v>37.800000000001432</v>
      </c>
      <c r="M25" s="1">
        <f>'Kwh Consumption'!V26*' Kwh area wise $ '!B25</f>
        <v>1324.2005999997987</v>
      </c>
    </row>
    <row r="26" spans="1:13" x14ac:dyDescent="0.25">
      <c r="A26" s="14">
        <f>'Kwh Reading'!A27</f>
        <v>44554</v>
      </c>
      <c r="B26" s="11">
        <f>TOTAL!F25</f>
        <v>0.18</v>
      </c>
      <c r="C26" s="11">
        <f>'Kwh Consumption'!B27*' Kwh area wise $ '!B26</f>
        <v>4285.800000000153</v>
      </c>
      <c r="D26" s="1">
        <f>'Kwh Consumption'!C27*' Kwh area wise $ '!B26</f>
        <v>75.600000000002865</v>
      </c>
      <c r="E26" s="1">
        <f>'Kwh Consumption'!D27*' Kwh area wise $ '!B26</f>
        <v>521.99999999998249</v>
      </c>
      <c r="F26" s="1">
        <f>'Kwh Consumption'!E27*' Kwh area wise $ '!B26</f>
        <v>48.599999999996726</v>
      </c>
      <c r="G26" s="1">
        <f>('Kwh Consumption'!F27+'Kwh Consumption'!G27+'Kwh Consumption'!H27)*' Kwh area wise $ '!B26</f>
        <v>257.40000000000123</v>
      </c>
      <c r="H26" s="16">
        <f>('Kwh Consumption'!I27+'Kwh Consumption'!J27)*' Kwh area wise $ '!B26</f>
        <v>28.800000000004502</v>
      </c>
      <c r="I26" s="1">
        <f>('Kwh Consumption'!K27+'Kwh Consumption'!L27)*' Kwh area wise $ '!B26</f>
        <v>253.80000000001857</v>
      </c>
      <c r="J26" s="1">
        <f>('Kwh Consumption'!M27+'Kwh Consumption'!N27+'Kwh Consumption'!O27+'Kwh Consumption'!P27+'Kwh Consumption'!Q27+'Kwh Consumption'!R27)*' Kwh area wise $ '!B26</f>
        <v>1040.400000000036</v>
      </c>
      <c r="K26" s="1">
        <f>('Kwh Consumption'!S27+'Kwh Consumption'!T27)*' Kwh area wise $ '!B26</f>
        <v>792.94679999995969</v>
      </c>
      <c r="L26" s="1">
        <f>'Kwh Consumption'!U27*' Kwh area wise $ '!B26</f>
        <v>41.399999999998158</v>
      </c>
      <c r="M26" s="1">
        <f>'Kwh Consumption'!V27*' Kwh area wise $ '!B26</f>
        <v>1224.8532000001528</v>
      </c>
    </row>
    <row r="27" spans="1:13" x14ac:dyDescent="0.25">
      <c r="A27" s="14">
        <f>'Kwh Reading'!A28</f>
        <v>44555</v>
      </c>
      <c r="B27" s="11">
        <f>TOTAL!F26</f>
        <v>0.18</v>
      </c>
      <c r="C27" s="11">
        <f>'Kwh Consumption'!B28*' Kwh area wise $ '!B27</f>
        <v>4066.1999999996169</v>
      </c>
      <c r="D27" s="1">
        <f>'Kwh Consumption'!C28*' Kwh area wise $ '!B27</f>
        <v>116.99999999999591</v>
      </c>
      <c r="E27" s="1">
        <f>'Kwh Consumption'!D28*' Kwh area wise $ '!B27</f>
        <v>468.00000000002836</v>
      </c>
      <c r="F27" s="1">
        <f>'Kwh Consumption'!E28*' Kwh area wise $ '!B27</f>
        <v>52.200000000003683</v>
      </c>
      <c r="G27" s="1">
        <f>('Kwh Consumption'!F28+'Kwh Consumption'!G28+'Kwh Consumption'!H28)*' Kwh area wise $ '!B27</f>
        <v>208.79999999999427</v>
      </c>
      <c r="H27" s="16">
        <f>('Kwh Consumption'!I28+'Kwh Consumption'!J28)*' Kwh area wise $ '!B27</f>
        <v>26.999999999995907</v>
      </c>
      <c r="I27" s="1">
        <f>('Kwh Consumption'!K28+'Kwh Consumption'!L28)*' Kwh area wise $ '!B27</f>
        <v>250.19999999997162</v>
      </c>
      <c r="J27" s="1">
        <f>('Kwh Consumption'!M28+'Kwh Consumption'!N28+'Kwh Consumption'!O28+'Kwh Consumption'!P28+'Kwh Consumption'!Q28+'Kwh Consumption'!R28)*' Kwh area wise $ '!B27</f>
        <v>921.60000000000082</v>
      </c>
      <c r="K27" s="1">
        <f>('Kwh Consumption'!S28+'Kwh Consumption'!T28)*' Kwh area wise $ '!B27</f>
        <v>755.25839999997982</v>
      </c>
      <c r="L27" s="1">
        <f>'Kwh Consumption'!U28*' Kwh area wise $ '!B27</f>
        <v>41.400000000003274</v>
      </c>
      <c r="M27" s="1">
        <f>'Kwh Consumption'!V28*' Kwh area wise $ '!B27</f>
        <v>1224.7415999996429</v>
      </c>
    </row>
    <row r="28" spans="1:13" x14ac:dyDescent="0.25">
      <c r="A28" s="14">
        <f>'Kwh Reading'!A29</f>
        <v>44556</v>
      </c>
      <c r="B28" s="11">
        <f>TOTAL!F27</f>
        <v>0.18</v>
      </c>
      <c r="C28" s="11">
        <f>'Kwh Consumption'!B29*' Kwh area wise $ '!B28</f>
        <v>4271.4000000001251</v>
      </c>
      <c r="D28" s="1">
        <f>'Kwh Consumption'!C29*' Kwh area wise $ '!B28</f>
        <v>113.39999999999918</v>
      </c>
      <c r="E28" s="1">
        <f>'Kwh Consumption'!D29*' Kwh area wise $ '!B28</f>
        <v>485.99999999998641</v>
      </c>
      <c r="F28" s="1">
        <f>'Kwh Consumption'!E29*' Kwh area wise $ '!B28</f>
        <v>50.399999999995089</v>
      </c>
      <c r="G28" s="1">
        <f>('Kwh Consumption'!F29+'Kwh Consumption'!G29+'Kwh Consumption'!H29)*' Kwh area wise $ '!B28</f>
        <v>262.80000000000655</v>
      </c>
      <c r="H28" s="16">
        <f>('Kwh Consumption'!I29+'Kwh Consumption'!J29)*' Kwh area wise $ '!B28</f>
        <v>28.799999999999386</v>
      </c>
      <c r="I28" s="1">
        <f>('Kwh Consumption'!K29+'Kwh Consumption'!L29)*' Kwh area wise $ '!B28</f>
        <v>246.60000000002512</v>
      </c>
      <c r="J28" s="1">
        <f>('Kwh Consumption'!M29+'Kwh Consumption'!N29+'Kwh Consumption'!O29+'Kwh Consumption'!P29+'Kwh Consumption'!Q29+'Kwh Consumption'!R29)*' Kwh area wise $ '!B28</f>
        <v>981.00000000000819</v>
      </c>
      <c r="K28" s="1">
        <f>('Kwh Consumption'!S29+'Kwh Consumption'!T29)*' Kwh area wise $ '!B28</f>
        <v>859.12199999989934</v>
      </c>
      <c r="L28" s="1">
        <f>'Kwh Consumption'!U29*' Kwh area wise $ '!B28</f>
        <v>41.399999999998158</v>
      </c>
      <c r="M28" s="1">
        <f>'Kwh Consumption'!V29*' Kwh area wise $ '!B28</f>
        <v>1201.8780000002087</v>
      </c>
    </row>
    <row r="29" spans="1:13" x14ac:dyDescent="0.25">
      <c r="A29" s="14">
        <f>'Kwh Reading'!A30</f>
        <v>44557</v>
      </c>
      <c r="B29" s="11">
        <f>TOTAL!F28</f>
        <v>0.18</v>
      </c>
      <c r="C29" s="11">
        <f>'Kwh Consumption'!B30*' Kwh area wise $ '!B29</f>
        <v>4361.3999999999614</v>
      </c>
      <c r="D29" s="1">
        <f>'Kwh Consumption'!C30*' Kwh area wise $ '!B29</f>
        <v>108.00000000000409</v>
      </c>
      <c r="E29" s="1">
        <f>'Kwh Consumption'!D30*' Kwh area wise $ '!B29</f>
        <v>521.99999999998249</v>
      </c>
      <c r="F29" s="1">
        <f>'Kwh Consumption'!E30*' Kwh area wise $ '!B29</f>
        <v>54.000000000002046</v>
      </c>
      <c r="G29" s="1">
        <f>('Kwh Consumption'!F30+'Kwh Consumption'!G30+'Kwh Consumption'!H30)*' Kwh area wise $ '!B29</f>
        <v>261.00000000000819</v>
      </c>
      <c r="H29" s="16">
        <f>('Kwh Consumption'!I30+'Kwh Consumption'!J30)*' Kwh area wise $ '!B29</f>
        <v>27.000000000001023</v>
      </c>
      <c r="I29" s="1">
        <f>('Kwh Consumption'!K30+'Kwh Consumption'!L30)*' Kwh area wise $ '!B29</f>
        <v>244.79999999997654</v>
      </c>
      <c r="J29" s="1">
        <f>('Kwh Consumption'!M30+'Kwh Consumption'!N30+'Kwh Consumption'!O30+'Kwh Consumption'!P30+'Kwh Consumption'!Q30+'Kwh Consumption'!R30)*' Kwh area wise $ '!B29</f>
        <v>1015.1999999999771</v>
      </c>
      <c r="K29" s="1">
        <f>('Kwh Consumption'!S30+'Kwh Consumption'!T30)*' Kwh area wise $ '!B29</f>
        <v>898.64639999991277</v>
      </c>
      <c r="L29" s="1">
        <f>'Kwh Consumption'!U30*' Kwh area wise $ '!B29</f>
        <v>41.400000000003274</v>
      </c>
      <c r="M29" s="1">
        <f>'Kwh Consumption'!V30*' Kwh area wise $ '!B29</f>
        <v>1189.3536000000943</v>
      </c>
    </row>
    <row r="30" spans="1:13" x14ac:dyDescent="0.25">
      <c r="A30" s="14">
        <f>'Kwh Reading'!A31</f>
        <v>44558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115.19999999999754</v>
      </c>
      <c r="E30" s="1">
        <f>'Kwh Consumption'!D31*' Kwh area wise $ '!B30</f>
        <v>504.00000000002439</v>
      </c>
      <c r="F30" s="1">
        <f>'Kwh Consumption'!E31*' Kwh area wise $ '!B30</f>
        <v>52.200000000003683</v>
      </c>
      <c r="G30" s="1">
        <f>('Kwh Consumption'!F31+'Kwh Consumption'!G31+'Kwh Consumption'!H31)*' Kwh area wise $ '!B30</f>
        <v>296.99999999999591</v>
      </c>
      <c r="H30" s="16">
        <f>('Kwh Consumption'!I31+'Kwh Consumption'!J31)*' Kwh area wise $ '!B30</f>
        <v>27.000000000001023</v>
      </c>
      <c r="I30" s="1">
        <f>('Kwh Consumption'!K31+'Kwh Consumption'!L31)*' Kwh area wise $ '!B30</f>
        <v>246.60000000001489</v>
      </c>
      <c r="J30" s="1">
        <f>('Kwh Consumption'!M31+'Kwh Consumption'!N31+'Kwh Consumption'!O31+'Kwh Consumption'!P31+'Kwh Consumption'!Q31+'Kwh Consumption'!R31)*' Kwh area wise $ '!B30</f>
        <v>988.20000000000164</v>
      </c>
      <c r="K30" s="1">
        <f>('Kwh Consumption'!S31+'Kwh Consumption'!T31)*' Kwh area wise $ '!B30</f>
        <v>1669.3074000002816</v>
      </c>
      <c r="L30" s="1">
        <f>'Kwh Consumption'!U31*' Kwh area wise $ '!B30</f>
        <v>50.399999999995089</v>
      </c>
      <c r="M30" s="1">
        <f>'Kwh Consumption'!V31*' Kwh area wise $ '!B30</f>
        <v>-3949.9074000003156</v>
      </c>
    </row>
    <row r="31" spans="1:13" x14ac:dyDescent="0.25">
      <c r="A31" s="14">
        <f>'Kwh Reading'!A32</f>
        <v>44559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118.8000000000045</v>
      </c>
      <c r="E31" s="1">
        <f>'Kwh Consumption'!D32*' Kwh area wise $ '!B31</f>
        <v>503.99999999994446</v>
      </c>
      <c r="F31" s="1">
        <f>'Kwh Consumption'!E32*' Kwh area wise $ '!B31</f>
        <v>52.199999999993452</v>
      </c>
      <c r="G31" s="1">
        <f>('Kwh Consumption'!F32+'Kwh Consumption'!G32+'Kwh Consumption'!H32)*' Kwh area wise $ '!B31</f>
        <v>349.19999999999959</v>
      </c>
      <c r="H31" s="16">
        <f>('Kwh Consumption'!I32+'Kwh Consumption'!J32)*' Kwh area wise $ '!B31</f>
        <v>32.400000000001228</v>
      </c>
      <c r="I31" s="1">
        <f>('Kwh Consumption'!K32+'Kwh Consumption'!L32)*' Kwh area wise $ '!B31</f>
        <v>252.00000000002021</v>
      </c>
      <c r="J31" s="1">
        <f>('Kwh Consumption'!M32+'Kwh Consumption'!N32+'Kwh Consumption'!O32+'Kwh Consumption'!P32+'Kwh Consumption'!Q32+'Kwh Consumption'!R32)*' Kwh area wise $ '!B31</f>
        <v>993.60000000001719</v>
      </c>
      <c r="K31" s="1">
        <f>('Kwh Consumption'!S32+'Kwh Consumption'!T32)*' Kwh area wise $ '!B31</f>
        <v>43.739999999999995</v>
      </c>
      <c r="L31" s="1">
        <f>'Kwh Consumption'!U32*' Kwh area wise $ '!B31</f>
        <v>48.600000000001842</v>
      </c>
      <c r="M31" s="1">
        <f>'Kwh Consumption'!V32*' Kwh area wise $ '!B31</f>
        <v>-2394.5399999999822</v>
      </c>
    </row>
    <row r="32" spans="1:13" x14ac:dyDescent="0.25">
      <c r="A32" s="14">
        <f>'Kwh Reading'!A33</f>
        <v>44560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111.60000000000082</v>
      </c>
      <c r="E32" s="1">
        <f>'Kwh Consumption'!D33*' Kwh area wise $ '!B32</f>
        <v>522.0000000000623</v>
      </c>
      <c r="F32" s="1">
        <f>'Kwh Consumption'!E33*' Kwh area wise $ '!B32</f>
        <v>48.600000000006958</v>
      </c>
      <c r="G32" s="1">
        <f>('Kwh Consumption'!F33+'Kwh Consumption'!G33+'Kwh Consumption'!H33)*' Kwh area wise $ '!B32</f>
        <v>325.79999999999018</v>
      </c>
      <c r="H32" s="16">
        <f>('Kwh Consumption'!I33+'Kwh Consumption'!J33)*' Kwh area wise $ '!B32</f>
        <v>30.599999999997749</v>
      </c>
      <c r="I32" s="1">
        <f>('Kwh Consumption'!K33+'Kwh Consumption'!L33)*' Kwh area wise $ '!B32</f>
        <v>266.39999999997133</v>
      </c>
      <c r="J32" s="1">
        <f>('Kwh Consumption'!M33+'Kwh Consumption'!N33+'Kwh Consumption'!O33+'Kwh Consumption'!P33+'Kwh Consumption'!Q33+'Kwh Consumption'!R33)*' Kwh area wise $ '!B32</f>
        <v>953.99999999997135</v>
      </c>
      <c r="K32" s="1">
        <f>('Kwh Consumption'!S33+'Kwh Consumption'!T33)*' Kwh area wise $ '!B32</f>
        <v>847.125</v>
      </c>
      <c r="L32" s="1">
        <f>'Kwh Consumption'!U33*' Kwh area wise $ '!B32</f>
        <v>46.799999999998363</v>
      </c>
      <c r="M32" s="1">
        <f>'Kwh Consumption'!V33*' Kwh area wise $ '!B32</f>
        <v>-3152.9249999999984</v>
      </c>
    </row>
    <row r="33" spans="1:14" x14ac:dyDescent="0.25">
      <c r="A33" s="14">
        <f>'Kwh Reading'!A34</f>
        <v>44561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-91335.599999999991</v>
      </c>
      <c r="E33" s="1">
        <f>'Kwh Consumption'!D34*' Kwh area wise $ '!B33</f>
        <v>-511380</v>
      </c>
      <c r="F33" s="1">
        <f>'Kwh Consumption'!E34*' Kwh area wise $ '!B33</f>
        <v>-49599</v>
      </c>
      <c r="G33" s="1">
        <f>('Kwh Consumption'!F34+'Kwh Consumption'!G34+'Kwh Consumption'!H34)*' Kwh area wise $ '!B33</f>
        <v>-189648</v>
      </c>
      <c r="H33" s="16">
        <f>('Kwh Consumption'!I34+'Kwh Consumption'!J34)*' Kwh area wise $ '!B33</f>
        <v>-59164.2</v>
      </c>
      <c r="I33" s="1">
        <f>('Kwh Consumption'!K34+'Kwh Consumption'!L34)*' Kwh area wise $ '!B33</f>
        <v>-268714.8</v>
      </c>
      <c r="J33" s="1">
        <f>('Kwh Consumption'!M34+'Kwh Consumption'!N34+'Kwh Consumption'!O34+'Kwh Consumption'!P34+'Kwh Consumption'!Q34+'Kwh Consumption'!R34)*' Kwh area wise $ '!B33</f>
        <v>-775537.2</v>
      </c>
      <c r="K33" s="1">
        <f>('Kwh Consumption'!S34+'Kwh Consumption'!T34)*' Kwh area wise $ '!B33</f>
        <v>-2986516.9674</v>
      </c>
      <c r="L33" s="1">
        <f>'Kwh Consumption'!U34*' Kwh area wise $ '!B33</f>
        <v>-34095.599999999999</v>
      </c>
      <c r="M33" s="1">
        <f>'Kwh Consumption'!V34*' Kwh area wise $ '!B33</f>
        <v>4965991.3673999999</v>
      </c>
    </row>
    <row r="34" spans="1:14" ht="15.75" x14ac:dyDescent="0.25">
      <c r="A34" s="145" t="s">
        <v>52</v>
      </c>
      <c r="B34" s="145"/>
      <c r="C34" s="72">
        <f t="shared" ref="C34:L34" si="0">SUM(C3:C33)</f>
        <v>110386.79999999967</v>
      </c>
      <c r="D34" s="72">
        <f t="shared" si="0"/>
        <v>-88446.599999999991</v>
      </c>
      <c r="E34" s="72">
        <f t="shared" si="0"/>
        <v>-496853.99999999994</v>
      </c>
      <c r="F34" s="72">
        <f t="shared" si="0"/>
        <v>-48117.599999999999</v>
      </c>
      <c r="G34" s="72">
        <f t="shared" si="0"/>
        <v>-182907</v>
      </c>
      <c r="H34" s="72">
        <f t="shared" si="0"/>
        <v>-58370.399999999994</v>
      </c>
      <c r="I34" s="72">
        <f t="shared" si="0"/>
        <v>-261480.6</v>
      </c>
      <c r="J34" s="72">
        <f t="shared" si="0"/>
        <v>-748150.2</v>
      </c>
      <c r="K34" s="72">
        <f t="shared" si="0"/>
        <v>-2961931.4945999999</v>
      </c>
      <c r="L34" s="72">
        <f t="shared" si="0"/>
        <v>-32898.600000000006</v>
      </c>
      <c r="M34" s="72">
        <f>SUM(M3:M33)</f>
        <v>4989543.2945999997</v>
      </c>
      <c r="N34" s="81">
        <f>D34+E34+F34+G34+H34+I34+J34+K34+L34+M34</f>
        <v>110386.79999999981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E3" activePane="bottomRight" state="frozen"/>
      <selection pane="topRight" activeCell="C25" sqref="C25"/>
      <selection pane="bottomLeft" activeCell="C25" sqref="C25"/>
      <selection pane="bottomRight" activeCell="H37" sqref="H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1143</v>
      </c>
      <c r="R4" s="104">
        <v>7092</v>
      </c>
    </row>
    <row r="5" spans="1:21" x14ac:dyDescent="0.25">
      <c r="A5" s="52">
        <v>44533</v>
      </c>
      <c r="B5" s="32">
        <v>194872</v>
      </c>
      <c r="C5" s="32"/>
      <c r="D5" s="32">
        <v>232601</v>
      </c>
      <c r="E5" s="32">
        <v>257018</v>
      </c>
      <c r="F5" s="32">
        <v>67038</v>
      </c>
      <c r="G5" s="32">
        <v>114656</v>
      </c>
      <c r="H5" s="32">
        <v>58971</v>
      </c>
      <c r="I5" s="32">
        <v>68596</v>
      </c>
      <c r="J5" s="53">
        <v>21763</v>
      </c>
      <c r="K5" s="32">
        <v>1024</v>
      </c>
      <c r="L5" s="104">
        <v>18224</v>
      </c>
      <c r="M5" s="104">
        <v>26208</v>
      </c>
      <c r="N5" s="104">
        <v>8107</v>
      </c>
      <c r="O5" s="104">
        <v>1852</v>
      </c>
      <c r="P5" s="104">
        <v>28721</v>
      </c>
      <c r="Q5" s="104">
        <v>1148</v>
      </c>
      <c r="R5" s="104">
        <v>7099</v>
      </c>
    </row>
    <row r="6" spans="1:21" x14ac:dyDescent="0.25">
      <c r="A6" s="52">
        <v>44534</v>
      </c>
      <c r="B6" s="32">
        <v>195067</v>
      </c>
      <c r="C6" s="32"/>
      <c r="D6" s="32">
        <v>232910</v>
      </c>
      <c r="E6" s="32">
        <v>257088</v>
      </c>
      <c r="F6" s="32">
        <v>67039</v>
      </c>
      <c r="G6" s="32">
        <v>114676</v>
      </c>
      <c r="H6" s="32">
        <v>58994</v>
      </c>
      <c r="I6" s="32">
        <v>68622</v>
      </c>
      <c r="J6" s="54">
        <v>21768</v>
      </c>
      <c r="K6" s="54">
        <v>1024</v>
      </c>
      <c r="L6" s="104">
        <v>18228</v>
      </c>
      <c r="M6" s="104">
        <v>26218</v>
      </c>
      <c r="N6" s="104">
        <v>8108</v>
      </c>
      <c r="O6" s="104">
        <v>1853</v>
      </c>
      <c r="P6" s="104">
        <v>28721</v>
      </c>
      <c r="Q6" s="104">
        <v>1153</v>
      </c>
      <c r="R6" s="104">
        <v>7099</v>
      </c>
    </row>
    <row r="7" spans="1:21" x14ac:dyDescent="0.25">
      <c r="A7" s="52">
        <v>44535</v>
      </c>
      <c r="B7" s="54">
        <v>195287</v>
      </c>
      <c r="C7" s="32"/>
      <c r="D7" s="104">
        <v>233268</v>
      </c>
      <c r="E7" s="104">
        <v>257168</v>
      </c>
      <c r="F7" s="104">
        <v>67040</v>
      </c>
      <c r="G7" s="104">
        <v>114697</v>
      </c>
      <c r="H7" s="104">
        <v>59018</v>
      </c>
      <c r="I7" s="104">
        <v>68643</v>
      </c>
      <c r="J7" s="104">
        <v>21775</v>
      </c>
      <c r="K7" s="104">
        <v>1024</v>
      </c>
      <c r="L7" s="104">
        <v>18232</v>
      </c>
      <c r="M7" s="104">
        <v>26226</v>
      </c>
      <c r="N7" s="104">
        <v>8110</v>
      </c>
      <c r="O7" s="104">
        <v>1856</v>
      </c>
      <c r="P7" s="104">
        <v>28721</v>
      </c>
      <c r="Q7" s="104">
        <v>1159</v>
      </c>
      <c r="R7" s="104">
        <v>7106</v>
      </c>
    </row>
    <row r="8" spans="1:21" x14ac:dyDescent="0.25">
      <c r="A8" s="52">
        <v>44536</v>
      </c>
      <c r="B8" s="32">
        <v>195519</v>
      </c>
      <c r="C8" s="54"/>
      <c r="D8" s="104">
        <v>233620</v>
      </c>
      <c r="E8" s="104">
        <v>2577245</v>
      </c>
      <c r="F8" s="104">
        <v>67041</v>
      </c>
      <c r="G8" s="104">
        <v>114720</v>
      </c>
      <c r="H8" s="104">
        <v>59045</v>
      </c>
      <c r="I8" s="104">
        <v>68699</v>
      </c>
      <c r="J8" s="104">
        <v>21780</v>
      </c>
      <c r="K8" s="104">
        <v>1024</v>
      </c>
      <c r="L8" s="104">
        <v>18236</v>
      </c>
      <c r="M8" s="104">
        <v>26235</v>
      </c>
      <c r="N8" s="104">
        <v>8112</v>
      </c>
      <c r="O8" s="104">
        <v>1858</v>
      </c>
      <c r="P8" s="104">
        <v>28737</v>
      </c>
      <c r="Q8" s="104">
        <v>1162</v>
      </c>
      <c r="R8" s="104">
        <v>7113</v>
      </c>
    </row>
    <row r="9" spans="1:21" x14ac:dyDescent="0.25">
      <c r="A9" s="52">
        <v>44537</v>
      </c>
      <c r="B9" s="54">
        <v>195687</v>
      </c>
      <c r="C9" s="32"/>
      <c r="D9" s="104">
        <v>233829</v>
      </c>
      <c r="E9" s="104">
        <v>257322</v>
      </c>
      <c r="F9" s="104">
        <v>67043</v>
      </c>
      <c r="G9" s="104">
        <v>114742</v>
      </c>
      <c r="H9" s="104">
        <v>59066</v>
      </c>
      <c r="I9" s="104">
        <v>68741</v>
      </c>
      <c r="J9" s="104">
        <v>21786</v>
      </c>
      <c r="K9" s="104">
        <v>1024</v>
      </c>
      <c r="L9" s="104">
        <v>18240</v>
      </c>
      <c r="M9" s="104">
        <v>26242</v>
      </c>
      <c r="N9" s="104">
        <v>8115</v>
      </c>
      <c r="O9" s="104">
        <v>1859</v>
      </c>
      <c r="P9" s="104">
        <v>28756</v>
      </c>
      <c r="Q9" s="104">
        <v>1163</v>
      </c>
      <c r="R9" s="104">
        <v>7121</v>
      </c>
    </row>
    <row r="10" spans="1:21" x14ac:dyDescent="0.25">
      <c r="A10" s="52">
        <v>44538</v>
      </c>
      <c r="B10" s="32">
        <v>195849</v>
      </c>
      <c r="C10" s="54"/>
      <c r="D10" s="104">
        <v>234037</v>
      </c>
      <c r="E10" s="104">
        <v>257388</v>
      </c>
      <c r="F10" s="104">
        <v>67044</v>
      </c>
      <c r="G10" s="104">
        <v>114765</v>
      </c>
      <c r="H10" s="104">
        <v>59110</v>
      </c>
      <c r="I10" s="104">
        <v>68781</v>
      </c>
      <c r="J10" s="104">
        <v>21792</v>
      </c>
      <c r="K10" s="104">
        <v>1024</v>
      </c>
      <c r="L10" s="104">
        <v>18245</v>
      </c>
      <c r="M10" s="104">
        <v>26252</v>
      </c>
      <c r="N10" s="104">
        <v>8117</v>
      </c>
      <c r="O10" s="104">
        <v>1860</v>
      </c>
      <c r="P10" s="104">
        <v>28773</v>
      </c>
      <c r="Q10" s="104">
        <v>1166</v>
      </c>
      <c r="R10" s="104">
        <v>7129</v>
      </c>
    </row>
    <row r="11" spans="1:21" x14ac:dyDescent="0.25">
      <c r="A11" s="52">
        <v>44539</v>
      </c>
      <c r="B11" s="54">
        <v>196265</v>
      </c>
      <c r="C11" s="32"/>
      <c r="D11" s="104">
        <v>234356</v>
      </c>
      <c r="E11" s="104">
        <v>257475</v>
      </c>
      <c r="F11" s="104">
        <v>67045</v>
      </c>
      <c r="G11" s="104">
        <v>114789</v>
      </c>
      <c r="H11" s="104">
        <v>59122</v>
      </c>
      <c r="I11" s="104">
        <v>68805</v>
      </c>
      <c r="J11" s="104">
        <v>21798</v>
      </c>
      <c r="K11" s="104">
        <v>1024</v>
      </c>
      <c r="L11" s="104">
        <v>18248</v>
      </c>
      <c r="M11" s="104">
        <v>26260</v>
      </c>
      <c r="N11" s="104">
        <v>8119</v>
      </c>
      <c r="O11" s="104">
        <v>1861</v>
      </c>
      <c r="P11" s="104">
        <v>28789</v>
      </c>
      <c r="Q11" s="104">
        <v>1171</v>
      </c>
      <c r="R11" s="104">
        <v>7135</v>
      </c>
    </row>
    <row r="12" spans="1:21" x14ac:dyDescent="0.25">
      <c r="A12" s="52">
        <v>44540</v>
      </c>
      <c r="B12" s="32">
        <v>196265</v>
      </c>
      <c r="C12" s="54"/>
      <c r="D12" s="104">
        <v>234622</v>
      </c>
      <c r="E12" s="104">
        <v>257547</v>
      </c>
      <c r="F12" s="104">
        <v>67047</v>
      </c>
      <c r="G12" s="104">
        <v>114809</v>
      </c>
      <c r="H12" s="104">
        <v>59140</v>
      </c>
      <c r="I12" s="104">
        <v>68832</v>
      </c>
      <c r="J12" s="104">
        <v>21804</v>
      </c>
      <c r="K12" s="104">
        <v>1024</v>
      </c>
      <c r="L12" s="104">
        <v>18253</v>
      </c>
      <c r="M12" s="104">
        <v>26269</v>
      </c>
      <c r="N12" s="104">
        <v>8121</v>
      </c>
      <c r="O12" s="104">
        <v>1862</v>
      </c>
      <c r="P12" s="104">
        <v>28790</v>
      </c>
      <c r="Q12" s="104">
        <v>1171</v>
      </c>
      <c r="R12" s="104">
        <v>7140</v>
      </c>
    </row>
    <row r="13" spans="1:21" x14ac:dyDescent="0.25">
      <c r="A13" s="52">
        <v>44541</v>
      </c>
      <c r="B13" s="54">
        <v>196421</v>
      </c>
      <c r="C13" s="32"/>
      <c r="D13" s="104">
        <v>234831</v>
      </c>
      <c r="E13" s="104">
        <v>257620</v>
      </c>
      <c r="F13" s="104">
        <v>67047</v>
      </c>
      <c r="G13" s="104">
        <v>114827</v>
      </c>
      <c r="H13" s="104">
        <v>59146</v>
      </c>
      <c r="I13" s="104">
        <v>68860</v>
      </c>
      <c r="J13" s="104">
        <v>21810</v>
      </c>
      <c r="K13" s="104">
        <v>1024</v>
      </c>
      <c r="L13" s="104">
        <v>18258</v>
      </c>
      <c r="M13" s="104">
        <v>26278</v>
      </c>
      <c r="N13" s="104">
        <v>8122</v>
      </c>
      <c r="O13" s="104">
        <v>1863</v>
      </c>
      <c r="P13" s="104">
        <v>28796</v>
      </c>
      <c r="Q13" s="104">
        <v>1171</v>
      </c>
      <c r="R13" s="104">
        <v>7140</v>
      </c>
    </row>
    <row r="14" spans="1:21" x14ac:dyDescent="0.25">
      <c r="A14" s="52">
        <v>44542</v>
      </c>
      <c r="B14" s="32">
        <v>196585</v>
      </c>
      <c r="C14" s="32"/>
      <c r="D14" s="104">
        <v>235049</v>
      </c>
      <c r="E14" s="104">
        <v>257695</v>
      </c>
      <c r="F14" s="104">
        <v>67049</v>
      </c>
      <c r="G14" s="104">
        <v>114853</v>
      </c>
      <c r="H14" s="104">
        <v>59152</v>
      </c>
      <c r="I14" s="104">
        <v>68876</v>
      </c>
      <c r="J14" s="104">
        <v>21816</v>
      </c>
      <c r="K14" s="104">
        <v>1024</v>
      </c>
      <c r="L14" s="104">
        <v>18263</v>
      </c>
      <c r="M14" s="104">
        <v>26288</v>
      </c>
      <c r="N14" s="104">
        <v>8122</v>
      </c>
      <c r="O14" s="104">
        <v>1863</v>
      </c>
      <c r="P14" s="104">
        <v>28796</v>
      </c>
      <c r="Q14" s="104">
        <v>1171</v>
      </c>
      <c r="R14" s="104">
        <v>7145</v>
      </c>
    </row>
    <row r="15" spans="1:21" x14ac:dyDescent="0.25">
      <c r="A15" s="52">
        <v>44543</v>
      </c>
      <c r="B15" s="32">
        <v>196746</v>
      </c>
      <c r="C15" s="32"/>
      <c r="D15" s="104">
        <v>235272</v>
      </c>
      <c r="E15" s="104">
        <v>257776</v>
      </c>
      <c r="F15" s="104">
        <v>67050</v>
      </c>
      <c r="G15" s="104">
        <v>114876</v>
      </c>
      <c r="H15" s="104">
        <v>59160</v>
      </c>
      <c r="I15" s="104">
        <v>68891</v>
      </c>
      <c r="J15" s="104">
        <v>21821</v>
      </c>
      <c r="K15" s="104">
        <v>1024</v>
      </c>
      <c r="L15" s="104">
        <v>18267</v>
      </c>
      <c r="M15" s="104">
        <v>26297</v>
      </c>
      <c r="N15" s="104">
        <v>8123</v>
      </c>
      <c r="O15" s="104">
        <v>1864</v>
      </c>
      <c r="P15" s="104">
        <v>28796</v>
      </c>
      <c r="Q15" s="104">
        <v>1171</v>
      </c>
      <c r="R15" s="104">
        <v>7149</v>
      </c>
      <c r="T15" s="102"/>
      <c r="U15" s="102"/>
    </row>
    <row r="16" spans="1:21" x14ac:dyDescent="0.25">
      <c r="A16" s="52">
        <v>44544</v>
      </c>
      <c r="B16" s="32">
        <v>196920</v>
      </c>
      <c r="C16" s="54"/>
      <c r="D16" s="104">
        <v>235504</v>
      </c>
      <c r="E16" s="104">
        <v>257856</v>
      </c>
      <c r="F16" s="104">
        <v>67051</v>
      </c>
      <c r="G16" s="104">
        <v>114901</v>
      </c>
      <c r="H16" s="104">
        <v>59164</v>
      </c>
      <c r="I16" s="104">
        <v>68912</v>
      </c>
      <c r="J16" s="104">
        <v>21827</v>
      </c>
      <c r="K16" s="104">
        <v>1024</v>
      </c>
      <c r="L16" s="104">
        <v>18271</v>
      </c>
      <c r="M16" s="104">
        <v>26306</v>
      </c>
      <c r="N16" s="104">
        <v>8124</v>
      </c>
      <c r="O16" s="104">
        <v>1865</v>
      </c>
      <c r="P16" s="104">
        <v>28806</v>
      </c>
      <c r="Q16" s="104">
        <v>1171</v>
      </c>
      <c r="R16" s="104">
        <v>7159</v>
      </c>
    </row>
    <row r="17" spans="1:22" x14ac:dyDescent="0.25">
      <c r="A17" s="52">
        <v>44545</v>
      </c>
      <c r="B17" s="32">
        <v>197081</v>
      </c>
      <c r="C17" s="32"/>
      <c r="D17" s="104">
        <v>235687</v>
      </c>
      <c r="E17" s="104">
        <v>257943</v>
      </c>
      <c r="F17" s="104">
        <v>67052</v>
      </c>
      <c r="G17" s="104">
        <v>114929</v>
      </c>
      <c r="H17" s="104">
        <v>59188</v>
      </c>
      <c r="I17" s="104">
        <v>68935</v>
      </c>
      <c r="J17" s="104">
        <v>21834</v>
      </c>
      <c r="K17" s="104">
        <v>1024</v>
      </c>
      <c r="L17" s="104">
        <v>18276</v>
      </c>
      <c r="M17" s="104">
        <v>26315</v>
      </c>
      <c r="N17" s="104">
        <v>8125</v>
      </c>
      <c r="O17" s="104">
        <v>1869</v>
      </c>
      <c r="P17" s="104">
        <v>28812</v>
      </c>
      <c r="Q17" s="104">
        <v>1171</v>
      </c>
      <c r="R17" s="104">
        <v>7167</v>
      </c>
    </row>
    <row r="18" spans="1:22" x14ac:dyDescent="0.25">
      <c r="A18" s="52">
        <v>44546</v>
      </c>
      <c r="B18" s="32">
        <v>197248</v>
      </c>
      <c r="C18" s="54"/>
      <c r="D18" s="104">
        <v>235888</v>
      </c>
      <c r="E18" s="104">
        <v>258095</v>
      </c>
      <c r="F18" s="104">
        <v>67052</v>
      </c>
      <c r="G18" s="104">
        <v>114959</v>
      </c>
      <c r="H18" s="104">
        <v>59201</v>
      </c>
      <c r="I18" s="104">
        <v>68977</v>
      </c>
      <c r="J18" s="104">
        <v>21839</v>
      </c>
      <c r="K18" s="104">
        <v>1024</v>
      </c>
      <c r="L18" s="104">
        <v>18281</v>
      </c>
      <c r="M18" s="104">
        <v>26324</v>
      </c>
      <c r="N18" s="104">
        <v>8127</v>
      </c>
      <c r="O18" s="104">
        <v>1870</v>
      </c>
      <c r="P18" s="104">
        <v>28812</v>
      </c>
      <c r="Q18" s="104">
        <v>1174</v>
      </c>
      <c r="R18" s="104">
        <v>7175</v>
      </c>
      <c r="U18" s="102"/>
    </row>
    <row r="19" spans="1:22" x14ac:dyDescent="0.25">
      <c r="A19" s="52">
        <v>44547</v>
      </c>
      <c r="B19" s="32">
        <v>197427</v>
      </c>
      <c r="C19" s="32"/>
      <c r="D19" s="104">
        <v>236134</v>
      </c>
      <c r="E19" s="104">
        <v>258111</v>
      </c>
      <c r="F19" s="104">
        <v>67053</v>
      </c>
      <c r="G19" s="104">
        <v>114988</v>
      </c>
      <c r="H19" s="104">
        <v>59218</v>
      </c>
      <c r="I19" s="104">
        <v>68999</v>
      </c>
      <c r="J19" s="104">
        <v>21846</v>
      </c>
      <c r="K19" s="104">
        <v>1024</v>
      </c>
      <c r="L19" s="104">
        <v>18284</v>
      </c>
      <c r="M19" s="104">
        <v>26331</v>
      </c>
      <c r="N19" s="104">
        <v>8130</v>
      </c>
      <c r="O19" s="104">
        <v>1873</v>
      </c>
      <c r="P19" s="104">
        <v>28812</v>
      </c>
      <c r="Q19" s="104">
        <v>1174</v>
      </c>
      <c r="R19" s="104">
        <v>7183</v>
      </c>
    </row>
    <row r="20" spans="1:22" x14ac:dyDescent="0.25">
      <c r="A20" s="52">
        <v>44548</v>
      </c>
      <c r="B20" s="32">
        <v>197427</v>
      </c>
      <c r="C20" s="54"/>
      <c r="D20" s="105">
        <v>236134</v>
      </c>
      <c r="E20" s="104">
        <v>258111</v>
      </c>
      <c r="F20" s="104">
        <v>67053</v>
      </c>
      <c r="G20" s="104">
        <v>114988</v>
      </c>
      <c r="H20" s="104">
        <v>59218</v>
      </c>
      <c r="I20" s="104">
        <v>68999</v>
      </c>
      <c r="J20" s="104">
        <v>21846</v>
      </c>
      <c r="K20" s="104">
        <v>1024</v>
      </c>
      <c r="L20" s="104">
        <v>18284</v>
      </c>
      <c r="M20" s="104">
        <v>26331</v>
      </c>
      <c r="N20" s="104">
        <v>8130</v>
      </c>
      <c r="O20" s="104">
        <v>1873</v>
      </c>
      <c r="P20" s="104">
        <v>28812</v>
      </c>
      <c r="Q20" s="104">
        <v>1174</v>
      </c>
      <c r="R20" s="104">
        <v>7189</v>
      </c>
    </row>
    <row r="21" spans="1:22" x14ac:dyDescent="0.25">
      <c r="A21" s="52">
        <v>44549</v>
      </c>
      <c r="B21" s="32">
        <v>197822</v>
      </c>
      <c r="C21" s="32"/>
      <c r="D21" s="104">
        <v>236629</v>
      </c>
      <c r="E21" s="104">
        <v>258273</v>
      </c>
      <c r="F21" s="104">
        <v>67054</v>
      </c>
      <c r="G21" s="104">
        <v>115049</v>
      </c>
      <c r="H21" s="104">
        <v>59289</v>
      </c>
      <c r="I21" s="104">
        <v>69066</v>
      </c>
      <c r="J21" s="104">
        <v>21859</v>
      </c>
      <c r="K21" s="104">
        <v>1024</v>
      </c>
      <c r="L21" s="104">
        <v>18293</v>
      </c>
      <c r="M21" s="104">
        <v>26351</v>
      </c>
      <c r="N21" s="104">
        <v>8135</v>
      </c>
      <c r="O21" s="104">
        <v>1875</v>
      </c>
      <c r="P21" s="104">
        <v>28822</v>
      </c>
      <c r="Q21" s="104">
        <v>1174</v>
      </c>
      <c r="R21" s="104">
        <v>7198</v>
      </c>
    </row>
    <row r="22" spans="1:22" x14ac:dyDescent="0.25">
      <c r="A22" s="52">
        <v>44550</v>
      </c>
      <c r="B22" s="32">
        <v>198019</v>
      </c>
      <c r="C22" s="54"/>
      <c r="D22" s="104">
        <v>236890</v>
      </c>
      <c r="E22" s="104">
        <v>258357</v>
      </c>
      <c r="F22" s="104">
        <v>67055</v>
      </c>
      <c r="G22" s="104">
        <v>115082</v>
      </c>
      <c r="H22" s="104">
        <v>59313</v>
      </c>
      <c r="I22" s="104">
        <v>69102</v>
      </c>
      <c r="J22" s="104">
        <v>21865</v>
      </c>
      <c r="K22" s="104">
        <v>1024</v>
      </c>
      <c r="L22" s="104">
        <v>18297</v>
      </c>
      <c r="M22" s="104">
        <v>26360</v>
      </c>
      <c r="N22" s="104">
        <v>8138</v>
      </c>
      <c r="O22" s="104">
        <v>1876</v>
      </c>
      <c r="P22" s="104">
        <v>28835</v>
      </c>
      <c r="Q22" s="104">
        <v>1175</v>
      </c>
      <c r="R22" s="104">
        <v>7207</v>
      </c>
    </row>
    <row r="23" spans="1:22" x14ac:dyDescent="0.25">
      <c r="A23" s="52">
        <v>44551</v>
      </c>
      <c r="B23" s="32">
        <v>198213</v>
      </c>
      <c r="C23" s="32"/>
      <c r="D23" s="104">
        <v>237128</v>
      </c>
      <c r="E23" s="104">
        <v>258440</v>
      </c>
      <c r="F23" s="104">
        <v>67056</v>
      </c>
      <c r="G23" s="104">
        <v>115114</v>
      </c>
      <c r="H23" s="104">
        <v>59353</v>
      </c>
      <c r="I23" s="104">
        <v>69139</v>
      </c>
      <c r="J23" s="104">
        <v>21872</v>
      </c>
      <c r="K23" s="104">
        <v>1024</v>
      </c>
      <c r="L23" s="104">
        <v>18302</v>
      </c>
      <c r="M23" s="104">
        <v>26369</v>
      </c>
      <c r="N23" s="104">
        <v>8139</v>
      </c>
      <c r="O23" s="104">
        <v>1879</v>
      </c>
      <c r="P23" s="104">
        <v>28851</v>
      </c>
      <c r="Q23" s="104">
        <v>1178</v>
      </c>
      <c r="R23" s="104">
        <v>7216</v>
      </c>
      <c r="S23" s="10" t="s">
        <v>127</v>
      </c>
    </row>
    <row r="24" spans="1:22" x14ac:dyDescent="0.25">
      <c r="A24" s="52">
        <v>44552</v>
      </c>
      <c r="B24" s="32">
        <v>198426</v>
      </c>
      <c r="C24" s="54"/>
      <c r="D24" s="104">
        <v>237423</v>
      </c>
      <c r="E24" s="104">
        <v>258517</v>
      </c>
      <c r="F24" s="104">
        <v>67056</v>
      </c>
      <c r="G24" s="104">
        <v>115145</v>
      </c>
      <c r="H24" s="104">
        <v>59398</v>
      </c>
      <c r="I24" s="104">
        <v>69180</v>
      </c>
      <c r="J24" s="104">
        <v>21878</v>
      </c>
      <c r="K24" s="104">
        <v>1024</v>
      </c>
      <c r="L24" s="104">
        <v>18305</v>
      </c>
      <c r="M24" s="104">
        <v>26377</v>
      </c>
      <c r="N24" s="104">
        <v>8142</v>
      </c>
      <c r="O24" s="104">
        <v>1880</v>
      </c>
      <c r="P24" s="104">
        <v>28864</v>
      </c>
      <c r="Q24" s="104">
        <v>1179</v>
      </c>
      <c r="R24" s="104">
        <v>7223</v>
      </c>
    </row>
    <row r="25" spans="1:22" x14ac:dyDescent="0.25">
      <c r="A25" s="52">
        <v>44553</v>
      </c>
      <c r="B25" s="32">
        <v>198615</v>
      </c>
      <c r="C25" s="32"/>
      <c r="D25" s="104">
        <v>237689</v>
      </c>
      <c r="E25" s="104">
        <v>258599</v>
      </c>
      <c r="F25" s="104">
        <v>67057</v>
      </c>
      <c r="G25" s="104">
        <v>115177</v>
      </c>
      <c r="H25" s="104">
        <v>59432</v>
      </c>
      <c r="I25" s="104">
        <v>69209</v>
      </c>
      <c r="J25" s="104">
        <v>21885</v>
      </c>
      <c r="K25" s="104">
        <v>1024</v>
      </c>
      <c r="L25" s="104">
        <v>18309</v>
      </c>
      <c r="M25" s="104">
        <v>26386</v>
      </c>
      <c r="N25" s="104">
        <v>8146</v>
      </c>
      <c r="O25" s="104">
        <v>1882</v>
      </c>
      <c r="P25" s="104">
        <v>28869</v>
      </c>
      <c r="Q25" s="104">
        <v>1180</v>
      </c>
      <c r="R25" s="104">
        <v>7233</v>
      </c>
    </row>
    <row r="26" spans="1:22" x14ac:dyDescent="0.25">
      <c r="A26" s="52">
        <v>44554</v>
      </c>
      <c r="B26" s="32">
        <v>198873</v>
      </c>
      <c r="C26" s="54"/>
      <c r="D26" s="104">
        <v>238074</v>
      </c>
      <c r="E26" s="104">
        <v>258684</v>
      </c>
      <c r="F26" s="104">
        <v>67058</v>
      </c>
      <c r="G26" s="104">
        <v>115209</v>
      </c>
      <c r="H26" s="104">
        <v>59453</v>
      </c>
      <c r="I26" s="104">
        <v>69241</v>
      </c>
      <c r="J26" s="104">
        <v>21891</v>
      </c>
      <c r="K26" s="104">
        <v>1024</v>
      </c>
      <c r="L26" s="104">
        <v>18313</v>
      </c>
      <c r="M26" s="104">
        <v>26395</v>
      </c>
      <c r="N26" s="104">
        <v>8150</v>
      </c>
      <c r="O26" s="104">
        <v>1884</v>
      </c>
      <c r="P26" s="104">
        <v>28872</v>
      </c>
      <c r="Q26" s="104">
        <v>1185</v>
      </c>
      <c r="R26" s="104">
        <v>7240</v>
      </c>
    </row>
    <row r="27" spans="1:22" x14ac:dyDescent="0.25">
      <c r="A27" s="52">
        <v>44555</v>
      </c>
      <c r="B27" s="32">
        <v>199072</v>
      </c>
      <c r="C27" s="32"/>
      <c r="D27" s="104">
        <v>238286</v>
      </c>
      <c r="E27" s="104">
        <v>258770</v>
      </c>
      <c r="F27" s="104">
        <v>67058</v>
      </c>
      <c r="G27" s="104">
        <v>115243</v>
      </c>
      <c r="H27" s="104">
        <v>59471</v>
      </c>
      <c r="I27" s="104">
        <v>69277</v>
      </c>
      <c r="J27" s="104">
        <v>21898</v>
      </c>
      <c r="K27" s="104">
        <v>1024</v>
      </c>
      <c r="L27" s="104">
        <v>18319</v>
      </c>
      <c r="M27" s="104">
        <v>26404</v>
      </c>
      <c r="N27" s="104">
        <v>8154</v>
      </c>
      <c r="O27" s="104">
        <v>1886</v>
      </c>
      <c r="P27" s="104">
        <v>28872</v>
      </c>
      <c r="Q27" s="104">
        <v>1186</v>
      </c>
      <c r="R27" s="104">
        <v>7244</v>
      </c>
    </row>
    <row r="28" spans="1:22" x14ac:dyDescent="0.25">
      <c r="A28" s="52">
        <v>44556</v>
      </c>
      <c r="B28" s="32">
        <v>199237</v>
      </c>
      <c r="C28" s="54"/>
      <c r="D28" s="104">
        <v>238501</v>
      </c>
      <c r="E28" s="104">
        <v>258848</v>
      </c>
      <c r="F28" s="104">
        <v>67059</v>
      </c>
      <c r="G28" s="104">
        <v>115271</v>
      </c>
      <c r="H28" s="104">
        <v>59476</v>
      </c>
      <c r="I28" s="104">
        <v>69309</v>
      </c>
      <c r="J28" s="104">
        <v>21904</v>
      </c>
      <c r="K28" s="104">
        <v>1024</v>
      </c>
      <c r="L28" s="104">
        <v>18325</v>
      </c>
      <c r="M28" s="104">
        <v>26414</v>
      </c>
      <c r="N28" s="104">
        <v>8157</v>
      </c>
      <c r="O28" s="104">
        <v>1888</v>
      </c>
      <c r="P28" s="104">
        <v>28893</v>
      </c>
      <c r="Q28" s="104">
        <v>1190</v>
      </c>
      <c r="R28" s="104">
        <v>7254</v>
      </c>
    </row>
    <row r="29" spans="1:22" x14ac:dyDescent="0.25">
      <c r="A29" s="52">
        <v>44557</v>
      </c>
      <c r="B29" s="32">
        <v>199376</v>
      </c>
      <c r="C29" s="32"/>
      <c r="D29" s="104">
        <v>238712</v>
      </c>
      <c r="E29" s="104">
        <v>258935</v>
      </c>
      <c r="F29" s="104">
        <v>67059</v>
      </c>
      <c r="G29" s="104">
        <v>115310</v>
      </c>
      <c r="H29" s="104">
        <v>59492</v>
      </c>
      <c r="I29" s="105">
        <v>69340</v>
      </c>
      <c r="J29" s="104">
        <v>21911</v>
      </c>
      <c r="K29" s="104">
        <v>1024</v>
      </c>
      <c r="L29" s="104">
        <v>18331</v>
      </c>
      <c r="M29" s="104">
        <v>26423</v>
      </c>
      <c r="N29" s="104">
        <v>8160</v>
      </c>
      <c r="O29" s="104">
        <v>1889</v>
      </c>
      <c r="P29" s="104">
        <v>28893</v>
      </c>
      <c r="Q29" s="104">
        <v>1192</v>
      </c>
      <c r="R29" s="104">
        <v>7266</v>
      </c>
    </row>
    <row r="30" spans="1:22" x14ac:dyDescent="0.25">
      <c r="A30" s="52">
        <v>44558</v>
      </c>
      <c r="B30" s="32">
        <v>199568</v>
      </c>
      <c r="C30" s="54"/>
      <c r="D30" s="104">
        <v>238972</v>
      </c>
      <c r="E30" s="104">
        <v>259022</v>
      </c>
      <c r="F30" s="104">
        <v>67060</v>
      </c>
      <c r="G30" s="104">
        <v>115345</v>
      </c>
      <c r="H30" s="104">
        <v>59510</v>
      </c>
      <c r="I30" s="104">
        <v>69382</v>
      </c>
      <c r="J30" s="104">
        <v>21918</v>
      </c>
      <c r="K30" s="104">
        <v>1024</v>
      </c>
      <c r="L30" s="104">
        <v>18335</v>
      </c>
      <c r="M30" s="104">
        <v>26433</v>
      </c>
      <c r="N30" s="104">
        <v>8164</v>
      </c>
      <c r="O30" s="104">
        <v>1891</v>
      </c>
      <c r="P30" s="104">
        <v>28912</v>
      </c>
      <c r="Q30" s="104">
        <v>1195</v>
      </c>
      <c r="R30" s="104">
        <v>7275</v>
      </c>
    </row>
    <row r="31" spans="1:22" x14ac:dyDescent="0.25">
      <c r="A31" s="52">
        <v>44559</v>
      </c>
      <c r="B31" s="32">
        <v>199814</v>
      </c>
      <c r="C31" s="32"/>
      <c r="D31" s="53">
        <v>239240</v>
      </c>
      <c r="E31" s="10">
        <v>259110</v>
      </c>
      <c r="F31" s="53">
        <v>67061</v>
      </c>
      <c r="G31" s="53">
        <v>115379</v>
      </c>
      <c r="H31" s="32">
        <v>59527</v>
      </c>
      <c r="I31" s="53">
        <v>69424</v>
      </c>
      <c r="J31" s="10">
        <v>21924</v>
      </c>
      <c r="K31" s="104">
        <v>1024</v>
      </c>
      <c r="L31" s="53">
        <v>18341</v>
      </c>
      <c r="M31" s="53">
        <v>26442</v>
      </c>
      <c r="N31" s="53">
        <v>8166</v>
      </c>
      <c r="O31" s="53">
        <v>1894</v>
      </c>
      <c r="P31" s="53">
        <v>28928</v>
      </c>
      <c r="Q31" s="53">
        <v>1197</v>
      </c>
      <c r="R31" s="53">
        <v>7285</v>
      </c>
      <c r="S31" s="55"/>
      <c r="T31" s="55"/>
      <c r="U31" s="55"/>
      <c r="V31" s="55"/>
    </row>
    <row r="32" spans="1:22" x14ac:dyDescent="0.25">
      <c r="A32" s="52">
        <v>44560</v>
      </c>
      <c r="B32" s="32">
        <v>200010</v>
      </c>
      <c r="C32" s="54"/>
      <c r="D32" s="53">
        <v>2394401</v>
      </c>
      <c r="E32" s="53">
        <v>259198</v>
      </c>
      <c r="F32" s="53">
        <v>67062</v>
      </c>
      <c r="G32" s="53">
        <v>115424</v>
      </c>
      <c r="H32" s="54">
        <v>59546</v>
      </c>
      <c r="I32" s="32">
        <v>69457</v>
      </c>
      <c r="J32" s="53">
        <v>21931</v>
      </c>
      <c r="K32" s="104">
        <v>1024</v>
      </c>
      <c r="L32" s="53">
        <v>18346</v>
      </c>
      <c r="M32" s="53">
        <v>26451</v>
      </c>
      <c r="N32" s="53">
        <v>8171</v>
      </c>
      <c r="O32" s="53">
        <v>1896</v>
      </c>
      <c r="P32" s="53">
        <v>28928</v>
      </c>
      <c r="Q32" s="53">
        <v>1201</v>
      </c>
      <c r="R32" s="53">
        <v>7299</v>
      </c>
      <c r="S32" s="56"/>
      <c r="T32" s="55"/>
      <c r="U32" s="55"/>
      <c r="V32" s="55"/>
    </row>
    <row r="33" spans="1:22" x14ac:dyDescent="0.25">
      <c r="A33" s="52">
        <v>44561</v>
      </c>
      <c r="B33" s="32">
        <v>200253</v>
      </c>
      <c r="C33" s="32"/>
      <c r="D33" s="53">
        <v>239681</v>
      </c>
      <c r="E33" s="53">
        <v>259292</v>
      </c>
      <c r="F33" s="53">
        <v>67062</v>
      </c>
      <c r="G33" s="53">
        <v>115463</v>
      </c>
      <c r="H33" s="54">
        <v>59566</v>
      </c>
      <c r="I33" s="32">
        <v>69484</v>
      </c>
      <c r="J33" s="53">
        <v>21938</v>
      </c>
      <c r="K33" s="104">
        <v>1024</v>
      </c>
      <c r="L33" s="53">
        <v>18351</v>
      </c>
      <c r="M33" s="53">
        <v>26464</v>
      </c>
      <c r="N33" s="53">
        <v>8176</v>
      </c>
      <c r="O33" s="53">
        <v>1899</v>
      </c>
      <c r="P33" s="53">
        <v>28928</v>
      </c>
      <c r="Q33" s="53">
        <v>1202</v>
      </c>
      <c r="R33" s="53">
        <v>7308</v>
      </c>
      <c r="S33" s="56"/>
      <c r="T33" s="55"/>
      <c r="U33" s="55"/>
      <c r="V33" s="55"/>
    </row>
    <row r="34" spans="1:22" x14ac:dyDescent="0.25">
      <c r="A34" s="52">
        <v>44562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F40" sqref="F4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175</v>
      </c>
      <c r="H4" s="85">
        <f>G4/C4</f>
        <v>1.1986301369863013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4</v>
      </c>
      <c r="P4" s="93">
        <f>O4/C4</f>
        <v>2.7397260273972601E-2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377</v>
      </c>
      <c r="C5" s="64">
        <f>('Water Reading'!B5-'Water Reading'!B4)+('Water Reading'!C5-'Water Reading'!C4)</f>
        <v>178</v>
      </c>
      <c r="D5" s="65">
        <f t="shared" ref="D5:D34" si="2">C5/B5</f>
        <v>0.47214854111405835</v>
      </c>
      <c r="E5" s="84">
        <f>'Water Reading'!H5-'Water Reading'!H4</f>
        <v>22</v>
      </c>
      <c r="F5" s="85">
        <f t="shared" ref="F5:F34" si="3">E5/C5</f>
        <v>0.12359550561797752</v>
      </c>
      <c r="G5" s="89">
        <f>('Water Reading'!D5-'Water Reading'!D4)-('Water Reading'!R5-'Water Reading'!R4)-('Water Reading'!Q5-'Water Reading'!Q4)</f>
        <v>265</v>
      </c>
      <c r="H5" s="85">
        <f t="shared" ref="H5:H34" si="4">G5/C5</f>
        <v>1.4887640449438202</v>
      </c>
      <c r="I5" s="86">
        <f>'Water Reading'!P5-'Water Reading'!P4</f>
        <v>12</v>
      </c>
      <c r="J5" s="66">
        <f t="shared" ref="J5:J34" si="5">I5/C5</f>
        <v>6.741573033707865E-2</v>
      </c>
      <c r="K5" s="87">
        <f>('Water Reading'!I5-'Water Reading'!I4)-('Water Reading'!P5-'Water Reading'!P4)</f>
        <v>19</v>
      </c>
      <c r="L5" s="66">
        <f t="shared" ref="L5:L34" si="6">K5/C5</f>
        <v>0.10674157303370786</v>
      </c>
      <c r="M5" s="86">
        <f>'Water Reading'!R5-'Water Reading'!R4</f>
        <v>7</v>
      </c>
      <c r="N5" s="88">
        <f t="shared" ref="N5:N34" si="7">M5/C5</f>
        <v>3.9325842696629212E-2</v>
      </c>
      <c r="O5" s="86">
        <f>'Water Reading'!Q5-'Water Reading'!Q4</f>
        <v>5</v>
      </c>
      <c r="P5" s="93">
        <f t="shared" ref="P5:P34" si="8">O5/C5</f>
        <v>2.8089887640449437E-2</v>
      </c>
      <c r="Q5" s="87">
        <f>'Water Reading'!N5-'Water Reading'!N4</f>
        <v>1</v>
      </c>
      <c r="R5" s="94">
        <f t="shared" ref="R5:R34" si="9">Q5/C5</f>
        <v>5.6179775280898875E-3</v>
      </c>
      <c r="S5" s="86">
        <f>'Water Reading'!M5-'Water Reading'!M4</f>
        <v>7</v>
      </c>
      <c r="T5" s="94">
        <f t="shared" ref="T5:T34" si="10">S5/C5</f>
        <v>3.9325842696629212E-2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3.9325842696629212E-2</v>
      </c>
      <c r="Y5" s="64">
        <f t="shared" si="0"/>
        <v>345</v>
      </c>
      <c r="Z5" s="65">
        <f t="shared" si="1"/>
        <v>0.91511936339522548</v>
      </c>
    </row>
    <row r="6" spans="1:26" x14ac:dyDescent="0.25">
      <c r="A6" s="8">
        <f>'Water Reading'!A5</f>
        <v>44533</v>
      </c>
      <c r="B6" s="63">
        <f>TOTAL!I4</f>
        <v>468</v>
      </c>
      <c r="C6" s="64">
        <f>('Water Reading'!B6-'Water Reading'!B5)+('Water Reading'!C6-'Water Reading'!C5)</f>
        <v>195</v>
      </c>
      <c r="D6" s="65">
        <f t="shared" si="2"/>
        <v>0.41666666666666669</v>
      </c>
      <c r="E6" s="84">
        <f>'Water Reading'!H6-'Water Reading'!H5</f>
        <v>23</v>
      </c>
      <c r="F6" s="85">
        <f t="shared" si="3"/>
        <v>0.11794871794871795</v>
      </c>
      <c r="G6" s="89">
        <f>('Water Reading'!D6-'Water Reading'!D5)-('Water Reading'!R6-'Water Reading'!R5)-('Water Reading'!Q6-'Water Reading'!Q5)</f>
        <v>304</v>
      </c>
      <c r="H6" s="85">
        <f t="shared" si="4"/>
        <v>1.558974358974359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26</v>
      </c>
      <c r="L6" s="66">
        <f t="shared" si="6"/>
        <v>0.13333333333333333</v>
      </c>
      <c r="M6" s="86">
        <f>'Water Reading'!R6-'Water Reading'!R5</f>
        <v>0</v>
      </c>
      <c r="N6" s="88">
        <f t="shared" si="7"/>
        <v>0</v>
      </c>
      <c r="O6" s="86">
        <f>'Water Reading'!Q6-'Water Reading'!Q5</f>
        <v>5</v>
      </c>
      <c r="P6" s="93">
        <f t="shared" si="8"/>
        <v>2.564102564102564E-2</v>
      </c>
      <c r="Q6" s="87">
        <f>'Water Reading'!N6-'Water Reading'!N5</f>
        <v>1</v>
      </c>
      <c r="R6" s="94">
        <f t="shared" si="9"/>
        <v>5.1282051282051282E-3</v>
      </c>
      <c r="S6" s="86">
        <f>'Water Reading'!M6-'Water Reading'!M5</f>
        <v>10</v>
      </c>
      <c r="T6" s="94">
        <f t="shared" si="10"/>
        <v>5.128205128205128E-2</v>
      </c>
      <c r="U6" s="86">
        <f>'Water Reading'!O6-'Water Reading'!O5</f>
        <v>1</v>
      </c>
      <c r="V6" s="94">
        <f t="shared" si="11"/>
        <v>5.1282051282051282E-3</v>
      </c>
      <c r="W6" s="86">
        <f>'Water Reading'!R6-'Water Reading'!R5</f>
        <v>0</v>
      </c>
      <c r="X6" s="94">
        <f t="shared" si="12"/>
        <v>0</v>
      </c>
      <c r="Y6" s="64">
        <f t="shared" si="0"/>
        <v>370</v>
      </c>
      <c r="Z6" s="65">
        <f t="shared" si="1"/>
        <v>0.79059829059829057</v>
      </c>
    </row>
    <row r="7" spans="1:26" x14ac:dyDescent="0.25">
      <c r="A7" s="8">
        <f>'Water Reading'!A6</f>
        <v>44534</v>
      </c>
      <c r="B7" s="63">
        <f>TOTAL!I5</f>
        <v>461</v>
      </c>
      <c r="C7" s="64">
        <f>('Water Reading'!B7-'Water Reading'!B6)+('Water Reading'!C7-'Water Reading'!C6)</f>
        <v>220</v>
      </c>
      <c r="D7" s="65">
        <f t="shared" si="2"/>
        <v>0.47722342733188722</v>
      </c>
      <c r="E7" s="84">
        <f>'Water Reading'!H7-'Water Reading'!H6</f>
        <v>24</v>
      </c>
      <c r="F7" s="85">
        <f t="shared" si="3"/>
        <v>0.10909090909090909</v>
      </c>
      <c r="G7" s="89">
        <f>('Water Reading'!D7-'Water Reading'!D6)-('Water Reading'!R7-'Water Reading'!R6)-('Water Reading'!Q7-'Water Reading'!Q6)</f>
        <v>345</v>
      </c>
      <c r="H7" s="85">
        <f t="shared" si="4"/>
        <v>1.5681818181818181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21</v>
      </c>
      <c r="L7" s="66">
        <f t="shared" si="6"/>
        <v>9.5454545454545459E-2</v>
      </c>
      <c r="M7" s="86">
        <f>'Water Reading'!R7-'Water Reading'!R6</f>
        <v>7</v>
      </c>
      <c r="N7" s="88">
        <f t="shared" si="7"/>
        <v>3.1818181818181815E-2</v>
      </c>
      <c r="O7" s="86">
        <f>'Water Reading'!Q7-'Water Reading'!Q6</f>
        <v>6</v>
      </c>
      <c r="P7" s="93">
        <f t="shared" si="8"/>
        <v>2.7272727272727271E-2</v>
      </c>
      <c r="Q7" s="87">
        <f>'Water Reading'!N7-'Water Reading'!N6</f>
        <v>2</v>
      </c>
      <c r="R7" s="94">
        <f t="shared" si="9"/>
        <v>9.0909090909090905E-3</v>
      </c>
      <c r="S7" s="86">
        <f>'Water Reading'!M7-'Water Reading'!M6</f>
        <v>8</v>
      </c>
      <c r="T7" s="94">
        <f t="shared" si="10"/>
        <v>3.6363636363636362E-2</v>
      </c>
      <c r="U7" s="86">
        <f>'Water Reading'!O7-'Water Reading'!O6</f>
        <v>3</v>
      </c>
      <c r="V7" s="94">
        <f t="shared" si="11"/>
        <v>1.3636363636363636E-2</v>
      </c>
      <c r="W7" s="86">
        <f>'Water Reading'!R7-'Water Reading'!R6</f>
        <v>7</v>
      </c>
      <c r="X7" s="94">
        <f t="shared" si="12"/>
        <v>3.1818181818181815E-2</v>
      </c>
      <c r="Y7" s="64">
        <f t="shared" si="0"/>
        <v>423</v>
      </c>
      <c r="Z7" s="65">
        <f t="shared" si="1"/>
        <v>0.91757049891540132</v>
      </c>
    </row>
    <row r="8" spans="1:26" x14ac:dyDescent="0.25">
      <c r="A8" s="8">
        <f>'Water Reading'!A7</f>
        <v>44535</v>
      </c>
      <c r="B8" s="63">
        <f>TOTAL!I6</f>
        <v>484</v>
      </c>
      <c r="C8" s="64">
        <f>('Water Reading'!B8-'Water Reading'!B7)+('Water Reading'!C8-'Water Reading'!C7)</f>
        <v>232</v>
      </c>
      <c r="D8" s="65">
        <f t="shared" si="2"/>
        <v>0.47933884297520662</v>
      </c>
      <c r="E8" s="84">
        <f>'Water Reading'!H8-'Water Reading'!H7</f>
        <v>27</v>
      </c>
      <c r="F8" s="85">
        <f t="shared" si="3"/>
        <v>0.11637931034482758</v>
      </c>
      <c r="G8" s="89">
        <f>('Water Reading'!D8-'Water Reading'!D7)-('Water Reading'!R8-'Water Reading'!R7)-('Water Reading'!Q8-'Water Reading'!Q7)</f>
        <v>342</v>
      </c>
      <c r="H8" s="85">
        <f t="shared" si="4"/>
        <v>1.4741379310344827</v>
      </c>
      <c r="I8" s="86">
        <f>'Water Reading'!P8-'Water Reading'!P7</f>
        <v>16</v>
      </c>
      <c r="J8" s="66">
        <f t="shared" si="5"/>
        <v>6.8965517241379309E-2</v>
      </c>
      <c r="K8" s="87">
        <f>('Water Reading'!I8-'Water Reading'!I7)-('Water Reading'!P8-'Water Reading'!P7)</f>
        <v>40</v>
      </c>
      <c r="L8" s="66">
        <f t="shared" si="6"/>
        <v>0.17241379310344829</v>
      </c>
      <c r="M8" s="86">
        <f>'Water Reading'!R8-'Water Reading'!R7</f>
        <v>7</v>
      </c>
      <c r="N8" s="88">
        <f t="shared" si="7"/>
        <v>3.017241379310345E-2</v>
      </c>
      <c r="O8" s="86">
        <f>'Water Reading'!Q8-'Water Reading'!Q7</f>
        <v>3</v>
      </c>
      <c r="P8" s="93">
        <f t="shared" si="8"/>
        <v>1.2931034482758621E-2</v>
      </c>
      <c r="Q8" s="87">
        <f>'Water Reading'!N8-'Water Reading'!N7</f>
        <v>2</v>
      </c>
      <c r="R8" s="94">
        <f t="shared" si="9"/>
        <v>8.6206896551724137E-3</v>
      </c>
      <c r="S8" s="86">
        <f>'Water Reading'!M8-'Water Reading'!M7</f>
        <v>9</v>
      </c>
      <c r="T8" s="94">
        <f t="shared" si="10"/>
        <v>3.8793103448275863E-2</v>
      </c>
      <c r="U8" s="86">
        <f>'Water Reading'!O8-'Water Reading'!O7</f>
        <v>2</v>
      </c>
      <c r="V8" s="94">
        <f t="shared" si="11"/>
        <v>8.6206896551724137E-3</v>
      </c>
      <c r="W8" s="86">
        <f>'Water Reading'!R8-'Water Reading'!R7</f>
        <v>7</v>
      </c>
      <c r="X8" s="94">
        <f t="shared" si="12"/>
        <v>3.017241379310345E-2</v>
      </c>
      <c r="Y8" s="64">
        <f t="shared" si="0"/>
        <v>455</v>
      </c>
      <c r="Z8" s="65">
        <f t="shared" si="1"/>
        <v>0.94008264462809921</v>
      </c>
    </row>
    <row r="9" spans="1:26" x14ac:dyDescent="0.25">
      <c r="A9" s="8">
        <f>'Water Reading'!A8</f>
        <v>44536</v>
      </c>
      <c r="B9" s="63">
        <f>TOTAL!I7</f>
        <v>462</v>
      </c>
      <c r="C9" s="64">
        <f>('Water Reading'!B9-'Water Reading'!B8)+('Water Reading'!C9-'Water Reading'!C8)</f>
        <v>168</v>
      </c>
      <c r="D9" s="65">
        <f t="shared" si="2"/>
        <v>0.36363636363636365</v>
      </c>
      <c r="E9" s="84">
        <f>'Water Reading'!H9-'Water Reading'!H8</f>
        <v>21</v>
      </c>
      <c r="F9" s="85">
        <f t="shared" si="3"/>
        <v>0.125</v>
      </c>
      <c r="G9" s="89">
        <f>('Water Reading'!D9-'Water Reading'!D8)-('Water Reading'!R9-'Water Reading'!R8)-('Water Reading'!Q9-'Water Reading'!Q8)</f>
        <v>200</v>
      </c>
      <c r="H9" s="85">
        <f t="shared" si="4"/>
        <v>1.1904761904761905</v>
      </c>
      <c r="I9" s="86">
        <f>'Water Reading'!P9-'Water Reading'!P8</f>
        <v>19</v>
      </c>
      <c r="J9" s="66">
        <f t="shared" si="5"/>
        <v>0.1130952380952381</v>
      </c>
      <c r="K9" s="87">
        <f>('Water Reading'!I9-'Water Reading'!I8)-('Water Reading'!P9-'Water Reading'!P8)</f>
        <v>23</v>
      </c>
      <c r="L9" s="66">
        <f t="shared" si="6"/>
        <v>0.13690476190476192</v>
      </c>
      <c r="M9" s="86">
        <f>'Water Reading'!R9-'Water Reading'!R8</f>
        <v>8</v>
      </c>
      <c r="N9" s="88">
        <f t="shared" si="7"/>
        <v>4.7619047619047616E-2</v>
      </c>
      <c r="O9" s="86">
        <f>'Water Reading'!Q9-'Water Reading'!Q8</f>
        <v>1</v>
      </c>
      <c r="P9" s="93">
        <f t="shared" si="8"/>
        <v>5.9523809523809521E-3</v>
      </c>
      <c r="Q9" s="87">
        <f>'Water Reading'!N9-'Water Reading'!N8</f>
        <v>3</v>
      </c>
      <c r="R9" s="94">
        <f t="shared" si="9"/>
        <v>1.7857142857142856E-2</v>
      </c>
      <c r="S9" s="86">
        <f>'Water Reading'!M9-'Water Reading'!M8</f>
        <v>7</v>
      </c>
      <c r="T9" s="94">
        <f t="shared" si="10"/>
        <v>4.1666666666666664E-2</v>
      </c>
      <c r="U9" s="86">
        <f>'Water Reading'!O9-'Water Reading'!O8</f>
        <v>1</v>
      </c>
      <c r="V9" s="94">
        <f t="shared" si="11"/>
        <v>5.9523809523809521E-3</v>
      </c>
      <c r="W9" s="86">
        <f>'Water Reading'!R9-'Water Reading'!R8</f>
        <v>8</v>
      </c>
      <c r="X9" s="94">
        <f t="shared" si="12"/>
        <v>4.7619047619047616E-2</v>
      </c>
      <c r="Y9" s="64">
        <f t="shared" si="0"/>
        <v>291</v>
      </c>
      <c r="Z9" s="65">
        <f t="shared" si="1"/>
        <v>0.62987012987012991</v>
      </c>
    </row>
    <row r="10" spans="1:26" x14ac:dyDescent="0.25">
      <c r="A10" s="8">
        <f>'Water Reading'!A9</f>
        <v>44537</v>
      </c>
      <c r="B10" s="63">
        <f>TOTAL!I8</f>
        <v>343</v>
      </c>
      <c r="C10" s="64">
        <f>('Water Reading'!B10-'Water Reading'!B9)+('Water Reading'!C10-'Water Reading'!C9)</f>
        <v>162</v>
      </c>
      <c r="D10" s="65">
        <f t="shared" si="2"/>
        <v>0.47230320699708456</v>
      </c>
      <c r="E10" s="84">
        <f>'Water Reading'!H10-'Water Reading'!H9</f>
        <v>44</v>
      </c>
      <c r="F10" s="85">
        <f t="shared" si="3"/>
        <v>0.27160493827160492</v>
      </c>
      <c r="G10" s="89">
        <f>('Water Reading'!D10-'Water Reading'!D9)-('Water Reading'!R10-'Water Reading'!R9)-('Water Reading'!Q10-'Water Reading'!Q9)</f>
        <v>197</v>
      </c>
      <c r="H10" s="85">
        <f t="shared" si="4"/>
        <v>1.2160493827160495</v>
      </c>
      <c r="I10" s="86">
        <f>'Water Reading'!P10-'Water Reading'!P9</f>
        <v>17</v>
      </c>
      <c r="J10" s="66">
        <f t="shared" si="5"/>
        <v>0.10493827160493827</v>
      </c>
      <c r="K10" s="87">
        <f>('Water Reading'!I10-'Water Reading'!I9)-('Water Reading'!P10-'Water Reading'!P9)</f>
        <v>23</v>
      </c>
      <c r="L10" s="66">
        <f t="shared" si="6"/>
        <v>0.1419753086419753</v>
      </c>
      <c r="M10" s="86">
        <f>'Water Reading'!R10-'Water Reading'!R9</f>
        <v>8</v>
      </c>
      <c r="N10" s="88">
        <f t="shared" si="7"/>
        <v>4.9382716049382713E-2</v>
      </c>
      <c r="O10" s="86">
        <f>'Water Reading'!Q10-'Water Reading'!Q9</f>
        <v>3</v>
      </c>
      <c r="P10" s="93">
        <f t="shared" si="8"/>
        <v>1.8518518518518517E-2</v>
      </c>
      <c r="Q10" s="87">
        <f>'Water Reading'!N10-'Water Reading'!N9</f>
        <v>2</v>
      </c>
      <c r="R10" s="94">
        <f t="shared" si="9"/>
        <v>1.2345679012345678E-2</v>
      </c>
      <c r="S10" s="86">
        <f>'Water Reading'!M10-'Water Reading'!M9</f>
        <v>10</v>
      </c>
      <c r="T10" s="94">
        <f t="shared" si="10"/>
        <v>6.1728395061728392E-2</v>
      </c>
      <c r="U10" s="86">
        <f>'Water Reading'!O10-'Water Reading'!O9</f>
        <v>1</v>
      </c>
      <c r="V10" s="94">
        <f t="shared" si="11"/>
        <v>6.1728395061728392E-3</v>
      </c>
      <c r="W10" s="86">
        <f>'Water Reading'!R10-'Water Reading'!R9</f>
        <v>8</v>
      </c>
      <c r="X10" s="94">
        <f t="shared" si="12"/>
        <v>4.9382716049382713E-2</v>
      </c>
      <c r="Y10" s="64">
        <f t="shared" si="0"/>
        <v>313</v>
      </c>
      <c r="Z10" s="65">
        <f t="shared" si="1"/>
        <v>0.91253644314868809</v>
      </c>
    </row>
    <row r="11" spans="1:26" x14ac:dyDescent="0.25">
      <c r="A11" s="8">
        <f>'Water Reading'!A10</f>
        <v>44538</v>
      </c>
      <c r="B11" s="63">
        <f>TOTAL!I9</f>
        <v>396</v>
      </c>
      <c r="C11" s="64">
        <f>('Water Reading'!B11-'Water Reading'!B10)+('Water Reading'!C11-'Water Reading'!C10)</f>
        <v>416</v>
      </c>
      <c r="D11" s="65">
        <f t="shared" si="2"/>
        <v>1.0505050505050506</v>
      </c>
      <c r="E11" s="84">
        <f>'Water Reading'!H11-'Water Reading'!H10</f>
        <v>12</v>
      </c>
      <c r="F11" s="85">
        <f t="shared" si="3"/>
        <v>2.8846153846153848E-2</v>
      </c>
      <c r="G11" s="89">
        <f>('Water Reading'!D11-'Water Reading'!D10)-('Water Reading'!R11-'Water Reading'!R10)-('Water Reading'!Q11-'Water Reading'!Q10)</f>
        <v>308</v>
      </c>
      <c r="H11" s="85">
        <f t="shared" si="4"/>
        <v>0.74038461538461542</v>
      </c>
      <c r="I11" s="86">
        <f>'Water Reading'!P11-'Water Reading'!P10</f>
        <v>16</v>
      </c>
      <c r="J11" s="66">
        <f t="shared" si="5"/>
        <v>3.8461538461538464E-2</v>
      </c>
      <c r="K11" s="87">
        <f>('Water Reading'!I11-'Water Reading'!I10)-('Water Reading'!P11-'Water Reading'!P10)</f>
        <v>8</v>
      </c>
      <c r="L11" s="66">
        <f t="shared" si="6"/>
        <v>1.9230769230769232E-2</v>
      </c>
      <c r="M11" s="86">
        <f>'Water Reading'!R11-'Water Reading'!R10</f>
        <v>6</v>
      </c>
      <c r="N11" s="88">
        <f t="shared" si="7"/>
        <v>1.4423076923076924E-2</v>
      </c>
      <c r="O11" s="86">
        <f>'Water Reading'!Q11-'Water Reading'!Q10</f>
        <v>5</v>
      </c>
      <c r="P11" s="93">
        <f t="shared" si="8"/>
        <v>1.201923076923077E-2</v>
      </c>
      <c r="Q11" s="87">
        <f>'Water Reading'!N11-'Water Reading'!N10</f>
        <v>2</v>
      </c>
      <c r="R11" s="94">
        <f t="shared" si="9"/>
        <v>4.807692307692308E-3</v>
      </c>
      <c r="S11" s="86">
        <f>'Water Reading'!M11-'Water Reading'!M10</f>
        <v>8</v>
      </c>
      <c r="T11" s="94">
        <f t="shared" si="10"/>
        <v>1.9230769230769232E-2</v>
      </c>
      <c r="U11" s="86">
        <f>'Water Reading'!O11-'Water Reading'!O10</f>
        <v>1</v>
      </c>
      <c r="V11" s="94">
        <f t="shared" si="11"/>
        <v>2.403846153846154E-3</v>
      </c>
      <c r="W11" s="86">
        <f>'Water Reading'!R11-'Water Reading'!R10</f>
        <v>6</v>
      </c>
      <c r="X11" s="94">
        <f t="shared" si="12"/>
        <v>1.4423076923076924E-2</v>
      </c>
      <c r="Y11" s="64">
        <f t="shared" si="0"/>
        <v>372</v>
      </c>
      <c r="Z11" s="65">
        <f t="shared" si="1"/>
        <v>0.93939393939393945</v>
      </c>
    </row>
    <row r="12" spans="1:26" x14ac:dyDescent="0.25">
      <c r="A12" s="8">
        <f>'Water Reading'!A11</f>
        <v>44539</v>
      </c>
      <c r="B12" s="63">
        <f>TOTAL!I10</f>
        <v>417</v>
      </c>
      <c r="C12" s="64">
        <f>('Water Reading'!B12-'Water Reading'!B11)+('Water Reading'!C12-'Water Reading'!C11)</f>
        <v>0</v>
      </c>
      <c r="D12" s="65">
        <f t="shared" si="2"/>
        <v>0</v>
      </c>
      <c r="E12" s="84">
        <f>'Water Reading'!H12-'Water Reading'!H11</f>
        <v>18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261</v>
      </c>
      <c r="H12" s="85" t="e">
        <f t="shared" si="4"/>
        <v>#DIV/0!</v>
      </c>
      <c r="I12" s="86">
        <f>'Water Reading'!P12-'Water Reading'!P11</f>
        <v>1</v>
      </c>
      <c r="J12" s="66" t="e">
        <f t="shared" si="5"/>
        <v>#DIV/0!</v>
      </c>
      <c r="K12" s="87">
        <f>('Water Reading'!I12-'Water Reading'!I11)-('Water Reading'!P12-'Water Reading'!P11)</f>
        <v>26</v>
      </c>
      <c r="L12" s="66" t="e">
        <f t="shared" si="6"/>
        <v>#DIV/0!</v>
      </c>
      <c r="M12" s="86">
        <f>'Water Reading'!R12-'Water Reading'!R11</f>
        <v>5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2</v>
      </c>
      <c r="R12" s="94" t="e">
        <f t="shared" si="9"/>
        <v>#DIV/0!</v>
      </c>
      <c r="S12" s="86">
        <f>'Water Reading'!M12-'Water Reading'!M11</f>
        <v>9</v>
      </c>
      <c r="T12" s="94" t="e">
        <f t="shared" si="10"/>
        <v>#DIV/0!</v>
      </c>
      <c r="U12" s="86">
        <f>'Water Reading'!O12-'Water Reading'!O11</f>
        <v>1</v>
      </c>
      <c r="V12" s="94" t="e">
        <f t="shared" si="11"/>
        <v>#DIV/0!</v>
      </c>
      <c r="W12" s="86">
        <f>'Water Reading'!R12-'Water Reading'!R11</f>
        <v>5</v>
      </c>
      <c r="X12" s="94" t="e">
        <f t="shared" si="12"/>
        <v>#DIV/0!</v>
      </c>
      <c r="Y12" s="64">
        <f t="shared" si="0"/>
        <v>328</v>
      </c>
      <c r="Z12" s="65">
        <f t="shared" si="1"/>
        <v>0.78657074340527577</v>
      </c>
    </row>
    <row r="13" spans="1:26" x14ac:dyDescent="0.25">
      <c r="A13" s="8">
        <f>'Water Reading'!A12</f>
        <v>44540</v>
      </c>
      <c r="B13" s="63">
        <f>TOTAL!I11</f>
        <v>368</v>
      </c>
      <c r="C13" s="64">
        <f>('Water Reading'!B13-'Water Reading'!B12)+('Water Reading'!C13-'Water Reading'!C12)</f>
        <v>156</v>
      </c>
      <c r="D13" s="65">
        <f t="shared" si="2"/>
        <v>0.42391304347826086</v>
      </c>
      <c r="E13" s="84">
        <f>'Water Reading'!H13-'Water Reading'!H12</f>
        <v>6</v>
      </c>
      <c r="F13" s="85">
        <f t="shared" si="3"/>
        <v>3.8461538461538464E-2</v>
      </c>
      <c r="G13" s="89">
        <f>('Water Reading'!D13-'Water Reading'!D12)-('Water Reading'!R13-'Water Reading'!R12)-('Water Reading'!Q13-'Water Reading'!Q12)</f>
        <v>209</v>
      </c>
      <c r="H13" s="85">
        <f t="shared" si="4"/>
        <v>1.3397435897435896</v>
      </c>
      <c r="I13" s="86">
        <f>'Water Reading'!P13-'Water Reading'!P12</f>
        <v>6</v>
      </c>
      <c r="J13" s="66">
        <f t="shared" si="5"/>
        <v>3.8461538461538464E-2</v>
      </c>
      <c r="K13" s="87">
        <f>('Water Reading'!I13-'Water Reading'!I12)-('Water Reading'!P13-'Water Reading'!P12)</f>
        <v>22</v>
      </c>
      <c r="L13" s="66">
        <f t="shared" si="6"/>
        <v>0.14102564102564102</v>
      </c>
      <c r="M13" s="86">
        <f>'Water Reading'!R13-'Water Reading'!R12</f>
        <v>0</v>
      </c>
      <c r="N13" s="88">
        <f t="shared" si="7"/>
        <v>0</v>
      </c>
      <c r="O13" s="86">
        <f>'Water Reading'!Q13-'Water Reading'!Q12</f>
        <v>0</v>
      </c>
      <c r="P13" s="93">
        <f t="shared" si="8"/>
        <v>0</v>
      </c>
      <c r="Q13" s="87">
        <f>'Water Reading'!N13-'Water Reading'!N12</f>
        <v>1</v>
      </c>
      <c r="R13" s="94">
        <f t="shared" si="9"/>
        <v>6.41025641025641E-3</v>
      </c>
      <c r="S13" s="86">
        <f>'Water Reading'!M13-'Water Reading'!M12</f>
        <v>9</v>
      </c>
      <c r="T13" s="94">
        <f t="shared" si="10"/>
        <v>5.7692307692307696E-2</v>
      </c>
      <c r="U13" s="86">
        <f>'Water Reading'!O13-'Water Reading'!O12</f>
        <v>1</v>
      </c>
      <c r="V13" s="94">
        <f t="shared" si="11"/>
        <v>6.41025641025641E-3</v>
      </c>
      <c r="W13" s="86">
        <f>'Water Reading'!R13-'Water Reading'!R12</f>
        <v>0</v>
      </c>
      <c r="X13" s="94">
        <f t="shared" si="12"/>
        <v>0</v>
      </c>
      <c r="Y13" s="64">
        <f t="shared" si="0"/>
        <v>254</v>
      </c>
      <c r="Z13" s="65">
        <f t="shared" si="1"/>
        <v>0.69021739130434778</v>
      </c>
    </row>
    <row r="14" spans="1:26" x14ac:dyDescent="0.25">
      <c r="A14" s="8">
        <f>'Water Reading'!A13</f>
        <v>44541</v>
      </c>
      <c r="B14" s="63">
        <f>TOTAL!I12</f>
        <v>353</v>
      </c>
      <c r="C14" s="64">
        <f>('Water Reading'!B14-'Water Reading'!B13)+('Water Reading'!C14-'Water Reading'!C13)</f>
        <v>164</v>
      </c>
      <c r="D14" s="65">
        <f t="shared" si="2"/>
        <v>0.46458923512747874</v>
      </c>
      <c r="E14" s="84">
        <f>'Water Reading'!H14-'Water Reading'!H13</f>
        <v>6</v>
      </c>
      <c r="F14" s="85">
        <f t="shared" si="3"/>
        <v>3.6585365853658534E-2</v>
      </c>
      <c r="G14" s="89">
        <f>('Water Reading'!D14-'Water Reading'!D13)-('Water Reading'!R14-'Water Reading'!R13)-('Water Reading'!Q14-'Water Reading'!Q13)</f>
        <v>213</v>
      </c>
      <c r="H14" s="85">
        <f t="shared" si="4"/>
        <v>1.2987804878048781</v>
      </c>
      <c r="I14" s="86">
        <f>'Water Reading'!P14-'Water Reading'!P13</f>
        <v>0</v>
      </c>
      <c r="J14" s="66">
        <f t="shared" si="5"/>
        <v>0</v>
      </c>
      <c r="K14" s="87">
        <f>('Water Reading'!I14-'Water Reading'!I13)-('Water Reading'!P14-'Water Reading'!P13)</f>
        <v>16</v>
      </c>
      <c r="L14" s="66">
        <f t="shared" si="6"/>
        <v>9.7560975609756101E-2</v>
      </c>
      <c r="M14" s="86">
        <f>'Water Reading'!R14-'Water Reading'!R13</f>
        <v>5</v>
      </c>
      <c r="N14" s="88">
        <f t="shared" si="7"/>
        <v>3.048780487804878E-2</v>
      </c>
      <c r="O14" s="86">
        <f>'Water Reading'!Q14-'Water Reading'!Q13</f>
        <v>0</v>
      </c>
      <c r="P14" s="93">
        <f t="shared" si="8"/>
        <v>0</v>
      </c>
      <c r="Q14" s="87">
        <f>'Water Reading'!N14-'Water Reading'!N13</f>
        <v>0</v>
      </c>
      <c r="R14" s="94">
        <f t="shared" si="9"/>
        <v>0</v>
      </c>
      <c r="S14" s="86">
        <f>'Water Reading'!M14-'Water Reading'!M13</f>
        <v>10</v>
      </c>
      <c r="T14" s="94">
        <f t="shared" si="10"/>
        <v>6.097560975609756E-2</v>
      </c>
      <c r="U14" s="86">
        <f>'Water Reading'!O14-'Water Reading'!O13</f>
        <v>0</v>
      </c>
      <c r="V14" s="94">
        <f t="shared" si="11"/>
        <v>0</v>
      </c>
      <c r="W14" s="86">
        <f>'Water Reading'!R14-'Water Reading'!R13</f>
        <v>5</v>
      </c>
      <c r="X14" s="94">
        <f t="shared" si="12"/>
        <v>3.048780487804878E-2</v>
      </c>
      <c r="Y14" s="64">
        <f t="shared" si="0"/>
        <v>255</v>
      </c>
      <c r="Z14" s="65">
        <f t="shared" si="1"/>
        <v>0.72237960339943341</v>
      </c>
    </row>
    <row r="15" spans="1:26" x14ac:dyDescent="0.25">
      <c r="A15" s="8">
        <f>'Water Reading'!A14</f>
        <v>44542</v>
      </c>
      <c r="B15" s="63">
        <f>TOTAL!I13</f>
        <v>360</v>
      </c>
      <c r="C15" s="64">
        <f>('Water Reading'!B15-'Water Reading'!B14)+('Water Reading'!C15-'Water Reading'!C14)</f>
        <v>161</v>
      </c>
      <c r="D15" s="65">
        <f t="shared" si="2"/>
        <v>0.44722222222222224</v>
      </c>
      <c r="E15" s="84">
        <f>'Water Reading'!H15-'Water Reading'!H14</f>
        <v>8</v>
      </c>
      <c r="F15" s="85">
        <f t="shared" si="3"/>
        <v>4.9689440993788817E-2</v>
      </c>
      <c r="G15" s="89">
        <f>('Water Reading'!D15-'Water Reading'!D14)-('Water Reading'!R15-'Water Reading'!R14)-('Water Reading'!Q15-'Water Reading'!Q14)</f>
        <v>219</v>
      </c>
      <c r="H15" s="85">
        <f t="shared" si="4"/>
        <v>1.360248447204969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15</v>
      </c>
      <c r="L15" s="66">
        <f t="shared" si="6"/>
        <v>9.3167701863354033E-2</v>
      </c>
      <c r="M15" s="86">
        <f>'Water Reading'!R15-'Water Reading'!R14</f>
        <v>4</v>
      </c>
      <c r="N15" s="88">
        <f t="shared" si="7"/>
        <v>2.4844720496894408E-2</v>
      </c>
      <c r="O15" s="86">
        <f>'Water Reading'!Q15-'Water Reading'!Q14</f>
        <v>0</v>
      </c>
      <c r="P15" s="93">
        <f t="shared" si="8"/>
        <v>0</v>
      </c>
      <c r="Q15" s="87">
        <f>'Water Reading'!N15-'Water Reading'!N14</f>
        <v>1</v>
      </c>
      <c r="R15" s="94">
        <f t="shared" si="9"/>
        <v>6.2111801242236021E-3</v>
      </c>
      <c r="S15" s="86">
        <f>'Water Reading'!M15-'Water Reading'!M14</f>
        <v>9</v>
      </c>
      <c r="T15" s="94">
        <f t="shared" si="10"/>
        <v>5.5900621118012424E-2</v>
      </c>
      <c r="U15" s="86">
        <f>'Water Reading'!O15-'Water Reading'!O14</f>
        <v>1</v>
      </c>
      <c r="V15" s="94">
        <f t="shared" si="11"/>
        <v>6.2111801242236021E-3</v>
      </c>
      <c r="W15" s="86">
        <f>'Water Reading'!R15-'Water Reading'!R14</f>
        <v>4</v>
      </c>
      <c r="X15" s="94">
        <f t="shared" si="12"/>
        <v>2.4844720496894408E-2</v>
      </c>
      <c r="Y15" s="64">
        <f t="shared" si="0"/>
        <v>261</v>
      </c>
      <c r="Z15" s="65">
        <f t="shared" si="1"/>
        <v>0.72499999999999998</v>
      </c>
    </row>
    <row r="16" spans="1:26" x14ac:dyDescent="0.25">
      <c r="A16" s="8">
        <f>'Water Reading'!A15</f>
        <v>44543</v>
      </c>
      <c r="B16" s="63">
        <f>TOTAL!I14</f>
        <v>390</v>
      </c>
      <c r="C16" s="64">
        <f>('Water Reading'!B16-'Water Reading'!B15)+('Water Reading'!C16-'Water Reading'!C15)</f>
        <v>174</v>
      </c>
      <c r="D16" s="65">
        <f t="shared" si="2"/>
        <v>0.44615384615384618</v>
      </c>
      <c r="E16" s="84">
        <f>'Water Reading'!H16-'Water Reading'!H15</f>
        <v>4</v>
      </c>
      <c r="F16" s="85">
        <f t="shared" si="3"/>
        <v>2.2988505747126436E-2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1.2758620689655173</v>
      </c>
      <c r="I16" s="86">
        <f>'Water Reading'!P16-'Water Reading'!P15</f>
        <v>10</v>
      </c>
      <c r="J16" s="66">
        <f t="shared" si="5"/>
        <v>5.7471264367816091E-2</v>
      </c>
      <c r="K16" s="87">
        <f>('Water Reading'!I16-'Water Reading'!I15)-('Water Reading'!P16-'Water Reading'!P15)</f>
        <v>11</v>
      </c>
      <c r="L16" s="66">
        <f t="shared" si="6"/>
        <v>6.3218390804597707E-2</v>
      </c>
      <c r="M16" s="86">
        <f>'Water Reading'!R16-'Water Reading'!R15</f>
        <v>10</v>
      </c>
      <c r="N16" s="88">
        <f t="shared" si="7"/>
        <v>5.7471264367816091E-2</v>
      </c>
      <c r="O16" s="86">
        <f>'Water Reading'!Q16-'Water Reading'!Q15</f>
        <v>0</v>
      </c>
      <c r="P16" s="93">
        <f t="shared" si="8"/>
        <v>0</v>
      </c>
      <c r="Q16" s="87">
        <f>'Water Reading'!N16-'Water Reading'!N15</f>
        <v>1</v>
      </c>
      <c r="R16" s="94">
        <f t="shared" si="9"/>
        <v>5.7471264367816091E-3</v>
      </c>
      <c r="S16" s="86">
        <f>'Water Reading'!M16-'Water Reading'!M15</f>
        <v>9</v>
      </c>
      <c r="T16" s="94">
        <f t="shared" si="10"/>
        <v>5.1724137931034482E-2</v>
      </c>
      <c r="U16" s="86">
        <f>'Water Reading'!O16-'Water Reading'!O15</f>
        <v>1</v>
      </c>
      <c r="V16" s="94">
        <f t="shared" si="11"/>
        <v>5.7471264367816091E-3</v>
      </c>
      <c r="W16" s="86">
        <f>'Water Reading'!R16-'Water Reading'!R15</f>
        <v>10</v>
      </c>
      <c r="X16" s="94">
        <f t="shared" si="12"/>
        <v>5.7471264367816091E-2</v>
      </c>
      <c r="Y16" s="64">
        <f t="shared" si="0"/>
        <v>278</v>
      </c>
      <c r="Z16" s="65">
        <f t="shared" si="1"/>
        <v>0.71282051282051284</v>
      </c>
    </row>
    <row r="17" spans="1:26" x14ac:dyDescent="0.25">
      <c r="A17" s="8">
        <f>'Water Reading'!A16</f>
        <v>44544</v>
      </c>
      <c r="B17" s="63">
        <f>TOTAL!I15</f>
        <v>371</v>
      </c>
      <c r="C17" s="64">
        <f>('Water Reading'!B17-'Water Reading'!B16)+('Water Reading'!C17-'Water Reading'!C16)</f>
        <v>161</v>
      </c>
      <c r="D17" s="65">
        <f t="shared" si="2"/>
        <v>0.43396226415094341</v>
      </c>
      <c r="E17" s="84">
        <f>'Water Reading'!H17-'Water Reading'!H16</f>
        <v>24</v>
      </c>
      <c r="F17" s="85">
        <f t="shared" si="3"/>
        <v>0.14906832298136646</v>
      </c>
      <c r="G17" s="89">
        <f>('Water Reading'!D17-'Water Reading'!D16)-('Water Reading'!R17-'Water Reading'!R16)-('Water Reading'!Q17-'Water Reading'!Q16)</f>
        <v>175</v>
      </c>
      <c r="H17" s="85">
        <f t="shared" si="4"/>
        <v>1.0869565217391304</v>
      </c>
      <c r="I17" s="86">
        <f>'Water Reading'!P17-'Water Reading'!P16</f>
        <v>6</v>
      </c>
      <c r="J17" s="66">
        <f t="shared" si="5"/>
        <v>3.7267080745341616E-2</v>
      </c>
      <c r="K17" s="87">
        <f>('Water Reading'!I17-'Water Reading'!I16)-('Water Reading'!P17-'Water Reading'!P16)</f>
        <v>17</v>
      </c>
      <c r="L17" s="66">
        <f t="shared" si="6"/>
        <v>0.10559006211180125</v>
      </c>
      <c r="M17" s="86">
        <f>'Water Reading'!R17-'Water Reading'!R16</f>
        <v>8</v>
      </c>
      <c r="N17" s="88">
        <f t="shared" si="7"/>
        <v>4.9689440993788817E-2</v>
      </c>
      <c r="O17" s="86">
        <f>'Water Reading'!Q17-'Water Reading'!Q16</f>
        <v>0</v>
      </c>
      <c r="P17" s="93">
        <f t="shared" si="8"/>
        <v>0</v>
      </c>
      <c r="Q17" s="87">
        <f>'Water Reading'!N17-'Water Reading'!N16</f>
        <v>1</v>
      </c>
      <c r="R17" s="94">
        <f t="shared" si="9"/>
        <v>6.2111801242236021E-3</v>
      </c>
      <c r="S17" s="86">
        <f>'Water Reading'!M17-'Water Reading'!M16</f>
        <v>9</v>
      </c>
      <c r="T17" s="94">
        <f t="shared" si="10"/>
        <v>5.5900621118012424E-2</v>
      </c>
      <c r="U17" s="86">
        <f>'Water Reading'!O17-'Water Reading'!O16</f>
        <v>4</v>
      </c>
      <c r="V17" s="94">
        <f t="shared" si="11"/>
        <v>2.4844720496894408E-2</v>
      </c>
      <c r="W17" s="86">
        <f>'Water Reading'!R17-'Water Reading'!R16</f>
        <v>8</v>
      </c>
      <c r="X17" s="94">
        <f t="shared" si="12"/>
        <v>4.9689440993788817E-2</v>
      </c>
      <c r="Y17" s="64">
        <f t="shared" si="0"/>
        <v>252</v>
      </c>
      <c r="Z17" s="65">
        <f t="shared" si="1"/>
        <v>0.67924528301886788</v>
      </c>
    </row>
    <row r="18" spans="1:26" x14ac:dyDescent="0.25">
      <c r="A18" s="8">
        <f>'Water Reading'!A17</f>
        <v>44545</v>
      </c>
      <c r="B18" s="63">
        <f>TOTAL!I16</f>
        <v>354</v>
      </c>
      <c r="C18" s="64">
        <f>('Water Reading'!B18-'Water Reading'!B17)+('Water Reading'!C18-'Water Reading'!C17)</f>
        <v>167</v>
      </c>
      <c r="D18" s="65">
        <f t="shared" si="2"/>
        <v>0.47175141242937851</v>
      </c>
      <c r="E18" s="84">
        <f>'Water Reading'!H18-'Water Reading'!H17</f>
        <v>13</v>
      </c>
      <c r="F18" s="85">
        <f t="shared" si="3"/>
        <v>7.7844311377245512E-2</v>
      </c>
      <c r="G18" s="89">
        <f>('Water Reading'!D18-'Water Reading'!D17)-('Water Reading'!R18-'Water Reading'!R17)-('Water Reading'!Q18-'Water Reading'!Q17)</f>
        <v>190</v>
      </c>
      <c r="H18" s="85">
        <f t="shared" si="4"/>
        <v>1.1377245508982037</v>
      </c>
      <c r="I18" s="86">
        <f>'Water Reading'!P18-'Water Reading'!P17</f>
        <v>0</v>
      </c>
      <c r="J18" s="66">
        <f t="shared" si="5"/>
        <v>0</v>
      </c>
      <c r="K18" s="87">
        <f>('Water Reading'!I18-'Water Reading'!I17)-('Water Reading'!P18-'Water Reading'!P17)</f>
        <v>42</v>
      </c>
      <c r="L18" s="66">
        <f t="shared" si="6"/>
        <v>0.25149700598802394</v>
      </c>
      <c r="M18" s="86">
        <f>'Water Reading'!R18-'Water Reading'!R17</f>
        <v>8</v>
      </c>
      <c r="N18" s="88">
        <f t="shared" si="7"/>
        <v>4.790419161676647E-2</v>
      </c>
      <c r="O18" s="86">
        <f>'Water Reading'!Q18-'Water Reading'!Q17</f>
        <v>3</v>
      </c>
      <c r="P18" s="93">
        <f t="shared" si="8"/>
        <v>1.7964071856287425E-2</v>
      </c>
      <c r="Q18" s="87">
        <f>'Water Reading'!N18-'Water Reading'!N17</f>
        <v>2</v>
      </c>
      <c r="R18" s="94">
        <f t="shared" si="9"/>
        <v>1.1976047904191617E-2</v>
      </c>
      <c r="S18" s="86">
        <f>'Water Reading'!M18-'Water Reading'!M17</f>
        <v>9</v>
      </c>
      <c r="T18" s="94">
        <f t="shared" si="10"/>
        <v>5.3892215568862277E-2</v>
      </c>
      <c r="U18" s="86">
        <f>'Water Reading'!O18-'Water Reading'!O17</f>
        <v>1</v>
      </c>
      <c r="V18" s="94">
        <f t="shared" si="11"/>
        <v>5.9880239520958087E-3</v>
      </c>
      <c r="W18" s="86">
        <f>'Water Reading'!R18-'Water Reading'!R17</f>
        <v>8</v>
      </c>
      <c r="X18" s="94">
        <f t="shared" si="12"/>
        <v>4.790419161676647E-2</v>
      </c>
      <c r="Y18" s="64">
        <f t="shared" si="0"/>
        <v>276</v>
      </c>
      <c r="Z18" s="65">
        <f t="shared" si="1"/>
        <v>0.77966101694915257</v>
      </c>
    </row>
    <row r="19" spans="1:26" x14ac:dyDescent="0.25">
      <c r="A19" s="8">
        <f>'Water Reading'!A18</f>
        <v>44546</v>
      </c>
      <c r="B19" s="63">
        <f>TOTAL!I17</f>
        <v>392</v>
      </c>
      <c r="C19" s="64">
        <f>('Water Reading'!B19-'Water Reading'!B18)+('Water Reading'!C19-'Water Reading'!C18)</f>
        <v>179</v>
      </c>
      <c r="D19" s="65">
        <f t="shared" si="2"/>
        <v>0.45663265306122447</v>
      </c>
      <c r="E19" s="84">
        <f>'Water Reading'!H19-'Water Reading'!H18</f>
        <v>17</v>
      </c>
      <c r="F19" s="85">
        <f t="shared" si="3"/>
        <v>9.4972067039106142E-2</v>
      </c>
      <c r="G19" s="89">
        <f>('Water Reading'!D19-'Water Reading'!D18)-('Water Reading'!R19-'Water Reading'!R18)-('Water Reading'!Q19-'Water Reading'!Q18)</f>
        <v>238</v>
      </c>
      <c r="H19" s="85">
        <f t="shared" si="4"/>
        <v>1.3296089385474861</v>
      </c>
      <c r="I19" s="86">
        <f>'Water Reading'!P19-'Water Reading'!P18</f>
        <v>0</v>
      </c>
      <c r="J19" s="66">
        <f t="shared" si="5"/>
        <v>0</v>
      </c>
      <c r="K19" s="87">
        <f>('Water Reading'!I19-'Water Reading'!I18)-('Water Reading'!P19-'Water Reading'!P18)</f>
        <v>22</v>
      </c>
      <c r="L19" s="66">
        <f t="shared" si="6"/>
        <v>0.12290502793296089</v>
      </c>
      <c r="M19" s="86">
        <f>'Water Reading'!R19-'Water Reading'!R18</f>
        <v>8</v>
      </c>
      <c r="N19" s="88">
        <f t="shared" si="7"/>
        <v>4.4692737430167599E-2</v>
      </c>
      <c r="O19" s="86">
        <f>'Water Reading'!Q19-'Water Reading'!Q18</f>
        <v>0</v>
      </c>
      <c r="P19" s="93">
        <f t="shared" si="8"/>
        <v>0</v>
      </c>
      <c r="Q19" s="87">
        <f>'Water Reading'!N19-'Water Reading'!N18</f>
        <v>3</v>
      </c>
      <c r="R19" s="94">
        <f t="shared" si="9"/>
        <v>1.6759776536312849E-2</v>
      </c>
      <c r="S19" s="86">
        <f>'Water Reading'!M19-'Water Reading'!M18</f>
        <v>7</v>
      </c>
      <c r="T19" s="94">
        <f t="shared" si="10"/>
        <v>3.9106145251396648E-2</v>
      </c>
      <c r="U19" s="86">
        <f>'Water Reading'!O19-'Water Reading'!O18</f>
        <v>3</v>
      </c>
      <c r="V19" s="94">
        <f t="shared" si="11"/>
        <v>1.6759776536312849E-2</v>
      </c>
      <c r="W19" s="86">
        <f>'Water Reading'!R19-'Water Reading'!R18</f>
        <v>8</v>
      </c>
      <c r="X19" s="94">
        <f t="shared" si="12"/>
        <v>4.4692737430167599E-2</v>
      </c>
      <c r="Y19" s="64">
        <f t="shared" si="0"/>
        <v>306</v>
      </c>
      <c r="Z19" s="65">
        <f t="shared" si="1"/>
        <v>0.78061224489795922</v>
      </c>
    </row>
    <row r="20" spans="1:26" x14ac:dyDescent="0.25">
      <c r="A20" s="8">
        <f>'Water Reading'!A19</f>
        <v>44547</v>
      </c>
      <c r="B20" s="63">
        <f>TOTAL!I18</f>
        <v>421</v>
      </c>
      <c r="C20" s="64">
        <f>('Water Reading'!B20-'Water Reading'!B19)+('Water Reading'!C20-'Water Reading'!C19)</f>
        <v>0</v>
      </c>
      <c r="D20" s="65">
        <f t="shared" si="2"/>
        <v>0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-6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6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6</v>
      </c>
      <c r="X20" s="94" t="e">
        <f t="shared" si="12"/>
        <v>#DIV/0!</v>
      </c>
      <c r="Y20" s="64">
        <f t="shared" si="0"/>
        <v>6</v>
      </c>
      <c r="Z20" s="65">
        <f t="shared" si="1"/>
        <v>1.4251781472684086E-2</v>
      </c>
    </row>
    <row r="21" spans="1:26" x14ac:dyDescent="0.25">
      <c r="A21" s="8">
        <f>'Water Reading'!A20</f>
        <v>44548</v>
      </c>
      <c r="B21" s="63">
        <f>TOTAL!I19</f>
        <v>470</v>
      </c>
      <c r="C21" s="64">
        <f>('Water Reading'!B21-'Water Reading'!B20)+('Water Reading'!C21-'Water Reading'!C20)</f>
        <v>395</v>
      </c>
      <c r="D21" s="65">
        <f t="shared" si="2"/>
        <v>0.84042553191489366</v>
      </c>
      <c r="E21" s="84">
        <f>'Water Reading'!H21-'Water Reading'!H20</f>
        <v>71</v>
      </c>
      <c r="F21" s="85">
        <f t="shared" si="3"/>
        <v>0.17974683544303796</v>
      </c>
      <c r="G21" s="89">
        <f>('Water Reading'!D21-'Water Reading'!D20)-('Water Reading'!R21-'Water Reading'!R20)-('Water Reading'!Q21-'Water Reading'!Q20)</f>
        <v>486</v>
      </c>
      <c r="H21" s="85">
        <f t="shared" si="4"/>
        <v>1.2303797468354429</v>
      </c>
      <c r="I21" s="86">
        <f>'Water Reading'!P21-'Water Reading'!P20</f>
        <v>10</v>
      </c>
      <c r="J21" s="66">
        <f t="shared" si="5"/>
        <v>2.5316455696202531E-2</v>
      </c>
      <c r="K21" s="87">
        <f>('Water Reading'!I21-'Water Reading'!I20)-('Water Reading'!P21-'Water Reading'!P20)</f>
        <v>57</v>
      </c>
      <c r="L21" s="66">
        <f t="shared" si="6"/>
        <v>0.14430379746835442</v>
      </c>
      <c r="M21" s="86">
        <f>'Water Reading'!R21-'Water Reading'!R20</f>
        <v>9</v>
      </c>
      <c r="N21" s="88">
        <f t="shared" si="7"/>
        <v>2.2784810126582278E-2</v>
      </c>
      <c r="O21" s="86">
        <f>'Water Reading'!Q21-'Water Reading'!Q20</f>
        <v>0</v>
      </c>
      <c r="P21" s="93">
        <f t="shared" si="8"/>
        <v>0</v>
      </c>
      <c r="Q21" s="87">
        <f>'Water Reading'!N21-'Water Reading'!N20</f>
        <v>5</v>
      </c>
      <c r="R21" s="94">
        <f t="shared" si="9"/>
        <v>1.2658227848101266E-2</v>
      </c>
      <c r="S21" s="86">
        <f>'Water Reading'!M21-'Water Reading'!M20</f>
        <v>20</v>
      </c>
      <c r="T21" s="94">
        <f t="shared" si="10"/>
        <v>5.0632911392405063E-2</v>
      </c>
      <c r="U21" s="86">
        <f>'Water Reading'!O21-'Water Reading'!O20</f>
        <v>2</v>
      </c>
      <c r="V21" s="94">
        <f t="shared" si="11"/>
        <v>5.0632911392405064E-3</v>
      </c>
      <c r="W21" s="86">
        <f>'Water Reading'!R21-'Water Reading'!R20</f>
        <v>9</v>
      </c>
      <c r="X21" s="94">
        <f t="shared" si="12"/>
        <v>2.2784810126582278E-2</v>
      </c>
      <c r="Y21" s="64">
        <f t="shared" si="0"/>
        <v>669</v>
      </c>
      <c r="Z21" s="65">
        <f t="shared" si="1"/>
        <v>1.4234042553191488</v>
      </c>
    </row>
    <row r="22" spans="1:26" x14ac:dyDescent="0.25">
      <c r="A22" s="8">
        <f>'Water Reading'!A21</f>
        <v>44549</v>
      </c>
      <c r="B22" s="63">
        <f>TOTAL!I20</f>
        <v>469</v>
      </c>
      <c r="C22" s="64">
        <f>('Water Reading'!B22-'Water Reading'!B21)+('Water Reading'!C22-'Water Reading'!C21)</f>
        <v>197</v>
      </c>
      <c r="D22" s="65">
        <f t="shared" si="2"/>
        <v>0.42004264392324092</v>
      </c>
      <c r="E22" s="84">
        <f>'Water Reading'!H22-'Water Reading'!H21</f>
        <v>24</v>
      </c>
      <c r="F22" s="85">
        <f t="shared" si="3"/>
        <v>0.12182741116751269</v>
      </c>
      <c r="G22" s="89">
        <f>('Water Reading'!D22-'Water Reading'!D21)-('Water Reading'!R22-'Water Reading'!R21)-('Water Reading'!Q22-'Water Reading'!Q21)</f>
        <v>251</v>
      </c>
      <c r="H22" s="85">
        <f t="shared" si="4"/>
        <v>1.2741116751269035</v>
      </c>
      <c r="I22" s="86">
        <f>'Water Reading'!P22-'Water Reading'!P21</f>
        <v>13</v>
      </c>
      <c r="J22" s="66">
        <f t="shared" si="5"/>
        <v>6.5989847715736044E-2</v>
      </c>
      <c r="K22" s="87">
        <f>('Water Reading'!I22-'Water Reading'!I21)-('Water Reading'!P22-'Water Reading'!P21)</f>
        <v>23</v>
      </c>
      <c r="L22" s="66">
        <f t="shared" si="6"/>
        <v>0.116751269035533</v>
      </c>
      <c r="M22" s="86">
        <f>'Water Reading'!R22-'Water Reading'!R21</f>
        <v>9</v>
      </c>
      <c r="N22" s="88">
        <f t="shared" si="7"/>
        <v>4.5685279187817257E-2</v>
      </c>
      <c r="O22" s="86">
        <f>'Water Reading'!Q22-'Water Reading'!Q21</f>
        <v>1</v>
      </c>
      <c r="P22" s="93">
        <f t="shared" si="8"/>
        <v>5.076142131979695E-3</v>
      </c>
      <c r="Q22" s="87">
        <f>'Water Reading'!N22-'Water Reading'!N21</f>
        <v>3</v>
      </c>
      <c r="R22" s="94">
        <f t="shared" si="9"/>
        <v>1.5228426395939087E-2</v>
      </c>
      <c r="S22" s="86">
        <f>'Water Reading'!M22-'Water Reading'!M21</f>
        <v>9</v>
      </c>
      <c r="T22" s="94">
        <f t="shared" si="10"/>
        <v>4.5685279187817257E-2</v>
      </c>
      <c r="U22" s="86">
        <f>'Water Reading'!O22-'Water Reading'!O21</f>
        <v>1</v>
      </c>
      <c r="V22" s="94">
        <f t="shared" si="11"/>
        <v>5.076142131979695E-3</v>
      </c>
      <c r="W22" s="86">
        <f>'Water Reading'!R22-'Water Reading'!R21</f>
        <v>9</v>
      </c>
      <c r="X22" s="94">
        <f t="shared" si="12"/>
        <v>4.5685279187817257E-2</v>
      </c>
      <c r="Y22" s="64">
        <f t="shared" si="0"/>
        <v>343</v>
      </c>
      <c r="Z22" s="65">
        <f t="shared" si="1"/>
        <v>0.73134328358208955</v>
      </c>
    </row>
    <row r="23" spans="1:26" x14ac:dyDescent="0.25">
      <c r="A23" s="8">
        <f>'Water Reading'!A22</f>
        <v>44550</v>
      </c>
      <c r="B23" s="63">
        <f>TOTAL!I21</f>
        <v>384</v>
      </c>
      <c r="C23" s="64">
        <f>('Water Reading'!B23-'Water Reading'!B22)+('Water Reading'!C23-'Water Reading'!C22)</f>
        <v>194</v>
      </c>
      <c r="D23" s="65">
        <f t="shared" si="2"/>
        <v>0.50520833333333337</v>
      </c>
      <c r="E23" s="84">
        <f>'Water Reading'!H23-'Water Reading'!H22</f>
        <v>40</v>
      </c>
      <c r="F23" s="85">
        <f t="shared" si="3"/>
        <v>0.20618556701030927</v>
      </c>
      <c r="G23" s="89">
        <f>('Water Reading'!D23-'Water Reading'!D22)-('Water Reading'!R23-'Water Reading'!R22)-('Water Reading'!Q23-'Water Reading'!Q22)</f>
        <v>226</v>
      </c>
      <c r="H23" s="85">
        <f t="shared" si="4"/>
        <v>1.1649484536082475</v>
      </c>
      <c r="I23" s="86">
        <f>'Water Reading'!P23-'Water Reading'!P22</f>
        <v>16</v>
      </c>
      <c r="J23" s="66">
        <f t="shared" si="5"/>
        <v>8.247422680412371E-2</v>
      </c>
      <c r="K23" s="87">
        <f>('Water Reading'!I23-'Water Reading'!I22)-('Water Reading'!P23-'Water Reading'!P22)</f>
        <v>21</v>
      </c>
      <c r="L23" s="66">
        <f t="shared" si="6"/>
        <v>0.10824742268041238</v>
      </c>
      <c r="M23" s="86">
        <f>'Water Reading'!R23-'Water Reading'!R22</f>
        <v>9</v>
      </c>
      <c r="N23" s="88">
        <f t="shared" si="7"/>
        <v>4.6391752577319589E-2</v>
      </c>
      <c r="O23" s="86">
        <f>'Water Reading'!Q23-'Water Reading'!Q22</f>
        <v>3</v>
      </c>
      <c r="P23" s="93">
        <f t="shared" si="8"/>
        <v>1.5463917525773196E-2</v>
      </c>
      <c r="Q23" s="87">
        <f>'Water Reading'!N23-'Water Reading'!N22</f>
        <v>1</v>
      </c>
      <c r="R23" s="94">
        <f t="shared" si="9"/>
        <v>5.1546391752577319E-3</v>
      </c>
      <c r="S23" s="86">
        <f>'Water Reading'!M23-'Water Reading'!M22</f>
        <v>9</v>
      </c>
      <c r="T23" s="94">
        <f t="shared" si="10"/>
        <v>4.6391752577319589E-2</v>
      </c>
      <c r="U23" s="86">
        <f>'Water Reading'!O23-'Water Reading'!O22</f>
        <v>3</v>
      </c>
      <c r="V23" s="94">
        <f t="shared" si="11"/>
        <v>1.5463917525773196E-2</v>
      </c>
      <c r="W23" s="86">
        <f>'Water Reading'!R23-'Water Reading'!R22</f>
        <v>9</v>
      </c>
      <c r="X23" s="94">
        <f t="shared" si="12"/>
        <v>4.6391752577319589E-2</v>
      </c>
      <c r="Y23" s="64">
        <f t="shared" si="0"/>
        <v>337</v>
      </c>
      <c r="Z23" s="65">
        <f t="shared" si="1"/>
        <v>0.87760416666666663</v>
      </c>
    </row>
    <row r="24" spans="1:26" x14ac:dyDescent="0.25">
      <c r="A24" s="8">
        <f>'Water Reading'!A23</f>
        <v>44551</v>
      </c>
      <c r="B24" s="63">
        <f>TOTAL!I22</f>
        <v>449</v>
      </c>
      <c r="C24" s="64">
        <f>('Water Reading'!B24-'Water Reading'!B23)+('Water Reading'!C24-'Water Reading'!C23)</f>
        <v>213</v>
      </c>
      <c r="D24" s="65">
        <f t="shared" si="2"/>
        <v>0.47438752783964366</v>
      </c>
      <c r="E24" s="84">
        <f>'Water Reading'!H24-'Water Reading'!H23</f>
        <v>45</v>
      </c>
      <c r="F24" s="85">
        <f t="shared" si="3"/>
        <v>0.21126760563380281</v>
      </c>
      <c r="G24" s="89">
        <f>('Water Reading'!D24-'Water Reading'!D23)-('Water Reading'!R24-'Water Reading'!R23)-('Water Reading'!Q24-'Water Reading'!Q23)</f>
        <v>287</v>
      </c>
      <c r="H24" s="85">
        <f t="shared" si="4"/>
        <v>1.3474178403755868</v>
      </c>
      <c r="I24" s="86">
        <f>'Water Reading'!P24-'Water Reading'!P23</f>
        <v>13</v>
      </c>
      <c r="J24" s="66">
        <f t="shared" si="5"/>
        <v>6.1032863849765258E-2</v>
      </c>
      <c r="K24" s="87">
        <f>('Water Reading'!I24-'Water Reading'!I23)-('Water Reading'!P24-'Water Reading'!P23)</f>
        <v>28</v>
      </c>
      <c r="L24" s="66">
        <f t="shared" si="6"/>
        <v>0.13145539906103287</v>
      </c>
      <c r="M24" s="86">
        <f>'Water Reading'!R24-'Water Reading'!R23</f>
        <v>7</v>
      </c>
      <c r="N24" s="88">
        <f t="shared" si="7"/>
        <v>3.2863849765258218E-2</v>
      </c>
      <c r="O24" s="86">
        <f>'Water Reading'!Q24-'Water Reading'!Q23</f>
        <v>1</v>
      </c>
      <c r="P24" s="93">
        <f t="shared" si="8"/>
        <v>4.6948356807511738E-3</v>
      </c>
      <c r="Q24" s="87">
        <f>'Water Reading'!N24-'Water Reading'!N23</f>
        <v>3</v>
      </c>
      <c r="R24" s="94">
        <f t="shared" si="9"/>
        <v>1.4084507042253521E-2</v>
      </c>
      <c r="S24" s="86">
        <f>'Water Reading'!M24-'Water Reading'!M23</f>
        <v>8</v>
      </c>
      <c r="T24" s="94">
        <f t="shared" si="10"/>
        <v>3.7558685446009391E-2</v>
      </c>
      <c r="U24" s="86">
        <f>'Water Reading'!O24-'Water Reading'!O23</f>
        <v>1</v>
      </c>
      <c r="V24" s="94">
        <f t="shared" si="11"/>
        <v>4.6948356807511738E-3</v>
      </c>
      <c r="W24" s="86">
        <f>'Water Reading'!R24-'Water Reading'!R23</f>
        <v>7</v>
      </c>
      <c r="X24" s="94">
        <f t="shared" si="12"/>
        <v>3.2863849765258218E-2</v>
      </c>
      <c r="Y24" s="64">
        <f t="shared" si="0"/>
        <v>400</v>
      </c>
      <c r="Z24" s="65">
        <f t="shared" si="1"/>
        <v>0.89086859688195996</v>
      </c>
    </row>
    <row r="25" spans="1:26" x14ac:dyDescent="0.25">
      <c r="A25" s="8">
        <f>'Water Reading'!A24</f>
        <v>44552</v>
      </c>
      <c r="B25" s="63">
        <f>TOTAL!I23</f>
        <v>443</v>
      </c>
      <c r="C25" s="64">
        <f>('Water Reading'!B25-'Water Reading'!B24)+('Water Reading'!C25-'Water Reading'!C24)</f>
        <v>189</v>
      </c>
      <c r="D25" s="65">
        <f t="shared" si="2"/>
        <v>0.42663656884875845</v>
      </c>
      <c r="E25" s="84">
        <f>'Water Reading'!H25-'Water Reading'!H24</f>
        <v>34</v>
      </c>
      <c r="F25" s="85">
        <f t="shared" si="3"/>
        <v>0.17989417989417988</v>
      </c>
      <c r="G25" s="89">
        <f>('Water Reading'!D25-'Water Reading'!D24)-('Water Reading'!R25-'Water Reading'!R24)-('Water Reading'!Q25-'Water Reading'!Q24)</f>
        <v>255</v>
      </c>
      <c r="H25" s="85">
        <f t="shared" si="4"/>
        <v>1.3492063492063493</v>
      </c>
      <c r="I25" s="86">
        <f>'Water Reading'!P25-'Water Reading'!P24</f>
        <v>5</v>
      </c>
      <c r="J25" s="66">
        <f t="shared" si="5"/>
        <v>2.6455026455026454E-2</v>
      </c>
      <c r="K25" s="87">
        <f>('Water Reading'!I25-'Water Reading'!I24)-('Water Reading'!P25-'Water Reading'!P24)</f>
        <v>24</v>
      </c>
      <c r="L25" s="66">
        <f t="shared" si="6"/>
        <v>0.12698412698412698</v>
      </c>
      <c r="M25" s="86">
        <f>'Water Reading'!R25-'Water Reading'!R24</f>
        <v>10</v>
      </c>
      <c r="N25" s="88">
        <f t="shared" si="7"/>
        <v>5.2910052910052907E-2</v>
      </c>
      <c r="O25" s="86">
        <f>'Water Reading'!Q25-'Water Reading'!Q24</f>
        <v>1</v>
      </c>
      <c r="P25" s="93">
        <f t="shared" si="8"/>
        <v>5.2910052910052907E-3</v>
      </c>
      <c r="Q25" s="87">
        <f>'Water Reading'!N25-'Water Reading'!N24</f>
        <v>4</v>
      </c>
      <c r="R25" s="94">
        <f t="shared" si="9"/>
        <v>2.1164021164021163E-2</v>
      </c>
      <c r="S25" s="86">
        <f>'Water Reading'!M25-'Water Reading'!M24</f>
        <v>9</v>
      </c>
      <c r="T25" s="94">
        <f t="shared" si="10"/>
        <v>4.7619047619047616E-2</v>
      </c>
      <c r="U25" s="86">
        <f>'Water Reading'!O25-'Water Reading'!O24</f>
        <v>2</v>
      </c>
      <c r="V25" s="94">
        <f t="shared" si="11"/>
        <v>1.0582010582010581E-2</v>
      </c>
      <c r="W25" s="86">
        <f>'Water Reading'!R25-'Water Reading'!R24</f>
        <v>10</v>
      </c>
      <c r="X25" s="94">
        <f t="shared" si="12"/>
        <v>5.2910052910052907E-2</v>
      </c>
      <c r="Y25" s="64">
        <f t="shared" si="0"/>
        <v>354</v>
      </c>
      <c r="Z25" s="65">
        <f t="shared" si="1"/>
        <v>0.79909706546275394</v>
      </c>
    </row>
    <row r="26" spans="1:26" x14ac:dyDescent="0.25">
      <c r="A26" s="8">
        <f>'Water Reading'!A25</f>
        <v>44553</v>
      </c>
      <c r="B26" s="63">
        <f>TOTAL!I24</f>
        <v>451</v>
      </c>
      <c r="C26" s="64">
        <f>('Water Reading'!B26-'Water Reading'!B25)+('Water Reading'!C26-'Water Reading'!C25)</f>
        <v>258</v>
      </c>
      <c r="D26" s="65">
        <f t="shared" si="2"/>
        <v>0.57206208425720617</v>
      </c>
      <c r="E26" s="84">
        <f>'Water Reading'!H26-'Water Reading'!H25</f>
        <v>21</v>
      </c>
      <c r="F26" s="85">
        <f t="shared" si="3"/>
        <v>8.1395348837209308E-2</v>
      </c>
      <c r="G26" s="89">
        <f>('Water Reading'!D26-'Water Reading'!D25)-('Water Reading'!R26-'Water Reading'!R25)-('Water Reading'!Q26-'Water Reading'!Q25)</f>
        <v>373</v>
      </c>
      <c r="H26" s="85">
        <f t="shared" si="4"/>
        <v>1.445736434108527</v>
      </c>
      <c r="I26" s="86">
        <f>'Water Reading'!P26-'Water Reading'!P25</f>
        <v>3</v>
      </c>
      <c r="J26" s="66">
        <f t="shared" si="5"/>
        <v>1.1627906976744186E-2</v>
      </c>
      <c r="K26" s="87">
        <f>('Water Reading'!I26-'Water Reading'!I25)-('Water Reading'!P26-'Water Reading'!P25)</f>
        <v>29</v>
      </c>
      <c r="L26" s="66">
        <f t="shared" si="6"/>
        <v>0.1124031007751938</v>
      </c>
      <c r="M26" s="86">
        <f>'Water Reading'!R26-'Water Reading'!R25</f>
        <v>7</v>
      </c>
      <c r="N26" s="88">
        <f t="shared" si="7"/>
        <v>2.7131782945736434E-2</v>
      </c>
      <c r="O26" s="86">
        <f>'Water Reading'!Q26-'Water Reading'!Q25</f>
        <v>5</v>
      </c>
      <c r="P26" s="93">
        <f t="shared" si="8"/>
        <v>1.937984496124031E-2</v>
      </c>
      <c r="Q26" s="87">
        <f>'Water Reading'!N26-'Water Reading'!N25</f>
        <v>4</v>
      </c>
      <c r="R26" s="94">
        <f t="shared" si="9"/>
        <v>1.5503875968992248E-2</v>
      </c>
      <c r="S26" s="86">
        <f>'Water Reading'!M26-'Water Reading'!M25</f>
        <v>9</v>
      </c>
      <c r="T26" s="94">
        <f t="shared" si="10"/>
        <v>3.4883720930232558E-2</v>
      </c>
      <c r="U26" s="86">
        <f>'Water Reading'!O26-'Water Reading'!O25</f>
        <v>2</v>
      </c>
      <c r="V26" s="94">
        <f t="shared" si="11"/>
        <v>7.7519379844961239E-3</v>
      </c>
      <c r="W26" s="86">
        <f>'Water Reading'!R26-'Water Reading'!R25</f>
        <v>7</v>
      </c>
      <c r="X26" s="94">
        <f t="shared" si="12"/>
        <v>2.7131782945736434E-2</v>
      </c>
      <c r="Y26" s="64">
        <f t="shared" si="0"/>
        <v>460</v>
      </c>
      <c r="Z26" s="65">
        <f t="shared" si="1"/>
        <v>1.0199556541019956</v>
      </c>
    </row>
    <row r="27" spans="1:26" x14ac:dyDescent="0.25">
      <c r="A27" s="8">
        <f>'Water Reading'!A26</f>
        <v>44554</v>
      </c>
      <c r="B27" s="63">
        <f>TOTAL!I25</f>
        <v>472</v>
      </c>
      <c r="C27" s="64">
        <f>('Water Reading'!B27-'Water Reading'!B26)+('Water Reading'!C27-'Water Reading'!C26)</f>
        <v>199</v>
      </c>
      <c r="D27" s="65">
        <f t="shared" si="2"/>
        <v>0.42161016949152541</v>
      </c>
      <c r="E27" s="84">
        <f>'Water Reading'!H27-'Water Reading'!H26</f>
        <v>18</v>
      </c>
      <c r="F27" s="85">
        <f t="shared" si="3"/>
        <v>9.0452261306532666E-2</v>
      </c>
      <c r="G27" s="89">
        <f>('Water Reading'!D27-'Water Reading'!D26)-('Water Reading'!R27-'Water Reading'!R26)-('Water Reading'!Q27-'Water Reading'!Q26)</f>
        <v>207</v>
      </c>
      <c r="H27" s="85">
        <f t="shared" si="4"/>
        <v>1.0402010050251256</v>
      </c>
      <c r="I27" s="86">
        <f>'Water Reading'!P27-'Water Reading'!P26</f>
        <v>0</v>
      </c>
      <c r="J27" s="66">
        <f t="shared" si="5"/>
        <v>0</v>
      </c>
      <c r="K27" s="87">
        <f>('Water Reading'!I27-'Water Reading'!I26)-('Water Reading'!P27-'Water Reading'!P26)</f>
        <v>36</v>
      </c>
      <c r="L27" s="66">
        <f t="shared" si="6"/>
        <v>0.18090452261306533</v>
      </c>
      <c r="M27" s="86">
        <f>'Water Reading'!R27-'Water Reading'!R26</f>
        <v>4</v>
      </c>
      <c r="N27" s="88">
        <f t="shared" si="7"/>
        <v>2.0100502512562814E-2</v>
      </c>
      <c r="O27" s="86">
        <f>'Water Reading'!Q27-'Water Reading'!Q26</f>
        <v>1</v>
      </c>
      <c r="P27" s="93">
        <f t="shared" si="8"/>
        <v>5.0251256281407036E-3</v>
      </c>
      <c r="Q27" s="87">
        <f>'Water Reading'!N27-'Water Reading'!N26</f>
        <v>4</v>
      </c>
      <c r="R27" s="94">
        <f t="shared" si="9"/>
        <v>2.0100502512562814E-2</v>
      </c>
      <c r="S27" s="86">
        <f>'Water Reading'!M27-'Water Reading'!M26</f>
        <v>9</v>
      </c>
      <c r="T27" s="94">
        <f t="shared" si="10"/>
        <v>4.5226130653266333E-2</v>
      </c>
      <c r="U27" s="86">
        <f>'Water Reading'!O27-'Water Reading'!O26</f>
        <v>2</v>
      </c>
      <c r="V27" s="94">
        <f t="shared" si="11"/>
        <v>1.0050251256281407E-2</v>
      </c>
      <c r="W27" s="86">
        <f>'Water Reading'!R27-'Water Reading'!R26</f>
        <v>4</v>
      </c>
      <c r="X27" s="94">
        <f t="shared" si="12"/>
        <v>2.0100502512562814E-2</v>
      </c>
      <c r="Y27" s="64">
        <f t="shared" si="0"/>
        <v>285</v>
      </c>
      <c r="Z27" s="65">
        <f t="shared" si="1"/>
        <v>0.60381355932203384</v>
      </c>
    </row>
    <row r="28" spans="1:26" x14ac:dyDescent="0.25">
      <c r="A28" s="8">
        <f>'Water Reading'!A27</f>
        <v>44555</v>
      </c>
      <c r="B28" s="63">
        <f>TOTAL!I26</f>
        <v>458</v>
      </c>
      <c r="C28" s="64">
        <f>('Water Reading'!B28-'Water Reading'!B27)+('Water Reading'!C28-'Water Reading'!C27)</f>
        <v>165</v>
      </c>
      <c r="D28" s="65">
        <f t="shared" si="2"/>
        <v>0.36026200873362446</v>
      </c>
      <c r="E28" s="84">
        <f>'Water Reading'!H28-'Water Reading'!H27</f>
        <v>5</v>
      </c>
      <c r="F28" s="85">
        <f t="shared" si="3"/>
        <v>3.0303030303030304E-2</v>
      </c>
      <c r="G28" s="89">
        <f>('Water Reading'!D28-'Water Reading'!D27)-('Water Reading'!R28-'Water Reading'!R27)-('Water Reading'!Q28-'Water Reading'!Q27)</f>
        <v>201</v>
      </c>
      <c r="H28" s="85">
        <f t="shared" si="4"/>
        <v>1.2181818181818183</v>
      </c>
      <c r="I28" s="86">
        <f>'Water Reading'!P28-'Water Reading'!P27</f>
        <v>21</v>
      </c>
      <c r="J28" s="66">
        <f t="shared" si="5"/>
        <v>0.12727272727272726</v>
      </c>
      <c r="K28" s="87">
        <f>('Water Reading'!I28-'Water Reading'!I27)-('Water Reading'!P28-'Water Reading'!P27)</f>
        <v>11</v>
      </c>
      <c r="L28" s="66">
        <f t="shared" si="6"/>
        <v>6.6666666666666666E-2</v>
      </c>
      <c r="M28" s="86">
        <f>'Water Reading'!R28-'Water Reading'!R27</f>
        <v>10</v>
      </c>
      <c r="N28" s="88">
        <f t="shared" si="7"/>
        <v>6.0606060606060608E-2</v>
      </c>
      <c r="O28" s="86">
        <f>'Water Reading'!Q28-'Water Reading'!Q27</f>
        <v>4</v>
      </c>
      <c r="P28" s="93">
        <f t="shared" si="8"/>
        <v>2.4242424242424242E-2</v>
      </c>
      <c r="Q28" s="87">
        <f>'Water Reading'!N28-'Water Reading'!N27</f>
        <v>3</v>
      </c>
      <c r="R28" s="94">
        <f t="shared" si="9"/>
        <v>1.8181818181818181E-2</v>
      </c>
      <c r="S28" s="86">
        <f>'Water Reading'!M28-'Water Reading'!M27</f>
        <v>10</v>
      </c>
      <c r="T28" s="94">
        <f t="shared" si="10"/>
        <v>6.0606060606060608E-2</v>
      </c>
      <c r="U28" s="86">
        <f>'Water Reading'!O28-'Water Reading'!O27</f>
        <v>2</v>
      </c>
      <c r="V28" s="94">
        <f t="shared" si="11"/>
        <v>1.2121212121212121E-2</v>
      </c>
      <c r="W28" s="86">
        <f>'Water Reading'!R28-'Water Reading'!R27</f>
        <v>10</v>
      </c>
      <c r="X28" s="94">
        <f t="shared" si="12"/>
        <v>6.0606060606060608E-2</v>
      </c>
      <c r="Y28" s="64">
        <f t="shared" si="0"/>
        <v>277</v>
      </c>
      <c r="Z28" s="65">
        <f t="shared" si="1"/>
        <v>0.60480349344978168</v>
      </c>
    </row>
    <row r="29" spans="1:26" x14ac:dyDescent="0.25">
      <c r="A29" s="8">
        <f>'Water Reading'!A28</f>
        <v>44556</v>
      </c>
      <c r="B29" s="63">
        <f>TOTAL!I27</f>
        <v>315</v>
      </c>
      <c r="C29" s="64">
        <f>('Water Reading'!B29-'Water Reading'!B28)+('Water Reading'!C29-'Water Reading'!C28)</f>
        <v>139</v>
      </c>
      <c r="D29" s="65">
        <f t="shared" si="2"/>
        <v>0.44126984126984126</v>
      </c>
      <c r="E29" s="84">
        <f>'Water Reading'!H29-'Water Reading'!H28</f>
        <v>16</v>
      </c>
      <c r="F29" s="85">
        <f t="shared" si="3"/>
        <v>0.11510791366906475</v>
      </c>
      <c r="G29" s="89">
        <f>('Water Reading'!D29-'Water Reading'!D28)-('Water Reading'!R29-'Water Reading'!R28)-('Water Reading'!Q29-'Water Reading'!Q28)</f>
        <v>197</v>
      </c>
      <c r="H29" s="85">
        <f t="shared" si="4"/>
        <v>1.4172661870503598</v>
      </c>
      <c r="I29" s="86">
        <f>'Water Reading'!P29-'Water Reading'!P28</f>
        <v>0</v>
      </c>
      <c r="J29" s="66">
        <f t="shared" si="5"/>
        <v>0</v>
      </c>
      <c r="K29" s="87">
        <f>('Water Reading'!I29-'Water Reading'!I28)-('Water Reading'!P29-'Water Reading'!P28)</f>
        <v>31</v>
      </c>
      <c r="L29" s="66">
        <f t="shared" si="6"/>
        <v>0.22302158273381295</v>
      </c>
      <c r="M29" s="86">
        <f>'Water Reading'!R29-'Water Reading'!R28</f>
        <v>12</v>
      </c>
      <c r="N29" s="88">
        <f t="shared" si="7"/>
        <v>8.6330935251798566E-2</v>
      </c>
      <c r="O29" s="86">
        <f>'Water Reading'!Q29-'Water Reading'!Q28</f>
        <v>2</v>
      </c>
      <c r="P29" s="93">
        <f t="shared" si="8"/>
        <v>1.4388489208633094E-2</v>
      </c>
      <c r="Q29" s="87">
        <f>'Water Reading'!N29-'Water Reading'!N28</f>
        <v>3</v>
      </c>
      <c r="R29" s="94">
        <f t="shared" si="9"/>
        <v>2.1582733812949641E-2</v>
      </c>
      <c r="S29" s="86">
        <f>'Water Reading'!M29-'Water Reading'!M28</f>
        <v>9</v>
      </c>
      <c r="T29" s="94">
        <f t="shared" si="10"/>
        <v>6.4748201438848921E-2</v>
      </c>
      <c r="U29" s="86">
        <f>'Water Reading'!O29-'Water Reading'!O28</f>
        <v>1</v>
      </c>
      <c r="V29" s="94">
        <f t="shared" si="11"/>
        <v>7.1942446043165471E-3</v>
      </c>
      <c r="W29" s="86">
        <f>'Water Reading'!R29-'Water Reading'!R28</f>
        <v>12</v>
      </c>
      <c r="X29" s="94">
        <f t="shared" si="12"/>
        <v>8.6330935251798566E-2</v>
      </c>
      <c r="Y29" s="64">
        <f t="shared" si="0"/>
        <v>283</v>
      </c>
      <c r="Z29" s="65">
        <f t="shared" si="1"/>
        <v>0.89841269841269844</v>
      </c>
    </row>
    <row r="30" spans="1:26" x14ac:dyDescent="0.25">
      <c r="A30" s="8">
        <f>'Water Reading'!A29</f>
        <v>44557</v>
      </c>
      <c r="B30" s="63">
        <f>TOTAL!I28</f>
        <v>402</v>
      </c>
      <c r="C30" s="64">
        <f>('Water Reading'!B30-'Water Reading'!B29)+('Water Reading'!C30-'Water Reading'!C29)</f>
        <v>192</v>
      </c>
      <c r="D30" s="65">
        <f t="shared" si="2"/>
        <v>0.47761194029850745</v>
      </c>
      <c r="E30" s="84">
        <f>'Water Reading'!H30-'Water Reading'!H29</f>
        <v>18</v>
      </c>
      <c r="F30" s="85">
        <f t="shared" si="3"/>
        <v>9.375E-2</v>
      </c>
      <c r="G30" s="89">
        <f>('Water Reading'!D30-'Water Reading'!D29)-('Water Reading'!R30-'Water Reading'!R29)-('Water Reading'!Q30-'Water Reading'!Q29)</f>
        <v>248</v>
      </c>
      <c r="H30" s="85">
        <f t="shared" si="4"/>
        <v>1.2916666666666667</v>
      </c>
      <c r="I30" s="86">
        <f>'Water Reading'!P30-'Water Reading'!P29</f>
        <v>19</v>
      </c>
      <c r="J30" s="66">
        <f t="shared" si="5"/>
        <v>9.8958333333333329E-2</v>
      </c>
      <c r="K30" s="87">
        <f>('Water Reading'!I30-'Water Reading'!I29)-('Water Reading'!P30-'Water Reading'!P29)</f>
        <v>23</v>
      </c>
      <c r="L30" s="66">
        <f t="shared" si="6"/>
        <v>0.11979166666666667</v>
      </c>
      <c r="M30" s="86">
        <f>'Water Reading'!R30-'Water Reading'!R29</f>
        <v>9</v>
      </c>
      <c r="N30" s="88">
        <f t="shared" si="7"/>
        <v>4.6875E-2</v>
      </c>
      <c r="O30" s="86">
        <f>'Water Reading'!Q30-'Water Reading'!Q29</f>
        <v>3</v>
      </c>
      <c r="P30" s="93">
        <f t="shared" si="8"/>
        <v>1.5625E-2</v>
      </c>
      <c r="Q30" s="87">
        <f>'Water Reading'!N30-'Water Reading'!N29</f>
        <v>4</v>
      </c>
      <c r="R30" s="94">
        <f t="shared" si="9"/>
        <v>2.0833333333333332E-2</v>
      </c>
      <c r="S30" s="86">
        <f>'Water Reading'!M30-'Water Reading'!M29</f>
        <v>10</v>
      </c>
      <c r="T30" s="94">
        <f t="shared" si="10"/>
        <v>5.2083333333333336E-2</v>
      </c>
      <c r="U30" s="86">
        <f>'Water Reading'!O30-'Water Reading'!O29</f>
        <v>2</v>
      </c>
      <c r="V30" s="94">
        <f t="shared" si="11"/>
        <v>1.0416666666666666E-2</v>
      </c>
      <c r="W30" s="86">
        <f>'Water Reading'!R30-'Water Reading'!R29</f>
        <v>9</v>
      </c>
      <c r="X30" s="94">
        <f t="shared" si="12"/>
        <v>4.6875E-2</v>
      </c>
      <c r="Y30" s="64">
        <f t="shared" si="0"/>
        <v>345</v>
      </c>
      <c r="Z30" s="65">
        <f t="shared" si="1"/>
        <v>0.85820895522388063</v>
      </c>
    </row>
    <row r="31" spans="1:26" x14ac:dyDescent="0.25">
      <c r="A31" s="8">
        <f>'Water Reading'!A30</f>
        <v>44558</v>
      </c>
      <c r="B31" s="63">
        <f>TOTAL!I29</f>
        <v>0</v>
      </c>
      <c r="C31" s="64">
        <f>('Water Reading'!B31-'Water Reading'!B30)+('Water Reading'!C31-'Water Reading'!C30)</f>
        <v>246</v>
      </c>
      <c r="D31" s="65" t="e">
        <f t="shared" si="2"/>
        <v>#DIV/0!</v>
      </c>
      <c r="E31" s="84">
        <f>'Water Reading'!H31-'Water Reading'!H30</f>
        <v>17</v>
      </c>
      <c r="F31" s="85">
        <f t="shared" si="3"/>
        <v>6.910569105691057E-2</v>
      </c>
      <c r="G31" s="89">
        <f>('Water Reading'!D31-'Water Reading'!D30)-('Water Reading'!R31-'Water Reading'!R30)-('Water Reading'!Q31-'Water Reading'!Q30)</f>
        <v>256</v>
      </c>
      <c r="H31" s="85">
        <f t="shared" si="4"/>
        <v>1.0406504065040652</v>
      </c>
      <c r="I31" s="86">
        <f>'Water Reading'!P31-'Water Reading'!P30</f>
        <v>16</v>
      </c>
      <c r="J31" s="66">
        <f t="shared" si="5"/>
        <v>6.5040650406504072E-2</v>
      </c>
      <c r="K31" s="87">
        <f>('Water Reading'!I31-'Water Reading'!I30)-('Water Reading'!P31-'Water Reading'!P30)</f>
        <v>26</v>
      </c>
      <c r="L31" s="66">
        <f t="shared" si="6"/>
        <v>0.10569105691056911</v>
      </c>
      <c r="M31" s="86">
        <f>'Water Reading'!R31-'Water Reading'!R30</f>
        <v>10</v>
      </c>
      <c r="N31" s="88">
        <f t="shared" si="7"/>
        <v>4.065040650406504E-2</v>
      </c>
      <c r="O31" s="86">
        <f>'Water Reading'!Q31-'Water Reading'!Q30</f>
        <v>2</v>
      </c>
      <c r="P31" s="93">
        <f t="shared" si="8"/>
        <v>8.130081300813009E-3</v>
      </c>
      <c r="Q31" s="87">
        <f>'Water Reading'!N31-'Water Reading'!N30</f>
        <v>2</v>
      </c>
      <c r="R31" s="94">
        <f t="shared" si="9"/>
        <v>8.130081300813009E-3</v>
      </c>
      <c r="S31" s="86">
        <f>'Water Reading'!M31-'Water Reading'!M30</f>
        <v>9</v>
      </c>
      <c r="T31" s="94">
        <f t="shared" si="10"/>
        <v>3.6585365853658534E-2</v>
      </c>
      <c r="U31" s="86">
        <f>'Water Reading'!O31-'Water Reading'!O30</f>
        <v>3</v>
      </c>
      <c r="V31" s="94">
        <f t="shared" si="11"/>
        <v>1.2195121951219513E-2</v>
      </c>
      <c r="W31" s="86">
        <f>'Water Reading'!R31-'Water Reading'!R30</f>
        <v>10</v>
      </c>
      <c r="X31" s="94">
        <f t="shared" si="12"/>
        <v>4.065040650406504E-2</v>
      </c>
      <c r="Y31" s="64">
        <f t="shared" si="0"/>
        <v>351</v>
      </c>
      <c r="Z31" s="65" t="e">
        <f t="shared" si="1"/>
        <v>#DIV/0!</v>
      </c>
    </row>
    <row r="32" spans="1:26" x14ac:dyDescent="0.25">
      <c r="A32" s="8">
        <f>'Water Reading'!A31</f>
        <v>44559</v>
      </c>
      <c r="B32" s="63">
        <f>TOTAL!I30</f>
        <v>0</v>
      </c>
      <c r="C32" s="64">
        <f>('Water Reading'!B32-'Water Reading'!B31)+('Water Reading'!C32-'Water Reading'!C31)</f>
        <v>196</v>
      </c>
      <c r="D32" s="65" t="e">
        <f t="shared" si="2"/>
        <v>#DIV/0!</v>
      </c>
      <c r="E32" s="84">
        <f>'Water Reading'!H32-'Water Reading'!H31</f>
        <v>19</v>
      </c>
      <c r="F32" s="85">
        <f t="shared" si="3"/>
        <v>9.6938775510204078E-2</v>
      </c>
      <c r="G32" s="89">
        <f>('Water Reading'!D32-'Water Reading'!D31)-('Water Reading'!R32-'Water Reading'!R31)-('Water Reading'!Q32-'Water Reading'!Q31)</f>
        <v>2155143</v>
      </c>
      <c r="H32" s="85">
        <f t="shared" si="4"/>
        <v>10995.627551020409</v>
      </c>
      <c r="I32" s="86">
        <f>'Water Reading'!P32-'Water Reading'!P31</f>
        <v>0</v>
      </c>
      <c r="J32" s="66">
        <f t="shared" si="5"/>
        <v>0</v>
      </c>
      <c r="K32" s="87">
        <f>('Water Reading'!I32-'Water Reading'!I31)-('Water Reading'!P32-'Water Reading'!P31)</f>
        <v>33</v>
      </c>
      <c r="L32" s="66">
        <f t="shared" si="6"/>
        <v>0.1683673469387755</v>
      </c>
      <c r="M32" s="86">
        <f>'Water Reading'!R32-'Water Reading'!R31</f>
        <v>14</v>
      </c>
      <c r="N32" s="88">
        <f t="shared" si="7"/>
        <v>7.1428571428571425E-2</v>
      </c>
      <c r="O32" s="86">
        <f>'Water Reading'!Q32-'Water Reading'!Q31</f>
        <v>4</v>
      </c>
      <c r="P32" s="93">
        <f t="shared" si="8"/>
        <v>2.0408163265306121E-2</v>
      </c>
      <c r="Q32" s="87">
        <f>'Water Reading'!N32-'Water Reading'!N31</f>
        <v>5</v>
      </c>
      <c r="R32" s="94">
        <f t="shared" si="9"/>
        <v>2.5510204081632654E-2</v>
      </c>
      <c r="S32" s="86">
        <f>'Water Reading'!M32-'Water Reading'!M31</f>
        <v>9</v>
      </c>
      <c r="T32" s="94">
        <f t="shared" si="10"/>
        <v>4.5918367346938778E-2</v>
      </c>
      <c r="U32" s="86">
        <f>'Water Reading'!O32-'Water Reading'!O31</f>
        <v>2</v>
      </c>
      <c r="V32" s="94">
        <f t="shared" si="11"/>
        <v>1.020408163265306E-2</v>
      </c>
      <c r="W32" s="86">
        <f>'Water Reading'!R32-'Water Reading'!R31</f>
        <v>14</v>
      </c>
      <c r="X32" s="94">
        <f t="shared" si="12"/>
        <v>7.1428571428571425E-2</v>
      </c>
      <c r="Y32" s="64">
        <f t="shared" si="0"/>
        <v>2155243</v>
      </c>
      <c r="Z32" s="65" t="e">
        <f t="shared" si="1"/>
        <v>#DIV/0!</v>
      </c>
    </row>
    <row r="33" spans="1:26" x14ac:dyDescent="0.25">
      <c r="A33" s="8">
        <f>'Water Reading'!A32</f>
        <v>44560</v>
      </c>
      <c r="B33" s="63">
        <f>TOTAL!I31</f>
        <v>0</v>
      </c>
      <c r="C33" s="64">
        <f>('Water Reading'!B33-'Water Reading'!B32)+('Water Reading'!C33-'Water Reading'!C32)</f>
        <v>243</v>
      </c>
      <c r="D33" s="65" t="e">
        <f t="shared" si="2"/>
        <v>#DIV/0!</v>
      </c>
      <c r="E33" s="84">
        <f>'Water Reading'!H33-'Water Reading'!H32</f>
        <v>20</v>
      </c>
      <c r="F33" s="85">
        <f t="shared" si="3"/>
        <v>8.2304526748971193E-2</v>
      </c>
      <c r="G33" s="89">
        <f>('Water Reading'!D33-'Water Reading'!D32)-('Water Reading'!R33-'Water Reading'!R32)-('Water Reading'!Q33-'Water Reading'!Q32)</f>
        <v>-2154730</v>
      </c>
      <c r="H33" s="85">
        <f t="shared" si="4"/>
        <v>-8867.2016460905343</v>
      </c>
      <c r="I33" s="86">
        <f>'Water Reading'!P33-'Water Reading'!P32</f>
        <v>0</v>
      </c>
      <c r="J33" s="66">
        <f t="shared" si="5"/>
        <v>0</v>
      </c>
      <c r="K33" s="87">
        <f>('Water Reading'!I33-'Water Reading'!I32)-('Water Reading'!P33-'Water Reading'!P32)</f>
        <v>27</v>
      </c>
      <c r="L33" s="66">
        <f t="shared" si="6"/>
        <v>0.1111111111111111</v>
      </c>
      <c r="M33" s="86">
        <f>'Water Reading'!R33-'Water Reading'!R32</f>
        <v>9</v>
      </c>
      <c r="N33" s="88">
        <f t="shared" si="7"/>
        <v>3.7037037037037035E-2</v>
      </c>
      <c r="O33" s="86">
        <f>'Water Reading'!Q33-'Water Reading'!Q32</f>
        <v>1</v>
      </c>
      <c r="P33" s="93">
        <f t="shared" si="8"/>
        <v>4.11522633744856E-3</v>
      </c>
      <c r="Q33" s="87">
        <f>'Water Reading'!N33-'Water Reading'!N32</f>
        <v>5</v>
      </c>
      <c r="R33" s="94">
        <f t="shared" si="9"/>
        <v>2.0576131687242798E-2</v>
      </c>
      <c r="S33" s="86">
        <f>'Water Reading'!M33-'Water Reading'!M32</f>
        <v>13</v>
      </c>
      <c r="T33" s="94">
        <f t="shared" si="10"/>
        <v>5.3497942386831275E-2</v>
      </c>
      <c r="U33" s="86">
        <f>'Water Reading'!O33-'Water Reading'!O32</f>
        <v>3</v>
      </c>
      <c r="V33" s="94">
        <f t="shared" si="11"/>
        <v>1.2345679012345678E-2</v>
      </c>
      <c r="W33" s="86">
        <f>'Water Reading'!R33-'Water Reading'!R32</f>
        <v>9</v>
      </c>
      <c r="X33" s="94">
        <f t="shared" si="12"/>
        <v>3.7037037037037035E-2</v>
      </c>
      <c r="Y33" s="64">
        <f t="shared" si="0"/>
        <v>-2154643</v>
      </c>
      <c r="Z33" s="65" t="e">
        <f t="shared" si="1"/>
        <v>#DIV/0!</v>
      </c>
    </row>
    <row r="34" spans="1:26" x14ac:dyDescent="0.25">
      <c r="A34" s="8">
        <f>'Water Reading'!A33</f>
        <v>44561</v>
      </c>
      <c r="B34" s="63">
        <f>TOTAL!I32</f>
        <v>0</v>
      </c>
      <c r="C34" s="64">
        <f>('Water Reading'!B34-'Water Reading'!B33)+('Water Reading'!C34-'Water Reading'!C33)</f>
        <v>-200253</v>
      </c>
      <c r="D34" s="65" t="e">
        <f t="shared" si="2"/>
        <v>#DIV/0!</v>
      </c>
      <c r="E34" s="84">
        <f>'Water Reading'!H34-'Water Reading'!H33</f>
        <v>-59566</v>
      </c>
      <c r="F34" s="85">
        <f t="shared" si="3"/>
        <v>0.29745372104288076</v>
      </c>
      <c r="G34" s="89">
        <f>('Water Reading'!D34-'Water Reading'!D33)-('Water Reading'!R34-'Water Reading'!R33)-('Water Reading'!Q34-'Water Reading'!Q33)</f>
        <v>-231171</v>
      </c>
      <c r="H34" s="85">
        <f t="shared" si="4"/>
        <v>1.1543946907162439</v>
      </c>
      <c r="I34" s="86">
        <f>'Water Reading'!P34-'Water Reading'!P33</f>
        <v>-28928</v>
      </c>
      <c r="J34" s="66">
        <f t="shared" si="5"/>
        <v>0.14445726156412139</v>
      </c>
      <c r="K34" s="87">
        <f>('Water Reading'!I34-'Water Reading'!I33)-('Water Reading'!P34-'Water Reading'!P33)</f>
        <v>-40556</v>
      </c>
      <c r="L34" s="66">
        <f t="shared" si="6"/>
        <v>0.20252380738365966</v>
      </c>
      <c r="M34" s="86">
        <f>'Water Reading'!R34-'Water Reading'!R33</f>
        <v>-7308</v>
      </c>
      <c r="N34" s="88">
        <f t="shared" si="7"/>
        <v>3.6493835298347592E-2</v>
      </c>
      <c r="O34" s="86">
        <f>'Water Reading'!Q34-'Water Reading'!Q33</f>
        <v>-1202</v>
      </c>
      <c r="P34" s="93">
        <f t="shared" si="8"/>
        <v>6.0024069552016696E-3</v>
      </c>
      <c r="Q34" s="87">
        <f>'Water Reading'!N34-'Water Reading'!N33</f>
        <v>-8176</v>
      </c>
      <c r="R34" s="94">
        <f t="shared" si="9"/>
        <v>4.0828352134549793E-2</v>
      </c>
      <c r="S34" s="86">
        <f>'Water Reading'!M34-'Water Reading'!M33</f>
        <v>-26464</v>
      </c>
      <c r="T34" s="94">
        <f t="shared" si="10"/>
        <v>0.13215282667425707</v>
      </c>
      <c r="U34" s="86">
        <f>'Water Reading'!O34-'Water Reading'!O33</f>
        <v>-1899</v>
      </c>
      <c r="V34" s="94">
        <f t="shared" si="11"/>
        <v>9.4830039999400755E-3</v>
      </c>
      <c r="W34" s="86">
        <f>'Water Reading'!R34-'Water Reading'!R33</f>
        <v>-7308</v>
      </c>
      <c r="X34" s="94">
        <f t="shared" si="12"/>
        <v>3.6493835298347592E-2</v>
      </c>
      <c r="Y34" s="64">
        <f t="shared" si="0"/>
        <v>-412578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11049</v>
      </c>
      <c r="C35" s="72">
        <f>SUM(C4:C34)</f>
        <v>-194548</v>
      </c>
      <c r="D35" s="91">
        <f>C35/B35</f>
        <v>-17.607747307448637</v>
      </c>
      <c r="E35" s="7">
        <f>SUM(E4:E34)</f>
        <v>-58917</v>
      </c>
      <c r="F35" s="90">
        <f>E35/C35</f>
        <v>0.30284043012521333</v>
      </c>
      <c r="G35" s="72">
        <f>SUM(G4:G34)</f>
        <v>-223914</v>
      </c>
      <c r="H35" s="90">
        <f>G35/C35</f>
        <v>1.1509447539938731</v>
      </c>
      <c r="I35" s="7">
        <f>SUM(I4:I34)</f>
        <v>-28709</v>
      </c>
      <c r="J35" s="90">
        <f>I35/C35</f>
        <v>0.14756769537594835</v>
      </c>
      <c r="K35" s="7">
        <f>SUM(K4:K34)</f>
        <v>-39838</v>
      </c>
      <c r="L35" s="90">
        <f>K35/C35</f>
        <v>0.20477208709418757</v>
      </c>
      <c r="M35" s="7">
        <f>SUM(M4:M34)</f>
        <v>-7085</v>
      </c>
      <c r="N35" s="90">
        <f>M35/C35</f>
        <v>3.6417747805168904E-2</v>
      </c>
      <c r="O35" s="7">
        <f>SUM(O4:O34)</f>
        <v>-1139</v>
      </c>
      <c r="P35" s="90">
        <f>O35/C35</f>
        <v>5.854596295001748E-3</v>
      </c>
      <c r="Q35" s="7">
        <f>SUM(Q4:Q34)</f>
        <v>-8105</v>
      </c>
      <c r="R35" s="90">
        <f>Q35/C35</f>
        <v>4.166066986039435E-2</v>
      </c>
      <c r="S35" s="72">
        <f>SUM(S4:S34)</f>
        <v>-26193</v>
      </c>
      <c r="T35" s="90">
        <f>S35/C35</f>
        <v>0.13463515430639225</v>
      </c>
      <c r="U35" s="7">
        <f>SUM(U4:U34)</f>
        <v>-1850</v>
      </c>
      <c r="V35" s="90">
        <f>U35/C35</f>
        <v>9.5092213746736029E-3</v>
      </c>
      <c r="W35" s="7">
        <f>SUM(W4:W34)</f>
        <v>-7085</v>
      </c>
      <c r="X35" s="90">
        <f>W35/C35</f>
        <v>3.6417747805168904E-2</v>
      </c>
      <c r="Y35" s="72">
        <f>SUM(Y4:Y34)</f>
        <v>-402835</v>
      </c>
      <c r="Z35" s="90">
        <f t="shared" si="1"/>
        <v>-36.458955561589285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2022-01-01T03:53:29Z</dcterms:modified>
  <cp:category/>
  <cp:contentStatus/>
</cp:coreProperties>
</file>