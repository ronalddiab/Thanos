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"/>
    </mc:Choice>
  </mc:AlternateContent>
  <xr:revisionPtr revIDLastSave="0" documentId="13_ncr:1_{616D4D7F-9D65-4A0A-8A69-01B033F1F4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9" i="1" l="1"/>
  <c r="N90" i="1"/>
  <c r="N91" i="1"/>
  <c r="N92" i="1"/>
  <c r="N93" i="1"/>
  <c r="N94" i="1"/>
  <c r="N95" i="1"/>
  <c r="N96" i="1"/>
  <c r="N97" i="1"/>
  <c r="N88" i="1"/>
  <c r="J97" i="1"/>
  <c r="J96" i="1"/>
  <c r="J95" i="1"/>
  <c r="J94" i="1"/>
  <c r="J93" i="1"/>
  <c r="J92" i="1"/>
  <c r="J91" i="1"/>
  <c r="J90" i="1"/>
  <c r="J89" i="1"/>
  <c r="J88" i="1"/>
  <c r="N87" i="1"/>
  <c r="J87" i="1"/>
  <c r="F87" i="1"/>
  <c r="F88" i="1"/>
  <c r="F89" i="1"/>
  <c r="F90" i="1"/>
  <c r="F91" i="1"/>
  <c r="F92" i="1"/>
  <c r="F93" i="1"/>
  <c r="F94" i="1"/>
  <c r="F95" i="1"/>
  <c r="F96" i="1"/>
  <c r="F97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B88" i="1"/>
  <c r="B89" i="1"/>
  <c r="B90" i="1"/>
  <c r="B91" i="1"/>
  <c r="B92" i="1"/>
  <c r="B93" i="1"/>
  <c r="B94" i="1"/>
  <c r="B95" i="1"/>
  <c r="B96" i="1"/>
  <c r="B97" i="1"/>
  <c r="B76" i="1"/>
  <c r="B77" i="1"/>
  <c r="B78" i="1"/>
  <c r="B79" i="1"/>
  <c r="B80" i="1"/>
  <c r="B81" i="1"/>
  <c r="B82" i="1"/>
  <c r="B83" i="1"/>
  <c r="B84" i="1"/>
  <c r="B85" i="1"/>
  <c r="B64" i="1"/>
  <c r="B65" i="1"/>
  <c r="B66" i="1"/>
  <c r="B67" i="1"/>
  <c r="B68" i="1"/>
  <c r="B69" i="1"/>
  <c r="B70" i="1"/>
  <c r="B71" i="1"/>
  <c r="B72" i="1"/>
  <c r="B73" i="1"/>
  <c r="N38" i="1"/>
  <c r="J38" i="1"/>
  <c r="F38" i="1"/>
  <c r="B40" i="1"/>
  <c r="B41" i="1"/>
  <c r="B42" i="1"/>
  <c r="B43" i="1"/>
  <c r="B44" i="1"/>
  <c r="B45" i="1"/>
  <c r="B46" i="1"/>
  <c r="B47" i="1"/>
  <c r="B48" i="1"/>
  <c r="B49" i="1"/>
</calcChain>
</file>

<file path=xl/sharedStrings.xml><?xml version="1.0" encoding="utf-8"?>
<sst xmlns="http://schemas.openxmlformats.org/spreadsheetml/2006/main" count="113" uniqueCount="18">
  <si>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</si>
  <si>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</si>
  <si>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</si>
  <si>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</si>
  <si>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</si>
  <si>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</si>
  <si>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</si>
  <si>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LPG Kitchen $/Kg</t>
  </si>
  <si>
    <t xml:space="preserve">LPG Total Budgeted </t>
  </si>
  <si>
    <t xml:space="preserve">LPG Total Budgeted Cost ($) </t>
  </si>
  <si>
    <t>Water Utility Supply (m3) m3</t>
  </si>
  <si>
    <t>Water Total Budgeted</t>
  </si>
  <si>
    <t>Water Total Budgeted Cost ($)</t>
  </si>
  <si>
    <t xml:space="preserve">Room Nights </t>
  </si>
  <si>
    <t>Forex</t>
  </si>
  <si>
    <t>Casablanca</t>
  </si>
  <si>
    <t>LPG Kitchen (Kg)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</si>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</sst>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206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">
    <xf numFmtId="0" fontId="0" fillId="0" borderId="0" xfId="0"/>
    <xf numFmtId="1" fontId="4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5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/>
    </xf>
    <xf numFmtId="1" fontId="5" fillId="0" borderId="0" xfId="1" applyNumberFormat="1" applyFont="1" applyAlignment="1" applyProtection="1">
      <alignment horizontal="center"/>
      <protection hidden="1"/>
    </xf>
    <xf numFmtId="1" fontId="6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1" applyFont="1" applyBorder="1" applyAlignment="1">
      <alignment horizontal="center"/>
    </xf>
    <xf numFmtId="1" fontId="4" fillId="0" borderId="2" xfId="1" applyNumberFormat="1" applyFont="1" applyBorder="1" applyAlignment="1">
      <alignment horizontal="center"/>
    </xf>
    <xf numFmtId="2" fontId="2" fillId="0" borderId="3" xfId="2" applyNumberFormat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/>
    </xf>
    <xf numFmtId="2" fontId="2" fillId="0" borderId="0" xfId="2" applyNumberFormat="1" applyFont="1" applyAlignment="1">
      <alignment horizontal="center"/>
    </xf>
    <xf numFmtId="1" fontId="10" fillId="0" borderId="4" xfId="0" applyNumberFormat="1" applyFont="1" applyBorder="1" applyAlignment="1" applyProtection="1">
      <alignment horizontal="center"/>
      <protection locked="0"/>
    </xf>
    <xf numFmtId="1" fontId="10" fillId="0" borderId="5" xfId="0" applyNumberFormat="1" applyFont="1" applyBorder="1" applyAlignment="1" applyProtection="1">
      <alignment horizontal="center"/>
      <protection locked="0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2" fillId="0" borderId="1" xfId="1" applyNumberFormat="1" applyFont="1" applyBorder="1" applyAlignment="1">
      <alignment horizontal="center" vertical="center" wrapText="1"/>
    </xf>
    <xf numFmtId="2" fontId="9" fillId="0" borderId="1" xfId="1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164" fontId="1" fillId="0" borderId="2" xfId="1" applyNumberFormat="1" applyBorder="1" applyAlignment="1">
      <alignment horizontal="center"/>
    </xf>
    <xf numFmtId="164" fontId="1" fillId="0" borderId="0" xfId="1" applyNumberFormat="1" applyAlignment="1">
      <alignment horizontal="center"/>
    </xf>
    <xf numFmtId="164" fontId="1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topLeftCell="A37" workbookViewId="0">
      <selection activeCell="V13" sqref="V13"/>
    </sheetView>
  </sheetViews>
  <sheetFormatPr baseColWidth="10" defaultColWidth="8.7109375" defaultRowHeight="15" x14ac:dyDescent="0.25"/>
  <cols>
    <col min="1" max="1" width="11.5703125" style="8" customWidth="1"/>
    <col min="2" max="2" width="6.5703125" style="8" bestFit="1" customWidth="1"/>
    <col min="3" max="3" width="6.85546875" style="8" customWidth="1"/>
    <col min="4" max="4" width="13.85546875" style="4" customWidth="1"/>
    <col min="5" max="5" width="15.28515625" style="26" customWidth="1"/>
    <col min="6" max="7" width="9.85546875" style="9" bestFit="1" customWidth="1"/>
    <col min="8" max="9" width="11.7109375" style="26" bestFit="1" customWidth="1"/>
    <col min="10" max="10" width="11.5703125" style="9" bestFit="1" customWidth="1"/>
    <col min="11" max="11" width="10.140625" style="9" customWidth="1"/>
    <col min="12" max="12" width="11.7109375" style="4" customWidth="1"/>
    <col min="13" max="13" width="11.5703125" style="26" customWidth="1"/>
    <col min="14" max="14" width="10.42578125" style="9" customWidth="1"/>
    <col min="15" max="15" width="11.28515625" style="9" customWidth="1"/>
    <col min="16" max="16" width="7.42578125" style="2" bestFit="1" customWidth="1"/>
    <col min="17" max="17" width="12" style="31" bestFit="1" customWidth="1"/>
    <col min="18" max="16384" width="8.7109375" style="4"/>
  </cols>
  <sheetData>
    <row r="1" spans="1:17" s="14" customFormat="1" ht="51" x14ac:dyDescent="0.25">
      <c r="A1" s="10" t="s">
        <v>0</v>
      </c>
      <c r="B1" s="10" t="s">
        <v>1</v>
      </c>
      <c r="C1" s="10" t="s">
        <v>2</v>
      </c>
      <c r="D1" s="11" t="s">
        <v>3</v>
      </c>
      <c r="E1" s="25" t="s">
        <v>4</v>
      </c>
      <c r="F1" s="12" t="s">
        <v>5</v>
      </c>
      <c r="G1" s="12" t="s">
        <v>6</v>
      </c>
      <c r="H1" s="24" t="s">
        <v>16</v>
      </c>
      <c r="I1" s="25" t="s">
        <v>7</v>
      </c>
      <c r="J1" s="12" t="s">
        <v>8</v>
      </c>
      <c r="K1" s="12" t="s">
        <v>9</v>
      </c>
      <c r="L1" s="11" t="s">
        <v>10</v>
      </c>
      <c r="M1" s="25" t="s">
        <v>17</v>
      </c>
      <c r="N1" s="12" t="s">
        <v>11</v>
      </c>
      <c r="O1" s="12" t="s">
        <v>12</v>
      </c>
      <c r="P1" s="13" t="s">
        <v>13</v>
      </c>
      <c r="Q1" s="27" t="s">
        <v>14</v>
      </c>
    </row>
    <row r="2" spans="1:17" x14ac:dyDescent="0.25">
      <c r="A2" s="15" t="s">
        <v>15</v>
      </c>
      <c r="B2" s="16">
        <v>1</v>
      </c>
      <c r="C2" s="16">
        <v>2016</v>
      </c>
      <c r="D2" s="17">
        <v>564170</v>
      </c>
      <c r="E2" s="17">
        <v>1.0178618147012426</v>
      </c>
      <c r="F2" s="18"/>
      <c r="G2" s="18"/>
      <c r="H2" s="17">
        <v>23598</v>
      </c>
      <c r="I2" s="17">
        <v>11.922000000000001</v>
      </c>
      <c r="J2" s="18"/>
      <c r="K2" s="18"/>
      <c r="L2" s="17">
        <v>4094</v>
      </c>
      <c r="M2" s="17">
        <v>8.5</v>
      </c>
      <c r="N2" s="18"/>
      <c r="O2" s="18"/>
      <c r="P2" s="20">
        <v>1528</v>
      </c>
      <c r="Q2" s="28">
        <v>0.1020408163265306</v>
      </c>
    </row>
    <row r="3" spans="1:17" x14ac:dyDescent="0.25">
      <c r="A3" s="5" t="s">
        <v>15</v>
      </c>
      <c r="B3" s="1">
        <v>2</v>
      </c>
      <c r="C3" s="1">
        <v>2016</v>
      </c>
      <c r="D3" s="17">
        <v>532072</v>
      </c>
      <c r="E3" s="17">
        <v>1.0327555293268582</v>
      </c>
      <c r="F3" s="3"/>
      <c r="G3" s="3"/>
      <c r="H3" s="17">
        <v>28302</v>
      </c>
      <c r="I3" s="17">
        <v>11.641999999999999</v>
      </c>
      <c r="J3" s="3"/>
      <c r="K3" s="3"/>
      <c r="L3" s="17">
        <v>3691</v>
      </c>
      <c r="M3" s="17">
        <v>8.5</v>
      </c>
      <c r="N3" s="3"/>
      <c r="O3" s="3"/>
      <c r="P3" s="21">
        <v>1542</v>
      </c>
      <c r="Q3" s="29">
        <v>0.1020408163265306</v>
      </c>
    </row>
    <row r="4" spans="1:17" x14ac:dyDescent="0.25">
      <c r="A4" s="5" t="s">
        <v>15</v>
      </c>
      <c r="B4" s="1">
        <v>3</v>
      </c>
      <c r="C4" s="1">
        <v>2016</v>
      </c>
      <c r="D4" s="17">
        <v>405239</v>
      </c>
      <c r="E4" s="17">
        <v>1.0784715439530745</v>
      </c>
      <c r="F4" s="3"/>
      <c r="G4" s="3"/>
      <c r="H4" s="17">
        <v>23000</v>
      </c>
      <c r="I4" s="17">
        <v>11.442</v>
      </c>
      <c r="J4" s="3"/>
      <c r="K4" s="3"/>
      <c r="L4" s="17">
        <v>3917</v>
      </c>
      <c r="M4" s="17">
        <v>8.5</v>
      </c>
      <c r="N4" s="3"/>
      <c r="O4" s="3"/>
      <c r="P4" s="21">
        <v>2106</v>
      </c>
      <c r="Q4" s="29">
        <v>0.1020408163265306</v>
      </c>
    </row>
    <row r="5" spans="1:17" x14ac:dyDescent="0.25">
      <c r="A5" s="5" t="s">
        <v>15</v>
      </c>
      <c r="B5" s="1">
        <v>4</v>
      </c>
      <c r="C5" s="1">
        <v>2016</v>
      </c>
      <c r="D5" s="17">
        <v>469130</v>
      </c>
      <c r="E5" s="17">
        <v>1.0623522051456953</v>
      </c>
      <c r="F5" s="3"/>
      <c r="G5" s="3"/>
      <c r="H5" s="17">
        <v>28601</v>
      </c>
      <c r="I5" s="17">
        <v>11.692</v>
      </c>
      <c r="J5" s="3"/>
      <c r="K5" s="3"/>
      <c r="L5" s="17">
        <v>4785</v>
      </c>
      <c r="M5" s="17">
        <v>8.5</v>
      </c>
      <c r="N5" s="3"/>
      <c r="O5" s="3"/>
      <c r="P5" s="21">
        <v>2482</v>
      </c>
      <c r="Q5" s="29">
        <v>0.1020408163265306</v>
      </c>
    </row>
    <row r="6" spans="1:17" x14ac:dyDescent="0.25">
      <c r="A6" s="5" t="s">
        <v>15</v>
      </c>
      <c r="B6" s="1">
        <v>5</v>
      </c>
      <c r="C6" s="1">
        <v>2016</v>
      </c>
      <c r="D6" s="17">
        <v>543877</v>
      </c>
      <c r="E6" s="17">
        <v>1.0438216545285055</v>
      </c>
      <c r="F6" s="3"/>
      <c r="G6" s="3"/>
      <c r="H6" s="17">
        <v>24612</v>
      </c>
      <c r="I6" s="17">
        <v>11.692</v>
      </c>
      <c r="J6" s="3"/>
      <c r="K6" s="3"/>
      <c r="L6" s="17">
        <v>5213</v>
      </c>
      <c r="M6" s="17">
        <v>8.5</v>
      </c>
      <c r="N6" s="3"/>
      <c r="O6" s="3"/>
      <c r="P6" s="21">
        <v>3473</v>
      </c>
      <c r="Q6" s="29">
        <v>0.1020408163265306</v>
      </c>
    </row>
    <row r="7" spans="1:17" x14ac:dyDescent="0.25">
      <c r="A7" s="5" t="s">
        <v>15</v>
      </c>
      <c r="B7" s="1">
        <v>6</v>
      </c>
      <c r="C7" s="1">
        <v>2016</v>
      </c>
      <c r="D7" s="17">
        <v>605744</v>
      </c>
      <c r="E7" s="17">
        <v>1.0345383731411288</v>
      </c>
      <c r="F7" s="3"/>
      <c r="G7" s="3"/>
      <c r="H7" s="17">
        <v>16695</v>
      </c>
      <c r="I7" s="17">
        <v>11.992000000000001</v>
      </c>
      <c r="J7" s="3"/>
      <c r="K7" s="3"/>
      <c r="L7" s="17">
        <v>4103</v>
      </c>
      <c r="M7" s="17">
        <v>8.5</v>
      </c>
      <c r="N7" s="3"/>
      <c r="O7" s="3"/>
      <c r="P7" s="21">
        <v>1757</v>
      </c>
      <c r="Q7" s="29">
        <v>0.1020408163265306</v>
      </c>
    </row>
    <row r="8" spans="1:17" x14ac:dyDescent="0.25">
      <c r="A8" s="5" t="s">
        <v>15</v>
      </c>
      <c r="B8" s="1">
        <v>7</v>
      </c>
      <c r="C8" s="1">
        <v>2016</v>
      </c>
      <c r="D8" s="17">
        <v>722083</v>
      </c>
      <c r="E8" s="17">
        <v>1.0151139688927728</v>
      </c>
      <c r="F8" s="3"/>
      <c r="G8" s="3"/>
      <c r="H8" s="17">
        <v>10756</v>
      </c>
      <c r="I8" s="17">
        <v>11.992000000000001</v>
      </c>
      <c r="J8" s="3"/>
      <c r="K8" s="3"/>
      <c r="L8" s="17">
        <v>5622</v>
      </c>
      <c r="M8" s="17">
        <v>8.5</v>
      </c>
      <c r="N8" s="3"/>
      <c r="O8" s="3"/>
      <c r="P8" s="21">
        <v>3748</v>
      </c>
      <c r="Q8" s="29">
        <v>0.1020408163265306</v>
      </c>
    </row>
    <row r="9" spans="1:17" x14ac:dyDescent="0.25">
      <c r="A9" s="5" t="s">
        <v>15</v>
      </c>
      <c r="B9" s="1">
        <v>8</v>
      </c>
      <c r="C9" s="1">
        <v>2016</v>
      </c>
      <c r="D9" s="17">
        <v>802210</v>
      </c>
      <c r="E9" s="17">
        <v>1.006444821181486</v>
      </c>
      <c r="F9" s="3"/>
      <c r="G9" s="3"/>
      <c r="H9" s="17">
        <v>14749</v>
      </c>
      <c r="I9" s="17">
        <v>11.843999999999999</v>
      </c>
      <c r="J9" s="3"/>
      <c r="K9" s="3"/>
      <c r="L9" s="17">
        <v>6568</v>
      </c>
      <c r="M9" s="17">
        <v>8.5</v>
      </c>
      <c r="N9" s="3"/>
      <c r="O9" s="3"/>
      <c r="P9" s="21">
        <v>3742</v>
      </c>
      <c r="Q9" s="29">
        <v>0.1020408163265306</v>
      </c>
    </row>
    <row r="10" spans="1:17" x14ac:dyDescent="0.25">
      <c r="A10" s="5" t="s">
        <v>15</v>
      </c>
      <c r="B10" s="1">
        <v>9</v>
      </c>
      <c r="C10" s="1">
        <v>2016</v>
      </c>
      <c r="D10" s="17">
        <v>762933</v>
      </c>
      <c r="E10" s="17">
        <v>1.002845190862107</v>
      </c>
      <c r="F10" s="3"/>
      <c r="G10" s="3"/>
      <c r="H10" s="17">
        <v>18297</v>
      </c>
      <c r="I10" s="17">
        <v>12.1172</v>
      </c>
      <c r="J10" s="3"/>
      <c r="K10" s="3"/>
      <c r="L10" s="17">
        <v>4813</v>
      </c>
      <c r="M10" s="17">
        <v>8.5</v>
      </c>
      <c r="N10" s="3"/>
      <c r="O10" s="3"/>
      <c r="P10" s="21">
        <v>3128</v>
      </c>
      <c r="Q10" s="29">
        <v>0.1020408163265306</v>
      </c>
    </row>
    <row r="11" spans="1:17" x14ac:dyDescent="0.25">
      <c r="A11" s="5" t="s">
        <v>15</v>
      </c>
      <c r="B11" s="1">
        <v>10</v>
      </c>
      <c r="C11" s="1">
        <v>2016</v>
      </c>
      <c r="D11" s="17">
        <v>670848</v>
      </c>
      <c r="E11" s="17">
        <v>1.0059038838902403</v>
      </c>
      <c r="F11" s="3"/>
      <c r="G11" s="3"/>
      <c r="H11" s="17">
        <v>20801</v>
      </c>
      <c r="I11" s="17">
        <v>12.3612</v>
      </c>
      <c r="J11" s="3"/>
      <c r="K11" s="3"/>
      <c r="L11" s="17">
        <v>6436</v>
      </c>
      <c r="M11" s="17">
        <v>8.5</v>
      </c>
      <c r="N11" s="3"/>
      <c r="O11" s="3"/>
      <c r="P11" s="21">
        <v>3262</v>
      </c>
      <c r="Q11" s="29">
        <v>0.1020408163265306</v>
      </c>
    </row>
    <row r="12" spans="1:17" x14ac:dyDescent="0.25">
      <c r="A12" s="5" t="s">
        <v>15</v>
      </c>
      <c r="B12" s="1">
        <v>11</v>
      </c>
      <c r="C12" s="1">
        <v>2016</v>
      </c>
      <c r="D12" s="17">
        <v>626451</v>
      </c>
      <c r="E12" s="17">
        <v>1.0152896874615891</v>
      </c>
      <c r="F12" s="3"/>
      <c r="G12" s="3"/>
      <c r="H12" s="17">
        <v>22927</v>
      </c>
      <c r="I12" s="17">
        <v>12.661199999999999</v>
      </c>
      <c r="J12" s="3"/>
      <c r="K12" s="3"/>
      <c r="L12" s="17">
        <v>5040</v>
      </c>
      <c r="M12" s="17">
        <v>8.5</v>
      </c>
      <c r="N12" s="3"/>
      <c r="O12" s="3"/>
      <c r="P12" s="21">
        <v>3070</v>
      </c>
      <c r="Q12" s="29">
        <v>0.1020408163265306</v>
      </c>
    </row>
    <row r="13" spans="1:17" x14ac:dyDescent="0.25">
      <c r="A13" s="5" t="s">
        <v>15</v>
      </c>
      <c r="B13" s="1">
        <v>12</v>
      </c>
      <c r="C13" s="1">
        <v>2016</v>
      </c>
      <c r="D13" s="17">
        <v>577392</v>
      </c>
      <c r="E13" s="17">
        <v>0.99758900365782699</v>
      </c>
      <c r="F13" s="3"/>
      <c r="G13" s="3"/>
      <c r="H13" s="17">
        <v>38265</v>
      </c>
      <c r="I13" s="17">
        <v>12.8512</v>
      </c>
      <c r="J13" s="3"/>
      <c r="K13" s="3"/>
      <c r="L13" s="17">
        <v>5587</v>
      </c>
      <c r="M13" s="17">
        <v>8.5</v>
      </c>
      <c r="N13" s="3"/>
      <c r="O13" s="3"/>
      <c r="P13" s="21">
        <v>2782</v>
      </c>
      <c r="Q13" s="29">
        <v>0.1</v>
      </c>
    </row>
    <row r="14" spans="1:17" x14ac:dyDescent="0.25">
      <c r="A14" s="5" t="s">
        <v>15</v>
      </c>
      <c r="B14" s="1">
        <v>1</v>
      </c>
      <c r="C14" s="1">
        <v>2017</v>
      </c>
      <c r="D14" s="17">
        <v>520977</v>
      </c>
      <c r="E14" s="17">
        <v>1.0922232267451346</v>
      </c>
      <c r="F14" s="3"/>
      <c r="G14" s="3"/>
      <c r="H14" s="17">
        <v>39843</v>
      </c>
      <c r="I14" s="17">
        <v>13.408200000000001</v>
      </c>
      <c r="J14" s="3"/>
      <c r="K14" s="3"/>
      <c r="L14" s="17">
        <v>4587</v>
      </c>
      <c r="M14" s="17">
        <v>8.5</v>
      </c>
      <c r="N14" s="3"/>
      <c r="O14" s="3"/>
      <c r="P14" s="21">
        <v>2253</v>
      </c>
      <c r="Q14" s="29">
        <v>0.1019367991845056</v>
      </c>
    </row>
    <row r="15" spans="1:17" x14ac:dyDescent="0.25">
      <c r="A15" s="5" t="s">
        <v>15</v>
      </c>
      <c r="B15" s="1">
        <v>2</v>
      </c>
      <c r="C15" s="1">
        <v>2017</v>
      </c>
      <c r="D15" s="17">
        <v>541271</v>
      </c>
      <c r="E15" s="17">
        <v>1.0890401665709044</v>
      </c>
      <c r="F15" s="3"/>
      <c r="G15" s="3"/>
      <c r="H15" s="17">
        <v>27644</v>
      </c>
      <c r="I15" s="17">
        <v>14.3916</v>
      </c>
      <c r="J15" s="3"/>
      <c r="K15" s="3"/>
      <c r="L15" s="17">
        <v>4896</v>
      </c>
      <c r="M15" s="17">
        <v>8.5</v>
      </c>
      <c r="N15" s="3"/>
      <c r="O15" s="3"/>
      <c r="P15" s="21">
        <v>2236</v>
      </c>
      <c r="Q15" s="29">
        <v>0.10080645161290323</v>
      </c>
    </row>
    <row r="16" spans="1:17" x14ac:dyDescent="0.25">
      <c r="A16" s="5" t="s">
        <v>15</v>
      </c>
      <c r="B16" s="1">
        <v>3</v>
      </c>
      <c r="C16" s="1">
        <v>2017</v>
      </c>
      <c r="D16" s="17">
        <v>508392</v>
      </c>
      <c r="E16" s="17">
        <v>1.1002316322837495</v>
      </c>
      <c r="F16" s="3"/>
      <c r="G16" s="3"/>
      <c r="H16" s="17">
        <v>31207</v>
      </c>
      <c r="I16" s="17">
        <v>14.8466</v>
      </c>
      <c r="J16" s="3"/>
      <c r="K16" s="3"/>
      <c r="L16" s="17">
        <v>6507</v>
      </c>
      <c r="M16" s="17">
        <v>8.5</v>
      </c>
      <c r="N16" s="3"/>
      <c r="O16" s="3"/>
      <c r="P16" s="21">
        <v>3820</v>
      </c>
      <c r="Q16" s="29">
        <v>9.9108027750247768E-2</v>
      </c>
    </row>
    <row r="17" spans="1:17" x14ac:dyDescent="0.25">
      <c r="A17" s="5" t="s">
        <v>15</v>
      </c>
      <c r="B17" s="1">
        <v>4</v>
      </c>
      <c r="C17" s="1">
        <v>2017</v>
      </c>
      <c r="D17" s="17">
        <v>659200</v>
      </c>
      <c r="E17" s="17">
        <v>1.071855006067961</v>
      </c>
      <c r="F17" s="3"/>
      <c r="G17" s="3"/>
      <c r="H17" s="17">
        <v>34231</v>
      </c>
      <c r="I17" s="17">
        <v>13.8466</v>
      </c>
      <c r="J17" s="3"/>
      <c r="K17" s="3"/>
      <c r="L17" s="17">
        <v>6290</v>
      </c>
      <c r="M17" s="17">
        <v>8.5</v>
      </c>
      <c r="N17" s="3"/>
      <c r="O17" s="3"/>
      <c r="P17" s="21">
        <v>4258</v>
      </c>
      <c r="Q17" s="29">
        <v>9.9601593625498017E-2</v>
      </c>
    </row>
    <row r="18" spans="1:17" x14ac:dyDescent="0.25">
      <c r="A18" s="5" t="s">
        <v>15</v>
      </c>
      <c r="B18" s="1">
        <v>5</v>
      </c>
      <c r="C18" s="1">
        <v>2017</v>
      </c>
      <c r="D18" s="17">
        <v>705703</v>
      </c>
      <c r="E18" s="17">
        <v>1.0628391405449602</v>
      </c>
      <c r="F18" s="3"/>
      <c r="G18" s="3"/>
      <c r="H18" s="17">
        <v>21150</v>
      </c>
      <c r="I18" s="17">
        <v>13.646599999999999</v>
      </c>
      <c r="J18" s="3"/>
      <c r="K18" s="3"/>
      <c r="L18" s="17">
        <v>5623</v>
      </c>
      <c r="M18" s="17">
        <v>8.5</v>
      </c>
      <c r="N18" s="3"/>
      <c r="O18" s="3"/>
      <c r="P18" s="21">
        <v>4399</v>
      </c>
      <c r="Q18" s="29">
        <v>9.9601593625498017E-2</v>
      </c>
    </row>
    <row r="19" spans="1:17" x14ac:dyDescent="0.25">
      <c r="A19" s="5" t="s">
        <v>15</v>
      </c>
      <c r="B19" s="1">
        <v>6</v>
      </c>
      <c r="C19" s="1">
        <v>2017</v>
      </c>
      <c r="D19" s="17">
        <v>784214</v>
      </c>
      <c r="E19" s="17">
        <v>1.0502962711708794</v>
      </c>
      <c r="F19" s="3"/>
      <c r="G19" s="3"/>
      <c r="H19" s="17">
        <v>19502</v>
      </c>
      <c r="I19" s="17">
        <v>13.441599999999999</v>
      </c>
      <c r="J19" s="3"/>
      <c r="K19" s="3"/>
      <c r="L19" s="17">
        <v>6294</v>
      </c>
      <c r="M19" s="17">
        <v>8.5</v>
      </c>
      <c r="N19" s="3"/>
      <c r="O19" s="3"/>
      <c r="P19" s="21">
        <v>2395</v>
      </c>
      <c r="Q19" s="29">
        <v>0.10256410256410256</v>
      </c>
    </row>
    <row r="20" spans="1:17" x14ac:dyDescent="0.25">
      <c r="A20" s="5" t="s">
        <v>15</v>
      </c>
      <c r="B20" s="1">
        <v>7</v>
      </c>
      <c r="C20" s="1">
        <v>2017</v>
      </c>
      <c r="D20" s="17">
        <v>823726</v>
      </c>
      <c r="E20" s="17">
        <v>1.0487846808283336</v>
      </c>
      <c r="F20" s="3"/>
      <c r="G20" s="3"/>
      <c r="H20" s="17">
        <v>22293</v>
      </c>
      <c r="I20" s="17">
        <v>13.051600000000001</v>
      </c>
      <c r="J20" s="3"/>
      <c r="K20" s="3"/>
      <c r="L20" s="17">
        <v>7050</v>
      </c>
      <c r="M20" s="17">
        <v>8.5</v>
      </c>
      <c r="N20" s="3"/>
      <c r="O20" s="3"/>
      <c r="P20" s="21">
        <v>4562</v>
      </c>
      <c r="Q20" s="29">
        <v>0.10384215991692626</v>
      </c>
    </row>
    <row r="21" spans="1:17" x14ac:dyDescent="0.25">
      <c r="A21" s="5" t="s">
        <v>15</v>
      </c>
      <c r="B21" s="1">
        <v>8</v>
      </c>
      <c r="C21" s="1">
        <v>2017</v>
      </c>
      <c r="D21" s="17">
        <v>913736</v>
      </c>
      <c r="E21" s="17">
        <v>1.0379056204417907</v>
      </c>
      <c r="F21" s="3"/>
      <c r="G21" s="3"/>
      <c r="H21" s="17">
        <v>21244</v>
      </c>
      <c r="I21" s="17">
        <v>13.051600000000001</v>
      </c>
      <c r="J21" s="3"/>
      <c r="K21" s="3"/>
      <c r="L21" s="17">
        <v>8050</v>
      </c>
      <c r="M21" s="17">
        <v>8.5</v>
      </c>
      <c r="N21" s="3"/>
      <c r="O21" s="3"/>
      <c r="P21" s="21">
        <v>4138</v>
      </c>
      <c r="Q21" s="29">
        <v>0.10570824524312895</v>
      </c>
    </row>
    <row r="22" spans="1:17" x14ac:dyDescent="0.25">
      <c r="A22" s="5" t="s">
        <v>15</v>
      </c>
      <c r="B22" s="1">
        <v>9</v>
      </c>
      <c r="C22" s="1">
        <v>2017</v>
      </c>
      <c r="D22" s="17">
        <v>831734</v>
      </c>
      <c r="E22" s="17">
        <v>1.0461114851623234</v>
      </c>
      <c r="F22" s="3"/>
      <c r="G22" s="3"/>
      <c r="H22" s="17">
        <v>20201</v>
      </c>
      <c r="I22" s="17">
        <v>13.3216</v>
      </c>
      <c r="J22" s="3"/>
      <c r="K22" s="3"/>
      <c r="L22" s="17">
        <v>6359</v>
      </c>
      <c r="M22" s="17">
        <v>8.5</v>
      </c>
      <c r="N22" s="3"/>
      <c r="O22" s="3"/>
      <c r="P22" s="21">
        <v>3756</v>
      </c>
      <c r="Q22" s="29">
        <v>0.10695187165775401</v>
      </c>
    </row>
    <row r="23" spans="1:17" x14ac:dyDescent="0.25">
      <c r="A23" s="5" t="s">
        <v>15</v>
      </c>
      <c r="B23" s="1">
        <v>10</v>
      </c>
      <c r="C23" s="1">
        <v>2017</v>
      </c>
      <c r="D23" s="17">
        <v>794243</v>
      </c>
      <c r="E23" s="17">
        <v>1.0428009186105511</v>
      </c>
      <c r="F23" s="3"/>
      <c r="G23" s="3"/>
      <c r="H23" s="17">
        <v>21000</v>
      </c>
      <c r="I23" s="17">
        <v>13.3216</v>
      </c>
      <c r="J23" s="3"/>
      <c r="K23" s="3"/>
      <c r="L23" s="17">
        <v>6392</v>
      </c>
      <c r="M23" s="17">
        <v>8.5</v>
      </c>
      <c r="N23" s="3"/>
      <c r="O23" s="3"/>
      <c r="P23" s="21">
        <v>4594</v>
      </c>
      <c r="Q23" s="29">
        <v>0.10604453870625663</v>
      </c>
    </row>
    <row r="24" spans="1:17" x14ac:dyDescent="0.25">
      <c r="A24" s="5" t="s">
        <v>15</v>
      </c>
      <c r="B24" s="1">
        <v>11</v>
      </c>
      <c r="C24" s="1">
        <v>2017</v>
      </c>
      <c r="D24" s="17">
        <v>688127</v>
      </c>
      <c r="E24" s="17">
        <v>1.0582731966628254</v>
      </c>
      <c r="F24" s="3"/>
      <c r="G24" s="3"/>
      <c r="H24" s="17">
        <v>30132</v>
      </c>
      <c r="I24" s="17">
        <v>12.810499999999999</v>
      </c>
      <c r="J24" s="3"/>
      <c r="K24" s="3"/>
      <c r="L24" s="17">
        <v>5591</v>
      </c>
      <c r="M24" s="17">
        <v>8.5</v>
      </c>
      <c r="N24" s="3"/>
      <c r="O24" s="3"/>
      <c r="P24" s="21">
        <v>3934</v>
      </c>
      <c r="Q24" s="29">
        <v>0.10559662090813093</v>
      </c>
    </row>
    <row r="25" spans="1:17" x14ac:dyDescent="0.25">
      <c r="A25" s="5" t="s">
        <v>15</v>
      </c>
      <c r="B25" s="1">
        <v>12</v>
      </c>
      <c r="C25" s="1">
        <v>2017</v>
      </c>
      <c r="D25" s="17">
        <v>577067</v>
      </c>
      <c r="E25" s="17">
        <v>1.0757753085863515</v>
      </c>
      <c r="F25" s="3"/>
      <c r="G25" s="3"/>
      <c r="H25" s="17">
        <v>28840</v>
      </c>
      <c r="I25" s="17">
        <v>13.0655</v>
      </c>
      <c r="J25" s="3"/>
      <c r="K25" s="3"/>
      <c r="L25" s="17">
        <v>5655</v>
      </c>
      <c r="M25" s="17">
        <v>8.5</v>
      </c>
      <c r="N25" s="3"/>
      <c r="O25" s="3"/>
      <c r="P25" s="21">
        <v>3226</v>
      </c>
      <c r="Q25" s="29">
        <v>0.10626992561105207</v>
      </c>
    </row>
    <row r="26" spans="1:17" ht="15" customHeight="1" x14ac:dyDescent="0.25">
      <c r="A26" s="5" t="s">
        <v>15</v>
      </c>
      <c r="B26" s="1">
        <v>1</v>
      </c>
      <c r="C26" s="1">
        <v>2018</v>
      </c>
      <c r="D26" s="17">
        <v>586355</v>
      </c>
      <c r="E26" s="17">
        <v>1.0727604267039592</v>
      </c>
      <c r="F26" s="3"/>
      <c r="G26" s="3"/>
      <c r="H26" s="17">
        <v>33209</v>
      </c>
      <c r="I26" s="17">
        <v>13.0655</v>
      </c>
      <c r="J26" s="3"/>
      <c r="K26" s="6"/>
      <c r="L26" s="17">
        <v>5066</v>
      </c>
      <c r="M26" s="17">
        <v>8.5</v>
      </c>
      <c r="N26" s="3"/>
      <c r="O26" s="6"/>
      <c r="P26" s="21">
        <v>4309</v>
      </c>
      <c r="Q26" s="29">
        <v>0.10769363315240803</v>
      </c>
    </row>
    <row r="27" spans="1:17" ht="15" customHeight="1" x14ac:dyDescent="0.25">
      <c r="A27" s="5" t="s">
        <v>15</v>
      </c>
      <c r="B27" s="1">
        <v>2</v>
      </c>
      <c r="C27" s="1">
        <v>2018</v>
      </c>
      <c r="D27" s="17">
        <v>563735</v>
      </c>
      <c r="E27" s="17">
        <v>1.0807064489520786</v>
      </c>
      <c r="F27" s="3"/>
      <c r="G27" s="3"/>
      <c r="H27" s="17">
        <v>27329</v>
      </c>
      <c r="I27" s="17">
        <v>13.365500000000001</v>
      </c>
      <c r="J27" s="3"/>
      <c r="K27" s="6"/>
      <c r="L27" s="17">
        <v>5736</v>
      </c>
      <c r="M27" s="17">
        <v>8.5</v>
      </c>
      <c r="N27" s="3"/>
      <c r="O27" s="6"/>
      <c r="P27" s="21">
        <v>3664</v>
      </c>
      <c r="Q27" s="29">
        <v>0.10902628623761189</v>
      </c>
    </row>
    <row r="28" spans="1:17" ht="15" customHeight="1" x14ac:dyDescent="0.25">
      <c r="A28" s="5" t="s">
        <v>15</v>
      </c>
      <c r="B28" s="1">
        <v>3</v>
      </c>
      <c r="C28" s="1">
        <v>2018</v>
      </c>
      <c r="D28" s="17">
        <v>512313</v>
      </c>
      <c r="E28" s="17">
        <v>1.101083790573341</v>
      </c>
      <c r="F28" s="3"/>
      <c r="G28" s="3"/>
      <c r="H28" s="17">
        <v>22491</v>
      </c>
      <c r="I28" s="17">
        <v>11.7</v>
      </c>
      <c r="J28" s="3"/>
      <c r="K28" s="6"/>
      <c r="L28" s="17">
        <v>5038</v>
      </c>
      <c r="M28" s="17">
        <v>8.5</v>
      </c>
      <c r="N28" s="3"/>
      <c r="O28" s="6"/>
      <c r="P28" s="21">
        <v>4223</v>
      </c>
      <c r="Q28" s="29">
        <v>0.10874766192526859</v>
      </c>
    </row>
    <row r="29" spans="1:17" ht="15" customHeight="1" x14ac:dyDescent="0.25">
      <c r="A29" s="5" t="s">
        <v>15</v>
      </c>
      <c r="B29" s="1">
        <v>4</v>
      </c>
      <c r="C29" s="1">
        <v>2018</v>
      </c>
      <c r="D29" s="17">
        <v>573440</v>
      </c>
      <c r="E29" s="17">
        <v>1.2432277832031251</v>
      </c>
      <c r="F29" s="3"/>
      <c r="G29" s="3"/>
      <c r="H29" s="17">
        <v>18206</v>
      </c>
      <c r="I29" s="17">
        <v>11.745900000000001</v>
      </c>
      <c r="J29" s="3"/>
      <c r="K29" s="6"/>
      <c r="L29" s="17">
        <v>6712</v>
      </c>
      <c r="M29" s="17">
        <v>8.5</v>
      </c>
      <c r="N29" s="3"/>
      <c r="O29" s="6"/>
      <c r="P29" s="21">
        <v>4880</v>
      </c>
      <c r="Q29" s="29">
        <v>0.11235955056179775</v>
      </c>
    </row>
    <row r="30" spans="1:17" ht="15" customHeight="1" x14ac:dyDescent="0.25">
      <c r="A30" s="5" t="s">
        <v>15</v>
      </c>
      <c r="B30" s="1">
        <v>5</v>
      </c>
      <c r="C30" s="1">
        <v>2018</v>
      </c>
      <c r="D30" s="17">
        <v>535115</v>
      </c>
      <c r="E30" s="17">
        <v>1.1050160245928446</v>
      </c>
      <c r="F30" s="3"/>
      <c r="G30" s="3"/>
      <c r="H30" s="17">
        <v>16649</v>
      </c>
      <c r="I30" s="17">
        <v>11.8909</v>
      </c>
      <c r="J30" s="3"/>
      <c r="K30" s="6"/>
      <c r="L30" s="17">
        <v>5401</v>
      </c>
      <c r="M30" s="17">
        <v>8.5</v>
      </c>
      <c r="N30" s="3"/>
      <c r="O30" s="6"/>
      <c r="P30" s="21">
        <v>3341</v>
      </c>
      <c r="Q30" s="29">
        <v>0.11061946902654868</v>
      </c>
    </row>
    <row r="31" spans="1:17" ht="15" customHeight="1" x14ac:dyDescent="0.25">
      <c r="A31" s="5" t="s">
        <v>15</v>
      </c>
      <c r="B31" s="1">
        <v>6</v>
      </c>
      <c r="C31" s="1">
        <v>2018</v>
      </c>
      <c r="D31" s="17">
        <v>570139</v>
      </c>
      <c r="E31" s="17">
        <v>1.1007458356646362</v>
      </c>
      <c r="F31" s="3"/>
      <c r="G31" s="3"/>
      <c r="H31" s="17">
        <v>17088</v>
      </c>
      <c r="I31" s="17">
        <v>8.4</v>
      </c>
      <c r="J31" s="3"/>
      <c r="K31" s="6"/>
      <c r="L31" s="17">
        <v>6121</v>
      </c>
      <c r="M31" s="17">
        <v>8.7899999999999991</v>
      </c>
      <c r="N31" s="3"/>
      <c r="O31" s="6"/>
      <c r="P31" s="21">
        <v>3147</v>
      </c>
      <c r="Q31" s="29">
        <v>0.11061946902654868</v>
      </c>
    </row>
    <row r="32" spans="1:17" ht="15" customHeight="1" x14ac:dyDescent="0.25">
      <c r="A32" s="5" t="s">
        <v>15</v>
      </c>
      <c r="B32" s="1">
        <v>7</v>
      </c>
      <c r="C32" s="1">
        <v>2018</v>
      </c>
      <c r="D32" s="17">
        <v>669302</v>
      </c>
      <c r="E32" s="17">
        <v>1.0814109325834975</v>
      </c>
      <c r="F32" s="3"/>
      <c r="G32" s="3"/>
      <c r="H32" s="17">
        <v>13336</v>
      </c>
      <c r="I32" s="17">
        <v>8.4</v>
      </c>
      <c r="J32" s="3"/>
      <c r="K32" s="6"/>
      <c r="L32" s="17">
        <v>6057</v>
      </c>
      <c r="M32" s="17">
        <v>8.7899999999999991</v>
      </c>
      <c r="N32" s="3"/>
      <c r="O32" s="6"/>
      <c r="P32" s="21">
        <v>4669</v>
      </c>
      <c r="Q32" s="29">
        <v>0.11061946902654868</v>
      </c>
    </row>
    <row r="33" spans="1:17" ht="15" customHeight="1" x14ac:dyDescent="0.25">
      <c r="A33" s="5" t="s">
        <v>15</v>
      </c>
      <c r="B33" s="1">
        <v>8</v>
      </c>
      <c r="C33" s="1">
        <v>2018</v>
      </c>
      <c r="D33" s="17">
        <v>704714</v>
      </c>
      <c r="E33" s="17">
        <v>1.0730711182124948</v>
      </c>
      <c r="F33" s="3"/>
      <c r="G33" s="3"/>
      <c r="H33" s="17">
        <v>15459</v>
      </c>
      <c r="I33" s="17">
        <v>8.4</v>
      </c>
      <c r="J33" s="3"/>
      <c r="K33" s="6"/>
      <c r="L33" s="17">
        <v>5727</v>
      </c>
      <c r="M33" s="17">
        <v>8.7899999999999991</v>
      </c>
      <c r="N33" s="3"/>
      <c r="O33" s="6"/>
      <c r="P33" s="21">
        <v>4255</v>
      </c>
      <c r="Q33" s="29">
        <v>0.11061946902654868</v>
      </c>
    </row>
    <row r="34" spans="1:17" ht="15" customHeight="1" x14ac:dyDescent="0.25">
      <c r="A34" s="5" t="s">
        <v>15</v>
      </c>
      <c r="B34" s="1">
        <v>9</v>
      </c>
      <c r="C34" s="1">
        <v>2018</v>
      </c>
      <c r="D34" s="17">
        <v>682711</v>
      </c>
      <c r="E34" s="17">
        <v>1.0754269961960479</v>
      </c>
      <c r="F34" s="3"/>
      <c r="G34" s="3"/>
      <c r="H34" s="17">
        <v>10655</v>
      </c>
      <c r="I34" s="17">
        <v>9.1999999999999993</v>
      </c>
      <c r="J34" s="3"/>
      <c r="K34" s="6"/>
      <c r="L34" s="17">
        <v>7033</v>
      </c>
      <c r="M34" s="17">
        <v>8.7899999999999991</v>
      </c>
      <c r="N34" s="3"/>
      <c r="O34" s="6"/>
      <c r="P34" s="21">
        <v>4442</v>
      </c>
      <c r="Q34" s="29">
        <v>0.11061946902654868</v>
      </c>
    </row>
    <row r="35" spans="1:17" ht="15" customHeight="1" x14ac:dyDescent="0.25">
      <c r="A35" s="5" t="s">
        <v>15</v>
      </c>
      <c r="B35" s="1">
        <v>10</v>
      </c>
      <c r="C35" s="1">
        <v>2018</v>
      </c>
      <c r="D35" s="17">
        <v>581245</v>
      </c>
      <c r="E35" s="17">
        <v>1.0920192345740607</v>
      </c>
      <c r="F35" s="3"/>
      <c r="G35" s="3"/>
      <c r="H35" s="17">
        <v>13952</v>
      </c>
      <c r="I35" s="17">
        <v>8.4</v>
      </c>
      <c r="J35" s="3"/>
      <c r="K35" s="6"/>
      <c r="L35" s="17">
        <v>5483</v>
      </c>
      <c r="M35" s="17">
        <v>8.7899999999999991</v>
      </c>
      <c r="N35" s="3"/>
      <c r="O35" s="6"/>
      <c r="P35" s="21">
        <v>4284</v>
      </c>
      <c r="Q35" s="29">
        <v>0.11061946902654868</v>
      </c>
    </row>
    <row r="36" spans="1:17" ht="15" customHeight="1" x14ac:dyDescent="0.25">
      <c r="A36" s="5" t="s">
        <v>15</v>
      </c>
      <c r="B36" s="1">
        <v>11</v>
      </c>
      <c r="C36" s="1">
        <v>2018</v>
      </c>
      <c r="D36" s="17">
        <v>438561</v>
      </c>
      <c r="E36" s="17">
        <v>1.1225656864153448</v>
      </c>
      <c r="F36" s="3"/>
      <c r="G36" s="3"/>
      <c r="H36" s="17">
        <v>24777</v>
      </c>
      <c r="I36" s="17">
        <v>8.4</v>
      </c>
      <c r="J36" s="3"/>
      <c r="K36" s="6"/>
      <c r="L36" s="17">
        <v>4913</v>
      </c>
      <c r="M36" s="17">
        <v>8.7899999999999991</v>
      </c>
      <c r="N36" s="3"/>
      <c r="O36" s="6"/>
      <c r="P36" s="21">
        <v>3745</v>
      </c>
      <c r="Q36" s="29">
        <v>0.11061946902654868</v>
      </c>
    </row>
    <row r="37" spans="1:17" ht="15" customHeight="1" x14ac:dyDescent="0.25">
      <c r="A37" s="5" t="s">
        <v>15</v>
      </c>
      <c r="B37" s="1">
        <v>12</v>
      </c>
      <c r="C37" s="1">
        <v>2018</v>
      </c>
      <c r="D37" s="17">
        <v>400672</v>
      </c>
      <c r="E37" s="17">
        <v>1.0744102158373932</v>
      </c>
      <c r="F37" s="3"/>
      <c r="G37" s="3"/>
      <c r="H37" s="17">
        <v>22448</v>
      </c>
      <c r="I37" s="17">
        <v>8.4</v>
      </c>
      <c r="J37" s="3"/>
      <c r="K37" s="6"/>
      <c r="L37" s="17">
        <v>5477</v>
      </c>
      <c r="M37" s="17">
        <v>8.7899999999999991</v>
      </c>
      <c r="N37" s="3"/>
      <c r="O37" s="6"/>
      <c r="P37" s="21">
        <v>3595</v>
      </c>
      <c r="Q37" s="29">
        <v>0.11061946902654868</v>
      </c>
    </row>
    <row r="38" spans="1:17" x14ac:dyDescent="0.25">
      <c r="A38" s="5" t="s">
        <v>15</v>
      </c>
      <c r="B38" s="1">
        <v>1</v>
      </c>
      <c r="C38" s="1">
        <v>2019</v>
      </c>
      <c r="D38" s="17">
        <v>388363</v>
      </c>
      <c r="E38" s="17">
        <v>1.0757139583327968</v>
      </c>
      <c r="F38" s="7">
        <f t="shared" ref="F38:F97" si="0">G38/E38</f>
        <v>448867.62467787397</v>
      </c>
      <c r="G38" s="7">
        <v>482853.16930967598</v>
      </c>
      <c r="H38" s="17">
        <v>26702</v>
      </c>
      <c r="I38" s="17">
        <v>8.6999999999999993</v>
      </c>
      <c r="J38" s="7">
        <f t="shared" ref="J38:J97" si="1">K38/I38</f>
        <v>35959.116379310348</v>
      </c>
      <c r="K38" s="7">
        <v>312844.3125</v>
      </c>
      <c r="L38" s="17">
        <v>6442</v>
      </c>
      <c r="M38" s="17">
        <v>8.7899999999999991</v>
      </c>
      <c r="N38" s="7">
        <f>O38/8.79</f>
        <v>7216.132992036406</v>
      </c>
      <c r="O38" s="7">
        <v>63429.809000000001</v>
      </c>
      <c r="P38" s="21">
        <v>3150</v>
      </c>
      <c r="Q38" s="29">
        <v>0.11061946902654868</v>
      </c>
    </row>
    <row r="39" spans="1:17" x14ac:dyDescent="0.25">
      <c r="A39" s="5" t="s">
        <v>15</v>
      </c>
      <c r="B39" s="1">
        <v>2</v>
      </c>
      <c r="C39" s="1">
        <v>2019</v>
      </c>
      <c r="D39" s="17">
        <v>407737</v>
      </c>
      <c r="E39" s="17">
        <v>1.0793196104351579</v>
      </c>
      <c r="F39" s="7">
        <f t="shared" si="0"/>
        <v>457881.85909764492</v>
      </c>
      <c r="G39" s="7">
        <v>494200.86978659598</v>
      </c>
      <c r="H39" s="17">
        <v>26603</v>
      </c>
      <c r="I39" s="17">
        <v>8.9</v>
      </c>
      <c r="J39" s="7">
        <f t="shared" si="1"/>
        <v>30089.555056179772</v>
      </c>
      <c r="K39" s="7">
        <v>267797.03999999998</v>
      </c>
      <c r="L39" s="17">
        <v>6442</v>
      </c>
      <c r="M39" s="17">
        <v>8.7899999999999991</v>
      </c>
      <c r="N39" s="7">
        <f t="shared" ref="N39:N85" si="2">O39/8.79</f>
        <v>6999.9782707622307</v>
      </c>
      <c r="O39" s="7">
        <v>61529.809000000001</v>
      </c>
      <c r="P39" s="21">
        <v>3621</v>
      </c>
      <c r="Q39" s="29">
        <v>0.11061946902654868</v>
      </c>
    </row>
    <row r="40" spans="1:17" x14ac:dyDescent="0.25">
      <c r="A40" s="5" t="s">
        <v>15</v>
      </c>
      <c r="B40" s="22">
        <f>B39+1</f>
        <v>3</v>
      </c>
      <c r="C40" s="1">
        <v>2019</v>
      </c>
      <c r="D40" s="17">
        <v>434805</v>
      </c>
      <c r="E40" s="17">
        <v>1.05</v>
      </c>
      <c r="F40" s="7">
        <f t="shared" si="0"/>
        <v>506956.82662537706</v>
      </c>
      <c r="G40" s="7">
        <v>532304.66795664595</v>
      </c>
      <c r="H40" s="17">
        <v>17278.53</v>
      </c>
      <c r="I40" s="17">
        <v>9.0500000000000007</v>
      </c>
      <c r="J40" s="7">
        <f t="shared" si="1"/>
        <v>22486.833149171267</v>
      </c>
      <c r="K40" s="7">
        <v>203505.84</v>
      </c>
      <c r="L40" s="17">
        <v>5516</v>
      </c>
      <c r="M40" s="17">
        <v>8.7899999999999991</v>
      </c>
      <c r="N40" s="7">
        <f t="shared" si="2"/>
        <v>7752.4238907849831</v>
      </c>
      <c r="O40" s="7">
        <v>68143.805999999997</v>
      </c>
      <c r="P40" s="21">
        <v>4547</v>
      </c>
      <c r="Q40" s="30">
        <v>0.11</v>
      </c>
    </row>
    <row r="41" spans="1:17" x14ac:dyDescent="0.25">
      <c r="A41" s="5" t="s">
        <v>15</v>
      </c>
      <c r="B41" s="22">
        <f t="shared" ref="B41:B49" si="3">B40+1</f>
        <v>4</v>
      </c>
      <c r="C41" s="1">
        <v>2019</v>
      </c>
      <c r="D41" s="17">
        <v>443817</v>
      </c>
      <c r="E41" s="17">
        <v>1.05</v>
      </c>
      <c r="F41" s="7">
        <f t="shared" si="0"/>
        <v>531909.05316426279</v>
      </c>
      <c r="G41" s="7">
        <v>558504.505822476</v>
      </c>
      <c r="H41" s="17">
        <v>15807</v>
      </c>
      <c r="I41" s="17">
        <v>8.75</v>
      </c>
      <c r="J41" s="7">
        <f t="shared" si="1"/>
        <v>23741.613428571429</v>
      </c>
      <c r="K41" s="7">
        <v>207739.11749999999</v>
      </c>
      <c r="L41" s="17">
        <v>5358.2</v>
      </c>
      <c r="M41" s="17">
        <v>8.7899999999999991</v>
      </c>
      <c r="N41" s="7">
        <f t="shared" si="2"/>
        <v>6524.8031854379979</v>
      </c>
      <c r="O41" s="7">
        <v>57353.02</v>
      </c>
      <c r="P41" s="21">
        <v>4965</v>
      </c>
      <c r="Q41" s="30">
        <v>0.11</v>
      </c>
    </row>
    <row r="42" spans="1:17" x14ac:dyDescent="0.25">
      <c r="A42" s="5" t="s">
        <v>15</v>
      </c>
      <c r="B42" s="22">
        <f t="shared" si="3"/>
        <v>5</v>
      </c>
      <c r="C42" s="1">
        <v>2019</v>
      </c>
      <c r="D42" s="17">
        <v>477986</v>
      </c>
      <c r="E42" s="17">
        <v>1.05</v>
      </c>
      <c r="F42" s="7">
        <f t="shared" si="0"/>
        <v>414087.92402948189</v>
      </c>
      <c r="G42" s="7">
        <v>434792.32023095601</v>
      </c>
      <c r="H42" s="17">
        <v>10559.7</v>
      </c>
      <c r="I42" s="17">
        <v>8.85</v>
      </c>
      <c r="J42" s="7">
        <f t="shared" si="1"/>
        <v>21186.440677966104</v>
      </c>
      <c r="K42" s="7">
        <v>187500</v>
      </c>
      <c r="L42" s="17">
        <v>4531</v>
      </c>
      <c r="M42" s="17">
        <v>8.7899999999999991</v>
      </c>
      <c r="N42" s="7">
        <f t="shared" si="2"/>
        <v>7097.1949374288979</v>
      </c>
      <c r="O42" s="7">
        <v>62384.343500000003</v>
      </c>
      <c r="P42" s="21">
        <v>2858</v>
      </c>
      <c r="Q42" s="30">
        <v>0.11</v>
      </c>
    </row>
    <row r="43" spans="1:17" x14ac:dyDescent="0.25">
      <c r="A43" s="5" t="s">
        <v>15</v>
      </c>
      <c r="B43" s="22">
        <f t="shared" si="3"/>
        <v>6</v>
      </c>
      <c r="C43" s="1">
        <v>2019</v>
      </c>
      <c r="D43" s="17">
        <v>527003</v>
      </c>
      <c r="E43" s="17">
        <v>1.05</v>
      </c>
      <c r="F43" s="7">
        <f t="shared" si="0"/>
        <v>493129.7966324914</v>
      </c>
      <c r="G43" s="7">
        <v>517786.28646411601</v>
      </c>
      <c r="H43" s="17">
        <v>11680.32</v>
      </c>
      <c r="I43" s="17">
        <v>8</v>
      </c>
      <c r="J43" s="7">
        <f t="shared" si="1"/>
        <v>18281.25</v>
      </c>
      <c r="K43" s="7">
        <v>146250</v>
      </c>
      <c r="L43" s="17">
        <v>5093</v>
      </c>
      <c r="M43" s="17">
        <v>11.4</v>
      </c>
      <c r="N43" s="7">
        <f t="shared" si="2"/>
        <v>6916.9510807736069</v>
      </c>
      <c r="O43" s="7">
        <v>60800</v>
      </c>
      <c r="P43" s="21">
        <v>4416</v>
      </c>
      <c r="Q43" s="30">
        <v>0.11</v>
      </c>
    </row>
    <row r="44" spans="1:17" x14ac:dyDescent="0.25">
      <c r="A44" s="5" t="s">
        <v>15</v>
      </c>
      <c r="B44" s="22">
        <f t="shared" si="3"/>
        <v>7</v>
      </c>
      <c r="C44" s="1">
        <v>2019</v>
      </c>
      <c r="D44" s="17">
        <v>564136</v>
      </c>
      <c r="E44" s="17">
        <v>1.05</v>
      </c>
      <c r="F44" s="7">
        <f t="shared" si="0"/>
        <v>531008.44201530097</v>
      </c>
      <c r="G44" s="7">
        <v>557558.86411606602</v>
      </c>
      <c r="H44" s="17">
        <v>11040.27</v>
      </c>
      <c r="I44" s="17">
        <v>7.8</v>
      </c>
      <c r="J44" s="7">
        <f t="shared" si="1"/>
        <v>15224.358974358975</v>
      </c>
      <c r="K44" s="7">
        <v>118750</v>
      </c>
      <c r="L44" s="17">
        <v>5649</v>
      </c>
      <c r="M44" s="17">
        <v>11.4</v>
      </c>
      <c r="N44" s="7">
        <f t="shared" si="2"/>
        <v>8351.1376564277598</v>
      </c>
      <c r="O44" s="7">
        <v>73406.5</v>
      </c>
      <c r="P44" s="21">
        <v>4649</v>
      </c>
      <c r="Q44" s="30">
        <v>0.11</v>
      </c>
    </row>
    <row r="45" spans="1:17" x14ac:dyDescent="0.25">
      <c r="A45" s="5" t="s">
        <v>15</v>
      </c>
      <c r="B45" s="22">
        <f t="shared" si="3"/>
        <v>8</v>
      </c>
      <c r="C45" s="1">
        <v>2019</v>
      </c>
      <c r="D45" s="17">
        <v>581780</v>
      </c>
      <c r="E45" s="17">
        <v>1.05</v>
      </c>
      <c r="F45" s="7">
        <f t="shared" si="0"/>
        <v>507062.78087819612</v>
      </c>
      <c r="G45" s="7">
        <v>532415.91992210597</v>
      </c>
      <c r="H45" s="17">
        <v>8384.76</v>
      </c>
      <c r="I45" s="17">
        <v>7.3300999999999998</v>
      </c>
      <c r="J45" s="7">
        <f t="shared" si="1"/>
        <v>16029.794955048363</v>
      </c>
      <c r="K45" s="7">
        <v>117500</v>
      </c>
      <c r="L45" s="17">
        <v>5617</v>
      </c>
      <c r="M45" s="17">
        <v>11.4</v>
      </c>
      <c r="N45" s="7">
        <f t="shared" si="2"/>
        <v>7429.1296928327656</v>
      </c>
      <c r="O45" s="7">
        <v>65302.05</v>
      </c>
      <c r="P45" s="21">
        <v>4521</v>
      </c>
      <c r="Q45" s="30">
        <v>0.11</v>
      </c>
    </row>
    <row r="46" spans="1:17" x14ac:dyDescent="0.25">
      <c r="A46" s="5" t="s">
        <v>15</v>
      </c>
      <c r="B46" s="22">
        <f t="shared" si="3"/>
        <v>9</v>
      </c>
      <c r="C46" s="1">
        <v>2019</v>
      </c>
      <c r="D46" s="17">
        <v>589955</v>
      </c>
      <c r="E46" s="17">
        <v>1.05</v>
      </c>
      <c r="F46" s="7">
        <f t="shared" si="0"/>
        <v>506533.00961410091</v>
      </c>
      <c r="G46" s="7">
        <v>531859.66009480599</v>
      </c>
      <c r="H46" s="17">
        <v>8544.2099999999991</v>
      </c>
      <c r="I46" s="17">
        <v>7.3300999999999998</v>
      </c>
      <c r="J46" s="7">
        <f t="shared" si="1"/>
        <v>19581.861093300227</v>
      </c>
      <c r="K46" s="7">
        <v>143537</v>
      </c>
      <c r="L46" s="17">
        <v>5377</v>
      </c>
      <c r="M46" s="17">
        <v>11.4</v>
      </c>
      <c r="N46" s="7">
        <f t="shared" si="2"/>
        <v>8159.876298065984</v>
      </c>
      <c r="O46" s="7">
        <v>71725.312659999996</v>
      </c>
      <c r="P46" s="21">
        <v>4631</v>
      </c>
      <c r="Q46" s="30">
        <v>0.11</v>
      </c>
    </row>
    <row r="47" spans="1:17" x14ac:dyDescent="0.25">
      <c r="A47" s="5" t="s">
        <v>15</v>
      </c>
      <c r="B47" s="22">
        <f t="shared" si="3"/>
        <v>10</v>
      </c>
      <c r="C47" s="1">
        <v>2019</v>
      </c>
      <c r="D47" s="17">
        <v>557452</v>
      </c>
      <c r="E47" s="17">
        <v>1.05</v>
      </c>
      <c r="F47" s="7">
        <f t="shared" si="0"/>
        <v>508387.20903843426</v>
      </c>
      <c r="G47" s="7">
        <v>533806.56949035602</v>
      </c>
      <c r="H47" s="17">
        <v>15680.58</v>
      </c>
      <c r="I47" s="17">
        <v>7.6250999999999998</v>
      </c>
      <c r="J47" s="7">
        <f t="shared" si="1"/>
        <v>26706.713538183107</v>
      </c>
      <c r="K47" s="7">
        <v>203641.36139999999</v>
      </c>
      <c r="L47" s="17">
        <v>6000.6</v>
      </c>
      <c r="M47" s="17">
        <v>11.4</v>
      </c>
      <c r="N47" s="7">
        <f t="shared" si="2"/>
        <v>8472.8853788395918</v>
      </c>
      <c r="O47" s="7">
        <v>74476.662479999999</v>
      </c>
      <c r="P47" s="21">
        <v>5150</v>
      </c>
      <c r="Q47" s="30">
        <v>0.11</v>
      </c>
    </row>
    <row r="48" spans="1:17" x14ac:dyDescent="0.25">
      <c r="A48" s="5" t="s">
        <v>15</v>
      </c>
      <c r="B48" s="22">
        <f t="shared" si="3"/>
        <v>11</v>
      </c>
      <c r="C48" s="1">
        <v>2019</v>
      </c>
      <c r="D48" s="17">
        <v>486241</v>
      </c>
      <c r="E48" s="17">
        <v>1.05</v>
      </c>
      <c r="F48" s="7">
        <f t="shared" si="0"/>
        <v>488308.87812922476</v>
      </c>
      <c r="G48" s="7">
        <v>512724.322035686</v>
      </c>
      <c r="H48" s="17">
        <v>16704.43</v>
      </c>
      <c r="I48" s="17">
        <v>7.9671000000000003</v>
      </c>
      <c r="J48" s="7">
        <f t="shared" si="1"/>
        <v>32681.993548468075</v>
      </c>
      <c r="K48" s="7">
        <v>260380.7108</v>
      </c>
      <c r="L48" s="17">
        <v>5562.4</v>
      </c>
      <c r="M48" s="17">
        <v>11.4</v>
      </c>
      <c r="N48" s="7">
        <f t="shared" si="2"/>
        <v>7997.0392036405019</v>
      </c>
      <c r="O48" s="7">
        <v>70293.974600000001</v>
      </c>
      <c r="P48" s="21">
        <v>4120</v>
      </c>
      <c r="Q48" s="30">
        <v>0.11</v>
      </c>
    </row>
    <row r="49" spans="1:17" x14ac:dyDescent="0.25">
      <c r="A49" s="5" t="s">
        <v>15</v>
      </c>
      <c r="B49" s="22">
        <f t="shared" si="3"/>
        <v>12</v>
      </c>
      <c r="C49" s="1">
        <v>2019</v>
      </c>
      <c r="D49" s="17">
        <v>456215</v>
      </c>
      <c r="E49" s="17">
        <v>1.05</v>
      </c>
      <c r="F49" s="7">
        <f t="shared" si="0"/>
        <v>500705.52570905333</v>
      </c>
      <c r="G49" s="7">
        <v>525740.80199450604</v>
      </c>
      <c r="H49" s="17">
        <v>1950.85</v>
      </c>
      <c r="I49" s="17">
        <v>8.2990999999999993</v>
      </c>
      <c r="J49" s="7">
        <f t="shared" si="1"/>
        <v>34145.188177031247</v>
      </c>
      <c r="K49" s="7">
        <v>283374.33120000002</v>
      </c>
      <c r="L49" s="17">
        <v>5529.8</v>
      </c>
      <c r="M49" s="17">
        <v>11.4</v>
      </c>
      <c r="N49" s="7">
        <f t="shared" si="2"/>
        <v>7352.455657565416</v>
      </c>
      <c r="O49" s="7">
        <v>64628.085229999997</v>
      </c>
      <c r="P49" s="21">
        <v>4614</v>
      </c>
      <c r="Q49" s="30">
        <v>0.11</v>
      </c>
    </row>
    <row r="50" spans="1:17" x14ac:dyDescent="0.25">
      <c r="A50" s="5" t="s">
        <v>15</v>
      </c>
      <c r="B50" s="22">
        <v>1</v>
      </c>
      <c r="C50" s="23">
        <v>2020</v>
      </c>
      <c r="D50" s="17">
        <v>413713</v>
      </c>
      <c r="E50" s="17">
        <v>1.05</v>
      </c>
      <c r="F50" s="7">
        <f t="shared" si="0"/>
        <v>387995.23809523811</v>
      </c>
      <c r="G50" s="7">
        <v>407395</v>
      </c>
      <c r="H50" s="17">
        <v>21793</v>
      </c>
      <c r="I50" s="17">
        <v>7.9671000000000003</v>
      </c>
      <c r="J50" s="7">
        <f t="shared" si="1"/>
        <v>28119.642027839487</v>
      </c>
      <c r="K50" s="7">
        <v>224032</v>
      </c>
      <c r="L50" s="17">
        <v>5786.6</v>
      </c>
      <c r="M50" s="17">
        <v>11.4</v>
      </c>
      <c r="N50" s="7">
        <f t="shared" si="2"/>
        <v>7458.3617747440285</v>
      </c>
      <c r="O50" s="7">
        <v>65559</v>
      </c>
      <c r="P50" s="21">
        <v>4426</v>
      </c>
      <c r="Q50" s="29">
        <v>0.11</v>
      </c>
    </row>
    <row r="51" spans="1:17" x14ac:dyDescent="0.25">
      <c r="A51" s="5" t="s">
        <v>15</v>
      </c>
      <c r="B51" s="23">
        <v>2</v>
      </c>
      <c r="C51" s="23">
        <v>2020</v>
      </c>
      <c r="D51" s="17">
        <v>410878</v>
      </c>
      <c r="E51" s="19">
        <v>1.05</v>
      </c>
      <c r="F51" s="7">
        <f t="shared" si="0"/>
        <v>426556.19047619047</v>
      </c>
      <c r="G51" s="7">
        <v>447884</v>
      </c>
      <c r="H51" s="17">
        <v>18656.509999999998</v>
      </c>
      <c r="I51" s="17">
        <v>8.3960000000000008</v>
      </c>
      <c r="J51" s="7">
        <f t="shared" si="1"/>
        <v>29184.730824201997</v>
      </c>
      <c r="K51" s="7">
        <v>245035</v>
      </c>
      <c r="L51" s="17">
        <v>5603.8</v>
      </c>
      <c r="M51" s="17">
        <v>11.4</v>
      </c>
      <c r="N51" s="7">
        <f t="shared" si="2"/>
        <v>8589.6473265073964</v>
      </c>
      <c r="O51" s="7">
        <v>75503</v>
      </c>
      <c r="P51" s="21">
        <v>4070</v>
      </c>
      <c r="Q51" s="29">
        <v>0.11</v>
      </c>
    </row>
    <row r="52" spans="1:17" x14ac:dyDescent="0.25">
      <c r="A52" s="5" t="s">
        <v>15</v>
      </c>
      <c r="B52" s="23">
        <v>3</v>
      </c>
      <c r="C52" s="23">
        <v>2020</v>
      </c>
      <c r="D52" s="17">
        <v>272033</v>
      </c>
      <c r="E52" s="17">
        <v>1.05</v>
      </c>
      <c r="F52" s="7">
        <f t="shared" si="0"/>
        <v>405253.33333333331</v>
      </c>
      <c r="G52" s="7">
        <v>425516</v>
      </c>
      <c r="H52" s="17">
        <v>9280.98</v>
      </c>
      <c r="I52" s="17">
        <v>8.3960000000000008</v>
      </c>
      <c r="J52" s="7">
        <f t="shared" si="1"/>
        <v>24916.388756550736</v>
      </c>
      <c r="K52" s="7">
        <v>209198</v>
      </c>
      <c r="L52" s="17">
        <v>3252.7</v>
      </c>
      <c r="M52" s="17">
        <v>11.4</v>
      </c>
      <c r="N52" s="7">
        <f t="shared" si="2"/>
        <v>8936.5187713310588</v>
      </c>
      <c r="O52" s="7">
        <v>78552</v>
      </c>
      <c r="P52" s="21">
        <v>1403</v>
      </c>
      <c r="Q52" s="30">
        <v>0.11</v>
      </c>
    </row>
    <row r="53" spans="1:17" x14ac:dyDescent="0.25">
      <c r="A53" s="5" t="s">
        <v>15</v>
      </c>
      <c r="B53" s="23">
        <v>4</v>
      </c>
      <c r="C53" s="23">
        <v>2020</v>
      </c>
      <c r="D53" s="17">
        <v>85207</v>
      </c>
      <c r="E53" s="17">
        <v>1.05</v>
      </c>
      <c r="F53" s="7">
        <f t="shared" si="0"/>
        <v>460024.76190476189</v>
      </c>
      <c r="G53" s="7">
        <v>483026</v>
      </c>
      <c r="H53" s="17">
        <v>1588.95</v>
      </c>
      <c r="I53" s="17">
        <v>7.8959999999999999</v>
      </c>
      <c r="J53" s="7">
        <f t="shared" si="1"/>
        <v>23131.332320162106</v>
      </c>
      <c r="K53" s="7">
        <v>182645</v>
      </c>
      <c r="L53" s="17">
        <v>742.5</v>
      </c>
      <c r="M53" s="17">
        <v>11.4</v>
      </c>
      <c r="N53" s="7">
        <f t="shared" si="2"/>
        <v>6791.8088737201369</v>
      </c>
      <c r="O53" s="7">
        <v>59700</v>
      </c>
      <c r="P53" s="21">
        <v>63</v>
      </c>
      <c r="Q53" s="30">
        <v>0.11</v>
      </c>
    </row>
    <row r="54" spans="1:17" x14ac:dyDescent="0.25">
      <c r="A54" s="5" t="s">
        <v>15</v>
      </c>
      <c r="B54" s="23">
        <v>5</v>
      </c>
      <c r="C54" s="23">
        <v>2020</v>
      </c>
      <c r="D54" s="17">
        <v>72522</v>
      </c>
      <c r="E54" s="17">
        <v>1.05</v>
      </c>
      <c r="F54" s="7">
        <f t="shared" si="0"/>
        <v>470920.95238095237</v>
      </c>
      <c r="G54" s="7">
        <v>494467</v>
      </c>
      <c r="H54" s="17">
        <v>1471.96</v>
      </c>
      <c r="I54" s="17">
        <v>7.8959999999999999</v>
      </c>
      <c r="J54" s="7">
        <f t="shared" si="1"/>
        <v>16355.496453900709</v>
      </c>
      <c r="K54" s="7">
        <v>129143</v>
      </c>
      <c r="L54" s="17">
        <v>415.8</v>
      </c>
      <c r="M54" s="17">
        <v>11.4</v>
      </c>
      <c r="N54" s="7">
        <f t="shared" si="2"/>
        <v>6670.762229806599</v>
      </c>
      <c r="O54" s="7">
        <v>58636</v>
      </c>
      <c r="P54" s="21">
        <v>0</v>
      </c>
      <c r="Q54" s="30">
        <v>0.11</v>
      </c>
    </row>
    <row r="55" spans="1:17" x14ac:dyDescent="0.25">
      <c r="A55" s="5" t="s">
        <v>15</v>
      </c>
      <c r="B55" s="23">
        <v>6</v>
      </c>
      <c r="C55" s="23">
        <v>2020</v>
      </c>
      <c r="D55" s="17">
        <v>74559</v>
      </c>
      <c r="E55" s="17">
        <v>1.05</v>
      </c>
      <c r="F55" s="7">
        <f t="shared" si="0"/>
        <v>575134.28571428568</v>
      </c>
      <c r="G55" s="7">
        <v>603891</v>
      </c>
      <c r="H55" s="17">
        <v>1439.96</v>
      </c>
      <c r="I55" s="17">
        <v>7.8959999999999999</v>
      </c>
      <c r="J55" s="7">
        <f t="shared" si="1"/>
        <v>10817.502532928065</v>
      </c>
      <c r="K55" s="7">
        <v>85415</v>
      </c>
      <c r="L55" s="17">
        <v>1391.8</v>
      </c>
      <c r="M55" s="17">
        <v>11.4</v>
      </c>
      <c r="N55" s="7">
        <f t="shared" si="2"/>
        <v>7375.0853242320827</v>
      </c>
      <c r="O55" s="7">
        <v>64827</v>
      </c>
      <c r="P55" s="21">
        <v>0</v>
      </c>
      <c r="Q55" s="30">
        <v>0.11</v>
      </c>
    </row>
    <row r="56" spans="1:17" x14ac:dyDescent="0.25">
      <c r="A56" s="5" t="s">
        <v>15</v>
      </c>
      <c r="B56" s="23">
        <v>7</v>
      </c>
      <c r="C56" s="23">
        <v>2020</v>
      </c>
      <c r="D56" s="17">
        <v>275964</v>
      </c>
      <c r="E56" s="17">
        <v>1.05</v>
      </c>
      <c r="F56" s="7">
        <f t="shared" si="0"/>
        <v>568996.19047619042</v>
      </c>
      <c r="G56" s="7">
        <v>597446</v>
      </c>
      <c r="H56" s="17">
        <v>5439.93</v>
      </c>
      <c r="I56" s="17">
        <v>8.4009999999999998</v>
      </c>
      <c r="J56" s="7">
        <f t="shared" si="1"/>
        <v>17255.445780264254</v>
      </c>
      <c r="K56" s="7">
        <v>144963</v>
      </c>
      <c r="L56" s="17">
        <v>3395.7</v>
      </c>
      <c r="M56" s="17">
        <v>11.4</v>
      </c>
      <c r="N56" s="7">
        <f t="shared" si="2"/>
        <v>8080.8873720136526</v>
      </c>
      <c r="O56" s="7">
        <v>71031</v>
      </c>
      <c r="P56" s="21">
        <v>316</v>
      </c>
      <c r="Q56" s="30">
        <v>0.11</v>
      </c>
    </row>
    <row r="57" spans="1:17" x14ac:dyDescent="0.25">
      <c r="A57" s="5" t="s">
        <v>15</v>
      </c>
      <c r="B57" s="23">
        <v>8</v>
      </c>
      <c r="C57" s="23">
        <v>2020</v>
      </c>
      <c r="D57" s="17">
        <v>359998</v>
      </c>
      <c r="E57" s="17">
        <v>1.05</v>
      </c>
      <c r="F57" s="7">
        <f t="shared" si="0"/>
        <v>561292.38095238095</v>
      </c>
      <c r="G57" s="7">
        <v>589357</v>
      </c>
      <c r="H57" s="17">
        <v>5440.11</v>
      </c>
      <c r="I57" s="17">
        <v>8.5510000000000002</v>
      </c>
      <c r="J57" s="7">
        <f t="shared" si="1"/>
        <v>13741.082914279032</v>
      </c>
      <c r="K57" s="7">
        <v>117500</v>
      </c>
      <c r="L57" s="17">
        <v>2654.5</v>
      </c>
      <c r="M57" s="17">
        <v>11.4</v>
      </c>
      <c r="N57" s="7">
        <f t="shared" si="2"/>
        <v>7429.1240045506265</v>
      </c>
      <c r="O57" s="7">
        <v>65302</v>
      </c>
      <c r="P57" s="21">
        <v>525</v>
      </c>
      <c r="Q57" s="30">
        <v>0.11</v>
      </c>
    </row>
    <row r="58" spans="1:17" x14ac:dyDescent="0.25">
      <c r="A58" s="5" t="s">
        <v>15</v>
      </c>
      <c r="B58" s="23">
        <v>9</v>
      </c>
      <c r="C58" s="23">
        <v>2020</v>
      </c>
      <c r="D58" s="17">
        <v>281642</v>
      </c>
      <c r="E58" s="17">
        <v>1.05</v>
      </c>
      <c r="F58" s="7">
        <f t="shared" si="0"/>
        <v>512242.8571428571</v>
      </c>
      <c r="G58" s="7">
        <v>537855</v>
      </c>
      <c r="H58" s="17">
        <v>5056.18</v>
      </c>
      <c r="I58" s="17">
        <v>8.7509999999999994</v>
      </c>
      <c r="J58" s="7">
        <f t="shared" si="1"/>
        <v>14169.809164666896</v>
      </c>
      <c r="K58" s="7">
        <v>124000</v>
      </c>
      <c r="L58" s="17">
        <v>1832</v>
      </c>
      <c r="M58" s="17">
        <v>11.4</v>
      </c>
      <c r="N58" s="7">
        <f t="shared" si="2"/>
        <v>8159.8407281001146</v>
      </c>
      <c r="O58" s="7">
        <v>71725</v>
      </c>
      <c r="P58" s="21">
        <v>449</v>
      </c>
      <c r="Q58" s="30">
        <v>0.11</v>
      </c>
    </row>
    <row r="59" spans="1:17" x14ac:dyDescent="0.25">
      <c r="A59" s="5" t="s">
        <v>15</v>
      </c>
      <c r="B59" s="23">
        <v>10</v>
      </c>
      <c r="C59" s="23">
        <v>2020</v>
      </c>
      <c r="D59" s="17">
        <v>330892</v>
      </c>
      <c r="E59" s="17">
        <v>1.05</v>
      </c>
      <c r="F59" s="7">
        <f t="shared" si="0"/>
        <v>498839.04761904757</v>
      </c>
      <c r="G59" s="7">
        <v>523781</v>
      </c>
      <c r="H59" s="17">
        <v>10463.92</v>
      </c>
      <c r="I59" s="17">
        <v>8.7509999999999994</v>
      </c>
      <c r="J59" s="7">
        <f t="shared" si="1"/>
        <v>14855.445091989488</v>
      </c>
      <c r="K59" s="7">
        <v>130000</v>
      </c>
      <c r="L59" s="17">
        <v>2996</v>
      </c>
      <c r="M59" s="17">
        <v>11.4</v>
      </c>
      <c r="N59" s="7">
        <f t="shared" si="2"/>
        <v>8472.9237770193413</v>
      </c>
      <c r="O59" s="7">
        <v>74477</v>
      </c>
      <c r="P59" s="21">
        <v>1491</v>
      </c>
      <c r="Q59" s="30">
        <v>0.11</v>
      </c>
    </row>
    <row r="60" spans="1:17" x14ac:dyDescent="0.25">
      <c r="A60" s="5" t="s">
        <v>15</v>
      </c>
      <c r="B60" s="23">
        <v>11</v>
      </c>
      <c r="C60" s="23">
        <v>2020</v>
      </c>
      <c r="D60" s="17">
        <v>282209</v>
      </c>
      <c r="E60" s="17">
        <v>1.05</v>
      </c>
      <c r="F60" s="7">
        <f t="shared" si="0"/>
        <v>424184.76190476189</v>
      </c>
      <c r="G60" s="7">
        <v>445394</v>
      </c>
      <c r="H60" s="17">
        <v>11200.21</v>
      </c>
      <c r="I60" s="17">
        <v>8.7509999999999994</v>
      </c>
      <c r="J60" s="7">
        <f t="shared" si="1"/>
        <v>23997.25745629071</v>
      </c>
      <c r="K60" s="7">
        <v>210000</v>
      </c>
      <c r="L60" s="17">
        <v>1915.7</v>
      </c>
      <c r="M60" s="17">
        <v>11.4</v>
      </c>
      <c r="N60" s="7">
        <f t="shared" si="2"/>
        <v>7997.0420932878278</v>
      </c>
      <c r="O60" s="7">
        <v>70294</v>
      </c>
      <c r="P60" s="21">
        <v>989</v>
      </c>
      <c r="Q60" s="30">
        <v>0.11</v>
      </c>
    </row>
    <row r="61" spans="1:17" x14ac:dyDescent="0.25">
      <c r="A61" s="5" t="s">
        <v>15</v>
      </c>
      <c r="B61" s="23">
        <v>12</v>
      </c>
      <c r="C61" s="23">
        <v>2020</v>
      </c>
      <c r="D61" s="17">
        <v>270414</v>
      </c>
      <c r="E61" s="17">
        <v>1.05</v>
      </c>
      <c r="F61" s="7">
        <f t="shared" si="0"/>
        <v>416134.28571428568</v>
      </c>
      <c r="G61" s="7">
        <v>436941</v>
      </c>
      <c r="H61" s="17">
        <v>12416.3</v>
      </c>
      <c r="I61" s="17">
        <v>9.1</v>
      </c>
      <c r="J61" s="7">
        <f t="shared" si="1"/>
        <v>22527.472527472528</v>
      </c>
      <c r="K61" s="7">
        <v>205000</v>
      </c>
      <c r="L61" s="17">
        <v>1790.5</v>
      </c>
      <c r="M61" s="17">
        <v>11.4</v>
      </c>
      <c r="N61" s="7">
        <f t="shared" si="2"/>
        <v>7352.4459613196823</v>
      </c>
      <c r="O61" s="7">
        <v>64628</v>
      </c>
      <c r="P61" s="21">
        <v>870</v>
      </c>
      <c r="Q61" s="30">
        <v>0.11</v>
      </c>
    </row>
    <row r="62" spans="1:17" x14ac:dyDescent="0.25">
      <c r="A62" s="5" t="s">
        <v>15</v>
      </c>
      <c r="B62" s="1">
        <v>1</v>
      </c>
      <c r="C62" s="23">
        <v>2021</v>
      </c>
      <c r="D62" s="17">
        <v>229700</v>
      </c>
      <c r="E62" s="17">
        <v>1.05</v>
      </c>
      <c r="F62" s="7">
        <f t="shared" si="0"/>
        <v>323004.76190476189</v>
      </c>
      <c r="G62" s="7">
        <v>339155</v>
      </c>
      <c r="H62" s="17">
        <v>25632.69</v>
      </c>
      <c r="I62" s="17">
        <v>10.803000000000001</v>
      </c>
      <c r="J62" s="7">
        <f t="shared" si="1"/>
        <v>18664.167360918262</v>
      </c>
      <c r="K62" s="7">
        <v>201629</v>
      </c>
      <c r="L62" s="17">
        <v>2027.4</v>
      </c>
      <c r="M62" s="17">
        <v>11.4</v>
      </c>
      <c r="N62" s="7">
        <f t="shared" si="2"/>
        <v>6712.5142207053477</v>
      </c>
      <c r="O62" s="7">
        <v>59003</v>
      </c>
      <c r="P62" s="21">
        <v>934</v>
      </c>
      <c r="Q62" s="29">
        <v>0.11</v>
      </c>
    </row>
    <row r="63" spans="1:17" x14ac:dyDescent="0.25">
      <c r="A63" s="5" t="s">
        <v>15</v>
      </c>
      <c r="B63" s="1">
        <v>2</v>
      </c>
      <c r="C63" s="23">
        <v>2021</v>
      </c>
      <c r="D63" s="17">
        <v>224284</v>
      </c>
      <c r="E63" s="17">
        <v>1.05</v>
      </c>
      <c r="F63" s="7">
        <f t="shared" si="0"/>
        <v>339124.76190476189</v>
      </c>
      <c r="G63" s="7">
        <v>356081</v>
      </c>
      <c r="H63" s="17">
        <v>10880.47</v>
      </c>
      <c r="I63" s="17">
        <v>9.9099000000000004</v>
      </c>
      <c r="J63" s="7">
        <f t="shared" si="1"/>
        <v>22253.604980877706</v>
      </c>
      <c r="K63" s="7">
        <v>220531</v>
      </c>
      <c r="L63" s="17">
        <v>2142.8000000000002</v>
      </c>
      <c r="M63" s="17">
        <v>11.4</v>
      </c>
      <c r="N63" s="7">
        <f t="shared" si="2"/>
        <v>7730.6029579067126</v>
      </c>
      <c r="O63" s="7">
        <v>67952</v>
      </c>
      <c r="P63" s="21">
        <v>1097</v>
      </c>
      <c r="Q63" s="29">
        <v>0.11</v>
      </c>
    </row>
    <row r="64" spans="1:17" x14ac:dyDescent="0.25">
      <c r="A64" s="5" t="s">
        <v>15</v>
      </c>
      <c r="B64" s="22">
        <f>B63+1</f>
        <v>3</v>
      </c>
      <c r="C64" s="23">
        <v>2021</v>
      </c>
      <c r="D64" s="17">
        <v>278907</v>
      </c>
      <c r="E64" s="17">
        <v>1.05</v>
      </c>
      <c r="F64" s="7">
        <f t="shared" si="0"/>
        <v>339737.14285714284</v>
      </c>
      <c r="G64" s="7">
        <v>356724</v>
      </c>
      <c r="H64" s="17">
        <v>14687.64</v>
      </c>
      <c r="I64" s="17">
        <v>8.6999999999999993</v>
      </c>
      <c r="J64" s="7">
        <f t="shared" si="1"/>
        <v>21641.149425287356</v>
      </c>
      <c r="K64" s="7">
        <v>188278</v>
      </c>
      <c r="L64" s="17">
        <v>2391.8000000000002</v>
      </c>
      <c r="M64" s="17">
        <v>11.4</v>
      </c>
      <c r="N64" s="7">
        <f t="shared" si="2"/>
        <v>8042.8896473265086</v>
      </c>
      <c r="O64" s="7">
        <v>70697</v>
      </c>
      <c r="P64" s="21">
        <v>1620</v>
      </c>
      <c r="Q64" s="30">
        <v>0.11</v>
      </c>
    </row>
    <row r="65" spans="1:17" x14ac:dyDescent="0.25">
      <c r="A65" s="5" t="s">
        <v>15</v>
      </c>
      <c r="B65" s="22">
        <f t="shared" ref="B65:B73" si="4">B64+1</f>
        <v>4</v>
      </c>
      <c r="C65" s="23">
        <v>2021</v>
      </c>
      <c r="D65" s="17">
        <v>269017</v>
      </c>
      <c r="E65" s="17">
        <v>1.05</v>
      </c>
      <c r="F65" s="7">
        <f t="shared" si="0"/>
        <v>392839.04761904757</v>
      </c>
      <c r="G65" s="7">
        <v>412481</v>
      </c>
      <c r="H65" s="17">
        <v>9474.7099999999991</v>
      </c>
      <c r="I65" s="17">
        <v>8.6999999999999993</v>
      </c>
      <c r="J65" s="7">
        <f t="shared" si="1"/>
        <v>18894.252873563219</v>
      </c>
      <c r="K65" s="7">
        <v>164380</v>
      </c>
      <c r="L65" s="17">
        <v>2241.4</v>
      </c>
      <c r="M65" s="17">
        <v>11.4</v>
      </c>
      <c r="N65" s="7">
        <f t="shared" si="2"/>
        <v>6112.6279863481232</v>
      </c>
      <c r="O65" s="7">
        <v>53730</v>
      </c>
      <c r="P65" s="21">
        <v>835</v>
      </c>
      <c r="Q65" s="30">
        <v>0.11</v>
      </c>
    </row>
    <row r="66" spans="1:17" x14ac:dyDescent="0.25">
      <c r="A66" s="5" t="s">
        <v>15</v>
      </c>
      <c r="B66" s="22">
        <f t="shared" si="4"/>
        <v>5</v>
      </c>
      <c r="C66" s="23">
        <v>2021</v>
      </c>
      <c r="D66" s="17">
        <v>287475</v>
      </c>
      <c r="E66" s="17">
        <v>1.05</v>
      </c>
      <c r="F66" s="7">
        <f t="shared" si="0"/>
        <v>414035.23809523811</v>
      </c>
      <c r="G66" s="7">
        <v>434737</v>
      </c>
      <c r="H66" s="17">
        <v>9301.51</v>
      </c>
      <c r="I66" s="17">
        <v>8.6999999999999993</v>
      </c>
      <c r="J66" s="7">
        <f t="shared" si="1"/>
        <v>16807.816091954024</v>
      </c>
      <c r="K66" s="7">
        <v>146228</v>
      </c>
      <c r="L66" s="17">
        <v>2497.6999999999998</v>
      </c>
      <c r="M66" s="17">
        <v>11.4</v>
      </c>
      <c r="N66" s="7">
        <f t="shared" si="2"/>
        <v>6003.7542662116048</v>
      </c>
      <c r="O66" s="7">
        <v>52773</v>
      </c>
      <c r="P66" s="21">
        <v>755</v>
      </c>
      <c r="Q66" s="30">
        <v>0.11</v>
      </c>
    </row>
    <row r="67" spans="1:17" x14ac:dyDescent="0.25">
      <c r="A67" s="5" t="s">
        <v>15</v>
      </c>
      <c r="B67" s="22">
        <f t="shared" si="4"/>
        <v>6</v>
      </c>
      <c r="C67" s="23">
        <v>2021</v>
      </c>
      <c r="D67" s="17">
        <v>359591</v>
      </c>
      <c r="E67" s="17">
        <v>1.05</v>
      </c>
      <c r="F67" s="7">
        <f t="shared" si="0"/>
        <v>484427.61904761905</v>
      </c>
      <c r="G67" s="7">
        <v>508649</v>
      </c>
      <c r="H67" s="17">
        <v>10207.700000000001</v>
      </c>
      <c r="I67" s="17">
        <v>8.41</v>
      </c>
      <c r="J67" s="7">
        <f t="shared" si="1"/>
        <v>13763.376932223544</v>
      </c>
      <c r="K67" s="7">
        <v>115750</v>
      </c>
      <c r="L67" s="17">
        <v>2887.8</v>
      </c>
      <c r="M67" s="17">
        <v>11.4</v>
      </c>
      <c r="N67" s="7">
        <f t="shared" si="2"/>
        <v>6637.6564277588177</v>
      </c>
      <c r="O67" s="7">
        <v>58345</v>
      </c>
      <c r="P67" s="21">
        <v>1613</v>
      </c>
      <c r="Q67" s="30">
        <v>0.11</v>
      </c>
    </row>
    <row r="68" spans="1:17" x14ac:dyDescent="0.25">
      <c r="A68" s="5" t="s">
        <v>15</v>
      </c>
      <c r="B68" s="22">
        <f t="shared" si="4"/>
        <v>7</v>
      </c>
      <c r="C68" s="23">
        <v>2021</v>
      </c>
      <c r="D68" s="17">
        <v>475076</v>
      </c>
      <c r="E68" s="17">
        <v>1.05</v>
      </c>
      <c r="F68" s="7">
        <f t="shared" si="0"/>
        <v>487855.23809523805</v>
      </c>
      <c r="G68" s="7">
        <v>512248</v>
      </c>
      <c r="H68" s="17">
        <v>7455.82</v>
      </c>
      <c r="I68" s="17">
        <v>9.01</v>
      </c>
      <c r="J68" s="7">
        <f t="shared" si="1"/>
        <v>14480.133185349612</v>
      </c>
      <c r="K68" s="7">
        <v>130466</v>
      </c>
      <c r="L68" s="17">
        <v>3809.6</v>
      </c>
      <c r="M68" s="17">
        <v>11.4</v>
      </c>
      <c r="N68" s="7">
        <f t="shared" si="2"/>
        <v>7272.8100113765649</v>
      </c>
      <c r="O68" s="7">
        <v>63928</v>
      </c>
      <c r="P68" s="21">
        <v>2808</v>
      </c>
      <c r="Q68" s="30">
        <v>0.11</v>
      </c>
    </row>
    <row r="69" spans="1:17" x14ac:dyDescent="0.25">
      <c r="A69" s="5" t="s">
        <v>15</v>
      </c>
      <c r="B69" s="22">
        <f t="shared" si="4"/>
        <v>8</v>
      </c>
      <c r="C69" s="23">
        <v>2021</v>
      </c>
      <c r="D69" s="17">
        <v>462846</v>
      </c>
      <c r="E69" s="17">
        <v>1.05</v>
      </c>
      <c r="F69" s="7">
        <f t="shared" si="0"/>
        <v>493806.66666666663</v>
      </c>
      <c r="G69" s="7">
        <v>518497</v>
      </c>
      <c r="H69" s="17">
        <v>7883.15</v>
      </c>
      <c r="I69" s="17">
        <v>9.61</v>
      </c>
      <c r="J69" s="7">
        <f t="shared" si="1"/>
        <v>11004.162330905308</v>
      </c>
      <c r="K69" s="7">
        <v>105750</v>
      </c>
      <c r="L69" s="17">
        <v>3532.1</v>
      </c>
      <c r="M69" s="17">
        <v>11.4</v>
      </c>
      <c r="N69" s="7">
        <f t="shared" si="2"/>
        <v>6686.2343572241189</v>
      </c>
      <c r="O69" s="7">
        <v>58772</v>
      </c>
      <c r="P69" s="21">
        <v>2545</v>
      </c>
      <c r="Q69" s="30">
        <v>0.11</v>
      </c>
    </row>
    <row r="70" spans="1:17" x14ac:dyDescent="0.25">
      <c r="A70" s="5" t="s">
        <v>15</v>
      </c>
      <c r="B70" s="22">
        <f t="shared" si="4"/>
        <v>9</v>
      </c>
      <c r="C70" s="23">
        <v>2021</v>
      </c>
      <c r="D70" s="17">
        <v>447463</v>
      </c>
      <c r="E70" s="17">
        <v>1.05</v>
      </c>
      <c r="F70" s="7">
        <f t="shared" si="0"/>
        <v>443464.76190476189</v>
      </c>
      <c r="G70" s="7">
        <v>465638</v>
      </c>
      <c r="H70" s="17">
        <v>7238.81</v>
      </c>
      <c r="I70" s="17">
        <v>9.9649999999999999</v>
      </c>
      <c r="J70" s="7">
        <f t="shared" si="1"/>
        <v>11199.19719016558</v>
      </c>
      <c r="K70" s="7">
        <v>111600</v>
      </c>
      <c r="L70" s="17">
        <v>3086.8</v>
      </c>
      <c r="M70" s="17">
        <v>11.4</v>
      </c>
      <c r="N70" s="7">
        <f t="shared" si="2"/>
        <v>7343.9135381114911</v>
      </c>
      <c r="O70" s="7">
        <v>64553</v>
      </c>
      <c r="P70" s="21">
        <v>2116</v>
      </c>
      <c r="Q70" s="30">
        <v>0.11</v>
      </c>
    </row>
    <row r="71" spans="1:17" x14ac:dyDescent="0.25">
      <c r="A71" s="5" t="s">
        <v>15</v>
      </c>
      <c r="B71" s="22">
        <f t="shared" si="4"/>
        <v>10</v>
      </c>
      <c r="C71" s="23">
        <v>2021</v>
      </c>
      <c r="D71" s="17">
        <v>456729</v>
      </c>
      <c r="E71" s="17">
        <v>1.05</v>
      </c>
      <c r="F71" s="7">
        <f t="shared" si="0"/>
        <v>430470.47619047615</v>
      </c>
      <c r="G71" s="7">
        <v>451994</v>
      </c>
      <c r="H71" s="17">
        <v>21528.67</v>
      </c>
      <c r="I71" s="17">
        <v>11.251300000000001</v>
      </c>
      <c r="J71" s="7">
        <f t="shared" si="1"/>
        <v>10398.798361078276</v>
      </c>
      <c r="K71" s="7">
        <v>117000</v>
      </c>
      <c r="L71" s="17">
        <v>3330.2</v>
      </c>
      <c r="M71" s="17">
        <v>11.4</v>
      </c>
      <c r="N71" s="7">
        <f t="shared" si="2"/>
        <v>7625.5972696245744</v>
      </c>
      <c r="O71" s="7">
        <v>67029</v>
      </c>
      <c r="P71" s="21">
        <v>2768</v>
      </c>
      <c r="Q71" s="30">
        <v>0.11</v>
      </c>
    </row>
    <row r="72" spans="1:17" x14ac:dyDescent="0.25">
      <c r="A72" s="5" t="s">
        <v>15</v>
      </c>
      <c r="B72" s="22">
        <f t="shared" si="4"/>
        <v>11</v>
      </c>
      <c r="C72" s="23">
        <v>2021</v>
      </c>
      <c r="D72" s="17">
        <v>354464</v>
      </c>
      <c r="E72" s="17">
        <v>1.05</v>
      </c>
      <c r="F72" s="7">
        <f t="shared" si="0"/>
        <v>358091.42857142858</v>
      </c>
      <c r="G72" s="7">
        <v>375996</v>
      </c>
      <c r="H72" s="17">
        <v>15423.62</v>
      </c>
      <c r="I72" s="17">
        <v>11.87</v>
      </c>
      <c r="J72" s="7">
        <f t="shared" si="1"/>
        <v>15922.493681550128</v>
      </c>
      <c r="K72" s="7">
        <v>189000</v>
      </c>
      <c r="L72" s="17">
        <v>2960.7</v>
      </c>
      <c r="M72" s="17">
        <v>11.4</v>
      </c>
      <c r="N72" s="7">
        <f t="shared" si="2"/>
        <v>7197.383390216155</v>
      </c>
      <c r="O72" s="7">
        <v>63265</v>
      </c>
      <c r="P72" s="21">
        <v>2668</v>
      </c>
      <c r="Q72" s="30">
        <v>0.11</v>
      </c>
    </row>
    <row r="73" spans="1:17" x14ac:dyDescent="0.25">
      <c r="A73" s="5" t="s">
        <v>15</v>
      </c>
      <c r="B73" s="22">
        <f t="shared" si="4"/>
        <v>12</v>
      </c>
      <c r="C73" s="23">
        <v>2021</v>
      </c>
      <c r="D73" s="17">
        <v>256334</v>
      </c>
      <c r="E73" s="17">
        <v>1.05</v>
      </c>
      <c r="F73" s="7">
        <f t="shared" si="0"/>
        <v>547961.90476190473</v>
      </c>
      <c r="G73" s="7">
        <v>575360</v>
      </c>
      <c r="H73" s="17">
        <v>9120.26</v>
      </c>
      <c r="I73" s="17">
        <v>11.565</v>
      </c>
      <c r="J73" s="7">
        <f t="shared" si="1"/>
        <v>18295.633376567228</v>
      </c>
      <c r="K73" s="7">
        <v>211589</v>
      </c>
      <c r="L73" s="17">
        <v>2165.1</v>
      </c>
      <c r="M73" s="17">
        <v>11.4</v>
      </c>
      <c r="N73" s="7">
        <f t="shared" si="2"/>
        <v>9474.7440273037555</v>
      </c>
      <c r="O73" s="7">
        <v>83283</v>
      </c>
      <c r="P73" s="21">
        <v>621</v>
      </c>
      <c r="Q73" s="30">
        <v>0.11</v>
      </c>
    </row>
    <row r="74" spans="1:17" x14ac:dyDescent="0.25">
      <c r="A74" s="5" t="s">
        <v>15</v>
      </c>
      <c r="B74" s="1">
        <v>1</v>
      </c>
      <c r="C74" s="23">
        <v>2022</v>
      </c>
      <c r="D74" s="17">
        <v>202431</v>
      </c>
      <c r="E74" s="17">
        <v>1.05</v>
      </c>
      <c r="F74" s="7">
        <f t="shared" si="0"/>
        <v>381284.16190476186</v>
      </c>
      <c r="G74" s="7">
        <v>400348.37</v>
      </c>
      <c r="H74" s="17">
        <v>7040.55</v>
      </c>
      <c r="I74" s="17">
        <v>11.664999999999999</v>
      </c>
      <c r="J74" s="7">
        <f t="shared" si="1"/>
        <v>25408.859837119588</v>
      </c>
      <c r="K74" s="7">
        <v>296394.34999999998</v>
      </c>
      <c r="L74" s="17">
        <v>1547.8</v>
      </c>
      <c r="M74" s="17">
        <v>11.4</v>
      </c>
      <c r="N74" s="7">
        <f t="shared" si="2"/>
        <v>6814.5437997724694</v>
      </c>
      <c r="O74" s="7">
        <v>59899.839999999997</v>
      </c>
      <c r="P74" s="21">
        <v>384</v>
      </c>
      <c r="Q74" s="30">
        <v>0.11</v>
      </c>
    </row>
    <row r="75" spans="1:17" x14ac:dyDescent="0.25">
      <c r="A75" s="5" t="s">
        <v>15</v>
      </c>
      <c r="B75" s="1">
        <v>2</v>
      </c>
      <c r="C75" s="23">
        <v>2022</v>
      </c>
      <c r="D75" s="17">
        <v>228185</v>
      </c>
      <c r="E75" s="17">
        <v>1.05</v>
      </c>
      <c r="F75" s="7">
        <f t="shared" si="0"/>
        <v>402277.29523809522</v>
      </c>
      <c r="G75" s="7">
        <v>422391.16</v>
      </c>
      <c r="H75" s="17">
        <v>11008.03</v>
      </c>
      <c r="I75" s="17">
        <v>11.79</v>
      </c>
      <c r="J75" s="7">
        <f t="shared" si="1"/>
        <v>24971.106870229007</v>
      </c>
      <c r="K75" s="7">
        <v>294409.34999999998</v>
      </c>
      <c r="L75" s="17">
        <v>2168</v>
      </c>
      <c r="M75" s="17">
        <v>11.4</v>
      </c>
      <c r="N75" s="7">
        <f t="shared" si="2"/>
        <v>6870.9954493742898</v>
      </c>
      <c r="O75" s="7">
        <v>60396.05</v>
      </c>
      <c r="P75" s="21">
        <v>1925</v>
      </c>
      <c r="Q75" s="30">
        <v>0.11</v>
      </c>
    </row>
    <row r="76" spans="1:17" x14ac:dyDescent="0.25">
      <c r="A76" s="5" t="s">
        <v>15</v>
      </c>
      <c r="B76" s="22">
        <f>B75+1</f>
        <v>3</v>
      </c>
      <c r="C76" s="23">
        <v>2022</v>
      </c>
      <c r="D76" s="17">
        <v>352965</v>
      </c>
      <c r="E76" s="17">
        <v>1.05</v>
      </c>
      <c r="F76" s="7">
        <f t="shared" si="0"/>
        <v>432829.57142857142</v>
      </c>
      <c r="G76" s="7">
        <v>454471.05</v>
      </c>
      <c r="H76" s="17">
        <v>19393.97</v>
      </c>
      <c r="I76" s="17">
        <v>12.64</v>
      </c>
      <c r="J76" s="7">
        <f t="shared" si="1"/>
        <v>21896.280063291139</v>
      </c>
      <c r="K76" s="7">
        <v>276768.98</v>
      </c>
      <c r="L76" s="17">
        <v>3827.1</v>
      </c>
      <c r="M76" s="17">
        <v>11.4</v>
      </c>
      <c r="N76" s="7">
        <f t="shared" si="2"/>
        <v>7383.3515358361783</v>
      </c>
      <c r="O76" s="7">
        <v>64899.66</v>
      </c>
      <c r="P76" s="21">
        <v>4315</v>
      </c>
      <c r="Q76" s="30">
        <v>0.11</v>
      </c>
    </row>
    <row r="77" spans="1:17" x14ac:dyDescent="0.25">
      <c r="A77" s="5" t="s">
        <v>15</v>
      </c>
      <c r="B77" s="22">
        <f t="shared" ref="B77:B83" si="5">B76+1</f>
        <v>4</v>
      </c>
      <c r="C77" s="23">
        <v>2022</v>
      </c>
      <c r="D77" s="17">
        <v>340790</v>
      </c>
      <c r="E77" s="17">
        <v>1.05</v>
      </c>
      <c r="F77" s="7">
        <f t="shared" si="0"/>
        <v>438996.51428571431</v>
      </c>
      <c r="G77" s="7">
        <v>460946.34</v>
      </c>
      <c r="H77" s="17">
        <v>15199.99</v>
      </c>
      <c r="I77" s="17">
        <v>13.64</v>
      </c>
      <c r="J77" s="7">
        <f t="shared" si="1"/>
        <v>17715.465542521993</v>
      </c>
      <c r="K77" s="7">
        <v>241638.95</v>
      </c>
      <c r="L77" s="17">
        <v>3399.9</v>
      </c>
      <c r="M77" s="17">
        <v>11.4</v>
      </c>
      <c r="N77" s="7">
        <f t="shared" si="2"/>
        <v>7457.383390216155</v>
      </c>
      <c r="O77" s="7">
        <v>65550.399999999994</v>
      </c>
      <c r="P77" s="21">
        <v>2518</v>
      </c>
      <c r="Q77" s="30">
        <v>0.11</v>
      </c>
    </row>
    <row r="78" spans="1:17" x14ac:dyDescent="0.25">
      <c r="A78" s="5" t="s">
        <v>15</v>
      </c>
      <c r="B78" s="22">
        <f t="shared" si="5"/>
        <v>5</v>
      </c>
      <c r="C78" s="23">
        <v>2022</v>
      </c>
      <c r="D78" s="17">
        <v>481627</v>
      </c>
      <c r="E78" s="17">
        <v>1.05</v>
      </c>
      <c r="F78" s="7">
        <f t="shared" si="0"/>
        <v>513759.78095238097</v>
      </c>
      <c r="G78" s="7">
        <v>539447.77</v>
      </c>
      <c r="H78" s="17">
        <v>10432.469999999999</v>
      </c>
      <c r="I78" s="17">
        <v>13.14</v>
      </c>
      <c r="J78" s="7">
        <f t="shared" si="1"/>
        <v>13384.848554033486</v>
      </c>
      <c r="K78" s="7">
        <v>175876.91</v>
      </c>
      <c r="L78" s="17">
        <v>4541.1000000000004</v>
      </c>
      <c r="M78" s="17">
        <v>11.4</v>
      </c>
      <c r="N78" s="7">
        <f t="shared" si="2"/>
        <v>7444.5961319681464</v>
      </c>
      <c r="O78" s="7">
        <v>65438</v>
      </c>
      <c r="P78" s="21">
        <v>4553</v>
      </c>
      <c r="Q78" s="30">
        <v>0.11</v>
      </c>
    </row>
    <row r="79" spans="1:17" x14ac:dyDescent="0.25">
      <c r="A79" s="5" t="s">
        <v>15</v>
      </c>
      <c r="B79" s="22">
        <f t="shared" si="5"/>
        <v>6</v>
      </c>
      <c r="C79" s="23">
        <v>2022</v>
      </c>
      <c r="D79" s="17">
        <v>564437</v>
      </c>
      <c r="E79" s="17">
        <v>1.05</v>
      </c>
      <c r="F79" s="7">
        <f t="shared" si="0"/>
        <v>598126.78095238097</v>
      </c>
      <c r="G79" s="7">
        <v>628033.12</v>
      </c>
      <c r="H79" s="17">
        <v>8224.4623599999995</v>
      </c>
      <c r="I79" s="17">
        <v>11.77</v>
      </c>
      <c r="J79" s="7">
        <f t="shared" si="1"/>
        <v>13925.403568394224</v>
      </c>
      <c r="K79" s="7">
        <v>163902</v>
      </c>
      <c r="L79" s="17">
        <v>5034.2999999999884</v>
      </c>
      <c r="M79" s="17">
        <v>11.4</v>
      </c>
      <c r="N79" s="7">
        <f t="shared" si="2"/>
        <v>7434.1205915813425</v>
      </c>
      <c r="O79" s="7">
        <v>65345.919999999998</v>
      </c>
      <c r="P79" s="21">
        <v>4677</v>
      </c>
      <c r="Q79" s="30">
        <v>0.11</v>
      </c>
    </row>
    <row r="80" spans="1:17" x14ac:dyDescent="0.25">
      <c r="A80" s="5" t="s">
        <v>15</v>
      </c>
      <c r="B80" s="22">
        <f t="shared" si="5"/>
        <v>7</v>
      </c>
      <c r="C80" s="23">
        <v>2022</v>
      </c>
      <c r="D80" s="17">
        <v>632749</v>
      </c>
      <c r="E80" s="17">
        <v>1.05</v>
      </c>
      <c r="F80" s="7">
        <f t="shared" si="0"/>
        <v>613343.6857142857</v>
      </c>
      <c r="G80" s="7">
        <v>644010.87</v>
      </c>
      <c r="H80" s="17">
        <v>6592.381669999997</v>
      </c>
      <c r="I80" s="17">
        <v>11.766</v>
      </c>
      <c r="J80" s="7">
        <f t="shared" si="1"/>
        <v>14051.257011728709</v>
      </c>
      <c r="K80" s="7">
        <v>165327.09</v>
      </c>
      <c r="L80" s="17">
        <v>5353.7000000000116</v>
      </c>
      <c r="M80" s="17">
        <v>11.4</v>
      </c>
      <c r="N80" s="7">
        <f t="shared" si="2"/>
        <v>7854.6598407281017</v>
      </c>
      <c r="O80" s="7">
        <v>69042.460000000006</v>
      </c>
      <c r="P80" s="21">
        <v>4482</v>
      </c>
      <c r="Q80" s="30">
        <v>0.11</v>
      </c>
    </row>
    <row r="81" spans="1:17" x14ac:dyDescent="0.25">
      <c r="A81" s="5" t="s">
        <v>15</v>
      </c>
      <c r="B81" s="22">
        <f t="shared" si="5"/>
        <v>8</v>
      </c>
      <c r="C81" s="23">
        <v>2022</v>
      </c>
      <c r="D81" s="17">
        <v>628273</v>
      </c>
      <c r="E81" s="17">
        <v>1.05</v>
      </c>
      <c r="F81" s="7">
        <f t="shared" si="0"/>
        <v>626469.53333333333</v>
      </c>
      <c r="G81" s="7">
        <v>657793.01</v>
      </c>
      <c r="H81" s="17">
        <v>6624.2598999999973</v>
      </c>
      <c r="I81" s="17">
        <v>12.84</v>
      </c>
      <c r="J81" s="7">
        <f t="shared" si="1"/>
        <v>12502.219626168224</v>
      </c>
      <c r="K81" s="7">
        <v>160528.5</v>
      </c>
      <c r="L81" s="17">
        <v>5235.8999999999942</v>
      </c>
      <c r="M81" s="17">
        <v>11.4</v>
      </c>
      <c r="N81" s="7">
        <f t="shared" si="2"/>
        <v>7943.2252559726967</v>
      </c>
      <c r="O81" s="7">
        <v>69820.95</v>
      </c>
      <c r="P81" s="21">
        <v>4593</v>
      </c>
      <c r="Q81" s="30">
        <v>0.11</v>
      </c>
    </row>
    <row r="82" spans="1:17" x14ac:dyDescent="0.25">
      <c r="A82" s="5" t="s">
        <v>15</v>
      </c>
      <c r="B82" s="22">
        <f t="shared" si="5"/>
        <v>9</v>
      </c>
      <c r="C82" s="23">
        <v>2022</v>
      </c>
      <c r="D82" s="17">
        <v>569913</v>
      </c>
      <c r="E82" s="17">
        <v>1.05</v>
      </c>
      <c r="F82" s="7">
        <f t="shared" si="0"/>
        <v>566498.88571428566</v>
      </c>
      <c r="G82" s="7">
        <v>594823.82999999996</v>
      </c>
      <c r="H82" s="17">
        <v>8192.1607000000004</v>
      </c>
      <c r="I82" s="17">
        <v>12.74</v>
      </c>
      <c r="J82" s="7">
        <f t="shared" si="1"/>
        <v>13520.243328100471</v>
      </c>
      <c r="K82" s="7">
        <v>172247.9</v>
      </c>
      <c r="L82" s="17">
        <v>4337.8000000000175</v>
      </c>
      <c r="M82" s="17">
        <v>11.4</v>
      </c>
      <c r="N82" s="7">
        <f t="shared" si="2"/>
        <v>7931.3993174061443</v>
      </c>
      <c r="O82" s="7">
        <v>69717</v>
      </c>
      <c r="P82" s="21">
        <v>4303</v>
      </c>
      <c r="Q82" s="30">
        <v>0.11</v>
      </c>
    </row>
    <row r="83" spans="1:17" x14ac:dyDescent="0.25">
      <c r="A83" s="5" t="s">
        <v>15</v>
      </c>
      <c r="B83" s="22">
        <f t="shared" si="5"/>
        <v>10</v>
      </c>
      <c r="C83" s="23">
        <v>2022</v>
      </c>
      <c r="D83" s="17">
        <v>538606</v>
      </c>
      <c r="E83" s="17">
        <v>1.05</v>
      </c>
      <c r="F83" s="7">
        <f t="shared" si="0"/>
        <v>504299.52380952379</v>
      </c>
      <c r="G83" s="7">
        <v>529514.5</v>
      </c>
      <c r="H83" s="17">
        <v>11008.454119999997</v>
      </c>
      <c r="I83" s="17">
        <v>12.24</v>
      </c>
      <c r="J83" s="7">
        <f t="shared" si="1"/>
        <v>15565.588235294117</v>
      </c>
      <c r="K83" s="7">
        <v>190522.8</v>
      </c>
      <c r="L83" s="17">
        <v>4428.2999999999884</v>
      </c>
      <c r="M83" s="17">
        <v>11.4</v>
      </c>
      <c r="N83" s="7">
        <f t="shared" si="2"/>
        <v>7701.8521046643918</v>
      </c>
      <c r="O83" s="7">
        <v>67699.28</v>
      </c>
      <c r="P83" s="21">
        <v>4199</v>
      </c>
      <c r="Q83" s="30">
        <v>0.11</v>
      </c>
    </row>
    <row r="84" spans="1:17" x14ac:dyDescent="0.25">
      <c r="A84" s="5" t="s">
        <v>15</v>
      </c>
      <c r="B84" s="22">
        <f>B83+1</f>
        <v>11</v>
      </c>
      <c r="C84" s="23">
        <v>2022</v>
      </c>
      <c r="D84" s="17">
        <v>453364</v>
      </c>
      <c r="E84" s="17">
        <v>1.05</v>
      </c>
      <c r="F84" s="7">
        <f t="shared" si="0"/>
        <v>401257.03809523809</v>
      </c>
      <c r="G84" s="7">
        <v>421319.89</v>
      </c>
      <c r="H84" s="17">
        <v>13760.083729999997</v>
      </c>
      <c r="I84" s="17">
        <v>12.44</v>
      </c>
      <c r="J84" s="7">
        <f t="shared" si="1"/>
        <v>22903.336012861739</v>
      </c>
      <c r="K84" s="7">
        <v>284917.5</v>
      </c>
      <c r="L84" s="17">
        <v>3954.9</v>
      </c>
      <c r="M84" s="17">
        <v>11.4</v>
      </c>
      <c r="N84" s="7">
        <f t="shared" si="2"/>
        <v>7557.2013651877141</v>
      </c>
      <c r="O84" s="7">
        <v>66427.8</v>
      </c>
      <c r="P84" s="21">
        <v>3258</v>
      </c>
      <c r="Q84" s="30">
        <v>0.11</v>
      </c>
    </row>
    <row r="85" spans="1:17" x14ac:dyDescent="0.25">
      <c r="A85" s="5" t="s">
        <v>15</v>
      </c>
      <c r="B85" s="22">
        <f>B84+1</f>
        <v>12</v>
      </c>
      <c r="C85" s="23">
        <v>2022</v>
      </c>
      <c r="D85" s="17">
        <v>420945</v>
      </c>
      <c r="E85" s="17">
        <v>1.05</v>
      </c>
      <c r="F85" s="7">
        <f t="shared" si="0"/>
        <v>387371.21904761903</v>
      </c>
      <c r="G85" s="7">
        <v>406739.78</v>
      </c>
      <c r="H85" s="17">
        <v>14880.660979999999</v>
      </c>
      <c r="I85" s="17">
        <v>12.53</v>
      </c>
      <c r="J85" s="7">
        <f t="shared" si="1"/>
        <v>22970.470869912213</v>
      </c>
      <c r="K85" s="7">
        <v>287820</v>
      </c>
      <c r="L85" s="17">
        <v>3952.1</v>
      </c>
      <c r="M85" s="17">
        <v>11.4</v>
      </c>
      <c r="N85" s="7">
        <f t="shared" si="2"/>
        <v>6749.5551763367466</v>
      </c>
      <c r="O85" s="7">
        <v>59328.59</v>
      </c>
      <c r="P85" s="21">
        <v>3313</v>
      </c>
      <c r="Q85" s="30">
        <v>0.11</v>
      </c>
    </row>
    <row r="86" spans="1:17" x14ac:dyDescent="0.25">
      <c r="A86" s="5" t="s">
        <v>15</v>
      </c>
      <c r="B86" s="1">
        <v>1</v>
      </c>
      <c r="C86" s="23">
        <v>2023</v>
      </c>
      <c r="D86" s="17">
        <v>402928</v>
      </c>
      <c r="E86" s="17">
        <v>1.05</v>
      </c>
      <c r="F86" s="7">
        <f t="shared" si="0"/>
        <v>381284.16190476186</v>
      </c>
      <c r="G86" s="7">
        <v>400348.37</v>
      </c>
      <c r="H86" s="17">
        <v>17728.651159999998</v>
      </c>
      <c r="I86" s="17">
        <v>12.53</v>
      </c>
      <c r="J86" s="7">
        <f t="shared" si="1"/>
        <v>23654.776536312849</v>
      </c>
      <c r="K86" s="7">
        <v>296394.34999999998</v>
      </c>
      <c r="L86" s="17">
        <v>3971</v>
      </c>
      <c r="M86" s="17">
        <v>11.4</v>
      </c>
      <c r="N86" s="7">
        <f t="shared" ref="N86:N97" si="6">O86/M86</f>
        <v>5254.3719298245605</v>
      </c>
      <c r="O86" s="7">
        <v>59899.839999999997</v>
      </c>
      <c r="P86" s="21">
        <v>3212</v>
      </c>
      <c r="Q86" s="30">
        <v>0.11</v>
      </c>
    </row>
    <row r="87" spans="1:17" x14ac:dyDescent="0.25">
      <c r="A87" s="5" t="s">
        <v>15</v>
      </c>
      <c r="B87" s="1">
        <v>2</v>
      </c>
      <c r="C87" s="23">
        <v>2023</v>
      </c>
      <c r="D87" s="17"/>
      <c r="E87" s="17">
        <v>1.05</v>
      </c>
      <c r="F87" s="7">
        <f t="shared" si="0"/>
        <v>402277.29523809522</v>
      </c>
      <c r="G87" s="7">
        <v>422391.16</v>
      </c>
      <c r="H87" s="17"/>
      <c r="I87" s="17">
        <v>12.53</v>
      </c>
      <c r="J87" s="7">
        <f t="shared" si="1"/>
        <v>23496.356743814842</v>
      </c>
      <c r="K87" s="7">
        <v>294409.34999999998</v>
      </c>
      <c r="L87" s="17"/>
      <c r="M87" s="17">
        <v>11.4</v>
      </c>
      <c r="N87" s="7">
        <f t="shared" si="6"/>
        <v>5297.8991228070172</v>
      </c>
      <c r="O87" s="7">
        <v>60396.05</v>
      </c>
      <c r="P87" s="21"/>
      <c r="Q87" s="30">
        <v>0.11</v>
      </c>
    </row>
    <row r="88" spans="1:17" x14ac:dyDescent="0.25">
      <c r="A88" s="5" t="s">
        <v>15</v>
      </c>
      <c r="B88" s="22">
        <f>B87+1</f>
        <v>3</v>
      </c>
      <c r="C88" s="23">
        <v>2023</v>
      </c>
      <c r="D88" s="17"/>
      <c r="E88" s="17">
        <v>1.05</v>
      </c>
      <c r="F88" s="7">
        <f t="shared" si="0"/>
        <v>432829.57142857142</v>
      </c>
      <c r="G88" s="7">
        <v>454471.05</v>
      </c>
      <c r="H88" s="17"/>
      <c r="I88" s="17">
        <v>12.53</v>
      </c>
      <c r="J88" s="7">
        <f t="shared" si="1"/>
        <v>22088.505985634478</v>
      </c>
      <c r="K88" s="7">
        <v>276768.98</v>
      </c>
      <c r="L88" s="17"/>
      <c r="M88" s="17">
        <v>11.4</v>
      </c>
      <c r="N88" s="7">
        <f t="shared" si="6"/>
        <v>5692.9526315789471</v>
      </c>
      <c r="O88" s="7">
        <v>64899.66</v>
      </c>
      <c r="P88" s="21"/>
      <c r="Q88" s="30">
        <v>0.11</v>
      </c>
    </row>
    <row r="89" spans="1:17" x14ac:dyDescent="0.25">
      <c r="A89" s="5" t="s">
        <v>15</v>
      </c>
      <c r="B89" s="22">
        <f t="shared" ref="B89:B97" si="7">B88+1</f>
        <v>4</v>
      </c>
      <c r="C89" s="23">
        <v>2023</v>
      </c>
      <c r="D89" s="17"/>
      <c r="E89" s="17">
        <v>1.05</v>
      </c>
      <c r="F89" s="7">
        <f t="shared" si="0"/>
        <v>438996.51428571431</v>
      </c>
      <c r="G89" s="7">
        <v>460946.34</v>
      </c>
      <c r="H89" s="17"/>
      <c r="I89" s="17">
        <v>12.53</v>
      </c>
      <c r="J89" s="7">
        <f t="shared" si="1"/>
        <v>19284.832402234639</v>
      </c>
      <c r="K89" s="7">
        <v>241638.95</v>
      </c>
      <c r="L89" s="17"/>
      <c r="M89" s="17">
        <v>11.4</v>
      </c>
      <c r="N89" s="7">
        <f t="shared" si="6"/>
        <v>5750.0350877192977</v>
      </c>
      <c r="O89" s="7">
        <v>65550.399999999994</v>
      </c>
      <c r="P89" s="21"/>
      <c r="Q89" s="30">
        <v>0.11</v>
      </c>
    </row>
    <row r="90" spans="1:17" x14ac:dyDescent="0.25">
      <c r="A90" s="5" t="s">
        <v>15</v>
      </c>
      <c r="B90" s="22">
        <f t="shared" si="7"/>
        <v>5</v>
      </c>
      <c r="C90" s="23">
        <v>2023</v>
      </c>
      <c r="D90" s="17"/>
      <c r="E90" s="17">
        <v>1.05</v>
      </c>
      <c r="F90" s="7">
        <f t="shared" si="0"/>
        <v>513759.78095238097</v>
      </c>
      <c r="G90" s="7">
        <v>539447.77</v>
      </c>
      <c r="H90" s="17"/>
      <c r="I90" s="17">
        <v>12.53</v>
      </c>
      <c r="J90" s="7">
        <f t="shared" si="1"/>
        <v>14036.465283320033</v>
      </c>
      <c r="K90" s="7">
        <v>175876.91</v>
      </c>
      <c r="L90" s="17"/>
      <c r="M90" s="17">
        <v>11.4</v>
      </c>
      <c r="N90" s="7">
        <f t="shared" si="6"/>
        <v>5740.1754385964914</v>
      </c>
      <c r="O90" s="7">
        <v>65438</v>
      </c>
      <c r="P90" s="21"/>
      <c r="Q90" s="30">
        <v>0.11</v>
      </c>
    </row>
    <row r="91" spans="1:17" x14ac:dyDescent="0.25">
      <c r="A91" s="5" t="s">
        <v>15</v>
      </c>
      <c r="B91" s="22">
        <f t="shared" si="7"/>
        <v>6</v>
      </c>
      <c r="C91" s="23">
        <v>2023</v>
      </c>
      <c r="D91" s="17"/>
      <c r="E91" s="17">
        <v>1.05</v>
      </c>
      <c r="F91" s="7">
        <f t="shared" si="0"/>
        <v>598126.78095238097</v>
      </c>
      <c r="G91" s="7">
        <v>628033.12</v>
      </c>
      <c r="H91" s="17"/>
      <c r="I91" s="17">
        <v>12.53</v>
      </c>
      <c r="J91" s="7">
        <f t="shared" si="1"/>
        <v>13080.766161213089</v>
      </c>
      <c r="K91" s="7">
        <v>163902</v>
      </c>
      <c r="L91" s="17"/>
      <c r="M91" s="17">
        <v>11.4</v>
      </c>
      <c r="N91" s="7">
        <f t="shared" si="6"/>
        <v>5732.0982456140346</v>
      </c>
      <c r="O91" s="7">
        <v>65345.919999999998</v>
      </c>
      <c r="P91" s="21"/>
      <c r="Q91" s="30">
        <v>0.11</v>
      </c>
    </row>
    <row r="92" spans="1:17" x14ac:dyDescent="0.25">
      <c r="A92" s="5" t="s">
        <v>15</v>
      </c>
      <c r="B92" s="22">
        <f t="shared" si="7"/>
        <v>7</v>
      </c>
      <c r="C92" s="23">
        <v>2023</v>
      </c>
      <c r="D92" s="17"/>
      <c r="E92" s="17">
        <v>1.05</v>
      </c>
      <c r="F92" s="7">
        <f t="shared" si="0"/>
        <v>613343.6857142857</v>
      </c>
      <c r="G92" s="7">
        <v>644010.87</v>
      </c>
      <c r="H92" s="17"/>
      <c r="I92" s="17">
        <v>12.53</v>
      </c>
      <c r="J92" s="7">
        <f t="shared" si="1"/>
        <v>13194.500399042299</v>
      </c>
      <c r="K92" s="7">
        <v>165327.09</v>
      </c>
      <c r="L92" s="17"/>
      <c r="M92" s="17">
        <v>11.4</v>
      </c>
      <c r="N92" s="7">
        <f t="shared" si="6"/>
        <v>6056.3561403508775</v>
      </c>
      <c r="O92" s="7">
        <v>69042.460000000006</v>
      </c>
      <c r="P92" s="21"/>
      <c r="Q92" s="30">
        <v>0.11</v>
      </c>
    </row>
    <row r="93" spans="1:17" x14ac:dyDescent="0.25">
      <c r="A93" s="5" t="s">
        <v>15</v>
      </c>
      <c r="B93" s="22">
        <f t="shared" si="7"/>
        <v>8</v>
      </c>
      <c r="C93" s="23">
        <v>2023</v>
      </c>
      <c r="D93" s="17"/>
      <c r="E93" s="17">
        <v>1.05</v>
      </c>
      <c r="F93" s="7">
        <f t="shared" si="0"/>
        <v>626469.53333333333</v>
      </c>
      <c r="G93" s="7">
        <v>657793.01</v>
      </c>
      <c r="H93" s="17"/>
      <c r="I93" s="17">
        <v>12.53</v>
      </c>
      <c r="J93" s="7">
        <f t="shared" si="1"/>
        <v>12811.532322426177</v>
      </c>
      <c r="K93" s="7">
        <v>160528.5</v>
      </c>
      <c r="L93" s="17"/>
      <c r="M93" s="17">
        <v>11.4</v>
      </c>
      <c r="N93" s="7">
        <f t="shared" si="6"/>
        <v>6124.644736842105</v>
      </c>
      <c r="O93" s="7">
        <v>69820.95</v>
      </c>
      <c r="P93" s="21"/>
      <c r="Q93" s="30">
        <v>0.11</v>
      </c>
    </row>
    <row r="94" spans="1:17" x14ac:dyDescent="0.25">
      <c r="A94" s="5" t="s">
        <v>15</v>
      </c>
      <c r="B94" s="22">
        <f t="shared" si="7"/>
        <v>9</v>
      </c>
      <c r="C94" s="23">
        <v>2023</v>
      </c>
      <c r="D94" s="17"/>
      <c r="E94" s="17">
        <v>1.05</v>
      </c>
      <c r="F94" s="7">
        <f t="shared" si="0"/>
        <v>566498.88571428566</v>
      </c>
      <c r="G94" s="7">
        <v>594823.82999999996</v>
      </c>
      <c r="H94" s="17"/>
      <c r="I94" s="17">
        <v>12.53</v>
      </c>
      <c r="J94" s="7">
        <f t="shared" si="1"/>
        <v>13746.839584996011</v>
      </c>
      <c r="K94" s="7">
        <v>172247.9</v>
      </c>
      <c r="L94" s="17"/>
      <c r="M94" s="17">
        <v>11.4</v>
      </c>
      <c r="N94" s="7">
        <f t="shared" si="6"/>
        <v>6115.5263157894733</v>
      </c>
      <c r="O94" s="7">
        <v>69717</v>
      </c>
      <c r="P94" s="21"/>
      <c r="Q94" s="30">
        <v>0.11</v>
      </c>
    </row>
    <row r="95" spans="1:17" x14ac:dyDescent="0.25">
      <c r="A95" s="5" t="s">
        <v>15</v>
      </c>
      <c r="B95" s="22">
        <f t="shared" si="7"/>
        <v>10</v>
      </c>
      <c r="C95" s="23">
        <v>2023</v>
      </c>
      <c r="D95" s="17"/>
      <c r="E95" s="17">
        <v>1.05</v>
      </c>
      <c r="F95" s="7">
        <f t="shared" si="0"/>
        <v>504299.52380952379</v>
      </c>
      <c r="G95" s="7">
        <v>529514.5</v>
      </c>
      <c r="H95" s="17"/>
      <c r="I95" s="17">
        <v>12.53</v>
      </c>
      <c r="J95" s="7">
        <f t="shared" si="1"/>
        <v>15205.331205107741</v>
      </c>
      <c r="K95" s="7">
        <v>190522.8</v>
      </c>
      <c r="L95" s="17"/>
      <c r="M95" s="17">
        <v>11.4</v>
      </c>
      <c r="N95" s="7">
        <f t="shared" si="6"/>
        <v>5938.5333333333328</v>
      </c>
      <c r="O95" s="7">
        <v>67699.28</v>
      </c>
      <c r="P95" s="21"/>
      <c r="Q95" s="30">
        <v>0.11</v>
      </c>
    </row>
    <row r="96" spans="1:17" x14ac:dyDescent="0.25">
      <c r="A96" s="5" t="s">
        <v>15</v>
      </c>
      <c r="B96" s="22">
        <f t="shared" si="7"/>
        <v>11</v>
      </c>
      <c r="C96" s="23">
        <v>2023</v>
      </c>
      <c r="D96" s="17"/>
      <c r="E96" s="17">
        <v>1.05</v>
      </c>
      <c r="F96" s="7">
        <f t="shared" si="0"/>
        <v>401257.03809523809</v>
      </c>
      <c r="G96" s="7">
        <v>421319.89</v>
      </c>
      <c r="H96" s="17"/>
      <c r="I96" s="17">
        <v>12.53</v>
      </c>
      <c r="J96" s="7">
        <f t="shared" si="1"/>
        <v>22738.82681564246</v>
      </c>
      <c r="K96" s="7">
        <v>284917.5</v>
      </c>
      <c r="L96" s="17"/>
      <c r="M96" s="17">
        <v>11.4</v>
      </c>
      <c r="N96" s="7">
        <f t="shared" si="6"/>
        <v>5827</v>
      </c>
      <c r="O96" s="7">
        <v>66427.8</v>
      </c>
      <c r="P96" s="21"/>
      <c r="Q96" s="30">
        <v>0.11</v>
      </c>
    </row>
    <row r="97" spans="1:17" x14ac:dyDescent="0.25">
      <c r="A97" s="5" t="s">
        <v>15</v>
      </c>
      <c r="B97" s="22">
        <f t="shared" si="7"/>
        <v>12</v>
      </c>
      <c r="C97" s="23">
        <v>2023</v>
      </c>
      <c r="D97" s="17"/>
      <c r="E97" s="17">
        <v>1.05</v>
      </c>
      <c r="F97" s="7">
        <f t="shared" si="0"/>
        <v>387371.21904761903</v>
      </c>
      <c r="G97" s="7">
        <v>406739.78</v>
      </c>
      <c r="H97" s="17"/>
      <c r="I97" s="17">
        <v>12.53</v>
      </c>
      <c r="J97" s="7">
        <f t="shared" si="1"/>
        <v>22970.470869912213</v>
      </c>
      <c r="K97" s="7">
        <v>287820</v>
      </c>
      <c r="L97" s="17"/>
      <c r="M97" s="17">
        <v>11.4</v>
      </c>
      <c r="N97" s="7">
        <f t="shared" si="6"/>
        <v>5204.2622807017542</v>
      </c>
      <c r="O97" s="7">
        <v>59328.59</v>
      </c>
      <c r="P97" s="21"/>
      <c r="Q97" s="30">
        <v>0.11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Georges Sebaaly</dc:creator>
  <cp:keywords/>
  <dc:description/>
  <cp:lastModifiedBy>Salaheddine Lasmar</cp:lastModifiedBy>
  <cp:revision/>
  <dcterms:created xsi:type="dcterms:W3CDTF">2019-03-15T13:10:25Z</dcterms:created>
  <dcterms:modified xsi:type="dcterms:W3CDTF">2023-02-20T11:13:58Z</dcterms:modified>
  <cp:category/>
  <cp:contentStatus/>
</cp:coreProperties>
</file>