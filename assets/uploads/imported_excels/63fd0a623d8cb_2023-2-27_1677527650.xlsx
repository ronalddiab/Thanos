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AC897583-E34D-498B-8352-14B1BA865172}" xr6:coauthVersionLast="47" xr6:coauthVersionMax="47" xr10:uidLastSave="{00000000-0000-0000-0000-000000000000}"/>
  <bookViews>
    <workbookView xWindow="-120" yWindow="-120" windowWidth="29040" windowHeight="15840" tabRatio="76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énergie'!$A$1:$Y$55</definedName>
    <definedName name="_xlnm.Print_Area" localSheetId="5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9" i="2" l="1"/>
  <c r="N48" i="2"/>
  <c r="L47" i="2"/>
  <c r="N47" i="2" s="1"/>
  <c r="L46" i="2"/>
  <c r="N46" i="2" s="1"/>
  <c r="Q26" i="2"/>
  <c r="Q33" i="2"/>
  <c r="Q34" i="2"/>
  <c r="X11" i="2"/>
  <c r="X12" i="2"/>
  <c r="X13" i="2"/>
  <c r="X19" i="2"/>
  <c r="X20" i="2"/>
  <c r="X27" i="2"/>
  <c r="X28" i="2"/>
  <c r="X29" i="2"/>
  <c r="X36" i="2"/>
  <c r="X37" i="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E11" i="6"/>
  <c r="E12" i="6"/>
  <c r="E13" i="6"/>
  <c r="E14" i="6"/>
  <c r="E15" i="6"/>
  <c r="E16" i="6"/>
  <c r="E17" i="6"/>
  <c r="E18" i="6"/>
  <c r="F19" i="2" s="1"/>
  <c r="E19" i="6"/>
  <c r="E20" i="6"/>
  <c r="E21" i="6"/>
  <c r="E22" i="6"/>
  <c r="E23" i="6"/>
  <c r="E24" i="6"/>
  <c r="E25" i="6"/>
  <c r="E26" i="6"/>
  <c r="F27" i="2" s="1"/>
  <c r="E27" i="6"/>
  <c r="E28" i="6"/>
  <c r="E29" i="6"/>
  <c r="E30" i="6"/>
  <c r="E31" i="6"/>
  <c r="E32" i="6"/>
  <c r="E33" i="6"/>
  <c r="E34" i="6"/>
  <c r="F35" i="2" s="1"/>
  <c r="E35" i="6"/>
  <c r="E36" i="6"/>
  <c r="E37" i="6"/>
  <c r="E38" i="6"/>
  <c r="E39" i="6"/>
  <c r="K11" i="6"/>
  <c r="K12" i="6"/>
  <c r="K13" i="6"/>
  <c r="K14" i="6"/>
  <c r="K15" i="6"/>
  <c r="K16" i="6"/>
  <c r="N17" i="2" s="1"/>
  <c r="G9" i="21" s="1"/>
  <c r="K17" i="6"/>
  <c r="K18" i="6"/>
  <c r="K19" i="6"/>
  <c r="K20" i="6"/>
  <c r="K21" i="6"/>
  <c r="K22" i="6"/>
  <c r="K23" i="6"/>
  <c r="K24" i="6"/>
  <c r="N25" i="2" s="1"/>
  <c r="G17" i="21" s="1"/>
  <c r="K25" i="6"/>
  <c r="K26" i="6"/>
  <c r="K27" i="6"/>
  <c r="K28" i="6"/>
  <c r="K29" i="6"/>
  <c r="K30" i="6"/>
  <c r="K31" i="6"/>
  <c r="K32" i="6"/>
  <c r="N33" i="2" s="1"/>
  <c r="G25" i="21" s="1"/>
  <c r="K33" i="6"/>
  <c r="K34" i="6"/>
  <c r="K35" i="6"/>
  <c r="K36" i="6"/>
  <c r="K37" i="6"/>
  <c r="K38" i="6"/>
  <c r="K39" i="6"/>
  <c r="I11" i="6"/>
  <c r="I12" i="6"/>
  <c r="I13" i="6"/>
  <c r="I14" i="6"/>
  <c r="I15" i="6"/>
  <c r="I16" i="6"/>
  <c r="I17" i="6"/>
  <c r="I18" i="6"/>
  <c r="M19" i="2" s="1"/>
  <c r="F11" i="21" s="1"/>
  <c r="I19" i="6"/>
  <c r="I20" i="6"/>
  <c r="I21" i="6"/>
  <c r="I22" i="6"/>
  <c r="I23" i="6"/>
  <c r="I24" i="6"/>
  <c r="I25" i="6"/>
  <c r="I26" i="6"/>
  <c r="M27" i="2" s="1"/>
  <c r="F19" i="21" s="1"/>
  <c r="I27" i="6"/>
  <c r="I28" i="6"/>
  <c r="I29" i="6"/>
  <c r="I30" i="6"/>
  <c r="I31" i="6"/>
  <c r="I32" i="6"/>
  <c r="I33" i="6"/>
  <c r="I34" i="6"/>
  <c r="M35" i="2" s="1"/>
  <c r="I35" i="6"/>
  <c r="I36" i="6"/>
  <c r="I37" i="6"/>
  <c r="I38" i="6"/>
  <c r="I39" i="6"/>
  <c r="G11" i="6"/>
  <c r="G12" i="6"/>
  <c r="G13" i="6"/>
  <c r="G14" i="6"/>
  <c r="G15" i="6"/>
  <c r="G16" i="6"/>
  <c r="L17" i="2" s="1"/>
  <c r="G17" i="6"/>
  <c r="G18" i="6"/>
  <c r="L19" i="2" s="1"/>
  <c r="Q19" i="2" s="1"/>
  <c r="G19" i="6"/>
  <c r="G20" i="6"/>
  <c r="G21" i="6"/>
  <c r="G22" i="6"/>
  <c r="G23" i="6"/>
  <c r="G24" i="6"/>
  <c r="L25" i="2" s="1"/>
  <c r="G25" i="6"/>
  <c r="G26" i="6"/>
  <c r="L27" i="2" s="1"/>
  <c r="Q27" i="2" s="1"/>
  <c r="G27" i="6"/>
  <c r="G28" i="6"/>
  <c r="G29" i="6"/>
  <c r="G30" i="6"/>
  <c r="G31" i="6"/>
  <c r="G32" i="6"/>
  <c r="L33" i="2" s="1"/>
  <c r="G33" i="6"/>
  <c r="G34" i="6"/>
  <c r="G35" i="6"/>
  <c r="G36" i="6"/>
  <c r="G37" i="6"/>
  <c r="G38" i="6"/>
  <c r="G39" i="6"/>
  <c r="O5" i="4"/>
  <c r="O6" i="4"/>
  <c r="P6" i="4" s="1"/>
  <c r="O7" i="4"/>
  <c r="O8" i="4"/>
  <c r="O9" i="4"/>
  <c r="O10" i="4"/>
  <c r="P10" i="4" s="1"/>
  <c r="O11" i="4"/>
  <c r="O12" i="4"/>
  <c r="P12" i="4" s="1"/>
  <c r="O13" i="4"/>
  <c r="O14" i="4"/>
  <c r="P14" i="4" s="1"/>
  <c r="O15" i="4"/>
  <c r="O16" i="4"/>
  <c r="O17" i="4"/>
  <c r="O18" i="4"/>
  <c r="P18" i="4" s="1"/>
  <c r="O19" i="4"/>
  <c r="O20" i="4"/>
  <c r="P20" i="4" s="1"/>
  <c r="O21" i="4"/>
  <c r="O22" i="4"/>
  <c r="P22" i="4" s="1"/>
  <c r="O23" i="4"/>
  <c r="O24" i="4"/>
  <c r="O25" i="4"/>
  <c r="O26" i="4"/>
  <c r="P26" i="4" s="1"/>
  <c r="O27" i="4"/>
  <c r="O28" i="4"/>
  <c r="V34" i="2" s="1"/>
  <c r="X34" i="2" s="1"/>
  <c r="O29" i="4"/>
  <c r="O30" i="4"/>
  <c r="P30" i="4" s="1"/>
  <c r="O31" i="4"/>
  <c r="O32" i="4"/>
  <c r="O33" i="4"/>
  <c r="P5" i="4"/>
  <c r="P7" i="4"/>
  <c r="P8" i="4"/>
  <c r="P9" i="4"/>
  <c r="P11" i="4"/>
  <c r="P13" i="4"/>
  <c r="P15" i="4"/>
  <c r="P16" i="4"/>
  <c r="P17" i="4"/>
  <c r="P19" i="4"/>
  <c r="P21" i="4"/>
  <c r="P23" i="4"/>
  <c r="P24" i="4"/>
  <c r="P25" i="4"/>
  <c r="P27" i="4"/>
  <c r="P29" i="4"/>
  <c r="P31" i="4"/>
  <c r="P32" i="4"/>
  <c r="P33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" i="22"/>
  <c r="K4" i="22"/>
  <c r="K5" i="22"/>
  <c r="K6" i="22"/>
  <c r="K7" i="22"/>
  <c r="K8" i="22"/>
  <c r="K9" i="22"/>
  <c r="K10" i="22"/>
  <c r="K11" i="22"/>
  <c r="K12" i="22"/>
  <c r="K13" i="22"/>
  <c r="F3" i="21"/>
  <c r="E31" i="21"/>
  <c r="V39" i="2"/>
  <c r="X39" i="2" s="1"/>
  <c r="N39" i="2"/>
  <c r="G31" i="21" s="1"/>
  <c r="M39" i="2"/>
  <c r="F31" i="21" s="1"/>
  <c r="L39" i="2"/>
  <c r="Q39" i="2" s="1"/>
  <c r="F39" i="2"/>
  <c r="I31" i="22" s="1"/>
  <c r="P34" i="4"/>
  <c r="P35" i="4"/>
  <c r="P36" i="4"/>
  <c r="P4" i="4"/>
  <c r="C38" i="6"/>
  <c r="C39" i="6"/>
  <c r="V36" i="2"/>
  <c r="G28" i="22" s="1"/>
  <c r="V37" i="2"/>
  <c r="N37" i="2"/>
  <c r="G29" i="21" s="1"/>
  <c r="N38" i="2"/>
  <c r="G30" i="21" s="1"/>
  <c r="M37" i="2"/>
  <c r="F29" i="21" s="1"/>
  <c r="M38" i="2"/>
  <c r="F30" i="21" s="1"/>
  <c r="L37" i="2"/>
  <c r="E29" i="21" s="1"/>
  <c r="L38" i="2"/>
  <c r="E30" i="21" s="1"/>
  <c r="F37" i="2"/>
  <c r="H37" i="2" s="1"/>
  <c r="F38" i="2"/>
  <c r="I30" i="22" s="1"/>
  <c r="C37" i="6"/>
  <c r="C36" i="6"/>
  <c r="V35" i="2"/>
  <c r="G27" i="22" s="1"/>
  <c r="N36" i="2"/>
  <c r="G28" i="21" s="1"/>
  <c r="M36" i="2"/>
  <c r="F28" i="21" s="1"/>
  <c r="L36" i="2"/>
  <c r="Q36" i="2" s="1"/>
  <c r="F36" i="2"/>
  <c r="I28" i="22" s="1"/>
  <c r="C34" i="6"/>
  <c r="C35" i="6"/>
  <c r="N35" i="2"/>
  <c r="G27" i="21" s="1"/>
  <c r="L35" i="2"/>
  <c r="Q35" i="2" s="1"/>
  <c r="V30" i="2"/>
  <c r="X30" i="2" s="1"/>
  <c r="V31" i="2"/>
  <c r="G23" i="22" s="1"/>
  <c r="V32" i="2"/>
  <c r="G24" i="22" s="1"/>
  <c r="V33" i="2"/>
  <c r="G25" i="22" s="1"/>
  <c r="N31" i="2"/>
  <c r="G23" i="21" s="1"/>
  <c r="N32" i="2"/>
  <c r="G24" i="21" s="1"/>
  <c r="N34" i="2"/>
  <c r="G26" i="21" s="1"/>
  <c r="M31" i="2"/>
  <c r="F23" i="21" s="1"/>
  <c r="M32" i="2"/>
  <c r="F24" i="21" s="1"/>
  <c r="M33" i="2"/>
  <c r="F25" i="21" s="1"/>
  <c r="M34" i="2"/>
  <c r="F26" i="21" s="1"/>
  <c r="L31" i="2"/>
  <c r="Q31" i="2" s="1"/>
  <c r="L32" i="2"/>
  <c r="E24" i="21" s="1"/>
  <c r="L34" i="2"/>
  <c r="E26" i="21" s="1"/>
  <c r="F31" i="2"/>
  <c r="I23" i="22" s="1"/>
  <c r="F32" i="2"/>
  <c r="I24" i="22" s="1"/>
  <c r="F33" i="2"/>
  <c r="I25" i="22" s="1"/>
  <c r="F34" i="2"/>
  <c r="I26" i="22" s="1"/>
  <c r="C32" i="6"/>
  <c r="C30" i="6"/>
  <c r="C31" i="6"/>
  <c r="V29" i="2"/>
  <c r="N30" i="2"/>
  <c r="G22" i="21" s="1"/>
  <c r="M30" i="2"/>
  <c r="F22" i="21" s="1"/>
  <c r="L30" i="2"/>
  <c r="E22" i="21" s="1"/>
  <c r="F30" i="2"/>
  <c r="I22" i="22" s="1"/>
  <c r="C29" i="6"/>
  <c r="V28" i="2"/>
  <c r="N29" i="2"/>
  <c r="G21" i="21" s="1"/>
  <c r="M29" i="2"/>
  <c r="F21" i="21" s="1"/>
  <c r="L29" i="2"/>
  <c r="E21" i="21" s="1"/>
  <c r="M28" i="2"/>
  <c r="F20" i="21" s="1"/>
  <c r="F29" i="2"/>
  <c r="I21" i="22" s="1"/>
  <c r="C28" i="6"/>
  <c r="V27" i="2"/>
  <c r="G19" i="22" s="1"/>
  <c r="N28" i="2"/>
  <c r="L28" i="2"/>
  <c r="E20" i="21" s="1"/>
  <c r="F28" i="2"/>
  <c r="I20" i="22" s="1"/>
  <c r="C27" i="6"/>
  <c r="V26" i="2"/>
  <c r="G18" i="22" s="1"/>
  <c r="N27" i="2"/>
  <c r="G19" i="21" s="1"/>
  <c r="C26" i="6"/>
  <c r="V23" i="2"/>
  <c r="G15" i="22" s="1"/>
  <c r="V24" i="2"/>
  <c r="G16" i="22" s="1"/>
  <c r="V25" i="2"/>
  <c r="G17" i="22" s="1"/>
  <c r="N24" i="2"/>
  <c r="G16" i="21" s="1"/>
  <c r="N26" i="2"/>
  <c r="G18" i="21" s="1"/>
  <c r="M24" i="2"/>
  <c r="F16" i="21" s="1"/>
  <c r="M25" i="2"/>
  <c r="F17" i="21" s="1"/>
  <c r="M26" i="2"/>
  <c r="F18" i="21" s="1"/>
  <c r="L24" i="2"/>
  <c r="L26" i="2"/>
  <c r="E18" i="21" s="1"/>
  <c r="F24" i="2"/>
  <c r="H24" i="2" s="1"/>
  <c r="F25" i="2"/>
  <c r="I17" i="22" s="1"/>
  <c r="F26" i="2"/>
  <c r="I18" i="22" s="1"/>
  <c r="C25" i="6"/>
  <c r="C24" i="6"/>
  <c r="C23" i="6"/>
  <c r="V22" i="2"/>
  <c r="G14" i="22" s="1"/>
  <c r="N23" i="2"/>
  <c r="G15" i="21" s="1"/>
  <c r="M23" i="2"/>
  <c r="F15" i="21" s="1"/>
  <c r="L23" i="2"/>
  <c r="Q23" i="2" s="1"/>
  <c r="F23" i="2"/>
  <c r="I15" i="22" s="1"/>
  <c r="C22" i="6"/>
  <c r="V21" i="2"/>
  <c r="X21" i="2" s="1"/>
  <c r="M22" i="2"/>
  <c r="F14" i="21" s="1"/>
  <c r="L22" i="2"/>
  <c r="E14" i="21" s="1"/>
  <c r="F22" i="2"/>
  <c r="I14" i="22" s="1"/>
  <c r="N22" i="2"/>
  <c r="G14" i="21" s="1"/>
  <c r="C21" i="6"/>
  <c r="V20" i="2"/>
  <c r="N21" i="2"/>
  <c r="G13" i="21" s="1"/>
  <c r="M21" i="2"/>
  <c r="F13" i="21" s="1"/>
  <c r="L21" i="2"/>
  <c r="E13" i="21" s="1"/>
  <c r="F21" i="2"/>
  <c r="I13" i="22" s="1"/>
  <c r="C20" i="6"/>
  <c r="P37" i="4"/>
  <c r="V19" i="2"/>
  <c r="G11" i="22" s="1"/>
  <c r="N19" i="2"/>
  <c r="G11" i="21" s="1"/>
  <c r="N20" i="2"/>
  <c r="G12" i="21" s="1"/>
  <c r="M20" i="2"/>
  <c r="F12" i="21" s="1"/>
  <c r="L20" i="2"/>
  <c r="E12" i="21" s="1"/>
  <c r="F20" i="2"/>
  <c r="I12" i="22" s="1"/>
  <c r="C19" i="6"/>
  <c r="C18" i="6"/>
  <c r="V17" i="2"/>
  <c r="G9" i="22" s="1"/>
  <c r="N18" i="2"/>
  <c r="G10" i="21" s="1"/>
  <c r="M18" i="2"/>
  <c r="F10" i="21" s="1"/>
  <c r="L18" i="2"/>
  <c r="E10" i="21" s="1"/>
  <c r="F18" i="2"/>
  <c r="I10" i="22" s="1"/>
  <c r="C17" i="6"/>
  <c r="V15" i="2"/>
  <c r="G7" i="22" s="1"/>
  <c r="V16" i="2"/>
  <c r="G8" i="22" s="1"/>
  <c r="N16" i="2"/>
  <c r="G8" i="21" s="1"/>
  <c r="M16" i="2"/>
  <c r="F8" i="21" s="1"/>
  <c r="M17" i="2"/>
  <c r="F9" i="21" s="1"/>
  <c r="L16" i="2"/>
  <c r="E8" i="21" s="1"/>
  <c r="F16" i="2"/>
  <c r="I8" i="22" s="1"/>
  <c r="F17" i="2"/>
  <c r="I9" i="22" s="1"/>
  <c r="C16" i="6"/>
  <c r="C15" i="6"/>
  <c r="V14" i="2"/>
  <c r="X14" i="2" s="1"/>
  <c r="N15" i="2"/>
  <c r="G7" i="21" s="1"/>
  <c r="M15" i="2"/>
  <c r="F7" i="21" s="1"/>
  <c r="L15" i="2"/>
  <c r="E7" i="21" s="1"/>
  <c r="F15" i="2"/>
  <c r="I7" i="22" s="1"/>
  <c r="C14" i="6"/>
  <c r="V11" i="2"/>
  <c r="G3" i="22" s="1"/>
  <c r="V12" i="2"/>
  <c r="V13" i="2"/>
  <c r="V10" i="2"/>
  <c r="X10" i="2" s="1"/>
  <c r="N11" i="2"/>
  <c r="G3" i="21" s="1"/>
  <c r="N12" i="2"/>
  <c r="G4" i="21" s="1"/>
  <c r="N13" i="2"/>
  <c r="N14" i="2"/>
  <c r="G6" i="21" s="1"/>
  <c r="M14" i="2"/>
  <c r="F6" i="21" s="1"/>
  <c r="M11" i="2"/>
  <c r="M12" i="2"/>
  <c r="F4" i="21" s="1"/>
  <c r="M13" i="2"/>
  <c r="L11" i="2"/>
  <c r="Q11" i="2" s="1"/>
  <c r="L12" i="2"/>
  <c r="E4" i="21" s="1"/>
  <c r="L13" i="2"/>
  <c r="E5" i="21" s="1"/>
  <c r="L14" i="2"/>
  <c r="E6" i="21" s="1"/>
  <c r="F11" i="2"/>
  <c r="I3" i="22" s="1"/>
  <c r="F12" i="2"/>
  <c r="I4" i="22" s="1"/>
  <c r="F13" i="2"/>
  <c r="I5" i="22" s="1"/>
  <c r="F14" i="2"/>
  <c r="I6" i="22" s="1"/>
  <c r="N10" i="2"/>
  <c r="G2" i="21" s="1"/>
  <c r="M10" i="2"/>
  <c r="F2" i="21" s="1"/>
  <c r="L10" i="2"/>
  <c r="F10" i="2"/>
  <c r="C12" i="6"/>
  <c r="C13" i="6"/>
  <c r="C11" i="6"/>
  <c r="G4" i="4"/>
  <c r="E4" i="4"/>
  <c r="C4" i="4"/>
  <c r="C33" i="6"/>
  <c r="K10" i="6"/>
  <c r="I10" i="6"/>
  <c r="G10" i="6"/>
  <c r="E10" i="6"/>
  <c r="C10" i="6"/>
  <c r="I26" i="21"/>
  <c r="I27" i="21"/>
  <c r="I28" i="21"/>
  <c r="I29" i="21"/>
  <c r="I30" i="21"/>
  <c r="I31" i="21"/>
  <c r="H39" i="2"/>
  <c r="H36" i="2"/>
  <c r="G21" i="4"/>
  <c r="E21" i="4"/>
  <c r="C21" i="4"/>
  <c r="M4" i="4"/>
  <c r="M5" i="4"/>
  <c r="M6" i="4"/>
  <c r="M7" i="4"/>
  <c r="G17" i="4"/>
  <c r="P42" i="4"/>
  <c r="C35" i="4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4" i="4"/>
  <c r="G16" i="4"/>
  <c r="E8" i="4"/>
  <c r="E14" i="4"/>
  <c r="E16" i="4"/>
  <c r="E17" i="4"/>
  <c r="C8" i="4"/>
  <c r="C14" i="4"/>
  <c r="C16" i="4"/>
  <c r="C17" i="4"/>
  <c r="AC9" i="4"/>
  <c r="AC10" i="4"/>
  <c r="O11" i="2"/>
  <c r="I23" i="21"/>
  <c r="I24" i="21"/>
  <c r="I25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I2" i="22"/>
  <c r="H38" i="2"/>
  <c r="H34" i="2"/>
  <c r="H31" i="2"/>
  <c r="H30" i="2"/>
  <c r="H26" i="2"/>
  <c r="H25" i="2"/>
  <c r="H21" i="2"/>
  <c r="H20" i="2"/>
  <c r="H18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28" i="2"/>
  <c r="H22" i="2"/>
  <c r="I19" i="10"/>
  <c r="E20" i="10"/>
  <c r="D25" i="10"/>
  <c r="F25" i="10"/>
  <c r="F32" i="10"/>
  <c r="H25" i="10"/>
  <c r="I25" i="10"/>
  <c r="I32" i="10"/>
  <c r="F18" i="10"/>
  <c r="O16" i="2"/>
  <c r="H15" i="2"/>
  <c r="O22" i="2"/>
  <c r="O18" i="2"/>
  <c r="F25" i="18"/>
  <c r="F29" i="18"/>
  <c r="F21" i="11"/>
  <c r="F23" i="11"/>
  <c r="F24" i="1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N28" i="4"/>
  <c r="L16" i="4"/>
  <c r="N16" i="4"/>
  <c r="L14" i="4"/>
  <c r="N14" i="4"/>
  <c r="L27" i="4"/>
  <c r="N27" i="4"/>
  <c r="L34" i="4"/>
  <c r="N34" i="4"/>
  <c r="O34" i="4"/>
  <c r="L30" i="4"/>
  <c r="N30" i="4"/>
  <c r="L18" i="4"/>
  <c r="N18" i="4"/>
  <c r="L21" i="4"/>
  <c r="N21" i="4"/>
  <c r="L29" i="4"/>
  <c r="N29" i="4"/>
  <c r="L24" i="4"/>
  <c r="N24" i="4"/>
  <c r="L12" i="4"/>
  <c r="N12" i="4"/>
  <c r="L11" i="4"/>
  <c r="N11" i="4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E2" i="21"/>
  <c r="H10" i="2"/>
  <c r="Q44" i="4"/>
  <c r="AC44" i="4"/>
  <c r="K48" i="4" s="1"/>
  <c r="L48" i="4" s="1"/>
  <c r="M48" i="4" s="1"/>
  <c r="L9" i="4"/>
  <c r="N9" i="4"/>
  <c r="AC43" i="4"/>
  <c r="I9" i="4"/>
  <c r="E2" i="22" l="1"/>
  <c r="J2" i="21"/>
  <c r="O10" i="2"/>
  <c r="Q10" i="2"/>
  <c r="Q25" i="2"/>
  <c r="X35" i="2"/>
  <c r="Q32" i="2"/>
  <c r="Q24" i="2"/>
  <c r="Q16" i="2"/>
  <c r="Q18" i="2"/>
  <c r="Q17" i="2"/>
  <c r="H32" i="2"/>
  <c r="O31" i="2"/>
  <c r="E23" i="21"/>
  <c r="J23" i="21" s="1"/>
  <c r="X26" i="2"/>
  <c r="Q15" i="2"/>
  <c r="O37" i="2"/>
  <c r="O21" i="2"/>
  <c r="O32" i="2"/>
  <c r="E3" i="21"/>
  <c r="G31" i="22"/>
  <c r="X33" i="2"/>
  <c r="X25" i="2"/>
  <c r="X17" i="2"/>
  <c r="Q38" i="2"/>
  <c r="Q30" i="2"/>
  <c r="Q22" i="2"/>
  <c r="Q14" i="2"/>
  <c r="M40" i="2"/>
  <c r="I44" i="2" s="1"/>
  <c r="L44" i="2" s="1"/>
  <c r="H23" i="2"/>
  <c r="O28" i="2"/>
  <c r="G22" i="22"/>
  <c r="X32" i="2"/>
  <c r="X24" i="2"/>
  <c r="X16" i="2"/>
  <c r="Q37" i="2"/>
  <c r="Q29" i="2"/>
  <c r="Q21" i="2"/>
  <c r="Q13" i="2"/>
  <c r="O30" i="2"/>
  <c r="H33" i="2"/>
  <c r="O20" i="2"/>
  <c r="O24" i="2"/>
  <c r="X31" i="2"/>
  <c r="X23" i="2"/>
  <c r="X15" i="2"/>
  <c r="Q28" i="2"/>
  <c r="Q20" i="2"/>
  <c r="Q12" i="2"/>
  <c r="H29" i="2"/>
  <c r="O29" i="2"/>
  <c r="O38" i="2"/>
  <c r="O26" i="2"/>
  <c r="N40" i="2"/>
  <c r="I45" i="2" s="1"/>
  <c r="L45" i="2" s="1"/>
  <c r="X22" i="2"/>
  <c r="I16" i="22"/>
  <c r="G5" i="21"/>
  <c r="G20" i="21"/>
  <c r="F27" i="21"/>
  <c r="E29" i="22"/>
  <c r="F5" i="21"/>
  <c r="O39" i="2"/>
  <c r="E31" i="22"/>
  <c r="E6" i="22"/>
  <c r="E5" i="22"/>
  <c r="E14" i="22"/>
  <c r="E30" i="22"/>
  <c r="E4" i="22"/>
  <c r="O35" i="2"/>
  <c r="O36" i="2"/>
  <c r="E7" i="22"/>
  <c r="E24" i="22"/>
  <c r="J24" i="21"/>
  <c r="E11" i="21"/>
  <c r="O19" i="2"/>
  <c r="E8" i="22"/>
  <c r="J8" i="21"/>
  <c r="J18" i="21"/>
  <c r="E18" i="22"/>
  <c r="J13" i="21"/>
  <c r="E13" i="22"/>
  <c r="O33" i="2"/>
  <c r="E25" i="21"/>
  <c r="O25" i="2"/>
  <c r="E17" i="21"/>
  <c r="O17" i="2"/>
  <c r="E9" i="21"/>
  <c r="E19" i="21"/>
  <c r="O27" i="2"/>
  <c r="E10" i="22"/>
  <c r="J10" i="21"/>
  <c r="J20" i="21"/>
  <c r="E20" i="22"/>
  <c r="J21" i="21"/>
  <c r="E21" i="22"/>
  <c r="E22" i="22"/>
  <c r="J22" i="21"/>
  <c r="J12" i="21"/>
  <c r="E12" i="22"/>
  <c r="J26" i="21"/>
  <c r="E26" i="22"/>
  <c r="O23" i="2"/>
  <c r="E16" i="21"/>
  <c r="E15" i="21"/>
  <c r="O34" i="2"/>
  <c r="E28" i="21"/>
  <c r="E28" i="22" s="1"/>
  <c r="E27" i="21"/>
  <c r="E27" i="22" s="1"/>
  <c r="E23" i="22"/>
  <c r="I27" i="22"/>
  <c r="H35" i="2"/>
  <c r="I19" i="22"/>
  <c r="H27" i="2"/>
  <c r="I11" i="22"/>
  <c r="H19" i="2"/>
  <c r="H17" i="2"/>
  <c r="I29" i="22"/>
  <c r="F40" i="2"/>
  <c r="G26" i="22"/>
  <c r="G6" i="22"/>
  <c r="G29" i="22"/>
  <c r="G21" i="22"/>
  <c r="G13" i="22"/>
  <c r="G5" i="22"/>
  <c r="V18" i="2"/>
  <c r="X18" i="2" s="1"/>
  <c r="G20" i="22"/>
  <c r="G12" i="22"/>
  <c r="G4" i="22"/>
  <c r="P28" i="4"/>
  <c r="V38" i="2"/>
  <c r="X38" i="2" s="1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40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O14" i="2"/>
  <c r="L8" i="4"/>
  <c r="N8" i="4" s="1"/>
  <c r="J14" i="21"/>
  <c r="I4" i="4"/>
  <c r="L4" i="4"/>
  <c r="N4" i="4" s="1"/>
  <c r="J3" i="21" l="1"/>
  <c r="E3" i="22"/>
  <c r="E16" i="22"/>
  <c r="J16" i="21"/>
  <c r="E19" i="22"/>
  <c r="J19" i="21"/>
  <c r="E25" i="22"/>
  <c r="M25" i="22" s="1"/>
  <c r="J25" i="21"/>
  <c r="E15" i="22"/>
  <c r="M15" i="22" s="1"/>
  <c r="J15" i="21"/>
  <c r="E9" i="22"/>
  <c r="M9" i="22" s="1"/>
  <c r="J9" i="21"/>
  <c r="E11" i="22"/>
  <c r="M11" i="22" s="1"/>
  <c r="J11" i="21"/>
  <c r="E17" i="22"/>
  <c r="M17" i="22" s="1"/>
  <c r="J17" i="21"/>
  <c r="G30" i="22"/>
  <c r="G10" i="22"/>
  <c r="M19" i="22"/>
  <c r="M20" i="22"/>
  <c r="M14" i="22"/>
  <c r="M10" i="22"/>
  <c r="M13" i="22"/>
  <c r="M24" i="22"/>
  <c r="M18" i="22"/>
  <c r="M26" i="22"/>
  <c r="M21" i="22"/>
  <c r="M23" i="22"/>
  <c r="M22" i="22"/>
  <c r="M16" i="22"/>
  <c r="M12" i="22"/>
  <c r="O15" i="2"/>
  <c r="O13" i="2"/>
  <c r="O12" i="2"/>
  <c r="M8" i="22"/>
  <c r="H16" i="2"/>
  <c r="H14" i="2"/>
  <c r="H13" i="2"/>
  <c r="H12" i="2"/>
  <c r="H11" i="2"/>
  <c r="O4" i="4"/>
  <c r="N43" i="4"/>
  <c r="M3" i="22"/>
  <c r="H40" i="2" l="1"/>
  <c r="O40" i="2"/>
  <c r="Q40" i="2"/>
  <c r="I53" i="2"/>
  <c r="L53" i="2" s="1"/>
  <c r="N53" i="2" s="1"/>
  <c r="I43" i="2"/>
  <c r="L43" i="2" s="1"/>
  <c r="N43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N52" i="2" l="1"/>
  <c r="N50" i="2"/>
  <c r="N51" i="2" s="1"/>
  <c r="G2" i="22"/>
  <c r="M2" i="22" s="1"/>
  <c r="V40" i="2"/>
  <c r="L47" i="4"/>
  <c r="M47" i="4"/>
  <c r="I54" i="2" l="1"/>
  <c r="L54" i="2" s="1"/>
  <c r="N54" i="2" s="1"/>
</calcChain>
</file>

<file path=xl/sharedStrings.xml><?xml version="1.0" encoding="utf-8"?>
<sst xmlns="http://schemas.openxmlformats.org/spreadsheetml/2006/main" count="488" uniqueCount="188">
  <si>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</si>
  <si>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</si>
  <si>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</si>
  <si>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</si>
  <si>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</si>
  <si>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</si>
  <si>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</si>
  <si>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</si>
  <si>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</si>
  <si>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</si>
  <si>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</si>
  <si>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</si>
  <si>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</si>
  <si>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</si>
  <si>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</si>
  <si>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</si>
  <si>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</si>
  <si>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</si>
  <si>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</si>
  <si>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</si>
  <si>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</si>
  <si>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</si>
  <si>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</si>
  <si>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</si>
  <si>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</si>
  <si>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</si>
  <si>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</si>
  <si>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</si>
  <si>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</si>
  <si>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</si>
  <si>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</si>
  <si>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</si>
  <si>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</si>
  <si>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</si>
  <si>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</si>
  <si>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</si>
  <si>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</si>
  <si>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</si>
  <si>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</si>
  <si>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</si>
  <si>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</si>
  <si>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</si>
  <si>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</si>
  <si>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</si>
  <si>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</si>
  <si>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</si>
  <si>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</si>
  <si>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</si>
  <si>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</si>
  <si>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</si>
  <si>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</si>
  <si>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</si>
  <si>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</si>
  <si>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</si>
  <si>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</si>
  <si>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</si>
  <si>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</si>
  <si>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AVRIL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</si>
  <si>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</si>
  <si>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</si>
  <si>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</si>
  <si>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</si>
  <si>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</si>
  <si>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</si>
  <si>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</si>
  <si>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</si>
  <si>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</si>
  <si>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</si>
  <si>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</si>
  <si>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</si>
  <si>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</si>
  <si>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</si>
  <si>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</si>
  <si>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</si>
  <si>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</si>
  <si>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</si>
  <si>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</si>
  <si>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</si>
  <si>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</si>
  <si>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</si>
  <si>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</si>
  <si>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</si>
  <si>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</si>
  <si>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</si>
  <si>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</si>
  <si>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</si>
  <si>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</si>
  <si>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Avril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</si>
  <si>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</si>
  <si>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</si>
  <si>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</si>
  <si>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</si>
  <si>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</si>
  <si>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</si>
  <si>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</si>
  <si>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</si>
  <si>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</si>
  <si>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</si>
  <si>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</si>
  <si>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</si>
  <si>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</si>
  <si>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</si>
  <si>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</si>
  <si>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</si>
  <si>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</si>
  <si>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</si>
  <si>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</si>
  <si>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</si>
  <si>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</si>
  <si>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</si>
  <si>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</si>
  <si>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</si>
  <si>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</si>
  <si>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</si>
  <si>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</si>
  <si>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</si>
  <si>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</si>
  <si>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</si>
  <si>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</si>
  <si>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</si>
  <si>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</si>
  <si>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</si>
  <si>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</si>
  <si>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</si>
  <si>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</si>
  <si>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</si>
  <si>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</si>
  <si>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</si>
  <si>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</si>
  <si>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</si>
  <si>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</si>
  <si>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</si>
  <si>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Avril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</si>
  <si>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</si>
  <si>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</si>
  <si>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</si>
  <si>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</si>
  <si>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</si>
  <si>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</si>
  <si>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</si>
  <si>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</si>
  <si>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</si>
  <si>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</si>
  <si>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</si>
  <si>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</si>
  <si>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</si>
  <si>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</si>
  <si>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</si>
  <si>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</si>
  <si>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</si>
  <si>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</si>
  <si>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</si>
  <si>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</si>
  <si>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</si>
  <si>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Avril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</si>
  <si>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</si>
  <si>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</si>
  <si>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</si>
  <si>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</si>
  <si>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</si>
  <si>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</si>
  <si>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</si>
  <si>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</si>
  <si>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</si>
  <si>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</si>
  <si>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</si>
  <si>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</si>
  <si>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</si>
  <si>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</si>
  <si>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</si>
  <si>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</si>
  <si>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</si>
  <si>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</si>
  <si>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</si>
  <si>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</si>
  <si>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</si>
  <si>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</si>
  <si>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</si>
  <si>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</si>
  <si>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</si>
  <si>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</si>
  <si>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</si>
  <si>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</si>
  <si>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</si>
  <si>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</si>
  <si>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</si>
  <si>
    <t xml:space="preserve">TOTAL  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</si>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</sst>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40" fillId="6" borderId="5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7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40" fillId="6" borderId="30" xfId="0" applyNumberFormat="1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118.89999999999418</c:v>
                </c:pt>
                <c:pt idx="1">
                  <c:v>143</c:v>
                </c:pt>
                <c:pt idx="2">
                  <c:v>137</c:v>
                </c:pt>
                <c:pt idx="3">
                  <c:v>134</c:v>
                </c:pt>
                <c:pt idx="4">
                  <c:v>63.899999999994179</c:v>
                </c:pt>
                <c:pt idx="5">
                  <c:v>124.5</c:v>
                </c:pt>
                <c:pt idx="6">
                  <c:v>99</c:v>
                </c:pt>
                <c:pt idx="7">
                  <c:v>104</c:v>
                </c:pt>
                <c:pt idx="8">
                  <c:v>136.80000000001746</c:v>
                </c:pt>
                <c:pt idx="9">
                  <c:v>131.79999999998836</c:v>
                </c:pt>
                <c:pt idx="10">
                  <c:v>88</c:v>
                </c:pt>
                <c:pt idx="11">
                  <c:v>104</c:v>
                </c:pt>
                <c:pt idx="12">
                  <c:v>143</c:v>
                </c:pt>
                <c:pt idx="13">
                  <c:v>109</c:v>
                </c:pt>
                <c:pt idx="14">
                  <c:v>108.5</c:v>
                </c:pt>
                <c:pt idx="15">
                  <c:v>156.5</c:v>
                </c:pt>
                <c:pt idx="16">
                  <c:v>126</c:v>
                </c:pt>
                <c:pt idx="17">
                  <c:v>91</c:v>
                </c:pt>
                <c:pt idx="18">
                  <c:v>109</c:v>
                </c:pt>
                <c:pt idx="19">
                  <c:v>104.10000000000582</c:v>
                </c:pt>
                <c:pt idx="20">
                  <c:v>123.5</c:v>
                </c:pt>
                <c:pt idx="21">
                  <c:v>124.39999999999418</c:v>
                </c:pt>
                <c:pt idx="22">
                  <c:v>105</c:v>
                </c:pt>
                <c:pt idx="23">
                  <c:v>100</c:v>
                </c:pt>
                <c:pt idx="24">
                  <c:v>90</c:v>
                </c:pt>
                <c:pt idx="25">
                  <c:v>124</c:v>
                </c:pt>
                <c:pt idx="26">
                  <c:v>84</c:v>
                </c:pt>
                <c:pt idx="27">
                  <c:v>109</c:v>
                </c:pt>
                <c:pt idx="28">
                  <c:v>114</c:v>
                </c:pt>
                <c:pt idx="29">
                  <c:v>94</c:v>
                </c:pt>
                <c:pt idx="30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3872</c:v>
                </c:pt>
                <c:pt idx="1">
                  <c:v>2925</c:v>
                </c:pt>
                <c:pt idx="2">
                  <c:v>2848</c:v>
                </c:pt>
                <c:pt idx="3">
                  <c:v>2993</c:v>
                </c:pt>
                <c:pt idx="4">
                  <c:v>3095</c:v>
                </c:pt>
                <c:pt idx="5">
                  <c:v>2998</c:v>
                </c:pt>
                <c:pt idx="6">
                  <c:v>2968</c:v>
                </c:pt>
                <c:pt idx="7">
                  <c:v>2732</c:v>
                </c:pt>
                <c:pt idx="8">
                  <c:v>2858</c:v>
                </c:pt>
                <c:pt idx="9">
                  <c:v>3317</c:v>
                </c:pt>
                <c:pt idx="10">
                  <c:v>2959</c:v>
                </c:pt>
                <c:pt idx="11">
                  <c:v>3117</c:v>
                </c:pt>
                <c:pt idx="12">
                  <c:v>3569</c:v>
                </c:pt>
                <c:pt idx="13">
                  <c:v>3005</c:v>
                </c:pt>
                <c:pt idx="14">
                  <c:v>2878</c:v>
                </c:pt>
                <c:pt idx="15">
                  <c:v>3637</c:v>
                </c:pt>
                <c:pt idx="16">
                  <c:v>3222</c:v>
                </c:pt>
                <c:pt idx="17">
                  <c:v>3398</c:v>
                </c:pt>
                <c:pt idx="18">
                  <c:v>3298</c:v>
                </c:pt>
                <c:pt idx="19">
                  <c:v>2563</c:v>
                </c:pt>
                <c:pt idx="20">
                  <c:v>3536</c:v>
                </c:pt>
                <c:pt idx="21">
                  <c:v>3952</c:v>
                </c:pt>
                <c:pt idx="22">
                  <c:v>3257</c:v>
                </c:pt>
                <c:pt idx="23">
                  <c:v>3326</c:v>
                </c:pt>
                <c:pt idx="24">
                  <c:v>3187</c:v>
                </c:pt>
                <c:pt idx="25">
                  <c:v>3256</c:v>
                </c:pt>
                <c:pt idx="26">
                  <c:v>3215</c:v>
                </c:pt>
                <c:pt idx="27">
                  <c:v>3183</c:v>
                </c:pt>
                <c:pt idx="28">
                  <c:v>2685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5571</c:v>
                </c:pt>
                <c:pt idx="1">
                  <c:v>5835</c:v>
                </c:pt>
                <c:pt idx="2">
                  <c:v>5402</c:v>
                </c:pt>
                <c:pt idx="3">
                  <c:v>5079</c:v>
                </c:pt>
                <c:pt idx="4">
                  <c:v>4560</c:v>
                </c:pt>
                <c:pt idx="5">
                  <c:v>5103</c:v>
                </c:pt>
                <c:pt idx="6">
                  <c:v>5120</c:v>
                </c:pt>
                <c:pt idx="7">
                  <c:v>5401</c:v>
                </c:pt>
                <c:pt idx="8">
                  <c:v>5414</c:v>
                </c:pt>
                <c:pt idx="9">
                  <c:v>5290</c:v>
                </c:pt>
                <c:pt idx="10">
                  <c:v>5314</c:v>
                </c:pt>
                <c:pt idx="11">
                  <c:v>5458</c:v>
                </c:pt>
                <c:pt idx="12">
                  <c:v>5987</c:v>
                </c:pt>
                <c:pt idx="13">
                  <c:v>5960</c:v>
                </c:pt>
                <c:pt idx="14">
                  <c:v>5738</c:v>
                </c:pt>
                <c:pt idx="15">
                  <c:v>5811</c:v>
                </c:pt>
                <c:pt idx="16">
                  <c:v>5842</c:v>
                </c:pt>
                <c:pt idx="17">
                  <c:v>5729</c:v>
                </c:pt>
                <c:pt idx="18">
                  <c:v>6064</c:v>
                </c:pt>
                <c:pt idx="19">
                  <c:v>6082</c:v>
                </c:pt>
                <c:pt idx="20">
                  <c:v>5881</c:v>
                </c:pt>
                <c:pt idx="21">
                  <c:v>5742</c:v>
                </c:pt>
                <c:pt idx="22">
                  <c:v>5685</c:v>
                </c:pt>
                <c:pt idx="23">
                  <c:v>5857</c:v>
                </c:pt>
                <c:pt idx="24">
                  <c:v>8689</c:v>
                </c:pt>
                <c:pt idx="25">
                  <c:v>2767</c:v>
                </c:pt>
                <c:pt idx="26">
                  <c:v>5813</c:v>
                </c:pt>
                <c:pt idx="27">
                  <c:v>5776</c:v>
                </c:pt>
                <c:pt idx="28">
                  <c:v>5865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2678</c:v>
                </c:pt>
                <c:pt idx="1">
                  <c:v>2283</c:v>
                </c:pt>
                <c:pt idx="2">
                  <c:v>2333</c:v>
                </c:pt>
                <c:pt idx="3">
                  <c:v>2389</c:v>
                </c:pt>
                <c:pt idx="4">
                  <c:v>2339</c:v>
                </c:pt>
                <c:pt idx="5">
                  <c:v>2130</c:v>
                </c:pt>
                <c:pt idx="6">
                  <c:v>2178</c:v>
                </c:pt>
                <c:pt idx="7">
                  <c:v>2478</c:v>
                </c:pt>
                <c:pt idx="8">
                  <c:v>2428</c:v>
                </c:pt>
                <c:pt idx="9">
                  <c:v>2491</c:v>
                </c:pt>
                <c:pt idx="10">
                  <c:v>2466</c:v>
                </c:pt>
                <c:pt idx="11">
                  <c:v>2539</c:v>
                </c:pt>
                <c:pt idx="12">
                  <c:v>2966</c:v>
                </c:pt>
                <c:pt idx="13">
                  <c:v>2522</c:v>
                </c:pt>
                <c:pt idx="14">
                  <c:v>2537</c:v>
                </c:pt>
                <c:pt idx="15">
                  <c:v>2703</c:v>
                </c:pt>
                <c:pt idx="16">
                  <c:v>2413</c:v>
                </c:pt>
                <c:pt idx="17">
                  <c:v>2560</c:v>
                </c:pt>
                <c:pt idx="18">
                  <c:v>2705</c:v>
                </c:pt>
                <c:pt idx="19">
                  <c:v>2698</c:v>
                </c:pt>
                <c:pt idx="20">
                  <c:v>3060</c:v>
                </c:pt>
                <c:pt idx="21">
                  <c:v>2751</c:v>
                </c:pt>
                <c:pt idx="22">
                  <c:v>2673</c:v>
                </c:pt>
                <c:pt idx="23">
                  <c:v>2544</c:v>
                </c:pt>
                <c:pt idx="24">
                  <c:v>3260</c:v>
                </c:pt>
                <c:pt idx="25">
                  <c:v>1770</c:v>
                </c:pt>
                <c:pt idx="26">
                  <c:v>2652</c:v>
                </c:pt>
                <c:pt idx="27">
                  <c:v>2585</c:v>
                </c:pt>
                <c:pt idx="28">
                  <c:v>2490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575.98577999999998</c:v>
                </c:pt>
                <c:pt idx="1">
                  <c:v>703.98262</c:v>
                </c:pt>
                <c:pt idx="2">
                  <c:v>671.98341000000005</c:v>
                </c:pt>
                <c:pt idx="3">
                  <c:v>191.99526</c:v>
                </c:pt>
                <c:pt idx="4">
                  <c:v>415.98973000000001</c:v>
                </c:pt>
                <c:pt idx="5">
                  <c:v>479.98815000000002</c:v>
                </c:pt>
                <c:pt idx="6">
                  <c:v>415.98973000000001</c:v>
                </c:pt>
                <c:pt idx="7">
                  <c:v>895.97788000000003</c:v>
                </c:pt>
                <c:pt idx="8">
                  <c:v>415.98973000000001</c:v>
                </c:pt>
                <c:pt idx="9">
                  <c:v>223.99447000000001</c:v>
                </c:pt>
                <c:pt idx="10">
                  <c:v>479.98815000000002</c:v>
                </c:pt>
                <c:pt idx="11">
                  <c:v>543.98657000000003</c:v>
                </c:pt>
                <c:pt idx="12">
                  <c:v>511.98736000000002</c:v>
                </c:pt>
                <c:pt idx="13">
                  <c:v>479.98815000000002</c:v>
                </c:pt>
                <c:pt idx="14">
                  <c:v>479.98815000000002</c:v>
                </c:pt>
                <c:pt idx="15">
                  <c:v>639.98419999999999</c:v>
                </c:pt>
                <c:pt idx="16">
                  <c:v>511.98736000000002</c:v>
                </c:pt>
                <c:pt idx="17">
                  <c:v>607.98499000000004</c:v>
                </c:pt>
                <c:pt idx="18">
                  <c:v>671.98341000000005</c:v>
                </c:pt>
                <c:pt idx="19">
                  <c:v>895.97788000000003</c:v>
                </c:pt>
                <c:pt idx="20">
                  <c:v>287.99288999999999</c:v>
                </c:pt>
                <c:pt idx="21">
                  <c:v>447.98894000000001</c:v>
                </c:pt>
                <c:pt idx="22">
                  <c:v>607.98499000000004</c:v>
                </c:pt>
                <c:pt idx="23">
                  <c:v>447.98894000000001</c:v>
                </c:pt>
                <c:pt idx="24">
                  <c:v>383.99052</c:v>
                </c:pt>
                <c:pt idx="25">
                  <c:v>479.98815000000002</c:v>
                </c:pt>
                <c:pt idx="26">
                  <c:v>415.98973000000001</c:v>
                </c:pt>
                <c:pt idx="27">
                  <c:v>479.98815000000002</c:v>
                </c:pt>
                <c:pt idx="28">
                  <c:v>671.98341000000005</c:v>
                </c:pt>
                <c:pt idx="29">
                  <c:v>159.99605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3">
                  <c:v>23168.613000000001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3">
                  <c:v>316019.88132000004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F2" sqref="F2:F3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4</v>
      </c>
      <c r="D2" s="141">
        <v>2022</v>
      </c>
      <c r="E2" s="137">
        <f>submetering!E2+submetering!F2+submetering!G2</f>
        <v>12121</v>
      </c>
      <c r="F2" s="134">
        <v>1.1000000000000001</v>
      </c>
      <c r="G2" s="134">
        <f>'Consommation mensuel énergie'!V10</f>
        <v>575.98577999999998</v>
      </c>
      <c r="H2" s="134">
        <v>13.64</v>
      </c>
      <c r="I2" s="134">
        <f>'Consommation mensuel énergie'!F10</f>
        <v>118.89999999999418</v>
      </c>
      <c r="J2" s="134">
        <v>11.4</v>
      </c>
      <c r="K2" s="137">
        <f>'Consommation mensuel énergie'!D10</f>
        <v>84</v>
      </c>
      <c r="L2" s="137">
        <f>'Consommation mensuel énergie'!E10</f>
        <v>145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4</v>
      </c>
      <c r="D3" s="141">
        <v>2022</v>
      </c>
      <c r="E3" s="137">
        <f>submetering!E3+submetering!F3+submetering!G3</f>
        <v>11043</v>
      </c>
      <c r="F3" s="134">
        <v>1.1000000000000001</v>
      </c>
      <c r="G3" s="134">
        <f>'Consommation mensuel énergie'!V11</f>
        <v>703.98262</v>
      </c>
      <c r="H3" s="134">
        <v>13.64</v>
      </c>
      <c r="I3" s="134">
        <f>'Consommation mensuel énergie'!F11</f>
        <v>143</v>
      </c>
      <c r="J3" s="134">
        <v>11.4</v>
      </c>
      <c r="K3" s="137">
        <f>'Consommation mensuel énergie'!D11</f>
        <v>86</v>
      </c>
      <c r="L3" s="137">
        <f>'Consommation mensuel énergie'!E11</f>
        <v>148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4</v>
      </c>
      <c r="D4" s="141">
        <v>2022</v>
      </c>
      <c r="E4" s="137">
        <f>submetering!E4+submetering!F4+submetering!G4</f>
        <v>10583</v>
      </c>
      <c r="F4" s="134">
        <v>1.1000000000000001</v>
      </c>
      <c r="G4" s="134">
        <f>'Consommation mensuel énergie'!V12</f>
        <v>671.98341000000005</v>
      </c>
      <c r="H4" s="134">
        <v>13.64</v>
      </c>
      <c r="I4" s="134">
        <f>'Consommation mensuel énergie'!F12</f>
        <v>137</v>
      </c>
      <c r="J4" s="134">
        <v>11.4</v>
      </c>
      <c r="K4" s="137">
        <f>'Consommation mensuel énergie'!D12</f>
        <v>52</v>
      </c>
      <c r="L4" s="137">
        <f>'Consommation mensuel énergie'!E12</f>
        <v>86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4</v>
      </c>
      <c r="D5" s="141">
        <v>2022</v>
      </c>
      <c r="E5" s="137">
        <f>submetering!E5+submetering!F5+submetering!G5</f>
        <v>10461</v>
      </c>
      <c r="F5" s="134">
        <v>1.1000000000000001</v>
      </c>
      <c r="G5" s="134">
        <f>'Consommation mensuel énergie'!V13</f>
        <v>191.99526</v>
      </c>
      <c r="H5" s="134">
        <v>13.64</v>
      </c>
      <c r="I5" s="134">
        <f>'Consommation mensuel énergie'!F13</f>
        <v>134</v>
      </c>
      <c r="J5" s="134">
        <v>11.4</v>
      </c>
      <c r="K5" s="137">
        <f>'Consommation mensuel énergie'!D13</f>
        <v>84</v>
      </c>
      <c r="L5" s="137">
        <f>'Consommation mensuel énergie'!E13</f>
        <v>136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4</v>
      </c>
      <c r="D6" s="141">
        <v>2022</v>
      </c>
      <c r="E6" s="137">
        <f>submetering!E6+submetering!F6+submetering!G6</f>
        <v>9994</v>
      </c>
      <c r="F6" s="134">
        <v>1.1000000000000001</v>
      </c>
      <c r="G6" s="134">
        <f>'Consommation mensuel énergie'!V14</f>
        <v>415.98973000000001</v>
      </c>
      <c r="H6" s="134">
        <v>13.64</v>
      </c>
      <c r="I6" s="134">
        <f>'Consommation mensuel énergie'!F14</f>
        <v>63.899999999994179</v>
      </c>
      <c r="J6" s="134">
        <v>11.4</v>
      </c>
      <c r="K6" s="137">
        <f>'Consommation mensuel énergie'!D14</f>
        <v>66</v>
      </c>
      <c r="L6" s="137">
        <f>'Consommation mensuel énergie'!E14</f>
        <v>100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4</v>
      </c>
      <c r="D7" s="141">
        <v>2022</v>
      </c>
      <c r="E7" s="137">
        <f>submetering!E7+submetering!F7+submetering!G7</f>
        <v>10231</v>
      </c>
      <c r="F7" s="134">
        <v>1.1000000000000001</v>
      </c>
      <c r="G7" s="134">
        <f>'Consommation mensuel énergie'!V15</f>
        <v>479.98815000000002</v>
      </c>
      <c r="H7" s="134">
        <v>13.64</v>
      </c>
      <c r="I7" s="134">
        <f>'Consommation mensuel énergie'!F15</f>
        <v>124.5</v>
      </c>
      <c r="J7" s="134">
        <v>11.4</v>
      </c>
      <c r="K7" s="137">
        <f>'Consommation mensuel énergie'!D15</f>
        <v>81</v>
      </c>
      <c r="L7" s="137">
        <f>'Consommation mensuel énergie'!E15</f>
        <v>128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4</v>
      </c>
      <c r="D8" s="141">
        <v>2022</v>
      </c>
      <c r="E8" s="137">
        <f>submetering!E8+submetering!F8+submetering!G8</f>
        <v>10266</v>
      </c>
      <c r="F8" s="134">
        <v>1.1000000000000001</v>
      </c>
      <c r="G8" s="134">
        <f>'Consommation mensuel énergie'!V16</f>
        <v>415.98973000000001</v>
      </c>
      <c r="H8" s="134">
        <v>13.64</v>
      </c>
      <c r="I8" s="134">
        <f>'Consommation mensuel énergie'!F16</f>
        <v>99</v>
      </c>
      <c r="J8" s="134">
        <v>11.4</v>
      </c>
      <c r="K8" s="137">
        <f>'Consommation mensuel énergie'!D16</f>
        <v>76</v>
      </c>
      <c r="L8" s="137">
        <f>'Consommation mensuel énergie'!E16</f>
        <v>122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4</v>
      </c>
      <c r="D9" s="141">
        <v>2022</v>
      </c>
      <c r="E9" s="137">
        <f>submetering!E9+submetering!F9+submetering!G9</f>
        <v>10611</v>
      </c>
      <c r="F9" s="134">
        <v>1.1000000000000001</v>
      </c>
      <c r="G9" s="134">
        <f>'Consommation mensuel énergie'!V17</f>
        <v>895.97788000000003</v>
      </c>
      <c r="H9" s="134">
        <v>13.64</v>
      </c>
      <c r="I9" s="134">
        <f>'Consommation mensuel énergie'!F17</f>
        <v>104</v>
      </c>
      <c r="J9" s="134">
        <v>11.4</v>
      </c>
      <c r="K9" s="137">
        <f>'Consommation mensuel énergie'!D17</f>
        <v>70</v>
      </c>
      <c r="L9" s="137">
        <f>'Consommation mensuel énergie'!E17</f>
        <v>115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4</v>
      </c>
      <c r="D10" s="141">
        <v>2022</v>
      </c>
      <c r="E10" s="137">
        <f>submetering!E10+submetering!F10+submetering!G10</f>
        <v>10700</v>
      </c>
      <c r="F10" s="134">
        <v>1.1000000000000001</v>
      </c>
      <c r="G10" s="134">
        <f>'Consommation mensuel énergie'!V18</f>
        <v>415.98973000000001</v>
      </c>
      <c r="H10" s="134">
        <v>13.64</v>
      </c>
      <c r="I10" s="134">
        <f>'Consommation mensuel énergie'!F18</f>
        <v>136.80000000001746</v>
      </c>
      <c r="J10" s="134">
        <v>11.4</v>
      </c>
      <c r="K10" s="137">
        <f>'Consommation mensuel énergie'!D18</f>
        <v>90</v>
      </c>
      <c r="L10" s="137">
        <f>'Consommation mensuel énergie'!E18</f>
        <v>160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4</v>
      </c>
      <c r="D11" s="141">
        <v>2022</v>
      </c>
      <c r="E11" s="137">
        <f>submetering!E11+submetering!F11+submetering!G11</f>
        <v>11098</v>
      </c>
      <c r="F11" s="134">
        <v>1.1000000000000001</v>
      </c>
      <c r="G11" s="134">
        <f>'Consommation mensuel énergie'!V19</f>
        <v>223.99447000000001</v>
      </c>
      <c r="H11" s="134">
        <v>13.64</v>
      </c>
      <c r="I11" s="134">
        <f>'Consommation mensuel énergie'!F19</f>
        <v>131.79999999998836</v>
      </c>
      <c r="J11" s="134">
        <v>11.4</v>
      </c>
      <c r="K11" s="137">
        <f>'Consommation mensuel énergie'!D19</f>
        <v>80</v>
      </c>
      <c r="L11" s="137">
        <f>'Consommation mensuel énergie'!E19</f>
        <v>135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4</v>
      </c>
      <c r="D12" s="141">
        <v>2022</v>
      </c>
      <c r="E12" s="137">
        <f>submetering!E12+submetering!F12+submetering!G12</f>
        <v>10739</v>
      </c>
      <c r="F12" s="134">
        <v>1.1000000000000001</v>
      </c>
      <c r="G12" s="134">
        <f>'Consommation mensuel énergie'!V20</f>
        <v>479.98815000000002</v>
      </c>
      <c r="H12" s="134">
        <v>13.64</v>
      </c>
      <c r="I12" s="134">
        <f>'Consommation mensuel énergie'!F20</f>
        <v>88</v>
      </c>
      <c r="J12" s="134">
        <v>11.4</v>
      </c>
      <c r="K12" s="137">
        <f>'Consommation mensuel énergie'!D20</f>
        <v>100</v>
      </c>
      <c r="L12" s="137">
        <f>'Consommation mensuel énergie'!E20</f>
        <v>172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4</v>
      </c>
      <c r="D13" s="141">
        <v>2022</v>
      </c>
      <c r="E13" s="137">
        <f>submetering!E13+submetering!F13+submetering!G13</f>
        <v>11114</v>
      </c>
      <c r="F13" s="134">
        <v>1.1000000000000001</v>
      </c>
      <c r="G13" s="134">
        <f>'Consommation mensuel énergie'!V21</f>
        <v>543.98657000000003</v>
      </c>
      <c r="H13" s="134">
        <v>13.64</v>
      </c>
      <c r="I13" s="134">
        <f>'Consommation mensuel énergie'!F21</f>
        <v>104</v>
      </c>
      <c r="J13" s="134">
        <v>11.4</v>
      </c>
      <c r="K13" s="137">
        <f>'Consommation mensuel énergie'!D21</f>
        <v>106</v>
      </c>
      <c r="L13" s="137">
        <f>'Consommation mensuel énergie'!E21</f>
        <v>170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4</v>
      </c>
      <c r="D14" s="141">
        <v>2022</v>
      </c>
      <c r="E14" s="137">
        <f>submetering!E14+submetering!F14+submetering!G14</f>
        <v>12522</v>
      </c>
      <c r="F14" s="134">
        <v>1.1000000000000001</v>
      </c>
      <c r="G14" s="134">
        <f>'Consommation mensuel énergie'!V22</f>
        <v>511.98736000000002</v>
      </c>
      <c r="H14" s="134">
        <v>13.64</v>
      </c>
      <c r="I14" s="134">
        <f>'Consommation mensuel énergie'!F22</f>
        <v>143</v>
      </c>
      <c r="J14" s="134">
        <v>11.4</v>
      </c>
      <c r="K14" s="137">
        <f>'Consommation mensuel énergie'!D22</f>
        <v>89</v>
      </c>
      <c r="L14" s="137">
        <f>'Consommation mensuel énergie'!E22</f>
        <v>152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4</v>
      </c>
      <c r="D15" s="141">
        <v>2022</v>
      </c>
      <c r="E15" s="137">
        <f>submetering!E15+submetering!F15+submetering!G15</f>
        <v>11487</v>
      </c>
      <c r="F15" s="134">
        <v>1.1000000000000001</v>
      </c>
      <c r="G15" s="134">
        <f>'Consommation mensuel énergie'!V23</f>
        <v>479.98815000000002</v>
      </c>
      <c r="H15" s="134">
        <v>13.64</v>
      </c>
      <c r="I15" s="134">
        <f>'Consommation mensuel énergie'!F23</f>
        <v>109</v>
      </c>
      <c r="J15" s="134">
        <v>11.4</v>
      </c>
      <c r="K15" s="137">
        <f>'Consommation mensuel énergie'!D23</f>
        <v>99</v>
      </c>
      <c r="L15" s="137">
        <f>'Consommation mensuel énergie'!E23</f>
        <v>183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4</v>
      </c>
      <c r="D16" s="141">
        <v>2022</v>
      </c>
      <c r="E16" s="137">
        <f>submetering!E16+submetering!F16+submetering!G16</f>
        <v>11153</v>
      </c>
      <c r="F16" s="134">
        <v>1.1000000000000001</v>
      </c>
      <c r="G16" s="134">
        <f>'Consommation mensuel énergie'!V24</f>
        <v>479.98815000000002</v>
      </c>
      <c r="H16" s="134">
        <v>13.64</v>
      </c>
      <c r="I16" s="134">
        <f>'Consommation mensuel énergie'!F24</f>
        <v>108.5</v>
      </c>
      <c r="J16" s="134">
        <v>11.4</v>
      </c>
      <c r="K16" s="137">
        <f>'Consommation mensuel énergie'!D24</f>
        <v>84</v>
      </c>
      <c r="L16" s="137">
        <f>'Consommation mensuel énergie'!E24</f>
        <v>156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4</v>
      </c>
      <c r="D17" s="141">
        <v>2022</v>
      </c>
      <c r="E17" s="137">
        <f>submetering!E17+submetering!F17+submetering!G17</f>
        <v>12151</v>
      </c>
      <c r="F17" s="134">
        <v>1.1000000000000001</v>
      </c>
      <c r="G17" s="134">
        <f>'Consommation mensuel énergie'!V25</f>
        <v>639.98419999999999</v>
      </c>
      <c r="H17" s="134">
        <v>13.64</v>
      </c>
      <c r="I17" s="134">
        <f>'Consommation mensuel énergie'!F25</f>
        <v>156.5</v>
      </c>
      <c r="J17" s="134">
        <v>11.4</v>
      </c>
      <c r="K17" s="137">
        <f>'Consommation mensuel énergie'!D25</f>
        <v>93</v>
      </c>
      <c r="L17" s="137">
        <f>'Consommation mensuel énergie'!E25</f>
        <v>177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4</v>
      </c>
      <c r="D18" s="141">
        <v>2022</v>
      </c>
      <c r="E18" s="137">
        <f>submetering!E18+submetering!F18+submetering!G18</f>
        <v>11477</v>
      </c>
      <c r="F18" s="134">
        <v>1.1000000000000001</v>
      </c>
      <c r="G18" s="134">
        <f>'Consommation mensuel énergie'!V26</f>
        <v>511.98736000000002</v>
      </c>
      <c r="H18" s="134">
        <v>13.64</v>
      </c>
      <c r="I18" s="134">
        <f>'Consommation mensuel énergie'!F26</f>
        <v>126</v>
      </c>
      <c r="J18" s="134">
        <v>11.4</v>
      </c>
      <c r="K18" s="137">
        <f>'Consommation mensuel énergie'!D26</f>
        <v>80</v>
      </c>
      <c r="L18" s="137">
        <f>'Consommation mensuel énergie'!E26</f>
        <v>138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4</v>
      </c>
      <c r="D19" s="141">
        <v>2022</v>
      </c>
      <c r="E19" s="137">
        <f>submetering!E19+submetering!F19+submetering!G19</f>
        <v>11687</v>
      </c>
      <c r="F19" s="134">
        <v>1.1000000000000001</v>
      </c>
      <c r="G19" s="134">
        <f>'Consommation mensuel énergie'!V27</f>
        <v>607.98499000000004</v>
      </c>
      <c r="H19" s="134">
        <v>13.64</v>
      </c>
      <c r="I19" s="134">
        <f>'Consommation mensuel énergie'!F27</f>
        <v>91</v>
      </c>
      <c r="J19" s="134">
        <v>11.4</v>
      </c>
      <c r="K19" s="137">
        <f>'Consommation mensuel énergie'!D27</f>
        <v>101</v>
      </c>
      <c r="L19" s="137">
        <f>'Consommation mensuel énergie'!E27</f>
        <v>152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4</v>
      </c>
      <c r="D20" s="141">
        <v>2022</v>
      </c>
      <c r="E20" s="137">
        <f>submetering!E20+submetering!F20+submetering!G20</f>
        <v>12067</v>
      </c>
      <c r="F20" s="134">
        <v>1.1000000000000001</v>
      </c>
      <c r="G20" s="134">
        <f>'Consommation mensuel énergie'!V28</f>
        <v>671.98341000000005</v>
      </c>
      <c r="H20" s="134">
        <v>13.64</v>
      </c>
      <c r="I20" s="134">
        <f>'Consommation mensuel énergie'!F28</f>
        <v>109</v>
      </c>
      <c r="J20" s="134">
        <v>11.4</v>
      </c>
      <c r="K20" s="137">
        <f>'Consommation mensuel énergie'!D28</f>
        <v>86</v>
      </c>
      <c r="L20" s="137">
        <f>'Consommation mensuel énergie'!E28</f>
        <v>128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4</v>
      </c>
      <c r="D21" s="141">
        <v>2022</v>
      </c>
      <c r="E21" s="137">
        <f>submetering!E21+submetering!F21+submetering!G21</f>
        <v>11343</v>
      </c>
      <c r="F21" s="134">
        <v>1.1000000000000001</v>
      </c>
      <c r="G21" s="134">
        <f>'Consommation mensuel énergie'!V29</f>
        <v>895.97788000000003</v>
      </c>
      <c r="H21" s="134">
        <v>13.64</v>
      </c>
      <c r="I21" s="134">
        <f>'Consommation mensuel énergie'!F29</f>
        <v>104.10000000000582</v>
      </c>
      <c r="J21" s="134">
        <v>11.4</v>
      </c>
      <c r="K21" s="137">
        <f>'Consommation mensuel énergie'!D29</f>
        <v>84</v>
      </c>
      <c r="L21" s="137">
        <f>'Consommation mensuel énergie'!E29</f>
        <v>131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4</v>
      </c>
      <c r="D22" s="141">
        <v>2022</v>
      </c>
      <c r="E22" s="137">
        <f>submetering!E22+submetering!F22+submetering!G22</f>
        <v>12477</v>
      </c>
      <c r="F22" s="134">
        <v>1.1000000000000001</v>
      </c>
      <c r="G22" s="134">
        <f>'Consommation mensuel énergie'!V30</f>
        <v>287.99288999999999</v>
      </c>
      <c r="H22" s="134">
        <v>13.64</v>
      </c>
      <c r="I22" s="134">
        <f>'Consommation mensuel énergie'!F30</f>
        <v>123.5</v>
      </c>
      <c r="J22" s="134">
        <v>11.4</v>
      </c>
      <c r="K22" s="137">
        <f>'Consommation mensuel énergie'!D30</f>
        <v>97</v>
      </c>
      <c r="L22" s="137">
        <f>'Consommation mensuel énergie'!E30</f>
        <v>156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4</v>
      </c>
      <c r="D23" s="141">
        <v>2022</v>
      </c>
      <c r="E23" s="137">
        <f>submetering!E23+submetering!F23+submetering!G23</f>
        <v>12445</v>
      </c>
      <c r="F23" s="134">
        <v>1.1000000000000001</v>
      </c>
      <c r="G23" s="134">
        <f>'Consommation mensuel énergie'!V31</f>
        <v>447.98894000000001</v>
      </c>
      <c r="H23" s="134">
        <v>13.64</v>
      </c>
      <c r="I23" s="134">
        <f>'Consommation mensuel énergie'!F31</f>
        <v>124.39999999999418</v>
      </c>
      <c r="J23" s="134">
        <v>11.4</v>
      </c>
      <c r="K23" s="137">
        <f>'Consommation mensuel énergie'!D31</f>
        <v>86</v>
      </c>
      <c r="L23" s="137">
        <f>'Consommation mensuel énergie'!E31</f>
        <v>159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4</v>
      </c>
      <c r="D24" s="141">
        <v>2022</v>
      </c>
      <c r="E24" s="137">
        <f>submetering!E24+submetering!F24+submetering!G24</f>
        <v>11615</v>
      </c>
      <c r="F24" s="134">
        <v>1.1000000000000001</v>
      </c>
      <c r="G24" s="134">
        <f>'Consommation mensuel énergie'!V32</f>
        <v>607.98499000000004</v>
      </c>
      <c r="H24" s="134">
        <v>13.64</v>
      </c>
      <c r="I24" s="134">
        <f>'Consommation mensuel énergie'!F32</f>
        <v>105</v>
      </c>
      <c r="J24" s="134">
        <v>11.4</v>
      </c>
      <c r="K24" s="137">
        <f>'Consommation mensuel énergie'!D32</f>
        <v>92</v>
      </c>
      <c r="L24" s="137">
        <f>'Consommation mensuel énergie'!E32</f>
        <v>167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4</v>
      </c>
      <c r="D25" s="141">
        <v>2022</v>
      </c>
      <c r="E25" s="137">
        <f>submetering!E25+submetering!F25+submetering!G25</f>
        <v>11727</v>
      </c>
      <c r="F25" s="134">
        <v>1.1000000000000001</v>
      </c>
      <c r="G25" s="134">
        <f>'Consommation mensuel énergie'!V33</f>
        <v>447.98894000000001</v>
      </c>
      <c r="H25" s="134">
        <v>13.64</v>
      </c>
      <c r="I25" s="134">
        <f>'Consommation mensuel énergie'!F33</f>
        <v>100</v>
      </c>
      <c r="J25" s="134">
        <v>11.4</v>
      </c>
      <c r="K25" s="137">
        <f>'Consommation mensuel énergie'!D33</f>
        <v>81</v>
      </c>
      <c r="L25" s="137">
        <f>'Consommation mensuel énergie'!E33</f>
        <v>139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4</v>
      </c>
      <c r="D26" s="141">
        <v>2022</v>
      </c>
      <c r="E26" s="137">
        <f>submetering!E26+submetering!F26+submetering!G26</f>
        <v>15136</v>
      </c>
      <c r="F26" s="134">
        <v>1.1000000000000001</v>
      </c>
      <c r="G26" s="134">
        <f>'Consommation mensuel énergie'!V34</f>
        <v>383.99052</v>
      </c>
      <c r="H26" s="134">
        <v>13.64</v>
      </c>
      <c r="I26" s="134">
        <f>'Consommation mensuel énergie'!F34</f>
        <v>90</v>
      </c>
      <c r="J26" s="134">
        <v>11.4</v>
      </c>
      <c r="K26" s="137">
        <f>'Consommation mensuel énergie'!D34</f>
        <v>84</v>
      </c>
      <c r="L26" s="137">
        <f>'Consommation mensuel énergie'!E34</f>
        <v>140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1" si="1">B26+1</f>
        <v>26</v>
      </c>
      <c r="C27" s="140">
        <v>4</v>
      </c>
      <c r="D27" s="141">
        <v>2022</v>
      </c>
      <c r="E27" s="137">
        <f>submetering!E27+submetering!F27+submetering!G27</f>
        <v>7793</v>
      </c>
      <c r="F27" s="134">
        <v>1.1000000000000001</v>
      </c>
      <c r="G27" s="134">
        <f>'Consommation mensuel énergie'!V35</f>
        <v>479.98815000000002</v>
      </c>
      <c r="H27" s="134">
        <v>13.64</v>
      </c>
      <c r="I27" s="134">
        <f>'Consommation mensuel énergie'!F35</f>
        <v>124</v>
      </c>
      <c r="J27" s="134">
        <v>11.4</v>
      </c>
      <c r="K27" s="137">
        <f>'Consommation mensuel énergie'!D35</f>
        <v>75</v>
      </c>
      <c r="L27" s="137">
        <f>'Consommation mensuel énergie'!E35</f>
        <v>130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4</v>
      </c>
      <c r="D28" s="141">
        <v>2022</v>
      </c>
      <c r="E28" s="137">
        <f>submetering!E28+submetering!F28+submetering!G28</f>
        <v>11680</v>
      </c>
      <c r="F28" s="134">
        <v>1.1000000000000001</v>
      </c>
      <c r="G28" s="134">
        <f>'Consommation mensuel énergie'!V36</f>
        <v>415.98973000000001</v>
      </c>
      <c r="H28" s="134">
        <v>13.64</v>
      </c>
      <c r="I28" s="134">
        <f>'Consommation mensuel énergie'!F36</f>
        <v>84</v>
      </c>
      <c r="J28" s="134">
        <v>11.4</v>
      </c>
      <c r="K28" s="137">
        <f>'Consommation mensuel énergie'!D36</f>
        <v>61</v>
      </c>
      <c r="L28" s="137">
        <f>'Consommation mensuel énergie'!E36</f>
        <v>108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4</v>
      </c>
      <c r="D29" s="141">
        <v>2022</v>
      </c>
      <c r="E29" s="137">
        <f>submetering!E29+submetering!F29+submetering!G29</f>
        <v>11544</v>
      </c>
      <c r="F29" s="134">
        <v>1.1000000000000001</v>
      </c>
      <c r="G29" s="134">
        <f>'Consommation mensuel énergie'!V37</f>
        <v>479.98815000000002</v>
      </c>
      <c r="H29" s="134">
        <v>13.64</v>
      </c>
      <c r="I29" s="134">
        <f>'Consommation mensuel énergie'!F37</f>
        <v>109</v>
      </c>
      <c r="J29" s="134">
        <v>11.4</v>
      </c>
      <c r="K29" s="137">
        <f>'Consommation mensuel énergie'!D37</f>
        <v>74</v>
      </c>
      <c r="L29" s="137">
        <f>'Consommation mensuel énergie'!E37</f>
        <v>120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4</v>
      </c>
      <c r="D30" s="141">
        <v>2022</v>
      </c>
      <c r="E30" s="137">
        <f>submetering!E30+submetering!F30+submetering!G30</f>
        <v>11040</v>
      </c>
      <c r="F30" s="134">
        <v>1.1000000000000001</v>
      </c>
      <c r="G30" s="134">
        <f>'Consommation mensuel énergie'!V38</f>
        <v>671.98341000000005</v>
      </c>
      <c r="H30" s="134">
        <v>13.64</v>
      </c>
      <c r="I30" s="134">
        <f>'Consommation mensuel énergie'!F38</f>
        <v>114</v>
      </c>
      <c r="J30" s="134">
        <v>11.4</v>
      </c>
      <c r="K30" s="137">
        <f>'Consommation mensuel énergie'!D38</f>
        <v>83</v>
      </c>
      <c r="L30" s="137">
        <f>'Consommation mensuel énergie'!E38</f>
        <v>145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4</v>
      </c>
      <c r="D31" s="141">
        <v>2022</v>
      </c>
      <c r="E31" s="137">
        <f>submetering!E31+submetering!F31+submetering!G31</f>
        <v>12485</v>
      </c>
      <c r="F31" s="134">
        <v>1.1000000000000001</v>
      </c>
      <c r="G31" s="134">
        <f>'Consommation mensuel énergie'!V39</f>
        <v>159.99605</v>
      </c>
      <c r="H31" s="134">
        <v>13.64</v>
      </c>
      <c r="I31" s="134">
        <f>'Consommation mensuel énergie'!F39</f>
        <v>94</v>
      </c>
      <c r="J31" s="134">
        <v>11.4</v>
      </c>
      <c r="K31" s="137">
        <f>'Consommation mensuel énergie'!D39</f>
        <v>94</v>
      </c>
      <c r="L31" s="137">
        <f>'Consommation mensuel énergie'!E39</f>
        <v>179</v>
      </c>
      <c r="M31" s="133"/>
    </row>
    <row r="32" spans="1:13" x14ac:dyDescent="0.2">
      <c r="A32" s="136"/>
      <c r="F32" s="134"/>
      <c r="G32" s="134"/>
      <c r="H32" s="134"/>
      <c r="I32" s="134"/>
      <c r="J32" s="134"/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F34" s="134"/>
      <c r="G34" s="134"/>
      <c r="H34" s="134"/>
      <c r="I34" s="134"/>
      <c r="J34" s="134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Q26" sqref="Q26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4</v>
      </c>
      <c r="D2" s="141">
        <v>2022</v>
      </c>
      <c r="E2" s="137">
        <f>'Consommation mensuel énergie'!L10</f>
        <v>3872</v>
      </c>
      <c r="F2" s="137">
        <f>'Consommation mensuel énergie'!M10</f>
        <v>5571</v>
      </c>
      <c r="G2" s="137">
        <f>'Consommation mensuel énergie'!N10</f>
        <v>2678</v>
      </c>
      <c r="H2" s="137">
        <f>'Consommation mensuel énergie'!D10</f>
        <v>84</v>
      </c>
      <c r="I2" s="137">
        <f>'Consommation mensuel énergie'!E10</f>
        <v>145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4</v>
      </c>
      <c r="D3" s="141">
        <v>2022</v>
      </c>
      <c r="E3" s="137">
        <f>'Consommation mensuel énergie'!L11</f>
        <v>2925</v>
      </c>
      <c r="F3" s="137">
        <f>'Consommation mensuel énergie'!M11</f>
        <v>5835</v>
      </c>
      <c r="G3" s="137">
        <f>'Consommation mensuel énergie'!N11</f>
        <v>2283</v>
      </c>
      <c r="H3" s="137">
        <f>'Consommation mensuel énergie'!D11</f>
        <v>86</v>
      </c>
      <c r="I3" s="137">
        <f>'Consommation mensuel énergie'!E11</f>
        <v>148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4</v>
      </c>
      <c r="D4" s="141">
        <v>2022</v>
      </c>
      <c r="E4" s="137">
        <f>'Consommation mensuel énergie'!L12</f>
        <v>2848</v>
      </c>
      <c r="F4" s="137">
        <f>'Consommation mensuel énergie'!M12</f>
        <v>5402</v>
      </c>
      <c r="G4" s="137">
        <f>'Consommation mensuel énergie'!N12</f>
        <v>2333</v>
      </c>
      <c r="H4" s="137">
        <f>'Consommation mensuel énergie'!D12</f>
        <v>52</v>
      </c>
      <c r="I4" s="137">
        <f>'Consommation mensuel énergie'!E12</f>
        <v>86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4</v>
      </c>
      <c r="D5" s="141">
        <v>2022</v>
      </c>
      <c r="E5" s="137">
        <f>'Consommation mensuel énergie'!L13</f>
        <v>2993</v>
      </c>
      <c r="F5" s="137">
        <f>'Consommation mensuel énergie'!M13</f>
        <v>5079</v>
      </c>
      <c r="G5" s="137">
        <f>'Consommation mensuel énergie'!N13</f>
        <v>2389</v>
      </c>
      <c r="H5" s="137">
        <f>'Consommation mensuel énergie'!D13</f>
        <v>84</v>
      </c>
      <c r="I5" s="137">
        <f>'Consommation mensuel énergie'!E13</f>
        <v>136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4</v>
      </c>
      <c r="D6" s="141">
        <v>2022</v>
      </c>
      <c r="E6" s="137">
        <f>'Consommation mensuel énergie'!L14</f>
        <v>3095</v>
      </c>
      <c r="F6" s="137">
        <f>'Consommation mensuel énergie'!M14</f>
        <v>4560</v>
      </c>
      <c r="G6" s="137">
        <f>'Consommation mensuel énergie'!N14</f>
        <v>2339</v>
      </c>
      <c r="H6" s="137">
        <f>'Consommation mensuel énergie'!D14</f>
        <v>66</v>
      </c>
      <c r="I6" s="137">
        <f>'Consommation mensuel énergie'!E14</f>
        <v>100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4</v>
      </c>
      <c r="D7" s="141">
        <v>2022</v>
      </c>
      <c r="E7" s="137">
        <f>'Consommation mensuel énergie'!L15</f>
        <v>2998</v>
      </c>
      <c r="F7" s="137">
        <f>'Consommation mensuel énergie'!M15</f>
        <v>5103</v>
      </c>
      <c r="G7" s="137">
        <f>'Consommation mensuel énergie'!N15</f>
        <v>2130</v>
      </c>
      <c r="H7" s="137">
        <f>'Consommation mensuel énergie'!D15</f>
        <v>81</v>
      </c>
      <c r="I7" s="137">
        <f>'Consommation mensuel énergie'!E15</f>
        <v>128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4</v>
      </c>
      <c r="D8" s="141">
        <v>2022</v>
      </c>
      <c r="E8" s="137">
        <f>'Consommation mensuel énergie'!L16</f>
        <v>2968</v>
      </c>
      <c r="F8" s="137">
        <f>'Consommation mensuel énergie'!M16</f>
        <v>5120</v>
      </c>
      <c r="G8" s="137">
        <f>'Consommation mensuel énergie'!N16</f>
        <v>2178</v>
      </c>
      <c r="H8" s="137">
        <f>'Consommation mensuel énergie'!D16</f>
        <v>76</v>
      </c>
      <c r="I8" s="137">
        <f>'Consommation mensuel énergie'!E16</f>
        <v>122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4</v>
      </c>
      <c r="D9" s="141">
        <v>2022</v>
      </c>
      <c r="E9" s="137">
        <f>'Consommation mensuel énergie'!L17</f>
        <v>2732</v>
      </c>
      <c r="F9" s="137">
        <f>'Consommation mensuel énergie'!M17</f>
        <v>5401</v>
      </c>
      <c r="G9" s="137">
        <f>'Consommation mensuel énergie'!N17</f>
        <v>2478</v>
      </c>
      <c r="H9" s="137">
        <f>'Consommation mensuel énergie'!D17</f>
        <v>70</v>
      </c>
      <c r="I9" s="137">
        <f>'Consommation mensuel énergie'!E17</f>
        <v>115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4</v>
      </c>
      <c r="D10" s="141">
        <v>2022</v>
      </c>
      <c r="E10" s="137">
        <f>'Consommation mensuel énergie'!L18</f>
        <v>2858</v>
      </c>
      <c r="F10" s="137">
        <f>'Consommation mensuel énergie'!M18</f>
        <v>5414</v>
      </c>
      <c r="G10" s="137">
        <f>'Consommation mensuel énergie'!N18</f>
        <v>2428</v>
      </c>
      <c r="H10" s="137">
        <f>'Consommation mensuel énergie'!D18</f>
        <v>90</v>
      </c>
      <c r="I10" s="137">
        <f>'Consommation mensuel énergie'!E18</f>
        <v>160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4</v>
      </c>
      <c r="D11" s="141">
        <v>2022</v>
      </c>
      <c r="E11" s="137">
        <f>'Consommation mensuel énergie'!L19</f>
        <v>3317</v>
      </c>
      <c r="F11" s="137">
        <f>'Consommation mensuel énergie'!M19</f>
        <v>5290</v>
      </c>
      <c r="G11" s="137">
        <f>'Consommation mensuel énergie'!N19</f>
        <v>2491</v>
      </c>
      <c r="H11" s="137">
        <f>'Consommation mensuel énergie'!D19</f>
        <v>80</v>
      </c>
      <c r="I11" s="137">
        <f>'Consommation mensuel énergie'!E19</f>
        <v>135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4</v>
      </c>
      <c r="D12" s="141">
        <v>2022</v>
      </c>
      <c r="E12" s="137">
        <f>'Consommation mensuel énergie'!L20</f>
        <v>2959</v>
      </c>
      <c r="F12" s="137">
        <f>'Consommation mensuel énergie'!M20</f>
        <v>5314</v>
      </c>
      <c r="G12" s="137">
        <f>'Consommation mensuel énergie'!N20</f>
        <v>2466</v>
      </c>
      <c r="H12" s="137">
        <f>'Consommation mensuel énergie'!D20</f>
        <v>100</v>
      </c>
      <c r="I12" s="137">
        <f>'Consommation mensuel énergie'!E20</f>
        <v>172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4</v>
      </c>
      <c r="D13" s="141">
        <v>2022</v>
      </c>
      <c r="E13" s="137">
        <f>'Consommation mensuel énergie'!L21</f>
        <v>3117</v>
      </c>
      <c r="F13" s="137">
        <f>'Consommation mensuel énergie'!M21</f>
        <v>5458</v>
      </c>
      <c r="G13" s="137">
        <f>'Consommation mensuel énergie'!N21</f>
        <v>2539</v>
      </c>
      <c r="H13" s="137">
        <f>'Consommation mensuel énergie'!D21</f>
        <v>106</v>
      </c>
      <c r="I13" s="137">
        <f>'Consommation mensuel énergie'!E21</f>
        <v>170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4</v>
      </c>
      <c r="D14" s="141">
        <v>2022</v>
      </c>
      <c r="E14" s="137">
        <f>'Consommation mensuel énergie'!L22</f>
        <v>3569</v>
      </c>
      <c r="F14" s="137">
        <f>'Consommation mensuel énergie'!M22</f>
        <v>5987</v>
      </c>
      <c r="G14" s="137">
        <f>'Consommation mensuel énergie'!N22</f>
        <v>2966</v>
      </c>
      <c r="H14" s="137">
        <f>'Consommation mensuel énergie'!D22</f>
        <v>89</v>
      </c>
      <c r="I14" s="137">
        <f>'Consommation mensuel énergie'!E22</f>
        <v>152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4</v>
      </c>
      <c r="D15" s="141">
        <v>2022</v>
      </c>
      <c r="E15" s="137">
        <f>'Consommation mensuel énergie'!L23</f>
        <v>3005</v>
      </c>
      <c r="F15" s="137">
        <f>'Consommation mensuel énergie'!M23</f>
        <v>5960</v>
      </c>
      <c r="G15" s="137">
        <f>'Consommation mensuel énergie'!N23</f>
        <v>2522</v>
      </c>
      <c r="H15" s="137">
        <f>'Consommation mensuel énergie'!D23</f>
        <v>99</v>
      </c>
      <c r="I15" s="137">
        <f>'Consommation mensuel énergie'!E23</f>
        <v>183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4</v>
      </c>
      <c r="D16" s="141">
        <v>2022</v>
      </c>
      <c r="E16" s="137">
        <f>'Consommation mensuel énergie'!L24</f>
        <v>2878</v>
      </c>
      <c r="F16" s="137">
        <f>'Consommation mensuel énergie'!M24</f>
        <v>5738</v>
      </c>
      <c r="G16" s="137">
        <f>'Consommation mensuel énergie'!N24</f>
        <v>2537</v>
      </c>
      <c r="H16" s="137">
        <f>'Consommation mensuel énergie'!D24</f>
        <v>84</v>
      </c>
      <c r="I16" s="137">
        <f>'Consommation mensuel énergie'!E24</f>
        <v>156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4</v>
      </c>
      <c r="D17" s="141">
        <v>2022</v>
      </c>
      <c r="E17" s="137">
        <f>'Consommation mensuel énergie'!L25</f>
        <v>3637</v>
      </c>
      <c r="F17" s="137">
        <f>'Consommation mensuel énergie'!M25</f>
        <v>5811</v>
      </c>
      <c r="G17" s="137">
        <f>'Consommation mensuel énergie'!N25</f>
        <v>2703</v>
      </c>
      <c r="H17" s="137">
        <f>'Consommation mensuel énergie'!D25</f>
        <v>93</v>
      </c>
      <c r="I17" s="137">
        <f>'Consommation mensuel énergie'!E25</f>
        <v>177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4</v>
      </c>
      <c r="D18" s="141">
        <v>2022</v>
      </c>
      <c r="E18" s="137">
        <f>'Consommation mensuel énergie'!L26</f>
        <v>3222</v>
      </c>
      <c r="F18" s="137">
        <f>'Consommation mensuel énergie'!M26</f>
        <v>5842</v>
      </c>
      <c r="G18" s="137">
        <f>'Consommation mensuel énergie'!N26</f>
        <v>2413</v>
      </c>
      <c r="H18" s="137">
        <f>'Consommation mensuel énergie'!D26</f>
        <v>80</v>
      </c>
      <c r="I18" s="137">
        <f>'Consommation mensuel énergie'!E26</f>
        <v>138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4</v>
      </c>
      <c r="D19" s="141">
        <v>2022</v>
      </c>
      <c r="E19" s="137">
        <f>'Consommation mensuel énergie'!L27</f>
        <v>3398</v>
      </c>
      <c r="F19" s="137">
        <f>'Consommation mensuel énergie'!M27</f>
        <v>5729</v>
      </c>
      <c r="G19" s="137">
        <f>'Consommation mensuel énergie'!N27</f>
        <v>2560</v>
      </c>
      <c r="H19" s="137">
        <f>'Consommation mensuel énergie'!D27</f>
        <v>101</v>
      </c>
      <c r="I19" s="137">
        <f>'Consommation mensuel énergie'!E27</f>
        <v>152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4</v>
      </c>
      <c r="D20" s="141">
        <v>2022</v>
      </c>
      <c r="E20" s="137">
        <f>'Consommation mensuel énergie'!L28</f>
        <v>3298</v>
      </c>
      <c r="F20" s="137">
        <f>'Consommation mensuel énergie'!M28</f>
        <v>6064</v>
      </c>
      <c r="G20" s="137">
        <f>'Consommation mensuel énergie'!N28</f>
        <v>2705</v>
      </c>
      <c r="H20" s="137">
        <f>'Consommation mensuel énergie'!D28</f>
        <v>86</v>
      </c>
      <c r="I20" s="137">
        <f>'Consommation mensuel énergie'!E28</f>
        <v>128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4</v>
      </c>
      <c r="D21" s="141">
        <v>2022</v>
      </c>
      <c r="E21" s="137">
        <f>'Consommation mensuel énergie'!L29</f>
        <v>2563</v>
      </c>
      <c r="F21" s="137">
        <f>'Consommation mensuel énergie'!M29</f>
        <v>6082</v>
      </c>
      <c r="G21" s="137">
        <f>'Consommation mensuel énergie'!N29</f>
        <v>2698</v>
      </c>
      <c r="H21" s="137">
        <f>'Consommation mensuel énergie'!D29</f>
        <v>84</v>
      </c>
      <c r="I21" s="137">
        <f>'Consommation mensuel énergie'!E29</f>
        <v>131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4</v>
      </c>
      <c r="D22" s="141">
        <v>2022</v>
      </c>
      <c r="E22" s="137">
        <f>'Consommation mensuel énergie'!L30</f>
        <v>3536</v>
      </c>
      <c r="F22" s="137">
        <f>'Consommation mensuel énergie'!M30</f>
        <v>5881</v>
      </c>
      <c r="G22" s="137">
        <f>'Consommation mensuel énergie'!N30</f>
        <v>3060</v>
      </c>
      <c r="H22" s="137">
        <f>'Consommation mensuel énergie'!D30</f>
        <v>97</v>
      </c>
      <c r="I22" s="137">
        <f>'Consommation mensuel énergie'!E30</f>
        <v>156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4</v>
      </c>
      <c r="D23" s="141">
        <v>2022</v>
      </c>
      <c r="E23" s="137">
        <f>'Consommation mensuel énergie'!L31</f>
        <v>3952</v>
      </c>
      <c r="F23" s="137">
        <f>'Consommation mensuel énergie'!M31</f>
        <v>5742</v>
      </c>
      <c r="G23" s="137">
        <f>'Consommation mensuel énergie'!N31</f>
        <v>2751</v>
      </c>
      <c r="H23" s="137">
        <f>'Consommation mensuel énergie'!D31</f>
        <v>86</v>
      </c>
      <c r="I23" s="137">
        <f>'Consommation mensuel énergie'!E31</f>
        <v>159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4</v>
      </c>
      <c r="D24" s="141">
        <v>2022</v>
      </c>
      <c r="E24" s="137">
        <f>'Consommation mensuel énergie'!L32</f>
        <v>3257</v>
      </c>
      <c r="F24" s="137">
        <f>'Consommation mensuel énergie'!M32</f>
        <v>5685</v>
      </c>
      <c r="G24" s="137">
        <f>'Consommation mensuel énergie'!N32</f>
        <v>2673</v>
      </c>
      <c r="H24" s="137">
        <f>'Consommation mensuel énergie'!D32</f>
        <v>92</v>
      </c>
      <c r="I24" s="137">
        <f>'Consommation mensuel énergie'!E32</f>
        <v>167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4</v>
      </c>
      <c r="D25" s="141">
        <v>2022</v>
      </c>
      <c r="E25" s="137">
        <f>'Consommation mensuel énergie'!L33</f>
        <v>3326</v>
      </c>
      <c r="F25" s="137">
        <f>'Consommation mensuel énergie'!M33</f>
        <v>5857</v>
      </c>
      <c r="G25" s="137">
        <f>'Consommation mensuel énergie'!N33</f>
        <v>2544</v>
      </c>
      <c r="H25" s="137">
        <f>'Consommation mensuel énergie'!D33</f>
        <v>81</v>
      </c>
      <c r="I25" s="137">
        <f>'Consommation mensuel énergie'!E33</f>
        <v>139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4</v>
      </c>
      <c r="D26" s="141">
        <v>2022</v>
      </c>
      <c r="E26" s="137">
        <f>'Consommation mensuel énergie'!L34</f>
        <v>3187</v>
      </c>
      <c r="F26" s="137">
        <f>'Consommation mensuel énergie'!M34</f>
        <v>8689</v>
      </c>
      <c r="G26" s="137">
        <f>'Consommation mensuel énergie'!N34</f>
        <v>3260</v>
      </c>
      <c r="H26" s="137">
        <f>'Consommation mensuel énergie'!D34</f>
        <v>84</v>
      </c>
      <c r="I26" s="137">
        <f>'Consommation mensuel énergie'!E34</f>
        <v>140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1" si="1">B26+1</f>
        <v>26</v>
      </c>
      <c r="C27" s="140">
        <v>4</v>
      </c>
      <c r="D27" s="141">
        <v>2022</v>
      </c>
      <c r="E27" s="137">
        <f>'Consommation mensuel énergie'!L35</f>
        <v>3256</v>
      </c>
      <c r="F27" s="137">
        <f>'Consommation mensuel énergie'!M35</f>
        <v>2767</v>
      </c>
      <c r="G27" s="137">
        <f>'Consommation mensuel énergie'!N35</f>
        <v>1770</v>
      </c>
      <c r="H27" s="137">
        <f>'Consommation mensuel énergie'!D35</f>
        <v>75</v>
      </c>
      <c r="I27" s="137">
        <f>'Consommation mensuel énergie'!E35</f>
        <v>130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4</v>
      </c>
      <c r="D28" s="141">
        <v>2022</v>
      </c>
      <c r="E28" s="137">
        <f>'Consommation mensuel énergie'!L36</f>
        <v>3215</v>
      </c>
      <c r="F28" s="137">
        <f>'Consommation mensuel énergie'!M36</f>
        <v>5813</v>
      </c>
      <c r="G28" s="137">
        <f>'Consommation mensuel énergie'!N36</f>
        <v>2652</v>
      </c>
      <c r="H28" s="137">
        <f>'Consommation mensuel énergie'!D36</f>
        <v>61</v>
      </c>
      <c r="I28" s="137">
        <f>'Consommation mensuel énergie'!E36</f>
        <v>108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4</v>
      </c>
      <c r="D29" s="141">
        <v>2022</v>
      </c>
      <c r="E29" s="137">
        <f>'Consommation mensuel énergie'!L37</f>
        <v>3183</v>
      </c>
      <c r="F29" s="137">
        <f>'Consommation mensuel énergie'!M37</f>
        <v>5776</v>
      </c>
      <c r="G29" s="137">
        <f>'Consommation mensuel énergie'!N37</f>
        <v>2585</v>
      </c>
      <c r="H29" s="137">
        <f>'Consommation mensuel énergie'!D37</f>
        <v>74</v>
      </c>
      <c r="I29" s="137">
        <f>'Consommation mensuel énergie'!E37</f>
        <v>120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4</v>
      </c>
      <c r="D30" s="141">
        <v>2022</v>
      </c>
      <c r="E30" s="137">
        <f>'Consommation mensuel énergie'!L38</f>
        <v>2685</v>
      </c>
      <c r="F30" s="137">
        <f>'Consommation mensuel énergie'!M38</f>
        <v>5865</v>
      </c>
      <c r="G30" s="137">
        <f>'Consommation mensuel énergie'!N38</f>
        <v>2490</v>
      </c>
      <c r="H30" s="137">
        <f>'Consommation mensuel énergie'!D38</f>
        <v>83</v>
      </c>
      <c r="I30" s="137">
        <f>'Consommation mensuel énergie'!E38</f>
        <v>145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4</v>
      </c>
      <c r="D31" s="141">
        <v>2022</v>
      </c>
      <c r="E31" s="137">
        <f>'Consommation mensuel énergie'!L39</f>
        <v>3900</v>
      </c>
      <c r="F31" s="137">
        <f>'Consommation mensuel énergie'!M39</f>
        <v>5770</v>
      </c>
      <c r="G31" s="137">
        <f>'Consommation mensuel énergie'!N39</f>
        <v>2815</v>
      </c>
      <c r="H31" s="137">
        <f>'Consommation mensuel énergie'!D39</f>
        <v>94</v>
      </c>
      <c r="I31" s="137">
        <f>'Consommation mensuel énergie'!E39</f>
        <v>179</v>
      </c>
      <c r="J31" s="133"/>
    </row>
    <row r="32" spans="1:10" x14ac:dyDescent="0.2">
      <c r="E32" s="134"/>
      <c r="F32" s="134"/>
      <c r="G32" s="134"/>
      <c r="H32" s="133"/>
      <c r="I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60"/>
  <sheetViews>
    <sheetView showGridLines="0" tabSelected="1" zoomScale="55" zoomScaleNormal="55" workbookViewId="0">
      <pane xSplit="3" ySplit="9" topLeftCell="D34" activePane="bottomRight" state="frozen"/>
      <selection pane="topRight" activeCell="B21" sqref="A21:IV21"/>
      <selection pane="bottomLeft" activeCell="B21" sqref="A21:IV21"/>
      <selection pane="bottomRight" activeCell="X36" sqref="X36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4.570312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46"/>
      <c r="B2" s="247"/>
      <c r="C2" s="247"/>
      <c r="D2" s="247"/>
      <c r="E2" s="247"/>
      <c r="F2" s="247"/>
      <c r="G2" s="247"/>
      <c r="H2" s="248"/>
      <c r="I2" s="257" t="s">
        <v>17</v>
      </c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</row>
    <row r="3" spans="1:24" ht="15" hidden="1" customHeight="1" thickBot="1" x14ac:dyDescent="0.25"/>
    <row r="4" spans="1:24" ht="39" hidden="1" customHeight="1" thickBot="1" x14ac:dyDescent="0.25">
      <c r="A4" s="249"/>
      <c r="B4" s="249"/>
      <c r="C4" s="249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49"/>
      <c r="B5" s="249"/>
      <c r="C5" s="249"/>
      <c r="D5" s="5"/>
      <c r="E5" s="5"/>
      <c r="F5" s="5"/>
      <c r="G5" s="5"/>
      <c r="H5" s="5"/>
      <c r="I5" s="5"/>
      <c r="J5" s="5"/>
      <c r="K5" s="5"/>
      <c r="L5" s="5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</row>
    <row r="6" spans="1:24" s="5" customFormat="1" ht="44.25" hidden="1" customHeight="1" thickBot="1" x14ac:dyDescent="0.25">
      <c r="A6" s="3"/>
      <c r="B6" s="3"/>
      <c r="C6" s="3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</row>
    <row r="7" spans="1:24" s="5" customFormat="1" ht="18.75" hidden="1" customHeight="1" thickBot="1" x14ac:dyDescent="0.25">
      <c r="F7" s="250"/>
      <c r="G7" s="250"/>
      <c r="H7" s="250"/>
      <c r="I7" s="250"/>
      <c r="J7" s="250"/>
      <c r="K7" s="250"/>
      <c r="L7" s="250"/>
      <c r="M7" s="250"/>
      <c r="N7" s="259"/>
      <c r="O7" s="259"/>
      <c r="P7" s="250"/>
      <c r="Q7" s="250"/>
      <c r="R7" s="250"/>
      <c r="S7" s="250"/>
      <c r="T7" s="250"/>
      <c r="U7" s="250"/>
      <c r="V7" s="250"/>
      <c r="W7" s="250"/>
      <c r="X7" s="250"/>
    </row>
    <row r="8" spans="1:24" ht="18.75" customHeight="1" thickBot="1" x14ac:dyDescent="0.25">
      <c r="A8" s="250"/>
      <c r="B8" s="261" t="s">
        <v>19</v>
      </c>
      <c r="C8" s="4"/>
      <c r="D8" s="223" t="s">
        <v>20</v>
      </c>
      <c r="E8" s="223" t="s">
        <v>21</v>
      </c>
      <c r="F8" s="244" t="s">
        <v>22</v>
      </c>
      <c r="G8" s="2"/>
      <c r="H8" s="251" t="s">
        <v>23</v>
      </c>
      <c r="I8" s="252"/>
      <c r="J8" s="253"/>
      <c r="K8" s="262" t="s">
        <v>24</v>
      </c>
      <c r="L8" s="243" t="s">
        <v>25</v>
      </c>
      <c r="M8" s="243"/>
      <c r="N8" s="243"/>
      <c r="O8" s="243" t="s">
        <v>26</v>
      </c>
      <c r="P8" s="2"/>
      <c r="Q8" s="225" t="s">
        <v>23</v>
      </c>
      <c r="R8" s="2"/>
      <c r="S8" s="225" t="s">
        <v>27</v>
      </c>
      <c r="T8" s="2"/>
      <c r="U8" s="225" t="s">
        <v>28</v>
      </c>
      <c r="V8" s="227" t="s">
        <v>29</v>
      </c>
      <c r="W8" s="2"/>
      <c r="X8" s="225" t="s">
        <v>23</v>
      </c>
    </row>
    <row r="9" spans="1:24" ht="59.25" customHeight="1" thickBot="1" x14ac:dyDescent="0.25">
      <c r="A9" s="250"/>
      <c r="B9" s="261"/>
      <c r="C9" s="4"/>
      <c r="D9" s="224"/>
      <c r="E9" s="224"/>
      <c r="F9" s="245"/>
      <c r="G9" s="2"/>
      <c r="H9" s="254"/>
      <c r="I9" s="255"/>
      <c r="J9" s="256"/>
      <c r="K9" s="263"/>
      <c r="L9" s="154" t="s">
        <v>30</v>
      </c>
      <c r="M9" s="154" t="s">
        <v>31</v>
      </c>
      <c r="N9" s="154" t="s">
        <v>32</v>
      </c>
      <c r="O9" s="260"/>
      <c r="P9" s="2"/>
      <c r="Q9" s="226"/>
      <c r="R9" s="2"/>
      <c r="S9" s="226"/>
      <c r="T9" s="2"/>
      <c r="U9" s="226"/>
      <c r="V9" s="228"/>
      <c r="W9" s="2"/>
      <c r="X9" s="226"/>
    </row>
    <row r="10" spans="1:24" ht="32.25" customHeight="1" x14ac:dyDescent="0.2">
      <c r="A10" s="2"/>
      <c r="B10" s="6">
        <v>44652</v>
      </c>
      <c r="C10" s="7"/>
      <c r="D10" s="143">
        <v>84</v>
      </c>
      <c r="E10" s="143">
        <v>145</v>
      </c>
      <c r="F10" s="13">
        <f>'Suivi EAU-ELEC'!E9</f>
        <v>118.89999999999418</v>
      </c>
      <c r="G10" s="11"/>
      <c r="H10" s="186">
        <f>F10*8.79</f>
        <v>1045.1309999999487</v>
      </c>
      <c r="I10" s="187"/>
      <c r="J10" s="187"/>
      <c r="K10" s="60">
        <v>42278</v>
      </c>
      <c r="L10" s="90">
        <f>'Suivi EAU-ELEC'!G9</f>
        <v>3872</v>
      </c>
      <c r="M10" s="91">
        <f>'Suivi EAU-ELEC'!I9</f>
        <v>5571</v>
      </c>
      <c r="N10" s="91">
        <f>'Suivi EAU-ELEC'!K9</f>
        <v>2678</v>
      </c>
      <c r="O10" s="91">
        <f>L10+M10+N10</f>
        <v>12121</v>
      </c>
      <c r="P10" s="11"/>
      <c r="Q10" s="34">
        <f>L10*0.6985+M10*0.9514+N10*1.3304</f>
        <v>11567.652599999999</v>
      </c>
      <c r="R10" s="11"/>
      <c r="S10" s="28"/>
      <c r="T10" s="11"/>
      <c r="U10" s="28"/>
      <c r="V10" s="146">
        <f>'Suvi Gaz'!O4</f>
        <v>575.98577999999998</v>
      </c>
      <c r="W10" s="11"/>
      <c r="X10" s="34">
        <f>V10*13.64</f>
        <v>7856.4460392000001</v>
      </c>
    </row>
    <row r="11" spans="1:24" ht="32.25" customHeight="1" x14ac:dyDescent="0.2">
      <c r="A11" s="2"/>
      <c r="B11" s="6">
        <v>44653</v>
      </c>
      <c r="C11" s="7"/>
      <c r="D11" s="143">
        <v>86</v>
      </c>
      <c r="E11" s="143">
        <v>148</v>
      </c>
      <c r="F11" s="13">
        <f>'Suivi EAU-ELEC'!E10</f>
        <v>143</v>
      </c>
      <c r="G11" s="11"/>
      <c r="H11" s="186">
        <f t="shared" ref="H11:H21" si="0">F11*8.79</f>
        <v>1256.9699999999998</v>
      </c>
      <c r="I11" s="187"/>
      <c r="J11" s="187"/>
      <c r="K11" s="60">
        <v>42279</v>
      </c>
      <c r="L11" s="90">
        <f>'Suivi EAU-ELEC'!G10</f>
        <v>2925</v>
      </c>
      <c r="M11" s="91">
        <f>'Suivi EAU-ELEC'!I10</f>
        <v>5835</v>
      </c>
      <c r="N11" s="91">
        <f>'Suivi EAU-ELEC'!K10</f>
        <v>2283</v>
      </c>
      <c r="O11" s="91">
        <f>L11+M11+N11</f>
        <v>11043</v>
      </c>
      <c r="P11" s="11"/>
      <c r="Q11" s="34">
        <f t="shared" ref="Q11:Q39" si="1">L11*0.6985+M11*0.9514+N11*1.3304</f>
        <v>10631.834699999999</v>
      </c>
      <c r="R11" s="11"/>
      <c r="S11" s="28"/>
      <c r="T11" s="11"/>
      <c r="U11" s="28"/>
      <c r="V11" s="146">
        <f>'Suvi Gaz'!O5</f>
        <v>703.98262</v>
      </c>
      <c r="W11" s="11"/>
      <c r="X11" s="34">
        <f t="shared" ref="X11:X39" si="2">V11*13.64</f>
        <v>9602.3229368000011</v>
      </c>
    </row>
    <row r="12" spans="1:24" ht="32.25" customHeight="1" x14ac:dyDescent="0.2">
      <c r="A12" s="2"/>
      <c r="B12" s="6">
        <v>44654</v>
      </c>
      <c r="C12" s="7"/>
      <c r="D12" s="143">
        <v>52</v>
      </c>
      <c r="E12" s="143">
        <v>86</v>
      </c>
      <c r="F12" s="13">
        <f>'Suivi EAU-ELEC'!E11</f>
        <v>137</v>
      </c>
      <c r="G12" s="11"/>
      <c r="H12" s="186">
        <f t="shared" si="0"/>
        <v>1204.2299999999998</v>
      </c>
      <c r="I12" s="187"/>
      <c r="J12" s="187"/>
      <c r="K12" s="60">
        <v>42280</v>
      </c>
      <c r="L12" s="90">
        <f>'Suivi EAU-ELEC'!G11</f>
        <v>2848</v>
      </c>
      <c r="M12" s="91">
        <f>'Suivi EAU-ELEC'!I11</f>
        <v>5402</v>
      </c>
      <c r="N12" s="91">
        <f>'Suivi EAU-ELEC'!K11</f>
        <v>2333</v>
      </c>
      <c r="O12" s="91">
        <f>L12+M12+N12</f>
        <v>10583</v>
      </c>
      <c r="P12" s="11"/>
      <c r="Q12" s="34">
        <f t="shared" si="1"/>
        <v>10232.614000000001</v>
      </c>
      <c r="R12" s="11"/>
      <c r="S12" s="28"/>
      <c r="T12" s="11"/>
      <c r="U12" s="28"/>
      <c r="V12" s="146">
        <f>'Suvi Gaz'!O6</f>
        <v>671.98341000000005</v>
      </c>
      <c r="W12" s="11"/>
      <c r="X12" s="34">
        <f t="shared" si="2"/>
        <v>9165.8537124000013</v>
      </c>
    </row>
    <row r="13" spans="1:24" ht="32.25" customHeight="1" x14ac:dyDescent="0.2">
      <c r="A13" s="2"/>
      <c r="B13" s="6">
        <v>44655</v>
      </c>
      <c r="C13" s="7"/>
      <c r="D13" s="143">
        <v>84</v>
      </c>
      <c r="E13" s="143">
        <v>136</v>
      </c>
      <c r="F13" s="13">
        <f>'Suivi EAU-ELEC'!E12</f>
        <v>134</v>
      </c>
      <c r="G13" s="11"/>
      <c r="H13" s="186">
        <f t="shared" si="0"/>
        <v>1177.8599999999999</v>
      </c>
      <c r="I13" s="187"/>
      <c r="J13" s="187"/>
      <c r="K13" s="60">
        <v>42281</v>
      </c>
      <c r="L13" s="90">
        <f>'Suivi EAU-ELEC'!G12</f>
        <v>2993</v>
      </c>
      <c r="M13" s="91">
        <f>'Suivi EAU-ELEC'!I12</f>
        <v>5079</v>
      </c>
      <c r="N13" s="91">
        <f>'Suivi EAU-ELEC'!K12</f>
        <v>2389</v>
      </c>
      <c r="O13" s="91">
        <f t="shared" ref="O13:O39" si="3">L13+M13+N13</f>
        <v>10461</v>
      </c>
      <c r="P13" s="11"/>
      <c r="Q13" s="34">
        <f t="shared" si="1"/>
        <v>10101.0967</v>
      </c>
      <c r="R13" s="11"/>
      <c r="S13" s="28"/>
      <c r="T13" s="11"/>
      <c r="U13" s="28"/>
      <c r="V13" s="146">
        <f>'Suvi Gaz'!O7</f>
        <v>191.99526</v>
      </c>
      <c r="W13" s="11"/>
      <c r="X13" s="34">
        <f t="shared" si="2"/>
        <v>2618.8153464000002</v>
      </c>
    </row>
    <row r="14" spans="1:24" ht="32.25" customHeight="1" x14ac:dyDescent="0.2">
      <c r="A14" s="2"/>
      <c r="B14" s="6">
        <v>44656</v>
      </c>
      <c r="C14" s="7"/>
      <c r="D14" s="143">
        <v>66</v>
      </c>
      <c r="E14" s="143">
        <v>100</v>
      </c>
      <c r="F14" s="13">
        <f>'Suivi EAU-ELEC'!E13</f>
        <v>63.899999999994179</v>
      </c>
      <c r="G14" s="12"/>
      <c r="H14" s="186">
        <f t="shared" si="0"/>
        <v>561.68099999994877</v>
      </c>
      <c r="I14" s="187"/>
      <c r="J14" s="187"/>
      <c r="K14" s="60">
        <v>42282</v>
      </c>
      <c r="L14" s="90">
        <f>'Suivi EAU-ELEC'!G13</f>
        <v>3095</v>
      </c>
      <c r="M14" s="91">
        <f>'Suivi EAU-ELEC'!I13</f>
        <v>4560</v>
      </c>
      <c r="N14" s="91">
        <f>'Suivi EAU-ELEC'!K13</f>
        <v>2339</v>
      </c>
      <c r="O14" s="91">
        <f t="shared" si="3"/>
        <v>9994</v>
      </c>
      <c r="P14" s="12"/>
      <c r="Q14" s="34">
        <f t="shared" si="1"/>
        <v>9612.0470999999998</v>
      </c>
      <c r="R14" s="12"/>
      <c r="S14" s="28"/>
      <c r="T14" s="12"/>
      <c r="U14" s="28"/>
      <c r="V14" s="146">
        <f>'Suvi Gaz'!O8</f>
        <v>415.98973000000001</v>
      </c>
      <c r="W14" s="11"/>
      <c r="X14" s="34">
        <f t="shared" si="2"/>
        <v>5674.0999172000002</v>
      </c>
    </row>
    <row r="15" spans="1:24" ht="32.25" customHeight="1" x14ac:dyDescent="0.2">
      <c r="A15" s="5"/>
      <c r="B15" s="6">
        <v>44657</v>
      </c>
      <c r="C15" s="7"/>
      <c r="D15" s="143">
        <v>81</v>
      </c>
      <c r="E15" s="143">
        <v>128</v>
      </c>
      <c r="F15" s="13">
        <f>'Suivi EAU-ELEC'!E14</f>
        <v>124.5</v>
      </c>
      <c r="G15" s="11"/>
      <c r="H15" s="186">
        <f t="shared" si="0"/>
        <v>1094.3549999999998</v>
      </c>
      <c r="I15" s="187"/>
      <c r="J15" s="187"/>
      <c r="K15" s="60">
        <v>42283</v>
      </c>
      <c r="L15" s="90">
        <f>'Suivi EAU-ELEC'!G14</f>
        <v>2998</v>
      </c>
      <c r="M15" s="91">
        <f>'Suivi EAU-ELEC'!I14</f>
        <v>5103</v>
      </c>
      <c r="N15" s="91">
        <f>'Suivi EAU-ELEC'!K14</f>
        <v>2130</v>
      </c>
      <c r="O15" s="91">
        <f t="shared" si="3"/>
        <v>10231</v>
      </c>
      <c r="P15" s="12"/>
      <c r="Q15" s="34">
        <f t="shared" si="1"/>
        <v>9782.8492000000006</v>
      </c>
      <c r="R15" s="12"/>
      <c r="S15" s="28"/>
      <c r="T15" s="12"/>
      <c r="U15" s="28"/>
      <c r="V15" s="146">
        <f>'Suvi Gaz'!O9</f>
        <v>479.98815000000002</v>
      </c>
      <c r="W15" s="11"/>
      <c r="X15" s="34">
        <f t="shared" si="2"/>
        <v>6547.0383660000007</v>
      </c>
    </row>
    <row r="16" spans="1:24" ht="32.25" customHeight="1" x14ac:dyDescent="0.2">
      <c r="A16" s="5"/>
      <c r="B16" s="6">
        <v>44658</v>
      </c>
      <c r="C16" s="7"/>
      <c r="D16" s="143">
        <v>76</v>
      </c>
      <c r="E16" s="143">
        <v>122</v>
      </c>
      <c r="F16" s="13">
        <f>'Suivi EAU-ELEC'!E15</f>
        <v>99</v>
      </c>
      <c r="G16" s="11"/>
      <c r="H16" s="186">
        <f t="shared" si="0"/>
        <v>870.20999999999992</v>
      </c>
      <c r="I16" s="187"/>
      <c r="J16" s="187"/>
      <c r="K16" s="60">
        <v>42284</v>
      </c>
      <c r="L16" s="90">
        <f>'Suivi EAU-ELEC'!G15</f>
        <v>2968</v>
      </c>
      <c r="M16" s="91">
        <f>'Suivi EAU-ELEC'!I15</f>
        <v>5120</v>
      </c>
      <c r="N16" s="91">
        <f>'Suivi EAU-ELEC'!K15</f>
        <v>2178</v>
      </c>
      <c r="O16" s="91">
        <f t="shared" si="3"/>
        <v>10266</v>
      </c>
      <c r="P16" s="11"/>
      <c r="Q16" s="34">
        <f t="shared" si="1"/>
        <v>9841.9272000000001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2"/>
        <v>5674.0999172000002</v>
      </c>
    </row>
    <row r="17" spans="1:24" s="5" customFormat="1" ht="32.25" customHeight="1" x14ac:dyDescent="0.2">
      <c r="A17" s="2"/>
      <c r="B17" s="6">
        <v>44659</v>
      </c>
      <c r="C17" s="7"/>
      <c r="D17" s="143">
        <v>70</v>
      </c>
      <c r="E17" s="143">
        <v>115</v>
      </c>
      <c r="F17" s="13">
        <f>'Suivi EAU-ELEC'!E16</f>
        <v>104</v>
      </c>
      <c r="G17" s="11"/>
      <c r="H17" s="186">
        <f t="shared" si="0"/>
        <v>914.15999999999985</v>
      </c>
      <c r="I17" s="187"/>
      <c r="J17" s="187"/>
      <c r="K17" s="60">
        <v>42285</v>
      </c>
      <c r="L17" s="90">
        <f>'Suivi EAU-ELEC'!G16</f>
        <v>2732</v>
      </c>
      <c r="M17" s="91">
        <f>'Suivi EAU-ELEC'!I16</f>
        <v>5401</v>
      </c>
      <c r="N17" s="91">
        <f>'Suivi EAU-ELEC'!K16</f>
        <v>2478</v>
      </c>
      <c r="O17" s="91">
        <f t="shared" si="3"/>
        <v>10611</v>
      </c>
      <c r="P17" s="12"/>
      <c r="Q17" s="34">
        <f t="shared" si="1"/>
        <v>10343.544600000001</v>
      </c>
      <c r="R17" s="12"/>
      <c r="S17" s="28"/>
      <c r="T17" s="12"/>
      <c r="U17" s="28"/>
      <c r="V17" s="146">
        <f>'Suvi Gaz'!O11</f>
        <v>895.97788000000003</v>
      </c>
      <c r="W17" s="11"/>
      <c r="X17" s="34">
        <f t="shared" si="2"/>
        <v>12221.138283200002</v>
      </c>
    </row>
    <row r="18" spans="1:24" ht="32.25" customHeight="1" x14ac:dyDescent="0.2">
      <c r="A18" s="2"/>
      <c r="B18" s="6">
        <v>44660</v>
      </c>
      <c r="C18" s="7"/>
      <c r="D18" s="143">
        <v>90</v>
      </c>
      <c r="E18" s="143">
        <v>160</v>
      </c>
      <c r="F18" s="13">
        <f>'Suivi EAU-ELEC'!E17</f>
        <v>136.80000000001746</v>
      </c>
      <c r="G18" s="11"/>
      <c r="H18" s="186">
        <f t="shared" si="0"/>
        <v>1202.4720000001535</v>
      </c>
      <c r="I18" s="187"/>
      <c r="J18" s="187"/>
      <c r="K18" s="60">
        <v>42286</v>
      </c>
      <c r="L18" s="90">
        <f>'Suivi EAU-ELEC'!G17</f>
        <v>2858</v>
      </c>
      <c r="M18" s="91">
        <f>'Suivi EAU-ELEC'!I17</f>
        <v>5414</v>
      </c>
      <c r="N18" s="91">
        <f>'Suivi EAU-ELEC'!K17</f>
        <v>2428</v>
      </c>
      <c r="O18" s="91">
        <f t="shared" si="3"/>
        <v>10700</v>
      </c>
      <c r="P18" s="12"/>
      <c r="Q18" s="34">
        <f t="shared" si="1"/>
        <v>10377.4038</v>
      </c>
      <c r="R18" s="12"/>
      <c r="S18" s="28"/>
      <c r="T18" s="12"/>
      <c r="U18" s="28"/>
      <c r="V18" s="146">
        <f>'Suvi Gaz'!O12</f>
        <v>415.98973000000001</v>
      </c>
      <c r="W18" s="11"/>
      <c r="X18" s="34">
        <f t="shared" si="2"/>
        <v>5674.0999172000002</v>
      </c>
    </row>
    <row r="19" spans="1:24" ht="32.25" customHeight="1" x14ac:dyDescent="0.2">
      <c r="A19" s="2"/>
      <c r="B19" s="6">
        <v>44661</v>
      </c>
      <c r="C19" s="7"/>
      <c r="D19" s="143">
        <v>80</v>
      </c>
      <c r="E19" s="143">
        <v>135</v>
      </c>
      <c r="F19" s="13">
        <f>'Suivi EAU-ELEC'!E18</f>
        <v>131.79999999998836</v>
      </c>
      <c r="G19" s="12"/>
      <c r="H19" s="186">
        <f t="shared" si="0"/>
        <v>1158.5219999998976</v>
      </c>
      <c r="I19" s="187"/>
      <c r="J19" s="187"/>
      <c r="K19" s="60">
        <v>42287</v>
      </c>
      <c r="L19" s="90">
        <f>'Suivi EAU-ELEC'!G18</f>
        <v>3317</v>
      </c>
      <c r="M19" s="91">
        <f>'Suivi EAU-ELEC'!I18</f>
        <v>5290</v>
      </c>
      <c r="N19" s="91">
        <f>'Suivi EAU-ELEC'!K18</f>
        <v>2491</v>
      </c>
      <c r="O19" s="91">
        <f t="shared" si="3"/>
        <v>11098</v>
      </c>
      <c r="P19" s="12"/>
      <c r="Q19" s="34">
        <f t="shared" si="1"/>
        <v>10663.856900000001</v>
      </c>
      <c r="R19" s="12"/>
      <c r="S19" s="28"/>
      <c r="T19" s="12"/>
      <c r="U19" s="28"/>
      <c r="V19" s="146">
        <f>'Suvi Gaz'!O13</f>
        <v>223.99447000000001</v>
      </c>
      <c r="W19" s="11"/>
      <c r="X19" s="34">
        <f t="shared" si="2"/>
        <v>3055.2845708000004</v>
      </c>
    </row>
    <row r="20" spans="1:24" ht="32.25" customHeight="1" x14ac:dyDescent="0.2">
      <c r="A20" s="2"/>
      <c r="B20" s="6">
        <v>44662</v>
      </c>
      <c r="C20" s="7"/>
      <c r="D20" s="143">
        <v>100</v>
      </c>
      <c r="E20" s="143">
        <v>172</v>
      </c>
      <c r="F20" s="13">
        <f>'Suivi EAU-ELEC'!E19</f>
        <v>88</v>
      </c>
      <c r="G20" s="12"/>
      <c r="H20" s="186">
        <f t="shared" si="0"/>
        <v>773.52</v>
      </c>
      <c r="I20" s="187"/>
      <c r="J20" s="187"/>
      <c r="K20" s="60">
        <v>42288</v>
      </c>
      <c r="L20" s="90">
        <f>'Suivi EAU-ELEC'!G19</f>
        <v>2959</v>
      </c>
      <c r="M20" s="91">
        <f>'Suivi EAU-ELEC'!I19</f>
        <v>5314</v>
      </c>
      <c r="N20" s="91">
        <f>'Suivi EAU-ELEC'!K19</f>
        <v>2466</v>
      </c>
      <c r="O20" s="91">
        <f t="shared" si="3"/>
        <v>10739</v>
      </c>
      <c r="P20" s="12"/>
      <c r="Q20" s="34">
        <f t="shared" si="1"/>
        <v>10403.3675</v>
      </c>
      <c r="R20" s="12"/>
      <c r="S20" s="28"/>
      <c r="T20" s="12"/>
      <c r="U20" s="28"/>
      <c r="V20" s="146">
        <f>'Suvi Gaz'!O14</f>
        <v>479.98815000000002</v>
      </c>
      <c r="W20" s="11"/>
      <c r="X20" s="34">
        <f t="shared" si="2"/>
        <v>6547.0383660000007</v>
      </c>
    </row>
    <row r="21" spans="1:24" ht="32.25" customHeight="1" x14ac:dyDescent="0.2">
      <c r="A21" s="2"/>
      <c r="B21" s="6">
        <v>44663</v>
      </c>
      <c r="C21" s="7"/>
      <c r="D21" s="143">
        <v>106</v>
      </c>
      <c r="E21" s="143">
        <v>170</v>
      </c>
      <c r="F21" s="13">
        <f>'Suivi EAU-ELEC'!E20</f>
        <v>104</v>
      </c>
      <c r="G21" s="12"/>
      <c r="H21" s="186">
        <f t="shared" si="0"/>
        <v>914.15999999999985</v>
      </c>
      <c r="I21" s="187"/>
      <c r="J21" s="187"/>
      <c r="K21" s="60">
        <v>42289</v>
      </c>
      <c r="L21" s="90">
        <f>'Suivi EAU-ELEC'!G20</f>
        <v>3117</v>
      </c>
      <c r="M21" s="91">
        <f>'Suivi EAU-ELEC'!I20</f>
        <v>5458</v>
      </c>
      <c r="N21" s="91">
        <f>'Suivi EAU-ELEC'!K20</f>
        <v>2539</v>
      </c>
      <c r="O21" s="91">
        <f>L21+M21+N21</f>
        <v>11114</v>
      </c>
      <c r="P21" s="12"/>
      <c r="Q21" s="34">
        <f t="shared" si="1"/>
        <v>10747.8513</v>
      </c>
      <c r="R21" s="12"/>
      <c r="S21" s="28"/>
      <c r="T21" s="12"/>
      <c r="U21" s="28"/>
      <c r="V21" s="146">
        <f>'Suvi Gaz'!O15</f>
        <v>543.98657000000003</v>
      </c>
      <c r="W21" s="11"/>
      <c r="X21" s="34">
        <f t="shared" si="2"/>
        <v>7419.9768148000003</v>
      </c>
    </row>
    <row r="22" spans="1:24" ht="32.25" customHeight="1" x14ac:dyDescent="0.2">
      <c r="A22" s="2"/>
      <c r="B22" s="6">
        <v>44664</v>
      </c>
      <c r="C22" s="7"/>
      <c r="D22" s="143">
        <v>89</v>
      </c>
      <c r="E22" s="143">
        <v>152</v>
      </c>
      <c r="F22" s="13">
        <f>'Suivi EAU-ELEC'!E21</f>
        <v>143</v>
      </c>
      <c r="G22" s="12"/>
      <c r="H22" s="186">
        <f t="shared" ref="H22:H35" si="4">F22*8.79</f>
        <v>1256.9699999999998</v>
      </c>
      <c r="I22" s="187"/>
      <c r="J22" s="187"/>
      <c r="K22" s="60">
        <v>42290</v>
      </c>
      <c r="L22" s="90">
        <f>'Suivi EAU-ELEC'!G21</f>
        <v>3569</v>
      </c>
      <c r="M22" s="91">
        <f>'Suivi EAU-ELEC'!I21</f>
        <v>5987</v>
      </c>
      <c r="N22" s="91">
        <f>'Suivi EAU-ELEC'!K21</f>
        <v>2966</v>
      </c>
      <c r="O22" s="91">
        <f t="shared" si="3"/>
        <v>12522</v>
      </c>
      <c r="P22" s="12"/>
      <c r="Q22" s="34">
        <f t="shared" si="1"/>
        <v>12134.9447</v>
      </c>
      <c r="R22" s="12"/>
      <c r="S22" s="28"/>
      <c r="T22" s="12"/>
      <c r="U22" s="28"/>
      <c r="V22" s="146">
        <f>'Suvi Gaz'!O16</f>
        <v>511.98736000000002</v>
      </c>
      <c r="W22" s="11"/>
      <c r="X22" s="34">
        <f t="shared" si="2"/>
        <v>6983.5075904000005</v>
      </c>
    </row>
    <row r="23" spans="1:24" ht="32.25" customHeight="1" x14ac:dyDescent="0.2">
      <c r="A23" s="2"/>
      <c r="B23" s="6">
        <v>44665</v>
      </c>
      <c r="C23" s="7"/>
      <c r="D23" s="143">
        <v>99</v>
      </c>
      <c r="E23" s="143">
        <v>183</v>
      </c>
      <c r="F23" s="13">
        <f>'Suivi EAU-ELEC'!E22</f>
        <v>109</v>
      </c>
      <c r="G23" s="14"/>
      <c r="H23" s="186">
        <f t="shared" si="4"/>
        <v>958.1099999999999</v>
      </c>
      <c r="I23" s="187"/>
      <c r="J23" s="187"/>
      <c r="K23" s="60">
        <v>42291</v>
      </c>
      <c r="L23" s="90">
        <f>'Suivi EAU-ELEC'!G22</f>
        <v>3005</v>
      </c>
      <c r="M23" s="91">
        <f>'Suivi EAU-ELEC'!I22</f>
        <v>5960</v>
      </c>
      <c r="N23" s="91">
        <f>'Suivi EAU-ELEC'!K22</f>
        <v>2522</v>
      </c>
      <c r="O23" s="91">
        <f>L23+M23+N23</f>
        <v>11487</v>
      </c>
      <c r="P23" s="12"/>
      <c r="Q23" s="34">
        <f t="shared" si="1"/>
        <v>11124.605299999999</v>
      </c>
      <c r="R23" s="12"/>
      <c r="S23" s="28"/>
      <c r="T23" s="14"/>
      <c r="U23" s="28"/>
      <c r="V23" s="146">
        <f>'Suvi Gaz'!O17</f>
        <v>479.98815000000002</v>
      </c>
      <c r="W23" s="11"/>
      <c r="X23" s="34">
        <f t="shared" si="2"/>
        <v>6547.0383660000007</v>
      </c>
    </row>
    <row r="24" spans="1:24" ht="32.25" customHeight="1" x14ac:dyDescent="0.2">
      <c r="A24" s="2"/>
      <c r="B24" s="6">
        <v>44666</v>
      </c>
      <c r="C24" s="7"/>
      <c r="D24" s="143">
        <v>84</v>
      </c>
      <c r="E24" s="143">
        <v>156</v>
      </c>
      <c r="F24" s="13">
        <f>'Suivi EAU-ELEC'!E23</f>
        <v>108.5</v>
      </c>
      <c r="G24" s="14"/>
      <c r="H24" s="186">
        <f t="shared" si="4"/>
        <v>953.71499999999992</v>
      </c>
      <c r="I24" s="187"/>
      <c r="J24" s="187"/>
      <c r="K24" s="60">
        <v>42292</v>
      </c>
      <c r="L24" s="90">
        <f>'Suivi EAU-ELEC'!G23</f>
        <v>2878</v>
      </c>
      <c r="M24" s="91">
        <f>'Suivi EAU-ELEC'!I23</f>
        <v>5738</v>
      </c>
      <c r="N24" s="91">
        <f>'Suivi EAU-ELEC'!K23</f>
        <v>2537</v>
      </c>
      <c r="O24" s="91">
        <f>L24+M24+N24</f>
        <v>11153</v>
      </c>
      <c r="P24" s="12"/>
      <c r="Q24" s="34">
        <f t="shared" si="1"/>
        <v>10844.641</v>
      </c>
      <c r="R24" s="12"/>
      <c r="S24" s="28"/>
      <c r="T24" s="14"/>
      <c r="U24" s="28"/>
      <c r="V24" s="146">
        <f>'Suvi Gaz'!O18</f>
        <v>479.98815000000002</v>
      </c>
      <c r="W24" s="11"/>
      <c r="X24" s="34">
        <f t="shared" si="2"/>
        <v>6547.0383660000007</v>
      </c>
    </row>
    <row r="25" spans="1:24" ht="32.25" customHeight="1" x14ac:dyDescent="0.2">
      <c r="A25" s="2"/>
      <c r="B25" s="6">
        <v>44667</v>
      </c>
      <c r="C25" s="7"/>
      <c r="D25" s="143">
        <v>93</v>
      </c>
      <c r="E25" s="143">
        <v>177</v>
      </c>
      <c r="F25" s="13">
        <f>'Suivi EAU-ELEC'!E24</f>
        <v>156.5</v>
      </c>
      <c r="G25" s="14"/>
      <c r="H25" s="186">
        <f t="shared" si="4"/>
        <v>1375.6349999999998</v>
      </c>
      <c r="I25" s="187"/>
      <c r="J25" s="187"/>
      <c r="K25" s="60">
        <v>42293</v>
      </c>
      <c r="L25" s="90">
        <f>'Suivi EAU-ELEC'!G24</f>
        <v>3637</v>
      </c>
      <c r="M25" s="91">
        <f>'Suivi EAU-ELEC'!I24</f>
        <v>5811</v>
      </c>
      <c r="N25" s="91">
        <f>'Suivi EAU-ELEC'!K24</f>
        <v>2703</v>
      </c>
      <c r="O25" s="91">
        <f>L25+M25+N25</f>
        <v>12151</v>
      </c>
      <c r="P25" s="12"/>
      <c r="Q25" s="34">
        <f t="shared" si="1"/>
        <v>11665.1011</v>
      </c>
      <c r="R25" s="12"/>
      <c r="S25" s="28"/>
      <c r="T25" s="14"/>
      <c r="U25" s="28"/>
      <c r="V25" s="146">
        <f>'Suvi Gaz'!O19</f>
        <v>639.98419999999999</v>
      </c>
      <c r="W25" s="11"/>
      <c r="X25" s="34">
        <f t="shared" si="2"/>
        <v>8729.3844879999997</v>
      </c>
    </row>
    <row r="26" spans="1:24" ht="32.25" customHeight="1" x14ac:dyDescent="0.2">
      <c r="A26" s="2"/>
      <c r="B26" s="6">
        <v>44668</v>
      </c>
      <c r="C26" s="7"/>
      <c r="D26" s="143">
        <v>80</v>
      </c>
      <c r="E26" s="143">
        <v>138</v>
      </c>
      <c r="F26" s="13">
        <f>'Suivi EAU-ELEC'!E25</f>
        <v>126</v>
      </c>
      <c r="G26" s="14"/>
      <c r="H26" s="186">
        <f t="shared" si="4"/>
        <v>1107.54</v>
      </c>
      <c r="I26" s="187"/>
      <c r="J26" s="187"/>
      <c r="K26" s="60">
        <v>42294</v>
      </c>
      <c r="L26" s="90">
        <f>'Suivi EAU-ELEC'!G25</f>
        <v>3222</v>
      </c>
      <c r="M26" s="91">
        <f>'Suivi EAU-ELEC'!I25</f>
        <v>5842</v>
      </c>
      <c r="N26" s="91">
        <f>'Suivi EAU-ELEC'!K25</f>
        <v>2413</v>
      </c>
      <c r="O26" s="91">
        <f>L26+M26+N26</f>
        <v>11477</v>
      </c>
      <c r="P26" s="14"/>
      <c r="Q26" s="34">
        <f t="shared" si="1"/>
        <v>11018.901</v>
      </c>
      <c r="R26" s="14"/>
      <c r="S26" s="28"/>
      <c r="T26" s="14"/>
      <c r="U26" s="28"/>
      <c r="V26" s="146">
        <f>'Suvi Gaz'!O20</f>
        <v>511.98736000000002</v>
      </c>
      <c r="W26" s="11"/>
      <c r="X26" s="34">
        <f t="shared" si="2"/>
        <v>6983.5075904000005</v>
      </c>
    </row>
    <row r="27" spans="1:24" ht="32.25" customHeight="1" x14ac:dyDescent="0.2">
      <c r="A27" s="2"/>
      <c r="B27" s="6">
        <v>44669</v>
      </c>
      <c r="C27" s="7"/>
      <c r="D27" s="143">
        <v>101</v>
      </c>
      <c r="E27" s="143">
        <v>152</v>
      </c>
      <c r="F27" s="13">
        <f>'Suivi EAU-ELEC'!E26</f>
        <v>91</v>
      </c>
      <c r="G27" s="14"/>
      <c r="H27" s="186">
        <f t="shared" si="4"/>
        <v>799.88999999999987</v>
      </c>
      <c r="I27" s="187"/>
      <c r="J27" s="187"/>
      <c r="K27" s="60">
        <v>42295</v>
      </c>
      <c r="L27" s="90">
        <f>'Suivi EAU-ELEC'!G26</f>
        <v>3398</v>
      </c>
      <c r="M27" s="91">
        <f>'Suivi EAU-ELEC'!I26</f>
        <v>5729</v>
      </c>
      <c r="N27" s="91">
        <f>'Suivi EAU-ELEC'!K26</f>
        <v>2560</v>
      </c>
      <c r="O27" s="91">
        <f t="shared" si="3"/>
        <v>11687</v>
      </c>
      <c r="P27" s="14"/>
      <c r="Q27" s="34">
        <f t="shared" si="1"/>
        <v>11229.8976</v>
      </c>
      <c r="R27" s="14"/>
      <c r="S27" s="28"/>
      <c r="T27" s="14"/>
      <c r="U27" s="28"/>
      <c r="V27" s="146">
        <f>'Suvi Gaz'!O21</f>
        <v>607.98499000000004</v>
      </c>
      <c r="W27" s="11"/>
      <c r="X27" s="34">
        <f t="shared" si="2"/>
        <v>8292.9152636000017</v>
      </c>
    </row>
    <row r="28" spans="1:24" ht="32.25" customHeight="1" x14ac:dyDescent="0.2">
      <c r="A28" s="2"/>
      <c r="B28" s="6">
        <v>44670</v>
      </c>
      <c r="C28" s="7"/>
      <c r="D28" s="143">
        <v>86</v>
      </c>
      <c r="E28" s="143">
        <v>128</v>
      </c>
      <c r="F28" s="13">
        <f>'Suivi EAU-ELEC'!E27</f>
        <v>109</v>
      </c>
      <c r="G28" s="11"/>
      <c r="H28" s="186">
        <f t="shared" si="4"/>
        <v>958.1099999999999</v>
      </c>
      <c r="I28" s="187"/>
      <c r="J28" s="187"/>
      <c r="K28" s="60">
        <v>42296</v>
      </c>
      <c r="L28" s="90">
        <f>'Suivi EAU-ELEC'!G27</f>
        <v>3298</v>
      </c>
      <c r="M28" s="91">
        <f>'Suivi EAU-ELEC'!I27</f>
        <v>6064</v>
      </c>
      <c r="N28" s="91">
        <f>'Suivi EAU-ELEC'!K27</f>
        <v>2705</v>
      </c>
      <c r="O28" s="91">
        <f t="shared" si="3"/>
        <v>12067</v>
      </c>
      <c r="P28" s="11"/>
      <c r="Q28" s="34">
        <f t="shared" si="1"/>
        <v>11671.6746</v>
      </c>
      <c r="R28" s="11"/>
      <c r="S28" s="28"/>
      <c r="T28" s="11"/>
      <c r="U28" s="28"/>
      <c r="V28" s="146">
        <f>'Suvi Gaz'!O22</f>
        <v>671.98341000000005</v>
      </c>
      <c r="W28" s="11"/>
      <c r="X28" s="34">
        <f t="shared" si="2"/>
        <v>9165.8537124000013</v>
      </c>
    </row>
    <row r="29" spans="1:24" ht="32.25" customHeight="1" x14ac:dyDescent="0.2">
      <c r="A29" s="2"/>
      <c r="B29" s="6">
        <v>44671</v>
      </c>
      <c r="C29" s="7"/>
      <c r="D29" s="143">
        <v>84</v>
      </c>
      <c r="E29" s="143">
        <v>131</v>
      </c>
      <c r="F29" s="13">
        <f>'Suivi EAU-ELEC'!E28</f>
        <v>104.10000000000582</v>
      </c>
      <c r="G29" s="11"/>
      <c r="H29" s="186">
        <f t="shared" si="4"/>
        <v>915.03900000005103</v>
      </c>
      <c r="I29" s="187"/>
      <c r="J29" s="187"/>
      <c r="K29" s="60">
        <v>42297</v>
      </c>
      <c r="L29" s="90">
        <f>'Suivi EAU-ELEC'!G28</f>
        <v>2563</v>
      </c>
      <c r="M29" s="91">
        <f>'Suivi EAU-ELEC'!I28</f>
        <v>6082</v>
      </c>
      <c r="N29" s="91">
        <f>'Suivi EAU-ELEC'!K28</f>
        <v>2698</v>
      </c>
      <c r="O29" s="91">
        <f>L29+M29+N29</f>
        <v>11343</v>
      </c>
      <c r="P29" s="11"/>
      <c r="Q29" s="34">
        <f t="shared" si="1"/>
        <v>11166.089500000002</v>
      </c>
      <c r="R29" s="11"/>
      <c r="S29" s="28"/>
      <c r="T29" s="11"/>
      <c r="U29" s="28"/>
      <c r="V29" s="146">
        <f>'Suvi Gaz'!O23</f>
        <v>895.97788000000003</v>
      </c>
      <c r="W29" s="11"/>
      <c r="X29" s="34">
        <f t="shared" si="2"/>
        <v>12221.138283200002</v>
      </c>
    </row>
    <row r="30" spans="1:24" ht="32.25" customHeight="1" x14ac:dyDescent="0.2">
      <c r="A30" s="2"/>
      <c r="B30" s="6">
        <v>44672</v>
      </c>
      <c r="C30" s="7"/>
      <c r="D30" s="143">
        <v>97</v>
      </c>
      <c r="E30" s="143">
        <v>156</v>
      </c>
      <c r="F30" s="13">
        <f>'Suivi EAU-ELEC'!E29</f>
        <v>123.5</v>
      </c>
      <c r="G30" s="11"/>
      <c r="H30" s="186">
        <f t="shared" si="4"/>
        <v>1085.5649999999998</v>
      </c>
      <c r="I30" s="187"/>
      <c r="J30" s="187"/>
      <c r="K30" s="60">
        <v>42298</v>
      </c>
      <c r="L30" s="90">
        <f>'Suivi EAU-ELEC'!G29</f>
        <v>3536</v>
      </c>
      <c r="M30" s="91">
        <f>'Suivi EAU-ELEC'!I29</f>
        <v>5881</v>
      </c>
      <c r="N30" s="91">
        <f>'Suivi EAU-ELEC'!K29</f>
        <v>3060</v>
      </c>
      <c r="O30" s="91">
        <f>L30+M30+N30</f>
        <v>12477</v>
      </c>
      <c r="P30" s="11"/>
      <c r="Q30" s="34">
        <f t="shared" si="1"/>
        <v>12136.1034</v>
      </c>
      <c r="R30" s="11"/>
      <c r="S30" s="28"/>
      <c r="T30" s="11"/>
      <c r="U30" s="28"/>
      <c r="V30" s="146">
        <f>'Suvi Gaz'!O24</f>
        <v>287.99288999999999</v>
      </c>
      <c r="W30" s="11"/>
      <c r="X30" s="34">
        <f t="shared" si="2"/>
        <v>3928.2230196</v>
      </c>
    </row>
    <row r="31" spans="1:24" ht="27.75" customHeight="1" x14ac:dyDescent="0.2">
      <c r="A31" s="2"/>
      <c r="B31" s="6">
        <v>44673</v>
      </c>
      <c r="C31" s="7"/>
      <c r="D31" s="143">
        <v>86</v>
      </c>
      <c r="E31" s="143">
        <v>159</v>
      </c>
      <c r="F31" s="13">
        <f>'Suivi EAU-ELEC'!E30</f>
        <v>124.39999999999418</v>
      </c>
      <c r="G31" s="11"/>
      <c r="H31" s="186">
        <f t="shared" si="4"/>
        <v>1093.4759999999487</v>
      </c>
      <c r="I31" s="187"/>
      <c r="J31" s="187"/>
      <c r="K31" s="60">
        <v>42299</v>
      </c>
      <c r="L31" s="90">
        <f>'Suivi EAU-ELEC'!G30</f>
        <v>3952</v>
      </c>
      <c r="M31" s="91">
        <f>'Suivi EAU-ELEC'!I30</f>
        <v>5742</v>
      </c>
      <c r="N31" s="91">
        <f>'Suivi EAU-ELEC'!K30</f>
        <v>2751</v>
      </c>
      <c r="O31" s="91">
        <f>L31+M31+N31</f>
        <v>12445</v>
      </c>
      <c r="P31" s="11"/>
      <c r="Q31" s="34">
        <f t="shared" si="1"/>
        <v>11883.341199999999</v>
      </c>
      <c r="R31" s="11"/>
      <c r="S31" s="28"/>
      <c r="T31" s="11"/>
      <c r="U31" s="28"/>
      <c r="V31" s="146">
        <f>'Suvi Gaz'!O25</f>
        <v>447.98894000000001</v>
      </c>
      <c r="W31" s="11"/>
      <c r="X31" s="34">
        <f t="shared" si="2"/>
        <v>6110.5691416000009</v>
      </c>
    </row>
    <row r="32" spans="1:24" ht="37.5" customHeight="1" x14ac:dyDescent="0.2">
      <c r="A32" s="2"/>
      <c r="B32" s="6">
        <v>44674</v>
      </c>
      <c r="C32" s="7"/>
      <c r="D32" s="143">
        <v>92</v>
      </c>
      <c r="E32" s="143">
        <v>167</v>
      </c>
      <c r="F32" s="13">
        <f>'Suivi EAU-ELEC'!E31</f>
        <v>105</v>
      </c>
      <c r="G32" s="11"/>
      <c r="H32" s="186">
        <f t="shared" si="4"/>
        <v>922.94999999999993</v>
      </c>
      <c r="I32" s="187"/>
      <c r="J32" s="187"/>
      <c r="K32" s="60">
        <v>42300</v>
      </c>
      <c r="L32" s="90">
        <f>'Suivi EAU-ELEC'!G31</f>
        <v>3257</v>
      </c>
      <c r="M32" s="91">
        <f>'Suivi EAU-ELEC'!I31</f>
        <v>5685</v>
      </c>
      <c r="N32" s="91">
        <f>'Suivi EAU-ELEC'!K31</f>
        <v>2673</v>
      </c>
      <c r="O32" s="91">
        <f t="shared" si="3"/>
        <v>11615</v>
      </c>
      <c r="P32" s="11"/>
      <c r="Q32" s="34">
        <f t="shared" si="1"/>
        <v>11239.8827</v>
      </c>
      <c r="R32" s="11"/>
      <c r="S32" s="28"/>
      <c r="T32" s="11"/>
      <c r="U32" s="28"/>
      <c r="V32" s="146">
        <f>'Suvi Gaz'!O26</f>
        <v>607.98499000000004</v>
      </c>
      <c r="W32" s="11"/>
      <c r="X32" s="34">
        <f t="shared" si="2"/>
        <v>8292.9152636000017</v>
      </c>
    </row>
    <row r="33" spans="1:24" ht="37.5" customHeight="1" x14ac:dyDescent="0.2">
      <c r="A33" s="2"/>
      <c r="B33" s="6">
        <v>44675</v>
      </c>
      <c r="C33" s="7"/>
      <c r="D33" s="143">
        <v>81</v>
      </c>
      <c r="E33" s="143">
        <v>139</v>
      </c>
      <c r="F33" s="13">
        <f>'Suivi EAU-ELEC'!E32</f>
        <v>100</v>
      </c>
      <c r="G33" s="11"/>
      <c r="H33" s="186">
        <f t="shared" si="4"/>
        <v>878.99999999999989</v>
      </c>
      <c r="I33" s="187"/>
      <c r="J33" s="187"/>
      <c r="K33" s="60">
        <v>42301</v>
      </c>
      <c r="L33" s="90">
        <f>'Suivi EAU-ELEC'!G32</f>
        <v>3326</v>
      </c>
      <c r="M33" s="91">
        <f>'Suivi EAU-ELEC'!I32</f>
        <v>5857</v>
      </c>
      <c r="N33" s="91">
        <f>'Suivi EAU-ELEC'!K32</f>
        <v>2544</v>
      </c>
      <c r="O33" s="91">
        <f t="shared" si="3"/>
        <v>11727</v>
      </c>
      <c r="P33" s="11"/>
      <c r="Q33" s="34">
        <f t="shared" si="1"/>
        <v>11280.098400000001</v>
      </c>
      <c r="R33" s="11"/>
      <c r="S33" s="28"/>
      <c r="T33" s="11"/>
      <c r="U33" s="28"/>
      <c r="V33" s="146">
        <f>'Suvi Gaz'!O27</f>
        <v>447.98894000000001</v>
      </c>
      <c r="W33" s="11"/>
      <c r="X33" s="34">
        <f t="shared" si="2"/>
        <v>6110.5691416000009</v>
      </c>
    </row>
    <row r="34" spans="1:24" ht="37.5" customHeight="1" x14ac:dyDescent="0.2">
      <c r="A34" s="2"/>
      <c r="B34" s="6">
        <v>44676</v>
      </c>
      <c r="C34" s="7"/>
      <c r="D34" s="143">
        <v>84</v>
      </c>
      <c r="E34" s="143">
        <v>140</v>
      </c>
      <c r="F34" s="13">
        <f>'Suivi EAU-ELEC'!E33</f>
        <v>90</v>
      </c>
      <c r="G34" s="11"/>
      <c r="H34" s="186">
        <f t="shared" si="4"/>
        <v>791.09999999999991</v>
      </c>
      <c r="I34" s="187"/>
      <c r="J34" s="187"/>
      <c r="K34" s="60">
        <v>42302</v>
      </c>
      <c r="L34" s="90">
        <f>'Suivi EAU-ELEC'!G33</f>
        <v>3187</v>
      </c>
      <c r="M34" s="91">
        <f>'Suivi EAU-ELEC'!I33</f>
        <v>8689</v>
      </c>
      <c r="N34" s="91">
        <f>'Suivi EAU-ELEC'!K33</f>
        <v>3260</v>
      </c>
      <c r="O34" s="91">
        <f t="shared" si="3"/>
        <v>15136</v>
      </c>
      <c r="P34" s="11"/>
      <c r="Q34" s="34">
        <f t="shared" si="1"/>
        <v>14829.938099999999</v>
      </c>
      <c r="R34" s="11"/>
      <c r="S34" s="28"/>
      <c r="T34" s="11"/>
      <c r="U34" s="28"/>
      <c r="V34" s="146">
        <f>'Suvi Gaz'!O28</f>
        <v>383.99052</v>
      </c>
      <c r="W34" s="11"/>
      <c r="X34" s="34">
        <f t="shared" si="2"/>
        <v>5237.6306928000004</v>
      </c>
    </row>
    <row r="35" spans="1:24" ht="33.75" customHeight="1" x14ac:dyDescent="0.2">
      <c r="A35" s="2"/>
      <c r="B35" s="6">
        <v>44677</v>
      </c>
      <c r="C35" s="7"/>
      <c r="D35" s="143">
        <v>75</v>
      </c>
      <c r="E35" s="143">
        <v>130</v>
      </c>
      <c r="F35" s="13">
        <f>'Suivi EAU-ELEC'!E34</f>
        <v>124</v>
      </c>
      <c r="G35" s="11"/>
      <c r="H35" s="186">
        <f t="shared" si="4"/>
        <v>1089.9599999999998</v>
      </c>
      <c r="I35" s="187"/>
      <c r="J35" s="187"/>
      <c r="K35" s="60">
        <v>42303</v>
      </c>
      <c r="L35" s="90">
        <f>'Suivi EAU-ELEC'!G34</f>
        <v>3256</v>
      </c>
      <c r="M35" s="91">
        <f>'Suivi EAU-ELEC'!I34</f>
        <v>2767</v>
      </c>
      <c r="N35" s="91">
        <f>'Suivi EAU-ELEC'!K34</f>
        <v>1770</v>
      </c>
      <c r="O35" s="91">
        <f t="shared" si="3"/>
        <v>7793</v>
      </c>
      <c r="P35" s="11"/>
      <c r="Q35" s="34">
        <f t="shared" si="1"/>
        <v>7261.6477999999997</v>
      </c>
      <c r="R35" s="11"/>
      <c r="S35" s="28"/>
      <c r="T35" s="11"/>
      <c r="U35" s="28"/>
      <c r="V35" s="146">
        <f>'Suvi Gaz'!O29</f>
        <v>479.98815000000002</v>
      </c>
      <c r="W35" s="11"/>
      <c r="X35" s="34">
        <f t="shared" si="2"/>
        <v>6547.0383660000007</v>
      </c>
    </row>
    <row r="36" spans="1:24" ht="33.75" customHeight="1" x14ac:dyDescent="0.2">
      <c r="A36" s="2"/>
      <c r="B36" s="6">
        <v>44678</v>
      </c>
      <c r="C36" s="7"/>
      <c r="D36" s="143">
        <v>61</v>
      </c>
      <c r="E36" s="143">
        <v>108</v>
      </c>
      <c r="F36" s="13">
        <f>'Suivi EAU-ELEC'!E35</f>
        <v>84</v>
      </c>
      <c r="G36" s="11"/>
      <c r="H36" s="186">
        <f t="shared" ref="H36:H37" si="5">F36*8.79</f>
        <v>738.3599999999999</v>
      </c>
      <c r="I36" s="187"/>
      <c r="J36" s="187"/>
      <c r="K36" s="60"/>
      <c r="L36" s="90">
        <f>'Suivi EAU-ELEC'!G35</f>
        <v>3215</v>
      </c>
      <c r="M36" s="91">
        <f>'Suivi EAU-ELEC'!I35</f>
        <v>5813</v>
      </c>
      <c r="N36" s="91">
        <f>'Suivi EAU-ELEC'!K35</f>
        <v>2652</v>
      </c>
      <c r="O36" s="91">
        <f t="shared" si="3"/>
        <v>11680</v>
      </c>
      <c r="P36" s="11"/>
      <c r="Q36" s="34">
        <f t="shared" si="1"/>
        <v>11304.386500000001</v>
      </c>
      <c r="R36" s="11"/>
      <c r="S36" s="28"/>
      <c r="T36" s="11"/>
      <c r="U36" s="28"/>
      <c r="V36" s="146">
        <f>'Suvi Gaz'!O30</f>
        <v>415.98973000000001</v>
      </c>
      <c r="W36" s="11"/>
      <c r="X36" s="34">
        <f t="shared" si="2"/>
        <v>5674.0999172000002</v>
      </c>
    </row>
    <row r="37" spans="1:24" ht="33.75" customHeight="1" x14ac:dyDescent="0.2">
      <c r="A37" s="2"/>
      <c r="B37" s="6">
        <v>44679</v>
      </c>
      <c r="C37" s="7"/>
      <c r="D37" s="143">
        <v>74</v>
      </c>
      <c r="E37" s="143">
        <v>120</v>
      </c>
      <c r="F37" s="13">
        <f>'Suivi EAU-ELEC'!E36</f>
        <v>109</v>
      </c>
      <c r="G37" s="11"/>
      <c r="H37" s="186">
        <f t="shared" si="5"/>
        <v>958.1099999999999</v>
      </c>
      <c r="I37" s="187"/>
      <c r="J37" s="187"/>
      <c r="K37" s="60"/>
      <c r="L37" s="90">
        <f>'Suivi EAU-ELEC'!G36</f>
        <v>3183</v>
      </c>
      <c r="M37" s="91">
        <f>'Suivi EAU-ELEC'!I36</f>
        <v>5776</v>
      </c>
      <c r="N37" s="91">
        <f>'Suivi EAU-ELEC'!K36</f>
        <v>2585</v>
      </c>
      <c r="O37" s="91">
        <f>L37+M37+N37</f>
        <v>11544</v>
      </c>
      <c r="P37" s="11"/>
      <c r="Q37" s="34">
        <f t="shared" si="1"/>
        <v>11157.695900000001</v>
      </c>
      <c r="R37" s="11"/>
      <c r="S37" s="28"/>
      <c r="T37" s="11"/>
      <c r="U37" s="28"/>
      <c r="V37" s="146">
        <f>'Suvi Gaz'!O31</f>
        <v>479.98815000000002</v>
      </c>
      <c r="W37" s="11"/>
      <c r="X37" s="34">
        <f t="shared" si="2"/>
        <v>6547.0383660000007</v>
      </c>
    </row>
    <row r="38" spans="1:24" ht="33.75" customHeight="1" x14ac:dyDescent="0.2">
      <c r="A38" s="2"/>
      <c r="B38" s="6">
        <v>44680</v>
      </c>
      <c r="C38" s="7"/>
      <c r="D38" s="143">
        <v>83</v>
      </c>
      <c r="E38" s="143">
        <v>145</v>
      </c>
      <c r="F38" s="13">
        <f>'Suivi EAU-ELEC'!E37</f>
        <v>114</v>
      </c>
      <c r="G38" s="11"/>
      <c r="H38" s="186">
        <f>F38*8.79</f>
        <v>1002.06</v>
      </c>
      <c r="I38" s="187"/>
      <c r="J38" s="187"/>
      <c r="K38" s="60">
        <v>42304</v>
      </c>
      <c r="L38" s="90">
        <f>'Suivi EAU-ELEC'!G37</f>
        <v>2685</v>
      </c>
      <c r="M38" s="91">
        <f>'Suivi EAU-ELEC'!I37</f>
        <v>5865</v>
      </c>
      <c r="N38" s="91">
        <f>'Suivi EAU-ELEC'!K37</f>
        <v>2490</v>
      </c>
      <c r="O38" s="91">
        <f>L38+M38+N38</f>
        <v>11040</v>
      </c>
      <c r="P38" s="11"/>
      <c r="Q38" s="34">
        <f t="shared" si="1"/>
        <v>10768.129499999999</v>
      </c>
      <c r="R38" s="11"/>
      <c r="S38" s="28"/>
      <c r="T38" s="11"/>
      <c r="U38" s="28"/>
      <c r="V38" s="146">
        <f>'Suvi Gaz'!O32</f>
        <v>671.98341000000005</v>
      </c>
      <c r="W38" s="11"/>
      <c r="X38" s="34">
        <f t="shared" si="2"/>
        <v>9165.8537124000013</v>
      </c>
    </row>
    <row r="39" spans="1:24" ht="33.75" customHeight="1" x14ac:dyDescent="0.2">
      <c r="A39" s="2"/>
      <c r="B39" s="6">
        <v>44681</v>
      </c>
      <c r="C39" s="7"/>
      <c r="D39" s="143">
        <v>94</v>
      </c>
      <c r="E39" s="143">
        <v>179</v>
      </c>
      <c r="F39" s="13">
        <f>'Suivi EAU-ELEC'!E38</f>
        <v>94</v>
      </c>
      <c r="G39" s="11"/>
      <c r="H39" s="186">
        <f>F39*8.79</f>
        <v>826.25999999999988</v>
      </c>
      <c r="I39" s="187"/>
      <c r="J39" s="187"/>
      <c r="K39" s="60"/>
      <c r="L39" s="90">
        <f>'Suivi EAU-ELEC'!G38</f>
        <v>3900</v>
      </c>
      <c r="M39" s="91">
        <f>'Suivi EAU-ELEC'!I38</f>
        <v>5770</v>
      </c>
      <c r="N39" s="91">
        <f>'Suivi EAU-ELEC'!K38</f>
        <v>2815</v>
      </c>
      <c r="O39" s="91">
        <f t="shared" si="3"/>
        <v>12485</v>
      </c>
      <c r="P39" s="11"/>
      <c r="Q39" s="34">
        <f t="shared" si="1"/>
        <v>11958.804</v>
      </c>
      <c r="R39" s="11"/>
      <c r="S39" s="28"/>
      <c r="T39" s="11"/>
      <c r="U39" s="28"/>
      <c r="V39" s="146">
        <f>'Suvi Gaz'!O33</f>
        <v>159.99605</v>
      </c>
      <c r="W39" s="11"/>
      <c r="X39" s="34">
        <f t="shared" si="2"/>
        <v>2182.3461219999999</v>
      </c>
    </row>
    <row r="40" spans="1:24" ht="42.75" customHeight="1" x14ac:dyDescent="0.2">
      <c r="A40" s="2"/>
      <c r="B40" s="10"/>
      <c r="C40" s="10"/>
      <c r="D40" s="8">
        <f>SUM(D10:D39)</f>
        <v>2518</v>
      </c>
      <c r="E40" s="8">
        <f>SUM(E10:E39)</f>
        <v>4277</v>
      </c>
      <c r="F40" s="151">
        <f>SUM(F10:F39)</f>
        <v>3399.8999999999942</v>
      </c>
      <c r="G40" s="1"/>
      <c r="H40" s="220">
        <f>SUM(H10:H39)</f>
        <v>29885.120999999945</v>
      </c>
      <c r="I40" s="221"/>
      <c r="J40" s="222"/>
      <c r="K40" s="1"/>
      <c r="L40" s="53">
        <f>SUM(L10:L39)</f>
        <v>95749</v>
      </c>
      <c r="M40" s="53">
        <f>SUM(M10:M39)</f>
        <v>168605</v>
      </c>
      <c r="N40" s="54">
        <f>SUM(N10:N39)</f>
        <v>76436</v>
      </c>
      <c r="O40" s="55">
        <f>SUM(O10:O39)</f>
        <v>340790</v>
      </c>
      <c r="P40" s="31"/>
      <c r="Q40" s="32">
        <f>SUM(Q10:Q39)</f>
        <v>328981.92789999995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15199.624749999999</v>
      </c>
      <c r="W40" s="31"/>
      <c r="X40" s="32">
        <f>SUM(X10:X39)</f>
        <v>207322.88158999998</v>
      </c>
    </row>
    <row r="41" spans="1:24" s="5" customFormat="1" ht="12.75" customHeight="1" x14ac:dyDescent="0.2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 x14ac:dyDescent="0.25">
      <c r="A42" s="204" t="s">
        <v>33</v>
      </c>
      <c r="B42" s="205"/>
      <c r="C42" s="205"/>
      <c r="D42" s="205"/>
      <c r="E42" s="205"/>
      <c r="F42" s="206"/>
      <c r="G42" s="26"/>
      <c r="H42" s="27" t="s">
        <v>34</v>
      </c>
      <c r="I42" s="216" t="s">
        <v>35</v>
      </c>
      <c r="J42" s="217"/>
      <c r="K42" s="218"/>
      <c r="L42" s="241" t="s">
        <v>36</v>
      </c>
      <c r="M42" s="242"/>
      <c r="N42" s="204" t="s">
        <v>37</v>
      </c>
      <c r="O42" s="205"/>
      <c r="P42" s="205"/>
      <c r="Q42" s="205"/>
      <c r="R42" s="205"/>
      <c r="S42" s="205"/>
      <c r="T42" s="205"/>
      <c r="U42" s="205"/>
      <c r="V42" s="205"/>
      <c r="W42" s="205"/>
      <c r="X42" s="206"/>
    </row>
    <row r="43" spans="1:24" s="18" customFormat="1" ht="29.25" customHeight="1" thickBot="1" x14ac:dyDescent="0.25">
      <c r="A43" s="236" t="s">
        <v>38</v>
      </c>
      <c r="B43" s="237"/>
      <c r="C43" s="238"/>
      <c r="D43" s="156" t="s">
        <v>30</v>
      </c>
      <c r="E43" s="156" t="s">
        <v>30</v>
      </c>
      <c r="F43" s="156" t="s">
        <v>30</v>
      </c>
      <c r="G43" s="16"/>
      <c r="H43" s="17">
        <v>0.69850000000000001</v>
      </c>
      <c r="I43" s="177">
        <f>L40</f>
        <v>95749</v>
      </c>
      <c r="J43" s="234"/>
      <c r="K43" s="235"/>
      <c r="L43" s="183">
        <f>I43*H43</f>
        <v>66880.676500000001</v>
      </c>
      <c r="M43" s="219"/>
      <c r="N43" s="195">
        <f>L43+L44+L45</f>
        <v>328981.92790000001</v>
      </c>
      <c r="O43" s="196"/>
      <c r="P43" s="196"/>
      <c r="Q43" s="196"/>
      <c r="R43" s="196"/>
      <c r="S43" s="196"/>
      <c r="T43" s="196"/>
      <c r="U43" s="196"/>
      <c r="V43" s="196"/>
      <c r="W43" s="196"/>
      <c r="X43" s="197"/>
    </row>
    <row r="44" spans="1:24" s="18" customFormat="1" ht="29.25" customHeight="1" thickBot="1" x14ac:dyDescent="0.25">
      <c r="A44" s="171"/>
      <c r="B44" s="239"/>
      <c r="C44" s="240"/>
      <c r="D44" s="155" t="s">
        <v>31</v>
      </c>
      <c r="E44" s="155" t="s">
        <v>31</v>
      </c>
      <c r="F44" s="155" t="s">
        <v>31</v>
      </c>
      <c r="G44" s="16"/>
      <c r="H44" s="19">
        <v>0.95140000000000002</v>
      </c>
      <c r="I44" s="177">
        <f>M40</f>
        <v>168605</v>
      </c>
      <c r="J44" s="234"/>
      <c r="K44" s="235"/>
      <c r="L44" s="183">
        <f>I44*H44</f>
        <v>160410.79699999999</v>
      </c>
      <c r="M44" s="219"/>
      <c r="N44" s="198"/>
      <c r="O44" s="199"/>
      <c r="P44" s="199"/>
      <c r="Q44" s="199"/>
      <c r="R44" s="199"/>
      <c r="S44" s="199"/>
      <c r="T44" s="199"/>
      <c r="U44" s="199"/>
      <c r="V44" s="199"/>
      <c r="W44" s="199"/>
      <c r="X44" s="200"/>
    </row>
    <row r="45" spans="1:24" s="18" customFormat="1" ht="24.75" customHeight="1" thickBot="1" x14ac:dyDescent="0.25">
      <c r="A45" s="171"/>
      <c r="B45" s="239"/>
      <c r="C45" s="240"/>
      <c r="D45" s="161" t="s">
        <v>32</v>
      </c>
      <c r="E45" s="161" t="s">
        <v>32</v>
      </c>
      <c r="F45" s="161" t="s">
        <v>32</v>
      </c>
      <c r="G45" s="20"/>
      <c r="H45" s="20">
        <v>1.3304</v>
      </c>
      <c r="I45" s="213">
        <f>N40</f>
        <v>76436</v>
      </c>
      <c r="J45" s="214"/>
      <c r="K45" s="215"/>
      <c r="L45" s="183">
        <f>I45*H45</f>
        <v>101690.4544</v>
      </c>
      <c r="M45" s="219"/>
      <c r="N45" s="201"/>
      <c r="O45" s="202"/>
      <c r="P45" s="202"/>
      <c r="Q45" s="202"/>
      <c r="R45" s="202"/>
      <c r="S45" s="202"/>
      <c r="T45" s="202"/>
      <c r="U45" s="202"/>
      <c r="V45" s="202"/>
      <c r="W45" s="202"/>
      <c r="X45" s="203"/>
    </row>
    <row r="46" spans="1:24" s="18" customFormat="1" ht="43.5" customHeight="1" thickBot="1" x14ac:dyDescent="0.25">
      <c r="A46" s="168"/>
      <c r="B46" s="169"/>
      <c r="C46" s="169"/>
      <c r="D46" s="177" t="s">
        <v>126</v>
      </c>
      <c r="E46" s="178"/>
      <c r="F46" s="179"/>
      <c r="G46" s="16"/>
      <c r="H46" s="19">
        <v>1000</v>
      </c>
      <c r="I46" s="177">
        <v>43.88167</v>
      </c>
      <c r="J46" s="178"/>
      <c r="K46" s="167"/>
      <c r="L46" s="184">
        <f>H46*I46</f>
        <v>43881.67</v>
      </c>
      <c r="M46" s="185"/>
      <c r="N46" s="174">
        <f>L46</f>
        <v>43881.67</v>
      </c>
      <c r="O46" s="175"/>
      <c r="P46" s="175"/>
      <c r="Q46" s="175"/>
      <c r="R46" s="175"/>
      <c r="S46" s="175"/>
      <c r="T46" s="175"/>
      <c r="U46" s="175"/>
      <c r="V46" s="175"/>
      <c r="W46" s="175"/>
      <c r="X46" s="176"/>
    </row>
    <row r="47" spans="1:24" s="18" customFormat="1" ht="43.5" customHeight="1" thickBot="1" x14ac:dyDescent="0.25">
      <c r="A47" s="168"/>
      <c r="B47" s="169"/>
      <c r="C47" s="169"/>
      <c r="D47" s="177" t="s">
        <v>127</v>
      </c>
      <c r="E47" s="178"/>
      <c r="F47" s="179"/>
      <c r="G47" s="16"/>
      <c r="H47" s="170"/>
      <c r="I47" s="177">
        <v>65.822505000000007</v>
      </c>
      <c r="J47" s="178"/>
      <c r="K47" s="179"/>
      <c r="L47" s="183">
        <f>I47*H47</f>
        <v>0</v>
      </c>
      <c r="M47" s="179"/>
      <c r="N47" s="174">
        <f t="shared" ref="N47:N49" si="6">L47</f>
        <v>0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6"/>
    </row>
    <row r="48" spans="1:24" s="18" customFormat="1" ht="43.5" customHeight="1" thickBot="1" x14ac:dyDescent="0.25">
      <c r="A48" s="168"/>
      <c r="B48" s="169"/>
      <c r="C48" s="169"/>
      <c r="D48" s="177" t="s">
        <v>128</v>
      </c>
      <c r="E48" s="178"/>
      <c r="F48" s="179"/>
      <c r="G48" s="16"/>
      <c r="H48" s="19"/>
      <c r="I48" s="177">
        <v>841</v>
      </c>
      <c r="J48" s="178"/>
      <c r="K48" s="179"/>
      <c r="L48" s="183">
        <v>841</v>
      </c>
      <c r="M48" s="179"/>
      <c r="N48" s="174">
        <f t="shared" si="6"/>
        <v>841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6"/>
    </row>
    <row r="49" spans="1:24" s="18" customFormat="1" ht="43.5" customHeight="1" thickBot="1" x14ac:dyDescent="0.25">
      <c r="A49" s="168"/>
      <c r="B49" s="169"/>
      <c r="C49" s="169"/>
      <c r="D49" s="177" t="s">
        <v>129</v>
      </c>
      <c r="E49" s="178"/>
      <c r="F49" s="179"/>
      <c r="G49" s="16"/>
      <c r="H49" s="19"/>
      <c r="I49" s="177">
        <v>1492</v>
      </c>
      <c r="J49" s="178"/>
      <c r="K49" s="179"/>
      <c r="L49" s="183">
        <v>1492</v>
      </c>
      <c r="M49" s="179"/>
      <c r="N49" s="174">
        <f t="shared" si="6"/>
        <v>1492</v>
      </c>
      <c r="O49" s="175"/>
      <c r="P49" s="175"/>
      <c r="Q49" s="175"/>
      <c r="R49" s="175"/>
      <c r="S49" s="175"/>
      <c r="T49" s="175"/>
      <c r="U49" s="175"/>
      <c r="V49" s="175"/>
      <c r="W49" s="175"/>
      <c r="X49" s="176"/>
    </row>
    <row r="50" spans="1:24" s="18" customFormat="1" ht="43.5" customHeight="1" thickBot="1" x14ac:dyDescent="0.25">
      <c r="A50" s="168"/>
      <c r="B50" s="169"/>
      <c r="C50" s="169"/>
      <c r="D50" s="171" t="s">
        <v>186</v>
      </c>
      <c r="E50" s="172"/>
      <c r="F50" s="172"/>
      <c r="G50" s="172"/>
      <c r="H50" s="172"/>
      <c r="I50" s="172"/>
      <c r="J50" s="172"/>
      <c r="K50" s="172"/>
      <c r="L50" s="172"/>
      <c r="M50" s="173"/>
      <c r="N50" s="174">
        <f>N43+N46+N47+N48+N49</f>
        <v>375196.59789999999</v>
      </c>
      <c r="O50" s="175"/>
      <c r="P50" s="175"/>
      <c r="Q50" s="175"/>
      <c r="R50" s="175"/>
      <c r="S50" s="175"/>
      <c r="T50" s="175"/>
      <c r="U50" s="175"/>
      <c r="V50" s="175"/>
      <c r="W50" s="175"/>
      <c r="X50" s="176"/>
    </row>
    <row r="51" spans="1:24" s="18" customFormat="1" ht="43.5" customHeight="1" thickBot="1" x14ac:dyDescent="0.25">
      <c r="A51" s="168"/>
      <c r="B51" s="169"/>
      <c r="C51" s="169"/>
      <c r="D51" s="177" t="s">
        <v>187</v>
      </c>
      <c r="E51" s="178"/>
      <c r="F51" s="178"/>
      <c r="G51" s="178"/>
      <c r="H51" s="178"/>
      <c r="I51" s="178"/>
      <c r="J51" s="178"/>
      <c r="K51" s="178"/>
      <c r="L51" s="178"/>
      <c r="M51" s="179"/>
      <c r="N51" s="180">
        <f>N50/O40</f>
        <v>1.1009612896505179</v>
      </c>
      <c r="O51" s="181"/>
      <c r="P51" s="181"/>
      <c r="Q51" s="181"/>
      <c r="R51" s="181"/>
      <c r="S51" s="181"/>
      <c r="T51" s="181"/>
      <c r="U51" s="181"/>
      <c r="V51" s="181"/>
      <c r="W51" s="181"/>
      <c r="X51" s="182"/>
    </row>
    <row r="52" spans="1:24" s="18" customFormat="1" ht="43.5" customHeight="1" thickBot="1" x14ac:dyDescent="0.25">
      <c r="A52" s="157"/>
      <c r="B52" s="158"/>
      <c r="C52" s="158"/>
      <c r="D52" s="161"/>
      <c r="E52" s="161"/>
      <c r="F52" s="161"/>
      <c r="G52" s="16"/>
      <c r="H52" s="16"/>
      <c r="I52" s="159"/>
      <c r="J52" s="160"/>
      <c r="K52" s="161"/>
      <c r="L52" s="152"/>
      <c r="M52" s="153"/>
      <c r="N52" s="174">
        <f>N43*1.3</f>
        <v>427676.50627000001</v>
      </c>
      <c r="O52" s="175"/>
      <c r="P52" s="175"/>
      <c r="Q52" s="175"/>
      <c r="R52" s="175"/>
      <c r="S52" s="175"/>
      <c r="T52" s="175"/>
      <c r="U52" s="175"/>
      <c r="V52" s="175"/>
      <c r="W52" s="175"/>
      <c r="X52" s="176"/>
    </row>
    <row r="53" spans="1:24" s="23" customFormat="1" ht="32.25" customHeight="1" thickBot="1" x14ac:dyDescent="0.25">
      <c r="A53" s="229" t="s">
        <v>39</v>
      </c>
      <c r="B53" s="230"/>
      <c r="C53" s="230"/>
      <c r="D53" s="230"/>
      <c r="E53" s="230"/>
      <c r="F53" s="231"/>
      <c r="G53" s="21"/>
      <c r="H53" s="22">
        <v>11.4</v>
      </c>
      <c r="I53" s="229">
        <f>F40</f>
        <v>3399.8999999999942</v>
      </c>
      <c r="J53" s="230"/>
      <c r="K53" s="231"/>
      <c r="L53" s="232">
        <f>I53*H53</f>
        <v>38758.859999999935</v>
      </c>
      <c r="M53" s="233"/>
      <c r="N53" s="192">
        <f>L53</f>
        <v>38758.859999999935</v>
      </c>
      <c r="O53" s="193"/>
      <c r="P53" s="193"/>
      <c r="Q53" s="193"/>
      <c r="R53" s="193"/>
      <c r="S53" s="193"/>
      <c r="T53" s="193"/>
      <c r="U53" s="193"/>
      <c r="V53" s="193"/>
      <c r="W53" s="193"/>
      <c r="X53" s="194"/>
    </row>
    <row r="54" spans="1:24" s="23" customFormat="1" ht="36.75" customHeight="1" x14ac:dyDescent="0.2">
      <c r="A54" s="207" t="s">
        <v>40</v>
      </c>
      <c r="B54" s="208"/>
      <c r="C54" s="208"/>
      <c r="D54" s="208"/>
      <c r="E54" s="208"/>
      <c r="F54" s="209"/>
      <c r="G54" s="24"/>
      <c r="H54" s="25">
        <v>13.64</v>
      </c>
      <c r="I54" s="210">
        <f>V40</f>
        <v>15199.624749999999</v>
      </c>
      <c r="J54" s="211"/>
      <c r="K54" s="212"/>
      <c r="L54" s="210">
        <f>I54*H54</f>
        <v>207322.88159</v>
      </c>
      <c r="M54" s="212"/>
      <c r="N54" s="189">
        <f>L54</f>
        <v>207322.88159</v>
      </c>
      <c r="O54" s="190"/>
      <c r="P54" s="190"/>
      <c r="Q54" s="190"/>
      <c r="R54" s="190"/>
      <c r="S54" s="190"/>
      <c r="T54" s="190"/>
      <c r="U54" s="190"/>
      <c r="V54" s="190"/>
      <c r="W54" s="190"/>
      <c r="X54" s="191"/>
    </row>
    <row r="55" spans="1:24" ht="27" customHeight="1" x14ac:dyDescent="0.2">
      <c r="A55" s="2"/>
      <c r="B55" s="2"/>
      <c r="C55" s="2"/>
      <c r="D55" s="2"/>
      <c r="E55" s="2"/>
      <c r="F55" s="2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3"/>
      <c r="U55" s="33"/>
      <c r="V55" s="33"/>
      <c r="W55" s="33"/>
      <c r="X55" s="33"/>
    </row>
    <row r="56" spans="1:24" ht="18.75" customHeight="1" x14ac:dyDescent="0.2"/>
    <row r="60" spans="1:24" ht="39" customHeight="1" x14ac:dyDescent="0.2"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</row>
  </sheetData>
  <mergeCells count="92">
    <mergeCell ref="H38:J38"/>
    <mergeCell ref="L43:M43"/>
    <mergeCell ref="H33:J33"/>
    <mergeCell ref="H31:J31"/>
    <mergeCell ref="H35:J35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54:M54"/>
    <mergeCell ref="A53:F53"/>
    <mergeCell ref="A42:F42"/>
    <mergeCell ref="I53:K53"/>
    <mergeCell ref="L53:M53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60:X60"/>
    <mergeCell ref="N54:X54"/>
    <mergeCell ref="N53:X53"/>
    <mergeCell ref="N43:X45"/>
    <mergeCell ref="N42:X42"/>
    <mergeCell ref="A54:F54"/>
    <mergeCell ref="I54:K54"/>
    <mergeCell ref="I45:K45"/>
    <mergeCell ref="I42:K42"/>
    <mergeCell ref="N52:X52"/>
    <mergeCell ref="L45:M45"/>
    <mergeCell ref="H40:J40"/>
    <mergeCell ref="H30:J30"/>
    <mergeCell ref="D46:F46"/>
    <mergeCell ref="I46:J46"/>
    <mergeCell ref="L46:M46"/>
    <mergeCell ref="N46:X46"/>
    <mergeCell ref="D47:F47"/>
    <mergeCell ref="I47:K47"/>
    <mergeCell ref="L47:M47"/>
    <mergeCell ref="N47:X47"/>
    <mergeCell ref="D50:M50"/>
    <mergeCell ref="N50:X50"/>
    <mergeCell ref="D51:M51"/>
    <mergeCell ref="N51:X51"/>
    <mergeCell ref="D48:F48"/>
    <mergeCell ref="I48:K48"/>
    <mergeCell ref="L48:M48"/>
    <mergeCell ref="N48:X48"/>
    <mergeCell ref="D49:F49"/>
    <mergeCell ref="I49:K49"/>
    <mergeCell ref="L49:M49"/>
    <mergeCell ref="N49:X4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8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83"/>
      <c r="B1" s="284"/>
      <c r="C1" s="284"/>
      <c r="D1" s="285"/>
      <c r="E1" s="266" t="s">
        <v>41</v>
      </c>
      <c r="F1" s="267"/>
      <c r="G1" s="267"/>
      <c r="H1" s="267"/>
      <c r="I1" s="268"/>
      <c r="J1" s="275" t="s">
        <v>42</v>
      </c>
      <c r="K1" s="276"/>
      <c r="L1" s="49"/>
    </row>
    <row r="2" spans="1:12" ht="16.5" customHeight="1" x14ac:dyDescent="0.2">
      <c r="A2" s="286"/>
      <c r="B2" s="287"/>
      <c r="C2" s="287"/>
      <c r="D2" s="288"/>
      <c r="E2" s="269"/>
      <c r="F2" s="270"/>
      <c r="G2" s="270"/>
      <c r="H2" s="270"/>
      <c r="I2" s="271"/>
      <c r="J2" s="277"/>
      <c r="K2" s="278"/>
      <c r="L2" s="49"/>
    </row>
    <row r="3" spans="1:12" ht="48" customHeight="1" x14ac:dyDescent="0.2">
      <c r="A3" s="289"/>
      <c r="B3" s="290"/>
      <c r="C3" s="290"/>
      <c r="D3" s="291"/>
      <c r="E3" s="272"/>
      <c r="F3" s="273"/>
      <c r="G3" s="273"/>
      <c r="H3" s="273"/>
      <c r="I3" s="274"/>
      <c r="J3" s="279"/>
      <c r="K3" s="280"/>
      <c r="L3" s="49"/>
    </row>
    <row r="6" spans="1:12" ht="10.5" customHeight="1" x14ac:dyDescent="0.25"/>
    <row r="7" spans="1:12" ht="16.5" customHeight="1" x14ac:dyDescent="0.2">
      <c r="A7" s="264" t="s">
        <v>43</v>
      </c>
      <c r="B7" s="292" t="s">
        <v>44</v>
      </c>
      <c r="C7" s="293"/>
      <c r="D7" s="281" t="s">
        <v>45</v>
      </c>
      <c r="E7" s="281"/>
      <c r="F7" s="282" t="s">
        <v>46</v>
      </c>
      <c r="G7" s="282"/>
      <c r="H7" s="282"/>
      <c r="I7" s="282"/>
      <c r="J7" s="282"/>
      <c r="K7" s="282"/>
    </row>
    <row r="8" spans="1:12" s="29" customFormat="1" ht="28.5" customHeight="1" x14ac:dyDescent="0.2">
      <c r="A8" s="265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44652</v>
      </c>
      <c r="B9" s="116">
        <v>2560</v>
      </c>
      <c r="C9" s="115">
        <v>0</v>
      </c>
      <c r="D9" s="57">
        <v>140352</v>
      </c>
      <c r="E9" s="50">
        <v>118.89999999999418</v>
      </c>
      <c r="F9" s="51">
        <v>11621823</v>
      </c>
      <c r="G9" s="50">
        <v>3872</v>
      </c>
      <c r="H9" s="51">
        <v>19679373</v>
      </c>
      <c r="I9" s="50">
        <v>5571</v>
      </c>
      <c r="J9" s="51">
        <v>8651499</v>
      </c>
      <c r="K9" s="50">
        <v>2678</v>
      </c>
    </row>
    <row r="10" spans="1:12" ht="19.5" x14ac:dyDescent="0.3">
      <c r="A10" s="59">
        <v>44653</v>
      </c>
      <c r="B10" s="116">
        <v>2560</v>
      </c>
      <c r="C10" s="115">
        <f>B10-B9</f>
        <v>0</v>
      </c>
      <c r="D10" s="57">
        <v>140495</v>
      </c>
      <c r="E10" s="50">
        <f t="shared" ref="E10:E39" si="0">D10-D9</f>
        <v>143</v>
      </c>
      <c r="F10" s="51">
        <v>11624748</v>
      </c>
      <c r="G10" s="50">
        <f t="shared" ref="G10:G39" si="1">F10-F9</f>
        <v>2925</v>
      </c>
      <c r="H10" s="51">
        <v>19685208</v>
      </c>
      <c r="I10" s="50">
        <f t="shared" ref="I10:I39" si="2">H10-H9</f>
        <v>5835</v>
      </c>
      <c r="J10" s="51">
        <v>8653782</v>
      </c>
      <c r="K10" s="50">
        <f t="shared" ref="K10:K39" si="3">J10-J9</f>
        <v>2283</v>
      </c>
    </row>
    <row r="11" spans="1:12" ht="19.5" x14ac:dyDescent="0.3">
      <c r="A11" s="59">
        <v>44654</v>
      </c>
      <c r="B11" s="116">
        <v>2560</v>
      </c>
      <c r="C11" s="115">
        <f>B11-B10</f>
        <v>0</v>
      </c>
      <c r="D11" s="57">
        <v>140632</v>
      </c>
      <c r="E11" s="50">
        <f t="shared" si="0"/>
        <v>137</v>
      </c>
      <c r="F11" s="51">
        <v>11627596</v>
      </c>
      <c r="G11" s="50">
        <f t="shared" si="1"/>
        <v>2848</v>
      </c>
      <c r="H11" s="51">
        <v>19690610</v>
      </c>
      <c r="I11" s="50">
        <f t="shared" si="2"/>
        <v>5402</v>
      </c>
      <c r="J11" s="51">
        <v>8656115</v>
      </c>
      <c r="K11" s="50">
        <f t="shared" si="3"/>
        <v>2333</v>
      </c>
    </row>
    <row r="12" spans="1:12" ht="19.5" x14ac:dyDescent="0.3">
      <c r="A12" s="59">
        <v>44655</v>
      </c>
      <c r="B12" s="116">
        <v>2560</v>
      </c>
      <c r="C12" s="115">
        <f t="shared" ref="C12:C32" si="4">B12-B11</f>
        <v>0</v>
      </c>
      <c r="D12" s="57">
        <v>140766</v>
      </c>
      <c r="E12" s="50">
        <f t="shared" si="0"/>
        <v>134</v>
      </c>
      <c r="F12" s="51">
        <v>11630589</v>
      </c>
      <c r="G12" s="50">
        <f t="shared" si="1"/>
        <v>2993</v>
      </c>
      <c r="H12" s="51">
        <v>19695689</v>
      </c>
      <c r="I12" s="50">
        <f t="shared" si="2"/>
        <v>5079</v>
      </c>
      <c r="J12" s="51">
        <v>8658504</v>
      </c>
      <c r="K12" s="50">
        <f t="shared" si="3"/>
        <v>2389</v>
      </c>
    </row>
    <row r="13" spans="1:12" ht="19.5" x14ac:dyDescent="0.3">
      <c r="A13" s="59">
        <v>44656</v>
      </c>
      <c r="B13" s="116">
        <v>2560</v>
      </c>
      <c r="C13" s="115">
        <f t="shared" si="4"/>
        <v>0</v>
      </c>
      <c r="D13" s="57">
        <v>140829.9</v>
      </c>
      <c r="E13" s="50">
        <f t="shared" si="0"/>
        <v>63.899999999994179</v>
      </c>
      <c r="F13" s="51">
        <v>11633684</v>
      </c>
      <c r="G13" s="50">
        <f t="shared" si="1"/>
        <v>3095</v>
      </c>
      <c r="H13" s="51">
        <v>19700249</v>
      </c>
      <c r="I13" s="50">
        <f t="shared" si="2"/>
        <v>4560</v>
      </c>
      <c r="J13" s="51">
        <v>8660843</v>
      </c>
      <c r="K13" s="50">
        <f t="shared" si="3"/>
        <v>2339</v>
      </c>
    </row>
    <row r="14" spans="1:12" ht="19.5" x14ac:dyDescent="0.3">
      <c r="A14" s="59">
        <v>44657</v>
      </c>
      <c r="B14" s="116">
        <v>2560</v>
      </c>
      <c r="C14" s="115">
        <f t="shared" si="4"/>
        <v>0</v>
      </c>
      <c r="D14" s="57">
        <v>140954.4</v>
      </c>
      <c r="E14" s="50">
        <f t="shared" si="0"/>
        <v>124.5</v>
      </c>
      <c r="F14" s="51">
        <v>11636682</v>
      </c>
      <c r="G14" s="50">
        <f t="shared" si="1"/>
        <v>2998</v>
      </c>
      <c r="H14" s="51">
        <v>19705352</v>
      </c>
      <c r="I14" s="50">
        <f t="shared" si="2"/>
        <v>5103</v>
      </c>
      <c r="J14" s="51">
        <v>8662973</v>
      </c>
      <c r="K14" s="50">
        <f t="shared" si="3"/>
        <v>2130</v>
      </c>
    </row>
    <row r="15" spans="1:12" ht="19.5" x14ac:dyDescent="0.3">
      <c r="A15" s="59">
        <v>44658</v>
      </c>
      <c r="B15" s="116">
        <v>2560</v>
      </c>
      <c r="C15" s="115">
        <f t="shared" si="4"/>
        <v>0</v>
      </c>
      <c r="D15" s="57">
        <v>141053.4</v>
      </c>
      <c r="E15" s="50">
        <f t="shared" si="0"/>
        <v>99</v>
      </c>
      <c r="F15" s="51">
        <v>11639650</v>
      </c>
      <c r="G15" s="50">
        <f t="shared" si="1"/>
        <v>2968</v>
      </c>
      <c r="H15" s="51">
        <v>19710472</v>
      </c>
      <c r="I15" s="50">
        <f t="shared" si="2"/>
        <v>5120</v>
      </c>
      <c r="J15" s="51">
        <v>8665151</v>
      </c>
      <c r="K15" s="50">
        <f t="shared" si="3"/>
        <v>2178</v>
      </c>
    </row>
    <row r="16" spans="1:12" ht="19.5" x14ac:dyDescent="0.3">
      <c r="A16" s="59">
        <v>44659</v>
      </c>
      <c r="B16" s="116">
        <v>2560</v>
      </c>
      <c r="C16" s="115">
        <f t="shared" si="4"/>
        <v>0</v>
      </c>
      <c r="D16" s="57">
        <v>141157.4</v>
      </c>
      <c r="E16" s="50">
        <f t="shared" si="0"/>
        <v>104</v>
      </c>
      <c r="F16" s="51">
        <v>11642382</v>
      </c>
      <c r="G16" s="50">
        <f t="shared" si="1"/>
        <v>2732</v>
      </c>
      <c r="H16" s="51">
        <v>19715873</v>
      </c>
      <c r="I16" s="50">
        <f t="shared" si="2"/>
        <v>5401</v>
      </c>
      <c r="J16" s="51">
        <v>8667629</v>
      </c>
      <c r="K16" s="50">
        <f t="shared" si="3"/>
        <v>2478</v>
      </c>
    </row>
    <row r="17" spans="1:29" ht="19.5" x14ac:dyDescent="0.3">
      <c r="A17" s="59">
        <v>44660</v>
      </c>
      <c r="B17" s="116">
        <v>2560</v>
      </c>
      <c r="C17" s="115">
        <f t="shared" si="4"/>
        <v>0</v>
      </c>
      <c r="D17" s="57">
        <v>141294.20000000001</v>
      </c>
      <c r="E17" s="50">
        <f t="shared" si="0"/>
        <v>136.80000000001746</v>
      </c>
      <c r="F17" s="51">
        <v>11645240</v>
      </c>
      <c r="G17" s="50">
        <f t="shared" si="1"/>
        <v>2858</v>
      </c>
      <c r="H17" s="51">
        <v>19721287</v>
      </c>
      <c r="I17" s="50">
        <f t="shared" si="2"/>
        <v>5414</v>
      </c>
      <c r="J17" s="51">
        <v>8670057</v>
      </c>
      <c r="K17" s="50">
        <f t="shared" si="3"/>
        <v>2428</v>
      </c>
    </row>
    <row r="18" spans="1:29" ht="19.5" x14ac:dyDescent="0.3">
      <c r="A18" s="59">
        <v>44661</v>
      </c>
      <c r="B18" s="116">
        <v>2560</v>
      </c>
      <c r="C18" s="115">
        <f t="shared" si="4"/>
        <v>0</v>
      </c>
      <c r="D18" s="57">
        <v>141426</v>
      </c>
      <c r="E18" s="50">
        <f t="shared" si="0"/>
        <v>131.79999999998836</v>
      </c>
      <c r="F18" s="51">
        <v>11648557</v>
      </c>
      <c r="G18" s="50">
        <f t="shared" si="1"/>
        <v>3317</v>
      </c>
      <c r="H18" s="51">
        <v>19726577</v>
      </c>
      <c r="I18" s="50">
        <f t="shared" si="2"/>
        <v>5290</v>
      </c>
      <c r="J18" s="51">
        <v>8672548</v>
      </c>
      <c r="K18" s="50">
        <f t="shared" si="3"/>
        <v>2491</v>
      </c>
    </row>
    <row r="19" spans="1:29" ht="19.5" x14ac:dyDescent="0.3">
      <c r="A19" s="59">
        <v>44662</v>
      </c>
      <c r="B19" s="116">
        <v>2560</v>
      </c>
      <c r="C19" s="115">
        <f t="shared" si="4"/>
        <v>0</v>
      </c>
      <c r="D19" s="57">
        <v>141514</v>
      </c>
      <c r="E19" s="50">
        <f t="shared" si="0"/>
        <v>88</v>
      </c>
      <c r="F19" s="51">
        <v>11651516</v>
      </c>
      <c r="G19" s="50">
        <f t="shared" si="1"/>
        <v>2959</v>
      </c>
      <c r="H19" s="51">
        <v>19731891</v>
      </c>
      <c r="I19" s="50">
        <f t="shared" si="2"/>
        <v>5314</v>
      </c>
      <c r="J19" s="51">
        <v>8675014</v>
      </c>
      <c r="K19" s="50">
        <f t="shared" si="3"/>
        <v>2466</v>
      </c>
    </row>
    <row r="20" spans="1:29" ht="25.5" x14ac:dyDescent="0.35">
      <c r="A20" s="59">
        <v>44663</v>
      </c>
      <c r="B20" s="116">
        <v>2560</v>
      </c>
      <c r="C20" s="115">
        <f t="shared" si="4"/>
        <v>0</v>
      </c>
      <c r="D20" s="57">
        <v>141618</v>
      </c>
      <c r="E20" s="50">
        <f t="shared" si="0"/>
        <v>104</v>
      </c>
      <c r="F20" s="51">
        <v>11654633</v>
      </c>
      <c r="G20" s="50">
        <f t="shared" si="1"/>
        <v>3117</v>
      </c>
      <c r="H20" s="51">
        <v>19737349</v>
      </c>
      <c r="I20" s="50">
        <f t="shared" si="2"/>
        <v>5458</v>
      </c>
      <c r="J20" s="51">
        <v>8677553</v>
      </c>
      <c r="K20" s="50">
        <f t="shared" si="3"/>
        <v>2539</v>
      </c>
      <c r="L20" s="117" t="s">
        <v>18</v>
      </c>
      <c r="AC20" t="s">
        <v>56</v>
      </c>
    </row>
    <row r="21" spans="1:29" ht="19.5" x14ac:dyDescent="0.3">
      <c r="A21" s="59">
        <v>44664</v>
      </c>
      <c r="B21" s="116">
        <v>2560</v>
      </c>
      <c r="C21" s="115">
        <f t="shared" si="4"/>
        <v>0</v>
      </c>
      <c r="D21" s="57">
        <v>141761</v>
      </c>
      <c r="E21" s="50">
        <f t="shared" si="0"/>
        <v>143</v>
      </c>
      <c r="F21" s="51">
        <v>11658202</v>
      </c>
      <c r="G21" s="50">
        <f t="shared" si="1"/>
        <v>3569</v>
      </c>
      <c r="H21" s="51">
        <v>19743336</v>
      </c>
      <c r="I21" s="50">
        <f t="shared" si="2"/>
        <v>5987</v>
      </c>
      <c r="J21" s="51">
        <v>8680519</v>
      </c>
      <c r="K21" s="50">
        <f t="shared" si="3"/>
        <v>2966</v>
      </c>
    </row>
    <row r="22" spans="1:29" ht="19.5" x14ac:dyDescent="0.3">
      <c r="A22" s="59">
        <v>44665</v>
      </c>
      <c r="B22" s="116">
        <v>2560</v>
      </c>
      <c r="C22" s="115">
        <f t="shared" si="4"/>
        <v>0</v>
      </c>
      <c r="D22" s="57">
        <v>141870</v>
      </c>
      <c r="E22" s="50">
        <f t="shared" si="0"/>
        <v>109</v>
      </c>
      <c r="F22" s="51">
        <v>11661207</v>
      </c>
      <c r="G22" s="50">
        <f t="shared" si="1"/>
        <v>3005</v>
      </c>
      <c r="H22" s="51">
        <v>19749296</v>
      </c>
      <c r="I22" s="50">
        <f t="shared" si="2"/>
        <v>5960</v>
      </c>
      <c r="J22" s="51">
        <v>8683041</v>
      </c>
      <c r="K22" s="50">
        <f t="shared" si="3"/>
        <v>2522</v>
      </c>
    </row>
    <row r="23" spans="1:29" ht="19.5" x14ac:dyDescent="0.3">
      <c r="A23" s="59">
        <v>44666</v>
      </c>
      <c r="B23" s="116">
        <v>2560</v>
      </c>
      <c r="C23" s="115">
        <f t="shared" si="4"/>
        <v>0</v>
      </c>
      <c r="D23" s="57">
        <v>141978.5</v>
      </c>
      <c r="E23" s="50">
        <f t="shared" si="0"/>
        <v>108.5</v>
      </c>
      <c r="F23" s="51">
        <v>11664085</v>
      </c>
      <c r="G23" s="50">
        <f t="shared" si="1"/>
        <v>2878</v>
      </c>
      <c r="H23" s="51">
        <v>19755034</v>
      </c>
      <c r="I23" s="50">
        <f t="shared" si="2"/>
        <v>5738</v>
      </c>
      <c r="J23" s="51">
        <v>8685578</v>
      </c>
      <c r="K23" s="50">
        <f t="shared" si="3"/>
        <v>2537</v>
      </c>
    </row>
    <row r="24" spans="1:29" ht="19.5" x14ac:dyDescent="0.3">
      <c r="A24" s="59">
        <v>44667</v>
      </c>
      <c r="B24" s="116">
        <v>2560</v>
      </c>
      <c r="C24" s="115">
        <f t="shared" si="4"/>
        <v>0</v>
      </c>
      <c r="D24" s="57">
        <v>142135</v>
      </c>
      <c r="E24" s="50">
        <f t="shared" si="0"/>
        <v>156.5</v>
      </c>
      <c r="F24" s="51">
        <v>11667722</v>
      </c>
      <c r="G24" s="50">
        <f t="shared" si="1"/>
        <v>3637</v>
      </c>
      <c r="H24" s="51">
        <v>19760845</v>
      </c>
      <c r="I24" s="50">
        <f t="shared" si="2"/>
        <v>5811</v>
      </c>
      <c r="J24" s="51">
        <v>8688281</v>
      </c>
      <c r="K24" s="50">
        <f t="shared" si="3"/>
        <v>2703</v>
      </c>
    </row>
    <row r="25" spans="1:29" ht="19.5" x14ac:dyDescent="0.3">
      <c r="A25" s="59">
        <v>44668</v>
      </c>
      <c r="B25" s="116">
        <v>2560</v>
      </c>
      <c r="C25" s="115">
        <f t="shared" si="4"/>
        <v>0</v>
      </c>
      <c r="D25" s="57">
        <v>142261</v>
      </c>
      <c r="E25" s="50">
        <f t="shared" si="0"/>
        <v>126</v>
      </c>
      <c r="F25" s="51">
        <v>11670944</v>
      </c>
      <c r="G25" s="50">
        <f t="shared" si="1"/>
        <v>3222</v>
      </c>
      <c r="H25" s="51">
        <v>19766687</v>
      </c>
      <c r="I25" s="50">
        <f t="shared" si="2"/>
        <v>5842</v>
      </c>
      <c r="J25" s="51">
        <v>8690694</v>
      </c>
      <c r="K25" s="50">
        <f t="shared" si="3"/>
        <v>2413</v>
      </c>
    </row>
    <row r="26" spans="1:29" ht="19.5" x14ac:dyDescent="0.3">
      <c r="A26" s="59">
        <v>44669</v>
      </c>
      <c r="B26" s="116">
        <v>2560</v>
      </c>
      <c r="C26" s="115">
        <f t="shared" si="4"/>
        <v>0</v>
      </c>
      <c r="D26" s="57">
        <v>142352</v>
      </c>
      <c r="E26" s="50">
        <f t="shared" si="0"/>
        <v>91</v>
      </c>
      <c r="F26" s="51">
        <v>11674342</v>
      </c>
      <c r="G26" s="50">
        <f t="shared" si="1"/>
        <v>3398</v>
      </c>
      <c r="H26" s="51">
        <v>19772416</v>
      </c>
      <c r="I26" s="50">
        <f t="shared" si="2"/>
        <v>5729</v>
      </c>
      <c r="J26" s="51">
        <v>8693254</v>
      </c>
      <c r="K26" s="50">
        <f t="shared" si="3"/>
        <v>2560</v>
      </c>
    </row>
    <row r="27" spans="1:29" ht="19.5" x14ac:dyDescent="0.3">
      <c r="A27" s="59">
        <v>44670</v>
      </c>
      <c r="B27" s="116">
        <v>2560</v>
      </c>
      <c r="C27" s="115">
        <f t="shared" si="4"/>
        <v>0</v>
      </c>
      <c r="D27" s="57">
        <v>142461</v>
      </c>
      <c r="E27" s="50">
        <f t="shared" si="0"/>
        <v>109</v>
      </c>
      <c r="F27" s="51">
        <v>11677640</v>
      </c>
      <c r="G27" s="50">
        <f t="shared" si="1"/>
        <v>3298</v>
      </c>
      <c r="H27" s="51">
        <v>19778480</v>
      </c>
      <c r="I27" s="50">
        <f t="shared" si="2"/>
        <v>6064</v>
      </c>
      <c r="J27" s="51">
        <v>8695959</v>
      </c>
      <c r="K27" s="50">
        <f t="shared" si="3"/>
        <v>2705</v>
      </c>
    </row>
    <row r="28" spans="1:29" ht="19.5" x14ac:dyDescent="0.3">
      <c r="A28" s="59">
        <v>44671</v>
      </c>
      <c r="B28" s="116">
        <v>2560</v>
      </c>
      <c r="C28" s="115">
        <f t="shared" si="4"/>
        <v>0</v>
      </c>
      <c r="D28" s="57">
        <v>142565.1</v>
      </c>
      <c r="E28" s="50">
        <f t="shared" si="0"/>
        <v>104.10000000000582</v>
      </c>
      <c r="F28" s="51">
        <v>11680203</v>
      </c>
      <c r="G28" s="50">
        <f t="shared" si="1"/>
        <v>2563</v>
      </c>
      <c r="H28" s="51">
        <v>19784562</v>
      </c>
      <c r="I28" s="50">
        <f t="shared" si="2"/>
        <v>6082</v>
      </c>
      <c r="J28" s="51">
        <v>8698657</v>
      </c>
      <c r="K28" s="50">
        <f t="shared" si="3"/>
        <v>2698</v>
      </c>
    </row>
    <row r="29" spans="1:29" ht="19.5" x14ac:dyDescent="0.3">
      <c r="A29" s="59">
        <v>44672</v>
      </c>
      <c r="B29" s="116">
        <v>2560</v>
      </c>
      <c r="C29" s="115">
        <f t="shared" si="4"/>
        <v>0</v>
      </c>
      <c r="D29" s="57">
        <v>142688.6</v>
      </c>
      <c r="E29" s="50">
        <f t="shared" si="0"/>
        <v>123.5</v>
      </c>
      <c r="F29" s="51">
        <v>11683739</v>
      </c>
      <c r="G29" s="50">
        <f t="shared" si="1"/>
        <v>3536</v>
      </c>
      <c r="H29" s="51">
        <v>19790443</v>
      </c>
      <c r="I29" s="50">
        <f t="shared" si="2"/>
        <v>5881</v>
      </c>
      <c r="J29" s="51">
        <v>8701717</v>
      </c>
      <c r="K29" s="50">
        <f t="shared" si="3"/>
        <v>3060</v>
      </c>
    </row>
    <row r="30" spans="1:29" ht="19.5" x14ac:dyDescent="0.3">
      <c r="A30" s="59">
        <v>44673</v>
      </c>
      <c r="B30" s="116">
        <v>2560</v>
      </c>
      <c r="C30" s="115">
        <f t="shared" si="4"/>
        <v>0</v>
      </c>
      <c r="D30" s="57">
        <v>142813</v>
      </c>
      <c r="E30" s="50">
        <f t="shared" si="0"/>
        <v>124.39999999999418</v>
      </c>
      <c r="F30" s="51">
        <v>11687691</v>
      </c>
      <c r="G30" s="50">
        <f t="shared" si="1"/>
        <v>3952</v>
      </c>
      <c r="H30" s="51">
        <v>19796185</v>
      </c>
      <c r="I30" s="50">
        <f t="shared" si="2"/>
        <v>5742</v>
      </c>
      <c r="J30" s="51">
        <v>8704468</v>
      </c>
      <c r="K30" s="50">
        <f t="shared" si="3"/>
        <v>2751</v>
      </c>
    </row>
    <row r="31" spans="1:29" ht="19.5" x14ac:dyDescent="0.3">
      <c r="A31" s="59">
        <v>44674</v>
      </c>
      <c r="B31" s="116">
        <v>2560</v>
      </c>
      <c r="C31" s="115">
        <f t="shared" si="4"/>
        <v>0</v>
      </c>
      <c r="D31" s="57">
        <v>142918</v>
      </c>
      <c r="E31" s="50">
        <f t="shared" si="0"/>
        <v>105</v>
      </c>
      <c r="F31" s="51">
        <v>11690948</v>
      </c>
      <c r="G31" s="50">
        <f t="shared" si="1"/>
        <v>3257</v>
      </c>
      <c r="H31" s="51">
        <v>19801870</v>
      </c>
      <c r="I31" s="50">
        <f t="shared" si="2"/>
        <v>5685</v>
      </c>
      <c r="J31" s="51">
        <v>8707141</v>
      </c>
      <c r="K31" s="50">
        <f t="shared" si="3"/>
        <v>2673</v>
      </c>
    </row>
    <row r="32" spans="1:29" ht="19.5" x14ac:dyDescent="0.3">
      <c r="A32" s="59">
        <v>44675</v>
      </c>
      <c r="B32" s="116">
        <v>2560</v>
      </c>
      <c r="C32" s="115">
        <f t="shared" si="4"/>
        <v>0</v>
      </c>
      <c r="D32" s="57">
        <v>143018</v>
      </c>
      <c r="E32" s="50">
        <f t="shared" si="0"/>
        <v>100</v>
      </c>
      <c r="F32" s="51">
        <v>11694274</v>
      </c>
      <c r="G32" s="50">
        <f t="shared" si="1"/>
        <v>3326</v>
      </c>
      <c r="H32" s="51">
        <v>19807727</v>
      </c>
      <c r="I32" s="50">
        <f t="shared" si="2"/>
        <v>5857</v>
      </c>
      <c r="J32" s="51">
        <v>8709685</v>
      </c>
      <c r="K32" s="50">
        <f t="shared" si="3"/>
        <v>2544</v>
      </c>
    </row>
    <row r="33" spans="1:11" ht="19.5" x14ac:dyDescent="0.3">
      <c r="A33" s="59">
        <v>44676</v>
      </c>
      <c r="B33" s="116">
        <v>2560</v>
      </c>
      <c r="C33" s="115">
        <f>B33-B32</f>
        <v>0</v>
      </c>
      <c r="D33" s="57">
        <v>143108</v>
      </c>
      <c r="E33" s="50">
        <f t="shared" si="0"/>
        <v>90</v>
      </c>
      <c r="F33" s="51">
        <v>11697461</v>
      </c>
      <c r="G33" s="50">
        <f t="shared" si="1"/>
        <v>3187</v>
      </c>
      <c r="H33" s="51">
        <v>19816416</v>
      </c>
      <c r="I33" s="50">
        <f t="shared" si="2"/>
        <v>8689</v>
      </c>
      <c r="J33" s="51">
        <v>8712945</v>
      </c>
      <c r="K33" s="50">
        <f t="shared" si="3"/>
        <v>3260</v>
      </c>
    </row>
    <row r="34" spans="1:11" ht="19.5" x14ac:dyDescent="0.3">
      <c r="A34" s="59">
        <v>44677</v>
      </c>
      <c r="B34" s="116">
        <v>2560</v>
      </c>
      <c r="C34" s="115">
        <f t="shared" ref="C34:C38" si="5">B34-B33</f>
        <v>0</v>
      </c>
      <c r="D34" s="57">
        <v>143232</v>
      </c>
      <c r="E34" s="50">
        <f t="shared" si="0"/>
        <v>124</v>
      </c>
      <c r="F34" s="51">
        <v>11700717</v>
      </c>
      <c r="G34" s="50">
        <f t="shared" si="1"/>
        <v>3256</v>
      </c>
      <c r="H34" s="51">
        <v>19819183</v>
      </c>
      <c r="I34" s="50">
        <f t="shared" si="2"/>
        <v>2767</v>
      </c>
      <c r="J34" s="51">
        <v>8714715</v>
      </c>
      <c r="K34" s="50">
        <f t="shared" si="3"/>
        <v>1770</v>
      </c>
    </row>
    <row r="35" spans="1:11" ht="19.5" x14ac:dyDescent="0.3">
      <c r="A35" s="59">
        <v>44678</v>
      </c>
      <c r="B35" s="116">
        <v>2560</v>
      </c>
      <c r="C35" s="115">
        <f t="shared" si="5"/>
        <v>0</v>
      </c>
      <c r="D35" s="57">
        <v>143316</v>
      </c>
      <c r="E35" s="50">
        <f t="shared" si="0"/>
        <v>84</v>
      </c>
      <c r="F35" s="51">
        <v>11703932</v>
      </c>
      <c r="G35" s="50">
        <f t="shared" si="1"/>
        <v>3215</v>
      </c>
      <c r="H35" s="51">
        <v>19824996</v>
      </c>
      <c r="I35" s="50">
        <f t="shared" si="2"/>
        <v>5813</v>
      </c>
      <c r="J35" s="51">
        <v>8717367</v>
      </c>
      <c r="K35" s="50">
        <f t="shared" si="3"/>
        <v>2652</v>
      </c>
    </row>
    <row r="36" spans="1:11" ht="19.5" x14ac:dyDescent="0.3">
      <c r="A36" s="59">
        <v>44679</v>
      </c>
      <c r="B36" s="116">
        <v>2560</v>
      </c>
      <c r="C36" s="115">
        <f t="shared" si="5"/>
        <v>0</v>
      </c>
      <c r="D36" s="57">
        <v>143425</v>
      </c>
      <c r="E36" s="50">
        <f t="shared" si="0"/>
        <v>109</v>
      </c>
      <c r="F36" s="51">
        <v>11707115</v>
      </c>
      <c r="G36" s="50">
        <f t="shared" si="1"/>
        <v>3183</v>
      </c>
      <c r="H36" s="51">
        <v>19830772</v>
      </c>
      <c r="I36" s="50">
        <f t="shared" si="2"/>
        <v>5776</v>
      </c>
      <c r="J36" s="51">
        <v>8719952</v>
      </c>
      <c r="K36" s="50">
        <f t="shared" si="3"/>
        <v>2585</v>
      </c>
    </row>
    <row r="37" spans="1:11" ht="19.5" x14ac:dyDescent="0.3">
      <c r="A37" s="59">
        <v>44680</v>
      </c>
      <c r="B37" s="116">
        <v>2560</v>
      </c>
      <c r="C37" s="115">
        <f t="shared" si="5"/>
        <v>0</v>
      </c>
      <c r="D37" s="57">
        <v>143539</v>
      </c>
      <c r="E37" s="50">
        <f t="shared" si="0"/>
        <v>114</v>
      </c>
      <c r="F37" s="51">
        <v>11709800</v>
      </c>
      <c r="G37" s="50">
        <f t="shared" si="1"/>
        <v>2685</v>
      </c>
      <c r="H37" s="51">
        <v>19836637</v>
      </c>
      <c r="I37" s="50">
        <f t="shared" si="2"/>
        <v>5865</v>
      </c>
      <c r="J37" s="51">
        <v>8722442</v>
      </c>
      <c r="K37" s="50">
        <f t="shared" si="3"/>
        <v>2490</v>
      </c>
    </row>
    <row r="38" spans="1:11" ht="19.5" x14ac:dyDescent="0.3">
      <c r="A38" s="59">
        <v>44681</v>
      </c>
      <c r="B38" s="116">
        <v>2560</v>
      </c>
      <c r="C38" s="115">
        <f t="shared" si="5"/>
        <v>0</v>
      </c>
      <c r="D38" s="57">
        <v>143633</v>
      </c>
      <c r="E38" s="50">
        <f t="shared" si="0"/>
        <v>94</v>
      </c>
      <c r="F38" s="51">
        <v>11713700</v>
      </c>
      <c r="G38" s="50">
        <f t="shared" si="1"/>
        <v>3900</v>
      </c>
      <c r="H38" s="51">
        <v>19842407</v>
      </c>
      <c r="I38" s="50">
        <f t="shared" si="2"/>
        <v>5770</v>
      </c>
      <c r="J38" s="51">
        <v>8725257</v>
      </c>
      <c r="K38" s="50">
        <f t="shared" si="3"/>
        <v>2815</v>
      </c>
    </row>
    <row r="39" spans="1:11" ht="19.5" x14ac:dyDescent="0.3">
      <c r="A39" s="59">
        <v>44682</v>
      </c>
      <c r="B39" s="116">
        <v>2560</v>
      </c>
      <c r="C39" s="115">
        <f>B39-B38</f>
        <v>0</v>
      </c>
      <c r="D39" s="57">
        <v>143745</v>
      </c>
      <c r="E39" s="50">
        <f t="shared" si="0"/>
        <v>112</v>
      </c>
      <c r="F39" s="51">
        <v>11716956</v>
      </c>
      <c r="G39" s="50">
        <f t="shared" si="1"/>
        <v>3256</v>
      </c>
      <c r="H39" s="51">
        <v>19848066</v>
      </c>
      <c r="I39" s="50">
        <f t="shared" si="2"/>
        <v>5659</v>
      </c>
      <c r="J39" s="51">
        <v>8727820</v>
      </c>
      <c r="K39" s="50">
        <f t="shared" si="3"/>
        <v>2563</v>
      </c>
    </row>
    <row r="40" spans="1:11" ht="24" customHeight="1" x14ac:dyDescent="0.3">
      <c r="A40" s="52"/>
      <c r="B40" s="52"/>
      <c r="C40" s="52"/>
    </row>
    <row r="41" spans="1:11" x14ac:dyDescent="0.25">
      <c r="A41" s="48"/>
      <c r="B41" s="48"/>
      <c r="C41" s="48"/>
    </row>
    <row r="42" spans="1:11" x14ac:dyDescent="0.25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4" priority="61" stopIfTrue="1" operator="lessThanOrEqual">
      <formula>0</formula>
    </cfRule>
  </conditionalFormatting>
  <conditionalFormatting sqref="E10:E39">
    <cfRule type="cellIs" dxfId="3" priority="8" stopIfTrue="1" operator="lessThanOrEqual">
      <formula>0</formula>
    </cfRule>
  </conditionalFormatting>
  <conditionalFormatting sqref="E10:E39">
    <cfRule type="cellIs" dxfId="2" priority="7" stopIfTrue="1" operator="lessThanOrEqual">
      <formula>0</formula>
    </cfRule>
  </conditionalFormatting>
  <conditionalFormatting sqref="E9">
    <cfRule type="cellIs" dxfId="1" priority="6" stopIfTrue="1" operator="lessThanOrEqual">
      <formula>0</formula>
    </cfRule>
  </conditionalFormatting>
  <conditionalFormatting sqref="E9">
    <cfRule type="cellIs" dxfId="0" priority="5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97" t="s">
        <v>57</v>
      </c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</row>
    <row r="2" spans="1:31" ht="41.25" customHeight="1" thickBot="1" x14ac:dyDescent="0.4">
      <c r="Q2" s="302">
        <v>803</v>
      </c>
      <c r="R2" s="303"/>
      <c r="S2" s="304"/>
      <c r="T2" s="305">
        <v>519</v>
      </c>
      <c r="U2" s="303"/>
      <c r="V2" s="304"/>
      <c r="W2" s="305">
        <v>800</v>
      </c>
      <c r="X2" s="303"/>
      <c r="Y2" s="304"/>
      <c r="Z2" s="305">
        <v>802</v>
      </c>
      <c r="AA2" s="303"/>
      <c r="AB2" s="306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44652</v>
      </c>
      <c r="B4" s="41">
        <v>60</v>
      </c>
      <c r="C4" s="39">
        <f t="shared" ref="C4" si="0">IF(AC4&gt;0,((B4-R4)+(S4-B5)),IF(B5=0, ,(B4-B5)))</f>
        <v>4</v>
      </c>
      <c r="D4" s="41">
        <v>65</v>
      </c>
      <c r="E4" s="39">
        <f t="shared" ref="E4" si="1">IF(AC4&gt;0,((D4-U4)+(V4-D5)),IF(D5=0, ,(D4-D5)))</f>
        <v>5</v>
      </c>
      <c r="F4" s="41">
        <v>66</v>
      </c>
      <c r="G4" s="39">
        <f t="shared" ref="G4" si="2">IF(AC4&gt;0,((F4-X4)+(Y4-F5)),IF(F5=0, ,(F4-F5)))</f>
        <v>5</v>
      </c>
      <c r="H4" s="41">
        <v>72</v>
      </c>
      <c r="I4" s="39">
        <f>IF(AC4&gt;0,((H4-AA4)+(AB4-H5)),IF(H5=0, ,(H4-H5)))</f>
        <v>4</v>
      </c>
      <c r="J4" s="39">
        <f>B4+D4+F4+H4</f>
        <v>263</v>
      </c>
      <c r="K4" s="39">
        <f>J4/4</f>
        <v>65.75</v>
      </c>
      <c r="L4" s="39">
        <f>IF(AC4&gt;0,((K4-AD4)+(AE4-K5)),IF(K5=0, ,(K4-K5)))</f>
        <v>4.5</v>
      </c>
      <c r="M4" s="148">
        <f t="shared" ref="M4:M7" si="3">6049*4</f>
        <v>24196</v>
      </c>
      <c r="N4" s="39">
        <f>L4*M4/100</f>
        <v>1088.82</v>
      </c>
      <c r="O4" s="166">
        <f>N4*0.529</f>
        <v>575.98577999999998</v>
      </c>
      <c r="P4" s="42">
        <f>O4*13.64</f>
        <v>7856.4460392000001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44653</v>
      </c>
      <c r="B5" s="41">
        <v>56</v>
      </c>
      <c r="C5" s="39">
        <f t="shared" ref="C5:C35" si="7">IF(AC5&gt;0,((B5-R5)+(S5-B6)),IF(B6=0, ,(B5-B6)))</f>
        <v>5</v>
      </c>
      <c r="D5" s="41">
        <v>60</v>
      </c>
      <c r="E5" s="39">
        <f t="shared" ref="E5:E35" si="8">IF(AC5&gt;0,((D5-U5)+(V5-D6)),IF(D6=0, ,(D5-D6)))</f>
        <v>6</v>
      </c>
      <c r="F5" s="41">
        <v>61</v>
      </c>
      <c r="G5" s="39">
        <f t="shared" ref="G5:G35" si="9">IF(AC5&gt;0,((F5-X5)+(Y5-F6)),IF(F6=0, ,(F5-F6)))</f>
        <v>5</v>
      </c>
      <c r="H5" s="41">
        <v>68</v>
      </c>
      <c r="I5" s="39">
        <f>IF(AC5&gt;0,((H5-AA5)+(AB5-H6)),IF(H6=0, ,(H5-H6)))</f>
        <v>6</v>
      </c>
      <c r="J5" s="39">
        <f>B5+D5+F5+H5</f>
        <v>245</v>
      </c>
      <c r="K5" s="39">
        <f>J5/4</f>
        <v>61.25</v>
      </c>
      <c r="L5" s="39">
        <f>IF(AC5&gt;0,((K5-AD5)+(AE5-K6)),IF(K6=0, ,(K5-K6)))</f>
        <v>5.5</v>
      </c>
      <c r="M5" s="148">
        <f t="shared" si="3"/>
        <v>24196</v>
      </c>
      <c r="N5" s="39">
        <f>L5*M5/100</f>
        <v>1330.78</v>
      </c>
      <c r="O5" s="166">
        <f t="shared" ref="O5:O33" si="10">N5*0.529</f>
        <v>703.98262</v>
      </c>
      <c r="P5" s="42">
        <f t="shared" ref="P5:P33" si="11">O5*13.64</f>
        <v>9602.3229368000011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44654</v>
      </c>
      <c r="B6" s="41">
        <v>51</v>
      </c>
      <c r="C6" s="39">
        <f t="shared" si="7"/>
        <v>5</v>
      </c>
      <c r="D6" s="41">
        <v>54</v>
      </c>
      <c r="E6" s="39">
        <f t="shared" si="8"/>
        <v>6</v>
      </c>
      <c r="F6" s="41">
        <v>56</v>
      </c>
      <c r="G6" s="39">
        <f t="shared" si="9"/>
        <v>5</v>
      </c>
      <c r="H6" s="41">
        <v>62</v>
      </c>
      <c r="I6" s="39">
        <f t="shared" ref="I6:I36" si="12">IF(AC6&gt;0,((H6-AA6)+(AB6-H7)),IF(H7=0, ,(H6-H7)))</f>
        <v>5</v>
      </c>
      <c r="J6" s="39">
        <f t="shared" ref="J6:J42" si="13">B6+D6+F6+H6</f>
        <v>223</v>
      </c>
      <c r="K6" s="39">
        <f t="shared" ref="K6:K42" si="14">J6/4</f>
        <v>55.75</v>
      </c>
      <c r="L6" s="39">
        <f t="shared" ref="L6:L19" si="15">IF(AC6&gt;0,((K6-AD6)+(AE6-K7)),IF(K7=0, ,(K6-K7)))</f>
        <v>5.25</v>
      </c>
      <c r="M6" s="148">
        <f t="shared" si="3"/>
        <v>24196</v>
      </c>
      <c r="N6" s="39">
        <f t="shared" ref="N6:N42" si="16">L6*M6/100</f>
        <v>1270.29</v>
      </c>
      <c r="O6" s="166">
        <f t="shared" si="10"/>
        <v>671.98341000000005</v>
      </c>
      <c r="P6" s="42">
        <f t="shared" si="11"/>
        <v>9165.8537124000013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44655</v>
      </c>
      <c r="B7" s="41">
        <v>46</v>
      </c>
      <c r="C7" s="39">
        <f t="shared" si="7"/>
        <v>3</v>
      </c>
      <c r="D7" s="41">
        <v>48</v>
      </c>
      <c r="E7" s="39">
        <f t="shared" si="8"/>
        <v>0</v>
      </c>
      <c r="F7" s="41">
        <v>51</v>
      </c>
      <c r="G7" s="39">
        <f t="shared" si="9"/>
        <v>1</v>
      </c>
      <c r="H7" s="41">
        <v>57</v>
      </c>
      <c r="I7" s="39">
        <f t="shared" si="12"/>
        <v>2</v>
      </c>
      <c r="J7" s="39">
        <f t="shared" si="13"/>
        <v>202</v>
      </c>
      <c r="K7" s="39">
        <f t="shared" si="14"/>
        <v>50.5</v>
      </c>
      <c r="L7" s="39">
        <f t="shared" si="15"/>
        <v>1.5</v>
      </c>
      <c r="M7" s="148">
        <f t="shared" si="3"/>
        <v>24196</v>
      </c>
      <c r="N7" s="39">
        <f t="shared" si="16"/>
        <v>362.94</v>
      </c>
      <c r="O7" s="166">
        <f t="shared" si="10"/>
        <v>191.99526</v>
      </c>
      <c r="P7" s="42">
        <f t="shared" si="11"/>
        <v>2618.8153464000002</v>
      </c>
      <c r="Q7" s="39">
        <v>1890</v>
      </c>
      <c r="R7" s="39">
        <v>45</v>
      </c>
      <c r="S7" s="39">
        <v>72</v>
      </c>
      <c r="T7" s="39">
        <v>1890</v>
      </c>
      <c r="U7" s="39">
        <v>48</v>
      </c>
      <c r="V7" s="39">
        <v>72</v>
      </c>
      <c r="W7" s="39">
        <v>1890</v>
      </c>
      <c r="X7" s="39">
        <v>50</v>
      </c>
      <c r="Y7" s="39">
        <v>75</v>
      </c>
      <c r="Z7" s="39">
        <v>1890</v>
      </c>
      <c r="AA7" s="39">
        <v>55</v>
      </c>
      <c r="AB7" s="39">
        <v>80</v>
      </c>
      <c r="AC7" s="39">
        <f t="shared" si="4"/>
        <v>7560</v>
      </c>
      <c r="AD7" s="38">
        <f t="shared" si="5"/>
        <v>49.5</v>
      </c>
      <c r="AE7" s="38">
        <f t="shared" si="6"/>
        <v>74.75</v>
      </c>
    </row>
    <row r="8" spans="1:31" ht="32.25" customHeight="1" x14ac:dyDescent="0.3">
      <c r="A8" s="40">
        <v>44656</v>
      </c>
      <c r="B8" s="41">
        <v>70</v>
      </c>
      <c r="C8" s="39">
        <f t="shared" si="7"/>
        <v>2</v>
      </c>
      <c r="D8" s="41">
        <v>72</v>
      </c>
      <c r="E8" s="39">
        <f t="shared" si="8"/>
        <v>3</v>
      </c>
      <c r="F8" s="41">
        <v>75</v>
      </c>
      <c r="G8" s="39">
        <f t="shared" si="9"/>
        <v>3</v>
      </c>
      <c r="H8" s="41">
        <v>80</v>
      </c>
      <c r="I8" s="39">
        <f t="shared" si="12"/>
        <v>5</v>
      </c>
      <c r="J8" s="39">
        <f t="shared" si="13"/>
        <v>297</v>
      </c>
      <c r="K8" s="39">
        <f t="shared" si="14"/>
        <v>74.25</v>
      </c>
      <c r="L8" s="39">
        <f t="shared" si="15"/>
        <v>3.25</v>
      </c>
      <c r="M8" s="148">
        <f>6049*4</f>
        <v>24196</v>
      </c>
      <c r="N8" s="39">
        <f t="shared" si="16"/>
        <v>786.37</v>
      </c>
      <c r="O8" s="166">
        <f t="shared" si="10"/>
        <v>415.98973000000001</v>
      </c>
      <c r="P8" s="42">
        <f t="shared" si="11"/>
        <v>5674.0999172000002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44657</v>
      </c>
      <c r="B9" s="41">
        <v>68</v>
      </c>
      <c r="C9" s="39">
        <f t="shared" si="7"/>
        <v>3</v>
      </c>
      <c r="D9" s="41">
        <v>69</v>
      </c>
      <c r="E9" s="39">
        <f t="shared" si="8"/>
        <v>4</v>
      </c>
      <c r="F9" s="41">
        <v>72</v>
      </c>
      <c r="G9" s="39">
        <f t="shared" si="9"/>
        <v>3</v>
      </c>
      <c r="H9" s="41">
        <v>75</v>
      </c>
      <c r="I9" s="39">
        <f t="shared" si="12"/>
        <v>5</v>
      </c>
      <c r="J9" s="39">
        <f t="shared" si="13"/>
        <v>284</v>
      </c>
      <c r="K9" s="39">
        <f t="shared" si="14"/>
        <v>71</v>
      </c>
      <c r="L9" s="39">
        <f t="shared" si="15"/>
        <v>3.75</v>
      </c>
      <c r="M9" s="148">
        <f t="shared" ref="M9:M42" si="17">6049*4</f>
        <v>24196</v>
      </c>
      <c r="N9" s="39">
        <f t="shared" si="16"/>
        <v>907.35</v>
      </c>
      <c r="O9" s="166">
        <f t="shared" si="10"/>
        <v>479.98815000000002</v>
      </c>
      <c r="P9" s="42">
        <f t="shared" si="11"/>
        <v>6547.0383660000007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44658</v>
      </c>
      <c r="B10" s="41">
        <v>65</v>
      </c>
      <c r="C10" s="39">
        <f t="shared" si="7"/>
        <v>5</v>
      </c>
      <c r="D10" s="41">
        <v>65</v>
      </c>
      <c r="E10" s="39">
        <f t="shared" si="8"/>
        <v>4</v>
      </c>
      <c r="F10" s="41">
        <v>69</v>
      </c>
      <c r="G10" s="39">
        <f t="shared" si="9"/>
        <v>3</v>
      </c>
      <c r="H10" s="41">
        <v>70</v>
      </c>
      <c r="I10" s="39">
        <f t="shared" si="12"/>
        <v>1</v>
      </c>
      <c r="J10" s="39">
        <f t="shared" si="13"/>
        <v>269</v>
      </c>
      <c r="K10" s="39">
        <f t="shared" si="14"/>
        <v>67.25</v>
      </c>
      <c r="L10" s="39">
        <f t="shared" si="15"/>
        <v>3.25</v>
      </c>
      <c r="M10" s="148">
        <f t="shared" si="17"/>
        <v>24196</v>
      </c>
      <c r="N10" s="39">
        <f t="shared" si="16"/>
        <v>786.37</v>
      </c>
      <c r="O10" s="166">
        <f t="shared" si="10"/>
        <v>415.98973000000001</v>
      </c>
      <c r="P10" s="42">
        <f t="shared" si="11"/>
        <v>5674.0999172000002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44659</v>
      </c>
      <c r="B11" s="41">
        <v>60</v>
      </c>
      <c r="C11" s="39">
        <f t="shared" si="7"/>
        <v>5</v>
      </c>
      <c r="D11" s="41">
        <v>61</v>
      </c>
      <c r="E11" s="39">
        <f t="shared" si="8"/>
        <v>7</v>
      </c>
      <c r="F11" s="41">
        <v>66</v>
      </c>
      <c r="G11" s="39">
        <f t="shared" si="9"/>
        <v>7</v>
      </c>
      <c r="H11" s="41">
        <v>69</v>
      </c>
      <c r="I11" s="39">
        <f t="shared" si="12"/>
        <v>9</v>
      </c>
      <c r="J11" s="39">
        <f t="shared" si="13"/>
        <v>256</v>
      </c>
      <c r="K11" s="39">
        <f t="shared" si="14"/>
        <v>64</v>
      </c>
      <c r="L11" s="39">
        <f t="shared" si="15"/>
        <v>7</v>
      </c>
      <c r="M11" s="148">
        <f t="shared" si="17"/>
        <v>24196</v>
      </c>
      <c r="N11" s="39">
        <f t="shared" si="16"/>
        <v>1693.72</v>
      </c>
      <c r="O11" s="166">
        <f t="shared" si="10"/>
        <v>895.97788000000003</v>
      </c>
      <c r="P11" s="42">
        <f t="shared" si="11"/>
        <v>12221.138283200002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44660</v>
      </c>
      <c r="B12" s="41">
        <v>55</v>
      </c>
      <c r="C12" s="39">
        <f t="shared" si="7"/>
        <v>5</v>
      </c>
      <c r="D12" s="41">
        <v>54</v>
      </c>
      <c r="E12" s="39">
        <f t="shared" si="8"/>
        <v>4</v>
      </c>
      <c r="F12" s="41">
        <v>59</v>
      </c>
      <c r="G12" s="39">
        <f t="shared" si="9"/>
        <v>4</v>
      </c>
      <c r="H12" s="41">
        <v>60</v>
      </c>
      <c r="I12" s="39">
        <f t="shared" si="12"/>
        <v>0</v>
      </c>
      <c r="J12" s="39">
        <f t="shared" si="13"/>
        <v>228</v>
      </c>
      <c r="K12" s="39">
        <f t="shared" si="14"/>
        <v>57</v>
      </c>
      <c r="L12" s="39">
        <f t="shared" si="15"/>
        <v>3.25</v>
      </c>
      <c r="M12" s="148">
        <f t="shared" si="17"/>
        <v>24196</v>
      </c>
      <c r="N12" s="39">
        <f t="shared" si="16"/>
        <v>786.37</v>
      </c>
      <c r="O12" s="166">
        <f t="shared" si="10"/>
        <v>415.98973000000001</v>
      </c>
      <c r="P12" s="42">
        <f t="shared" si="11"/>
        <v>5674.0999172000002</v>
      </c>
      <c r="Q12" s="39">
        <v>2989</v>
      </c>
      <c r="R12" s="39">
        <v>50</v>
      </c>
      <c r="S12" s="39">
        <v>85</v>
      </c>
      <c r="T12" s="39">
        <v>2994</v>
      </c>
      <c r="U12" s="39">
        <v>50</v>
      </c>
      <c r="V12" s="39">
        <v>85</v>
      </c>
      <c r="W12" s="39">
        <v>2602</v>
      </c>
      <c r="X12" s="39">
        <v>55</v>
      </c>
      <c r="Y12" s="39">
        <v>85</v>
      </c>
      <c r="Z12" s="39">
        <v>2160</v>
      </c>
      <c r="AA12" s="39">
        <v>60</v>
      </c>
      <c r="AB12" s="39">
        <v>85</v>
      </c>
      <c r="AC12" s="39">
        <f t="shared" si="4"/>
        <v>10745</v>
      </c>
      <c r="AD12" s="38">
        <f t="shared" si="5"/>
        <v>53.75</v>
      </c>
      <c r="AE12" s="38">
        <f t="shared" si="6"/>
        <v>85</v>
      </c>
    </row>
    <row r="13" spans="1:31" ht="32.25" customHeight="1" x14ac:dyDescent="0.3">
      <c r="A13" s="40">
        <v>44661</v>
      </c>
      <c r="B13" s="41">
        <v>85</v>
      </c>
      <c r="C13" s="39">
        <f t="shared" si="7"/>
        <v>5</v>
      </c>
      <c r="D13" s="41">
        <v>85</v>
      </c>
      <c r="E13" s="39">
        <f t="shared" si="8"/>
        <v>2</v>
      </c>
      <c r="F13" s="41">
        <v>85</v>
      </c>
      <c r="G13" s="39">
        <f t="shared" si="9"/>
        <v>0</v>
      </c>
      <c r="H13" s="41">
        <v>85</v>
      </c>
      <c r="I13" s="39">
        <f t="shared" si="12"/>
        <v>0</v>
      </c>
      <c r="J13" s="39">
        <f t="shared" si="13"/>
        <v>340</v>
      </c>
      <c r="K13" s="39">
        <f t="shared" si="14"/>
        <v>85</v>
      </c>
      <c r="L13" s="39">
        <f t="shared" si="15"/>
        <v>1.75</v>
      </c>
      <c r="M13" s="148">
        <f t="shared" si="17"/>
        <v>24196</v>
      </c>
      <c r="N13" s="39">
        <f t="shared" si="16"/>
        <v>423.43</v>
      </c>
      <c r="O13" s="166">
        <f t="shared" si="10"/>
        <v>223.99447000000001</v>
      </c>
      <c r="P13" s="42">
        <f t="shared" si="11"/>
        <v>3055.2845708000004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44662</v>
      </c>
      <c r="B14" s="41">
        <v>80</v>
      </c>
      <c r="C14" s="39">
        <f t="shared" si="7"/>
        <v>5</v>
      </c>
      <c r="D14" s="41">
        <v>83</v>
      </c>
      <c r="E14" s="39">
        <f t="shared" si="8"/>
        <v>3</v>
      </c>
      <c r="F14" s="41">
        <v>85</v>
      </c>
      <c r="G14" s="39">
        <f t="shared" si="9"/>
        <v>3</v>
      </c>
      <c r="H14" s="41">
        <v>85</v>
      </c>
      <c r="I14" s="39">
        <f>IF(AC14&gt;0,((H14-AA14)+(AB14-H15)),IF(H15=0, ,(H14-H15)))</f>
        <v>4</v>
      </c>
      <c r="J14" s="39">
        <f t="shared" si="13"/>
        <v>333</v>
      </c>
      <c r="K14" s="39">
        <f t="shared" si="14"/>
        <v>83.25</v>
      </c>
      <c r="L14" s="39">
        <f t="shared" si="15"/>
        <v>3.75</v>
      </c>
      <c r="M14" s="148">
        <f t="shared" si="17"/>
        <v>24196</v>
      </c>
      <c r="N14" s="39">
        <f t="shared" si="16"/>
        <v>907.35</v>
      </c>
      <c r="O14" s="166">
        <f t="shared" si="10"/>
        <v>479.98815000000002</v>
      </c>
      <c r="P14" s="42">
        <f t="shared" si="11"/>
        <v>6547.0383660000007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44663</v>
      </c>
      <c r="B15" s="41">
        <v>75</v>
      </c>
      <c r="C15" s="39">
        <f t="shared" si="7"/>
        <v>3</v>
      </c>
      <c r="D15" s="41">
        <v>80</v>
      </c>
      <c r="E15" s="39">
        <f t="shared" si="8"/>
        <v>5</v>
      </c>
      <c r="F15" s="41">
        <v>82</v>
      </c>
      <c r="G15" s="39">
        <f t="shared" si="9"/>
        <v>7</v>
      </c>
      <c r="H15" s="41">
        <v>81</v>
      </c>
      <c r="I15" s="39">
        <f>IF(AC15&gt;0,((H15-AA15)+(AB15-H16)),IF(H16=0, ,(H15-H16)))</f>
        <v>2</v>
      </c>
      <c r="J15" s="39">
        <f t="shared" si="13"/>
        <v>318</v>
      </c>
      <c r="K15" s="39">
        <f t="shared" si="14"/>
        <v>79.5</v>
      </c>
      <c r="L15" s="39">
        <f t="shared" si="15"/>
        <v>4.25</v>
      </c>
      <c r="M15" s="148">
        <f t="shared" si="17"/>
        <v>24196</v>
      </c>
      <c r="N15" s="39">
        <f t="shared" si="16"/>
        <v>1028.33</v>
      </c>
      <c r="O15" s="166">
        <f t="shared" si="10"/>
        <v>543.98657000000003</v>
      </c>
      <c r="P15" s="42">
        <f t="shared" si="11"/>
        <v>7419.9768148000003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44664</v>
      </c>
      <c r="B16" s="41">
        <v>72</v>
      </c>
      <c r="C16" s="39">
        <f t="shared" si="7"/>
        <v>5</v>
      </c>
      <c r="D16" s="41">
        <v>75</v>
      </c>
      <c r="E16" s="39">
        <f t="shared" si="8"/>
        <v>3</v>
      </c>
      <c r="F16" s="41">
        <v>75</v>
      </c>
      <c r="G16" s="39">
        <f t="shared" si="9"/>
        <v>4</v>
      </c>
      <c r="H16" s="41">
        <v>79</v>
      </c>
      <c r="I16" s="39">
        <f t="shared" si="12"/>
        <v>4</v>
      </c>
      <c r="J16" s="39">
        <f t="shared" si="13"/>
        <v>301</v>
      </c>
      <c r="K16" s="39">
        <f t="shared" si="14"/>
        <v>75.25</v>
      </c>
      <c r="L16" s="39">
        <f t="shared" si="15"/>
        <v>4</v>
      </c>
      <c r="M16" s="148">
        <f t="shared" si="17"/>
        <v>24196</v>
      </c>
      <c r="N16" s="39">
        <f t="shared" si="16"/>
        <v>967.84</v>
      </c>
      <c r="O16" s="166">
        <f t="shared" si="10"/>
        <v>511.98736000000002</v>
      </c>
      <c r="P16" s="42">
        <f t="shared" si="11"/>
        <v>6983.5075904000005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44665</v>
      </c>
      <c r="B17" s="41">
        <v>67</v>
      </c>
      <c r="C17" s="39">
        <f t="shared" si="7"/>
        <v>3</v>
      </c>
      <c r="D17" s="41">
        <v>72</v>
      </c>
      <c r="E17" s="39">
        <f t="shared" si="8"/>
        <v>6</v>
      </c>
      <c r="F17" s="41">
        <v>71</v>
      </c>
      <c r="G17" s="39">
        <f t="shared" si="9"/>
        <v>1</v>
      </c>
      <c r="H17" s="41">
        <v>75</v>
      </c>
      <c r="I17" s="39">
        <f t="shared" si="12"/>
        <v>5</v>
      </c>
      <c r="J17" s="39">
        <f t="shared" si="13"/>
        <v>285</v>
      </c>
      <c r="K17" s="39">
        <f t="shared" si="14"/>
        <v>71.25</v>
      </c>
      <c r="L17" s="39">
        <f t="shared" si="15"/>
        <v>3.75</v>
      </c>
      <c r="M17" s="148">
        <f t="shared" si="17"/>
        <v>24196</v>
      </c>
      <c r="N17" s="39">
        <f t="shared" si="16"/>
        <v>907.35</v>
      </c>
      <c r="O17" s="166">
        <f t="shared" si="10"/>
        <v>479.98815000000002</v>
      </c>
      <c r="P17" s="42">
        <f t="shared" si="11"/>
        <v>6547.0383660000007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44666</v>
      </c>
      <c r="B18" s="41">
        <v>64</v>
      </c>
      <c r="C18" s="39">
        <f t="shared" si="7"/>
        <v>4</v>
      </c>
      <c r="D18" s="41">
        <v>66</v>
      </c>
      <c r="E18" s="39">
        <f t="shared" si="8"/>
        <v>4</v>
      </c>
      <c r="F18" s="41">
        <v>70</v>
      </c>
      <c r="G18" s="39">
        <f t="shared" si="9"/>
        <v>3</v>
      </c>
      <c r="H18" s="41">
        <v>70</v>
      </c>
      <c r="I18" s="39">
        <f t="shared" si="12"/>
        <v>4</v>
      </c>
      <c r="J18" s="39">
        <f t="shared" si="13"/>
        <v>270</v>
      </c>
      <c r="K18" s="39">
        <f t="shared" si="14"/>
        <v>67.5</v>
      </c>
      <c r="L18" s="39">
        <f t="shared" si="15"/>
        <v>3.75</v>
      </c>
      <c r="M18" s="148">
        <f t="shared" si="17"/>
        <v>24196</v>
      </c>
      <c r="N18" s="39">
        <f t="shared" si="16"/>
        <v>907.35</v>
      </c>
      <c r="O18" s="166">
        <f t="shared" si="10"/>
        <v>479.98815000000002</v>
      </c>
      <c r="P18" s="42">
        <f t="shared" si="11"/>
        <v>6547.0383660000007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44667</v>
      </c>
      <c r="B19" s="41">
        <v>60</v>
      </c>
      <c r="C19" s="39">
        <f t="shared" si="7"/>
        <v>5</v>
      </c>
      <c r="D19" s="41">
        <v>62</v>
      </c>
      <c r="E19" s="39">
        <f t="shared" si="8"/>
        <v>6</v>
      </c>
      <c r="F19" s="41">
        <v>67</v>
      </c>
      <c r="G19" s="39">
        <f t="shared" si="9"/>
        <v>5</v>
      </c>
      <c r="H19" s="41">
        <v>66</v>
      </c>
      <c r="I19" s="39">
        <f t="shared" si="12"/>
        <v>4</v>
      </c>
      <c r="J19" s="39">
        <f t="shared" si="13"/>
        <v>255</v>
      </c>
      <c r="K19" s="39">
        <f t="shared" si="14"/>
        <v>63.75</v>
      </c>
      <c r="L19" s="39">
        <f t="shared" si="15"/>
        <v>5</v>
      </c>
      <c r="M19" s="148">
        <f t="shared" si="17"/>
        <v>24196</v>
      </c>
      <c r="N19" s="39">
        <f t="shared" si="16"/>
        <v>1209.8</v>
      </c>
      <c r="O19" s="166">
        <f t="shared" si="10"/>
        <v>639.98419999999999</v>
      </c>
      <c r="P19" s="42">
        <f t="shared" si="11"/>
        <v>8729.3844879999997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44668</v>
      </c>
      <c r="B20" s="41">
        <v>55</v>
      </c>
      <c r="C20" s="39">
        <f t="shared" si="7"/>
        <v>5</v>
      </c>
      <c r="D20" s="41">
        <v>56</v>
      </c>
      <c r="E20" s="39">
        <f t="shared" si="8"/>
        <v>2</v>
      </c>
      <c r="F20" s="41">
        <v>62</v>
      </c>
      <c r="G20" s="39">
        <f t="shared" si="9"/>
        <v>7</v>
      </c>
      <c r="H20" s="41">
        <v>62</v>
      </c>
      <c r="I20" s="39">
        <f t="shared" si="12"/>
        <v>2</v>
      </c>
      <c r="J20" s="39">
        <f t="shared" si="13"/>
        <v>235</v>
      </c>
      <c r="K20" s="39">
        <f t="shared" si="14"/>
        <v>58.75</v>
      </c>
      <c r="L20" s="39">
        <f t="shared" ref="L20:L42" si="18">IF(AC20&gt;0,((K20-AD20)+(AE20-K21)),IF(K21=0, ,(K20-K21)))</f>
        <v>4</v>
      </c>
      <c r="M20" s="148">
        <f t="shared" si="17"/>
        <v>24196</v>
      </c>
      <c r="N20" s="39">
        <f t="shared" si="16"/>
        <v>967.84</v>
      </c>
      <c r="O20" s="166">
        <f t="shared" si="10"/>
        <v>511.98736000000002</v>
      </c>
      <c r="P20" s="42">
        <f t="shared" si="11"/>
        <v>6983.5075904000005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44669</v>
      </c>
      <c r="B21" s="41">
        <v>50</v>
      </c>
      <c r="C21" s="39">
        <f t="shared" si="7"/>
        <v>5</v>
      </c>
      <c r="D21" s="41">
        <v>54</v>
      </c>
      <c r="E21" s="39">
        <f t="shared" si="8"/>
        <v>4</v>
      </c>
      <c r="F21" s="41">
        <v>55</v>
      </c>
      <c r="G21" s="39">
        <f t="shared" si="9"/>
        <v>5</v>
      </c>
      <c r="H21" s="41">
        <v>60</v>
      </c>
      <c r="I21" s="39">
        <f t="shared" si="12"/>
        <v>5</v>
      </c>
      <c r="J21" s="39">
        <f t="shared" si="13"/>
        <v>219</v>
      </c>
      <c r="K21" s="39">
        <f t="shared" si="14"/>
        <v>54.75</v>
      </c>
      <c r="L21" s="39">
        <f>IF(AC21&gt;0,((K21-AD21)+(AE21-K22)),IF(K22=0, ,(K21-K22)))</f>
        <v>4.75</v>
      </c>
      <c r="M21" s="148">
        <f t="shared" si="17"/>
        <v>24196</v>
      </c>
      <c r="N21" s="39">
        <f t="shared" si="16"/>
        <v>1149.31</v>
      </c>
      <c r="O21" s="166">
        <f t="shared" si="10"/>
        <v>607.98499000000004</v>
      </c>
      <c r="P21" s="42">
        <f t="shared" si="11"/>
        <v>8292.9152636000017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44670</v>
      </c>
      <c r="B22" s="41">
        <v>45</v>
      </c>
      <c r="C22" s="39">
        <f t="shared" si="7"/>
        <v>3</v>
      </c>
      <c r="D22" s="41">
        <v>50</v>
      </c>
      <c r="E22" s="39">
        <f t="shared" si="8"/>
        <v>7</v>
      </c>
      <c r="F22" s="41">
        <v>50</v>
      </c>
      <c r="G22" s="39">
        <f t="shared" si="9"/>
        <v>5</v>
      </c>
      <c r="H22" s="41">
        <v>55</v>
      </c>
      <c r="I22" s="39">
        <f t="shared" si="12"/>
        <v>6</v>
      </c>
      <c r="J22" s="39">
        <f t="shared" si="13"/>
        <v>200</v>
      </c>
      <c r="K22" s="39">
        <f t="shared" si="14"/>
        <v>50</v>
      </c>
      <c r="L22" s="39">
        <f>IF(AC22&gt;0,((K22-AD22)+(AE22-K23)),IF(K23=0, ,(K22-K23)))</f>
        <v>5.25</v>
      </c>
      <c r="M22" s="148">
        <f t="shared" si="17"/>
        <v>24196</v>
      </c>
      <c r="N22" s="39">
        <f t="shared" si="16"/>
        <v>1270.29</v>
      </c>
      <c r="O22" s="166">
        <f t="shared" si="10"/>
        <v>671.98341000000005</v>
      </c>
      <c r="P22" s="42">
        <f t="shared" si="11"/>
        <v>9165.8537124000013</v>
      </c>
      <c r="Q22" s="39">
        <v>1727</v>
      </c>
      <c r="R22" s="39">
        <v>42</v>
      </c>
      <c r="S22" s="39">
        <v>68</v>
      </c>
      <c r="T22" s="39">
        <v>1804</v>
      </c>
      <c r="U22" s="39">
        <v>45</v>
      </c>
      <c r="V22" s="39">
        <v>66</v>
      </c>
      <c r="W22" s="39">
        <v>1740</v>
      </c>
      <c r="X22" s="39">
        <v>45</v>
      </c>
      <c r="Y22" s="39">
        <v>70</v>
      </c>
      <c r="Z22" s="39">
        <v>1780</v>
      </c>
      <c r="AA22" s="39">
        <v>50</v>
      </c>
      <c r="AB22" s="39">
        <v>75</v>
      </c>
      <c r="AC22" s="39">
        <f>Q22+T22+W22+Z22</f>
        <v>7051</v>
      </c>
      <c r="AD22" s="38">
        <f t="shared" si="5"/>
        <v>45.5</v>
      </c>
      <c r="AE22" s="38">
        <f t="shared" si="6"/>
        <v>69.75</v>
      </c>
    </row>
    <row r="23" spans="1:31" ht="32.25" customHeight="1" x14ac:dyDescent="0.3">
      <c r="A23" s="40">
        <v>44671</v>
      </c>
      <c r="B23" s="41">
        <v>68</v>
      </c>
      <c r="C23" s="39">
        <f t="shared" si="7"/>
        <v>14</v>
      </c>
      <c r="D23" s="41">
        <v>64</v>
      </c>
      <c r="E23" s="39">
        <f t="shared" si="8"/>
        <v>4</v>
      </c>
      <c r="F23" s="41">
        <v>70</v>
      </c>
      <c r="G23" s="39">
        <f t="shared" si="9"/>
        <v>6</v>
      </c>
      <c r="H23" s="41">
        <v>74</v>
      </c>
      <c r="I23" s="39">
        <f t="shared" si="12"/>
        <v>4</v>
      </c>
      <c r="J23" s="39">
        <f t="shared" si="13"/>
        <v>276</v>
      </c>
      <c r="K23" s="39">
        <f t="shared" si="14"/>
        <v>69</v>
      </c>
      <c r="L23" s="39">
        <f t="shared" si="18"/>
        <v>7</v>
      </c>
      <c r="M23" s="148">
        <f t="shared" si="17"/>
        <v>24196</v>
      </c>
      <c r="N23" s="39">
        <f t="shared" si="16"/>
        <v>1693.72</v>
      </c>
      <c r="O23" s="166">
        <f t="shared" si="10"/>
        <v>895.97788000000003</v>
      </c>
      <c r="P23" s="42">
        <f t="shared" si="11"/>
        <v>12221.138283200002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44672</v>
      </c>
      <c r="B24" s="41">
        <v>54</v>
      </c>
      <c r="C24" s="39">
        <f t="shared" si="7"/>
        <v>0</v>
      </c>
      <c r="D24" s="41">
        <v>60</v>
      </c>
      <c r="E24" s="39">
        <f t="shared" si="8"/>
        <v>1</v>
      </c>
      <c r="F24" s="41">
        <v>64</v>
      </c>
      <c r="G24" s="39">
        <f t="shared" si="9"/>
        <v>3</v>
      </c>
      <c r="H24" s="41">
        <v>70</v>
      </c>
      <c r="I24" s="39">
        <f t="shared" si="12"/>
        <v>5</v>
      </c>
      <c r="J24" s="39">
        <f t="shared" si="13"/>
        <v>248</v>
      </c>
      <c r="K24" s="39">
        <f t="shared" si="14"/>
        <v>62</v>
      </c>
      <c r="L24" s="39">
        <f t="shared" si="18"/>
        <v>2.25</v>
      </c>
      <c r="M24" s="148">
        <f t="shared" si="17"/>
        <v>24196</v>
      </c>
      <c r="N24" s="39">
        <f t="shared" si="16"/>
        <v>544.41</v>
      </c>
      <c r="O24" s="166">
        <f t="shared" si="10"/>
        <v>287.99288999999999</v>
      </c>
      <c r="P24" s="42">
        <f t="shared" si="11"/>
        <v>3928.2230196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44673</v>
      </c>
      <c r="B25" s="41">
        <v>54</v>
      </c>
      <c r="C25" s="39">
        <f t="shared" si="7"/>
        <v>4</v>
      </c>
      <c r="D25" s="41">
        <v>59</v>
      </c>
      <c r="E25" s="39">
        <f t="shared" si="8"/>
        <v>3</v>
      </c>
      <c r="F25" s="41">
        <v>61</v>
      </c>
      <c r="G25" s="39">
        <f t="shared" si="9"/>
        <v>3</v>
      </c>
      <c r="H25" s="41">
        <v>65</v>
      </c>
      <c r="I25" s="39">
        <f t="shared" si="12"/>
        <v>4</v>
      </c>
      <c r="J25" s="39">
        <f t="shared" si="13"/>
        <v>239</v>
      </c>
      <c r="K25" s="39">
        <f t="shared" si="14"/>
        <v>59.75</v>
      </c>
      <c r="L25" s="39">
        <f t="shared" si="18"/>
        <v>3.5</v>
      </c>
      <c r="M25" s="148">
        <f t="shared" si="17"/>
        <v>24196</v>
      </c>
      <c r="N25" s="39">
        <f t="shared" si="16"/>
        <v>846.86</v>
      </c>
      <c r="O25" s="166">
        <f t="shared" si="10"/>
        <v>447.98894000000001</v>
      </c>
      <c r="P25" s="42">
        <f t="shared" si="11"/>
        <v>6110.5691416000009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44674</v>
      </c>
      <c r="B26" s="41">
        <v>50</v>
      </c>
      <c r="C26" s="39">
        <f t="shared" si="7"/>
        <v>5</v>
      </c>
      <c r="D26" s="41">
        <v>56</v>
      </c>
      <c r="E26" s="39">
        <f t="shared" si="8"/>
        <v>6</v>
      </c>
      <c r="F26" s="41">
        <v>58</v>
      </c>
      <c r="G26" s="39">
        <f t="shared" si="9"/>
        <v>5</v>
      </c>
      <c r="H26" s="41">
        <v>61</v>
      </c>
      <c r="I26" s="39">
        <f t="shared" si="12"/>
        <v>3</v>
      </c>
      <c r="J26" s="39">
        <f t="shared" si="13"/>
        <v>225</v>
      </c>
      <c r="K26" s="39">
        <f t="shared" si="14"/>
        <v>56.25</v>
      </c>
      <c r="L26" s="39">
        <f t="shared" si="18"/>
        <v>4.75</v>
      </c>
      <c r="M26" s="148">
        <f t="shared" si="17"/>
        <v>24196</v>
      </c>
      <c r="N26" s="39">
        <f t="shared" si="16"/>
        <v>1149.31</v>
      </c>
      <c r="O26" s="166">
        <f t="shared" si="10"/>
        <v>607.98499000000004</v>
      </c>
      <c r="P26" s="42">
        <f t="shared" si="11"/>
        <v>8292.9152636000017</v>
      </c>
      <c r="Q26" s="39">
        <v>3270</v>
      </c>
      <c r="R26" s="39">
        <v>45</v>
      </c>
      <c r="S26" s="39">
        <v>85</v>
      </c>
      <c r="T26" s="39">
        <v>2826</v>
      </c>
      <c r="U26" s="39">
        <v>50</v>
      </c>
      <c r="V26" s="39">
        <v>85</v>
      </c>
      <c r="W26" s="39">
        <v>2508</v>
      </c>
      <c r="X26" s="39">
        <v>53</v>
      </c>
      <c r="Y26" s="39">
        <v>85</v>
      </c>
      <c r="Z26" s="39">
        <v>2314</v>
      </c>
      <c r="AA26" s="39">
        <v>58</v>
      </c>
      <c r="AB26" s="39">
        <v>85</v>
      </c>
      <c r="AC26" s="39">
        <f t="shared" ref="AC26:AC43" si="20">Q26+T26+W26+Z26</f>
        <v>10918</v>
      </c>
      <c r="AD26" s="38">
        <f t="shared" si="19"/>
        <v>51.5</v>
      </c>
      <c r="AE26" s="38">
        <f>(S26+V26+Y26+AB26)/4</f>
        <v>85</v>
      </c>
    </row>
    <row r="27" spans="1:31" ht="32.25" customHeight="1" x14ac:dyDescent="0.3">
      <c r="A27" s="40">
        <v>44675</v>
      </c>
      <c r="B27" s="41">
        <v>85</v>
      </c>
      <c r="C27" s="39">
        <f t="shared" ref="C27" si="21">IF(AC27&gt;0,((B27-R27)+(S27-B28)),IF(B28=0, ,(B27-B28)))</f>
        <v>5</v>
      </c>
      <c r="D27" s="41">
        <v>85</v>
      </c>
      <c r="E27" s="39">
        <f t="shared" ref="E27" si="22">IF(AC27&gt;0,((D27-U27)+(V27-D28)),IF(D28=0, ,(D27-D28)))</f>
        <v>3</v>
      </c>
      <c r="F27" s="41">
        <v>85</v>
      </c>
      <c r="G27" s="39">
        <f t="shared" ref="G27" si="23">IF(AC27&gt;0,((F27-X27)+(Y27-F28)),IF(F28=0, ,(F27-F28)))</f>
        <v>3</v>
      </c>
      <c r="H27" s="41">
        <v>85</v>
      </c>
      <c r="I27" s="39">
        <f t="shared" si="12"/>
        <v>3</v>
      </c>
      <c r="J27" s="39">
        <f t="shared" si="13"/>
        <v>340</v>
      </c>
      <c r="K27" s="39">
        <f t="shared" si="14"/>
        <v>85</v>
      </c>
      <c r="L27" s="39">
        <f t="shared" si="18"/>
        <v>3.5</v>
      </c>
      <c r="M27" s="148">
        <f t="shared" si="17"/>
        <v>24196</v>
      </c>
      <c r="N27" s="39">
        <f t="shared" si="16"/>
        <v>846.86</v>
      </c>
      <c r="O27" s="166">
        <f t="shared" si="10"/>
        <v>447.98894000000001</v>
      </c>
      <c r="P27" s="42">
        <f t="shared" si="11"/>
        <v>6110.5691416000009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44676</v>
      </c>
      <c r="B28" s="41">
        <v>80</v>
      </c>
      <c r="C28" s="39">
        <f t="shared" si="7"/>
        <v>4</v>
      </c>
      <c r="D28" s="41">
        <v>82</v>
      </c>
      <c r="E28" s="39">
        <f t="shared" si="8"/>
        <v>4</v>
      </c>
      <c r="F28" s="41">
        <v>82</v>
      </c>
      <c r="G28" s="39">
        <f t="shared" si="9"/>
        <v>2</v>
      </c>
      <c r="H28" s="41">
        <v>82</v>
      </c>
      <c r="I28" s="39">
        <f>IF(AC28&gt;0,((H28-AA28)+(AB28-H29)),IF(H29=0, ,(H28-H29)))</f>
        <v>2</v>
      </c>
      <c r="J28" s="39">
        <f t="shared" si="13"/>
        <v>326</v>
      </c>
      <c r="K28" s="39">
        <f t="shared" si="14"/>
        <v>81.5</v>
      </c>
      <c r="L28" s="39">
        <f t="shared" si="18"/>
        <v>3</v>
      </c>
      <c r="M28" s="148">
        <f t="shared" si="17"/>
        <v>24196</v>
      </c>
      <c r="N28" s="39">
        <f t="shared" si="16"/>
        <v>725.88</v>
      </c>
      <c r="O28" s="166">
        <f t="shared" si="10"/>
        <v>383.99052</v>
      </c>
      <c r="P28" s="42">
        <f t="shared" si="11"/>
        <v>5237.6306928000004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44677</v>
      </c>
      <c r="B29" s="41">
        <v>76</v>
      </c>
      <c r="C29" s="39">
        <f t="shared" si="7"/>
        <v>5</v>
      </c>
      <c r="D29" s="41">
        <v>78</v>
      </c>
      <c r="E29" s="39">
        <f t="shared" si="8"/>
        <v>3</v>
      </c>
      <c r="F29" s="41">
        <v>80</v>
      </c>
      <c r="G29" s="39">
        <f t="shared" si="9"/>
        <v>3</v>
      </c>
      <c r="H29" s="41">
        <v>80</v>
      </c>
      <c r="I29" s="39">
        <f t="shared" si="12"/>
        <v>4</v>
      </c>
      <c r="J29" s="39">
        <f t="shared" si="13"/>
        <v>314</v>
      </c>
      <c r="K29" s="39">
        <f t="shared" si="14"/>
        <v>78.5</v>
      </c>
      <c r="L29" s="39">
        <f t="shared" si="18"/>
        <v>3.75</v>
      </c>
      <c r="M29" s="148">
        <f t="shared" si="17"/>
        <v>24196</v>
      </c>
      <c r="N29" s="39">
        <f t="shared" si="16"/>
        <v>907.35</v>
      </c>
      <c r="O29" s="166">
        <f t="shared" si="10"/>
        <v>479.98815000000002</v>
      </c>
      <c r="P29" s="42">
        <f t="shared" si="11"/>
        <v>6547.0383660000007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44678</v>
      </c>
      <c r="B30" s="41">
        <v>71</v>
      </c>
      <c r="C30" s="39">
        <f t="shared" si="7"/>
        <v>1</v>
      </c>
      <c r="D30" s="41">
        <v>75</v>
      </c>
      <c r="E30" s="39">
        <f t="shared" si="8"/>
        <v>5</v>
      </c>
      <c r="F30" s="41">
        <v>77</v>
      </c>
      <c r="G30" s="39">
        <f t="shared" si="9"/>
        <v>5</v>
      </c>
      <c r="H30" s="41">
        <v>76</v>
      </c>
      <c r="I30" s="39">
        <f t="shared" si="12"/>
        <v>2</v>
      </c>
      <c r="J30" s="39">
        <f t="shared" si="13"/>
        <v>299</v>
      </c>
      <c r="K30" s="39">
        <f t="shared" si="14"/>
        <v>74.75</v>
      </c>
      <c r="L30" s="39">
        <f t="shared" si="18"/>
        <v>3.25</v>
      </c>
      <c r="M30" s="148">
        <f t="shared" si="17"/>
        <v>24196</v>
      </c>
      <c r="N30" s="39">
        <f t="shared" si="16"/>
        <v>786.37</v>
      </c>
      <c r="O30" s="166">
        <f t="shared" si="10"/>
        <v>415.98973000000001</v>
      </c>
      <c r="P30" s="42">
        <f t="shared" si="11"/>
        <v>5674.0999172000002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44679</v>
      </c>
      <c r="B31" s="41">
        <v>70</v>
      </c>
      <c r="C31" s="39">
        <f t="shared" si="7"/>
        <v>5</v>
      </c>
      <c r="D31" s="41">
        <v>70</v>
      </c>
      <c r="E31" s="39">
        <f t="shared" si="8"/>
        <v>4</v>
      </c>
      <c r="F31" s="41">
        <v>72</v>
      </c>
      <c r="G31" s="39">
        <f t="shared" si="9"/>
        <v>2</v>
      </c>
      <c r="H31" s="41">
        <v>74</v>
      </c>
      <c r="I31" s="39">
        <f t="shared" si="12"/>
        <v>4</v>
      </c>
      <c r="J31" s="39">
        <f t="shared" si="13"/>
        <v>286</v>
      </c>
      <c r="K31" s="39">
        <f t="shared" si="14"/>
        <v>71.5</v>
      </c>
      <c r="L31" s="39">
        <f t="shared" si="18"/>
        <v>3.75</v>
      </c>
      <c r="M31" s="148">
        <f t="shared" si="17"/>
        <v>24196</v>
      </c>
      <c r="N31" s="39">
        <f t="shared" si="16"/>
        <v>907.35</v>
      </c>
      <c r="O31" s="166">
        <f t="shared" si="10"/>
        <v>479.98815000000002</v>
      </c>
      <c r="P31" s="42">
        <f t="shared" si="11"/>
        <v>6547.0383660000007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44680</v>
      </c>
      <c r="B32" s="41">
        <v>65</v>
      </c>
      <c r="C32" s="39">
        <f t="shared" si="7"/>
        <v>3</v>
      </c>
      <c r="D32" s="41">
        <v>66</v>
      </c>
      <c r="E32" s="39">
        <f t="shared" si="8"/>
        <v>6</v>
      </c>
      <c r="F32" s="41">
        <v>70</v>
      </c>
      <c r="G32" s="39">
        <f t="shared" si="9"/>
        <v>6</v>
      </c>
      <c r="H32" s="41">
        <v>70</v>
      </c>
      <c r="I32" s="39">
        <f t="shared" si="12"/>
        <v>6</v>
      </c>
      <c r="J32" s="39">
        <f t="shared" si="13"/>
        <v>271</v>
      </c>
      <c r="K32" s="39">
        <f t="shared" si="14"/>
        <v>67.75</v>
      </c>
      <c r="L32" s="39">
        <f t="shared" si="18"/>
        <v>5.25</v>
      </c>
      <c r="M32" s="148">
        <f t="shared" si="17"/>
        <v>24196</v>
      </c>
      <c r="N32" s="39">
        <f t="shared" si="16"/>
        <v>1270.29</v>
      </c>
      <c r="O32" s="166">
        <f t="shared" si="10"/>
        <v>671.98341000000005</v>
      </c>
      <c r="P32" s="42">
        <f t="shared" si="11"/>
        <v>9165.8537124000013</v>
      </c>
      <c r="Q32" s="39">
        <v>1840</v>
      </c>
      <c r="R32" s="39">
        <v>62</v>
      </c>
      <c r="S32" s="39">
        <v>85</v>
      </c>
      <c r="T32" s="39">
        <v>1983</v>
      </c>
      <c r="U32" s="39">
        <v>60</v>
      </c>
      <c r="V32" s="39">
        <v>85</v>
      </c>
      <c r="W32" s="39">
        <v>1880</v>
      </c>
      <c r="X32" s="39">
        <v>64</v>
      </c>
      <c r="Y32" s="39">
        <v>85</v>
      </c>
      <c r="Z32" s="39">
        <v>1820</v>
      </c>
      <c r="AA32" s="39">
        <v>64</v>
      </c>
      <c r="AB32" s="39">
        <v>85</v>
      </c>
      <c r="AC32" s="39">
        <f>Q32+T32+W32+Z32</f>
        <v>7523</v>
      </c>
      <c r="AD32" s="38">
        <f t="shared" si="19"/>
        <v>62.5</v>
      </c>
      <c r="AE32" s="38">
        <f t="shared" si="24"/>
        <v>85</v>
      </c>
    </row>
    <row r="33" spans="1:31" ht="32.25" customHeight="1" x14ac:dyDescent="0.3">
      <c r="A33" s="40">
        <v>44681</v>
      </c>
      <c r="B33" s="41">
        <v>85</v>
      </c>
      <c r="C33" s="39">
        <f t="shared" si="7"/>
        <v>5</v>
      </c>
      <c r="D33" s="41">
        <v>85</v>
      </c>
      <c r="E33" s="39">
        <f t="shared" si="8"/>
        <v>0</v>
      </c>
      <c r="F33" s="41">
        <v>85</v>
      </c>
      <c r="G33" s="39">
        <f t="shared" si="9"/>
        <v>0</v>
      </c>
      <c r="H33" s="41">
        <v>85</v>
      </c>
      <c r="I33" s="39">
        <f t="shared" si="12"/>
        <v>0</v>
      </c>
      <c r="J33" s="39">
        <f t="shared" si="13"/>
        <v>340</v>
      </c>
      <c r="K33" s="39">
        <f t="shared" si="14"/>
        <v>85</v>
      </c>
      <c r="L33" s="39">
        <f t="shared" si="18"/>
        <v>1.25</v>
      </c>
      <c r="M33" s="148">
        <f t="shared" si="17"/>
        <v>24196</v>
      </c>
      <c r="N33" s="39">
        <f t="shared" si="16"/>
        <v>302.45</v>
      </c>
      <c r="O33" s="166">
        <f t="shared" si="10"/>
        <v>159.99605</v>
      </c>
      <c r="P33" s="42">
        <f t="shared" si="11"/>
        <v>2182.3461219999999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44682</v>
      </c>
      <c r="B34" s="41">
        <v>80</v>
      </c>
      <c r="C34" s="39">
        <f t="shared" si="7"/>
        <v>0</v>
      </c>
      <c r="D34" s="41">
        <v>85</v>
      </c>
      <c r="E34" s="39">
        <f t="shared" si="8"/>
        <v>0</v>
      </c>
      <c r="F34" s="41">
        <v>85</v>
      </c>
      <c r="G34" s="39">
        <f t="shared" si="9"/>
        <v>0</v>
      </c>
      <c r="H34" s="41">
        <v>85</v>
      </c>
      <c r="I34" s="39">
        <f t="shared" si="12"/>
        <v>0</v>
      </c>
      <c r="J34" s="39">
        <f>B34+D34+F34+H34</f>
        <v>335</v>
      </c>
      <c r="K34" s="39">
        <f>J34/4</f>
        <v>83.75</v>
      </c>
      <c r="L34" s="39">
        <f>IF(AC34&gt;0,((K34-AD34)+(AE34-K35)),IF(K35=0, ,(K34-K35)))</f>
        <v>0</v>
      </c>
      <c r="M34" s="148">
        <f t="shared" si="17"/>
        <v>24196</v>
      </c>
      <c r="N34" s="39">
        <f>L34*M34/100</f>
        <v>0</v>
      </c>
      <c r="O34" s="39">
        <f>N34*0.529</f>
        <v>0</v>
      </c>
      <c r="P34" s="42">
        <f t="shared" ref="P34:P36" si="25">O34*13.64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>
        <v>44683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2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8">
        <f t="shared" si="17"/>
        <v>24196</v>
      </c>
      <c r="N35" s="39">
        <f t="shared" si="16"/>
        <v>0</v>
      </c>
      <c r="O35" s="39">
        <f t="shared" ref="O35:O37" si="26">N35*0.529</f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7">IF(AC36&gt;0,((D36-U36)+(V36-D37)),IF(D37=0, ,(D36-D37)))</f>
        <v>0</v>
      </c>
      <c r="F36" s="41"/>
      <c r="G36" s="39">
        <f t="shared" ref="G36" si="28">IF(AC36&gt;0,((F36-X36)+(Y36-F37)),IF(F37=0, ,(F36-F37)))</f>
        <v>0</v>
      </c>
      <c r="H36" s="41"/>
      <c r="I36" s="39">
        <f t="shared" si="12"/>
        <v>0</v>
      </c>
      <c r="J36" s="39">
        <f t="shared" si="13"/>
        <v>0</v>
      </c>
      <c r="K36" s="39">
        <f t="shared" si="14"/>
        <v>0</v>
      </c>
      <c r="L36" s="39">
        <f t="shared" si="18"/>
        <v>0</v>
      </c>
      <c r="M36" s="148">
        <f t="shared" si="17"/>
        <v>24196</v>
      </c>
      <c r="N36" s="39">
        <f t="shared" si="16"/>
        <v>0</v>
      </c>
      <c r="O36" s="39">
        <f t="shared" si="2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9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30">IF(AC37&gt;0,((F37-X37)+(Y37-F38)),IF(F38=0, ,(F37-F38)))</f>
        <v>0</v>
      </c>
      <c r="H37" s="41"/>
      <c r="I37" s="39">
        <f t="shared" ref="I37:I42" si="31">IF(AC37&gt;0,((H37-AA37)+(AB37-H38)),IF(H38=0, ,(H37-H38)))</f>
        <v>0</v>
      </c>
      <c r="J37" s="39">
        <f t="shared" si="13"/>
        <v>0</v>
      </c>
      <c r="K37" s="39">
        <f t="shared" si="14"/>
        <v>0</v>
      </c>
      <c r="L37" s="39">
        <f t="shared" si="18"/>
        <v>0</v>
      </c>
      <c r="M37" s="148">
        <f t="shared" si="17"/>
        <v>24196</v>
      </c>
      <c r="N37" s="39">
        <f t="shared" si="16"/>
        <v>0</v>
      </c>
      <c r="O37" s="39">
        <f t="shared" si="26"/>
        <v>0</v>
      </c>
      <c r="P37" s="42">
        <f t="shared" ref="P37" si="32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9"/>
        <v>0</v>
      </c>
      <c r="D38" s="41"/>
      <c r="E38" s="39">
        <f>IF(AC38:AC61&gt;0,((D38-U38)+(V38-D39)),IF(D39=0, ,(D38-D39)))</f>
        <v>0</v>
      </c>
      <c r="F38" s="41"/>
      <c r="G38" s="39">
        <f t="shared" si="30"/>
        <v>0</v>
      </c>
      <c r="H38" s="41"/>
      <c r="I38" s="39">
        <f t="shared" si="31"/>
        <v>0</v>
      </c>
      <c r="J38" s="39">
        <f t="shared" si="13"/>
        <v>0</v>
      </c>
      <c r="K38" s="39">
        <f t="shared" si="14"/>
        <v>0</v>
      </c>
      <c r="L38" s="39">
        <f t="shared" si="18"/>
        <v>0</v>
      </c>
      <c r="M38" s="148">
        <f t="shared" si="17"/>
        <v>24196</v>
      </c>
      <c r="N38" s="39">
        <f t="shared" si="16"/>
        <v>0</v>
      </c>
      <c r="O38" s="39">
        <f>N38*0.53</f>
        <v>0</v>
      </c>
      <c r="P38" s="42">
        <f t="shared" ref="P38" si="33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9"/>
        <v>0</v>
      </c>
      <c r="D39" s="41"/>
      <c r="E39" s="39">
        <f>IF(AC39&gt;0,((D39-U39)+(V39-D40)),IF(D40=0, ,(D39-D40)))</f>
        <v>0</v>
      </c>
      <c r="F39" s="41"/>
      <c r="G39" s="39">
        <f t="shared" si="30"/>
        <v>0</v>
      </c>
      <c r="H39" s="41"/>
      <c r="I39" s="39">
        <f t="shared" si="31"/>
        <v>0</v>
      </c>
      <c r="J39" s="39">
        <f t="shared" si="13"/>
        <v>0</v>
      </c>
      <c r="K39" s="39">
        <f t="shared" si="14"/>
        <v>0</v>
      </c>
      <c r="L39" s="39">
        <f t="shared" si="18"/>
        <v>0</v>
      </c>
      <c r="M39" s="148">
        <f t="shared" si="17"/>
        <v>24196</v>
      </c>
      <c r="N39" s="39">
        <f t="shared" si="16"/>
        <v>0</v>
      </c>
      <c r="O39" s="39">
        <f>N39*0.53</f>
        <v>0</v>
      </c>
      <c r="P39" s="42">
        <f t="shared" ref="P39" si="34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9"/>
        <v>0</v>
      </c>
      <c r="D40" s="41"/>
      <c r="E40" s="39">
        <f>IF(AC40&gt;0,((D40-U40)+(V40-D41)),IF(D41=0, ,(D40-D41)))</f>
        <v>0</v>
      </c>
      <c r="F40" s="41"/>
      <c r="G40" s="39">
        <f t="shared" si="30"/>
        <v>0</v>
      </c>
      <c r="H40" s="41"/>
      <c r="I40" s="39">
        <f t="shared" si="31"/>
        <v>0</v>
      </c>
      <c r="J40" s="39">
        <f t="shared" si="13"/>
        <v>0</v>
      </c>
      <c r="K40" s="39">
        <f t="shared" si="14"/>
        <v>0</v>
      </c>
      <c r="L40" s="39">
        <f t="shared" si="18"/>
        <v>0</v>
      </c>
      <c r="M40" s="148">
        <f t="shared" si="17"/>
        <v>24196</v>
      </c>
      <c r="N40" s="39">
        <f t="shared" si="16"/>
        <v>0</v>
      </c>
      <c r="O40" s="39">
        <f>N40*0.53</f>
        <v>0</v>
      </c>
      <c r="P40" s="42">
        <f t="shared" ref="P40:P42" si="35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9"/>
        <v>0</v>
      </c>
      <c r="D41" s="41"/>
      <c r="E41" s="39">
        <f>IF(AC41&gt;0,((D41-U41)+(V41-D42)),IF(D42=0, ,(D41-D42)))</f>
        <v>0</v>
      </c>
      <c r="F41" s="41"/>
      <c r="G41" s="39">
        <f t="shared" si="30"/>
        <v>0</v>
      </c>
      <c r="H41" s="41"/>
      <c r="I41" s="39">
        <f t="shared" si="31"/>
        <v>0</v>
      </c>
      <c r="J41" s="39">
        <f t="shared" si="13"/>
        <v>0</v>
      </c>
      <c r="K41" s="39">
        <f t="shared" si="14"/>
        <v>0</v>
      </c>
      <c r="L41" s="39">
        <f t="shared" si="18"/>
        <v>0</v>
      </c>
      <c r="M41" s="148">
        <f t="shared" si="17"/>
        <v>24196</v>
      </c>
      <c r="N41" s="39">
        <f t="shared" si="16"/>
        <v>0</v>
      </c>
      <c r="O41" s="39">
        <f>N41*0.53</f>
        <v>0</v>
      </c>
      <c r="P41" s="42">
        <f t="shared" si="35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9"/>
        <v>0</v>
      </c>
      <c r="D42" s="41"/>
      <c r="E42" s="39">
        <f>IF(AC42&gt;0,((D42-U42)+(V42-D43)),IF(D43=0, ,(D42-D43)))</f>
        <v>0</v>
      </c>
      <c r="F42" s="41"/>
      <c r="G42" s="39">
        <f t="shared" si="30"/>
        <v>0</v>
      </c>
      <c r="H42" s="41"/>
      <c r="I42" s="39">
        <f t="shared" si="31"/>
        <v>0</v>
      </c>
      <c r="J42" s="39">
        <f t="shared" si="13"/>
        <v>0</v>
      </c>
      <c r="K42" s="39">
        <f t="shared" si="14"/>
        <v>0</v>
      </c>
      <c r="L42" s="39">
        <f t="shared" si="18"/>
        <v>0</v>
      </c>
      <c r="M42" s="148">
        <f t="shared" si="17"/>
        <v>24196</v>
      </c>
      <c r="N42" s="39">
        <f t="shared" si="16"/>
        <v>0</v>
      </c>
      <c r="O42" s="39">
        <f>N42*0.53</f>
        <v>0</v>
      </c>
      <c r="P42" s="42">
        <f t="shared" si="35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28732.750000000004</v>
      </c>
      <c r="O43" s="39">
        <f>N43*0.529</f>
        <v>15199.624750000003</v>
      </c>
      <c r="P43" s="42">
        <f>O43*13.64</f>
        <v>207322.88159000003</v>
      </c>
      <c r="Q43" s="298">
        <f>SUM(Q4:Q42)</f>
        <v>11716</v>
      </c>
      <c r="R43" s="299"/>
      <c r="S43" s="300"/>
      <c r="T43" s="301">
        <f>SUM(T4:T42)</f>
        <v>11497</v>
      </c>
      <c r="U43" s="299"/>
      <c r="V43" s="300"/>
      <c r="W43" s="301">
        <f>SUM(W4:W42)</f>
        <v>10620</v>
      </c>
      <c r="X43" s="299"/>
      <c r="Y43" s="300"/>
      <c r="Z43" s="301">
        <f>SUM(Z4:Z42)</f>
        <v>9964</v>
      </c>
      <c r="AA43" s="299"/>
      <c r="AB43" s="300"/>
      <c r="AC43" s="39">
        <f t="shared" si="20"/>
        <v>43797</v>
      </c>
    </row>
    <row r="44" spans="1:31" ht="35.25" customHeight="1" thickBot="1" x14ac:dyDescent="0.35">
      <c r="B44" s="307"/>
      <c r="C44" s="308"/>
      <c r="D44" s="308"/>
      <c r="E44" s="308"/>
      <c r="F44" s="308"/>
      <c r="G44" s="308"/>
      <c r="H44" s="308"/>
      <c r="I44" s="309"/>
      <c r="J44" s="37"/>
      <c r="K44" s="37"/>
      <c r="L44" s="37"/>
      <c r="M44" s="37"/>
      <c r="N44" s="37"/>
      <c r="O44" s="37"/>
      <c r="P44" s="37"/>
      <c r="Q44" s="310">
        <f>Q43+T43+W43+Z43</f>
        <v>43797</v>
      </c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2"/>
      <c r="AC44" s="39">
        <f>Q44+T44+W44+Z44</f>
        <v>43797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94" t="s">
        <v>85</v>
      </c>
      <c r="I47" s="295"/>
      <c r="J47" s="296"/>
      <c r="K47" s="45">
        <f>N43</f>
        <v>28732.750000000004</v>
      </c>
      <c r="L47" s="46">
        <f>O43</f>
        <v>15199.624750000003</v>
      </c>
      <c r="M47" s="46">
        <f>P43</f>
        <v>207322.88159000003</v>
      </c>
    </row>
    <row r="48" spans="1:31" ht="54.75" customHeight="1" thickBot="1" x14ac:dyDescent="0.35">
      <c r="H48" s="294" t="s">
        <v>86</v>
      </c>
      <c r="I48" s="295"/>
      <c r="J48" s="296"/>
      <c r="K48" s="43">
        <f>AC44</f>
        <v>43797</v>
      </c>
      <c r="L48" s="44">
        <f>K48*0.529</f>
        <v>23168.613000000001</v>
      </c>
      <c r="M48" s="44">
        <f>L48*13.64</f>
        <v>316019.88132000004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83"/>
      <c r="B1" s="285"/>
      <c r="C1" s="371" t="s">
        <v>87</v>
      </c>
      <c r="D1" s="372"/>
      <c r="E1" s="372"/>
      <c r="F1" s="372"/>
      <c r="G1" s="372"/>
      <c r="H1" s="377" t="s">
        <v>88</v>
      </c>
      <c r="I1" s="378"/>
      <c r="J1" s="379"/>
    </row>
    <row r="2" spans="1:10" ht="16.5" customHeight="1" thickBot="1" x14ac:dyDescent="0.25">
      <c r="A2" s="286"/>
      <c r="B2" s="288"/>
      <c r="C2" s="373"/>
      <c r="D2" s="374"/>
      <c r="E2" s="374"/>
      <c r="F2" s="374"/>
      <c r="G2" s="374"/>
      <c r="H2" s="380"/>
      <c r="I2" s="381"/>
      <c r="J2" s="382"/>
    </row>
    <row r="3" spans="1:10" ht="15" customHeight="1" x14ac:dyDescent="0.2">
      <c r="A3" s="286"/>
      <c r="B3" s="288"/>
      <c r="C3" s="373"/>
      <c r="D3" s="374"/>
      <c r="E3" s="374"/>
      <c r="F3" s="374"/>
      <c r="G3" s="374"/>
      <c r="H3" s="383" t="s">
        <v>89</v>
      </c>
      <c r="I3" s="384"/>
      <c r="J3" s="385"/>
    </row>
    <row r="4" spans="1:10" ht="15.75" customHeight="1" thickBot="1" x14ac:dyDescent="0.25">
      <c r="A4" s="289"/>
      <c r="B4" s="291"/>
      <c r="C4" s="375"/>
      <c r="D4" s="376"/>
      <c r="E4" s="376"/>
      <c r="F4" s="376"/>
      <c r="G4" s="376"/>
      <c r="H4" s="386"/>
      <c r="I4" s="387"/>
      <c r="J4" s="388"/>
    </row>
    <row r="6" spans="1:10" ht="33" customHeight="1" thickBot="1" x14ac:dyDescent="0.25"/>
    <row r="7" spans="1:10" ht="36.75" thickTop="1" x14ac:dyDescent="0.2">
      <c r="A7" s="389" t="s">
        <v>90</v>
      </c>
      <c r="B7" s="389"/>
      <c r="C7" s="390" t="s">
        <v>91</v>
      </c>
      <c r="D7" s="391"/>
      <c r="E7" s="61" t="s">
        <v>92</v>
      </c>
      <c r="F7" s="61" t="s">
        <v>93</v>
      </c>
      <c r="G7" s="61" t="s">
        <v>94</v>
      </c>
      <c r="H7" s="61" t="s">
        <v>95</v>
      </c>
      <c r="I7" s="392" t="s">
        <v>96</v>
      </c>
      <c r="J7" s="393"/>
    </row>
    <row r="8" spans="1:10" x14ac:dyDescent="0.2">
      <c r="A8" s="359">
        <v>95670781</v>
      </c>
      <c r="B8" s="359"/>
      <c r="C8" s="364">
        <v>44283</v>
      </c>
      <c r="D8" s="365"/>
      <c r="E8" s="113">
        <v>44679</v>
      </c>
      <c r="F8" s="162" t="s">
        <v>97</v>
      </c>
      <c r="G8" s="62"/>
      <c r="H8" s="62"/>
      <c r="I8" s="366"/>
      <c r="J8" s="367"/>
    </row>
    <row r="10" spans="1:10" ht="23.25" customHeight="1" thickBot="1" x14ac:dyDescent="0.25"/>
    <row r="11" spans="1:10" ht="24.75" customHeight="1" thickTop="1" x14ac:dyDescent="0.2">
      <c r="A11" s="343" t="s">
        <v>98</v>
      </c>
      <c r="B11" s="343"/>
      <c r="C11" s="368" t="s">
        <v>99</v>
      </c>
      <c r="D11" s="369"/>
      <c r="E11" s="343" t="s">
        <v>100</v>
      </c>
      <c r="F11" s="343"/>
      <c r="G11" s="368" t="s">
        <v>101</v>
      </c>
      <c r="H11" s="369"/>
      <c r="I11" s="370" t="s">
        <v>102</v>
      </c>
      <c r="J11" s="370"/>
    </row>
    <row r="12" spans="1:10" x14ac:dyDescent="0.2">
      <c r="A12" s="359" t="s">
        <v>103</v>
      </c>
      <c r="B12" s="359"/>
      <c r="C12" s="359">
        <v>3750</v>
      </c>
      <c r="D12" s="359"/>
      <c r="E12" s="359">
        <v>1000</v>
      </c>
      <c r="F12" s="359"/>
      <c r="G12" s="360">
        <v>793</v>
      </c>
      <c r="H12" s="360"/>
      <c r="I12" s="361"/>
      <c r="J12" s="361"/>
    </row>
    <row r="13" spans="1:10" x14ac:dyDescent="0.2">
      <c r="A13" s="362"/>
      <c r="B13" s="363"/>
      <c r="C13" s="363"/>
      <c r="D13" s="363"/>
      <c r="E13" s="363"/>
      <c r="F13" s="363"/>
      <c r="G13" s="363"/>
      <c r="H13" s="363"/>
      <c r="I13" s="363"/>
      <c r="J13" s="363"/>
    </row>
    <row r="15" spans="1:10" ht="13.5" thickBot="1" x14ac:dyDescent="0.25"/>
    <row r="16" spans="1:10" ht="26.25" thickTop="1" x14ac:dyDescent="0.2">
      <c r="A16" s="343" t="s">
        <v>104</v>
      </c>
      <c r="B16" s="343"/>
      <c r="C16" s="63" t="s">
        <v>105</v>
      </c>
      <c r="D16" s="64" t="s">
        <v>106</v>
      </c>
      <c r="E16" s="64" t="s">
        <v>48</v>
      </c>
      <c r="F16" s="64" t="s">
        <v>107</v>
      </c>
      <c r="G16" s="356" t="s">
        <v>108</v>
      </c>
      <c r="H16" s="356"/>
      <c r="I16" s="357" t="s">
        <v>109</v>
      </c>
      <c r="J16" s="358"/>
    </row>
    <row r="17" spans="1:10" x14ac:dyDescent="0.2">
      <c r="A17" s="348" t="s">
        <v>110</v>
      </c>
      <c r="B17" s="349"/>
      <c r="C17" s="66">
        <v>19830772</v>
      </c>
      <c r="D17" s="66">
        <v>19657009</v>
      </c>
      <c r="E17" s="67">
        <f>MIN(C17-D17)</f>
        <v>173763</v>
      </c>
      <c r="F17" s="67">
        <f>+E17</f>
        <v>173763</v>
      </c>
      <c r="G17" s="350"/>
      <c r="H17" s="351"/>
      <c r="I17" s="350">
        <f>+E17</f>
        <v>173763</v>
      </c>
      <c r="J17" s="351"/>
    </row>
    <row r="18" spans="1:10" x14ac:dyDescent="0.2">
      <c r="A18" s="348" t="s">
        <v>111</v>
      </c>
      <c r="B18" s="349"/>
      <c r="C18" s="66">
        <v>11704653</v>
      </c>
      <c r="D18" s="66">
        <v>11604171</v>
      </c>
      <c r="E18" s="67">
        <f>MIN(C18-D18)</f>
        <v>100482</v>
      </c>
      <c r="F18" s="67">
        <f>+E18</f>
        <v>100482</v>
      </c>
      <c r="G18" s="350"/>
      <c r="H18" s="351"/>
      <c r="I18" s="350">
        <f>+E18</f>
        <v>100482</v>
      </c>
      <c r="J18" s="351"/>
    </row>
    <row r="19" spans="1:10" x14ac:dyDescent="0.2">
      <c r="A19" s="348" t="s">
        <v>112</v>
      </c>
      <c r="B19" s="349"/>
      <c r="C19" s="66">
        <v>8719952</v>
      </c>
      <c r="D19" s="66">
        <v>8640652</v>
      </c>
      <c r="E19" s="67">
        <f>AVERAGE(C19-D19)</f>
        <v>79300</v>
      </c>
      <c r="F19" s="67">
        <f>+E19</f>
        <v>79300</v>
      </c>
      <c r="G19" s="350"/>
      <c r="H19" s="351"/>
      <c r="I19" s="350">
        <f>+E19</f>
        <v>79300</v>
      </c>
      <c r="J19" s="351"/>
    </row>
    <row r="20" spans="1:10" ht="15" x14ac:dyDescent="0.25">
      <c r="A20" s="352" t="s">
        <v>113</v>
      </c>
      <c r="B20" s="353"/>
      <c r="C20" s="68"/>
      <c r="D20" s="69"/>
      <c r="E20" s="68">
        <f>SUM(E17:E19)</f>
        <v>353545</v>
      </c>
      <c r="F20" s="70"/>
      <c r="G20" s="354"/>
      <c r="H20" s="355"/>
      <c r="I20" s="354"/>
      <c r="J20" s="355"/>
    </row>
    <row r="21" spans="1:10" x14ac:dyDescent="0.2">
      <c r="C21" s="110" t="s">
        <v>18</v>
      </c>
      <c r="D21" t="s">
        <v>114</v>
      </c>
      <c r="G21" s="335"/>
      <c r="H21" s="335"/>
    </row>
    <row r="22" spans="1:10" ht="13.5" thickBot="1" x14ac:dyDescent="0.25">
      <c r="G22" s="336"/>
      <c r="H22" s="336"/>
    </row>
    <row r="23" spans="1:10" ht="13.5" thickTop="1" x14ac:dyDescent="0.2">
      <c r="A23" s="337" t="s">
        <v>115</v>
      </c>
      <c r="B23" s="338"/>
      <c r="C23" s="339"/>
      <c r="D23" s="343" t="s">
        <v>116</v>
      </c>
      <c r="E23" s="343" t="s">
        <v>117</v>
      </c>
      <c r="F23" s="345" t="s">
        <v>118</v>
      </c>
      <c r="G23" s="347" t="s">
        <v>119</v>
      </c>
      <c r="H23" s="347"/>
      <c r="I23" s="331" t="s">
        <v>120</v>
      </c>
      <c r="J23" s="331"/>
    </row>
    <row r="24" spans="1:10" x14ac:dyDescent="0.2">
      <c r="A24" s="340"/>
      <c r="B24" s="341"/>
      <c r="C24" s="342"/>
      <c r="D24" s="344"/>
      <c r="E24" s="344"/>
      <c r="F24" s="346"/>
      <c r="G24" s="163" t="s">
        <v>121</v>
      </c>
      <c r="H24" s="71" t="s">
        <v>122</v>
      </c>
      <c r="I24" s="331"/>
      <c r="J24" s="331"/>
    </row>
    <row r="25" spans="1:10" ht="15" x14ac:dyDescent="0.25">
      <c r="A25" s="332" t="s">
        <v>123</v>
      </c>
      <c r="B25" s="333"/>
      <c r="C25" s="334"/>
      <c r="D25" s="67">
        <f>+E17</f>
        <v>173763</v>
      </c>
      <c r="E25" s="72">
        <v>0.95140000000000002</v>
      </c>
      <c r="F25" s="73">
        <f>PRODUCT(D25*E25)</f>
        <v>165318.1182</v>
      </c>
      <c r="G25" s="150">
        <v>14</v>
      </c>
      <c r="H25" s="65">
        <f>PRODUCT(0.14,F25)</f>
        <v>23144.536548</v>
      </c>
      <c r="I25" s="316">
        <f>SUM(H25,F25)</f>
        <v>188462.654748</v>
      </c>
      <c r="J25" s="317"/>
    </row>
    <row r="26" spans="1:10" ht="15" x14ac:dyDescent="0.25">
      <c r="A26" s="313" t="s">
        <v>124</v>
      </c>
      <c r="B26" s="314"/>
      <c r="C26" s="315"/>
      <c r="D26" s="67">
        <f>+E18</f>
        <v>100482</v>
      </c>
      <c r="E26" s="74">
        <v>0.69850000000000001</v>
      </c>
      <c r="F26" s="73">
        <f>PRODUCT(D26*E26)</f>
        <v>70186.676999999996</v>
      </c>
      <c r="G26">
        <v>14</v>
      </c>
      <c r="H26" s="67">
        <f>PRODUCT(0.14,F26)</f>
        <v>9826.1347800000003</v>
      </c>
      <c r="I26" s="316">
        <f t="shared" ref="I26:I31" si="0">SUM(H26,F26)</f>
        <v>80012.811779999989</v>
      </c>
      <c r="J26" s="317"/>
    </row>
    <row r="27" spans="1:10" ht="15" x14ac:dyDescent="0.25">
      <c r="A27" s="313" t="s">
        <v>125</v>
      </c>
      <c r="B27" s="314"/>
      <c r="C27" s="315"/>
      <c r="D27" s="67">
        <f>+E19</f>
        <v>79300</v>
      </c>
      <c r="E27" s="74">
        <v>1.3304</v>
      </c>
      <c r="F27" s="73">
        <f>PRODUCT(D27*E27)</f>
        <v>105500.72</v>
      </c>
      <c r="G27">
        <v>14</v>
      </c>
      <c r="H27" s="67">
        <f>PRODUCT(0.14,F27)</f>
        <v>14770.100800000002</v>
      </c>
      <c r="I27" s="316">
        <f>SUM(H27,F27)</f>
        <v>120270.8208</v>
      </c>
      <c r="J27" s="317"/>
    </row>
    <row r="28" spans="1:10" ht="15" x14ac:dyDescent="0.25">
      <c r="A28" s="313" t="s">
        <v>126</v>
      </c>
      <c r="B28" s="314"/>
      <c r="C28" s="31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16">
        <f t="shared" si="0"/>
        <v>50025.103799999997</v>
      </c>
      <c r="J28" s="317"/>
    </row>
    <row r="29" spans="1:10" ht="15" x14ac:dyDescent="0.25">
      <c r="A29" s="326" t="s">
        <v>127</v>
      </c>
      <c r="B29" s="327"/>
      <c r="C29" s="328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29">
        <f t="shared" si="0"/>
        <v>0</v>
      </c>
      <c r="J29" s="330"/>
    </row>
    <row r="30" spans="1:10" ht="15" x14ac:dyDescent="0.25">
      <c r="A30" s="313" t="s">
        <v>128</v>
      </c>
      <c r="B30" s="314"/>
      <c r="C30" s="31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16">
        <f>SUM(H30,F30)</f>
        <v>1009.2</v>
      </c>
      <c r="J30" s="317"/>
    </row>
    <row r="31" spans="1:10" ht="15.75" thickBot="1" x14ac:dyDescent="0.3">
      <c r="A31" s="318" t="s">
        <v>129</v>
      </c>
      <c r="B31" s="319"/>
      <c r="C31" s="32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16">
        <f t="shared" si="0"/>
        <v>1596.44</v>
      </c>
      <c r="J31" s="317"/>
    </row>
    <row r="32" spans="1:10" ht="21" x14ac:dyDescent="0.2">
      <c r="A32" s="321" t="s">
        <v>130</v>
      </c>
      <c r="B32" s="322"/>
      <c r="C32" s="322"/>
      <c r="D32" s="322"/>
      <c r="E32" s="322"/>
      <c r="F32" s="84">
        <f>SUM(F25:F31)</f>
        <v>387220.18520000001</v>
      </c>
      <c r="G32" s="85"/>
      <c r="H32" s="86"/>
      <c r="I32" s="325">
        <f>SUM(I25:J31)</f>
        <v>441377.03112799994</v>
      </c>
      <c r="J32" s="325"/>
    </row>
    <row r="33" spans="1:10" ht="21.75" thickBot="1" x14ac:dyDescent="0.25">
      <c r="A33" s="323"/>
      <c r="B33" s="324"/>
      <c r="C33" s="324"/>
      <c r="D33" s="324"/>
      <c r="E33" s="324"/>
      <c r="F33" s="87"/>
      <c r="G33" s="88"/>
      <c r="H33" s="89"/>
      <c r="I33" s="325"/>
      <c r="J33" s="32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1" workbookViewId="0">
      <selection activeCell="H1" sqref="H1:J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83"/>
      <c r="B1" s="285"/>
      <c r="C1" s="371" t="s">
        <v>87</v>
      </c>
      <c r="D1" s="372"/>
      <c r="E1" s="372"/>
      <c r="F1" s="372"/>
      <c r="G1" s="372"/>
      <c r="H1" s="377" t="s">
        <v>88</v>
      </c>
      <c r="I1" s="378"/>
      <c r="J1" s="379"/>
    </row>
    <row r="2" spans="1:10" ht="16.5" customHeight="1" thickBot="1" x14ac:dyDescent="0.25">
      <c r="A2" s="286"/>
      <c r="B2" s="288"/>
      <c r="C2" s="373"/>
      <c r="D2" s="374"/>
      <c r="E2" s="374"/>
      <c r="F2" s="374"/>
      <c r="G2" s="374"/>
      <c r="H2" s="380"/>
      <c r="I2" s="381"/>
      <c r="J2" s="382"/>
    </row>
    <row r="3" spans="1:10" ht="15" customHeight="1" x14ac:dyDescent="0.2">
      <c r="A3" s="286"/>
      <c r="B3" s="288"/>
      <c r="C3" s="373"/>
      <c r="D3" s="374"/>
      <c r="E3" s="374"/>
      <c r="F3" s="374"/>
      <c r="G3" s="374"/>
      <c r="H3" s="383" t="s">
        <v>89</v>
      </c>
      <c r="I3" s="384"/>
      <c r="J3" s="385"/>
    </row>
    <row r="4" spans="1:10" ht="15.75" customHeight="1" thickBot="1" x14ac:dyDescent="0.25">
      <c r="A4" s="289"/>
      <c r="B4" s="291"/>
      <c r="C4" s="375"/>
      <c r="D4" s="376"/>
      <c r="E4" s="376"/>
      <c r="F4" s="376"/>
      <c r="G4" s="376"/>
      <c r="H4" s="386"/>
      <c r="I4" s="387"/>
      <c r="J4" s="388"/>
    </row>
    <row r="6" spans="1:10" ht="33" customHeight="1" thickBot="1" x14ac:dyDescent="0.25"/>
    <row r="7" spans="1:10" ht="36.75" thickTop="1" x14ac:dyDescent="0.2">
      <c r="A7" s="389" t="s">
        <v>90</v>
      </c>
      <c r="B7" s="389"/>
      <c r="C7" s="390" t="s">
        <v>91</v>
      </c>
      <c r="D7" s="391"/>
      <c r="E7" s="61" t="s">
        <v>92</v>
      </c>
      <c r="F7" s="61" t="s">
        <v>93</v>
      </c>
      <c r="G7" s="61" t="s">
        <v>94</v>
      </c>
      <c r="H7" s="61" t="s">
        <v>95</v>
      </c>
      <c r="I7" s="392" t="s">
        <v>96</v>
      </c>
      <c r="J7" s="393"/>
    </row>
    <row r="8" spans="1:10" x14ac:dyDescent="0.2">
      <c r="A8" s="359">
        <v>95670781</v>
      </c>
      <c r="B8" s="359"/>
      <c r="C8" s="364">
        <v>44655</v>
      </c>
      <c r="D8" s="365"/>
      <c r="E8" s="113">
        <v>44685</v>
      </c>
      <c r="F8" s="162" t="s">
        <v>131</v>
      </c>
      <c r="G8" s="62"/>
      <c r="H8" s="62"/>
      <c r="I8" s="366"/>
      <c r="J8" s="367"/>
    </row>
    <row r="10" spans="1:10" ht="23.25" customHeight="1" thickBot="1" x14ac:dyDescent="0.25"/>
    <row r="11" spans="1:10" ht="24.75" customHeight="1" thickTop="1" x14ac:dyDescent="0.2">
      <c r="A11" s="343" t="s">
        <v>98</v>
      </c>
      <c r="B11" s="343"/>
      <c r="C11" s="368" t="s">
        <v>99</v>
      </c>
      <c r="D11" s="369"/>
      <c r="E11" s="343" t="s">
        <v>100</v>
      </c>
      <c r="F11" s="343"/>
      <c r="G11" s="368" t="s">
        <v>101</v>
      </c>
      <c r="H11" s="369"/>
      <c r="I11" s="370" t="s">
        <v>102</v>
      </c>
      <c r="J11" s="370"/>
    </row>
    <row r="12" spans="1:10" x14ac:dyDescent="0.2">
      <c r="A12" s="359" t="s">
        <v>103</v>
      </c>
      <c r="B12" s="359"/>
      <c r="C12" s="359">
        <v>3750</v>
      </c>
      <c r="D12" s="359"/>
      <c r="E12" s="359">
        <v>1000</v>
      </c>
      <c r="F12" s="359"/>
      <c r="G12" s="360">
        <v>793</v>
      </c>
      <c r="H12" s="360"/>
      <c r="I12" s="361"/>
      <c r="J12" s="361"/>
    </row>
    <row r="13" spans="1:10" x14ac:dyDescent="0.2">
      <c r="A13" s="362"/>
      <c r="B13" s="363"/>
      <c r="C13" s="363"/>
      <c r="D13" s="363"/>
      <c r="E13" s="363"/>
      <c r="F13" s="363"/>
      <c r="G13" s="363"/>
      <c r="H13" s="363"/>
      <c r="I13" s="363"/>
      <c r="J13" s="363"/>
    </row>
    <row r="15" spans="1:10" ht="13.5" thickBot="1" x14ac:dyDescent="0.25"/>
    <row r="16" spans="1:10" ht="26.25" thickTop="1" x14ac:dyDescent="0.2">
      <c r="A16" s="343" t="s">
        <v>104</v>
      </c>
      <c r="B16" s="343"/>
      <c r="C16" s="63" t="s">
        <v>105</v>
      </c>
      <c r="D16" s="64" t="s">
        <v>106</v>
      </c>
      <c r="E16" s="64" t="s">
        <v>48</v>
      </c>
      <c r="F16" s="64" t="s">
        <v>107</v>
      </c>
      <c r="G16" s="356" t="s">
        <v>108</v>
      </c>
      <c r="H16" s="356"/>
      <c r="I16" s="357" t="s">
        <v>109</v>
      </c>
      <c r="J16" s="358"/>
    </row>
    <row r="17" spans="1:10" x14ac:dyDescent="0.2">
      <c r="A17" s="348" t="s">
        <v>110</v>
      </c>
      <c r="B17" s="349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50"/>
      <c r="H17" s="351"/>
      <c r="I17" s="350">
        <f>+E17</f>
        <v>6887</v>
      </c>
      <c r="J17" s="351"/>
    </row>
    <row r="18" spans="1:10" x14ac:dyDescent="0.2">
      <c r="A18" s="348" t="s">
        <v>111</v>
      </c>
      <c r="B18" s="349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50"/>
      <c r="H18" s="351"/>
      <c r="I18" s="350">
        <f>+E18</f>
        <v>3799</v>
      </c>
      <c r="J18" s="351"/>
    </row>
    <row r="19" spans="1:10" x14ac:dyDescent="0.2">
      <c r="A19" s="348" t="s">
        <v>112</v>
      </c>
      <c r="B19" s="349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50"/>
      <c r="H19" s="351"/>
      <c r="I19" s="350">
        <f>+E19</f>
        <v>3073</v>
      </c>
      <c r="J19" s="351"/>
    </row>
    <row r="20" spans="1:10" ht="15" x14ac:dyDescent="0.25">
      <c r="A20" s="352" t="s">
        <v>113</v>
      </c>
      <c r="B20" s="353"/>
      <c r="C20" s="68"/>
      <c r="D20" s="69"/>
      <c r="E20" s="68">
        <f>SUM(E17:E19)</f>
        <v>13759</v>
      </c>
      <c r="F20" s="70"/>
      <c r="G20" s="354"/>
      <c r="H20" s="355"/>
      <c r="I20" s="354"/>
      <c r="J20" s="355"/>
    </row>
    <row r="21" spans="1:10" x14ac:dyDescent="0.2">
      <c r="C21" s="110" t="s">
        <v>18</v>
      </c>
      <c r="D21" t="s">
        <v>114</v>
      </c>
      <c r="G21" s="335"/>
      <c r="H21" s="335"/>
    </row>
    <row r="22" spans="1:10" ht="13.5" thickBot="1" x14ac:dyDescent="0.25">
      <c r="G22" s="336"/>
      <c r="H22" s="336"/>
    </row>
    <row r="23" spans="1:10" ht="13.5" thickTop="1" x14ac:dyDescent="0.2">
      <c r="A23" s="337" t="s">
        <v>115</v>
      </c>
      <c r="B23" s="338"/>
      <c r="C23" s="339"/>
      <c r="D23" s="343" t="s">
        <v>116</v>
      </c>
      <c r="E23" s="343" t="s">
        <v>117</v>
      </c>
      <c r="F23" s="345" t="s">
        <v>118</v>
      </c>
      <c r="G23" s="347" t="s">
        <v>119</v>
      </c>
      <c r="H23" s="347"/>
      <c r="I23" s="331" t="s">
        <v>120</v>
      </c>
      <c r="J23" s="331"/>
    </row>
    <row r="24" spans="1:10" x14ac:dyDescent="0.2">
      <c r="A24" s="340"/>
      <c r="B24" s="341"/>
      <c r="C24" s="342"/>
      <c r="D24" s="344"/>
      <c r="E24" s="344"/>
      <c r="F24" s="346"/>
      <c r="G24" s="163" t="s">
        <v>121</v>
      </c>
      <c r="H24" s="71" t="s">
        <v>122</v>
      </c>
      <c r="I24" s="331"/>
      <c r="J24" s="331"/>
    </row>
    <row r="25" spans="1:10" ht="15" x14ac:dyDescent="0.25">
      <c r="A25" s="332" t="s">
        <v>123</v>
      </c>
      <c r="B25" s="333"/>
      <c r="C25" s="334"/>
      <c r="D25" s="67">
        <f>+E17</f>
        <v>6887</v>
      </c>
      <c r="E25" s="72">
        <v>0.95140000000000002</v>
      </c>
      <c r="F25" s="73">
        <f>PRODUCT(D25*E25)</f>
        <v>6552.2918</v>
      </c>
      <c r="G25" s="150">
        <v>14</v>
      </c>
      <c r="H25" s="65">
        <f>PRODUCT(0.14,F25)</f>
        <v>917.32085200000006</v>
      </c>
      <c r="I25" s="316">
        <f>SUM(H25,F25)</f>
        <v>7469.6126519999998</v>
      </c>
      <c r="J25" s="317"/>
    </row>
    <row r="26" spans="1:10" ht="15" x14ac:dyDescent="0.25">
      <c r="A26" s="313" t="s">
        <v>124</v>
      </c>
      <c r="B26" s="314"/>
      <c r="C26" s="315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16">
        <f t="shared" ref="I26:I31" si="0">SUM(H26,F26)</f>
        <v>3025.1057100000003</v>
      </c>
      <c r="J26" s="317"/>
    </row>
    <row r="27" spans="1:10" ht="15" x14ac:dyDescent="0.25">
      <c r="A27" s="313" t="s">
        <v>125</v>
      </c>
      <c r="B27" s="314"/>
      <c r="C27" s="315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16">
        <f>SUM(H27,F27)</f>
        <v>4660.6838879999996</v>
      </c>
      <c r="J27" s="317"/>
    </row>
    <row r="28" spans="1:10" ht="15" x14ac:dyDescent="0.25">
      <c r="A28" s="313" t="s">
        <v>126</v>
      </c>
      <c r="B28" s="314"/>
      <c r="C28" s="31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16">
        <f t="shared" si="0"/>
        <v>50025.103799999997</v>
      </c>
      <c r="J28" s="317"/>
    </row>
    <row r="29" spans="1:10" ht="15" x14ac:dyDescent="0.25">
      <c r="A29" s="326" t="s">
        <v>127</v>
      </c>
      <c r="B29" s="327"/>
      <c r="C29" s="32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29">
        <f t="shared" si="0"/>
        <v>0</v>
      </c>
      <c r="J29" s="330"/>
    </row>
    <row r="30" spans="1:10" ht="15" x14ac:dyDescent="0.25">
      <c r="A30" s="313" t="s">
        <v>128</v>
      </c>
      <c r="B30" s="314"/>
      <c r="C30" s="31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16">
        <f>SUM(H30,F30)</f>
        <v>1009.2</v>
      </c>
      <c r="J30" s="317"/>
    </row>
    <row r="31" spans="1:10" ht="15.75" thickBot="1" x14ac:dyDescent="0.3">
      <c r="A31" s="318" t="s">
        <v>129</v>
      </c>
      <c r="B31" s="319"/>
      <c r="C31" s="32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16">
        <f t="shared" si="0"/>
        <v>1596.44</v>
      </c>
      <c r="J31" s="317"/>
    </row>
    <row r="32" spans="1:10" ht="21" x14ac:dyDescent="0.2">
      <c r="A32" s="321" t="s">
        <v>130</v>
      </c>
      <c r="B32" s="322"/>
      <c r="C32" s="322"/>
      <c r="D32" s="322"/>
      <c r="E32" s="322"/>
      <c r="F32" s="84">
        <f>SUM(F25:F31)</f>
        <v>59508.8825</v>
      </c>
      <c r="G32" s="85"/>
      <c r="H32" s="86"/>
      <c r="I32" s="325">
        <f>SUM(I25:J31)</f>
        <v>67786.146049999996</v>
      </c>
      <c r="J32" s="325"/>
    </row>
    <row r="33" spans="1:10" ht="21.75" thickBot="1" x14ac:dyDescent="0.25">
      <c r="A33" s="323"/>
      <c r="B33" s="324"/>
      <c r="C33" s="324"/>
      <c r="D33" s="324"/>
      <c r="E33" s="324"/>
      <c r="F33" s="87"/>
      <c r="G33" s="88"/>
      <c r="H33" s="89"/>
      <c r="I33" s="325"/>
      <c r="J33" s="32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17"/>
      <c r="B1" s="371" t="s">
        <v>132</v>
      </c>
      <c r="C1" s="372"/>
      <c r="D1" s="372"/>
      <c r="E1" s="372"/>
      <c r="F1" s="420" t="s">
        <v>88</v>
      </c>
      <c r="G1" s="421"/>
      <c r="H1" s="422"/>
    </row>
    <row r="2" spans="1:8" ht="15.75" customHeight="1" thickBot="1" x14ac:dyDescent="0.25">
      <c r="A2" s="418"/>
      <c r="B2" s="373"/>
      <c r="C2" s="374"/>
      <c r="D2" s="374"/>
      <c r="E2" s="374"/>
      <c r="F2" s="423"/>
      <c r="G2" s="424"/>
      <c r="H2" s="425"/>
    </row>
    <row r="3" spans="1:8" ht="15" customHeight="1" x14ac:dyDescent="0.2">
      <c r="A3" s="418"/>
      <c r="B3" s="373"/>
      <c r="C3" s="374"/>
      <c r="D3" s="374"/>
      <c r="E3" s="374"/>
      <c r="F3" s="420" t="s">
        <v>89</v>
      </c>
      <c r="G3" s="421"/>
      <c r="H3" s="422"/>
    </row>
    <row r="4" spans="1:8" ht="15.75" customHeight="1" thickBot="1" x14ac:dyDescent="0.25">
      <c r="A4" s="419"/>
      <c r="B4" s="375"/>
      <c r="C4" s="376"/>
      <c r="D4" s="376"/>
      <c r="E4" s="376"/>
      <c r="F4" s="426"/>
      <c r="G4" s="427"/>
      <c r="H4" s="428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4"/>
      <c r="B8" s="95" t="s">
        <v>137</v>
      </c>
      <c r="C8" s="96">
        <v>140352</v>
      </c>
      <c r="D8" s="97">
        <v>44652</v>
      </c>
      <c r="E8" s="96">
        <v>143745</v>
      </c>
      <c r="F8" s="97">
        <v>44682</v>
      </c>
      <c r="G8" s="98">
        <f>E8-C8</f>
        <v>3393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29" t="s">
        <v>116</v>
      </c>
      <c r="C10" s="430"/>
      <c r="D10" s="431" t="s">
        <v>138</v>
      </c>
      <c r="E10" s="431"/>
      <c r="F10" s="429" t="s">
        <v>139</v>
      </c>
      <c r="G10" s="432"/>
      <c r="H10" s="430"/>
    </row>
    <row r="11" spans="1:8" ht="15" x14ac:dyDescent="0.25">
      <c r="A11" s="102" t="s">
        <v>140</v>
      </c>
      <c r="B11" s="409"/>
      <c r="C11" s="409"/>
      <c r="D11" s="409"/>
      <c r="E11" s="409"/>
      <c r="F11" s="409">
        <v>23</v>
      </c>
      <c r="G11" s="409"/>
      <c r="H11" s="409"/>
    </row>
    <row r="12" spans="1:8" ht="21" x14ac:dyDescent="0.35">
      <c r="A12" s="415" t="s">
        <v>141</v>
      </c>
      <c r="B12" s="415"/>
      <c r="C12" s="415"/>
      <c r="D12" s="415"/>
      <c r="E12" s="415"/>
      <c r="F12" s="415"/>
      <c r="G12" s="415"/>
      <c r="H12" s="415"/>
    </row>
    <row r="13" spans="1:8" ht="15" x14ac:dyDescent="0.25">
      <c r="A13" s="102" t="s">
        <v>142</v>
      </c>
      <c r="B13" s="409">
        <f>G8</f>
        <v>3393</v>
      </c>
      <c r="C13" s="409"/>
      <c r="D13" s="409">
        <v>8.7899999999999991</v>
      </c>
      <c r="E13" s="409"/>
      <c r="F13" s="416">
        <f>PRODUCT(D13,B13)</f>
        <v>29824.469999999998</v>
      </c>
      <c r="G13" s="416"/>
      <c r="H13" s="416"/>
    </row>
    <row r="14" spans="1:8" ht="45" customHeight="1" x14ac:dyDescent="0.2">
      <c r="A14" s="413" t="s">
        <v>143</v>
      </c>
      <c r="B14" s="413"/>
      <c r="C14" s="413"/>
      <c r="D14" s="413"/>
      <c r="E14" s="413"/>
      <c r="F14" s="413"/>
      <c r="G14" s="413"/>
      <c r="H14" s="413"/>
    </row>
    <row r="15" spans="1:8" x14ac:dyDescent="0.2">
      <c r="A15" s="414"/>
      <c r="B15" s="414"/>
      <c r="C15" s="414"/>
      <c r="D15" s="414"/>
      <c r="E15" s="414"/>
      <c r="F15" s="414"/>
      <c r="G15" s="414"/>
      <c r="H15" s="414"/>
    </row>
    <row r="16" spans="1:8" ht="15" x14ac:dyDescent="0.25">
      <c r="A16" s="103" t="s">
        <v>144</v>
      </c>
      <c r="B16" s="409">
        <v>0</v>
      </c>
      <c r="C16" s="409"/>
      <c r="D16" s="409">
        <v>0</v>
      </c>
      <c r="E16" s="409"/>
      <c r="F16" s="409">
        <f>PRODUCT(D16,B16)</f>
        <v>0</v>
      </c>
      <c r="G16" s="409"/>
      <c r="H16" s="409"/>
    </row>
    <row r="17" spans="1:8" ht="15" x14ac:dyDescent="0.25">
      <c r="A17" s="103" t="s">
        <v>145</v>
      </c>
      <c r="B17" s="409">
        <v>0</v>
      </c>
      <c r="C17" s="409"/>
      <c r="D17" s="409">
        <v>0</v>
      </c>
      <c r="E17" s="409"/>
      <c r="F17" s="409">
        <f>PRODUCT(D17,B17)</f>
        <v>0</v>
      </c>
      <c r="G17" s="409"/>
      <c r="H17" s="409"/>
    </row>
    <row r="18" spans="1:8" ht="15" x14ac:dyDescent="0.25">
      <c r="A18" s="103" t="s">
        <v>146</v>
      </c>
      <c r="B18" s="409">
        <v>0</v>
      </c>
      <c r="C18" s="409"/>
      <c r="D18" s="409">
        <v>0</v>
      </c>
      <c r="E18" s="409"/>
      <c r="F18" s="409">
        <f>PRODUCT(D18,B18)</f>
        <v>0</v>
      </c>
      <c r="G18" s="409"/>
      <c r="H18" s="409"/>
    </row>
    <row r="19" spans="1:8" ht="15" x14ac:dyDescent="0.25">
      <c r="A19" s="103" t="s">
        <v>147</v>
      </c>
      <c r="B19" s="409">
        <f>G8</f>
        <v>3393</v>
      </c>
      <c r="C19" s="409"/>
      <c r="D19" s="409">
        <v>2.61</v>
      </c>
      <c r="E19" s="409"/>
      <c r="F19" s="409">
        <f>PRODUCT(D19,B19)</f>
        <v>8855.73</v>
      </c>
      <c r="G19" s="409"/>
      <c r="H19" s="409"/>
    </row>
    <row r="20" spans="1:8" ht="18.75" x14ac:dyDescent="0.3">
      <c r="A20" s="405" t="s">
        <v>148</v>
      </c>
      <c r="B20" s="406"/>
      <c r="C20" s="406"/>
      <c r="D20" s="406"/>
      <c r="E20" s="407"/>
      <c r="F20" s="408">
        <f>SUM(F11+F13+F16+F17+F18+F19)</f>
        <v>38703.199999999997</v>
      </c>
      <c r="G20" s="408"/>
      <c r="H20" s="408"/>
    </row>
    <row r="21" spans="1:8" ht="15" x14ac:dyDescent="0.25">
      <c r="A21" s="394" t="s">
        <v>149</v>
      </c>
      <c r="B21" s="395"/>
      <c r="C21" s="395"/>
      <c r="D21" s="395"/>
      <c r="E21" s="396"/>
      <c r="F21" s="409">
        <f>PRODUCT(F20,0.07)</f>
        <v>2709.2240000000002</v>
      </c>
      <c r="G21" s="409"/>
      <c r="H21" s="409"/>
    </row>
    <row r="22" spans="1:8" ht="15" x14ac:dyDescent="0.25">
      <c r="A22" s="410" t="s">
        <v>150</v>
      </c>
      <c r="B22" s="411"/>
      <c r="C22" s="411"/>
      <c r="D22" s="411"/>
      <c r="E22" s="412"/>
      <c r="F22" s="409">
        <v>208.26</v>
      </c>
      <c r="G22" s="409"/>
      <c r="H22" s="409"/>
    </row>
    <row r="23" spans="1:8" ht="15.75" x14ac:dyDescent="0.25">
      <c r="A23" s="394" t="s">
        <v>151</v>
      </c>
      <c r="B23" s="395"/>
      <c r="C23" s="395"/>
      <c r="D23" s="395"/>
      <c r="E23" s="396"/>
      <c r="F23" s="397">
        <f>SUM(F21:H22)</f>
        <v>2917.4840000000004</v>
      </c>
      <c r="G23" s="397"/>
      <c r="H23" s="397"/>
    </row>
    <row r="24" spans="1:8" x14ac:dyDescent="0.2">
      <c r="A24" s="398" t="s">
        <v>152</v>
      </c>
      <c r="B24" s="399"/>
      <c r="C24" s="399"/>
      <c r="D24" s="399"/>
      <c r="E24" s="400"/>
      <c r="F24" s="404">
        <f>SUM(F20,F23)</f>
        <v>41620.683999999994</v>
      </c>
      <c r="G24" s="404"/>
      <c r="H24" s="404"/>
    </row>
    <row r="25" spans="1:8" x14ac:dyDescent="0.2">
      <c r="A25" s="401"/>
      <c r="B25" s="402"/>
      <c r="C25" s="402"/>
      <c r="D25" s="402"/>
      <c r="E25" s="403"/>
      <c r="F25" s="404"/>
      <c r="G25" s="404"/>
      <c r="H25" s="404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1" sqref="F1:H2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17"/>
      <c r="B1" s="371" t="s">
        <v>132</v>
      </c>
      <c r="C1" s="372"/>
      <c r="D1" s="372"/>
      <c r="E1" s="372"/>
      <c r="F1" s="420" t="s">
        <v>88</v>
      </c>
      <c r="G1" s="421"/>
      <c r="H1" s="422"/>
    </row>
    <row r="2" spans="1:8" ht="15.75" customHeight="1" thickBot="1" x14ac:dyDescent="0.25">
      <c r="A2" s="418"/>
      <c r="B2" s="373"/>
      <c r="C2" s="374"/>
      <c r="D2" s="374"/>
      <c r="E2" s="374"/>
      <c r="F2" s="423"/>
      <c r="G2" s="424"/>
      <c r="H2" s="425"/>
    </row>
    <row r="3" spans="1:8" ht="15" customHeight="1" x14ac:dyDescent="0.2">
      <c r="A3" s="418"/>
      <c r="B3" s="373"/>
      <c r="C3" s="374"/>
      <c r="D3" s="374"/>
      <c r="E3" s="374"/>
      <c r="F3" s="420" t="s">
        <v>89</v>
      </c>
      <c r="G3" s="421"/>
      <c r="H3" s="422"/>
    </row>
    <row r="4" spans="1:8" ht="15.75" customHeight="1" thickBot="1" x14ac:dyDescent="0.25">
      <c r="A4" s="419"/>
      <c r="B4" s="375"/>
      <c r="C4" s="376"/>
      <c r="D4" s="376"/>
      <c r="E4" s="376"/>
      <c r="F4" s="426"/>
      <c r="G4" s="427"/>
      <c r="H4" s="428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4"/>
      <c r="B8" s="95" t="s">
        <v>137</v>
      </c>
      <c r="C8" s="96">
        <v>127985.9</v>
      </c>
      <c r="D8" s="97">
        <v>44655</v>
      </c>
      <c r="E8" s="96">
        <v>128105.7</v>
      </c>
      <c r="F8" s="97">
        <v>44686</v>
      </c>
      <c r="G8" s="98">
        <f>E8-C8</f>
        <v>119.80000000000291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29" t="s">
        <v>116</v>
      </c>
      <c r="C10" s="430"/>
      <c r="D10" s="431" t="s">
        <v>138</v>
      </c>
      <c r="E10" s="431"/>
      <c r="F10" s="429" t="s">
        <v>139</v>
      </c>
      <c r="G10" s="432"/>
      <c r="H10" s="430"/>
    </row>
    <row r="11" spans="1:8" ht="15" x14ac:dyDescent="0.25">
      <c r="A11" s="102" t="s">
        <v>140</v>
      </c>
      <c r="B11" s="409"/>
      <c r="C11" s="409"/>
      <c r="D11" s="409"/>
      <c r="E11" s="409"/>
      <c r="F11" s="409">
        <v>23</v>
      </c>
      <c r="G11" s="409"/>
      <c r="H11" s="409"/>
    </row>
    <row r="12" spans="1:8" ht="21" x14ac:dyDescent="0.35">
      <c r="A12" s="415" t="s">
        <v>141</v>
      </c>
      <c r="B12" s="415"/>
      <c r="C12" s="415"/>
      <c r="D12" s="415"/>
      <c r="E12" s="415"/>
      <c r="F12" s="415"/>
      <c r="G12" s="415"/>
      <c r="H12" s="415"/>
    </row>
    <row r="13" spans="1:8" ht="15" x14ac:dyDescent="0.25">
      <c r="A13" s="102" t="s">
        <v>142</v>
      </c>
      <c r="B13" s="409">
        <f>G8</f>
        <v>119.80000000000291</v>
      </c>
      <c r="C13" s="409"/>
      <c r="D13" s="409">
        <v>8.5</v>
      </c>
      <c r="E13" s="409"/>
      <c r="F13" s="416">
        <f>PRODUCT(D13,B13)</f>
        <v>1018.3000000000247</v>
      </c>
      <c r="G13" s="416"/>
      <c r="H13" s="416"/>
    </row>
    <row r="14" spans="1:8" ht="45" customHeight="1" x14ac:dyDescent="0.2">
      <c r="A14" s="413" t="s">
        <v>143</v>
      </c>
      <c r="B14" s="413"/>
      <c r="C14" s="413"/>
      <c r="D14" s="413"/>
      <c r="E14" s="413"/>
      <c r="F14" s="413"/>
      <c r="G14" s="413"/>
      <c r="H14" s="413"/>
    </row>
    <row r="15" spans="1:8" x14ac:dyDescent="0.2">
      <c r="A15" s="414"/>
      <c r="B15" s="414"/>
      <c r="C15" s="414"/>
      <c r="D15" s="414"/>
      <c r="E15" s="414"/>
      <c r="F15" s="414"/>
      <c r="G15" s="414"/>
      <c r="H15" s="414"/>
    </row>
    <row r="16" spans="1:8" ht="15" x14ac:dyDescent="0.25">
      <c r="A16" s="103" t="s">
        <v>144</v>
      </c>
      <c r="B16" s="409">
        <v>0</v>
      </c>
      <c r="C16" s="409"/>
      <c r="D16" s="409">
        <v>0</v>
      </c>
      <c r="E16" s="409"/>
      <c r="F16" s="409">
        <f>PRODUCT(D16,B16)</f>
        <v>0</v>
      </c>
      <c r="G16" s="409"/>
      <c r="H16" s="409"/>
    </row>
    <row r="17" spans="1:8" ht="15" x14ac:dyDescent="0.25">
      <c r="A17" s="103" t="s">
        <v>145</v>
      </c>
      <c r="B17" s="409">
        <v>0</v>
      </c>
      <c r="C17" s="409"/>
      <c r="D17" s="409">
        <v>0</v>
      </c>
      <c r="E17" s="409"/>
      <c r="F17" s="409">
        <f>PRODUCT(D17,B17)</f>
        <v>0</v>
      </c>
      <c r="G17" s="409"/>
      <c r="H17" s="409"/>
    </row>
    <row r="18" spans="1:8" ht="15" x14ac:dyDescent="0.25">
      <c r="A18" s="103" t="s">
        <v>146</v>
      </c>
      <c r="B18" s="409">
        <v>0</v>
      </c>
      <c r="C18" s="409"/>
      <c r="D18" s="409">
        <v>0</v>
      </c>
      <c r="E18" s="409"/>
      <c r="F18" s="409">
        <f>PRODUCT(D18,B18)</f>
        <v>0</v>
      </c>
      <c r="G18" s="409"/>
      <c r="H18" s="409"/>
    </row>
    <row r="19" spans="1:8" ht="15" x14ac:dyDescent="0.25">
      <c r="A19" s="103" t="s">
        <v>147</v>
      </c>
      <c r="B19" s="409">
        <v>0</v>
      </c>
      <c r="C19" s="409"/>
      <c r="D19" s="433">
        <v>0</v>
      </c>
      <c r="E19" s="434"/>
      <c r="F19" s="433">
        <v>0</v>
      </c>
      <c r="G19" s="434"/>
      <c r="H19" s="164"/>
    </row>
    <row r="20" spans="1:8" ht="15" x14ac:dyDescent="0.25">
      <c r="A20" s="103" t="s">
        <v>153</v>
      </c>
      <c r="B20" s="409">
        <f>G8</f>
        <v>119.80000000000291</v>
      </c>
      <c r="C20" s="409"/>
      <c r="D20" s="409">
        <v>2.54</v>
      </c>
      <c r="E20" s="409"/>
      <c r="F20" s="409">
        <f>PRODUCT(D20,B20)</f>
        <v>304.29200000000742</v>
      </c>
      <c r="G20" s="409"/>
      <c r="H20" s="409"/>
    </row>
    <row r="21" spans="1:8" ht="18.75" x14ac:dyDescent="0.3">
      <c r="A21" s="405" t="s">
        <v>148</v>
      </c>
      <c r="B21" s="406"/>
      <c r="C21" s="406"/>
      <c r="D21" s="406"/>
      <c r="E21" s="407"/>
      <c r="F21" s="408">
        <f>SUM(F11+F13+F16+F17+F18+F20)</f>
        <v>1345.5920000000322</v>
      </c>
      <c r="G21" s="408"/>
      <c r="H21" s="408"/>
    </row>
    <row r="22" spans="1:8" ht="15" x14ac:dyDescent="0.25">
      <c r="A22" s="394" t="s">
        <v>149</v>
      </c>
      <c r="B22" s="395"/>
      <c r="C22" s="395"/>
      <c r="D22" s="395"/>
      <c r="E22" s="396"/>
      <c r="F22" s="409">
        <f>PRODUCT(F21,0.07)</f>
        <v>94.19144000000226</v>
      </c>
      <c r="G22" s="409"/>
      <c r="H22" s="409"/>
    </row>
    <row r="23" spans="1:8" ht="15" x14ac:dyDescent="0.25">
      <c r="A23" s="410" t="s">
        <v>150</v>
      </c>
      <c r="B23" s="411"/>
      <c r="C23" s="411"/>
      <c r="D23" s="411"/>
      <c r="E23" s="412"/>
      <c r="F23" s="409">
        <v>208.26</v>
      </c>
      <c r="G23" s="409"/>
      <c r="H23" s="409"/>
    </row>
    <row r="24" spans="1:8" ht="15.75" x14ac:dyDescent="0.25">
      <c r="A24" s="394" t="s">
        <v>151</v>
      </c>
      <c r="B24" s="395"/>
      <c r="C24" s="395"/>
      <c r="D24" s="395"/>
      <c r="E24" s="396"/>
      <c r="F24" s="397">
        <f>SUM(F22:H23)</f>
        <v>302.45144000000226</v>
      </c>
      <c r="G24" s="397"/>
      <c r="H24" s="397"/>
    </row>
    <row r="25" spans="1:8" x14ac:dyDescent="0.2">
      <c r="A25" s="398" t="s">
        <v>152</v>
      </c>
      <c r="B25" s="399"/>
      <c r="C25" s="399"/>
      <c r="D25" s="399"/>
      <c r="E25" s="400"/>
      <c r="F25" s="404">
        <f>SUM(F21,F24)</f>
        <v>1648.0434400000345</v>
      </c>
      <c r="G25" s="404"/>
      <c r="H25" s="404"/>
    </row>
    <row r="26" spans="1:8" x14ac:dyDescent="0.2">
      <c r="A26" s="401"/>
      <c r="B26" s="402"/>
      <c r="C26" s="402"/>
      <c r="D26" s="402"/>
      <c r="E26" s="403"/>
      <c r="F26" s="404"/>
      <c r="G26" s="404"/>
      <c r="H26" s="404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D9" sqref="D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17"/>
      <c r="B1" s="371" t="s">
        <v>154</v>
      </c>
      <c r="C1" s="372"/>
      <c r="D1" s="372"/>
      <c r="E1" s="372"/>
      <c r="F1" s="420" t="s">
        <v>88</v>
      </c>
      <c r="G1" s="421"/>
      <c r="H1" s="422"/>
    </row>
    <row r="2" spans="1:8" ht="15.75" customHeight="1" thickBot="1" x14ac:dyDescent="0.25">
      <c r="A2" s="418"/>
      <c r="B2" s="373"/>
      <c r="C2" s="374"/>
      <c r="D2" s="374"/>
      <c r="E2" s="374"/>
      <c r="F2" s="423"/>
      <c r="G2" s="424"/>
      <c r="H2" s="425"/>
    </row>
    <row r="3" spans="1:8" ht="15" customHeight="1" x14ac:dyDescent="0.2">
      <c r="A3" s="418"/>
      <c r="B3" s="373"/>
      <c r="C3" s="374"/>
      <c r="D3" s="374"/>
      <c r="E3" s="374"/>
      <c r="F3" s="420" t="s">
        <v>89</v>
      </c>
      <c r="G3" s="421"/>
      <c r="H3" s="422"/>
    </row>
    <row r="4" spans="1:8" ht="15.75" customHeight="1" thickBot="1" x14ac:dyDescent="0.25">
      <c r="A4" s="419"/>
      <c r="B4" s="375"/>
      <c r="C4" s="376"/>
      <c r="D4" s="376"/>
      <c r="E4" s="376"/>
      <c r="F4" s="426"/>
      <c r="G4" s="427"/>
      <c r="H4" s="428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4"/>
      <c r="B8" s="95" t="s">
        <v>137</v>
      </c>
      <c r="C8" s="96">
        <v>2560</v>
      </c>
      <c r="D8" s="97">
        <v>44287</v>
      </c>
      <c r="E8" s="96">
        <v>2560</v>
      </c>
      <c r="F8" s="97">
        <v>44682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29" t="s">
        <v>116</v>
      </c>
      <c r="C10" s="430"/>
      <c r="D10" s="431" t="s">
        <v>138</v>
      </c>
      <c r="E10" s="431"/>
      <c r="F10" s="429" t="s">
        <v>139</v>
      </c>
      <c r="G10" s="432"/>
      <c r="H10" s="430"/>
    </row>
    <row r="11" spans="1:8" ht="15" x14ac:dyDescent="0.25">
      <c r="A11" s="102" t="s">
        <v>140</v>
      </c>
      <c r="B11" s="409"/>
      <c r="C11" s="409"/>
      <c r="D11" s="409"/>
      <c r="E11" s="409"/>
      <c r="F11" s="409">
        <v>15</v>
      </c>
      <c r="G11" s="409"/>
      <c r="H11" s="409"/>
    </row>
    <row r="12" spans="1:8" ht="21" x14ac:dyDescent="0.35">
      <c r="A12" s="415" t="s">
        <v>141</v>
      </c>
      <c r="B12" s="415"/>
      <c r="C12" s="415"/>
      <c r="D12" s="415"/>
      <c r="E12" s="415"/>
      <c r="F12" s="415"/>
      <c r="G12" s="415"/>
      <c r="H12" s="415"/>
    </row>
    <row r="13" spans="1:8" ht="15" x14ac:dyDescent="0.25">
      <c r="A13" s="102" t="s">
        <v>155</v>
      </c>
      <c r="B13" s="409">
        <f>G8</f>
        <v>0</v>
      </c>
      <c r="C13" s="409"/>
      <c r="D13" s="409">
        <v>16.48</v>
      </c>
      <c r="E13" s="409"/>
      <c r="F13" s="416">
        <f>PRODUCT(D13,B13)</f>
        <v>0</v>
      </c>
      <c r="G13" s="416"/>
      <c r="H13" s="416"/>
    </row>
    <row r="14" spans="1:8" ht="15" x14ac:dyDescent="0.25">
      <c r="A14" s="102" t="s">
        <v>156</v>
      </c>
      <c r="B14" s="433"/>
      <c r="C14" s="434"/>
      <c r="D14" s="433"/>
      <c r="E14" s="434"/>
      <c r="F14" s="433"/>
      <c r="G14" s="434"/>
      <c r="H14" s="111"/>
    </row>
    <row r="15" spans="1:8" ht="15" x14ac:dyDescent="0.25">
      <c r="A15" s="102" t="s">
        <v>157</v>
      </c>
      <c r="B15" s="433"/>
      <c r="C15" s="434"/>
      <c r="D15" s="433"/>
      <c r="E15" s="434"/>
      <c r="F15" s="433"/>
      <c r="G15" s="434"/>
      <c r="H15" s="111"/>
    </row>
    <row r="16" spans="1:8" ht="15" x14ac:dyDescent="0.25">
      <c r="A16" s="102" t="s">
        <v>158</v>
      </c>
      <c r="B16" s="433"/>
      <c r="C16" s="434"/>
      <c r="D16" s="433"/>
      <c r="E16" s="434"/>
      <c r="F16" s="433"/>
      <c r="G16" s="434"/>
      <c r="H16" s="111"/>
    </row>
    <row r="17" spans="1:8" ht="15" x14ac:dyDescent="0.25">
      <c r="A17" s="102" t="s">
        <v>159</v>
      </c>
      <c r="B17" s="433"/>
      <c r="C17" s="434"/>
      <c r="D17" s="433"/>
      <c r="E17" s="434"/>
      <c r="F17" s="433"/>
      <c r="G17" s="434"/>
      <c r="H17" s="111"/>
    </row>
    <row r="18" spans="1:8" ht="45" customHeight="1" x14ac:dyDescent="0.2">
      <c r="A18" s="413" t="s">
        <v>143</v>
      </c>
      <c r="B18" s="413"/>
      <c r="C18" s="413"/>
      <c r="D18" s="413"/>
      <c r="E18" s="413"/>
      <c r="F18" s="413"/>
      <c r="G18" s="413"/>
      <c r="H18" s="413"/>
    </row>
    <row r="19" spans="1:8" x14ac:dyDescent="0.2">
      <c r="A19" s="414"/>
      <c r="B19" s="414"/>
      <c r="C19" s="414"/>
      <c r="D19" s="414"/>
      <c r="E19" s="414"/>
      <c r="F19" s="414"/>
      <c r="G19" s="414"/>
      <c r="H19" s="414"/>
    </row>
    <row r="20" spans="1:8" ht="15" x14ac:dyDescent="0.25">
      <c r="A20" s="103" t="s">
        <v>144</v>
      </c>
      <c r="B20" s="409">
        <v>0</v>
      </c>
      <c r="C20" s="409"/>
      <c r="D20" s="409">
        <v>0</v>
      </c>
      <c r="E20" s="409"/>
      <c r="F20" s="409">
        <f>PRODUCT(D20,B20)</f>
        <v>0</v>
      </c>
      <c r="G20" s="409"/>
      <c r="H20" s="409"/>
    </row>
    <row r="21" spans="1:8" ht="15" x14ac:dyDescent="0.25">
      <c r="A21" s="103" t="s">
        <v>145</v>
      </c>
      <c r="B21" s="409">
        <v>0</v>
      </c>
      <c r="C21" s="409"/>
      <c r="D21" s="409">
        <v>0</v>
      </c>
      <c r="E21" s="409"/>
      <c r="F21" s="409">
        <f>PRODUCT(D21,B21)</f>
        <v>0</v>
      </c>
      <c r="G21" s="409"/>
      <c r="H21" s="409"/>
    </row>
    <row r="22" spans="1:8" ht="15" x14ac:dyDescent="0.25">
      <c r="A22" s="103" t="s">
        <v>146</v>
      </c>
      <c r="B22" s="409">
        <v>0</v>
      </c>
      <c r="C22" s="409"/>
      <c r="D22" s="409">
        <v>0</v>
      </c>
      <c r="E22" s="409"/>
      <c r="F22" s="409">
        <f>PRODUCT(D22,B22)</f>
        <v>0</v>
      </c>
      <c r="G22" s="409"/>
      <c r="H22" s="409"/>
    </row>
    <row r="23" spans="1:8" ht="15" x14ac:dyDescent="0.25">
      <c r="A23" s="103" t="s">
        <v>147</v>
      </c>
      <c r="B23" s="409">
        <f>G8</f>
        <v>0</v>
      </c>
      <c r="C23" s="409"/>
      <c r="D23" s="409">
        <v>0</v>
      </c>
      <c r="E23" s="409"/>
      <c r="F23" s="409">
        <f>PRODUCT(D23,B23)</f>
        <v>0</v>
      </c>
      <c r="G23" s="409"/>
      <c r="H23" s="409"/>
    </row>
    <row r="24" spans="1:8" ht="15" x14ac:dyDescent="0.25">
      <c r="A24" s="103" t="s">
        <v>153</v>
      </c>
      <c r="B24" s="433">
        <v>0</v>
      </c>
      <c r="C24" s="434"/>
      <c r="D24" s="433">
        <v>2.54</v>
      </c>
      <c r="E24" s="434"/>
      <c r="F24" s="433">
        <f>B24*D24</f>
        <v>0</v>
      </c>
      <c r="G24" s="434"/>
      <c r="H24" s="164"/>
    </row>
    <row r="25" spans="1:8" ht="18.75" x14ac:dyDescent="0.3">
      <c r="A25" s="405" t="s">
        <v>148</v>
      </c>
      <c r="B25" s="406"/>
      <c r="C25" s="406"/>
      <c r="D25" s="406"/>
      <c r="E25" s="407"/>
      <c r="F25" s="435">
        <f>SUM(F11+F13+F20+F21+F22+F23)</f>
        <v>15</v>
      </c>
      <c r="G25" s="408"/>
      <c r="H25" s="408"/>
    </row>
    <row r="26" spans="1:8" ht="15" x14ac:dyDescent="0.25">
      <c r="A26" s="394" t="s">
        <v>149</v>
      </c>
      <c r="B26" s="395"/>
      <c r="C26" s="395"/>
      <c r="D26" s="395"/>
      <c r="E26" s="396"/>
      <c r="F26" s="409">
        <v>63.63</v>
      </c>
      <c r="G26" s="409"/>
      <c r="H26" s="409"/>
    </row>
    <row r="27" spans="1:8" ht="15" x14ac:dyDescent="0.25">
      <c r="A27" s="410" t="s">
        <v>150</v>
      </c>
      <c r="B27" s="411"/>
      <c r="C27" s="411"/>
      <c r="D27" s="411"/>
      <c r="E27" s="412"/>
      <c r="F27" s="409">
        <v>2.4300000000000002</v>
      </c>
      <c r="G27" s="409"/>
      <c r="H27" s="409"/>
    </row>
    <row r="28" spans="1:8" ht="15.75" x14ac:dyDescent="0.25">
      <c r="A28" s="394" t="s">
        <v>151</v>
      </c>
      <c r="B28" s="395"/>
      <c r="C28" s="395"/>
      <c r="D28" s="395"/>
      <c r="E28" s="396"/>
      <c r="F28" s="397">
        <f>SUM(F26:H27)</f>
        <v>66.06</v>
      </c>
      <c r="G28" s="397"/>
      <c r="H28" s="397"/>
    </row>
    <row r="29" spans="1:8" x14ac:dyDescent="0.2">
      <c r="A29" s="398" t="s">
        <v>152</v>
      </c>
      <c r="B29" s="399"/>
      <c r="C29" s="399"/>
      <c r="D29" s="399"/>
      <c r="E29" s="400"/>
      <c r="F29" s="404">
        <f>SUM(F25,F28)</f>
        <v>81.06</v>
      </c>
      <c r="G29" s="404"/>
      <c r="H29" s="404"/>
    </row>
    <row r="30" spans="1:8" x14ac:dyDescent="0.2">
      <c r="A30" s="401"/>
      <c r="B30" s="402"/>
      <c r="C30" s="402"/>
      <c r="D30" s="402"/>
      <c r="E30" s="403"/>
      <c r="F30" s="404"/>
      <c r="G30" s="404"/>
      <c r="H30" s="404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6" zoomScaleNormal="100" workbookViewId="0">
      <selection activeCell="F26" sqref="F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36" t="s">
        <v>160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 x14ac:dyDescent="0.2">
      <c r="B8" s="106" t="s">
        <v>173</v>
      </c>
      <c r="C8" s="442"/>
      <c r="D8" s="443"/>
      <c r="E8" s="443"/>
      <c r="F8" s="443"/>
      <c r="G8" s="443"/>
      <c r="H8" s="443"/>
      <c r="I8" s="443"/>
      <c r="J8" s="443"/>
      <c r="K8" s="444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5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39" t="s">
        <v>181</v>
      </c>
      <c r="D16" s="440"/>
      <c r="E16" s="440"/>
      <c r="F16" s="440"/>
      <c r="G16" s="440"/>
      <c r="H16" s="440"/>
      <c r="I16" s="440"/>
      <c r="J16" s="440"/>
      <c r="K16" s="440"/>
      <c r="L16" s="440"/>
      <c r="M16" s="440"/>
      <c r="N16" s="441"/>
    </row>
    <row r="18" spans="2:14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 x14ac:dyDescent="0.2">
      <c r="B19" s="106" t="s">
        <v>173</v>
      </c>
      <c r="C19" s="442"/>
      <c r="D19" s="443"/>
      <c r="E19" s="443"/>
      <c r="F19" s="443"/>
      <c r="G19" s="443"/>
      <c r="H19" s="443"/>
      <c r="I19" s="443"/>
      <c r="J19" s="443"/>
      <c r="K19" s="444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49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5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9" zoomScaleNormal="100" workbookViewId="0">
      <selection activeCell="F26" sqref="F26:H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36" t="s">
        <v>182</v>
      </c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6"/>
    </row>
    <row r="6" spans="2:14" ht="21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 x14ac:dyDescent="0.2">
      <c r="B8" s="106" t="s">
        <v>173</v>
      </c>
      <c r="C8" s="442"/>
      <c r="D8" s="443"/>
      <c r="E8" s="443"/>
      <c r="F8" s="443"/>
      <c r="G8" s="443"/>
      <c r="H8" s="443"/>
      <c r="I8" s="443"/>
      <c r="J8" s="443"/>
      <c r="K8" s="444"/>
      <c r="L8" s="104"/>
      <c r="M8" s="104">
        <v>3298</v>
      </c>
      <c r="N8" s="104">
        <v>3866</v>
      </c>
    </row>
    <row r="9" spans="2:14" ht="39" customHeight="1" x14ac:dyDescent="0.2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5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39" t="s">
        <v>183</v>
      </c>
      <c r="D16" s="447"/>
      <c r="E16" s="447"/>
      <c r="F16" s="447"/>
      <c r="G16" s="447"/>
      <c r="H16" s="447"/>
      <c r="I16" s="447"/>
      <c r="J16" s="447"/>
      <c r="K16" s="447"/>
      <c r="L16" s="447"/>
      <c r="M16" s="447"/>
      <c r="N16" s="448"/>
    </row>
    <row r="18" spans="2:15" ht="18" customHeight="1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 x14ac:dyDescent="0.2">
      <c r="B19" s="106" t="s">
        <v>173</v>
      </c>
      <c r="C19" s="442"/>
      <c r="D19" s="443"/>
      <c r="E19" s="443"/>
      <c r="F19" s="443"/>
      <c r="G19" s="443"/>
      <c r="H19" s="443"/>
      <c r="I19" s="443"/>
      <c r="J19" s="443"/>
      <c r="K19" s="444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49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5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F26" sqref="F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36" t="s">
        <v>184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2:14" ht="23.25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 x14ac:dyDescent="0.2">
      <c r="B8" s="106" t="s">
        <v>173</v>
      </c>
      <c r="C8" s="442"/>
      <c r="D8" s="443"/>
      <c r="E8" s="443"/>
      <c r="F8" s="443"/>
      <c r="G8" s="443"/>
      <c r="H8" s="443"/>
      <c r="I8" s="443"/>
      <c r="J8" s="443"/>
      <c r="K8" s="444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5" t="s">
        <v>180</v>
      </c>
      <c r="C15" s="104">
        <v>8859.1630000000005</v>
      </c>
      <c r="D15" s="104">
        <v>13938.621000000001</v>
      </c>
      <c r="E15" s="104"/>
      <c r="F15" s="104">
        <v>23168.613000000001</v>
      </c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39" t="s">
        <v>185</v>
      </c>
      <c r="D16" s="440"/>
      <c r="E16" s="440"/>
      <c r="F16" s="440"/>
      <c r="G16" s="440"/>
      <c r="H16" s="440"/>
      <c r="I16" s="440"/>
      <c r="J16" s="440"/>
      <c r="K16" s="440"/>
      <c r="L16" s="440"/>
      <c r="M16" s="440"/>
      <c r="N16" s="441"/>
    </row>
    <row r="18" spans="2:14" ht="17.25" customHeight="1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 x14ac:dyDescent="0.2">
      <c r="B19" s="106" t="s">
        <v>173</v>
      </c>
      <c r="C19" s="442"/>
      <c r="D19" s="443"/>
      <c r="E19" s="443"/>
      <c r="F19" s="443"/>
      <c r="G19" s="443"/>
      <c r="H19" s="443"/>
      <c r="I19" s="443"/>
      <c r="J19" s="443"/>
      <c r="K19" s="444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49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5" t="s">
        <v>180</v>
      </c>
      <c r="C26" s="104">
        <v>102456.220095</v>
      </c>
      <c r="D26" s="104">
        <v>164336.34159</v>
      </c>
      <c r="E26" s="104"/>
      <c r="F26" s="104">
        <v>316019.88132000004</v>
      </c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2023-02-23T13:47:46Z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