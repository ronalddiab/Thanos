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DK29" i="4" l="1"/>
  <c r="DK28" i="4"/>
  <c r="DK27" i="4"/>
  <c r="DL30" i="4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J21" i="3"/>
  <c r="BK21" i="3"/>
  <c r="F22" i="3"/>
  <c r="F21" i="3"/>
  <c r="F20" i="3"/>
  <c r="E21" i="3"/>
  <c r="E20" i="3"/>
  <c r="E19" i="3"/>
  <c r="AP20" i="3" l="1"/>
  <c r="AP21" i="3"/>
  <c r="F19" i="3"/>
  <c r="E18" i="3"/>
  <c r="F18" i="3" l="1"/>
  <c r="E17" i="3"/>
  <c r="F17" i="3" l="1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9" i="1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Q30" i="4"/>
  <c r="O30" i="4"/>
  <c r="M30" i="4"/>
  <c r="K30" i="4"/>
  <c r="I30" i="4"/>
  <c r="H30" i="4"/>
  <c r="F30" i="4"/>
  <c r="E30" i="4"/>
  <c r="C30" i="4"/>
  <c r="B30" i="4"/>
  <c r="FB29" i="4"/>
  <c r="EZ29" i="4"/>
  <c r="BI21" i="3" s="1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Q29" i="4"/>
  <c r="O29" i="4"/>
  <c r="M29" i="4"/>
  <c r="K29" i="4"/>
  <c r="I29" i="4"/>
  <c r="H29" i="4"/>
  <c r="F29" i="4"/>
  <c r="E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BK18" i="3" s="1"/>
  <c r="EZ26" i="4"/>
  <c r="EX26" i="4"/>
  <c r="EV26" i="4"/>
  <c r="ET26" i="4"/>
  <c r="EQ26" i="4"/>
  <c r="EO26" i="4"/>
  <c r="BF18" i="3" s="1"/>
  <c r="EM26" i="4"/>
  <c r="EK26" i="4"/>
  <c r="EI26" i="4"/>
  <c r="EG26" i="4"/>
  <c r="ED26" i="4"/>
  <c r="EB26" i="4"/>
  <c r="AY18" i="3" s="1"/>
  <c r="DZ26" i="4"/>
  <c r="DX26" i="4"/>
  <c r="DV26" i="4"/>
  <c r="DT26" i="4"/>
  <c r="DQ26" i="4"/>
  <c r="DO26" i="4"/>
  <c r="AR18" i="3" s="1"/>
  <c r="DM26" i="4"/>
  <c r="DK26" i="4"/>
  <c r="DI26" i="4"/>
  <c r="DG26" i="4"/>
  <c r="DE26" i="4"/>
  <c r="DC26" i="4"/>
  <c r="AL18" i="3" s="1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W18" i="3" s="1"/>
  <c r="AV26" i="4"/>
  <c r="AS26" i="4"/>
  <c r="AP26" i="4"/>
  <c r="AM26" i="4"/>
  <c r="AJ26" i="4"/>
  <c r="AG26" i="4"/>
  <c r="Q18" i="3" s="1"/>
  <c r="AD26" i="4"/>
  <c r="AA26" i="4"/>
  <c r="X26" i="4"/>
  <c r="U26" i="4"/>
  <c r="R26" i="4"/>
  <c r="Q26" i="4"/>
  <c r="O26" i="4"/>
  <c r="M26" i="4"/>
  <c r="K26" i="4"/>
  <c r="I26" i="4"/>
  <c r="H26" i="4"/>
  <c r="F26" i="4"/>
  <c r="H18" i="3" s="1"/>
  <c r="E26" i="4"/>
  <c r="C26" i="4"/>
  <c r="B26" i="4"/>
  <c r="FC25" i="4"/>
  <c r="FB25" i="4"/>
  <c r="FA25" i="4"/>
  <c r="EZ25" i="4"/>
  <c r="EX25" i="4"/>
  <c r="EW25" i="4"/>
  <c r="EV25" i="4"/>
  <c r="EU25" i="4"/>
  <c r="ET25" i="4"/>
  <c r="BG17" i="3" s="1"/>
  <c r="ER25" i="4"/>
  <c r="EQ25" i="4"/>
  <c r="BC17" i="3" s="1"/>
  <c r="EP25" i="4"/>
  <c r="EO25" i="4"/>
  <c r="EN25" i="4"/>
  <c r="EM25" i="4"/>
  <c r="BE17" i="3" s="1"/>
  <c r="EL25" i="4"/>
  <c r="EK25" i="4"/>
  <c r="EJ25" i="4"/>
  <c r="EI25" i="4"/>
  <c r="EH25" i="4"/>
  <c r="EG25" i="4"/>
  <c r="BA17" i="3" s="1"/>
  <c r="EE25" i="4"/>
  <c r="ED25" i="4"/>
  <c r="AZ17" i="3" s="1"/>
  <c r="EC25" i="4"/>
  <c r="EB25" i="4"/>
  <c r="EA25" i="4"/>
  <c r="DZ25" i="4"/>
  <c r="AX17" i="3" s="1"/>
  <c r="DY25" i="4"/>
  <c r="DX25" i="4"/>
  <c r="DW25" i="4"/>
  <c r="DV25" i="4"/>
  <c r="DU25" i="4"/>
  <c r="DT25" i="4"/>
  <c r="AU17" i="3" s="1"/>
  <c r="DR25" i="4"/>
  <c r="DQ25" i="4"/>
  <c r="AT17" i="3" s="1"/>
  <c r="DP25" i="4"/>
  <c r="DO25" i="4"/>
  <c r="DN25" i="4"/>
  <c r="DM25" i="4"/>
  <c r="AS17" i="3" s="1"/>
  <c r="DK25" i="4"/>
  <c r="DJ25" i="4"/>
  <c r="DI25" i="4"/>
  <c r="DH25" i="4"/>
  <c r="DG25" i="4"/>
  <c r="AN17" i="3" s="1"/>
  <c r="DF25" i="4"/>
  <c r="DE25" i="4"/>
  <c r="AO17" i="3" s="1"/>
  <c r="DD25" i="4"/>
  <c r="DC25" i="4"/>
  <c r="DB25" i="4"/>
  <c r="DA25" i="4"/>
  <c r="AM17" i="3" s="1"/>
  <c r="CZ25" i="4"/>
  <c r="CY25" i="4"/>
  <c r="CX25" i="4"/>
  <c r="CW25" i="4"/>
  <c r="CU25" i="4"/>
  <c r="CT25" i="4"/>
  <c r="AC17" i="3" s="1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V25" i="4"/>
  <c r="BT25" i="4"/>
  <c r="BS25" i="4"/>
  <c r="BH25" i="4"/>
  <c r="BG25" i="4"/>
  <c r="BF25" i="4"/>
  <c r="BE25" i="4"/>
  <c r="BD25" i="4"/>
  <c r="BC25" i="4"/>
  <c r="X17" i="3" s="1"/>
  <c r="BB25" i="4"/>
  <c r="BA25" i="4"/>
  <c r="AZ25" i="4"/>
  <c r="AX25" i="4"/>
  <c r="AW25" i="4"/>
  <c r="AV25" i="4"/>
  <c r="V17" i="3" s="1"/>
  <c r="AU25" i="4"/>
  <c r="AT25" i="4"/>
  <c r="AS25" i="4"/>
  <c r="AR25" i="4"/>
  <c r="AQ25" i="4"/>
  <c r="AP25" i="4"/>
  <c r="AO25" i="4"/>
  <c r="AN25" i="4"/>
  <c r="AM25" i="4"/>
  <c r="AL25" i="4"/>
  <c r="AK25" i="4"/>
  <c r="AJ25" i="4"/>
  <c r="R17" i="3" s="1"/>
  <c r="AI25" i="4"/>
  <c r="AH25" i="4"/>
  <c r="AG25" i="4"/>
  <c r="AF25" i="4"/>
  <c r="AE25" i="4"/>
  <c r="AD25" i="4"/>
  <c r="P17" i="3" s="1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N16" i="3" s="1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E18" i="3" l="1"/>
  <c r="M18" i="3"/>
  <c r="S18" i="3"/>
  <c r="Y18" i="3"/>
  <c r="AG18" i="3"/>
  <c r="O18" i="3"/>
  <c r="U18" i="3"/>
  <c r="AI18" i="3"/>
  <c r="L18" i="3"/>
  <c r="R18" i="3"/>
  <c r="X18" i="3"/>
  <c r="AF18" i="3"/>
  <c r="AB18" i="3"/>
  <c r="AO18" i="3"/>
  <c r="AT18" i="3"/>
  <c r="AZ18" i="3"/>
  <c r="BC18" i="3"/>
  <c r="AA18" i="3"/>
  <c r="AC18" i="3"/>
  <c r="AN18" i="3"/>
  <c r="AU18" i="3"/>
  <c r="BA18" i="3"/>
  <c r="BG18" i="3"/>
  <c r="AD17" i="3"/>
  <c r="AG17" i="3"/>
  <c r="Z17" i="3"/>
  <c r="AB17" i="3"/>
  <c r="I18" i="3"/>
  <c r="K18" i="1" s="1"/>
  <c r="J18" i="3"/>
  <c r="N18" i="3"/>
  <c r="E18" i="1" s="1"/>
  <c r="T18" i="3"/>
  <c r="AH18" i="3"/>
  <c r="AK18" i="3"/>
  <c r="AQ18" i="3"/>
  <c r="BB18" i="3"/>
  <c r="BH18" i="3"/>
  <c r="G18" i="3"/>
  <c r="I18" i="1" s="1"/>
  <c r="AJ18" i="3"/>
  <c r="AP18" i="3"/>
  <c r="AW18" i="3"/>
  <c r="BD18" i="3"/>
  <c r="BJ18" i="3"/>
  <c r="T16" i="3"/>
  <c r="AH16" i="3"/>
  <c r="AK16" i="3"/>
  <c r="AQ16" i="3"/>
  <c r="BB16" i="3"/>
  <c r="BH16" i="3"/>
  <c r="K18" i="3"/>
  <c r="P18" i="3"/>
  <c r="V18" i="3"/>
  <c r="AD18" i="3"/>
  <c r="Z18" i="3"/>
  <c r="AM18" i="3"/>
  <c r="AS18" i="3"/>
  <c r="AX18" i="3"/>
  <c r="BE18" i="3"/>
  <c r="BI18" i="3"/>
  <c r="M17" i="3"/>
  <c r="O17" i="3"/>
  <c r="Q17" i="3"/>
  <c r="S17" i="3"/>
  <c r="U17" i="3"/>
  <c r="W17" i="3"/>
  <c r="Y17" i="3"/>
  <c r="AF17" i="3"/>
  <c r="AI17" i="3"/>
  <c r="BK17" i="3"/>
  <c r="N12" i="3"/>
  <c r="P12" i="3"/>
  <c r="R12" i="3"/>
  <c r="T12" i="3"/>
  <c r="V12" i="3"/>
  <c r="X12" i="3"/>
  <c r="AJ12" i="3"/>
  <c r="AO12" i="3"/>
  <c r="AP12" i="3"/>
  <c r="G17" i="3"/>
  <c r="I17" i="1" s="1"/>
  <c r="K17" i="3"/>
  <c r="AK17" i="3"/>
  <c r="AL17" i="3"/>
  <c r="AQ17" i="3"/>
  <c r="AR17" i="3"/>
  <c r="AY17" i="3"/>
  <c r="BB17" i="3"/>
  <c r="BF17" i="3"/>
  <c r="BH17" i="3"/>
  <c r="G16" i="3"/>
  <c r="I16" i="1" s="1"/>
  <c r="O16" i="3"/>
  <c r="U16" i="3"/>
  <c r="AI16" i="3"/>
  <c r="AJ16" i="3"/>
  <c r="AP16" i="3"/>
  <c r="AW16" i="3"/>
  <c r="BD16" i="3"/>
  <c r="BJ16" i="3"/>
  <c r="J17" i="3"/>
  <c r="I17" i="3"/>
  <c r="K17" i="1" s="1"/>
  <c r="N17" i="3"/>
  <c r="T17" i="3"/>
  <c r="AJ17" i="3"/>
  <c r="AP17" i="3"/>
  <c r="AW17" i="3"/>
  <c r="BD17" i="3"/>
  <c r="BJ17" i="3"/>
  <c r="AA17" i="3"/>
  <c r="G17" i="1" s="1"/>
  <c r="H17" i="3"/>
  <c r="L17" i="3"/>
  <c r="AE17" i="3"/>
  <c r="AH17" i="3"/>
  <c r="BI17" i="3"/>
  <c r="K16" i="3"/>
  <c r="P16" i="3"/>
  <c r="V16" i="3"/>
  <c r="AD16" i="3"/>
  <c r="Z16" i="3"/>
  <c r="AM16" i="3"/>
  <c r="AS16" i="3"/>
  <c r="AX16" i="3"/>
  <c r="BE16" i="3"/>
  <c r="BI16" i="3"/>
  <c r="AC5" i="3"/>
  <c r="AN5" i="3"/>
  <c r="AU5" i="3"/>
  <c r="BA5" i="3"/>
  <c r="BG5" i="3"/>
  <c r="AA10" i="3"/>
  <c r="AC10" i="3"/>
  <c r="AM10" i="3"/>
  <c r="AN10" i="3"/>
  <c r="AS10" i="3"/>
  <c r="AU10" i="3"/>
  <c r="AX10" i="3"/>
  <c r="BA10" i="3"/>
  <c r="BE10" i="3"/>
  <c r="BG10" i="3"/>
  <c r="N11" i="3"/>
  <c r="P11" i="3"/>
  <c r="R11" i="3"/>
  <c r="H16" i="3"/>
  <c r="Q16" i="3"/>
  <c r="W16" i="3"/>
  <c r="AE16" i="3"/>
  <c r="AA16" i="3"/>
  <c r="AL16" i="3"/>
  <c r="AR16" i="3"/>
  <c r="AY16" i="3"/>
  <c r="BF16" i="3"/>
  <c r="BK16" i="3"/>
  <c r="L16" i="3"/>
  <c r="R16" i="3"/>
  <c r="X16" i="3"/>
  <c r="AF16" i="3"/>
  <c r="AB16" i="3"/>
  <c r="AO16" i="3"/>
  <c r="AT16" i="3"/>
  <c r="AZ16" i="3"/>
  <c r="BC16" i="3"/>
  <c r="P9" i="3"/>
  <c r="V9" i="3"/>
  <c r="AR10" i="3"/>
  <c r="AT12" i="3"/>
  <c r="AW12" i="3"/>
  <c r="AZ12" i="3"/>
  <c r="BD12" i="3"/>
  <c r="BC12" i="3"/>
  <c r="BJ12" i="3"/>
  <c r="G13" i="3"/>
  <c r="I13" i="1" s="1"/>
  <c r="K13" i="3"/>
  <c r="AK13" i="3"/>
  <c r="AL13" i="3"/>
  <c r="AQ13" i="3"/>
  <c r="AR13" i="3"/>
  <c r="AY13" i="3"/>
  <c r="BB13" i="3"/>
  <c r="BF13" i="3"/>
  <c r="BH13" i="3"/>
  <c r="AA14" i="3"/>
  <c r="AC14" i="3"/>
  <c r="AM14" i="3"/>
  <c r="AN14" i="3"/>
  <c r="AS14" i="3"/>
  <c r="AU14" i="3"/>
  <c r="AX14" i="3"/>
  <c r="BA14" i="3"/>
  <c r="BE14" i="3"/>
  <c r="BG14" i="3"/>
  <c r="H15" i="3"/>
  <c r="Q15" i="3"/>
  <c r="W15" i="3"/>
  <c r="AE15" i="3"/>
  <c r="AL15" i="3"/>
  <c r="AR15" i="3"/>
  <c r="AY15" i="3"/>
  <c r="BF15" i="3"/>
  <c r="BK15" i="3"/>
  <c r="M16" i="3"/>
  <c r="S16" i="3"/>
  <c r="Y16" i="3"/>
  <c r="AG16" i="3"/>
  <c r="AC16" i="3"/>
  <c r="AN16" i="3"/>
  <c r="AU16" i="3"/>
  <c r="BA16" i="3"/>
  <c r="BG16" i="3"/>
  <c r="I16" i="3"/>
  <c r="K16" i="1" s="1"/>
  <c r="J16" i="3"/>
  <c r="G6" i="3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G15" i="1" s="1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16" i="1" l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BX24" i="4"/>
  <c r="BW24" i="4"/>
  <c r="BW23" i="4"/>
  <c r="BX23" i="4"/>
  <c r="BH23" i="4"/>
  <c r="BF44" i="4" s="1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O45" i="4"/>
  <c r="F45" i="4"/>
  <c r="C45" i="4"/>
  <c r="AZ44" i="4" l="1"/>
  <c r="CQ44" i="4"/>
  <c r="CQ45" i="4"/>
  <c r="CN45" i="4"/>
  <c r="CN44" i="4"/>
  <c r="CK45" i="4"/>
  <c r="CK44" i="4"/>
  <c r="BF45" i="4"/>
  <c r="BF46" i="4" s="1"/>
  <c r="BC45" i="4"/>
  <c r="BC44" i="4"/>
  <c r="AZ45" i="4"/>
  <c r="AZ46" i="4" s="1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AM51" i="4" s="1"/>
  <c r="U44" i="4"/>
  <c r="AA51" i="4" l="1"/>
  <c r="BC46" i="4"/>
  <c r="AV51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W26" i="4"/>
  <c r="BX26" i="4"/>
  <c r="BX25" i="4"/>
  <c r="BW25" i="4"/>
  <c r="BH26" i="4"/>
  <c r="BG26" i="4"/>
  <c r="BE26" i="4"/>
  <c r="BD26" i="4"/>
  <c r="BA26" i="4"/>
  <c r="BB26" i="4"/>
  <c r="AW26" i="4"/>
  <c r="AX26" i="4"/>
  <c r="AU26" i="4"/>
  <c r="AT26" i="4"/>
  <c r="AR26" i="4"/>
  <c r="AQ26" i="4"/>
  <c r="AO26" i="4"/>
  <c r="AN26" i="4"/>
  <c r="AL26" i="4"/>
  <c r="AK26" i="4"/>
  <c r="AH26" i="4"/>
  <c r="AI26" i="4"/>
  <c r="AF26" i="4"/>
  <c r="AE26" i="4"/>
  <c r="AC26" i="4"/>
  <c r="AB26" i="4"/>
  <c r="Z26" i="4"/>
  <c r="Y26" i="4"/>
  <c r="V26" i="4"/>
  <c r="W26" i="4"/>
  <c r="EY27" i="4" l="1"/>
  <c r="EY28" i="4"/>
  <c r="EY29" i="4"/>
  <c r="EY30" i="4"/>
  <c r="DL40" i="4" l="1"/>
  <c r="DL39" i="4"/>
  <c r="DL38" i="4"/>
  <c r="DL37" i="4"/>
  <c r="DL36" i="4"/>
  <c r="DL35" i="4"/>
  <c r="DL34" i="4"/>
  <c r="DL33" i="4"/>
  <c r="DL32" i="4"/>
  <c r="DL31" i="4"/>
  <c r="FC30" i="4"/>
  <c r="FA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FA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G48" i="4" s="1"/>
  <c r="CF27" i="4"/>
  <c r="CD27" i="4"/>
  <c r="CB27" i="4"/>
  <c r="BZ27" i="4"/>
  <c r="BT27" i="4"/>
  <c r="S27" i="4"/>
  <c r="R48" i="4" s="1"/>
  <c r="R49" i="4" s="1"/>
  <c r="P27" i="4"/>
  <c r="N27" i="4"/>
  <c r="L27" i="4"/>
  <c r="J27" i="4"/>
  <c r="I48" i="4" s="1"/>
  <c r="I49" i="4" s="1"/>
  <c r="G27" i="4"/>
  <c r="D27" i="4"/>
  <c r="DL26" i="4"/>
  <c r="DL25" i="4"/>
  <c r="DL24" i="4"/>
  <c r="DL23" i="4"/>
  <c r="DL22" i="4"/>
  <c r="DL21" i="4"/>
  <c r="DL20" i="4"/>
  <c r="DL19" i="4"/>
  <c r="DL18" i="4"/>
  <c r="DL17" i="4"/>
  <c r="DL16" i="4"/>
  <c r="DL15" i="4"/>
  <c r="DL14" i="4"/>
  <c r="DL13" i="4"/>
  <c r="DL12" i="4"/>
  <c r="DL11" i="4"/>
  <c r="K48" i="4" l="1"/>
  <c r="K49" i="4" s="1"/>
  <c r="CT48" i="4"/>
  <c r="CT49" i="4" s="1"/>
  <c r="CS30" i="4"/>
  <c r="CR30" i="4"/>
  <c r="CR29" i="4"/>
  <c r="CS29" i="4"/>
  <c r="CS27" i="4"/>
  <c r="CR27" i="4"/>
  <c r="CS28" i="4"/>
  <c r="CR28" i="4"/>
  <c r="CO30" i="4"/>
  <c r="CP30" i="4"/>
  <c r="CP29" i="4"/>
  <c r="CO29" i="4"/>
  <c r="CP28" i="4"/>
  <c r="CO28" i="4"/>
  <c r="CO27" i="4"/>
  <c r="CP27" i="4"/>
  <c r="CM30" i="4"/>
  <c r="CL30" i="4"/>
  <c r="CM29" i="4"/>
  <c r="CL29" i="4"/>
  <c r="CL27" i="4"/>
  <c r="CM27" i="4"/>
  <c r="CM28" i="4"/>
  <c r="CL28" i="4"/>
  <c r="CI48" i="4"/>
  <c r="CE48" i="4"/>
  <c r="CC48" i="4"/>
  <c r="CA48" i="4"/>
  <c r="BY48" i="4"/>
  <c r="BX30" i="4"/>
  <c r="BW30" i="4"/>
  <c r="BX29" i="4"/>
  <c r="BW29" i="4"/>
  <c r="BW27" i="4"/>
  <c r="BX27" i="4"/>
  <c r="BW28" i="4"/>
  <c r="BX28" i="4"/>
  <c r="BS48" i="4"/>
  <c r="BH30" i="4"/>
  <c r="BG30" i="4"/>
  <c r="BH29" i="4"/>
  <c r="BG29" i="4"/>
  <c r="BH27" i="4"/>
  <c r="BG27" i="4"/>
  <c r="BG28" i="4"/>
  <c r="BH28" i="4"/>
  <c r="BD30" i="4"/>
  <c r="BE30" i="4"/>
  <c r="BE29" i="4"/>
  <c r="BD29" i="4"/>
  <c r="BD28" i="4"/>
  <c r="BE28" i="4"/>
  <c r="BD27" i="4"/>
  <c r="BE27" i="4"/>
  <c r="BB30" i="4"/>
  <c r="BA30" i="4"/>
  <c r="BB29" i="4"/>
  <c r="BA29" i="4"/>
  <c r="BB28" i="4"/>
  <c r="BA28" i="4"/>
  <c r="BA27" i="4"/>
  <c r="BB27" i="4"/>
  <c r="AW30" i="4"/>
  <c r="AX30" i="4"/>
  <c r="AX29" i="4"/>
  <c r="AW29" i="4"/>
  <c r="AX27" i="4"/>
  <c r="AW27" i="4"/>
  <c r="AX28" i="4"/>
  <c r="AW28" i="4"/>
  <c r="AU30" i="4"/>
  <c r="AT30" i="4"/>
  <c r="AT29" i="4"/>
  <c r="AU29" i="4"/>
  <c r="AU27" i="4"/>
  <c r="AT27" i="4"/>
  <c r="AT28" i="4"/>
  <c r="AU28" i="4"/>
  <c r="AQ30" i="4"/>
  <c r="AR30" i="4"/>
  <c r="AR29" i="4"/>
  <c r="AQ29" i="4"/>
  <c r="AQ27" i="4"/>
  <c r="AR27" i="4"/>
  <c r="AR28" i="4"/>
  <c r="AQ28" i="4"/>
  <c r="AO30" i="4"/>
  <c r="AN30" i="4"/>
  <c r="AO29" i="4"/>
  <c r="AN29" i="4"/>
  <c r="AO27" i="4"/>
  <c r="AN27" i="4"/>
  <c r="AO28" i="4"/>
  <c r="AN28" i="4"/>
  <c r="AK30" i="4"/>
  <c r="AL30" i="4"/>
  <c r="AL29" i="4"/>
  <c r="AK29" i="4"/>
  <c r="AK28" i="4"/>
  <c r="AL28" i="4"/>
  <c r="AL27" i="4"/>
  <c r="AK27" i="4"/>
  <c r="AI30" i="4"/>
  <c r="AH30" i="4"/>
  <c r="AI29" i="4"/>
  <c r="AH29" i="4"/>
  <c r="AI28" i="4"/>
  <c r="AH28" i="4"/>
  <c r="AH27" i="4"/>
  <c r="AI27" i="4"/>
  <c r="AE30" i="4"/>
  <c r="AF30" i="4"/>
  <c r="AF29" i="4"/>
  <c r="AE29" i="4"/>
  <c r="AF27" i="4"/>
  <c r="AE27" i="4"/>
  <c r="AF28" i="4"/>
  <c r="AE28" i="4"/>
  <c r="AC30" i="4"/>
  <c r="AB30" i="4"/>
  <c r="AB29" i="4"/>
  <c r="AC29" i="4"/>
  <c r="AB28" i="4"/>
  <c r="AC28" i="4"/>
  <c r="AC27" i="4"/>
  <c r="AB27" i="4"/>
  <c r="Y30" i="4"/>
  <c r="Z30" i="4"/>
  <c r="Z29" i="4"/>
  <c r="Y29" i="4"/>
  <c r="Z27" i="4"/>
  <c r="Y27" i="4"/>
  <c r="Z28" i="4"/>
  <c r="Y28" i="4"/>
  <c r="W30" i="4"/>
  <c r="V30" i="4"/>
  <c r="W29" i="4"/>
  <c r="V29" i="4"/>
  <c r="W27" i="4"/>
  <c r="V27" i="4"/>
  <c r="W28" i="4"/>
  <c r="V28" i="4"/>
  <c r="O48" i="4"/>
  <c r="O49" i="4" s="1"/>
  <c r="F48" i="4"/>
  <c r="F49" i="4" s="1"/>
  <c r="C48" i="4"/>
  <c r="C49" i="4" s="1"/>
  <c r="AG47" i="4" l="1"/>
  <c r="BF48" i="4"/>
  <c r="BF49" i="4" s="1"/>
  <c r="CQ48" i="4"/>
  <c r="CQ47" i="4"/>
  <c r="CQ49" i="4" s="1"/>
  <c r="CN47" i="4"/>
  <c r="CN48" i="4"/>
  <c r="CK47" i="4"/>
  <c r="CK48" i="4"/>
  <c r="BC48" i="4"/>
  <c r="BC49" i="4" s="1"/>
  <c r="AZ48" i="4"/>
  <c r="BC51" i="4"/>
  <c r="AZ49" i="4"/>
  <c r="AA47" i="4"/>
  <c r="AP47" i="4"/>
  <c r="AJ47" i="4"/>
  <c r="AV48" i="4"/>
  <c r="AV47" i="4"/>
  <c r="AV49" i="4" s="1"/>
  <c r="AS48" i="4"/>
  <c r="AS47" i="4"/>
  <c r="AP48" i="4"/>
  <c r="AP49" i="4" s="1"/>
  <c r="AM48" i="4"/>
  <c r="AM47" i="4"/>
  <c r="AM49" i="4" s="1"/>
  <c r="AJ48" i="4"/>
  <c r="AJ49" i="4"/>
  <c r="AG48" i="4"/>
  <c r="AG49" i="4" s="1"/>
  <c r="AD48" i="4"/>
  <c r="AD47" i="4"/>
  <c r="AD49" i="4" s="1"/>
  <c r="AA48" i="4"/>
  <c r="AA49" i="4"/>
  <c r="X48" i="4"/>
  <c r="X47" i="4"/>
  <c r="U48" i="4"/>
  <c r="U47" i="4"/>
  <c r="CN49" i="4" l="1"/>
  <c r="CK49" i="4"/>
  <c r="X49" i="4"/>
  <c r="AS49" i="4"/>
  <c r="AA50" i="4"/>
  <c r="AM50" i="4"/>
  <c r="AV50" i="4" s="1"/>
  <c r="U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<sst xmlns="http://schemas.openxmlformats.org/spreadsheetml/2006/main" count="411" uniqueCount="203">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</sst>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B25">
            <v>0.84</v>
          </cell>
          <cell r="E25">
            <v>926306</v>
          </cell>
          <cell r="F25">
            <v>744</v>
          </cell>
          <cell r="G25">
            <v>483</v>
          </cell>
          <cell r="H25">
            <v>92950</v>
          </cell>
          <cell r="I25">
            <v>453</v>
          </cell>
          <cell r="J25">
            <v>406</v>
          </cell>
          <cell r="K25">
            <v>164625</v>
          </cell>
          <cell r="L25">
            <v>0</v>
          </cell>
          <cell r="N25">
            <v>819517</v>
          </cell>
          <cell r="O25">
            <v>191</v>
          </cell>
          <cell r="Q25">
            <v>189232</v>
          </cell>
          <cell r="R25">
            <v>148</v>
          </cell>
          <cell r="S25">
            <v>53611.6</v>
          </cell>
          <cell r="T25">
            <v>84.400000000001455</v>
          </cell>
          <cell r="U25">
            <v>40</v>
          </cell>
          <cell r="V25">
            <v>3993</v>
          </cell>
          <cell r="W25">
            <v>11</v>
          </cell>
          <cell r="AC25">
            <v>7192825.9199999999</v>
          </cell>
          <cell r="AD25">
            <v>2143.679999999702</v>
          </cell>
          <cell r="AF25">
            <v>13783570.08</v>
          </cell>
          <cell r="AG25">
            <v>4774.5600000005215</v>
          </cell>
          <cell r="AI25">
            <v>13702987.199999999</v>
          </cell>
          <cell r="AJ25">
            <v>97.439999999478459</v>
          </cell>
          <cell r="AL25">
            <v>16750959.119999999</v>
          </cell>
          <cell r="AM25">
            <v>48.719999998807907</v>
          </cell>
          <cell r="AO25">
            <v>17087322</v>
          </cell>
          <cell r="AP25">
            <v>10718.400000002235</v>
          </cell>
          <cell r="AR25">
            <v>15524920.319999998</v>
          </cell>
          <cell r="AS25">
            <v>5846.4000000003725</v>
          </cell>
          <cell r="AU25">
            <v>13206627.84</v>
          </cell>
          <cell r="AV25">
            <v>4336.0800000000745</v>
          </cell>
          <cell r="AX25">
            <v>12694580.640000001</v>
          </cell>
          <cell r="AY25">
            <v>4141.2000000011176</v>
          </cell>
          <cell r="BA25">
            <v>10113005.280000001</v>
          </cell>
          <cell r="BB25">
            <v>3410.4000000003725</v>
          </cell>
          <cell r="BD25">
            <v>15700799.52</v>
          </cell>
          <cell r="BE25">
            <v>5602.8000000007451</v>
          </cell>
          <cell r="BK25">
            <v>68002400</v>
          </cell>
          <cell r="BL25">
            <v>0</v>
          </cell>
          <cell r="BN25">
            <v>70700300</v>
          </cell>
          <cell r="BO25">
            <v>0</v>
          </cell>
          <cell r="BQ25">
            <v>65015900</v>
          </cell>
          <cell r="BR25">
            <v>45900</v>
          </cell>
          <cell r="BT25">
            <v>7724840</v>
          </cell>
          <cell r="BU25">
            <v>5950</v>
          </cell>
          <cell r="BW25">
            <v>0.57999999999999996</v>
          </cell>
          <cell r="BX25">
            <v>6.0000000000000053E-2</v>
          </cell>
          <cell r="BZ25">
            <v>57208</v>
          </cell>
          <cell r="CA25">
            <v>21</v>
          </cell>
          <cell r="CB25">
            <v>48697</v>
          </cell>
          <cell r="CC25">
            <v>19</v>
          </cell>
          <cell r="CD25">
            <v>16740</v>
          </cell>
          <cell r="CE25">
            <v>6</v>
          </cell>
          <cell r="CF25">
            <v>22134</v>
          </cell>
          <cell r="CG25">
            <v>12</v>
          </cell>
          <cell r="CH25">
            <v>24162</v>
          </cell>
          <cell r="CI25">
            <v>12</v>
          </cell>
          <cell r="CJ25">
            <v>53566</v>
          </cell>
          <cell r="CK25">
            <v>28</v>
          </cell>
          <cell r="CL25">
            <v>235017</v>
          </cell>
          <cell r="CM25">
            <v>104</v>
          </cell>
          <cell r="CO25">
            <v>180831</v>
          </cell>
          <cell r="CP25">
            <v>116</v>
          </cell>
          <cell r="CR25">
            <v>319448</v>
          </cell>
          <cell r="CS25">
            <v>221</v>
          </cell>
          <cell r="CU25">
            <v>622052</v>
          </cell>
          <cell r="CV25">
            <v>243</v>
          </cell>
          <cell r="CX25">
            <v>6425</v>
          </cell>
          <cell r="CY25">
            <v>8</v>
          </cell>
          <cell r="CZ25">
            <v>3944</v>
          </cell>
          <cell r="DA25">
            <v>10</v>
          </cell>
          <cell r="DB25">
            <v>26905</v>
          </cell>
          <cell r="DC25">
            <v>18</v>
          </cell>
          <cell r="DD25">
            <v>27646</v>
          </cell>
          <cell r="DE25">
            <v>16</v>
          </cell>
          <cell r="DF25">
            <v>18701</v>
          </cell>
          <cell r="DG25">
            <v>9</v>
          </cell>
          <cell r="DH25">
            <v>21814</v>
          </cell>
          <cell r="DI25">
            <v>9</v>
          </cell>
          <cell r="DJ25">
            <v>3333</v>
          </cell>
          <cell r="DK25">
            <v>10</v>
          </cell>
          <cell r="DL25">
            <v>6814</v>
          </cell>
          <cell r="DM25">
            <v>16</v>
          </cell>
          <cell r="DN25">
            <v>1825</v>
          </cell>
          <cell r="DO25">
            <v>3</v>
          </cell>
          <cell r="DP25">
            <v>3630</v>
          </cell>
          <cell r="DQ25">
            <v>7</v>
          </cell>
          <cell r="DR25">
            <v>26322</v>
          </cell>
          <cell r="DS25">
            <v>0</v>
          </cell>
          <cell r="DU25">
            <v>3176.7</v>
          </cell>
          <cell r="DV25">
            <v>9.1999999999998181</v>
          </cell>
          <cell r="DW25">
            <v>8265.7999999999993</v>
          </cell>
          <cell r="DX25">
            <v>6.6999999999989086</v>
          </cell>
          <cell r="DY25">
            <v>2391</v>
          </cell>
          <cell r="DZ25">
            <v>6.3000000000001819</v>
          </cell>
          <cell r="EA25">
            <v>2532.6</v>
          </cell>
          <cell r="EB25">
            <v>8.0999999999999091</v>
          </cell>
          <cell r="EC25">
            <v>877007</v>
          </cell>
          <cell r="ED25">
            <v>597</v>
          </cell>
          <cell r="EG25">
            <v>177474.6</v>
          </cell>
          <cell r="EH25">
            <v>156.30000000001746</v>
          </cell>
          <cell r="EJ25">
            <v>10444300</v>
          </cell>
          <cell r="EK25">
            <v>3100</v>
          </cell>
          <cell r="EL25">
            <v>828460</v>
          </cell>
          <cell r="EM25">
            <v>230</v>
          </cell>
          <cell r="EN25">
            <v>6414900</v>
          </cell>
          <cell r="EO25">
            <v>700</v>
          </cell>
          <cell r="EP25">
            <v>2253600</v>
          </cell>
          <cell r="EQ25">
            <v>500</v>
          </cell>
          <cell r="ER25">
            <v>1000060</v>
          </cell>
          <cell r="ES25">
            <v>590</v>
          </cell>
          <cell r="ET25">
            <v>14325400</v>
          </cell>
          <cell r="EU25">
            <v>2300</v>
          </cell>
          <cell r="EW25">
            <v>37621</v>
          </cell>
          <cell r="EX25">
            <v>16</v>
          </cell>
          <cell r="EY25">
            <v>32513</v>
          </cell>
          <cell r="EZ25">
            <v>14</v>
          </cell>
          <cell r="FA25">
            <v>3688</v>
          </cell>
          <cell r="FB25">
            <v>12</v>
          </cell>
          <cell r="FC25">
            <v>54268</v>
          </cell>
          <cell r="FD25">
            <v>17</v>
          </cell>
          <cell r="FE25">
            <v>37982</v>
          </cell>
          <cell r="FF25">
            <v>31</v>
          </cell>
        </row>
        <row r="26">
          <cell r="B26">
            <v>0.76</v>
          </cell>
          <cell r="E26">
            <v>927023</v>
          </cell>
          <cell r="F26">
            <v>717</v>
          </cell>
          <cell r="G26">
            <v>507</v>
          </cell>
          <cell r="H26">
            <v>93407</v>
          </cell>
          <cell r="I26">
            <v>457</v>
          </cell>
          <cell r="J26">
            <v>410</v>
          </cell>
          <cell r="K26">
            <v>164625</v>
          </cell>
          <cell r="L26">
            <v>0</v>
          </cell>
          <cell r="N26">
            <v>819691</v>
          </cell>
          <cell r="O26">
            <v>174</v>
          </cell>
          <cell r="Q26">
            <v>189341</v>
          </cell>
          <cell r="R26">
            <v>109</v>
          </cell>
          <cell r="S26">
            <v>53699.58</v>
          </cell>
          <cell r="T26">
            <v>87.980000000003201</v>
          </cell>
          <cell r="U26">
            <v>43</v>
          </cell>
          <cell r="V26">
            <v>4005</v>
          </cell>
          <cell r="W26">
            <v>12</v>
          </cell>
          <cell r="AC26">
            <v>7194726</v>
          </cell>
          <cell r="AD26">
            <v>1900.0800000000745</v>
          </cell>
          <cell r="AF26">
            <v>13788247.199999999</v>
          </cell>
          <cell r="AG26">
            <v>4677.1199999991804</v>
          </cell>
          <cell r="AI26">
            <v>13703084.640000001</v>
          </cell>
          <cell r="AJ26">
            <v>97.440000001341105</v>
          </cell>
          <cell r="AL26">
            <v>16751007.839999998</v>
          </cell>
          <cell r="AM26">
            <v>48.719999998807907</v>
          </cell>
          <cell r="AO26">
            <v>17098186.560000002</v>
          </cell>
          <cell r="AP26">
            <v>10864.560000002384</v>
          </cell>
          <cell r="AR26">
            <v>15530571.84</v>
          </cell>
          <cell r="AS26">
            <v>5651.5200000014156</v>
          </cell>
          <cell r="AU26">
            <v>13211207.52</v>
          </cell>
          <cell r="AV26">
            <v>4579.679999999702</v>
          </cell>
          <cell r="AX26">
            <v>12698770.559999999</v>
          </cell>
          <cell r="AY26">
            <v>4189.9199999980628</v>
          </cell>
          <cell r="BA26">
            <v>10116561.84</v>
          </cell>
          <cell r="BB26">
            <v>3556.5599999986589</v>
          </cell>
          <cell r="BD26">
            <v>15706353.6</v>
          </cell>
          <cell r="BE26">
            <v>5554.0800000000745</v>
          </cell>
          <cell r="BK26">
            <v>68002400</v>
          </cell>
          <cell r="BL26">
            <v>0</v>
          </cell>
          <cell r="BN26">
            <v>70700300</v>
          </cell>
          <cell r="BO26">
            <v>0</v>
          </cell>
          <cell r="BQ26">
            <v>65062200</v>
          </cell>
          <cell r="BR26">
            <v>46300</v>
          </cell>
          <cell r="BT26">
            <v>7730280</v>
          </cell>
          <cell r="BU26">
            <v>5440</v>
          </cell>
          <cell r="BW26">
            <v>0.68</v>
          </cell>
          <cell r="BX26">
            <v>-0.10000000000000009</v>
          </cell>
          <cell r="BZ26">
            <v>57228</v>
          </cell>
          <cell r="CA26">
            <v>20</v>
          </cell>
          <cell r="CB26">
            <v>48716</v>
          </cell>
          <cell r="CC26">
            <v>19</v>
          </cell>
          <cell r="CD26">
            <v>16746</v>
          </cell>
          <cell r="CE26">
            <v>6</v>
          </cell>
          <cell r="CF26">
            <v>22145</v>
          </cell>
          <cell r="CG26">
            <v>11</v>
          </cell>
          <cell r="CH26">
            <v>24180</v>
          </cell>
          <cell r="CI26">
            <v>18</v>
          </cell>
          <cell r="CJ26">
            <v>53591</v>
          </cell>
          <cell r="CK26">
            <v>25</v>
          </cell>
          <cell r="CL26">
            <v>235123</v>
          </cell>
          <cell r="CM26">
            <v>106</v>
          </cell>
          <cell r="CO26">
            <v>180954</v>
          </cell>
          <cell r="CP26">
            <v>123</v>
          </cell>
          <cell r="CR26">
            <v>319671</v>
          </cell>
          <cell r="CS26">
            <v>223</v>
          </cell>
          <cell r="CU26">
            <v>622301</v>
          </cell>
          <cell r="CV26">
            <v>249</v>
          </cell>
          <cell r="CX26">
            <v>6435</v>
          </cell>
          <cell r="CY26">
            <v>10</v>
          </cell>
          <cell r="CZ26">
            <v>3952</v>
          </cell>
          <cell r="DA26">
            <v>8</v>
          </cell>
          <cell r="DB26">
            <v>26918</v>
          </cell>
          <cell r="DC26">
            <v>13</v>
          </cell>
          <cell r="DD26">
            <v>27666</v>
          </cell>
          <cell r="DE26">
            <v>20</v>
          </cell>
          <cell r="DF26">
            <v>18710</v>
          </cell>
          <cell r="DG26">
            <v>9</v>
          </cell>
          <cell r="DH26">
            <v>21823</v>
          </cell>
          <cell r="DI26">
            <v>9</v>
          </cell>
          <cell r="DJ26">
            <v>3343</v>
          </cell>
          <cell r="DK26">
            <v>10</v>
          </cell>
          <cell r="DL26">
            <v>6830</v>
          </cell>
          <cell r="DM26">
            <v>16</v>
          </cell>
          <cell r="DN26">
            <v>1830</v>
          </cell>
          <cell r="DO26">
            <v>5</v>
          </cell>
          <cell r="DP26">
            <v>3639</v>
          </cell>
          <cell r="DQ26">
            <v>9</v>
          </cell>
          <cell r="DR26">
            <v>26325</v>
          </cell>
          <cell r="DS26">
            <v>3</v>
          </cell>
          <cell r="DU26">
            <v>3186.1</v>
          </cell>
          <cell r="DV26">
            <v>9.4000000000000909</v>
          </cell>
          <cell r="DW26">
            <v>8272.5</v>
          </cell>
          <cell r="DX26">
            <v>6.7000000000007276</v>
          </cell>
          <cell r="DY26">
            <v>2397</v>
          </cell>
          <cell r="DZ26">
            <v>6</v>
          </cell>
          <cell r="EA26">
            <v>2540.9</v>
          </cell>
          <cell r="EB26">
            <v>8.3000000000001819</v>
          </cell>
          <cell r="EC26">
            <v>877600</v>
          </cell>
          <cell r="ED26">
            <v>593</v>
          </cell>
          <cell r="EG26">
            <v>177629.4</v>
          </cell>
          <cell r="EH26">
            <v>154.79999999998836</v>
          </cell>
          <cell r="EJ26">
            <v>10448200</v>
          </cell>
          <cell r="EK26">
            <v>3900</v>
          </cell>
          <cell r="EL26">
            <v>828760</v>
          </cell>
          <cell r="EM26">
            <v>300</v>
          </cell>
          <cell r="EN26">
            <v>6415700</v>
          </cell>
          <cell r="EO26">
            <v>800</v>
          </cell>
          <cell r="EP26">
            <v>2254000</v>
          </cell>
          <cell r="EQ26">
            <v>400</v>
          </cell>
          <cell r="ER26">
            <v>1000810</v>
          </cell>
          <cell r="ES26">
            <v>750</v>
          </cell>
          <cell r="ET26">
            <v>14327700</v>
          </cell>
          <cell r="EU26">
            <v>2300</v>
          </cell>
          <cell r="EW26">
            <v>37636</v>
          </cell>
          <cell r="EX26">
            <v>15</v>
          </cell>
          <cell r="EY26">
            <v>32526</v>
          </cell>
          <cell r="EZ26">
            <v>13</v>
          </cell>
          <cell r="FA26">
            <v>3704</v>
          </cell>
          <cell r="FB26">
            <v>16</v>
          </cell>
          <cell r="FC26">
            <v>54286</v>
          </cell>
          <cell r="FD26">
            <v>18</v>
          </cell>
          <cell r="FE26">
            <v>38016</v>
          </cell>
          <cell r="FF26">
            <v>34</v>
          </cell>
        </row>
        <row r="27">
          <cell r="B27">
            <v>0.72</v>
          </cell>
          <cell r="E27">
            <v>927720</v>
          </cell>
          <cell r="F27">
            <v>697</v>
          </cell>
          <cell r="G27">
            <v>498</v>
          </cell>
          <cell r="H27">
            <v>93867</v>
          </cell>
          <cell r="I27">
            <v>460</v>
          </cell>
          <cell r="J27">
            <v>436</v>
          </cell>
          <cell r="K27">
            <v>164625</v>
          </cell>
          <cell r="L27">
            <v>0</v>
          </cell>
          <cell r="N27">
            <v>819886</v>
          </cell>
          <cell r="O27">
            <v>195</v>
          </cell>
          <cell r="Q27">
            <v>189475</v>
          </cell>
          <cell r="R27">
            <v>134</v>
          </cell>
          <cell r="S27">
            <v>53777.32</v>
          </cell>
          <cell r="T27">
            <v>77.739999999997963</v>
          </cell>
          <cell r="U27">
            <v>42</v>
          </cell>
          <cell r="V27">
            <v>4014</v>
          </cell>
          <cell r="W27">
            <v>9</v>
          </cell>
          <cell r="AC27">
            <v>7197697.9199999999</v>
          </cell>
          <cell r="AD27">
            <v>2971.9199999999255</v>
          </cell>
          <cell r="AF27">
            <v>13793070.48</v>
          </cell>
          <cell r="AG27">
            <v>4823.2800000011921</v>
          </cell>
          <cell r="AI27">
            <v>13703279.52</v>
          </cell>
          <cell r="AJ27">
            <v>194.87999999895692</v>
          </cell>
          <cell r="AL27">
            <v>16751056.560000001</v>
          </cell>
          <cell r="AM27">
            <v>48.720000002533197</v>
          </cell>
          <cell r="AO27">
            <v>17107248.48</v>
          </cell>
          <cell r="AP27">
            <v>9061.9199999980628</v>
          </cell>
          <cell r="AR27">
            <v>15536418.24</v>
          </cell>
          <cell r="AS27">
            <v>5846.4000000003725</v>
          </cell>
          <cell r="AU27">
            <v>13215787.199999999</v>
          </cell>
          <cell r="AV27">
            <v>4579.679999999702</v>
          </cell>
          <cell r="AX27">
            <v>12703106.640000001</v>
          </cell>
          <cell r="AY27">
            <v>4336.0800000019372</v>
          </cell>
          <cell r="BA27">
            <v>10119923.52</v>
          </cell>
          <cell r="BB27">
            <v>3361.679999999702</v>
          </cell>
          <cell r="BD27">
            <v>15711956.4</v>
          </cell>
          <cell r="BE27">
            <v>5602.8000000007451</v>
          </cell>
          <cell r="BK27">
            <v>68002400</v>
          </cell>
          <cell r="BL27">
            <v>0</v>
          </cell>
          <cell r="BN27">
            <v>70700300</v>
          </cell>
          <cell r="BO27">
            <v>0</v>
          </cell>
          <cell r="BQ27">
            <v>65105000</v>
          </cell>
          <cell r="BR27">
            <v>42800</v>
          </cell>
          <cell r="BT27">
            <v>7736230</v>
          </cell>
          <cell r="BU27">
            <v>5950</v>
          </cell>
          <cell r="BW27">
            <v>0.62</v>
          </cell>
          <cell r="BX27">
            <v>6.0000000000000053E-2</v>
          </cell>
          <cell r="BZ27">
            <v>57248</v>
          </cell>
          <cell r="CA27">
            <v>20</v>
          </cell>
          <cell r="CB27">
            <v>48734</v>
          </cell>
          <cell r="CC27">
            <v>18</v>
          </cell>
          <cell r="CD27">
            <v>16751</v>
          </cell>
          <cell r="CE27">
            <v>5</v>
          </cell>
          <cell r="CF27">
            <v>22156</v>
          </cell>
          <cell r="CG27">
            <v>11</v>
          </cell>
          <cell r="CH27">
            <v>24196</v>
          </cell>
          <cell r="CI27">
            <v>16</v>
          </cell>
          <cell r="CJ27">
            <v>53616</v>
          </cell>
          <cell r="CK27">
            <v>25</v>
          </cell>
          <cell r="CL27">
            <v>235229</v>
          </cell>
          <cell r="CM27">
            <v>106</v>
          </cell>
          <cell r="CO27">
            <v>181074</v>
          </cell>
          <cell r="CP27">
            <v>120</v>
          </cell>
          <cell r="CR27">
            <v>319897</v>
          </cell>
          <cell r="CS27">
            <v>226</v>
          </cell>
          <cell r="CU27">
            <v>622549</v>
          </cell>
          <cell r="CV27">
            <v>248</v>
          </cell>
          <cell r="CX27">
            <v>6443</v>
          </cell>
          <cell r="CY27">
            <v>8</v>
          </cell>
          <cell r="CZ27">
            <v>3960</v>
          </cell>
          <cell r="DA27">
            <v>8</v>
          </cell>
          <cell r="DB27">
            <v>26933</v>
          </cell>
          <cell r="DC27">
            <v>15</v>
          </cell>
          <cell r="DD27">
            <v>27684</v>
          </cell>
          <cell r="DE27">
            <v>18</v>
          </cell>
          <cell r="DF27">
            <v>18719</v>
          </cell>
          <cell r="DG27">
            <v>9</v>
          </cell>
          <cell r="DH27">
            <v>21832</v>
          </cell>
          <cell r="DI27">
            <v>9</v>
          </cell>
          <cell r="DJ27">
            <v>3352</v>
          </cell>
          <cell r="DK27">
            <v>9</v>
          </cell>
          <cell r="DL27">
            <v>6843</v>
          </cell>
          <cell r="DM27">
            <v>13</v>
          </cell>
          <cell r="DN27">
            <v>1835</v>
          </cell>
          <cell r="DO27">
            <v>5</v>
          </cell>
          <cell r="DP27">
            <v>3648</v>
          </cell>
          <cell r="DQ27">
            <v>9</v>
          </cell>
          <cell r="DR27">
            <v>26328</v>
          </cell>
          <cell r="DS27">
            <v>3</v>
          </cell>
          <cell r="DU27">
            <v>3194.3</v>
          </cell>
          <cell r="DV27">
            <v>8.2000000000002728</v>
          </cell>
          <cell r="DW27">
            <v>8279.2000000000007</v>
          </cell>
          <cell r="DX27">
            <v>6.7000000000007276</v>
          </cell>
          <cell r="DY27">
            <v>2403.4</v>
          </cell>
          <cell r="DZ27">
            <v>6.4000000000000909</v>
          </cell>
          <cell r="EA27">
            <v>2548</v>
          </cell>
          <cell r="EB27">
            <v>7.0999999999999091</v>
          </cell>
          <cell r="EC27">
            <v>878185</v>
          </cell>
          <cell r="ED27">
            <v>585</v>
          </cell>
          <cell r="EG27">
            <v>177781.4</v>
          </cell>
          <cell r="EH27">
            <v>152</v>
          </cell>
          <cell r="EJ27">
            <v>10450600</v>
          </cell>
          <cell r="EK27">
            <v>2400</v>
          </cell>
          <cell r="EL27">
            <v>829010</v>
          </cell>
          <cell r="EM27">
            <v>250</v>
          </cell>
          <cell r="EN27">
            <v>6416300</v>
          </cell>
          <cell r="EO27">
            <v>600</v>
          </cell>
          <cell r="EP27">
            <v>2254300</v>
          </cell>
          <cell r="EQ27">
            <v>300</v>
          </cell>
          <cell r="ER27">
            <v>1001430</v>
          </cell>
          <cell r="ES27">
            <v>620</v>
          </cell>
          <cell r="ET27">
            <v>14329200</v>
          </cell>
          <cell r="EU27">
            <v>1500</v>
          </cell>
          <cell r="EW27">
            <v>37653</v>
          </cell>
          <cell r="EX27">
            <v>17</v>
          </cell>
          <cell r="EY27">
            <v>32538</v>
          </cell>
          <cell r="EZ27">
            <v>12</v>
          </cell>
          <cell r="FA27">
            <v>3719</v>
          </cell>
          <cell r="FB27">
            <v>15</v>
          </cell>
          <cell r="FC27">
            <v>54302</v>
          </cell>
          <cell r="FD27">
            <v>16</v>
          </cell>
          <cell r="FE27">
            <v>38049</v>
          </cell>
          <cell r="FF27">
            <v>33</v>
          </cell>
        </row>
        <row r="28">
          <cell r="B28">
            <v>0.72</v>
          </cell>
          <cell r="E28">
            <v>928397</v>
          </cell>
          <cell r="F28">
            <v>677</v>
          </cell>
          <cell r="G28">
            <v>520</v>
          </cell>
          <cell r="H28">
            <v>94280</v>
          </cell>
          <cell r="I28">
            <v>413</v>
          </cell>
          <cell r="J28">
            <v>405</v>
          </cell>
          <cell r="K28">
            <v>164625</v>
          </cell>
          <cell r="L28">
            <v>0</v>
          </cell>
          <cell r="N28">
            <v>820055</v>
          </cell>
          <cell r="O28">
            <v>169</v>
          </cell>
          <cell r="Q28">
            <v>189596</v>
          </cell>
          <cell r="R28">
            <v>121</v>
          </cell>
          <cell r="S28">
            <v>53858.89</v>
          </cell>
          <cell r="T28">
            <v>81.569999999999709</v>
          </cell>
          <cell r="U28">
            <v>50</v>
          </cell>
          <cell r="V28">
            <v>4027</v>
          </cell>
          <cell r="W28">
            <v>13</v>
          </cell>
          <cell r="AC28">
            <v>7200572.3999999994</v>
          </cell>
          <cell r="AD28">
            <v>2874.4799999995157</v>
          </cell>
          <cell r="AF28">
            <v>13797747.6</v>
          </cell>
          <cell r="AG28">
            <v>4677.1199999991804</v>
          </cell>
          <cell r="AI28">
            <v>13703523.119999999</v>
          </cell>
          <cell r="AJ28">
            <v>243.59999999962747</v>
          </cell>
          <cell r="AL28">
            <v>16751105.280000001</v>
          </cell>
          <cell r="AM28">
            <v>48.720000000670552</v>
          </cell>
          <cell r="AO28">
            <v>17116018.080000002</v>
          </cell>
          <cell r="AP28">
            <v>8769.6000000014901</v>
          </cell>
          <cell r="AR28">
            <v>15541728.719999999</v>
          </cell>
          <cell r="AS28">
            <v>5310.4799999985844</v>
          </cell>
          <cell r="AU28">
            <v>13220172</v>
          </cell>
          <cell r="AV28">
            <v>4384.8000000007451</v>
          </cell>
          <cell r="AX28">
            <v>12707296.559999999</v>
          </cell>
          <cell r="AY28">
            <v>4189.9199999980628</v>
          </cell>
          <cell r="BA28">
            <v>10123333.92</v>
          </cell>
          <cell r="BB28">
            <v>3410.4000000003725</v>
          </cell>
          <cell r="BD28">
            <v>15717218.16</v>
          </cell>
          <cell r="BE28">
            <v>5261.7599999997765</v>
          </cell>
          <cell r="BK28">
            <v>68002400</v>
          </cell>
          <cell r="BL28">
            <v>0</v>
          </cell>
          <cell r="BN28">
            <v>70700300</v>
          </cell>
          <cell r="BO28">
            <v>0</v>
          </cell>
          <cell r="BQ28">
            <v>65148700</v>
          </cell>
          <cell r="BR28">
            <v>43700</v>
          </cell>
          <cell r="BT28">
            <v>7741200</v>
          </cell>
          <cell r="BU28">
            <v>4970</v>
          </cell>
          <cell r="BW28">
            <v>0.74</v>
          </cell>
          <cell r="BX28">
            <v>-0.12</v>
          </cell>
          <cell r="BZ28">
            <v>57268</v>
          </cell>
          <cell r="CA28">
            <v>20</v>
          </cell>
          <cell r="CB28">
            <v>48752</v>
          </cell>
          <cell r="CC28">
            <v>18</v>
          </cell>
          <cell r="CD28">
            <v>16755</v>
          </cell>
          <cell r="CE28">
            <v>4</v>
          </cell>
          <cell r="CF28">
            <v>22169</v>
          </cell>
          <cell r="CG28">
            <v>13</v>
          </cell>
          <cell r="CH28">
            <v>24210</v>
          </cell>
          <cell r="CI28">
            <v>14</v>
          </cell>
          <cell r="CJ28">
            <v>53640</v>
          </cell>
          <cell r="CK28">
            <v>24</v>
          </cell>
          <cell r="CL28">
            <v>235333</v>
          </cell>
          <cell r="CM28">
            <v>104</v>
          </cell>
          <cell r="CO28">
            <v>181192</v>
          </cell>
          <cell r="CP28">
            <v>118</v>
          </cell>
          <cell r="CR28">
            <v>320113</v>
          </cell>
          <cell r="CS28">
            <v>216</v>
          </cell>
          <cell r="CU28">
            <v>622792</v>
          </cell>
          <cell r="CV28">
            <v>243</v>
          </cell>
          <cell r="CX28">
            <v>6451</v>
          </cell>
          <cell r="CY28">
            <v>8</v>
          </cell>
          <cell r="CZ28">
            <v>3964</v>
          </cell>
          <cell r="DA28">
            <v>4</v>
          </cell>
          <cell r="DB28">
            <v>26948</v>
          </cell>
          <cell r="DC28">
            <v>15</v>
          </cell>
          <cell r="DD28">
            <v>27702</v>
          </cell>
          <cell r="DE28">
            <v>18</v>
          </cell>
          <cell r="DF28">
            <v>18728</v>
          </cell>
          <cell r="DG28">
            <v>9</v>
          </cell>
          <cell r="DH28">
            <v>21841</v>
          </cell>
          <cell r="DI28">
            <v>9</v>
          </cell>
          <cell r="DJ28">
            <v>3361</v>
          </cell>
          <cell r="DK28">
            <v>9</v>
          </cell>
          <cell r="DL28">
            <v>6856</v>
          </cell>
          <cell r="DM28">
            <v>13</v>
          </cell>
          <cell r="DN28">
            <v>1841</v>
          </cell>
          <cell r="DO28">
            <v>6</v>
          </cell>
          <cell r="DP28">
            <v>3650</v>
          </cell>
          <cell r="DQ28">
            <v>2</v>
          </cell>
          <cell r="DR28">
            <v>26334</v>
          </cell>
          <cell r="DS28">
            <v>6</v>
          </cell>
          <cell r="DU28">
            <v>3203.4</v>
          </cell>
          <cell r="DV28">
            <v>9.0999999999999091</v>
          </cell>
          <cell r="DW28">
            <v>8285.5</v>
          </cell>
          <cell r="DX28">
            <v>6.2999999999992724</v>
          </cell>
          <cell r="DY28">
            <v>2409.8000000000002</v>
          </cell>
          <cell r="DZ28">
            <v>6.4000000000000909</v>
          </cell>
          <cell r="EA28">
            <v>2555.8000000000002</v>
          </cell>
          <cell r="EB28">
            <v>7.8000000000001819</v>
          </cell>
          <cell r="EC28">
            <v>878740</v>
          </cell>
          <cell r="ED28">
            <v>555</v>
          </cell>
          <cell r="EG28">
            <v>177935.6</v>
          </cell>
          <cell r="EH28">
            <v>154.20000000001164</v>
          </cell>
          <cell r="EJ28">
            <v>10453900</v>
          </cell>
          <cell r="EK28">
            <v>3300</v>
          </cell>
          <cell r="EL28">
            <v>829290</v>
          </cell>
          <cell r="EM28">
            <v>280</v>
          </cell>
          <cell r="EN28">
            <v>6417100</v>
          </cell>
          <cell r="EO28">
            <v>800</v>
          </cell>
          <cell r="EP28">
            <v>2254600</v>
          </cell>
          <cell r="EQ28">
            <v>300</v>
          </cell>
          <cell r="ER28">
            <v>1002080</v>
          </cell>
          <cell r="ES28">
            <v>650</v>
          </cell>
          <cell r="ET28">
            <v>14330700</v>
          </cell>
          <cell r="EU28">
            <v>1500</v>
          </cell>
          <cell r="EW28">
            <v>37667</v>
          </cell>
          <cell r="EX28">
            <v>14</v>
          </cell>
          <cell r="EY28">
            <v>32551</v>
          </cell>
          <cell r="EZ28">
            <v>13</v>
          </cell>
          <cell r="FA28">
            <v>3729</v>
          </cell>
          <cell r="FB28">
            <v>10</v>
          </cell>
          <cell r="FC28">
            <v>54319</v>
          </cell>
          <cell r="FD28">
            <v>17</v>
          </cell>
          <cell r="FE28">
            <v>38079</v>
          </cell>
          <cell r="FF28">
            <v>30</v>
          </cell>
        </row>
        <row r="29">
          <cell r="B29">
            <v>0.74</v>
          </cell>
          <cell r="E29">
            <v>929111</v>
          </cell>
          <cell r="F29">
            <v>714</v>
          </cell>
          <cell r="G29">
            <v>516</v>
          </cell>
          <cell r="H29">
            <v>94716</v>
          </cell>
          <cell r="I29">
            <v>436</v>
          </cell>
          <cell r="J29">
            <v>415</v>
          </cell>
          <cell r="K29">
            <v>164625</v>
          </cell>
          <cell r="L29">
            <v>0</v>
          </cell>
          <cell r="N29">
            <v>820237</v>
          </cell>
          <cell r="O29">
            <v>182</v>
          </cell>
          <cell r="Q29">
            <v>189759</v>
          </cell>
          <cell r="R29">
            <v>163</v>
          </cell>
          <cell r="S29">
            <v>53937.48</v>
          </cell>
          <cell r="T29">
            <v>78.590000000003783</v>
          </cell>
          <cell r="U29">
            <v>44</v>
          </cell>
          <cell r="V29">
            <v>4036</v>
          </cell>
          <cell r="W29">
            <v>9</v>
          </cell>
          <cell r="AC29">
            <v>7203641.7599999998</v>
          </cell>
          <cell r="AD29">
            <v>3069.3600000003353</v>
          </cell>
          <cell r="AF29">
            <v>13802522.16</v>
          </cell>
          <cell r="AG29">
            <v>4774.5600000005215</v>
          </cell>
          <cell r="AI29">
            <v>13703718</v>
          </cell>
          <cell r="AJ29">
            <v>194.88000000081956</v>
          </cell>
          <cell r="AL29">
            <v>16751105.280000001</v>
          </cell>
          <cell r="AM29">
            <v>0</v>
          </cell>
          <cell r="AO29">
            <v>17125421.039999999</v>
          </cell>
          <cell r="AP29">
            <v>9402.9599999971688</v>
          </cell>
          <cell r="AR29">
            <v>15547623.84</v>
          </cell>
          <cell r="AS29">
            <v>5895.1200000010431</v>
          </cell>
          <cell r="AU29">
            <v>13224556.799999999</v>
          </cell>
          <cell r="AV29">
            <v>4384.7999999988824</v>
          </cell>
          <cell r="AX29">
            <v>12711437.76</v>
          </cell>
          <cell r="AY29">
            <v>4141.2000000011176</v>
          </cell>
          <cell r="BA29">
            <v>10126354.559999999</v>
          </cell>
          <cell r="BB29">
            <v>3020.6399999987334</v>
          </cell>
          <cell r="BD29">
            <v>15722674.799999999</v>
          </cell>
          <cell r="BE29">
            <v>5456.6399999987334</v>
          </cell>
          <cell r="BK29">
            <v>68002400</v>
          </cell>
          <cell r="BL29">
            <v>0</v>
          </cell>
          <cell r="BN29">
            <v>70700300</v>
          </cell>
          <cell r="BO29">
            <v>0</v>
          </cell>
          <cell r="BQ29">
            <v>65192800</v>
          </cell>
          <cell r="BR29">
            <v>44100</v>
          </cell>
          <cell r="BT29">
            <v>7746840</v>
          </cell>
          <cell r="BU29">
            <v>5640</v>
          </cell>
          <cell r="BW29">
            <v>0.68</v>
          </cell>
          <cell r="BX29">
            <v>5.9999999999999942E-2</v>
          </cell>
          <cell r="BZ29">
            <v>57288</v>
          </cell>
          <cell r="CA29">
            <v>20</v>
          </cell>
          <cell r="CB29">
            <v>48771</v>
          </cell>
          <cell r="CC29">
            <v>19</v>
          </cell>
          <cell r="CD29">
            <v>16760</v>
          </cell>
          <cell r="CE29">
            <v>5</v>
          </cell>
          <cell r="CF29">
            <v>22179</v>
          </cell>
          <cell r="CG29">
            <v>10</v>
          </cell>
          <cell r="CH29">
            <v>24222</v>
          </cell>
          <cell r="CI29">
            <v>12</v>
          </cell>
          <cell r="CJ29">
            <v>53663</v>
          </cell>
          <cell r="CK29">
            <v>23</v>
          </cell>
          <cell r="CL29">
            <v>235438</v>
          </cell>
          <cell r="CM29">
            <v>105</v>
          </cell>
          <cell r="CO29">
            <v>181310</v>
          </cell>
          <cell r="CP29">
            <v>118</v>
          </cell>
          <cell r="CR29">
            <v>320337</v>
          </cell>
          <cell r="CS29">
            <v>224</v>
          </cell>
          <cell r="CU29">
            <v>623037</v>
          </cell>
          <cell r="CV29">
            <v>245</v>
          </cell>
          <cell r="CX29">
            <v>6455</v>
          </cell>
          <cell r="CY29">
            <v>4</v>
          </cell>
          <cell r="CZ29">
            <v>3966</v>
          </cell>
          <cell r="DA29">
            <v>2</v>
          </cell>
          <cell r="DB29">
            <v>26964</v>
          </cell>
          <cell r="DC29">
            <v>16</v>
          </cell>
          <cell r="DD29">
            <v>27715</v>
          </cell>
          <cell r="DE29">
            <v>13</v>
          </cell>
          <cell r="DF29">
            <v>18737</v>
          </cell>
          <cell r="DG29">
            <v>9</v>
          </cell>
          <cell r="DH29">
            <v>21849</v>
          </cell>
          <cell r="DI29">
            <v>8</v>
          </cell>
          <cell r="DJ29">
            <v>3363</v>
          </cell>
          <cell r="DK29">
            <v>2</v>
          </cell>
          <cell r="DL29">
            <v>6870</v>
          </cell>
          <cell r="DM29">
            <v>14</v>
          </cell>
          <cell r="DN29">
            <v>1853</v>
          </cell>
          <cell r="DO29">
            <v>12</v>
          </cell>
          <cell r="DP29">
            <v>3651</v>
          </cell>
          <cell r="DQ29">
            <v>1</v>
          </cell>
          <cell r="DR29">
            <v>26343</v>
          </cell>
          <cell r="DS29">
            <v>9</v>
          </cell>
          <cell r="DU29">
            <v>3212.9</v>
          </cell>
          <cell r="DV29">
            <v>9.5</v>
          </cell>
          <cell r="DW29">
            <v>8292.1</v>
          </cell>
          <cell r="DX29">
            <v>6.6000000000003638</v>
          </cell>
          <cell r="DY29">
            <v>2416</v>
          </cell>
          <cell r="DZ29">
            <v>6.1999999999998181</v>
          </cell>
          <cell r="EA29">
            <v>2563.5</v>
          </cell>
          <cell r="EB29">
            <v>7.6999999999998181</v>
          </cell>
          <cell r="EC29">
            <v>879318</v>
          </cell>
          <cell r="ED29">
            <v>578</v>
          </cell>
          <cell r="EG29">
            <v>178084.9</v>
          </cell>
          <cell r="EH29">
            <v>149.29999999998836</v>
          </cell>
          <cell r="EJ29">
            <v>10457000</v>
          </cell>
          <cell r="EK29">
            <v>3100</v>
          </cell>
          <cell r="EL29">
            <v>829570</v>
          </cell>
          <cell r="EM29">
            <v>280</v>
          </cell>
          <cell r="EN29">
            <v>6417700</v>
          </cell>
          <cell r="EO29">
            <v>600</v>
          </cell>
          <cell r="EP29">
            <v>2255000</v>
          </cell>
          <cell r="EQ29">
            <v>400</v>
          </cell>
          <cell r="ER29">
            <v>1002760</v>
          </cell>
          <cell r="ES29">
            <v>680</v>
          </cell>
          <cell r="ET29">
            <v>14332400</v>
          </cell>
          <cell r="EU29">
            <v>1700</v>
          </cell>
          <cell r="EW29">
            <v>37683</v>
          </cell>
          <cell r="EX29">
            <v>16</v>
          </cell>
          <cell r="EY29">
            <v>32564</v>
          </cell>
          <cell r="EZ29">
            <v>13</v>
          </cell>
          <cell r="FA29">
            <v>3740</v>
          </cell>
          <cell r="FB29">
            <v>11</v>
          </cell>
          <cell r="FC29">
            <v>54334</v>
          </cell>
          <cell r="FD29">
            <v>15</v>
          </cell>
          <cell r="FE29">
            <v>38113</v>
          </cell>
          <cell r="FF29">
            <v>34</v>
          </cell>
        </row>
        <row r="30">
          <cell r="F30">
            <v>-929111</v>
          </cell>
          <cell r="G30">
            <v>501</v>
          </cell>
          <cell r="I30">
            <v>-94716</v>
          </cell>
          <cell r="J30">
            <v>417</v>
          </cell>
          <cell r="L30">
            <v>-164625</v>
          </cell>
          <cell r="O30">
            <v>-820237</v>
          </cell>
          <cell r="R30">
            <v>-189759</v>
          </cell>
          <cell r="T30">
            <v>-53937.48</v>
          </cell>
          <cell r="U30">
            <v>41</v>
          </cell>
          <cell r="W30">
            <v>-4036</v>
          </cell>
          <cell r="AD30">
            <v>-7203641.7599999998</v>
          </cell>
          <cell r="AG30">
            <v>-13802522.16</v>
          </cell>
          <cell r="AJ30">
            <v>-13703718</v>
          </cell>
          <cell r="AM30">
            <v>-16751105.280000001</v>
          </cell>
          <cell r="AP30">
            <v>-17125421.039999999</v>
          </cell>
          <cell r="AS30">
            <v>-15547623.84</v>
          </cell>
          <cell r="AV30">
            <v>-13224556.799999999</v>
          </cell>
          <cell r="AY30">
            <v>-12711437.76</v>
          </cell>
          <cell r="BB30">
            <v>-10126354.559999999</v>
          </cell>
          <cell r="BE30">
            <v>-15722674.799999999</v>
          </cell>
          <cell r="BL30">
            <v>-68002400</v>
          </cell>
          <cell r="BO30">
            <v>-70700300</v>
          </cell>
          <cell r="BR30">
            <v>-65192800</v>
          </cell>
          <cell r="BU30">
            <v>-7746840</v>
          </cell>
          <cell r="BX30">
            <v>0.68</v>
          </cell>
          <cell r="CA30">
            <v>-57288</v>
          </cell>
          <cell r="CC30">
            <v>-48771</v>
          </cell>
          <cell r="CE30">
            <v>-16760</v>
          </cell>
          <cell r="CG30">
            <v>-22179</v>
          </cell>
          <cell r="CI30">
            <v>-24222</v>
          </cell>
          <cell r="CK30">
            <v>-53663</v>
          </cell>
          <cell r="CM30">
            <v>-235438</v>
          </cell>
          <cell r="CP30">
            <v>-181310</v>
          </cell>
          <cell r="CS30">
            <v>-320337</v>
          </cell>
          <cell r="CV30">
            <v>-623037</v>
          </cell>
          <cell r="CY30">
            <v>-6455</v>
          </cell>
          <cell r="DA30">
            <v>-3966</v>
          </cell>
          <cell r="DC30">
            <v>-26964</v>
          </cell>
          <cell r="DE30">
            <v>-27715</v>
          </cell>
          <cell r="DG30">
            <v>-18737</v>
          </cell>
          <cell r="DI30">
            <v>-21849</v>
          </cell>
          <cell r="DK30">
            <v>-3363</v>
          </cell>
          <cell r="DM30">
            <v>-6870</v>
          </cell>
          <cell r="DO30">
            <v>-1853</v>
          </cell>
          <cell r="DQ30">
            <v>-3651</v>
          </cell>
          <cell r="DS30">
            <v>-26343</v>
          </cell>
          <cell r="DV30">
            <v>-3212.9</v>
          </cell>
          <cell r="DX30">
            <v>-8292.1</v>
          </cell>
          <cell r="DZ30">
            <v>-2416</v>
          </cell>
          <cell r="EB30">
            <v>-2563.5</v>
          </cell>
          <cell r="ED30">
            <v>-879318</v>
          </cell>
          <cell r="EH30">
            <v>-178084.9</v>
          </cell>
          <cell r="EK30">
            <v>-10457000</v>
          </cell>
          <cell r="EM30">
            <v>-829570</v>
          </cell>
          <cell r="EO30">
            <v>-6417700</v>
          </cell>
          <cell r="EQ30">
            <v>-2255000</v>
          </cell>
          <cell r="ES30">
            <v>-1002760</v>
          </cell>
          <cell r="EU30">
            <v>-14332400</v>
          </cell>
          <cell r="EX30">
            <v>-37683</v>
          </cell>
          <cell r="EZ30">
            <v>-32564</v>
          </cell>
          <cell r="FB30">
            <v>-3740</v>
          </cell>
          <cell r="FD30">
            <v>-54334</v>
          </cell>
          <cell r="FF30">
            <v>-38113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N11" sqref="N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0"/>
        <v>4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41119.680000003427</v>
      </c>
      <c r="F17">
        <v>0.44447999999999999</v>
      </c>
      <c r="G17" s="3">
        <f>Submetering!Z17+Submetering!AA17+Submetering!AB17</f>
        <v>833.49</v>
      </c>
      <c r="H17" s="238">
        <f t="shared" si="0"/>
        <v>4</v>
      </c>
      <c r="I17" s="3">
        <f>Submetering!G17</f>
        <v>744</v>
      </c>
      <c r="J17">
        <v>13.83</v>
      </c>
      <c r="K17" s="3">
        <f>Submetering!I17</f>
        <v>191</v>
      </c>
      <c r="L17">
        <v>1.2</v>
      </c>
      <c r="M17" s="238">
        <f>Submetering!E17</f>
        <v>199.07999999999998</v>
      </c>
      <c r="N17">
        <f>Submetering!F17</f>
        <v>362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41119.679999999702</v>
      </c>
      <c r="F18">
        <v>0.44447999999999999</v>
      </c>
      <c r="G18" s="3">
        <f>Submetering!Z18+Submetering!AA18+Submetering!AB18</f>
        <v>854.28</v>
      </c>
      <c r="H18" s="238">
        <f t="shared" si="0"/>
        <v>4</v>
      </c>
      <c r="I18" s="3">
        <f>Submetering!G18</f>
        <v>717</v>
      </c>
      <c r="J18">
        <v>13.83</v>
      </c>
      <c r="K18" s="3">
        <f>Submetering!I18</f>
        <v>174</v>
      </c>
      <c r="L18">
        <v>1.2</v>
      </c>
      <c r="M18" s="238">
        <f>Submetering!E18</f>
        <v>180.12</v>
      </c>
      <c r="N18">
        <f>Submetering!F18</f>
        <v>363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40827.360000003129</v>
      </c>
      <c r="F19">
        <v>0.44447999999999999</v>
      </c>
      <c r="G19" s="3">
        <f>Submetering!Z19+Submetering!AA19+Submetering!AB19</f>
        <v>854.28</v>
      </c>
      <c r="H19" s="238">
        <f t="shared" si="0"/>
        <v>4</v>
      </c>
      <c r="I19" s="3">
        <f>Submetering!G19</f>
        <v>697</v>
      </c>
      <c r="J19">
        <v>13.83</v>
      </c>
      <c r="K19" s="3">
        <f>Submetering!I19</f>
        <v>195</v>
      </c>
      <c r="L19">
        <v>1.2</v>
      </c>
      <c r="M19" s="238">
        <f>Submetering!E19</f>
        <v>170.64</v>
      </c>
      <c r="N19">
        <f>Submetering!F19</f>
        <v>369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39170.879999998026</v>
      </c>
      <c r="F20">
        <v>0.44447999999999999</v>
      </c>
      <c r="G20" s="3">
        <f>Submetering!Z20+Submetering!AA20+Submetering!AB20</f>
        <v>827.81999999999994</v>
      </c>
      <c r="H20" s="238">
        <f t="shared" si="0"/>
        <v>4</v>
      </c>
      <c r="I20" s="3">
        <f>Submetering!G20</f>
        <v>677</v>
      </c>
      <c r="J20">
        <v>13.83</v>
      </c>
      <c r="K20" s="3">
        <f>Submetering!I20</f>
        <v>169</v>
      </c>
      <c r="L20">
        <v>1.2</v>
      </c>
      <c r="M20" s="238">
        <f>Submetering!E20</f>
        <v>170.64</v>
      </c>
      <c r="N20">
        <f>Submetering!F20</f>
        <v>375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40340.159999997355</v>
      </c>
      <c r="F21">
        <v>0.44447999999999999</v>
      </c>
      <c r="G21" s="3">
        <f>Submetering!Z21+Submetering!AA21+Submetering!AB21</f>
        <v>844.82999999999993</v>
      </c>
      <c r="H21" s="238">
        <f t="shared" si="0"/>
        <v>4</v>
      </c>
      <c r="I21" s="3">
        <f>Submetering!G21</f>
        <v>714</v>
      </c>
      <c r="J21">
        <v>13.83</v>
      </c>
      <c r="K21" s="3">
        <f>Submetering!I21</f>
        <v>182</v>
      </c>
      <c r="L21">
        <v>1.2</v>
      </c>
      <c r="M21" s="238">
        <f>Submetering!E21</f>
        <v>175.38</v>
      </c>
      <c r="N21">
        <f>Submetering!F21</f>
        <v>385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413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63">
      <c r="A17" t="s">
        <v>59</v>
      </c>
      <c r="B17">
        <f t="shared" si="0"/>
        <v>16</v>
      </c>
      <c r="C17">
        <v>12</v>
      </c>
      <c r="D17">
        <v>2021</v>
      </c>
      <c r="E17" s="78">
        <f>0.84*237</f>
        <v>199.07999999999998</v>
      </c>
      <c r="F17" s="79">
        <f>312+50</f>
        <v>362</v>
      </c>
      <c r="G17" s="3">
        <f>'DJB Daily Readings'!C25-'DJB Daily Readings'!C24</f>
        <v>744</v>
      </c>
      <c r="H17" s="3">
        <f>'DJB Daily Readings'!F25-'DJB Daily Readings'!F24</f>
        <v>453</v>
      </c>
      <c r="I17" s="3">
        <f>'DJB Daily Readings'!K25-'DJB Daily Readings'!K24</f>
        <v>191</v>
      </c>
      <c r="J17" s="3">
        <f>'DJB Daily Readings'!K25-'DJB Daily Readings'!K24</f>
        <v>191</v>
      </c>
      <c r="K17" s="3">
        <f>'DJB Daily Readings'!O25-'DJB Daily Readings'!O24</f>
        <v>84.400000000001455</v>
      </c>
      <c r="L17" s="3">
        <f>'DJB Daily Readings'!R25-'DJB Daily Readings'!R24</f>
        <v>11</v>
      </c>
      <c r="M17" s="3">
        <f>'DJB Daily Readings'!U25-'DJB Daily Readings'!U24</f>
        <v>2143.679999999702</v>
      </c>
      <c r="N17" s="3">
        <f>'DJB Daily Readings'!X25-'DJB Daily Readings'!X24</f>
        <v>4774.5600000005215</v>
      </c>
      <c r="O17" s="3">
        <f>'DJB Daily Readings'!AA25-'DJB Daily Readings'!AA24</f>
        <v>97.439999999478459</v>
      </c>
      <c r="P17" s="3">
        <f>'DJB Daily Readings'!AD25-'DJB Daily Readings'!AD24</f>
        <v>48.719999998807907</v>
      </c>
      <c r="Q17" s="3">
        <f>'DJB Daily Readings'!AG25-'DJB Daily Readings'!AG24</f>
        <v>10718.400000002235</v>
      </c>
      <c r="R17" s="3">
        <f>'DJB Daily Readings'!AJ25-'DJB Daily Readings'!AJ24</f>
        <v>5846.4000000003725</v>
      </c>
      <c r="S17" s="3">
        <f>'DJB Daily Readings'!AM25-'DJB Daily Readings'!AM24</f>
        <v>4336.0800000000745</v>
      </c>
      <c r="T17" s="3">
        <f>'DJB Daily Readings'!AP25-'DJB Daily Readings'!AP24</f>
        <v>4141.2000000011176</v>
      </c>
      <c r="U17" s="3">
        <f>'DJB Daily Readings'!AS25-'DJB Daily Readings'!AS24</f>
        <v>3410.4000000003725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45900</v>
      </c>
      <c r="Z17" s="3">
        <f>('DJB Daily Readings'!CK25-'DJB Daily Readings'!CK24)*1.89</f>
        <v>196.56</v>
      </c>
      <c r="AA17" s="3">
        <f>('DJB Daily Readings'!CN25-'DJB Daily Readings'!CN24)*1.89</f>
        <v>219.23999999999998</v>
      </c>
      <c r="AB17" s="3">
        <f>('DJB Daily Readings'!CQ25-'DJB Daily Readings'!CQ24)*1.89</f>
        <v>417.69</v>
      </c>
      <c r="AC17" s="3">
        <f>'DJB Daily Readings'!CT25-'DJB Daily Readings'!CT24</f>
        <v>243</v>
      </c>
      <c r="AD17" s="84">
        <f>('DJB Daily Readings'!BY25-'DJB Daily Readings'!BY24)*1.89</f>
        <v>39.69</v>
      </c>
      <c r="AE17" s="84">
        <f>('DJB Daily Readings'!CA25-'DJB Daily Readings'!CA24)*1.89</f>
        <v>35.909999999999997</v>
      </c>
      <c r="AF17" s="84">
        <f>('DJB Daily Readings'!CC25-'DJB Daily Readings'!CC24)*1.89</f>
        <v>11.34</v>
      </c>
      <c r="AG17" s="84">
        <f>('DJB Daily Readings'!CE25-'DJB Daily Readings'!CE24)*1.89</f>
        <v>22.68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10</v>
      </c>
      <c r="AK17" s="81">
        <f>'DJB Daily Readings'!CW25-'DJB Daily Readings'!CW24</f>
        <v>8</v>
      </c>
      <c r="AL17" s="82">
        <f>'DJB Daily Readings'!DC25-'DJB Daily Readings'!DC24</f>
        <v>16</v>
      </c>
      <c r="AM17" s="82">
        <f>'DJB Daily Readings'!DA25-'DJB Daily Readings'!DA24</f>
        <v>18</v>
      </c>
      <c r="AN17" s="82">
        <f>'DJB Daily Readings'!DG25-'DJB Daily Readings'!DG24</f>
        <v>9</v>
      </c>
      <c r="AO17" s="82">
        <f>'DJB Daily Readings'!DE25-'DJB Daily Readings'!DE24</f>
        <v>9</v>
      </c>
      <c r="AP17" s="82">
        <f>'DJB Daily Readings'!DK25-'DJB Daily Readings'!DK24</f>
        <v>16</v>
      </c>
      <c r="AQ17" s="82">
        <f>'DJB Daily Readings'!DI25-'DJB Daily Readings'!DI24</f>
        <v>10</v>
      </c>
      <c r="AR17" s="82">
        <f>'DJB Daily Readings'!DO25-'DJB Daily Readings'!DO24</f>
        <v>7</v>
      </c>
      <c r="AS17" s="82">
        <f>'DJB Daily Readings'!DM25-'DJB Daily Readings'!DM24</f>
        <v>3</v>
      </c>
      <c r="AT17" s="82">
        <f>'DJB Daily Readings'!DQ25-'DJB Daily Readings'!DQ24</f>
        <v>0</v>
      </c>
      <c r="AU17" s="82">
        <f>'DJB Daily Readings'!DT25-'DJB Daily Readings'!DT24</f>
        <v>9.1999999999998181</v>
      </c>
      <c r="AW17" s="82">
        <f>'DJB Daily Readings'!DX25-'DJB Daily Readings'!DX24</f>
        <v>6.3000000000001819</v>
      </c>
      <c r="AX17" s="82">
        <f>'DJB Daily Readings'!DZ25-'DJB Daily Readings'!DZ24</f>
        <v>8.0999999999999091</v>
      </c>
      <c r="AY17" s="82">
        <f>'DJB Daily Readings'!EB25-'DJB Daily Readings'!EB24</f>
        <v>597</v>
      </c>
      <c r="AZ17" s="82">
        <f>'DJB Daily Readings'!ED25-'DJB Daily Readings'!ED24</f>
        <v>156.30000000001746</v>
      </c>
      <c r="BA17" s="82">
        <f>'DJB Daily Readings'!EG25-'DJB Daily Readings'!EG24</f>
        <v>3100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700</v>
      </c>
      <c r="BE17" s="82">
        <f>'DJB Daily Readings'!EM25-'DJB Daily Readings'!EM24</f>
        <v>500</v>
      </c>
      <c r="BF17" s="82">
        <f>'DJB Daily Readings'!EO25-'DJB Daily Readings'!EO24</f>
        <v>590</v>
      </c>
      <c r="BG17" s="82">
        <f>('DJB Daily Readings'!ET25-'DJB Daily Readings'!ET24)*1.89</f>
        <v>30.24</v>
      </c>
      <c r="BH17" s="82">
        <f>('DJB Daily Readings'!EV25-'DJB Daily Readings'!EV24)*1.89</f>
        <v>26.459999999999997</v>
      </c>
      <c r="BI17" s="82">
        <f>('DJB Daily Readings'!EZ25-'DJB Daily Readings'!EZ24)*1.89</f>
        <v>32.129999999999995</v>
      </c>
      <c r="BJ17" s="82">
        <f>('DJB Daily Readings'!EX25-'DJB Daily Readings'!EX24)*1.89</f>
        <v>22.68</v>
      </c>
      <c r="BK17" s="82">
        <f>('DJB Daily Readings'!FB25-'DJB Daily Readings'!FB24)*1.89</f>
        <v>58.589999999999996</v>
      </c>
    </row>
    <row r="18" spans="1:63">
      <c r="A18" t="s">
        <v>59</v>
      </c>
      <c r="B18">
        <f t="shared" si="0"/>
        <v>17</v>
      </c>
      <c r="C18">
        <v>12</v>
      </c>
      <c r="D18">
        <v>2021</v>
      </c>
      <c r="E18" s="78">
        <f>237*0.76</f>
        <v>180.12</v>
      </c>
      <c r="F18" s="79">
        <f>299+64</f>
        <v>363</v>
      </c>
      <c r="G18" s="3">
        <f>'DJB Daily Readings'!C26-'DJB Daily Readings'!C25</f>
        <v>717</v>
      </c>
      <c r="H18" s="3">
        <f>'DJB Daily Readings'!F26-'DJB Daily Readings'!F25</f>
        <v>457</v>
      </c>
      <c r="I18" s="3">
        <f>'DJB Daily Readings'!K26-'DJB Daily Readings'!K25</f>
        <v>174</v>
      </c>
      <c r="J18" s="3">
        <f>'DJB Daily Readings'!K26-'DJB Daily Readings'!K25</f>
        <v>174</v>
      </c>
      <c r="K18" s="3">
        <f>'DJB Daily Readings'!O26-'DJB Daily Readings'!O25</f>
        <v>87.980000000003201</v>
      </c>
      <c r="L18" s="3">
        <f>'DJB Daily Readings'!R26-'DJB Daily Readings'!R25</f>
        <v>12</v>
      </c>
      <c r="M18" s="3">
        <f>'DJB Daily Readings'!U26-'DJB Daily Readings'!U25</f>
        <v>1900.0800000000745</v>
      </c>
      <c r="N18" s="3">
        <f>'DJB Daily Readings'!X26-'DJB Daily Readings'!X25</f>
        <v>4677.1199999991804</v>
      </c>
      <c r="O18" s="3">
        <f>'DJB Daily Readings'!AA26-'DJB Daily Readings'!AA25</f>
        <v>97.440000001341105</v>
      </c>
      <c r="P18" s="3">
        <f>'DJB Daily Readings'!AD26-'DJB Daily Readings'!AD25</f>
        <v>48.719999998807907</v>
      </c>
      <c r="Q18" s="3">
        <f>'DJB Daily Readings'!AG26-'DJB Daily Readings'!AG25</f>
        <v>10864.560000002384</v>
      </c>
      <c r="R18" s="3">
        <f>'DJB Daily Readings'!AJ26-'DJB Daily Readings'!AJ25</f>
        <v>5651.5200000014156</v>
      </c>
      <c r="S18" s="3">
        <f>'DJB Daily Readings'!AM26-'DJB Daily Readings'!AM25</f>
        <v>4579.679999999702</v>
      </c>
      <c r="T18" s="3">
        <f>'DJB Daily Readings'!AP26-'DJB Daily Readings'!AP25</f>
        <v>4189.9199999980628</v>
      </c>
      <c r="U18" s="3">
        <f>'DJB Daily Readings'!AS26-'DJB Daily Readings'!AS25</f>
        <v>3556.5599999986589</v>
      </c>
      <c r="V18" s="3">
        <f>'DJB Daily Readings'!AV26-'DJB Daily Readings'!AV25</f>
        <v>5554.0800000000745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46300</v>
      </c>
      <c r="Z18" s="3">
        <f>('DJB Daily Readings'!CK26-'DJB Daily Readings'!CK25)*1.89</f>
        <v>200.34</v>
      </c>
      <c r="AA18" s="3">
        <f>('DJB Daily Readings'!CN26-'DJB Daily Readings'!CN25)*1.89</f>
        <v>232.47</v>
      </c>
      <c r="AB18" s="3">
        <f>('DJB Daily Readings'!CQ26-'DJB Daily Readings'!CQ25)*1.89</f>
        <v>421.46999999999997</v>
      </c>
      <c r="AC18" s="3">
        <f>'DJB Daily Readings'!CT26-'DJB Daily Readings'!CT25</f>
        <v>249</v>
      </c>
      <c r="AD18" s="84">
        <f>('DJB Daily Readings'!BY26-'DJB Daily Readings'!BY25)*1.89</f>
        <v>37.799999999999997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34.019999999999996</v>
      </c>
      <c r="AI18" s="84">
        <f>('DJB Daily Readings'!CI26-'DJB Daily Readings'!CI25)*1.89</f>
        <v>47.25</v>
      </c>
      <c r="AJ18" s="81">
        <f>'DJB Daily Readings'!CY26-'DJB Daily Readings'!CY25</f>
        <v>8</v>
      </c>
      <c r="AK18" s="81">
        <f>'DJB Daily Readings'!CW26-'DJB Daily Readings'!CW25</f>
        <v>10</v>
      </c>
      <c r="AL18" s="82">
        <f>'DJB Daily Readings'!DC26-'DJB Daily Readings'!DC25</f>
        <v>20</v>
      </c>
      <c r="AM18" s="82">
        <f>'DJB Daily Readings'!DA26-'DJB Daily Readings'!DA25</f>
        <v>13</v>
      </c>
      <c r="AN18" s="82">
        <f>'DJB Daily Readings'!DG26-'DJB Daily Readings'!DG25</f>
        <v>9</v>
      </c>
      <c r="AO18" s="82">
        <f>'DJB Daily Readings'!DE26-'DJB Daily Readings'!DE25</f>
        <v>9</v>
      </c>
      <c r="AP18" s="82">
        <f>'DJB Daily Readings'!DK26-'DJB Daily Readings'!DK25</f>
        <v>16</v>
      </c>
      <c r="AQ18" s="82">
        <f>'DJB Daily Readings'!DI26-'DJB Daily Readings'!DI25</f>
        <v>10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3</v>
      </c>
      <c r="AU18" s="82">
        <f>'DJB Daily Readings'!DT26-'DJB Daily Readings'!DT25</f>
        <v>9.4000000000000909</v>
      </c>
      <c r="AW18" s="82">
        <f>'DJB Daily Readings'!DX26-'DJB Daily Readings'!DX25</f>
        <v>6</v>
      </c>
      <c r="AX18" s="82">
        <f>'DJB Daily Readings'!DZ26-'DJB Daily Readings'!DZ25</f>
        <v>8.3000000000001819</v>
      </c>
      <c r="AY18" s="82">
        <f>'DJB Daily Readings'!EB26-'DJB Daily Readings'!EB25</f>
        <v>593</v>
      </c>
      <c r="AZ18" s="82">
        <f>'DJB Daily Readings'!ED26-'DJB Daily Readings'!ED25</f>
        <v>154.79999999998836</v>
      </c>
      <c r="BA18" s="82">
        <f>'DJB Daily Readings'!EG26-'DJB Daily Readings'!EG25</f>
        <v>3900</v>
      </c>
      <c r="BB18" s="82">
        <f>'DJB Daily Readings'!EI26-'DJB Daily Readings'!EI25</f>
        <v>300</v>
      </c>
      <c r="BC18" s="82">
        <f>'DJB Daily Readings'!EQ26-'DJB Daily Readings'!EQ25</f>
        <v>2300</v>
      </c>
      <c r="BD18" s="82">
        <f>'DJB Daily Readings'!EK26-'DJB Daily Readings'!EK25</f>
        <v>800</v>
      </c>
      <c r="BE18" s="82">
        <f>'DJB Daily Readings'!EM26-'DJB Daily Readings'!EM25</f>
        <v>400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34.019999999999996</v>
      </c>
      <c r="BJ18" s="82">
        <f>('DJB Daily Readings'!EX26-'DJB Daily Readings'!EX25)*1.89</f>
        <v>30.24</v>
      </c>
      <c r="BK18" s="82">
        <f>('DJB Daily Readings'!FB26-'DJB Daily Readings'!FB25)*1.89</f>
        <v>64.259999999999991</v>
      </c>
    </row>
    <row r="19" spans="1:63">
      <c r="A19" t="s">
        <v>59</v>
      </c>
      <c r="B19">
        <f t="shared" si="0"/>
        <v>18</v>
      </c>
      <c r="C19">
        <v>12</v>
      </c>
      <c r="D19">
        <v>2021</v>
      </c>
      <c r="E19" s="78">
        <f>0.72*237</f>
        <v>170.64</v>
      </c>
      <c r="F19" s="79">
        <f>289+80</f>
        <v>369</v>
      </c>
      <c r="G19" s="3">
        <f>'DJB Daily Readings'!C27-'DJB Daily Readings'!C26</f>
        <v>697</v>
      </c>
      <c r="H19" s="3">
        <f>'DJB Daily Readings'!F27-'DJB Daily Readings'!F26</f>
        <v>460</v>
      </c>
      <c r="I19" s="3">
        <f>'DJB Daily Readings'!K27-'DJB Daily Readings'!K26</f>
        <v>195</v>
      </c>
      <c r="J19" s="3">
        <f>'DJB Daily Readings'!K27-'DJB Daily Readings'!K26</f>
        <v>195</v>
      </c>
      <c r="K19" s="3">
        <f>'DJB Daily Readings'!O27-'DJB Daily Readings'!O26</f>
        <v>77.739999999997963</v>
      </c>
      <c r="L19" s="3">
        <f>'DJB Daily Readings'!R27-'DJB Daily Readings'!R26</f>
        <v>9</v>
      </c>
      <c r="M19" s="3">
        <f>'DJB Daily Readings'!U27-'DJB Daily Readings'!U26</f>
        <v>2971.9199999999255</v>
      </c>
      <c r="N19" s="3">
        <f>'DJB Daily Readings'!X27-'DJB Daily Readings'!X26</f>
        <v>4823.2800000011921</v>
      </c>
      <c r="O19" s="3">
        <f>'DJB Daily Readings'!AA27-'DJB Daily Readings'!AA26</f>
        <v>194.87999999895692</v>
      </c>
      <c r="P19" s="3">
        <f>'DJB Daily Readings'!AD27-'DJB Daily Readings'!AD26</f>
        <v>48.720000002533197</v>
      </c>
      <c r="Q19" s="3">
        <f>'DJB Daily Readings'!AG27-'DJB Daily Readings'!AG26</f>
        <v>9061.9199999980628</v>
      </c>
      <c r="R19" s="3">
        <f>'DJB Daily Readings'!AJ27-'DJB Daily Readings'!AJ26</f>
        <v>5846.4000000003725</v>
      </c>
      <c r="S19" s="3">
        <f>'DJB Daily Readings'!AM27-'DJB Daily Readings'!AM26</f>
        <v>4579.679999999702</v>
      </c>
      <c r="T19" s="3">
        <f>'DJB Daily Readings'!AP27-'DJB Daily Readings'!AP26</f>
        <v>4336.0800000019372</v>
      </c>
      <c r="U19" s="3">
        <f>'DJB Daily Readings'!AS27-'DJB Daily Readings'!AS26</f>
        <v>3361.679999999702</v>
      </c>
      <c r="V19" s="3">
        <f>'DJB Daily Readings'!AV27-'DJB Daily Readings'!AV26</f>
        <v>5602.8000000007451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42800</v>
      </c>
      <c r="Z19" s="3">
        <f>('DJB Daily Readings'!CK27-'DJB Daily Readings'!CK26)*1.89</f>
        <v>200.34</v>
      </c>
      <c r="AA19" s="3">
        <f>('DJB Daily Readings'!CN27-'DJB Daily Readings'!CN26)*1.89</f>
        <v>226.79999999999998</v>
      </c>
      <c r="AB19" s="3">
        <f>('DJB Daily Readings'!CQ27-'DJB Daily Readings'!CQ26)*1.89</f>
        <v>427.14</v>
      </c>
      <c r="AC19" s="3">
        <f>'DJB Daily Readings'!CT27-'DJB Daily Readings'!CT26</f>
        <v>248</v>
      </c>
      <c r="AD19" s="84">
        <f>('DJB Daily Readings'!BY27-'DJB Daily Readings'!BY26)*1.89</f>
        <v>37.799999999999997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47.25</v>
      </c>
      <c r="AJ19" s="81">
        <f>'DJB Daily Readings'!CY27-'DJB Daily Readings'!CY26</f>
        <v>8</v>
      </c>
      <c r="AK19" s="81">
        <f>'DJB Daily Readings'!CW27-'DJB Daily Readings'!CW26</f>
        <v>8</v>
      </c>
      <c r="AL19" s="82">
        <f>'DJB Daily Readings'!DC27-'DJB Daily Readings'!DC26</f>
        <v>18</v>
      </c>
      <c r="AM19" s="82">
        <f>'DJB Daily Readings'!DA27-'DJB Daily Readings'!DA26</f>
        <v>15</v>
      </c>
      <c r="AN19" s="82">
        <f>'DJB Daily Readings'!DG27-'DJB Daily Readings'!DG26</f>
        <v>9</v>
      </c>
      <c r="AO19" s="82">
        <f>'DJB Daily Readings'!DE27-'DJB Daily Readings'!DE26</f>
        <v>9</v>
      </c>
      <c r="AP19" s="82">
        <f>'DJB Daily Readings'!DK27-'DJB Daily Readings'!DK26</f>
        <v>13</v>
      </c>
      <c r="AQ19" s="82">
        <f>'DJB Daily Readings'!DI27-'DJB Daily Readings'!DI26</f>
        <v>9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8.2000000000002728</v>
      </c>
      <c r="AW19" s="82">
        <f>'DJB Daily Readings'!DX27-'DJB Daily Readings'!DX26</f>
        <v>6.4000000000000909</v>
      </c>
      <c r="AX19" s="82">
        <f>'DJB Daily Readings'!DZ27-'DJB Daily Readings'!DZ26</f>
        <v>7.0999999999999091</v>
      </c>
      <c r="AY19" s="82">
        <f>'DJB Daily Readings'!EB27-'DJB Daily Readings'!EB26</f>
        <v>585</v>
      </c>
      <c r="AZ19" s="82">
        <f>'DJB Daily Readings'!ED27-'DJB Daily Readings'!ED26</f>
        <v>152</v>
      </c>
      <c r="BA19" s="82">
        <f>'DJB Daily Readings'!EG27-'DJB Daily Readings'!EG26</f>
        <v>2400</v>
      </c>
      <c r="BB19" s="82">
        <f>'DJB Daily Readings'!EI27-'DJB Daily Readings'!EI26</f>
        <v>250</v>
      </c>
      <c r="BC19" s="82">
        <f>'DJB Daily Readings'!EQ27-'DJB Daily Readings'!EQ26</f>
        <v>1500</v>
      </c>
      <c r="BD19" s="82">
        <f>'DJB Daily Readings'!EK27-'DJB Daily Readings'!EK26</f>
        <v>600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30.24</v>
      </c>
      <c r="BJ19" s="82">
        <f>('DJB Daily Readings'!EX27-'DJB Daily Readings'!EX26)*1.89</f>
        <v>28.349999999999998</v>
      </c>
      <c r="BK19" s="82">
        <f>('DJB Daily Readings'!FB27-'DJB Daily Readings'!FB26)*1.89</f>
        <v>62.37</v>
      </c>
    </row>
    <row r="20" spans="1:63">
      <c r="A20" t="s">
        <v>59</v>
      </c>
      <c r="B20">
        <f t="shared" si="0"/>
        <v>19</v>
      </c>
      <c r="C20">
        <v>12</v>
      </c>
      <c r="D20">
        <v>2021</v>
      </c>
      <c r="E20" s="78">
        <f>0.72*237</f>
        <v>170.64</v>
      </c>
      <c r="F20" s="79">
        <f>277+98</f>
        <v>375</v>
      </c>
      <c r="G20" s="3">
        <f>'DJB Daily Readings'!C28-'DJB Daily Readings'!C27</f>
        <v>677</v>
      </c>
      <c r="H20" s="3">
        <f>'DJB Daily Readings'!F28-'DJB Daily Readings'!F27</f>
        <v>413</v>
      </c>
      <c r="I20" s="3">
        <f>'DJB Daily Readings'!K28-'DJB Daily Readings'!K27</f>
        <v>169</v>
      </c>
      <c r="J20" s="3">
        <f>'DJB Daily Readings'!K28-'DJB Daily Readings'!K27</f>
        <v>169</v>
      </c>
      <c r="K20" s="3">
        <f>'DJB Daily Readings'!O28-'DJB Daily Readings'!O27</f>
        <v>81.569999999999709</v>
      </c>
      <c r="L20" s="3">
        <f>'DJB Daily Readings'!R28-'DJB Daily Readings'!R27</f>
        <v>13</v>
      </c>
      <c r="M20" s="3">
        <f>'DJB Daily Readings'!U28-'DJB Daily Readings'!U27</f>
        <v>2874.4799999995157</v>
      </c>
      <c r="N20" s="3">
        <f>'DJB Daily Readings'!X28-'DJB Daily Readings'!X27</f>
        <v>4677.1199999991804</v>
      </c>
      <c r="O20" s="3">
        <f>'DJB Daily Readings'!AA28-'DJB Daily Readings'!AA27</f>
        <v>243.59999999962747</v>
      </c>
      <c r="P20" s="3">
        <f>'DJB Daily Readings'!AD28-'DJB Daily Readings'!AD27</f>
        <v>48.720000000670552</v>
      </c>
      <c r="Q20" s="3">
        <f>'DJB Daily Readings'!AG28-'DJB Daily Readings'!AG27</f>
        <v>8769.6000000014901</v>
      </c>
      <c r="R20" s="3">
        <f>'DJB Daily Readings'!AJ28-'DJB Daily Readings'!AJ27</f>
        <v>5310.4799999985844</v>
      </c>
      <c r="S20" s="3">
        <f>'DJB Daily Readings'!AM28-'DJB Daily Readings'!AM27</f>
        <v>4384.8000000007451</v>
      </c>
      <c r="T20" s="3">
        <f>'DJB Daily Readings'!AP28-'DJB Daily Readings'!AP27</f>
        <v>4189.9199999980628</v>
      </c>
      <c r="U20" s="3">
        <f>'DJB Daily Readings'!AS28-'DJB Daily Readings'!AS27</f>
        <v>3410.4000000003725</v>
      </c>
      <c r="V20" s="3">
        <f>'DJB Daily Readings'!AV28-'DJB Daily Readings'!AV27</f>
        <v>5261.7599999997765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43700</v>
      </c>
      <c r="Z20" s="3">
        <f>('DJB Daily Readings'!CK28-'DJB Daily Readings'!CK27)*1.89</f>
        <v>196.56</v>
      </c>
      <c r="AA20" s="3">
        <f>('DJB Daily Readings'!CN28-'DJB Daily Readings'!CN27)*1.89</f>
        <v>223.01999999999998</v>
      </c>
      <c r="AB20" s="3">
        <f>('DJB Daily Readings'!CQ28-'DJB Daily Readings'!CQ27)*1.89</f>
        <v>408.23999999999995</v>
      </c>
      <c r="AC20" s="3">
        <f>'DJB Daily Readings'!CT28-'DJB Daily Readings'!CT27</f>
        <v>243</v>
      </c>
      <c r="AD20" s="84">
        <f>('DJB Daily Readings'!BY28-'DJB Daily Readings'!BY27)*1.89</f>
        <v>37.799999999999997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24.57</v>
      </c>
      <c r="AH20" s="84">
        <f>('DJB Daily Readings'!CG28-'DJB Daily Readings'!CG27)*1.89</f>
        <v>26.459999999999997</v>
      </c>
      <c r="AI20" s="84">
        <f>('DJB Daily Readings'!CI28-'DJB Daily Readings'!CI27)*1.89</f>
        <v>45.36</v>
      </c>
      <c r="AJ20" s="81">
        <f>'DJB Daily Readings'!CY28-'DJB Daily Readings'!CY27</f>
        <v>4</v>
      </c>
      <c r="AK20" s="81">
        <f>'DJB Daily Readings'!CW28-'DJB Daily Readings'!CW27</f>
        <v>8</v>
      </c>
      <c r="AL20" s="82">
        <f>'DJB Daily Readings'!DC28-'DJB Daily Readings'!DC27</f>
        <v>18</v>
      </c>
      <c r="AM20" s="82">
        <f>'DJB Daily Readings'!DA28-'DJB Daily Readings'!DA27</f>
        <v>15</v>
      </c>
      <c r="AN20" s="82">
        <f>'DJB Daily Readings'!DG28-'DJB Daily Readings'!DG27</f>
        <v>9</v>
      </c>
      <c r="AO20" s="82">
        <f>'DJB Daily Readings'!DE28-'DJB Daily Readings'!DE27</f>
        <v>9</v>
      </c>
      <c r="AP20" s="82">
        <f>'DJB Daily Readings'!DK28-'DJB Daily Readings'!DK27</f>
        <v>13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9.0999999999999091</v>
      </c>
      <c r="AW20" s="82">
        <f>'DJB Daily Readings'!DX28-'DJB Daily Readings'!DX27</f>
        <v>6.4000000000000909</v>
      </c>
      <c r="AX20" s="82">
        <f>'DJB Daily Readings'!DZ28-'DJB Daily Readings'!DZ27</f>
        <v>7.8000000000001819</v>
      </c>
      <c r="AY20" s="82">
        <f>'DJB Daily Readings'!EB28-'DJB Daily Readings'!EB27</f>
        <v>555</v>
      </c>
      <c r="AZ20" s="82">
        <f>'DJB Daily Readings'!ED28-'DJB Daily Readings'!ED27</f>
        <v>154.20000000001164</v>
      </c>
      <c r="BA20" s="82">
        <f>'DJB Daily Readings'!EG28-'DJB Daily Readings'!EG27</f>
        <v>3300</v>
      </c>
      <c r="BB20" s="82">
        <f>'DJB Daily Readings'!EI28-'DJB Daily Readings'!EI27</f>
        <v>280</v>
      </c>
      <c r="BC20" s="82">
        <f>'DJB Daily Readings'!EQ28-'DJB Daily Readings'!EQ27</f>
        <v>1500</v>
      </c>
      <c r="BD20" s="82">
        <f>'DJB Daily Readings'!EK28-'DJB Daily Readings'!EK27</f>
        <v>800</v>
      </c>
      <c r="BE20" s="82">
        <f>'DJB Daily Readings'!EM28-'DJB Daily Readings'!EM27</f>
        <v>300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18.899999999999999</v>
      </c>
      <c r="BK20" s="82">
        <f>('DJB Daily Readings'!FB28-'DJB Daily Readings'!FB27)*1.89</f>
        <v>56.699999999999996</v>
      </c>
    </row>
    <row r="21" spans="1:63">
      <c r="A21" t="s">
        <v>59</v>
      </c>
      <c r="B21">
        <f t="shared" si="0"/>
        <v>20</v>
      </c>
      <c r="C21">
        <v>12</v>
      </c>
      <c r="D21">
        <v>2021</v>
      </c>
      <c r="E21" s="78">
        <f>0.74*237</f>
        <v>175.38</v>
      </c>
      <c r="F21" s="79">
        <f>289+96</f>
        <v>385</v>
      </c>
      <c r="G21" s="3">
        <f>'DJB Daily Readings'!C29-'DJB Daily Readings'!C28</f>
        <v>714</v>
      </c>
      <c r="H21" s="3">
        <f>'DJB Daily Readings'!F29-'DJB Daily Readings'!F28</f>
        <v>436</v>
      </c>
      <c r="I21" s="3">
        <f>'DJB Daily Readings'!K29-'DJB Daily Readings'!K28</f>
        <v>182</v>
      </c>
      <c r="J21" s="3">
        <f>'DJB Daily Readings'!K29-'DJB Daily Readings'!K28</f>
        <v>182</v>
      </c>
      <c r="K21" s="3">
        <f>'DJB Daily Readings'!O29-'DJB Daily Readings'!O28</f>
        <v>78.590000000003783</v>
      </c>
      <c r="L21" s="3">
        <f>'DJB Daily Readings'!R29-'DJB Daily Readings'!R28</f>
        <v>9</v>
      </c>
      <c r="M21" s="3">
        <f>'DJB Daily Readings'!U29-'DJB Daily Readings'!U28</f>
        <v>3069.3600000003353</v>
      </c>
      <c r="N21" s="3">
        <f>'DJB Daily Readings'!X29-'DJB Daily Readings'!X28</f>
        <v>4774.5600000005215</v>
      </c>
      <c r="O21" s="3">
        <f>'DJB Daily Readings'!AA29-'DJB Daily Readings'!AA28</f>
        <v>194.88000000081956</v>
      </c>
      <c r="P21" s="3">
        <f>'DJB Daily Readings'!AD29-'DJB Daily Readings'!AD28</f>
        <v>0</v>
      </c>
      <c r="Q21" s="3">
        <f>'DJB Daily Readings'!AG29-'DJB Daily Readings'!AG28</f>
        <v>9402.9599999971688</v>
      </c>
      <c r="R21" s="3">
        <f>'DJB Daily Readings'!AJ29-'DJB Daily Readings'!AJ28</f>
        <v>5895.1200000010431</v>
      </c>
      <c r="S21" s="3">
        <f>'DJB Daily Readings'!AM29-'DJB Daily Readings'!AM28</f>
        <v>4384.7999999988824</v>
      </c>
      <c r="T21" s="3">
        <f>'DJB Daily Readings'!AP29-'DJB Daily Readings'!AP28</f>
        <v>4141.2000000011176</v>
      </c>
      <c r="U21" s="3">
        <f>'DJB Daily Readings'!AS29-'DJB Daily Readings'!AS28</f>
        <v>3020.6399999987334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44100</v>
      </c>
      <c r="Z21" s="3">
        <f>('DJB Daily Readings'!CK29-'DJB Daily Readings'!CK28)*1.89</f>
        <v>198.45</v>
      </c>
      <c r="AA21" s="3">
        <f>('DJB Daily Readings'!CN29-'DJB Daily Readings'!CN28)*1.89</f>
        <v>223.01999999999998</v>
      </c>
      <c r="AB21" s="3">
        <f>('DJB Daily Readings'!CQ29-'DJB Daily Readings'!CQ28)*1.89</f>
        <v>423.35999999999996</v>
      </c>
      <c r="AC21" s="3">
        <f>'DJB Daily Readings'!CT29-'DJB Daily Readings'!CT28</f>
        <v>245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43.47</v>
      </c>
      <c r="AJ21" s="81">
        <f>'DJB Daily Readings'!CY29-'DJB Daily Readings'!CY28</f>
        <v>2</v>
      </c>
      <c r="AK21" s="81">
        <f>'DJB Daily Readings'!CW29-'DJB Daily Readings'!CW28</f>
        <v>4</v>
      </c>
      <c r="AL21" s="82">
        <f>'DJB Daily Readings'!DC29-'DJB Daily Readings'!DC28</f>
        <v>13</v>
      </c>
      <c r="AM21" s="82">
        <f>'DJB Daily Readings'!DA29-'DJB Daily Readings'!DA28</f>
        <v>16</v>
      </c>
      <c r="AN21" s="82">
        <f>'DJB Daily Readings'!DG29-'DJB Daily Readings'!DG28</f>
        <v>8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2</v>
      </c>
      <c r="AR21" s="82">
        <f>'DJB Daily Readings'!DO29-'DJB Daily Readings'!DO28</f>
        <v>1</v>
      </c>
      <c r="AS21" s="82">
        <f>'DJB Daily Readings'!DM29-'DJB Daily Readings'!DM28</f>
        <v>12</v>
      </c>
      <c r="AT21" s="82">
        <f>'DJB Daily Readings'!DQ29-'DJB Daily Readings'!DQ28</f>
        <v>9</v>
      </c>
      <c r="AU21" s="82">
        <f>'DJB Daily Readings'!DT29-'DJB Daily Readings'!DT28</f>
        <v>9.5</v>
      </c>
      <c r="AW21" s="82">
        <f>'DJB Daily Readings'!DX29-'DJB Daily Readings'!DX28</f>
        <v>6.1999999999998181</v>
      </c>
      <c r="AX21" s="82">
        <f>'DJB Daily Readings'!DZ29-'DJB Daily Readings'!DZ28</f>
        <v>7.6999999999998181</v>
      </c>
      <c r="AY21" s="82">
        <f>'DJB Daily Readings'!EB29-'DJB Daily Readings'!EB28</f>
        <v>578</v>
      </c>
      <c r="AZ21" s="82">
        <f>'DJB Daily Readings'!ED29-'DJB Daily Readings'!ED28</f>
        <v>149.29999999998836</v>
      </c>
      <c r="BA21" s="82">
        <f>'DJB Daily Readings'!EG29-'DJB Daily Readings'!EG28</f>
        <v>3100</v>
      </c>
      <c r="BB21" s="82">
        <f>'DJB Daily Readings'!EI29-'DJB Daily Readings'!EI28</f>
        <v>280</v>
      </c>
      <c r="BC21" s="82">
        <f>'DJB Daily Readings'!EQ29-'DJB Daily Readings'!EQ28</f>
        <v>1700</v>
      </c>
      <c r="BD21" s="82">
        <f>'DJB Daily Readings'!EK29-'DJB Daily Readings'!EK28</f>
        <v>600</v>
      </c>
      <c r="BE21" s="82">
        <f>'DJB Daily Readings'!EM29-'DJB Daily Readings'!EM28</f>
        <v>400</v>
      </c>
      <c r="BF21" s="82">
        <f>'DJB Daily Readings'!EO29-'DJB Daily Readings'!EO28</f>
        <v>680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20.79</v>
      </c>
      <c r="BK21" s="82">
        <f>('DJB Daily Readings'!FB29-'DJB Daily Readings'!FB28)*1.89</f>
        <v>64.259999999999991</v>
      </c>
    </row>
    <row r="22" spans="1:63">
      <c r="A22" t="s">
        <v>59</v>
      </c>
      <c r="B22">
        <f t="shared" si="0"/>
        <v>21</v>
      </c>
      <c r="C22">
        <v>12</v>
      </c>
      <c r="D22">
        <v>2021</v>
      </c>
      <c r="E22" s="78"/>
      <c r="F22" s="79">
        <f>312+101</f>
        <v>413</v>
      </c>
      <c r="AJ22" s="81"/>
      <c r="AK22" s="81"/>
    </row>
    <row r="23" spans="1:63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63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Q23" activePane="bottomRight" state="frozen"/>
      <selection pane="topRight" activeCell="B1" sqref="B1"/>
      <selection pane="bottomLeft" activeCell="A9" sqref="A9"/>
      <selection pane="bottomRight" activeCell="CC29" sqref="CC2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518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84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391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451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436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375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42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518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84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391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451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436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375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42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518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84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391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451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436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375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42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518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84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391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451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436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375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42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518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84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391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451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436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375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42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518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84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391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451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436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375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42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518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84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391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451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436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375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42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518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84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391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451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436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375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42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>
      <c r="A25" s="207">
        <v>43846</v>
      </c>
      <c r="B25" s="209">
        <f>'[1]December - 2021'!B25</f>
        <v>0.84</v>
      </c>
      <c r="C25" s="250">
        <f>'[1]December - 2021'!E25</f>
        <v>926306</v>
      </c>
      <c r="D25" s="170">
        <f>'[1]December - 2021'!F25</f>
        <v>744</v>
      </c>
      <c r="E25" s="168">
        <f>'[1]December - 2021'!G25</f>
        <v>483</v>
      </c>
      <c r="F25" s="168">
        <f>'[1]December - 2021'!H25</f>
        <v>92950</v>
      </c>
      <c r="G25" s="170">
        <f>'[1]December - 2021'!I25</f>
        <v>453</v>
      </c>
      <c r="H25" s="168">
        <f>'[1]December - 2021'!J25</f>
        <v>406</v>
      </c>
      <c r="I25" s="168">
        <f>'[1]December - 2021'!K25</f>
        <v>164625</v>
      </c>
      <c r="J25" s="170">
        <f>'[1]December - 2021'!L25</f>
        <v>0</v>
      </c>
      <c r="K25" s="168">
        <f>'[1]December - 2021'!N25</f>
        <v>819517</v>
      </c>
      <c r="L25" s="170">
        <f>'[1]December - 2021'!O25</f>
        <v>191</v>
      </c>
      <c r="M25" s="168">
        <f>'[1]December - 2021'!Q25</f>
        <v>189232</v>
      </c>
      <c r="N25" s="170">
        <f>'[1]December - 2021'!R25</f>
        <v>148</v>
      </c>
      <c r="O25" s="168">
        <f>'[1]December - 2021'!S25</f>
        <v>53611.6</v>
      </c>
      <c r="P25" s="170">
        <f>'[1]December - 2021'!T25</f>
        <v>84.400000000001455</v>
      </c>
      <c r="Q25" s="168">
        <f>'[1]December - 2021'!U25</f>
        <v>40</v>
      </c>
      <c r="R25" s="168">
        <f>'[1]December - 2021'!V25</f>
        <v>3993</v>
      </c>
      <c r="S25" s="208">
        <f>'[1]December - 2021'!W25</f>
        <v>11</v>
      </c>
      <c r="T25" s="518"/>
      <c r="U25" s="169">
        <f>'[1]December - 2021'!AC25</f>
        <v>7192825.9199999999</v>
      </c>
      <c r="V25" s="288">
        <f>'[1]December - 2021'!AD25</f>
        <v>2143.679999999702</v>
      </c>
      <c r="W25" s="92">
        <f>'[1]December - 2021'!AD25</f>
        <v>2143.679999999702</v>
      </c>
      <c r="X25" s="287">
        <f>'[1]December - 2021'!AF25</f>
        <v>13783570.08</v>
      </c>
      <c r="Y25" s="288">
        <f>'[1]December - 2021'!AG25</f>
        <v>4774.5600000005215</v>
      </c>
      <c r="Z25" s="92">
        <f>'[1]December - 2021'!AG25</f>
        <v>4774.5600000005215</v>
      </c>
      <c r="AA25" s="287">
        <f>'[1]December - 2021'!AI25</f>
        <v>13702987.199999999</v>
      </c>
      <c r="AB25" s="288">
        <f>'[1]December - 2021'!AJ25</f>
        <v>97.439999999478459</v>
      </c>
      <c r="AC25" s="92">
        <f>'[1]December - 2021'!AJ25</f>
        <v>97.439999999478459</v>
      </c>
      <c r="AD25" s="287">
        <f>'[1]December - 2021'!AL25</f>
        <v>16750959.119999999</v>
      </c>
      <c r="AE25" s="288">
        <f>'[1]December - 2021'!AM25</f>
        <v>48.719999998807907</v>
      </c>
      <c r="AF25" s="92">
        <f>'[1]December - 2021'!AM25</f>
        <v>48.719999998807907</v>
      </c>
      <c r="AG25" s="287">
        <f>'[1]December - 2021'!AO25</f>
        <v>17087322</v>
      </c>
      <c r="AH25" s="288">
        <f>'[1]December - 2021'!AP25</f>
        <v>10718.400000002235</v>
      </c>
      <c r="AI25" s="92">
        <f>'[1]December - 2021'!AP25</f>
        <v>10718.400000002235</v>
      </c>
      <c r="AJ25" s="287">
        <f>'[1]December - 2021'!AR25</f>
        <v>15524920.319999998</v>
      </c>
      <c r="AK25" s="288">
        <f>'[1]December - 2021'!AS25</f>
        <v>5846.4000000003725</v>
      </c>
      <c r="AL25" s="92">
        <f>'[1]December - 2021'!AS25</f>
        <v>5846.4000000003725</v>
      </c>
      <c r="AM25" s="287">
        <f>'[1]December - 2021'!AU25</f>
        <v>13206627.84</v>
      </c>
      <c r="AN25" s="288">
        <f>'[1]December - 2021'!AV25</f>
        <v>4336.0800000000745</v>
      </c>
      <c r="AO25" s="92">
        <f>'[1]December - 2021'!AV25</f>
        <v>4336.0800000000745</v>
      </c>
      <c r="AP25" s="287">
        <f>'[1]December - 2021'!AX25</f>
        <v>12694580.640000001</v>
      </c>
      <c r="AQ25" s="288">
        <f>'[1]December - 2021'!AY25</f>
        <v>4141.2000000011176</v>
      </c>
      <c r="AR25" s="92">
        <f>'[1]December - 2021'!AY25</f>
        <v>4141.2000000011176</v>
      </c>
      <c r="AS25" s="287">
        <f>'[1]December - 2021'!BA25</f>
        <v>10113005.280000001</v>
      </c>
      <c r="AT25" s="288">
        <f>'[1]December - 2021'!BB25</f>
        <v>3410.4000000003725</v>
      </c>
      <c r="AU25" s="92">
        <f>'[1]December - 2021'!BB25</f>
        <v>3410.4000000003725</v>
      </c>
      <c r="AV25" s="287">
        <f>'[1]December - 2021'!BD25</f>
        <v>15700799.52</v>
      </c>
      <c r="AW25" s="252">
        <f>'[1]December - 2021'!BE25</f>
        <v>5602.8000000007451</v>
      </c>
      <c r="AX25" s="253">
        <f>'[1]December - 2021'!BE25</f>
        <v>5602.8000000007451</v>
      </c>
      <c r="AY25" s="484"/>
      <c r="AZ25" s="272">
        <f>'[1]December - 2021'!BK25</f>
        <v>68002400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70700300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65015900</v>
      </c>
      <c r="BG25" s="245">
        <f>'[1]December - 2021'!BR25</f>
        <v>45900</v>
      </c>
      <c r="BH25" s="93">
        <f>'[1]December - 2021'!BR25</f>
        <v>45900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7724840</v>
      </c>
      <c r="BT25" s="185">
        <f>'[1]December - 2021'!BU25</f>
        <v>5950</v>
      </c>
      <c r="BU25" s="391"/>
      <c r="BV25" s="88">
        <f>'[1]December - 2021'!BW25</f>
        <v>0.57999999999999996</v>
      </c>
      <c r="BW25" s="241">
        <f>'[1]December - 2021'!BX25</f>
        <v>6.0000000000000053E-2</v>
      </c>
      <c r="BX25" s="88">
        <f>'[1]December - 2021'!BX25</f>
        <v>6.0000000000000053E-2</v>
      </c>
      <c r="BY25" s="89">
        <f>'[1]December - 2021'!BZ25</f>
        <v>57208</v>
      </c>
      <c r="BZ25" s="191">
        <f>'[1]December - 2021'!CA25</f>
        <v>21</v>
      </c>
      <c r="CA25" s="89">
        <f>'[1]December - 2021'!CB25</f>
        <v>48697</v>
      </c>
      <c r="CB25" s="191">
        <f>'[1]December - 2021'!CC25</f>
        <v>19</v>
      </c>
      <c r="CC25" s="89">
        <f>'[1]December - 2021'!CD25</f>
        <v>16740</v>
      </c>
      <c r="CD25" s="191">
        <f>'[1]December - 2021'!CE25</f>
        <v>6</v>
      </c>
      <c r="CE25" s="89">
        <f>'[1]December - 2021'!CF25</f>
        <v>22134</v>
      </c>
      <c r="CF25" s="191">
        <f>'[1]December - 2021'!CG25</f>
        <v>12</v>
      </c>
      <c r="CG25" s="89">
        <f>'[1]December - 2021'!CH25</f>
        <v>24162</v>
      </c>
      <c r="CH25" s="191">
        <f>'[1]December - 2021'!CI25</f>
        <v>12</v>
      </c>
      <c r="CI25" s="89">
        <f>'[1]December - 2021'!CJ25</f>
        <v>53566</v>
      </c>
      <c r="CJ25" s="191">
        <f>'[1]December - 2021'!CK25</f>
        <v>28</v>
      </c>
      <c r="CK25" s="89">
        <f>'[1]December - 2021'!CL25</f>
        <v>235017</v>
      </c>
      <c r="CL25" s="246">
        <f>'[1]December - 2021'!CM25</f>
        <v>104</v>
      </c>
      <c r="CM25" s="89">
        <f>'[1]December - 2021'!CM25</f>
        <v>104</v>
      </c>
      <c r="CN25" s="89">
        <f>'[1]December - 2021'!CO25</f>
        <v>180831</v>
      </c>
      <c r="CO25" s="246">
        <f>'[1]December - 2021'!CP25</f>
        <v>116</v>
      </c>
      <c r="CP25" s="89">
        <f>'[1]December - 2021'!CP25</f>
        <v>116</v>
      </c>
      <c r="CQ25" s="89">
        <f>'[1]December - 2021'!CR25</f>
        <v>319448</v>
      </c>
      <c r="CR25" s="246">
        <f>'[1]December - 2021'!CS25</f>
        <v>221</v>
      </c>
      <c r="CS25" s="89">
        <f>'[1]December - 2021'!CS25</f>
        <v>221</v>
      </c>
      <c r="CT25" s="89">
        <f>'[1]December - 2021'!CU25</f>
        <v>622052</v>
      </c>
      <c r="CU25" s="191">
        <f>'[1]December - 2021'!CV25</f>
        <v>243</v>
      </c>
      <c r="CV25" s="451"/>
      <c r="CW25" s="256">
        <f>'[1]December - 2021'!CX25</f>
        <v>6425</v>
      </c>
      <c r="CX25" s="198">
        <f>'[1]December - 2021'!CY25</f>
        <v>8</v>
      </c>
      <c r="CY25" s="257">
        <f>'[1]December - 2021'!CZ25</f>
        <v>3944</v>
      </c>
      <c r="CZ25" s="198">
        <f>'[1]December - 2021'!DA25</f>
        <v>10</v>
      </c>
      <c r="DA25" s="257">
        <f>'[1]December - 2021'!DB25</f>
        <v>26905</v>
      </c>
      <c r="DB25" s="198">
        <f>'[1]December - 2021'!DC25</f>
        <v>18</v>
      </c>
      <c r="DC25" s="257">
        <f>'[1]December - 2021'!DD25</f>
        <v>27646</v>
      </c>
      <c r="DD25" s="198">
        <f>'[1]December - 2021'!DE25</f>
        <v>16</v>
      </c>
      <c r="DE25" s="257">
        <f>'[1]December - 2021'!DF25</f>
        <v>18701</v>
      </c>
      <c r="DF25" s="198">
        <f>'[1]December - 2021'!DG25</f>
        <v>9</v>
      </c>
      <c r="DG25" s="257">
        <f>'[1]December - 2021'!DH25</f>
        <v>21814</v>
      </c>
      <c r="DH25" s="198">
        <f>'[1]December - 2021'!DI25</f>
        <v>9</v>
      </c>
      <c r="DI25" s="257">
        <f>'[1]December - 2021'!DJ25</f>
        <v>3333</v>
      </c>
      <c r="DJ25" s="198">
        <f>'[1]December - 2021'!DK25</f>
        <v>10</v>
      </c>
      <c r="DK25" s="257">
        <f>'[1]December - 2021'!DL25</f>
        <v>6814</v>
      </c>
      <c r="DL25" s="198">
        <f>'[1]December - 2021'!DM25</f>
        <v>16</v>
      </c>
      <c r="DM25" s="257">
        <f>'[1]December - 2021'!DN25</f>
        <v>1825</v>
      </c>
      <c r="DN25" s="198">
        <f>'[1]December - 2021'!DO25</f>
        <v>3</v>
      </c>
      <c r="DO25" s="257">
        <f>'[1]December - 2021'!DP25</f>
        <v>3630</v>
      </c>
      <c r="DP25" s="198">
        <f>'[1]December - 2021'!DQ25</f>
        <v>7</v>
      </c>
      <c r="DQ25" s="257">
        <f>'[1]December - 2021'!DR25</f>
        <v>26322</v>
      </c>
      <c r="DR25" s="206">
        <f>'[1]December - 2021'!DS25</f>
        <v>0</v>
      </c>
      <c r="DS25" s="436"/>
      <c r="DT25" s="210">
        <f>'[1]December - 2021'!DU25</f>
        <v>3176.7</v>
      </c>
      <c r="DU25" s="221">
        <f>'[1]December - 2021'!DV25</f>
        <v>9.1999999999998181</v>
      </c>
      <c r="DV25" s="91">
        <f>'[1]December - 2021'!DW25</f>
        <v>8265.7999999999993</v>
      </c>
      <c r="DW25" s="215">
        <f>'[1]December - 2021'!DX25</f>
        <v>6.6999999999989086</v>
      </c>
      <c r="DX25" s="91">
        <f>'[1]December - 2021'!DY25</f>
        <v>2391</v>
      </c>
      <c r="DY25" s="215">
        <f>'[1]December - 2021'!DZ25</f>
        <v>6.3000000000001819</v>
      </c>
      <c r="DZ25" s="91">
        <f>'[1]December - 2021'!EA25</f>
        <v>2532.6</v>
      </c>
      <c r="EA25" s="215">
        <f>'[1]December - 2021'!EB25</f>
        <v>8.0999999999999091</v>
      </c>
      <c r="EB25" s="91">
        <f>'[1]December - 2021'!EC25</f>
        <v>877007</v>
      </c>
      <c r="EC25" s="215">
        <f>'[1]December - 2021'!ED25</f>
        <v>597</v>
      </c>
      <c r="ED25" s="91">
        <f>'[1]December - 2021'!EG25</f>
        <v>177474.6</v>
      </c>
      <c r="EE25" s="229">
        <f>'[1]December - 2021'!EH25</f>
        <v>156.30000000001746</v>
      </c>
      <c r="EF25" s="375"/>
      <c r="EG25" s="235">
        <f>'[1]December - 2021'!EJ25</f>
        <v>10444300</v>
      </c>
      <c r="EH25" s="230">
        <f>'[1]December - 2021'!EK25</f>
        <v>3100</v>
      </c>
      <c r="EI25" s="90">
        <f>'[1]December - 2021'!EL25</f>
        <v>828460</v>
      </c>
      <c r="EJ25" s="230">
        <f>'[1]December - 2021'!EM25</f>
        <v>230</v>
      </c>
      <c r="EK25" s="90">
        <f>'[1]December - 2021'!EN25</f>
        <v>6414900</v>
      </c>
      <c r="EL25" s="230">
        <f>'[1]December - 2021'!EO25</f>
        <v>700</v>
      </c>
      <c r="EM25" s="90">
        <f>'[1]December - 2021'!EP25</f>
        <v>2253600</v>
      </c>
      <c r="EN25" s="230">
        <f>'[1]December - 2021'!EQ25</f>
        <v>500</v>
      </c>
      <c r="EO25" s="90">
        <f>'[1]December - 2021'!ER25</f>
        <v>1000060</v>
      </c>
      <c r="EP25" s="230">
        <f>'[1]December - 2021'!ES25</f>
        <v>590</v>
      </c>
      <c r="EQ25" s="90">
        <f>'[1]December - 2021'!ET25</f>
        <v>14325400</v>
      </c>
      <c r="ER25" s="230">
        <f>'[1]December - 2021'!EU25</f>
        <v>2300</v>
      </c>
      <c r="ES25" s="423"/>
      <c r="ET25" s="281">
        <f>'[1]December - 2021'!EW25</f>
        <v>37621</v>
      </c>
      <c r="EU25" s="275">
        <f>'[1]December - 2021'!EX25</f>
        <v>16</v>
      </c>
      <c r="EV25" s="282">
        <f>'[1]December - 2021'!EY25</f>
        <v>32513</v>
      </c>
      <c r="EW25" s="275">
        <f>'[1]December - 2021'!EZ25</f>
        <v>14</v>
      </c>
      <c r="EX25" s="282">
        <f>'[1]December - 2021'!FA25</f>
        <v>3688</v>
      </c>
      <c r="EY25" s="275">
        <f>'[1]December - 2021'!FB25</f>
        <v>12</v>
      </c>
      <c r="EZ25" s="282">
        <f>'[1]December - 2021'!FC25</f>
        <v>54268</v>
      </c>
      <c r="FA25" s="275">
        <f>'[1]December - 2021'!FD25</f>
        <v>17</v>
      </c>
      <c r="FB25" s="282">
        <f>'[1]December - 2021'!FE25</f>
        <v>37982</v>
      </c>
      <c r="FC25" s="276">
        <f>'[1]December - 2021'!FF25</f>
        <v>31</v>
      </c>
    </row>
    <row r="26" spans="1:159" ht="30" customHeight="1">
      <c r="A26" s="207">
        <v>43847</v>
      </c>
      <c r="B26" s="209">
        <f>'[1]December - 2021'!B26</f>
        <v>0.76</v>
      </c>
      <c r="C26" s="250">
        <f>'[1]December - 2021'!E26</f>
        <v>927023</v>
      </c>
      <c r="D26" s="170">
        <f>'[1]December - 2021'!F26</f>
        <v>717</v>
      </c>
      <c r="E26" s="168">
        <f>'[1]December - 2021'!G26</f>
        <v>507</v>
      </c>
      <c r="F26" s="168">
        <f>'[1]December - 2021'!H26</f>
        <v>93407</v>
      </c>
      <c r="G26" s="170">
        <f>'[1]December - 2021'!I26</f>
        <v>457</v>
      </c>
      <c r="H26" s="168">
        <f>'[1]December - 2021'!J26</f>
        <v>410</v>
      </c>
      <c r="I26" s="168">
        <f>'[1]December - 2021'!K26</f>
        <v>164625</v>
      </c>
      <c r="J26" s="170">
        <f>'[1]December - 2021'!L26</f>
        <v>0</v>
      </c>
      <c r="K26" s="168">
        <f>'[1]December - 2021'!N26</f>
        <v>819691</v>
      </c>
      <c r="L26" s="170">
        <f>'[1]December - 2021'!O26</f>
        <v>174</v>
      </c>
      <c r="M26" s="168">
        <f>'[1]December - 2021'!Q26</f>
        <v>189341</v>
      </c>
      <c r="N26" s="170">
        <f>'[1]December - 2021'!R26</f>
        <v>109</v>
      </c>
      <c r="O26" s="168">
        <f>'[1]December - 2021'!S26</f>
        <v>53699.58</v>
      </c>
      <c r="P26" s="170">
        <f>'[1]December - 2021'!T26</f>
        <v>87.980000000003201</v>
      </c>
      <c r="Q26" s="168">
        <f>'[1]December - 2021'!U26</f>
        <v>43</v>
      </c>
      <c r="R26" s="168">
        <f>'[1]December - 2021'!V26</f>
        <v>4005</v>
      </c>
      <c r="S26" s="208">
        <f>'[1]December - 2021'!W26</f>
        <v>12</v>
      </c>
      <c r="T26" s="518"/>
      <c r="U26" s="169">
        <f>'[1]December - 2021'!AC26</f>
        <v>7194726</v>
      </c>
      <c r="V26" s="288">
        <f>'[1]December - 2021'!AD26</f>
        <v>1900.0800000000745</v>
      </c>
      <c r="W26" s="92">
        <f>'[1]December - 2021'!AD26</f>
        <v>1900.0800000000745</v>
      </c>
      <c r="X26" s="287">
        <f>'[1]December - 2021'!AF26</f>
        <v>13788247.199999999</v>
      </c>
      <c r="Y26" s="288">
        <f>'[1]December - 2021'!AG26</f>
        <v>4677.1199999991804</v>
      </c>
      <c r="Z26" s="92">
        <f>'[1]December - 2021'!AG26</f>
        <v>4677.1199999991804</v>
      </c>
      <c r="AA26" s="287">
        <f>'[1]December - 2021'!AI26</f>
        <v>13703084.640000001</v>
      </c>
      <c r="AB26" s="288">
        <f>'[1]December - 2021'!AJ26</f>
        <v>97.440000001341105</v>
      </c>
      <c r="AC26" s="92">
        <f>'[1]December - 2021'!AJ26</f>
        <v>97.440000001341105</v>
      </c>
      <c r="AD26" s="287">
        <f>'[1]December - 2021'!AL26</f>
        <v>16751007.839999998</v>
      </c>
      <c r="AE26" s="288">
        <f>'[1]December - 2021'!AM26</f>
        <v>48.719999998807907</v>
      </c>
      <c r="AF26" s="92">
        <f>'[1]December - 2021'!AM26</f>
        <v>48.719999998807907</v>
      </c>
      <c r="AG26" s="287">
        <f>'[1]December - 2021'!AO26</f>
        <v>17098186.560000002</v>
      </c>
      <c r="AH26" s="288">
        <f>'[1]December - 2021'!AP26</f>
        <v>10864.560000002384</v>
      </c>
      <c r="AI26" s="92">
        <f>'[1]December - 2021'!AP26</f>
        <v>10864.560000002384</v>
      </c>
      <c r="AJ26" s="287">
        <f>'[1]December - 2021'!AR26</f>
        <v>15530571.84</v>
      </c>
      <c r="AK26" s="288">
        <f>'[1]December - 2021'!AS26</f>
        <v>5651.5200000014156</v>
      </c>
      <c r="AL26" s="92">
        <f>'[1]December - 2021'!AS26</f>
        <v>5651.5200000014156</v>
      </c>
      <c r="AM26" s="287">
        <f>'[1]December - 2021'!AU26</f>
        <v>13211207.52</v>
      </c>
      <c r="AN26" s="288">
        <f>'[1]December - 2021'!AV26</f>
        <v>4579.679999999702</v>
      </c>
      <c r="AO26" s="92">
        <f>'[1]December - 2021'!AV26</f>
        <v>4579.679999999702</v>
      </c>
      <c r="AP26" s="287">
        <f>'[1]December - 2021'!AX26</f>
        <v>12698770.559999999</v>
      </c>
      <c r="AQ26" s="288">
        <f>'[1]December - 2021'!AY26</f>
        <v>4189.9199999980628</v>
      </c>
      <c r="AR26" s="92">
        <f>'[1]December - 2021'!AY26</f>
        <v>4189.9199999980628</v>
      </c>
      <c r="AS26" s="287">
        <f>'[1]December - 2021'!BA26</f>
        <v>10116561.84</v>
      </c>
      <c r="AT26" s="288">
        <f>'[1]December - 2021'!BB26</f>
        <v>3556.5599999986589</v>
      </c>
      <c r="AU26" s="92">
        <f>'[1]December - 2021'!BB26</f>
        <v>3556.5599999986589</v>
      </c>
      <c r="AV26" s="287">
        <f>'[1]December - 2021'!BD26</f>
        <v>15706353.6</v>
      </c>
      <c r="AW26" s="252">
        <f>'[1]December - 2021'!BE26</f>
        <v>5554.0800000000745</v>
      </c>
      <c r="AX26" s="253">
        <f>'[1]December - 2021'!BE26</f>
        <v>5554.0800000000745</v>
      </c>
      <c r="AY26" s="484"/>
      <c r="AZ26" s="272">
        <f>'[1]December - 2021'!BK26</f>
        <v>68002400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70700300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65062200</v>
      </c>
      <c r="BG26" s="245">
        <f>'[1]December - 2021'!BR26</f>
        <v>46300</v>
      </c>
      <c r="BH26" s="93">
        <f>'[1]December - 2021'!BR26</f>
        <v>46300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7730280</v>
      </c>
      <c r="BT26" s="185">
        <f>'[1]December - 2021'!BU26</f>
        <v>5440</v>
      </c>
      <c r="BU26" s="391"/>
      <c r="BV26" s="88">
        <f>'[1]December - 2021'!BW26</f>
        <v>0.68</v>
      </c>
      <c r="BW26" s="241">
        <f>'[1]December - 2021'!BX26</f>
        <v>-0.10000000000000009</v>
      </c>
      <c r="BX26" s="88">
        <f>'[1]December - 2021'!BX26</f>
        <v>-0.10000000000000009</v>
      </c>
      <c r="BY26" s="89">
        <f>'[1]December - 2021'!BZ26</f>
        <v>57228</v>
      </c>
      <c r="BZ26" s="191">
        <f>'[1]December - 2021'!CA26</f>
        <v>20</v>
      </c>
      <c r="CA26" s="89">
        <f>'[1]December - 2021'!CB26</f>
        <v>48716</v>
      </c>
      <c r="CB26" s="191">
        <f>'[1]December - 2021'!CC26</f>
        <v>19</v>
      </c>
      <c r="CC26" s="89">
        <f>'[1]December - 2021'!CD26</f>
        <v>16746</v>
      </c>
      <c r="CD26" s="191">
        <f>'[1]December - 2021'!CE26</f>
        <v>6</v>
      </c>
      <c r="CE26" s="89">
        <f>'[1]December - 2021'!CF26</f>
        <v>22145</v>
      </c>
      <c r="CF26" s="191">
        <f>'[1]December - 2021'!CG26</f>
        <v>11</v>
      </c>
      <c r="CG26" s="89">
        <f>'[1]December - 2021'!CH26</f>
        <v>24180</v>
      </c>
      <c r="CH26" s="191">
        <f>'[1]December - 2021'!CI26</f>
        <v>18</v>
      </c>
      <c r="CI26" s="89">
        <f>'[1]December - 2021'!CJ26</f>
        <v>53591</v>
      </c>
      <c r="CJ26" s="191">
        <f>'[1]December - 2021'!CK26</f>
        <v>25</v>
      </c>
      <c r="CK26" s="89">
        <f>'[1]December - 2021'!CL26</f>
        <v>235123</v>
      </c>
      <c r="CL26" s="246">
        <f>'[1]December - 2021'!CM26</f>
        <v>106</v>
      </c>
      <c r="CM26" s="89">
        <f>'[1]December - 2021'!CM26</f>
        <v>106</v>
      </c>
      <c r="CN26" s="89">
        <f>'[1]December - 2021'!CO26</f>
        <v>180954</v>
      </c>
      <c r="CO26" s="246">
        <f>'[1]December - 2021'!CP26</f>
        <v>123</v>
      </c>
      <c r="CP26" s="89">
        <f>'[1]December - 2021'!CP26</f>
        <v>123</v>
      </c>
      <c r="CQ26" s="89">
        <f>'[1]December - 2021'!CR26</f>
        <v>319671</v>
      </c>
      <c r="CR26" s="246">
        <f>'[1]December - 2021'!CS26</f>
        <v>223</v>
      </c>
      <c r="CS26" s="89">
        <f>'[1]December - 2021'!CS26</f>
        <v>223</v>
      </c>
      <c r="CT26" s="89">
        <f>'[1]December - 2021'!CU26</f>
        <v>622301</v>
      </c>
      <c r="CU26" s="191">
        <f>'[1]December - 2021'!CV26</f>
        <v>249</v>
      </c>
      <c r="CV26" s="451"/>
      <c r="CW26" s="256">
        <f>'[1]December - 2021'!CX26</f>
        <v>6435</v>
      </c>
      <c r="CX26" s="198">
        <f>'[1]December - 2021'!CY26</f>
        <v>10</v>
      </c>
      <c r="CY26" s="257">
        <f>'[1]December - 2021'!CZ26</f>
        <v>3952</v>
      </c>
      <c r="CZ26" s="198">
        <f>'[1]December - 2021'!DA26</f>
        <v>8</v>
      </c>
      <c r="DA26" s="257">
        <f>'[1]December - 2021'!DB26</f>
        <v>26918</v>
      </c>
      <c r="DB26" s="198">
        <f>'[1]December - 2021'!DC26</f>
        <v>13</v>
      </c>
      <c r="DC26" s="257">
        <f>'[1]December - 2021'!DD26</f>
        <v>27666</v>
      </c>
      <c r="DD26" s="198">
        <f>'[1]December - 2021'!DE26</f>
        <v>20</v>
      </c>
      <c r="DE26" s="257">
        <f>'[1]December - 2021'!DF26</f>
        <v>18710</v>
      </c>
      <c r="DF26" s="198">
        <f>'[1]December - 2021'!DG26</f>
        <v>9</v>
      </c>
      <c r="DG26" s="257">
        <f>'[1]December - 2021'!DH26</f>
        <v>21823</v>
      </c>
      <c r="DH26" s="198">
        <f>'[1]December - 2021'!DI26</f>
        <v>9</v>
      </c>
      <c r="DI26" s="257">
        <f>'[1]December - 2021'!DJ26</f>
        <v>3343</v>
      </c>
      <c r="DJ26" s="198">
        <f>'[1]December - 2021'!DK26</f>
        <v>10</v>
      </c>
      <c r="DK26" s="257">
        <f>'[1]December - 2021'!DL26</f>
        <v>6830</v>
      </c>
      <c r="DL26" s="198">
        <f>'[1]December - 2021'!DM26</f>
        <v>16</v>
      </c>
      <c r="DM26" s="257">
        <f>'[1]December - 2021'!DN26</f>
        <v>1830</v>
      </c>
      <c r="DN26" s="198">
        <f>'[1]December - 2021'!DO26</f>
        <v>5</v>
      </c>
      <c r="DO26" s="257">
        <f>'[1]December - 2021'!DP26</f>
        <v>3639</v>
      </c>
      <c r="DP26" s="198">
        <f>'[1]December - 2021'!DQ26</f>
        <v>9</v>
      </c>
      <c r="DQ26" s="257">
        <f>'[1]December - 2021'!DR26</f>
        <v>26325</v>
      </c>
      <c r="DR26" s="206">
        <f>'[1]December - 2021'!DS26</f>
        <v>3</v>
      </c>
      <c r="DS26" s="436"/>
      <c r="DT26" s="210">
        <f>'[1]December - 2021'!DU26</f>
        <v>3186.1</v>
      </c>
      <c r="DU26" s="221">
        <f>'[1]December - 2021'!DV26</f>
        <v>9.4000000000000909</v>
      </c>
      <c r="DV26" s="91">
        <f>'[1]December - 2021'!DW26</f>
        <v>8272.5</v>
      </c>
      <c r="DW26" s="215">
        <f>'[1]December - 2021'!DX26</f>
        <v>6.7000000000007276</v>
      </c>
      <c r="DX26" s="91">
        <f>'[1]December - 2021'!DY26</f>
        <v>2397</v>
      </c>
      <c r="DY26" s="215">
        <f>'[1]December - 2021'!DZ26</f>
        <v>6</v>
      </c>
      <c r="DZ26" s="91">
        <f>'[1]December - 2021'!EA26</f>
        <v>2540.9</v>
      </c>
      <c r="EA26" s="215">
        <f>'[1]December - 2021'!EB26</f>
        <v>8.3000000000001819</v>
      </c>
      <c r="EB26" s="91">
        <f>'[1]December - 2021'!EC26</f>
        <v>877600</v>
      </c>
      <c r="EC26" s="215">
        <f>'[1]December - 2021'!ED26</f>
        <v>593</v>
      </c>
      <c r="ED26" s="91">
        <f>'[1]December - 2021'!EG26</f>
        <v>177629.4</v>
      </c>
      <c r="EE26" s="229">
        <f>'[1]December - 2021'!EH26</f>
        <v>154.79999999998836</v>
      </c>
      <c r="EF26" s="375"/>
      <c r="EG26" s="235">
        <f>'[1]December - 2021'!EJ26</f>
        <v>10448200</v>
      </c>
      <c r="EH26" s="230">
        <f>'[1]December - 2021'!EK26</f>
        <v>3900</v>
      </c>
      <c r="EI26" s="90">
        <f>'[1]December - 2021'!EL26</f>
        <v>828760</v>
      </c>
      <c r="EJ26" s="230">
        <f>'[1]December - 2021'!EM26</f>
        <v>300</v>
      </c>
      <c r="EK26" s="90">
        <f>'[1]December - 2021'!EN26</f>
        <v>6415700</v>
      </c>
      <c r="EL26" s="230">
        <f>'[1]December - 2021'!EO26</f>
        <v>800</v>
      </c>
      <c r="EM26" s="90">
        <f>'[1]December - 2021'!EP26</f>
        <v>2254000</v>
      </c>
      <c r="EN26" s="230">
        <f>'[1]December - 2021'!EQ26</f>
        <v>400</v>
      </c>
      <c r="EO26" s="90">
        <f>'[1]December - 2021'!ER26</f>
        <v>1000810</v>
      </c>
      <c r="EP26" s="230">
        <f>'[1]December - 2021'!ES26</f>
        <v>750</v>
      </c>
      <c r="EQ26" s="90">
        <f>'[1]December - 2021'!ET26</f>
        <v>14327700</v>
      </c>
      <c r="ER26" s="230">
        <f>'[1]December - 2021'!EU26</f>
        <v>2300</v>
      </c>
      <c r="ES26" s="423"/>
      <c r="ET26" s="281">
        <f>'[1]December - 2021'!EW26</f>
        <v>37636</v>
      </c>
      <c r="EU26" s="275">
        <f>'[1]December - 2021'!EX26</f>
        <v>15</v>
      </c>
      <c r="EV26" s="282">
        <f>'[1]December - 2021'!EY26</f>
        <v>32526</v>
      </c>
      <c r="EW26" s="275">
        <f>'[1]December - 2021'!EZ26</f>
        <v>13</v>
      </c>
      <c r="EX26" s="282">
        <f>'[1]December - 2021'!FA26</f>
        <v>3704</v>
      </c>
      <c r="EY26" s="275">
        <f>'[1]December - 2021'!FB26</f>
        <v>16</v>
      </c>
      <c r="EZ26" s="282">
        <f>'[1]December - 2021'!FC26</f>
        <v>54286</v>
      </c>
      <c r="FA26" s="275">
        <f>'[1]December - 2021'!FD26</f>
        <v>18</v>
      </c>
      <c r="FB26" s="282">
        <f>'[1]December - 2021'!FE26</f>
        <v>38016</v>
      </c>
      <c r="FC26" s="276">
        <f>'[1]December - 2021'!FF26</f>
        <v>34</v>
      </c>
    </row>
    <row r="27" spans="1:159" ht="30" customHeight="1">
      <c r="A27" s="207">
        <v>43848</v>
      </c>
      <c r="B27" s="209">
        <f>'[1]December - 2021'!B27</f>
        <v>0.72</v>
      </c>
      <c r="C27" s="250">
        <f>'[1]December - 2021'!E27</f>
        <v>927720</v>
      </c>
      <c r="D27" s="170">
        <f>'[1]December - 2021'!F27</f>
        <v>697</v>
      </c>
      <c r="E27" s="168">
        <f>'[1]December - 2021'!G27</f>
        <v>498</v>
      </c>
      <c r="F27" s="168">
        <f>'[1]December - 2021'!H27</f>
        <v>93867</v>
      </c>
      <c r="G27" s="170">
        <f>'[1]December - 2021'!I27</f>
        <v>460</v>
      </c>
      <c r="H27" s="168">
        <f>'[1]December - 2021'!J27</f>
        <v>436</v>
      </c>
      <c r="I27" s="168">
        <f>'[1]December - 2021'!K27</f>
        <v>164625</v>
      </c>
      <c r="J27" s="170">
        <f>'[1]December - 2021'!L27</f>
        <v>0</v>
      </c>
      <c r="K27" s="168">
        <f>'[1]December - 2021'!N27</f>
        <v>819886</v>
      </c>
      <c r="L27" s="170">
        <f>'[1]December - 2021'!O27</f>
        <v>195</v>
      </c>
      <c r="M27" s="168">
        <f>'[1]December - 2021'!Q27</f>
        <v>189475</v>
      </c>
      <c r="N27" s="170">
        <f>'[1]December - 2021'!R27</f>
        <v>134</v>
      </c>
      <c r="O27" s="168">
        <f>'[1]December - 2021'!S27</f>
        <v>53777.32</v>
      </c>
      <c r="P27" s="170">
        <f>'[1]December - 2021'!T27</f>
        <v>77.739999999997963</v>
      </c>
      <c r="Q27" s="168">
        <f>'[1]December - 2021'!U27</f>
        <v>42</v>
      </c>
      <c r="R27" s="168">
        <f>'[1]December - 2021'!V27</f>
        <v>4014</v>
      </c>
      <c r="S27" s="208">
        <f>'[1]December - 2021'!W27</f>
        <v>9</v>
      </c>
      <c r="T27" s="518"/>
      <c r="U27" s="169">
        <f>'[1]December - 2021'!AC27</f>
        <v>7197697.9199999999</v>
      </c>
      <c r="V27" s="288">
        <f>'[1]December - 2021'!AD27</f>
        <v>2971.9199999999255</v>
      </c>
      <c r="W27" s="92">
        <f>'[1]December - 2021'!AD27</f>
        <v>2971.9199999999255</v>
      </c>
      <c r="X27" s="287">
        <f>'[1]December - 2021'!AF27</f>
        <v>13793070.48</v>
      </c>
      <c r="Y27" s="288">
        <f>'[1]December - 2021'!AG27</f>
        <v>4823.2800000011921</v>
      </c>
      <c r="Z27" s="92">
        <f>'[1]December - 2021'!AG27</f>
        <v>4823.2800000011921</v>
      </c>
      <c r="AA27" s="287">
        <f>'[1]December - 2021'!AI27</f>
        <v>13703279.52</v>
      </c>
      <c r="AB27" s="288">
        <f>'[1]December - 2021'!AJ27</f>
        <v>194.87999999895692</v>
      </c>
      <c r="AC27" s="92">
        <f>'[1]December - 2021'!AJ27</f>
        <v>194.87999999895692</v>
      </c>
      <c r="AD27" s="287">
        <f>'[1]December - 2021'!AL27</f>
        <v>16751056.560000001</v>
      </c>
      <c r="AE27" s="288">
        <f>'[1]December - 2021'!AM27</f>
        <v>48.720000002533197</v>
      </c>
      <c r="AF27" s="92">
        <f>'[1]December - 2021'!AM27</f>
        <v>48.720000002533197</v>
      </c>
      <c r="AG27" s="287">
        <f>'[1]December - 2021'!AO27</f>
        <v>17107248.48</v>
      </c>
      <c r="AH27" s="288">
        <f>'[1]December - 2021'!AP27</f>
        <v>9061.9199999980628</v>
      </c>
      <c r="AI27" s="92">
        <f>'[1]December - 2021'!AP27</f>
        <v>9061.9199999980628</v>
      </c>
      <c r="AJ27" s="287">
        <f>'[1]December - 2021'!AR27</f>
        <v>15536418.24</v>
      </c>
      <c r="AK27" s="288">
        <f>'[1]December - 2021'!AS27</f>
        <v>5846.4000000003725</v>
      </c>
      <c r="AL27" s="92">
        <f>'[1]December - 2021'!AS27</f>
        <v>5846.4000000003725</v>
      </c>
      <c r="AM27" s="287">
        <f>'[1]December - 2021'!AU27</f>
        <v>13215787.199999999</v>
      </c>
      <c r="AN27" s="288">
        <f>'[1]December - 2021'!AV27</f>
        <v>4579.679999999702</v>
      </c>
      <c r="AO27" s="92">
        <f>'[1]December - 2021'!AV27</f>
        <v>4579.679999999702</v>
      </c>
      <c r="AP27" s="287">
        <f>'[1]December - 2021'!AX27</f>
        <v>12703106.640000001</v>
      </c>
      <c r="AQ27" s="288">
        <f>'[1]December - 2021'!AY27</f>
        <v>4336.0800000019372</v>
      </c>
      <c r="AR27" s="92">
        <f>'[1]December - 2021'!AY27</f>
        <v>4336.0800000019372</v>
      </c>
      <c r="AS27" s="287">
        <f>'[1]December - 2021'!BA27</f>
        <v>10119923.52</v>
      </c>
      <c r="AT27" s="288">
        <f>'[1]December - 2021'!BB27</f>
        <v>3361.679999999702</v>
      </c>
      <c r="AU27" s="92">
        <f>'[1]December - 2021'!BB27</f>
        <v>3361.679999999702</v>
      </c>
      <c r="AV27" s="287">
        <f>'[1]December - 2021'!BD27</f>
        <v>15711956.4</v>
      </c>
      <c r="AW27" s="252">
        <f>'[1]December - 2021'!BE27</f>
        <v>5602.8000000007451</v>
      </c>
      <c r="AX27" s="253">
        <f>'[1]December - 2021'!BE27</f>
        <v>5602.8000000007451</v>
      </c>
      <c r="AY27" s="484"/>
      <c r="AZ27" s="272">
        <f>'[1]December - 2021'!BK27</f>
        <v>68002400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70700300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65105000</v>
      </c>
      <c r="BG27" s="245">
        <f>'[1]December - 2021'!BR27</f>
        <v>42800</v>
      </c>
      <c r="BH27" s="93">
        <f>'[1]December - 2021'!BR27</f>
        <v>42800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7736230</v>
      </c>
      <c r="BT27" s="185">
        <f>'[1]December - 2021'!BU27</f>
        <v>5950</v>
      </c>
      <c r="BU27" s="391"/>
      <c r="BV27" s="88">
        <f>'[1]December - 2021'!BW27</f>
        <v>0.62</v>
      </c>
      <c r="BW27" s="241">
        <f>'[1]December - 2021'!BX27</f>
        <v>6.0000000000000053E-2</v>
      </c>
      <c r="BX27" s="88">
        <f>'[1]December - 2021'!BX27</f>
        <v>6.0000000000000053E-2</v>
      </c>
      <c r="BY27" s="89">
        <f>'[1]December - 2021'!BZ27</f>
        <v>57248</v>
      </c>
      <c r="BZ27" s="191">
        <f>'[1]December - 2021'!CA27</f>
        <v>20</v>
      </c>
      <c r="CA27" s="89">
        <f>'[1]December - 2021'!CB27</f>
        <v>48734</v>
      </c>
      <c r="CB27" s="191">
        <f>'[1]December - 2021'!CC27</f>
        <v>18</v>
      </c>
      <c r="CC27" s="89">
        <f>'[1]December - 2021'!CD27</f>
        <v>16751</v>
      </c>
      <c r="CD27" s="191">
        <f>'[1]December - 2021'!CE27</f>
        <v>5</v>
      </c>
      <c r="CE27" s="89">
        <f>'[1]December - 2021'!CF27</f>
        <v>22156</v>
      </c>
      <c r="CF27" s="191">
        <f>'[1]December - 2021'!CG27</f>
        <v>11</v>
      </c>
      <c r="CG27" s="89">
        <f>'[1]December - 2021'!CH27</f>
        <v>24196</v>
      </c>
      <c r="CH27" s="191">
        <f>'[1]December - 2021'!CI27</f>
        <v>16</v>
      </c>
      <c r="CI27" s="89">
        <f>'[1]December - 2021'!CJ27</f>
        <v>53616</v>
      </c>
      <c r="CJ27" s="191">
        <f>'[1]December - 2021'!CK27</f>
        <v>25</v>
      </c>
      <c r="CK27" s="89">
        <f>'[1]December - 2021'!CL27</f>
        <v>235229</v>
      </c>
      <c r="CL27" s="246">
        <f>'[1]December - 2021'!CM27</f>
        <v>106</v>
      </c>
      <c r="CM27" s="89">
        <f>'[1]December - 2021'!CM27</f>
        <v>106</v>
      </c>
      <c r="CN27" s="89">
        <f>'[1]December - 2021'!CO27</f>
        <v>181074</v>
      </c>
      <c r="CO27" s="246">
        <f>'[1]December - 2021'!CP27</f>
        <v>120</v>
      </c>
      <c r="CP27" s="89">
        <f>'[1]December - 2021'!CP27</f>
        <v>120</v>
      </c>
      <c r="CQ27" s="89">
        <f>'[1]December - 2021'!CR27</f>
        <v>319897</v>
      </c>
      <c r="CR27" s="246">
        <f>'[1]December - 2021'!CS27</f>
        <v>226</v>
      </c>
      <c r="CS27" s="89">
        <f>'[1]December - 2021'!CS27</f>
        <v>226</v>
      </c>
      <c r="CT27" s="89">
        <f>'[1]December - 2021'!CU27</f>
        <v>622549</v>
      </c>
      <c r="CU27" s="191">
        <f>'[1]December - 2021'!CV27</f>
        <v>248</v>
      </c>
      <c r="CV27" s="451"/>
      <c r="CW27" s="256">
        <f>'[1]December - 2021'!CX27</f>
        <v>6443</v>
      </c>
      <c r="CX27" s="198">
        <f>'[1]December - 2021'!CY27</f>
        <v>8</v>
      </c>
      <c r="CY27" s="257">
        <f>'[1]December - 2021'!CZ27</f>
        <v>3960</v>
      </c>
      <c r="CZ27" s="198">
        <f>'[1]December - 2021'!DA27</f>
        <v>8</v>
      </c>
      <c r="DA27" s="257">
        <f>'[1]December - 2021'!DB27</f>
        <v>26933</v>
      </c>
      <c r="DB27" s="198">
        <f>'[1]December - 2021'!DC27</f>
        <v>15</v>
      </c>
      <c r="DC27" s="257">
        <f>'[1]December - 2021'!DD27</f>
        <v>27684</v>
      </c>
      <c r="DD27" s="198">
        <f>'[1]December - 2021'!DE27</f>
        <v>18</v>
      </c>
      <c r="DE27" s="257">
        <f>'[1]December - 2021'!DF27</f>
        <v>18719</v>
      </c>
      <c r="DF27" s="198">
        <f>'[1]December - 2021'!DG27</f>
        <v>9</v>
      </c>
      <c r="DG27" s="257">
        <f>'[1]December - 2021'!DH27</f>
        <v>21832</v>
      </c>
      <c r="DH27" s="198">
        <f>'[1]December - 2021'!DI27</f>
        <v>9</v>
      </c>
      <c r="DI27" s="257">
        <f>'[1]December - 2021'!DJ27</f>
        <v>3352</v>
      </c>
      <c r="DJ27" s="198">
        <f>'[1]December - 2021'!DK27</f>
        <v>9</v>
      </c>
      <c r="DK27" s="257">
        <f>'[1]December - 2021'!DL27</f>
        <v>6843</v>
      </c>
      <c r="DL27" s="198">
        <f>'[1]December - 2021'!DM27</f>
        <v>13</v>
      </c>
      <c r="DM27" s="257">
        <f>'[1]December - 2021'!DN27</f>
        <v>1835</v>
      </c>
      <c r="DN27" s="198">
        <f>'[1]December - 2021'!DO27</f>
        <v>5</v>
      </c>
      <c r="DO27" s="257">
        <f>'[1]December - 2021'!DP27</f>
        <v>3648</v>
      </c>
      <c r="DP27" s="198">
        <f>'[1]December - 2021'!DQ27</f>
        <v>9</v>
      </c>
      <c r="DQ27" s="257">
        <f>'[1]December - 2021'!DR27</f>
        <v>26328</v>
      </c>
      <c r="DR27" s="206">
        <f>'[1]December - 2021'!DS27</f>
        <v>3</v>
      </c>
      <c r="DS27" s="436"/>
      <c r="DT27" s="210">
        <f>'[1]December - 2021'!DU27</f>
        <v>3194.3</v>
      </c>
      <c r="DU27" s="221">
        <f>'[1]December - 2021'!DV27</f>
        <v>8.2000000000002728</v>
      </c>
      <c r="DV27" s="91">
        <f>'[1]December - 2021'!DW27</f>
        <v>8279.2000000000007</v>
      </c>
      <c r="DW27" s="215">
        <f>'[1]December - 2021'!DX27</f>
        <v>6.7000000000007276</v>
      </c>
      <c r="DX27" s="91">
        <f>'[1]December - 2021'!DY27</f>
        <v>2403.4</v>
      </c>
      <c r="DY27" s="215">
        <f>'[1]December - 2021'!DZ27</f>
        <v>6.4000000000000909</v>
      </c>
      <c r="DZ27" s="91">
        <f>'[1]December - 2021'!EA27</f>
        <v>2548</v>
      </c>
      <c r="EA27" s="215">
        <f>'[1]December - 2021'!EB27</f>
        <v>7.0999999999999091</v>
      </c>
      <c r="EB27" s="91">
        <f>'[1]December - 2021'!EC27</f>
        <v>878185</v>
      </c>
      <c r="EC27" s="215">
        <f>'[1]December - 2021'!ED27</f>
        <v>585</v>
      </c>
      <c r="ED27" s="91">
        <f>'[1]December - 2021'!EG27</f>
        <v>177781.4</v>
      </c>
      <c r="EE27" s="229">
        <f>'[1]December - 2021'!EH27</f>
        <v>152</v>
      </c>
      <c r="EF27" s="375"/>
      <c r="EG27" s="235">
        <f>'[1]December - 2021'!EJ27</f>
        <v>10450600</v>
      </c>
      <c r="EH27" s="230">
        <f>'[1]December - 2021'!EK27</f>
        <v>2400</v>
      </c>
      <c r="EI27" s="90">
        <f>'[1]December - 2021'!EL27</f>
        <v>829010</v>
      </c>
      <c r="EJ27" s="230">
        <f>'[1]December - 2021'!EM27</f>
        <v>250</v>
      </c>
      <c r="EK27" s="90">
        <f>'[1]December - 2021'!EN27</f>
        <v>6416300</v>
      </c>
      <c r="EL27" s="230">
        <f>'[1]December - 2021'!EO27</f>
        <v>600</v>
      </c>
      <c r="EM27" s="90">
        <f>'[1]December - 2021'!EP27</f>
        <v>2254300</v>
      </c>
      <c r="EN27" s="230">
        <f>'[1]December - 2021'!EQ27</f>
        <v>300</v>
      </c>
      <c r="EO27" s="90">
        <f>'[1]December - 2021'!ER27</f>
        <v>1001430</v>
      </c>
      <c r="EP27" s="230">
        <f>'[1]December - 2021'!ES27</f>
        <v>620</v>
      </c>
      <c r="EQ27" s="90">
        <f>'[1]December - 2021'!ET27</f>
        <v>14329200</v>
      </c>
      <c r="ER27" s="230">
        <f>'[1]December - 2021'!EU27</f>
        <v>1500</v>
      </c>
      <c r="ES27" s="423"/>
      <c r="ET27" s="281">
        <f>'[1]December - 2021'!EW27</f>
        <v>37653</v>
      </c>
      <c r="EU27" s="275">
        <f>'[1]December - 2021'!EX27</f>
        <v>17</v>
      </c>
      <c r="EV27" s="282">
        <f>'[1]December - 2021'!EY27</f>
        <v>32538</v>
      </c>
      <c r="EW27" s="275">
        <f>'[1]December - 2021'!EZ27</f>
        <v>12</v>
      </c>
      <c r="EX27" s="282">
        <f>'[1]December - 2021'!FA27</f>
        <v>3719</v>
      </c>
      <c r="EY27" s="275">
        <f>'[1]December - 2021'!FB27</f>
        <v>15</v>
      </c>
      <c r="EZ27" s="282">
        <f>'[1]December - 2021'!FC27</f>
        <v>54302</v>
      </c>
      <c r="FA27" s="275">
        <f>'[1]December - 2021'!FD27</f>
        <v>16</v>
      </c>
      <c r="FB27" s="282">
        <f>'[1]December - 2021'!FE27</f>
        <v>38049</v>
      </c>
      <c r="FC27" s="276">
        <f>'[1]December - 2021'!FF27</f>
        <v>33</v>
      </c>
    </row>
    <row r="28" spans="1:159" ht="30" customHeight="1">
      <c r="A28" s="207">
        <v>43849</v>
      </c>
      <c r="B28" s="209">
        <f>'[1]December - 2021'!B28</f>
        <v>0.72</v>
      </c>
      <c r="C28" s="250">
        <f>'[1]December - 2021'!E28</f>
        <v>928397</v>
      </c>
      <c r="D28" s="170">
        <f>'[1]December - 2021'!F28</f>
        <v>677</v>
      </c>
      <c r="E28" s="168">
        <f>'[1]December - 2021'!G28</f>
        <v>520</v>
      </c>
      <c r="F28" s="168">
        <f>'[1]December - 2021'!H28</f>
        <v>94280</v>
      </c>
      <c r="G28" s="170">
        <f>'[1]December - 2021'!I28</f>
        <v>413</v>
      </c>
      <c r="H28" s="168">
        <f>'[1]December - 2021'!J28</f>
        <v>405</v>
      </c>
      <c r="I28" s="168">
        <f>'[1]December - 2021'!K28</f>
        <v>164625</v>
      </c>
      <c r="J28" s="170">
        <f>'[1]December - 2021'!L28</f>
        <v>0</v>
      </c>
      <c r="K28" s="168">
        <f>'[1]December - 2021'!N28</f>
        <v>820055</v>
      </c>
      <c r="L28" s="170">
        <f>'[1]December - 2021'!O28</f>
        <v>169</v>
      </c>
      <c r="M28" s="168">
        <f>'[1]December - 2021'!Q28</f>
        <v>189596</v>
      </c>
      <c r="N28" s="170">
        <f>'[1]December - 2021'!R28</f>
        <v>121</v>
      </c>
      <c r="O28" s="168">
        <f>'[1]December - 2021'!S28</f>
        <v>53858.89</v>
      </c>
      <c r="P28" s="170">
        <f>'[1]December - 2021'!T28</f>
        <v>81.569999999999709</v>
      </c>
      <c r="Q28" s="168">
        <f>'[1]December - 2021'!U28</f>
        <v>50</v>
      </c>
      <c r="R28" s="168">
        <f>'[1]December - 2021'!V28</f>
        <v>4027</v>
      </c>
      <c r="S28" s="208">
        <f>'[1]December - 2021'!W28</f>
        <v>13</v>
      </c>
      <c r="T28" s="518"/>
      <c r="U28" s="169">
        <f>'[1]December - 2021'!AC28</f>
        <v>7200572.3999999994</v>
      </c>
      <c r="V28" s="288">
        <f>'[1]December - 2021'!AD28</f>
        <v>2874.4799999995157</v>
      </c>
      <c r="W28" s="92">
        <f>'[1]December - 2021'!AD28</f>
        <v>2874.4799999995157</v>
      </c>
      <c r="X28" s="287">
        <f>'[1]December - 2021'!AF28</f>
        <v>13797747.6</v>
      </c>
      <c r="Y28" s="288">
        <f>'[1]December - 2021'!AG28</f>
        <v>4677.1199999991804</v>
      </c>
      <c r="Z28" s="92">
        <f>'[1]December - 2021'!AG28</f>
        <v>4677.1199999991804</v>
      </c>
      <c r="AA28" s="287">
        <f>'[1]December - 2021'!AI28</f>
        <v>13703523.119999999</v>
      </c>
      <c r="AB28" s="288">
        <f>'[1]December - 2021'!AJ28</f>
        <v>243.59999999962747</v>
      </c>
      <c r="AC28" s="92">
        <f>'[1]December - 2021'!AJ28</f>
        <v>243.59999999962747</v>
      </c>
      <c r="AD28" s="287">
        <f>'[1]December - 2021'!AL28</f>
        <v>16751105.280000001</v>
      </c>
      <c r="AE28" s="288">
        <f>'[1]December - 2021'!AM28</f>
        <v>48.720000000670552</v>
      </c>
      <c r="AF28" s="92">
        <f>'[1]December - 2021'!AM28</f>
        <v>48.720000000670552</v>
      </c>
      <c r="AG28" s="287">
        <f>'[1]December - 2021'!AO28</f>
        <v>17116018.080000002</v>
      </c>
      <c r="AH28" s="288">
        <f>'[1]December - 2021'!AP28</f>
        <v>8769.6000000014901</v>
      </c>
      <c r="AI28" s="92">
        <f>'[1]December - 2021'!AP28</f>
        <v>8769.6000000014901</v>
      </c>
      <c r="AJ28" s="287">
        <f>'[1]December - 2021'!AR28</f>
        <v>15541728.719999999</v>
      </c>
      <c r="AK28" s="288">
        <f>'[1]December - 2021'!AS28</f>
        <v>5310.4799999985844</v>
      </c>
      <c r="AL28" s="92">
        <f>'[1]December - 2021'!AS28</f>
        <v>5310.4799999985844</v>
      </c>
      <c r="AM28" s="287">
        <f>'[1]December - 2021'!AU28</f>
        <v>13220172</v>
      </c>
      <c r="AN28" s="288">
        <f>'[1]December - 2021'!AV28</f>
        <v>4384.8000000007451</v>
      </c>
      <c r="AO28" s="92">
        <f>'[1]December - 2021'!AV28</f>
        <v>4384.8000000007451</v>
      </c>
      <c r="AP28" s="295">
        <f>'[1]December - 2021'!AX28</f>
        <v>12707296.559999999</v>
      </c>
      <c r="AQ28" s="288">
        <f>'[1]December - 2021'!AY28</f>
        <v>4189.9199999980628</v>
      </c>
      <c r="AR28" s="92">
        <f>'[1]December - 2021'!AY28</f>
        <v>4189.9199999980628</v>
      </c>
      <c r="AS28" s="287">
        <f>'[1]December - 2021'!BA28</f>
        <v>10123333.92</v>
      </c>
      <c r="AT28" s="288">
        <f>'[1]December - 2021'!BB28</f>
        <v>3410.4000000003725</v>
      </c>
      <c r="AU28" s="92">
        <f>'[1]December - 2021'!BB28</f>
        <v>3410.4000000003725</v>
      </c>
      <c r="AV28" s="287">
        <f>'[1]December - 2021'!BD28</f>
        <v>15717218.16</v>
      </c>
      <c r="AW28" s="252">
        <f>'[1]December - 2021'!BE28</f>
        <v>5261.7599999997765</v>
      </c>
      <c r="AX28" s="253">
        <f>'[1]December - 2021'!BE28</f>
        <v>5261.7599999997765</v>
      </c>
      <c r="AY28" s="484"/>
      <c r="AZ28" s="272">
        <f>'[1]December - 2021'!BK28</f>
        <v>68002400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70700300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65148700</v>
      </c>
      <c r="BG28" s="245">
        <f>'[1]December - 2021'!BR28</f>
        <v>43700</v>
      </c>
      <c r="BH28" s="93">
        <f>'[1]December - 2021'!BR28</f>
        <v>43700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7741200</v>
      </c>
      <c r="BT28" s="185">
        <f>'[1]December - 2021'!BU28</f>
        <v>4970</v>
      </c>
      <c r="BU28" s="391"/>
      <c r="BV28" s="88">
        <f>'[1]December - 2021'!BW28</f>
        <v>0.74</v>
      </c>
      <c r="BW28" s="241">
        <f>'[1]December - 2021'!BX28</f>
        <v>-0.12</v>
      </c>
      <c r="BX28" s="88">
        <f>'[1]December - 2021'!BX28</f>
        <v>-0.12</v>
      </c>
      <c r="BY28" s="89">
        <f>'[1]December - 2021'!BZ28</f>
        <v>57268</v>
      </c>
      <c r="BZ28" s="191">
        <f>'[1]December - 2021'!CA28</f>
        <v>20</v>
      </c>
      <c r="CA28" s="89">
        <f>'[1]December - 2021'!CB28</f>
        <v>48752</v>
      </c>
      <c r="CB28" s="191">
        <f>'[1]December - 2021'!CC28</f>
        <v>18</v>
      </c>
      <c r="CC28" s="89">
        <f>'[1]December - 2021'!CD28</f>
        <v>16755</v>
      </c>
      <c r="CD28" s="191">
        <f>'[1]December - 2021'!CE28</f>
        <v>4</v>
      </c>
      <c r="CE28" s="89">
        <f>'[1]December - 2021'!CF28</f>
        <v>22169</v>
      </c>
      <c r="CF28" s="191">
        <f>'[1]December - 2021'!CG28</f>
        <v>13</v>
      </c>
      <c r="CG28" s="89">
        <f>'[1]December - 2021'!CH28</f>
        <v>24210</v>
      </c>
      <c r="CH28" s="191">
        <f>'[1]December - 2021'!CI28</f>
        <v>14</v>
      </c>
      <c r="CI28" s="89">
        <f>'[1]December - 2021'!CJ28</f>
        <v>53640</v>
      </c>
      <c r="CJ28" s="191">
        <f>'[1]December - 2021'!CK28</f>
        <v>24</v>
      </c>
      <c r="CK28" s="89">
        <f>'[1]December - 2021'!CL28</f>
        <v>235333</v>
      </c>
      <c r="CL28" s="246">
        <f>'[1]December - 2021'!CM28</f>
        <v>104</v>
      </c>
      <c r="CM28" s="89">
        <f>'[1]December - 2021'!CM28</f>
        <v>104</v>
      </c>
      <c r="CN28" s="89">
        <f>'[1]December - 2021'!CO28</f>
        <v>181192</v>
      </c>
      <c r="CO28" s="246">
        <f>'[1]December - 2021'!CP28</f>
        <v>118</v>
      </c>
      <c r="CP28" s="89">
        <f>'[1]December - 2021'!CP28</f>
        <v>118</v>
      </c>
      <c r="CQ28" s="89">
        <f>'[1]December - 2021'!CR28</f>
        <v>320113</v>
      </c>
      <c r="CR28" s="246">
        <f>'[1]December - 2021'!CS28</f>
        <v>216</v>
      </c>
      <c r="CS28" s="89">
        <f>'[1]December - 2021'!CS28</f>
        <v>216</v>
      </c>
      <c r="CT28" s="89">
        <f>'[1]December - 2021'!CU28</f>
        <v>622792</v>
      </c>
      <c r="CU28" s="191">
        <f>'[1]December - 2021'!CV28</f>
        <v>243</v>
      </c>
      <c r="CV28" s="451"/>
      <c r="CW28" s="256">
        <f>'[1]December - 2021'!CX28</f>
        <v>6451</v>
      </c>
      <c r="CX28" s="198">
        <f>'[1]December - 2021'!CY28</f>
        <v>8</v>
      </c>
      <c r="CY28" s="257">
        <f>'[1]December - 2021'!CZ28</f>
        <v>3964</v>
      </c>
      <c r="CZ28" s="198">
        <f>'[1]December - 2021'!DA28</f>
        <v>4</v>
      </c>
      <c r="DA28" s="257">
        <f>'[1]December - 2021'!DB28</f>
        <v>26948</v>
      </c>
      <c r="DB28" s="198">
        <f>'[1]December - 2021'!DC28</f>
        <v>15</v>
      </c>
      <c r="DC28" s="257">
        <f>'[1]December - 2021'!DD28</f>
        <v>27702</v>
      </c>
      <c r="DD28" s="198">
        <f>'[1]December - 2021'!DE28</f>
        <v>18</v>
      </c>
      <c r="DE28" s="257">
        <f>'[1]December - 2021'!DF28</f>
        <v>18728</v>
      </c>
      <c r="DF28" s="198">
        <f>'[1]December - 2021'!DG28</f>
        <v>9</v>
      </c>
      <c r="DG28" s="257">
        <f>'[1]December - 2021'!DH28</f>
        <v>21841</v>
      </c>
      <c r="DH28" s="198">
        <f>'[1]December - 2021'!DI28</f>
        <v>9</v>
      </c>
      <c r="DI28" s="257">
        <f>'[1]December - 2021'!DJ28</f>
        <v>3361</v>
      </c>
      <c r="DJ28" s="198">
        <f>'[1]December - 2021'!DK28</f>
        <v>9</v>
      </c>
      <c r="DK28" s="257">
        <f>'[1]December - 2021'!DL28</f>
        <v>6856</v>
      </c>
      <c r="DL28" s="198">
        <f>'[1]December - 2021'!DM28</f>
        <v>13</v>
      </c>
      <c r="DM28" s="257">
        <f>'[1]December - 2021'!DN28</f>
        <v>1841</v>
      </c>
      <c r="DN28" s="198">
        <f>'[1]December - 2021'!DO28</f>
        <v>6</v>
      </c>
      <c r="DO28" s="257">
        <f>'[1]December - 2021'!DP28</f>
        <v>3650</v>
      </c>
      <c r="DP28" s="198">
        <f>'[1]December - 2021'!DQ28</f>
        <v>2</v>
      </c>
      <c r="DQ28" s="257">
        <f>'[1]December - 2021'!DR28</f>
        <v>26334</v>
      </c>
      <c r="DR28" s="206">
        <f>'[1]December - 2021'!DS28</f>
        <v>6</v>
      </c>
      <c r="DS28" s="436"/>
      <c r="DT28" s="210">
        <f>'[1]December - 2021'!DU28</f>
        <v>3203.4</v>
      </c>
      <c r="DU28" s="221">
        <f>'[1]December - 2021'!DV28</f>
        <v>9.0999999999999091</v>
      </c>
      <c r="DV28" s="91">
        <f>'[1]December - 2021'!DW28</f>
        <v>8285.5</v>
      </c>
      <c r="DW28" s="215">
        <f>'[1]December - 2021'!DX28</f>
        <v>6.2999999999992724</v>
      </c>
      <c r="DX28" s="91">
        <f>'[1]December - 2021'!DY28</f>
        <v>2409.8000000000002</v>
      </c>
      <c r="DY28" s="215">
        <f>'[1]December - 2021'!DZ28</f>
        <v>6.4000000000000909</v>
      </c>
      <c r="DZ28" s="91">
        <f>'[1]December - 2021'!EA28</f>
        <v>2555.8000000000002</v>
      </c>
      <c r="EA28" s="215">
        <f>'[1]December - 2021'!EB28</f>
        <v>7.8000000000001819</v>
      </c>
      <c r="EB28" s="91">
        <f>'[1]December - 2021'!EC28</f>
        <v>878740</v>
      </c>
      <c r="EC28" s="215">
        <f>'[1]December - 2021'!ED28</f>
        <v>555</v>
      </c>
      <c r="ED28" s="91">
        <f>'[1]December - 2021'!EG28</f>
        <v>177935.6</v>
      </c>
      <c r="EE28" s="229">
        <f>'[1]December - 2021'!EH28</f>
        <v>154.20000000001164</v>
      </c>
      <c r="EF28" s="375"/>
      <c r="EG28" s="235">
        <f>'[1]December - 2021'!EJ28</f>
        <v>10453900</v>
      </c>
      <c r="EH28" s="230">
        <f>'[1]December - 2021'!EK28</f>
        <v>3300</v>
      </c>
      <c r="EI28" s="90">
        <f>'[1]December - 2021'!EL28</f>
        <v>829290</v>
      </c>
      <c r="EJ28" s="230">
        <f>'[1]December - 2021'!EM28</f>
        <v>280</v>
      </c>
      <c r="EK28" s="90">
        <f>'[1]December - 2021'!EN28</f>
        <v>6417100</v>
      </c>
      <c r="EL28" s="230">
        <f>'[1]December - 2021'!EO28</f>
        <v>800</v>
      </c>
      <c r="EM28" s="90">
        <f>'[1]December - 2021'!EP28</f>
        <v>2254600</v>
      </c>
      <c r="EN28" s="230">
        <f>'[1]December - 2021'!EQ28</f>
        <v>300</v>
      </c>
      <c r="EO28" s="90">
        <f>'[1]December - 2021'!ER28</f>
        <v>1002080</v>
      </c>
      <c r="EP28" s="230">
        <f>'[1]December - 2021'!ES28</f>
        <v>650</v>
      </c>
      <c r="EQ28" s="90">
        <f>'[1]December - 2021'!ET28</f>
        <v>14330700</v>
      </c>
      <c r="ER28" s="230">
        <f>'[1]December - 2021'!EU28</f>
        <v>1500</v>
      </c>
      <c r="ES28" s="423"/>
      <c r="ET28" s="281">
        <f>'[1]December - 2021'!EW28</f>
        <v>37667</v>
      </c>
      <c r="EU28" s="275">
        <f>'[1]December - 2021'!EX28</f>
        <v>14</v>
      </c>
      <c r="EV28" s="282">
        <f>'[1]December - 2021'!EY28</f>
        <v>32551</v>
      </c>
      <c r="EW28" s="275">
        <f>'[1]December - 2021'!EZ28</f>
        <v>13</v>
      </c>
      <c r="EX28" s="282">
        <f>'[1]December - 2021'!FA28</f>
        <v>3729</v>
      </c>
      <c r="EY28" s="275">
        <f>'[1]December - 2021'!FB28</f>
        <v>10</v>
      </c>
      <c r="EZ28" s="282">
        <f>'[1]December - 2021'!FC28</f>
        <v>54319</v>
      </c>
      <c r="FA28" s="275">
        <f>'[1]December - 2021'!FD28</f>
        <v>17</v>
      </c>
      <c r="FB28" s="282">
        <f>'[1]December - 2021'!FE28</f>
        <v>38079</v>
      </c>
      <c r="FC28" s="276">
        <f>'[1]December - 2021'!FF28</f>
        <v>30</v>
      </c>
    </row>
    <row r="29" spans="1:159" ht="30" customHeight="1">
      <c r="A29" s="207">
        <v>43850</v>
      </c>
      <c r="B29" s="209">
        <f>'[1]December - 2021'!B29</f>
        <v>0.74</v>
      </c>
      <c r="C29" s="250">
        <f>'[1]December - 2021'!E29</f>
        <v>929111</v>
      </c>
      <c r="D29" s="170">
        <f>'[1]December - 2021'!F29</f>
        <v>714</v>
      </c>
      <c r="E29" s="168">
        <f>'[1]December - 2021'!G29</f>
        <v>516</v>
      </c>
      <c r="F29" s="168">
        <f>'[1]December - 2021'!H29</f>
        <v>94716</v>
      </c>
      <c r="G29" s="170">
        <f>'[1]December - 2021'!I29</f>
        <v>436</v>
      </c>
      <c r="H29" s="168">
        <f>'[1]December - 2021'!J29</f>
        <v>415</v>
      </c>
      <c r="I29" s="168">
        <f>'[1]December - 2021'!K29</f>
        <v>164625</v>
      </c>
      <c r="J29" s="170">
        <f>'[1]December - 2021'!L29</f>
        <v>0</v>
      </c>
      <c r="K29" s="168">
        <f>'[1]December - 2021'!N29</f>
        <v>820237</v>
      </c>
      <c r="L29" s="170">
        <f>'[1]December - 2021'!O29</f>
        <v>182</v>
      </c>
      <c r="M29" s="168">
        <f>'[1]December - 2021'!Q29</f>
        <v>189759</v>
      </c>
      <c r="N29" s="170">
        <f>'[1]December - 2021'!R29</f>
        <v>163</v>
      </c>
      <c r="O29" s="168">
        <f>'[1]December - 2021'!S29</f>
        <v>53937.48</v>
      </c>
      <c r="P29" s="170">
        <f>'[1]December - 2021'!T29</f>
        <v>78.590000000003783</v>
      </c>
      <c r="Q29" s="168">
        <f>'[1]December - 2021'!U29</f>
        <v>44</v>
      </c>
      <c r="R29" s="168">
        <f>'[1]December - 2021'!V29</f>
        <v>4036</v>
      </c>
      <c r="S29" s="208">
        <f>'[1]December - 2021'!W29</f>
        <v>9</v>
      </c>
      <c r="T29" s="518"/>
      <c r="U29" s="169">
        <f>'[1]December - 2021'!AC29</f>
        <v>7203641.7599999998</v>
      </c>
      <c r="V29" s="288">
        <f>'[1]December - 2021'!AD29</f>
        <v>3069.3600000003353</v>
      </c>
      <c r="W29" s="92">
        <f>'[1]December - 2021'!AD29</f>
        <v>3069.3600000003353</v>
      </c>
      <c r="X29" s="287">
        <f>'[1]December - 2021'!AF29</f>
        <v>13802522.16</v>
      </c>
      <c r="Y29" s="288">
        <f>'[1]December - 2021'!AG29</f>
        <v>4774.5600000005215</v>
      </c>
      <c r="Z29" s="92">
        <f>'[1]December - 2021'!AG29</f>
        <v>4774.5600000005215</v>
      </c>
      <c r="AA29" s="287">
        <f>'[1]December - 2021'!AI29</f>
        <v>13703718</v>
      </c>
      <c r="AB29" s="288">
        <f>'[1]December - 2021'!AJ29</f>
        <v>194.88000000081956</v>
      </c>
      <c r="AC29" s="92">
        <f>'[1]December - 2021'!AJ29</f>
        <v>194.88000000081956</v>
      </c>
      <c r="AD29" s="287">
        <f>'[1]December - 2021'!AL29</f>
        <v>16751105.280000001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17125421.039999999</v>
      </c>
      <c r="AH29" s="288">
        <f>'[1]December - 2021'!AP29</f>
        <v>9402.9599999971688</v>
      </c>
      <c r="AI29" s="92">
        <f>'[1]December - 2021'!AP29</f>
        <v>9402.9599999971688</v>
      </c>
      <c r="AJ29" s="287">
        <f>'[1]December - 2021'!AR29</f>
        <v>15547623.84</v>
      </c>
      <c r="AK29" s="288">
        <f>'[1]December - 2021'!AS29</f>
        <v>5895.1200000010431</v>
      </c>
      <c r="AL29" s="92">
        <f>'[1]December - 2021'!AS29</f>
        <v>5895.1200000010431</v>
      </c>
      <c r="AM29" s="287">
        <f>'[1]December - 2021'!AU29</f>
        <v>13224556.799999999</v>
      </c>
      <c r="AN29" s="288">
        <f>'[1]December - 2021'!AV29</f>
        <v>4384.7999999988824</v>
      </c>
      <c r="AO29" s="92">
        <f>'[1]December - 2021'!AV29</f>
        <v>4384.7999999988824</v>
      </c>
      <c r="AP29" s="287">
        <f>'[1]December - 2021'!AX29</f>
        <v>12711437.76</v>
      </c>
      <c r="AQ29" s="288">
        <f>'[1]December - 2021'!AY29</f>
        <v>4141.2000000011176</v>
      </c>
      <c r="AR29" s="92">
        <f>'[1]December - 2021'!AY29</f>
        <v>4141.2000000011176</v>
      </c>
      <c r="AS29" s="287">
        <f>'[1]December - 2021'!BA29</f>
        <v>10126354.559999999</v>
      </c>
      <c r="AT29" s="288">
        <f>'[1]December - 2021'!BB29</f>
        <v>3020.6399999987334</v>
      </c>
      <c r="AU29" s="92">
        <f>'[1]December - 2021'!BB29</f>
        <v>3020.6399999987334</v>
      </c>
      <c r="AV29" s="287">
        <f>'[1]December - 2021'!BD29</f>
        <v>15722674.799999999</v>
      </c>
      <c r="AW29" s="252">
        <f>'[1]December - 2021'!BE29</f>
        <v>5456.6399999987334</v>
      </c>
      <c r="AX29" s="253">
        <f>'[1]December - 2021'!BE29</f>
        <v>5456.6399999987334</v>
      </c>
      <c r="AY29" s="484"/>
      <c r="AZ29" s="272">
        <f>'[1]December - 2021'!BK29</f>
        <v>68002400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70700300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65192800</v>
      </c>
      <c r="BG29" s="245">
        <f>'[1]December - 2021'!BR29</f>
        <v>44100</v>
      </c>
      <c r="BH29" s="93">
        <f>'[1]December - 2021'!BR29</f>
        <v>44100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7746840</v>
      </c>
      <c r="BT29" s="185">
        <f>'[1]December - 2021'!BU29</f>
        <v>5640</v>
      </c>
      <c r="BU29" s="391"/>
      <c r="BV29" s="88">
        <f>'[1]December - 2021'!BW29</f>
        <v>0.68</v>
      </c>
      <c r="BW29" s="241">
        <f>'[1]December - 2021'!BX29</f>
        <v>5.9999999999999942E-2</v>
      </c>
      <c r="BX29" s="88">
        <f>'[1]December - 2021'!BX29</f>
        <v>5.9999999999999942E-2</v>
      </c>
      <c r="BY29" s="89">
        <f>'[1]December - 2021'!BZ29</f>
        <v>57288</v>
      </c>
      <c r="BZ29" s="191">
        <f>'[1]December - 2021'!CA29</f>
        <v>20</v>
      </c>
      <c r="CA29" s="89">
        <f>'[1]December - 2021'!CB29</f>
        <v>48771</v>
      </c>
      <c r="CB29" s="191">
        <f>'[1]December - 2021'!CC29</f>
        <v>19</v>
      </c>
      <c r="CC29" s="89">
        <f>'[1]December - 2021'!CD29</f>
        <v>16760</v>
      </c>
      <c r="CD29" s="191">
        <f>'[1]December - 2021'!CE29</f>
        <v>5</v>
      </c>
      <c r="CE29" s="89">
        <f>'[1]December - 2021'!CF29</f>
        <v>22179</v>
      </c>
      <c r="CF29" s="191">
        <f>'[1]December - 2021'!CG29</f>
        <v>10</v>
      </c>
      <c r="CG29" s="89">
        <f>'[1]December - 2021'!CH29</f>
        <v>24222</v>
      </c>
      <c r="CH29" s="191">
        <f>'[1]December - 2021'!CI29</f>
        <v>12</v>
      </c>
      <c r="CI29" s="89">
        <f>'[1]December - 2021'!CJ29</f>
        <v>53663</v>
      </c>
      <c r="CJ29" s="191">
        <f>'[1]December - 2021'!CK29</f>
        <v>23</v>
      </c>
      <c r="CK29" s="89">
        <f>'[1]December - 2021'!CL29</f>
        <v>235438</v>
      </c>
      <c r="CL29" s="246">
        <f>'[1]December - 2021'!CM29</f>
        <v>105</v>
      </c>
      <c r="CM29" s="89">
        <f>'[1]December - 2021'!CM29</f>
        <v>105</v>
      </c>
      <c r="CN29" s="89">
        <f>'[1]December - 2021'!CO29</f>
        <v>181310</v>
      </c>
      <c r="CO29" s="246">
        <f>'[1]December - 2021'!CP29</f>
        <v>118</v>
      </c>
      <c r="CP29" s="89">
        <f>'[1]December - 2021'!CP29</f>
        <v>118</v>
      </c>
      <c r="CQ29" s="89">
        <f>'[1]December - 2021'!CR29</f>
        <v>320337</v>
      </c>
      <c r="CR29" s="246">
        <f>'[1]December - 2021'!CS29</f>
        <v>224</v>
      </c>
      <c r="CS29" s="89">
        <f>'[1]December - 2021'!CS29</f>
        <v>224</v>
      </c>
      <c r="CT29" s="89">
        <f>'[1]December - 2021'!CU29</f>
        <v>623037</v>
      </c>
      <c r="CU29" s="191">
        <f>'[1]December - 2021'!CV29</f>
        <v>245</v>
      </c>
      <c r="CV29" s="451"/>
      <c r="CW29" s="256">
        <f>'[1]December - 2021'!CX29</f>
        <v>6455</v>
      </c>
      <c r="CX29" s="198">
        <f>'[1]December - 2021'!CY29</f>
        <v>4</v>
      </c>
      <c r="CY29" s="257">
        <f>'[1]December - 2021'!CZ29</f>
        <v>3966</v>
      </c>
      <c r="CZ29" s="198">
        <f>'[1]December - 2021'!DA29</f>
        <v>2</v>
      </c>
      <c r="DA29" s="257">
        <f>'[1]December - 2021'!DB29</f>
        <v>26964</v>
      </c>
      <c r="DB29" s="198">
        <f>'[1]December - 2021'!DC29</f>
        <v>16</v>
      </c>
      <c r="DC29" s="257">
        <f>'[1]December - 2021'!DD29</f>
        <v>27715</v>
      </c>
      <c r="DD29" s="198">
        <f>'[1]December - 2021'!DE29</f>
        <v>13</v>
      </c>
      <c r="DE29" s="257">
        <f>'[1]December - 2021'!DF29</f>
        <v>18737</v>
      </c>
      <c r="DF29" s="198">
        <f>'[1]December - 2021'!DG29</f>
        <v>9</v>
      </c>
      <c r="DG29" s="257">
        <f>'[1]December - 2021'!DH29</f>
        <v>21849</v>
      </c>
      <c r="DH29" s="198">
        <f>'[1]December - 2021'!DI29</f>
        <v>8</v>
      </c>
      <c r="DI29" s="257">
        <f>'[1]December - 2021'!DJ29</f>
        <v>3363</v>
      </c>
      <c r="DJ29" s="198">
        <f>'[1]December - 2021'!DK29</f>
        <v>2</v>
      </c>
      <c r="DK29" s="257">
        <f>'[1]December - 2021'!DL29</f>
        <v>6870</v>
      </c>
      <c r="DL29" s="198">
        <f>'[1]December - 2021'!DM29</f>
        <v>14</v>
      </c>
      <c r="DM29" s="257">
        <f>'[1]December - 2021'!DN29</f>
        <v>1853</v>
      </c>
      <c r="DN29" s="198">
        <f>'[1]December - 2021'!DO29</f>
        <v>12</v>
      </c>
      <c r="DO29" s="257">
        <f>'[1]December - 2021'!DP29</f>
        <v>3651</v>
      </c>
      <c r="DP29" s="198">
        <f>'[1]December - 2021'!DQ29</f>
        <v>1</v>
      </c>
      <c r="DQ29" s="257">
        <f>'[1]December - 2021'!DR29</f>
        <v>26343</v>
      </c>
      <c r="DR29" s="206">
        <f>'[1]December - 2021'!DS29</f>
        <v>9</v>
      </c>
      <c r="DS29" s="436"/>
      <c r="DT29" s="210">
        <f>'[1]December - 2021'!DU29</f>
        <v>3212.9</v>
      </c>
      <c r="DU29" s="221">
        <f>'[1]December - 2021'!DV29</f>
        <v>9.5</v>
      </c>
      <c r="DV29" s="91">
        <f>'[1]December - 2021'!DW29</f>
        <v>8292.1</v>
      </c>
      <c r="DW29" s="215">
        <f>'[1]December - 2021'!DX29</f>
        <v>6.6000000000003638</v>
      </c>
      <c r="DX29" s="91">
        <f>'[1]December - 2021'!DY29</f>
        <v>2416</v>
      </c>
      <c r="DY29" s="215">
        <f>'[1]December - 2021'!DZ29</f>
        <v>6.1999999999998181</v>
      </c>
      <c r="DZ29" s="91">
        <f>'[1]December - 2021'!EA29</f>
        <v>2563.5</v>
      </c>
      <c r="EA29" s="215">
        <f>'[1]December - 2021'!EB29</f>
        <v>7.6999999999998181</v>
      </c>
      <c r="EB29" s="91">
        <f>'[1]December - 2021'!EC29</f>
        <v>879318</v>
      </c>
      <c r="EC29" s="215">
        <f>'[1]December - 2021'!ED29</f>
        <v>578</v>
      </c>
      <c r="ED29" s="91">
        <f>'[1]December - 2021'!EG29</f>
        <v>178084.9</v>
      </c>
      <c r="EE29" s="229">
        <f>'[1]December - 2021'!EH29</f>
        <v>149.29999999998836</v>
      </c>
      <c r="EF29" s="375"/>
      <c r="EG29" s="235">
        <f>'[1]December - 2021'!EJ29</f>
        <v>10457000</v>
      </c>
      <c r="EH29" s="230">
        <f>'[1]December - 2021'!EK29</f>
        <v>3100</v>
      </c>
      <c r="EI29" s="90">
        <f>'[1]December - 2021'!EL29</f>
        <v>829570</v>
      </c>
      <c r="EJ29" s="230">
        <f>'[1]December - 2021'!EM29</f>
        <v>280</v>
      </c>
      <c r="EK29" s="90">
        <f>'[1]December - 2021'!EN29</f>
        <v>6417700</v>
      </c>
      <c r="EL29" s="230">
        <f>'[1]December - 2021'!EO29</f>
        <v>600</v>
      </c>
      <c r="EM29" s="90">
        <f>'[1]December - 2021'!EP29</f>
        <v>2255000</v>
      </c>
      <c r="EN29" s="230">
        <f>'[1]December - 2021'!EQ29</f>
        <v>400</v>
      </c>
      <c r="EO29" s="90">
        <f>'[1]December - 2021'!ER29</f>
        <v>1002760</v>
      </c>
      <c r="EP29" s="230">
        <f>'[1]December - 2021'!ES29</f>
        <v>680</v>
      </c>
      <c r="EQ29" s="90">
        <f>'[1]December - 2021'!ET29</f>
        <v>14332400</v>
      </c>
      <c r="ER29" s="230">
        <f>'[1]December - 2021'!EU29</f>
        <v>1700</v>
      </c>
      <c r="ES29" s="423"/>
      <c r="ET29" s="281">
        <f>'[1]December - 2021'!EW29</f>
        <v>37683</v>
      </c>
      <c r="EU29" s="275">
        <f>'[1]December - 2021'!EX29</f>
        <v>16</v>
      </c>
      <c r="EV29" s="282">
        <f>'[1]December - 2021'!EY29</f>
        <v>32564</v>
      </c>
      <c r="EW29" s="275">
        <f>'[1]December - 2021'!EZ29</f>
        <v>13</v>
      </c>
      <c r="EX29" s="282">
        <f>'[1]December - 2021'!FA29</f>
        <v>3740</v>
      </c>
      <c r="EY29" s="275">
        <f>'[1]December - 2021'!FB29</f>
        <v>11</v>
      </c>
      <c r="EZ29" s="282">
        <f>'[1]December - 2021'!FC29</f>
        <v>54334</v>
      </c>
      <c r="FA29" s="275">
        <f>'[1]December - 2021'!FD29</f>
        <v>15</v>
      </c>
      <c r="FB29" s="282">
        <f>'[1]December - 2021'!FE29</f>
        <v>38113</v>
      </c>
      <c r="FC29" s="276">
        <f>'[1]December - 2021'!FF29</f>
        <v>34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-929111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-94716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-164625</v>
      </c>
      <c r="K30" s="168">
        <f>'[1]December - 2021'!N30</f>
        <v>0</v>
      </c>
      <c r="L30" s="170">
        <f>'[1]December - 2021'!O30</f>
        <v>-820237</v>
      </c>
      <c r="M30" s="168">
        <f>'[1]December - 2021'!Q30</f>
        <v>0</v>
      </c>
      <c r="N30" s="170">
        <f>'[1]December - 2021'!R30</f>
        <v>-189759</v>
      </c>
      <c r="O30" s="168">
        <f>'[1]December - 2021'!S30</f>
        <v>0</v>
      </c>
      <c r="P30" s="170">
        <f>'[1]December - 2021'!T30</f>
        <v>-53937.48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-4036</v>
      </c>
      <c r="T30" s="518"/>
      <c r="U30" s="169">
        <f>'[1]December - 2021'!AC30</f>
        <v>0</v>
      </c>
      <c r="V30" s="288">
        <f>'[1]December - 2021'!AD30</f>
        <v>-7203641.7599999998</v>
      </c>
      <c r="W30" s="92">
        <f>'[1]December - 2021'!AD30</f>
        <v>-7203641.7599999998</v>
      </c>
      <c r="X30" s="287">
        <f>'[1]December - 2021'!AF30</f>
        <v>0</v>
      </c>
      <c r="Y30" s="288">
        <f>'[1]December - 2021'!AG30</f>
        <v>-13802522.16</v>
      </c>
      <c r="Z30" s="92">
        <f>'[1]December - 2021'!AG30</f>
        <v>-13802522.16</v>
      </c>
      <c r="AA30" s="287">
        <f>'[1]December - 2021'!AI30</f>
        <v>0</v>
      </c>
      <c r="AB30" s="288">
        <f>'[1]December - 2021'!AJ30</f>
        <v>-13703718</v>
      </c>
      <c r="AC30" s="92">
        <f>'[1]December - 2021'!AJ30</f>
        <v>-13703718</v>
      </c>
      <c r="AD30" s="287">
        <f>'[1]December - 2021'!AL30</f>
        <v>0</v>
      </c>
      <c r="AE30" s="288">
        <f>'[1]December - 2021'!AM30</f>
        <v>-16751105.280000001</v>
      </c>
      <c r="AF30" s="92">
        <f>'[1]December - 2021'!AM30</f>
        <v>-16751105.280000001</v>
      </c>
      <c r="AG30" s="287">
        <f>'[1]December - 2021'!AO30</f>
        <v>0</v>
      </c>
      <c r="AH30" s="288">
        <f>'[1]December - 2021'!AP30</f>
        <v>-17125421.039999999</v>
      </c>
      <c r="AI30" s="92">
        <f>'[1]December - 2021'!AP30</f>
        <v>-17125421.039999999</v>
      </c>
      <c r="AJ30" s="287">
        <f>'[1]December - 2021'!AR30</f>
        <v>0</v>
      </c>
      <c r="AK30" s="288">
        <f>'[1]December - 2021'!AS30</f>
        <v>-15547623.84</v>
      </c>
      <c r="AL30" s="92">
        <f>'[1]December - 2021'!AS30</f>
        <v>-15547623.84</v>
      </c>
      <c r="AM30" s="287">
        <f>'[1]December - 2021'!AU30</f>
        <v>0</v>
      </c>
      <c r="AN30" s="288">
        <f>'[1]December - 2021'!AV30</f>
        <v>-13224556.799999999</v>
      </c>
      <c r="AO30" s="92">
        <f>'[1]December - 2021'!AV30</f>
        <v>-13224556.799999999</v>
      </c>
      <c r="AP30" s="287">
        <f>'[1]December - 2021'!AX30</f>
        <v>0</v>
      </c>
      <c r="AQ30" s="288">
        <f>'[1]December - 2021'!AY30</f>
        <v>-12711437.76</v>
      </c>
      <c r="AR30" s="92">
        <f>'[1]December - 2021'!AY30</f>
        <v>-12711437.76</v>
      </c>
      <c r="AS30" s="287">
        <f>'[1]December - 2021'!BA30</f>
        <v>0</v>
      </c>
      <c r="AT30" s="288">
        <f>'[1]December - 2021'!BB30</f>
        <v>-10126354.559999999</v>
      </c>
      <c r="AU30" s="92">
        <f>'[1]December - 2021'!BB30</f>
        <v>-10126354.559999999</v>
      </c>
      <c r="AV30" s="287">
        <f>'[1]December - 2021'!BD30</f>
        <v>0</v>
      </c>
      <c r="AW30" s="252">
        <f>'[1]December - 2021'!BE30</f>
        <v>-15722674.799999999</v>
      </c>
      <c r="AX30" s="253">
        <f>'[1]December - 2021'!BE30</f>
        <v>-15722674.799999999</v>
      </c>
      <c r="AY30" s="484"/>
      <c r="AZ30" s="272">
        <f>'[1]December - 2021'!BK30</f>
        <v>0</v>
      </c>
      <c r="BA30" s="179">
        <f>'[1]December - 2021'!BL30</f>
        <v>-68002400</v>
      </c>
      <c r="BB30" s="93">
        <f>'[1]December - 2021'!BL30</f>
        <v>-68002400</v>
      </c>
      <c r="BC30" s="272">
        <f>'[1]December - 2021'!BN30</f>
        <v>0</v>
      </c>
      <c r="BD30" s="245">
        <f>'[1]December - 2021'!BO30</f>
        <v>-70700300</v>
      </c>
      <c r="BE30" s="93">
        <f>'[1]December - 2021'!BO30</f>
        <v>-70700300</v>
      </c>
      <c r="BF30" s="272">
        <f>'[1]December - 2021'!BQ30</f>
        <v>0</v>
      </c>
      <c r="BG30" s="245">
        <f>'[1]December - 2021'!BR30</f>
        <v>-65192800</v>
      </c>
      <c r="BH30" s="93">
        <f>'[1]December - 2021'!BR30</f>
        <v>-65192800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-7746840</v>
      </c>
      <c r="BU30" s="391"/>
      <c r="BV30" s="88">
        <f>'[1]December - 2021'!BW30</f>
        <v>0</v>
      </c>
      <c r="BW30" s="241">
        <f>'[1]December - 2021'!BX30</f>
        <v>0.68</v>
      </c>
      <c r="BX30" s="88">
        <f>'[1]December - 2021'!BX30</f>
        <v>0.68</v>
      </c>
      <c r="BY30" s="89">
        <f>'[1]December - 2021'!BZ30</f>
        <v>0</v>
      </c>
      <c r="BZ30" s="191">
        <f>'[1]December - 2021'!CA30</f>
        <v>-57288</v>
      </c>
      <c r="CA30" s="89">
        <f>'[1]December - 2021'!CB30</f>
        <v>0</v>
      </c>
      <c r="CB30" s="191">
        <f>'[1]December - 2021'!CC30</f>
        <v>-48771</v>
      </c>
      <c r="CC30" s="89">
        <f>'[1]December - 2021'!CD30</f>
        <v>0</v>
      </c>
      <c r="CD30" s="191">
        <f>'[1]December - 2021'!CE30</f>
        <v>-16760</v>
      </c>
      <c r="CE30" s="89">
        <f>'[1]December - 2021'!CF30</f>
        <v>0</v>
      </c>
      <c r="CF30" s="191">
        <f>'[1]December - 2021'!CG30</f>
        <v>-22179</v>
      </c>
      <c r="CG30" s="89">
        <f>'[1]December - 2021'!CH30</f>
        <v>0</v>
      </c>
      <c r="CH30" s="191">
        <f>'[1]December - 2021'!CI30</f>
        <v>-24222</v>
      </c>
      <c r="CI30" s="89">
        <f>'[1]December - 2021'!CJ30</f>
        <v>0</v>
      </c>
      <c r="CJ30" s="191">
        <f>'[1]December - 2021'!CK30</f>
        <v>-53663</v>
      </c>
      <c r="CK30" s="89">
        <f>'[1]December - 2021'!CL30</f>
        <v>0</v>
      </c>
      <c r="CL30" s="246">
        <f>'[1]December - 2021'!CM30</f>
        <v>-235438</v>
      </c>
      <c r="CM30" s="89">
        <f>'[1]December - 2021'!CM30</f>
        <v>-235438</v>
      </c>
      <c r="CN30" s="89">
        <f>'[1]December - 2021'!CO30</f>
        <v>0</v>
      </c>
      <c r="CO30" s="246">
        <f>'[1]December - 2021'!CP30</f>
        <v>-181310</v>
      </c>
      <c r="CP30" s="89">
        <f>'[1]December - 2021'!CP30</f>
        <v>-181310</v>
      </c>
      <c r="CQ30" s="89">
        <f>'[1]December - 2021'!CR30</f>
        <v>0</v>
      </c>
      <c r="CR30" s="246">
        <f>'[1]December - 2021'!CS30</f>
        <v>-320337</v>
      </c>
      <c r="CS30" s="89">
        <f>'[1]December - 2021'!CS30</f>
        <v>-320337</v>
      </c>
      <c r="CT30" s="89">
        <f>'[1]December - 2021'!CU30</f>
        <v>0</v>
      </c>
      <c r="CU30" s="191">
        <f>'[1]December - 2021'!CV30</f>
        <v>-623037</v>
      </c>
      <c r="CV30" s="451"/>
      <c r="CW30" s="256">
        <f>'[1]December - 2021'!CX30</f>
        <v>0</v>
      </c>
      <c r="CX30" s="198">
        <f>'[1]December - 2021'!CY30</f>
        <v>-6455</v>
      </c>
      <c r="CY30" s="257">
        <f>'[1]December - 2021'!CZ30</f>
        <v>0</v>
      </c>
      <c r="CZ30" s="198">
        <f>'[1]December - 2021'!DA30</f>
        <v>-3966</v>
      </c>
      <c r="DA30" s="257">
        <f>'[1]December - 2021'!DB30</f>
        <v>0</v>
      </c>
      <c r="DB30" s="198">
        <f>'[1]December - 2021'!DC30</f>
        <v>-26964</v>
      </c>
      <c r="DC30" s="257">
        <f>'[1]December - 2021'!DD30</f>
        <v>0</v>
      </c>
      <c r="DD30" s="198">
        <f>'[1]December - 2021'!DE30</f>
        <v>-27715</v>
      </c>
      <c r="DE30" s="257">
        <f>'[1]December - 2021'!DF30</f>
        <v>0</v>
      </c>
      <c r="DF30" s="198">
        <f>'[1]December - 2021'!DG30</f>
        <v>-18737</v>
      </c>
      <c r="DG30" s="257">
        <f>'[1]December - 2021'!DH30</f>
        <v>0</v>
      </c>
      <c r="DH30" s="198">
        <f>'[1]December - 2021'!DI30</f>
        <v>-21849</v>
      </c>
      <c r="DI30" s="257">
        <f>'[1]December - 2021'!DJ30</f>
        <v>0</v>
      </c>
      <c r="DJ30" s="198">
        <f>'[1]December - 2021'!DK30</f>
        <v>-3363</v>
      </c>
      <c r="DK30" s="257">
        <f>'[1]December - 2021'!DL30</f>
        <v>0</v>
      </c>
      <c r="DL30" s="198">
        <f>'[1]December - 2021'!DM30</f>
        <v>-6870</v>
      </c>
      <c r="DM30" s="257">
        <f>'[1]December - 2021'!DN30</f>
        <v>0</v>
      </c>
      <c r="DN30" s="198">
        <f>'[1]December - 2021'!DO30</f>
        <v>-1853</v>
      </c>
      <c r="DO30" s="257">
        <f>'[1]December - 2021'!DP30</f>
        <v>0</v>
      </c>
      <c r="DP30" s="198">
        <f>'[1]December - 2021'!DQ30</f>
        <v>-3651</v>
      </c>
      <c r="DQ30" s="257">
        <f>'[1]December - 2021'!DR30</f>
        <v>0</v>
      </c>
      <c r="DR30" s="206">
        <f>'[1]December - 2021'!DS30</f>
        <v>-26343</v>
      </c>
      <c r="DS30" s="436"/>
      <c r="DT30" s="210">
        <f>'[1]December - 2021'!DU30</f>
        <v>0</v>
      </c>
      <c r="DU30" s="221">
        <f>'[1]December - 2021'!DV30</f>
        <v>-3212.9</v>
      </c>
      <c r="DV30" s="91">
        <f>'[1]December - 2021'!DW30</f>
        <v>0</v>
      </c>
      <c r="DW30" s="215">
        <f>'[1]December - 2021'!DX30</f>
        <v>-8292.1</v>
      </c>
      <c r="DX30" s="91">
        <f>'[1]December - 2021'!DY30</f>
        <v>0</v>
      </c>
      <c r="DY30" s="215">
        <f>'[1]December - 2021'!DZ30</f>
        <v>-2416</v>
      </c>
      <c r="DZ30" s="91">
        <f>'[1]December - 2021'!EA30</f>
        <v>0</v>
      </c>
      <c r="EA30" s="215">
        <f>'[1]December - 2021'!EB30</f>
        <v>-2563.5</v>
      </c>
      <c r="EB30" s="91">
        <f>'[1]December - 2021'!EC30</f>
        <v>0</v>
      </c>
      <c r="EC30" s="215">
        <f>'[1]December - 2021'!ED30</f>
        <v>-879318</v>
      </c>
      <c r="ED30" s="91">
        <f>'[1]December - 2021'!EG30</f>
        <v>0</v>
      </c>
      <c r="EE30" s="229">
        <f>'[1]December - 2021'!EH30</f>
        <v>-178084.9</v>
      </c>
      <c r="EF30" s="375"/>
      <c r="EG30" s="235">
        <f>'[1]December - 2021'!EJ30</f>
        <v>0</v>
      </c>
      <c r="EH30" s="230">
        <f>'[1]December - 2021'!EK30</f>
        <v>-10457000</v>
      </c>
      <c r="EI30" s="90">
        <f>'[1]December - 2021'!EL30</f>
        <v>0</v>
      </c>
      <c r="EJ30" s="230">
        <f>'[1]December - 2021'!EM30</f>
        <v>-829570</v>
      </c>
      <c r="EK30" s="90">
        <f>'[1]December - 2021'!EN30</f>
        <v>0</v>
      </c>
      <c r="EL30" s="230">
        <f>'[1]December - 2021'!EO30</f>
        <v>-6417700</v>
      </c>
      <c r="EM30" s="90">
        <f>'[1]December - 2021'!EP30</f>
        <v>0</v>
      </c>
      <c r="EN30" s="230">
        <f>'[1]December - 2021'!EQ30</f>
        <v>-2255000</v>
      </c>
      <c r="EO30" s="90">
        <f>'[1]December - 2021'!ER30</f>
        <v>0</v>
      </c>
      <c r="EP30" s="230">
        <f>'[1]December - 2021'!ES30</f>
        <v>-1002760</v>
      </c>
      <c r="EQ30" s="90">
        <f>'[1]December - 2021'!ET30</f>
        <v>0</v>
      </c>
      <c r="ER30" s="230">
        <f>'[1]December - 2021'!EU30</f>
        <v>-14332400</v>
      </c>
      <c r="ES30" s="423"/>
      <c r="ET30" s="281">
        <f>'[1]December - 2021'!EW30</f>
        <v>0</v>
      </c>
      <c r="EU30" s="275">
        <f>'[1]December - 2021'!EX30</f>
        <v>-37683</v>
      </c>
      <c r="EV30" s="282">
        <f>'[1]December - 2021'!EY30</f>
        <v>0</v>
      </c>
      <c r="EW30" s="275">
        <f>'[1]December - 2021'!EZ30</f>
        <v>-32564</v>
      </c>
      <c r="EX30" s="282">
        <f>'[1]December - 2021'!FA30</f>
        <v>0</v>
      </c>
      <c r="EY30" s="275">
        <f>'[1]December - 2021'!FB30</f>
        <v>-3740</v>
      </c>
      <c r="EZ30" s="282">
        <f>'[1]December - 2021'!FC30</f>
        <v>0</v>
      </c>
      <c r="FA30" s="275">
        <f>'[1]December - 2021'!FD30</f>
        <v>-54334</v>
      </c>
      <c r="FB30" s="282">
        <f>'[1]December - 2021'!FE30</f>
        <v>0</v>
      </c>
      <c r="FC30" s="276">
        <f>'[1]December - 2021'!FF30</f>
        <v>-38113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32496.240000000224</v>
      </c>
      <c r="V44" s="361"/>
      <c r="W44" s="362"/>
      <c r="X44" s="360">
        <f>SUM(Z9:Z24)</f>
        <v>70741.439999999478</v>
      </c>
      <c r="Y44" s="361"/>
      <c r="Z44" s="362"/>
      <c r="AA44" s="360">
        <f>SUM(AC9:AC24)</f>
        <v>32447.519999999553</v>
      </c>
      <c r="AB44" s="361"/>
      <c r="AC44" s="362"/>
      <c r="AD44" s="360">
        <f>SUM(AF9:AF24)</f>
        <v>76392.960000002757</v>
      </c>
      <c r="AE44" s="361"/>
      <c r="AF44" s="362"/>
      <c r="AG44" s="360">
        <f>SUM(AI9:AI24)</f>
        <v>47063.519999995828</v>
      </c>
      <c r="AH44" s="361"/>
      <c r="AI44" s="362"/>
      <c r="AJ44" s="360">
        <f>SUM(AL9:AL24)</f>
        <v>87647.279999997467</v>
      </c>
      <c r="AK44" s="361"/>
      <c r="AL44" s="362"/>
      <c r="AM44" s="360">
        <f>SUM(AO9:AO24)</f>
        <v>68305.440000001341</v>
      </c>
      <c r="AN44" s="361"/>
      <c r="AO44" s="362"/>
      <c r="AP44" s="360">
        <f>SUM(AR9:AR24)</f>
        <v>63823.199999999255</v>
      </c>
      <c r="AQ44" s="361"/>
      <c r="AR44" s="362"/>
      <c r="AS44" s="360">
        <f>SUM(AU9:AU24)</f>
        <v>49207.200000001118</v>
      </c>
      <c r="AT44" s="361"/>
      <c r="AU44" s="362"/>
      <c r="AV44" s="360">
        <f>SUM(AX9:AX24)</f>
        <v>83359.919999999925</v>
      </c>
      <c r="AW44" s="361"/>
      <c r="AX44" s="361"/>
      <c r="AY44" s="582"/>
      <c r="AZ44" s="361">
        <f>SUM(BB9:BB24)</f>
        <v>170000</v>
      </c>
      <c r="BA44" s="361"/>
      <c r="BB44" s="361"/>
      <c r="BC44" s="360">
        <f>SUM(BE9:BE24)</f>
        <v>368800</v>
      </c>
      <c r="BD44" s="361"/>
      <c r="BE44" s="361"/>
      <c r="BF44" s="355">
        <f>SUM(BH9:BH24)</f>
        <v>181600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1575</v>
      </c>
      <c r="CL44" s="355"/>
      <c r="CM44" s="355"/>
      <c r="CN44" s="355">
        <f>SUM(CP9:CP24)</f>
        <v>1731</v>
      </c>
      <c r="CO44" s="355"/>
      <c r="CP44" s="355"/>
      <c r="CQ44" s="355">
        <f>SUM(CS9:CS24)</f>
        <v>3375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10438</v>
      </c>
      <c r="D45" s="357"/>
      <c r="E45" s="358"/>
      <c r="F45" s="357">
        <f>SUM(G9:G24)</f>
        <v>6583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1333.0399999999936</v>
      </c>
      <c r="P45" s="357"/>
      <c r="Q45" s="358"/>
      <c r="R45" s="363"/>
      <c r="S45" s="364"/>
      <c r="T45" s="524"/>
      <c r="U45" s="348">
        <f>SUM(V9:V24)</f>
        <v>32496.240000000224</v>
      </c>
      <c r="V45" s="348"/>
      <c r="W45" s="349"/>
      <c r="X45" s="348">
        <f>SUM(Y9:Y24)</f>
        <v>70741.439999999478</v>
      </c>
      <c r="Y45" s="348"/>
      <c r="Z45" s="349"/>
      <c r="AA45" s="348">
        <f>SUM(AB9:AB24)</f>
        <v>32447.519999999553</v>
      </c>
      <c r="AB45" s="348"/>
      <c r="AC45" s="349"/>
      <c r="AD45" s="348">
        <f>SUM(AE9:AE24)</f>
        <v>76392.960000002757</v>
      </c>
      <c r="AE45" s="348"/>
      <c r="AF45" s="349"/>
      <c r="AG45" s="348">
        <f>SUM(AH9:AH24)</f>
        <v>47063.519999995828</v>
      </c>
      <c r="AH45" s="348"/>
      <c r="AI45" s="349"/>
      <c r="AJ45" s="348">
        <f>SUM(AK9:AK24)</f>
        <v>87647.279999997467</v>
      </c>
      <c r="AK45" s="348"/>
      <c r="AL45" s="349"/>
      <c r="AM45" s="348">
        <f>SUM(AN9:AN24)</f>
        <v>68305.440000001341</v>
      </c>
      <c r="AN45" s="348"/>
      <c r="AO45" s="349"/>
      <c r="AP45" s="348">
        <f>SUM(AQ9:AQ24)</f>
        <v>63823.199999999255</v>
      </c>
      <c r="AQ45" s="348"/>
      <c r="AR45" s="349"/>
      <c r="AS45" s="348">
        <f>SUM(AT9:AT24)</f>
        <v>49207.200000001118</v>
      </c>
      <c r="AT45" s="348"/>
      <c r="AU45" s="349"/>
      <c r="AV45" s="348">
        <f>SUM(AW9:AW24)</f>
        <v>83359.919999999925</v>
      </c>
      <c r="AW45" s="348"/>
      <c r="AX45" s="348"/>
      <c r="AY45" s="582"/>
      <c r="AZ45" s="349">
        <f>SUM(BA9:BA24)</f>
        <v>170000</v>
      </c>
      <c r="BA45" s="355"/>
      <c r="BB45" s="355"/>
      <c r="BC45" s="355">
        <f>SUM(BD9:BD24)</f>
        <v>368800</v>
      </c>
      <c r="BD45" s="355"/>
      <c r="BE45" s="355"/>
      <c r="BF45" s="355">
        <f>SUM(BG9:BG24)</f>
        <v>181600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1575</v>
      </c>
      <c r="CL45" s="355"/>
      <c r="CM45" s="355"/>
      <c r="CN45" s="355">
        <f>SUM(CO9:CO24)</f>
        <v>1731</v>
      </c>
      <c r="CO45" s="355"/>
      <c r="CP45" s="355"/>
      <c r="CQ45" s="355">
        <f>SUM(CR9:CR24)</f>
        <v>3375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611484.71999999695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611484.71999999695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2021-12-21T12:06:44Z</dcterms:modified>
</cp:coreProperties>
</file>