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Cairo at Nile Plaza\2019\"/>
    </mc:Choice>
  </mc:AlternateContent>
  <bookViews>
    <workbookView xWindow="0" yWindow="0" windowWidth="28800" windowHeight="12435" tabRatio="598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</sheets>
  <externalReferences>
    <externalReference r:id="rId9"/>
  </externalReferences>
  <definedNames>
    <definedName name="_xlnm.Print_Area" localSheetId="5">Gas!$A$1:$C$35</definedName>
  </definedNames>
  <calcPr calcId="152511"/>
</workbook>
</file>

<file path=xl/calcChain.xml><?xml version="1.0" encoding="utf-8"?>
<calcChain xmlns="http://schemas.openxmlformats.org/spreadsheetml/2006/main">
  <c r="T33" i="1" l="1"/>
  <c r="U33" i="1"/>
  <c r="S33" i="1"/>
  <c r="R33" i="1"/>
  <c r="O33" i="1"/>
  <c r="P33" i="1"/>
  <c r="M33" i="1"/>
  <c r="L33" i="1"/>
  <c r="I33" i="1"/>
  <c r="J33" i="1"/>
  <c r="G33" i="1"/>
  <c r="F33" i="1"/>
  <c r="C33" i="1"/>
  <c r="D33" i="1"/>
  <c r="R32" i="1"/>
  <c r="S32" i="1"/>
  <c r="O32" i="1"/>
  <c r="P32" i="1"/>
  <c r="L32" i="1"/>
  <c r="M32" i="1"/>
  <c r="I32" i="1"/>
  <c r="J32" i="1"/>
  <c r="F32" i="1"/>
  <c r="G32" i="1"/>
  <c r="C32" i="1"/>
  <c r="D32" i="1"/>
  <c r="R31" i="1"/>
  <c r="S31" i="1"/>
  <c r="O31" i="1"/>
  <c r="P31" i="1"/>
  <c r="L31" i="1"/>
  <c r="M31" i="1"/>
  <c r="I31" i="1"/>
  <c r="J31" i="1"/>
  <c r="F31" i="1"/>
  <c r="G31" i="1"/>
  <c r="C31" i="1"/>
  <c r="D31" i="1"/>
  <c r="R30" i="1"/>
  <c r="S30" i="1"/>
  <c r="O30" i="1"/>
  <c r="P30" i="1"/>
  <c r="L30" i="1"/>
  <c r="M30" i="1"/>
  <c r="I30" i="1"/>
  <c r="J30" i="1"/>
  <c r="F30" i="1"/>
  <c r="G30" i="1"/>
  <c r="C30" i="1"/>
  <c r="D30" i="1"/>
  <c r="R29" i="1"/>
  <c r="S29" i="1"/>
  <c r="O29" i="1"/>
  <c r="P29" i="1"/>
  <c r="L29" i="1"/>
  <c r="M29" i="1"/>
  <c r="I29" i="1"/>
  <c r="J29" i="1"/>
  <c r="F29" i="1"/>
  <c r="G29" i="1"/>
  <c r="C29" i="1"/>
  <c r="D29" i="1"/>
  <c r="R28" i="1"/>
  <c r="S28" i="1"/>
  <c r="O28" i="1"/>
  <c r="P28" i="1"/>
  <c r="L28" i="1"/>
  <c r="M28" i="1"/>
  <c r="I28" i="1"/>
  <c r="J28" i="1"/>
  <c r="F28" i="1"/>
  <c r="G28" i="1"/>
  <c r="C28" i="1"/>
  <c r="D28" i="1"/>
  <c r="R27" i="1"/>
  <c r="S27" i="1"/>
  <c r="O27" i="1"/>
  <c r="P27" i="1"/>
  <c r="L27" i="1"/>
  <c r="M27" i="1"/>
  <c r="I27" i="1"/>
  <c r="J27" i="1"/>
  <c r="F27" i="1"/>
  <c r="G27" i="1"/>
  <c r="C27" i="1"/>
  <c r="D27" i="1"/>
  <c r="R26" i="1"/>
  <c r="S26" i="1"/>
  <c r="O26" i="1"/>
  <c r="P26" i="1"/>
  <c r="L26" i="1"/>
  <c r="M26" i="1"/>
  <c r="I26" i="1"/>
  <c r="J26" i="1"/>
  <c r="F26" i="1"/>
  <c r="G26" i="1"/>
  <c r="C26" i="1"/>
  <c r="D26" i="1"/>
  <c r="R25" i="1"/>
  <c r="S25" i="1"/>
  <c r="O25" i="1"/>
  <c r="P25" i="1"/>
  <c r="L25" i="1"/>
  <c r="M25" i="1"/>
  <c r="I25" i="1"/>
  <c r="J25" i="1"/>
  <c r="F25" i="1"/>
  <c r="G25" i="1"/>
  <c r="C25" i="1"/>
  <c r="D25" i="1"/>
  <c r="R24" i="1"/>
  <c r="S24" i="1"/>
  <c r="O24" i="1"/>
  <c r="P24" i="1"/>
  <c r="L24" i="1"/>
  <c r="M24" i="1"/>
  <c r="I24" i="1"/>
  <c r="J24" i="1"/>
  <c r="F24" i="1"/>
  <c r="G24" i="1"/>
  <c r="C24" i="1"/>
  <c r="D24" i="1"/>
  <c r="R23" i="1"/>
  <c r="S23" i="1"/>
  <c r="O23" i="1"/>
  <c r="P23" i="1"/>
  <c r="L23" i="1"/>
  <c r="M23" i="1"/>
  <c r="I23" i="1"/>
  <c r="J23" i="1"/>
  <c r="F23" i="1"/>
  <c r="G23" i="1"/>
  <c r="C23" i="1"/>
  <c r="D23" i="1"/>
  <c r="R22" i="1"/>
  <c r="S22" i="1"/>
  <c r="O22" i="1"/>
  <c r="P22" i="1"/>
  <c r="L22" i="1"/>
  <c r="M22" i="1"/>
  <c r="I22" i="1"/>
  <c r="J22" i="1"/>
  <c r="F22" i="1"/>
  <c r="G22" i="1"/>
  <c r="C22" i="1"/>
  <c r="D22" i="1"/>
  <c r="R21" i="1"/>
  <c r="S21" i="1"/>
  <c r="O21" i="1"/>
  <c r="P21" i="1"/>
  <c r="L21" i="1"/>
  <c r="M21" i="1"/>
  <c r="I21" i="1"/>
  <c r="J21" i="1"/>
  <c r="F21" i="1"/>
  <c r="G21" i="1"/>
  <c r="C21" i="1"/>
  <c r="D21" i="1"/>
  <c r="R20" i="1"/>
  <c r="S20" i="1"/>
  <c r="O20" i="1"/>
  <c r="P20" i="1"/>
  <c r="L20" i="1"/>
  <c r="M20" i="1"/>
  <c r="I20" i="1"/>
  <c r="J20" i="1"/>
  <c r="F20" i="1"/>
  <c r="G20" i="1"/>
  <c r="C20" i="1"/>
  <c r="D20" i="1"/>
  <c r="S19" i="1"/>
  <c r="R19" i="1"/>
  <c r="O19" i="1"/>
  <c r="P19" i="1"/>
  <c r="M19" i="1"/>
  <c r="L19" i="1"/>
  <c r="I19" i="1"/>
  <c r="J19" i="1"/>
  <c r="F19" i="1"/>
  <c r="T19" i="1"/>
  <c r="U19" i="1"/>
  <c r="C19" i="1"/>
  <c r="D19" i="1"/>
  <c r="R18" i="1"/>
  <c r="S18" i="1"/>
  <c r="P18" i="1"/>
  <c r="O18" i="1"/>
  <c r="L18" i="1"/>
  <c r="M18" i="1"/>
  <c r="J18" i="1"/>
  <c r="I18" i="1"/>
  <c r="F18" i="1"/>
  <c r="G18" i="1"/>
  <c r="C18" i="1"/>
  <c r="T18" i="1"/>
  <c r="U18" i="1"/>
  <c r="R17" i="1"/>
  <c r="S17" i="1"/>
  <c r="O17" i="1"/>
  <c r="P17" i="1"/>
  <c r="M17" i="1"/>
  <c r="L17" i="1"/>
  <c r="I17" i="1"/>
  <c r="J17" i="1"/>
  <c r="G17" i="1"/>
  <c r="F17" i="1"/>
  <c r="T17" i="1"/>
  <c r="U17" i="1"/>
  <c r="C17" i="1"/>
  <c r="D17" i="1"/>
  <c r="R16" i="1"/>
  <c r="S16" i="1"/>
  <c r="O16" i="1"/>
  <c r="P16" i="1"/>
  <c r="L16" i="1"/>
  <c r="M16" i="1"/>
  <c r="J16" i="1"/>
  <c r="I16" i="1"/>
  <c r="F16" i="1"/>
  <c r="G16" i="1"/>
  <c r="D16" i="1"/>
  <c r="C16" i="1"/>
  <c r="R15" i="1"/>
  <c r="S15" i="1"/>
  <c r="O15" i="1"/>
  <c r="P15" i="1"/>
  <c r="L15" i="1"/>
  <c r="M15" i="1"/>
  <c r="I15" i="1"/>
  <c r="J15" i="1"/>
  <c r="G15" i="1"/>
  <c r="F15" i="1"/>
  <c r="C15" i="1"/>
  <c r="D15" i="1"/>
  <c r="R14" i="1"/>
  <c r="S14" i="1"/>
  <c r="O14" i="1"/>
  <c r="U13" i="8"/>
  <c r="L14" i="1"/>
  <c r="M14" i="1"/>
  <c r="I14" i="1"/>
  <c r="J14" i="1"/>
  <c r="F14" i="1"/>
  <c r="G14" i="1"/>
  <c r="D14" i="1"/>
  <c r="C14" i="1"/>
  <c r="S13" i="1"/>
  <c r="R13" i="1"/>
  <c r="O13" i="1"/>
  <c r="P13" i="1"/>
  <c r="L13" i="1"/>
  <c r="V12" i="8"/>
  <c r="I13" i="1"/>
  <c r="J13" i="1"/>
  <c r="F13" i="1"/>
  <c r="G13" i="1"/>
  <c r="C13" i="1"/>
  <c r="D13" i="1"/>
  <c r="R12" i="1"/>
  <c r="S12" i="1"/>
  <c r="P12" i="1"/>
  <c r="O12" i="1"/>
  <c r="L12" i="1"/>
  <c r="M12" i="1"/>
  <c r="I12" i="1"/>
  <c r="T11" i="8"/>
  <c r="F12" i="1"/>
  <c r="G12" i="1"/>
  <c r="C12" i="1"/>
  <c r="T12" i="1"/>
  <c r="U12" i="1"/>
  <c r="S11" i="1"/>
  <c r="R11" i="1"/>
  <c r="O11" i="1"/>
  <c r="P11" i="1"/>
  <c r="M11" i="1"/>
  <c r="L11" i="1"/>
  <c r="I11" i="1"/>
  <c r="J11" i="1"/>
  <c r="F11" i="1"/>
  <c r="G11" i="1"/>
  <c r="C11" i="1"/>
  <c r="D11" i="1"/>
  <c r="R10" i="1"/>
  <c r="S10" i="1"/>
  <c r="P10" i="1"/>
  <c r="O10" i="1"/>
  <c r="L10" i="1"/>
  <c r="V9" i="8"/>
  <c r="J10" i="1"/>
  <c r="I10" i="1"/>
  <c r="F10" i="1"/>
  <c r="S9" i="8"/>
  <c r="D10" i="1"/>
  <c r="C10" i="1"/>
  <c r="S9" i="1"/>
  <c r="R9" i="1"/>
  <c r="O9" i="1"/>
  <c r="P9" i="1"/>
  <c r="M9" i="1"/>
  <c r="L9" i="1"/>
  <c r="I9" i="1"/>
  <c r="T8" i="8"/>
  <c r="G9" i="1"/>
  <c r="F9" i="1"/>
  <c r="C9" i="1"/>
  <c r="R8" i="8"/>
  <c r="R8" i="1"/>
  <c r="S8" i="1"/>
  <c r="P8" i="1"/>
  <c r="O8" i="1"/>
  <c r="L8" i="1"/>
  <c r="M8" i="1"/>
  <c r="J8" i="1"/>
  <c r="I8" i="1"/>
  <c r="F8" i="1"/>
  <c r="S7" i="8"/>
  <c r="D8" i="1"/>
  <c r="C8" i="1"/>
  <c r="T8" i="1"/>
  <c r="U8" i="1"/>
  <c r="S7" i="1"/>
  <c r="R7" i="1"/>
  <c r="O7" i="1"/>
  <c r="U6" i="8"/>
  <c r="M7" i="1"/>
  <c r="L7" i="1"/>
  <c r="I7" i="1"/>
  <c r="T6" i="8"/>
  <c r="G7" i="1"/>
  <c r="F7" i="1"/>
  <c r="C7" i="1"/>
  <c r="T7" i="1"/>
  <c r="U7" i="1"/>
  <c r="R6" i="1"/>
  <c r="S6" i="1"/>
  <c r="P6" i="1"/>
  <c r="O6" i="1"/>
  <c r="L6" i="1"/>
  <c r="M6" i="1"/>
  <c r="J6" i="1"/>
  <c r="I6" i="1"/>
  <c r="F6" i="1"/>
  <c r="G6" i="1"/>
  <c r="D6" i="1"/>
  <c r="C6" i="1"/>
  <c r="T6" i="1"/>
  <c r="U6" i="1"/>
  <c r="S5" i="1"/>
  <c r="R5" i="1"/>
  <c r="O5" i="1"/>
  <c r="P5" i="1"/>
  <c r="M5" i="1"/>
  <c r="L5" i="1"/>
  <c r="I5" i="1"/>
  <c r="T4" i="8"/>
  <c r="G5" i="1"/>
  <c r="F5" i="1"/>
  <c r="C5" i="1"/>
  <c r="T5" i="1"/>
  <c r="U5" i="1"/>
  <c r="R4" i="1"/>
  <c r="W3" i="8"/>
  <c r="P4" i="1"/>
  <c r="O4" i="1"/>
  <c r="L4" i="1"/>
  <c r="M4" i="1"/>
  <c r="J4" i="1"/>
  <c r="I4" i="1"/>
  <c r="F4" i="1"/>
  <c r="S3" i="8"/>
  <c r="D4" i="1"/>
  <c r="C4" i="1"/>
  <c r="T4" i="1"/>
  <c r="U4" i="1"/>
  <c r="S3" i="1"/>
  <c r="R3" i="1"/>
  <c r="R34" i="1"/>
  <c r="O3" i="1"/>
  <c r="O34" i="1"/>
  <c r="M3" i="1"/>
  <c r="L3" i="1"/>
  <c r="L34" i="1"/>
  <c r="I3" i="1"/>
  <c r="I34" i="1"/>
  <c r="G3" i="1"/>
  <c r="F3" i="1"/>
  <c r="F34" i="1"/>
  <c r="C3" i="1"/>
  <c r="C34" i="1"/>
  <c r="T2" i="1"/>
  <c r="P2" i="1"/>
  <c r="M2" i="1"/>
  <c r="J2" i="1"/>
  <c r="G2" i="1"/>
  <c r="D2" i="1"/>
  <c r="J35" i="11"/>
  <c r="K35" i="11"/>
  <c r="C26" i="11"/>
  <c r="I35" i="11"/>
  <c r="K32" i="11"/>
  <c r="J32" i="11"/>
  <c r="I32" i="11"/>
  <c r="J31" i="11"/>
  <c r="I31" i="11"/>
  <c r="J30" i="11"/>
  <c r="I30" i="11"/>
  <c r="K30" i="11"/>
  <c r="C15" i="11"/>
  <c r="D15" i="11"/>
  <c r="J29" i="11"/>
  <c r="I29" i="11"/>
  <c r="K26" i="11"/>
  <c r="J25" i="11"/>
  <c r="K25" i="11"/>
  <c r="C9" i="11"/>
  <c r="D9" i="11"/>
  <c r="I25" i="11"/>
  <c r="K24" i="11"/>
  <c r="J24" i="11"/>
  <c r="I24" i="11"/>
  <c r="J23" i="11"/>
  <c r="I23" i="11"/>
  <c r="J22" i="11"/>
  <c r="I22" i="11"/>
  <c r="K22" i="11"/>
  <c r="J21" i="11"/>
  <c r="I21" i="11"/>
  <c r="D21" i="11"/>
  <c r="J20" i="11"/>
  <c r="K20" i="11"/>
  <c r="I20" i="11"/>
  <c r="D20" i="11"/>
  <c r="J19" i="11"/>
  <c r="I19" i="11"/>
  <c r="D19" i="11"/>
  <c r="J18" i="11"/>
  <c r="K18" i="11"/>
  <c r="I18" i="11"/>
  <c r="D18" i="11"/>
  <c r="J17" i="11"/>
  <c r="I17" i="11"/>
  <c r="D17" i="11"/>
  <c r="J12" i="11"/>
  <c r="K12" i="11"/>
  <c r="I12" i="11"/>
  <c r="K11" i="11"/>
  <c r="J10" i="11"/>
  <c r="I10" i="11"/>
  <c r="J9" i="11"/>
  <c r="I9" i="11"/>
  <c r="K9" i="11"/>
  <c r="J8" i="11"/>
  <c r="I8" i="11"/>
  <c r="J7" i="11"/>
  <c r="K7" i="11"/>
  <c r="I7" i="11"/>
  <c r="J6" i="11"/>
  <c r="K6" i="11"/>
  <c r="I6" i="11"/>
  <c r="J4" i="11"/>
  <c r="K4" i="11"/>
  <c r="I4" i="11"/>
  <c r="J3" i="11"/>
  <c r="I3" i="11"/>
  <c r="K3" i="11"/>
  <c r="K5" i="11"/>
  <c r="C34" i="5"/>
  <c r="C33" i="5"/>
  <c r="C32" i="5"/>
  <c r="G30" i="9"/>
  <c r="C31" i="5"/>
  <c r="C30" i="5"/>
  <c r="C29" i="5"/>
  <c r="C28" i="5"/>
  <c r="G26" i="9"/>
  <c r="C27" i="5"/>
  <c r="C26" i="5"/>
  <c r="C25" i="5"/>
  <c r="C24" i="5"/>
  <c r="G22" i="9"/>
  <c r="C23" i="5"/>
  <c r="C22" i="5"/>
  <c r="C21" i="5"/>
  <c r="C20" i="5"/>
  <c r="C19" i="5"/>
  <c r="C18" i="5"/>
  <c r="C17" i="5"/>
  <c r="C16" i="5"/>
  <c r="G14" i="9"/>
  <c r="C15" i="5"/>
  <c r="C14" i="5"/>
  <c r="C13" i="5"/>
  <c r="C12" i="5"/>
  <c r="G10" i="9"/>
  <c r="C11" i="5"/>
  <c r="C10" i="5"/>
  <c r="C9" i="5"/>
  <c r="C8" i="5"/>
  <c r="C7" i="5"/>
  <c r="C6" i="5"/>
  <c r="C5" i="5"/>
  <c r="C4" i="5"/>
  <c r="C35" i="5"/>
  <c r="W34" i="4"/>
  <c r="P32" i="8"/>
  <c r="S34" i="4"/>
  <c r="Q34" i="4"/>
  <c r="N32" i="8"/>
  <c r="O34" i="4"/>
  <c r="M32" i="8"/>
  <c r="M34" i="4"/>
  <c r="L32" i="8"/>
  <c r="K34" i="4"/>
  <c r="H34" i="4"/>
  <c r="F34" i="4"/>
  <c r="I32" i="8"/>
  <c r="W33" i="4"/>
  <c r="Z33" i="4"/>
  <c r="S33" i="4"/>
  <c r="Q33" i="4"/>
  <c r="N31" i="8"/>
  <c r="O33" i="4"/>
  <c r="M31" i="8"/>
  <c r="M33" i="4"/>
  <c r="K33" i="4"/>
  <c r="H33" i="4"/>
  <c r="F33" i="4"/>
  <c r="W32" i="4"/>
  <c r="S32" i="4"/>
  <c r="Z32" i="4"/>
  <c r="Q32" i="4"/>
  <c r="O32" i="4"/>
  <c r="M32" i="4"/>
  <c r="K32" i="4"/>
  <c r="X32" i="4"/>
  <c r="Y32" i="4"/>
  <c r="I32" i="4"/>
  <c r="H32" i="4"/>
  <c r="F32" i="4"/>
  <c r="Z31" i="4"/>
  <c r="W31" i="4"/>
  <c r="S31" i="4"/>
  <c r="O29" i="8"/>
  <c r="Q31" i="4"/>
  <c r="O31" i="4"/>
  <c r="M31" i="4"/>
  <c r="K31" i="4"/>
  <c r="H31" i="4"/>
  <c r="F31" i="4"/>
  <c r="I31" i="4"/>
  <c r="W30" i="4"/>
  <c r="S30" i="4"/>
  <c r="Q30" i="4"/>
  <c r="O30" i="4"/>
  <c r="M28" i="8"/>
  <c r="M30" i="4"/>
  <c r="K30" i="4"/>
  <c r="H30" i="4"/>
  <c r="F30" i="4"/>
  <c r="W29" i="4"/>
  <c r="Z29" i="4"/>
  <c r="S29" i="4"/>
  <c r="Q29" i="4"/>
  <c r="N27" i="8"/>
  <c r="O29" i="4"/>
  <c r="M27" i="8"/>
  <c r="M29" i="4"/>
  <c r="K29" i="4"/>
  <c r="H29" i="4"/>
  <c r="J27" i="8"/>
  <c r="F29" i="4"/>
  <c r="W28" i="4"/>
  <c r="S28" i="4"/>
  <c r="Q28" i="4"/>
  <c r="N26" i="8"/>
  <c r="O28" i="4"/>
  <c r="M28" i="4"/>
  <c r="K28" i="4"/>
  <c r="I28" i="4"/>
  <c r="H28" i="4"/>
  <c r="F28" i="4"/>
  <c r="Z27" i="4"/>
  <c r="W27" i="4"/>
  <c r="P25" i="8"/>
  <c r="S27" i="4"/>
  <c r="Q27" i="4"/>
  <c r="O27" i="4"/>
  <c r="M27" i="4"/>
  <c r="K27" i="4"/>
  <c r="X27" i="4"/>
  <c r="H27" i="4"/>
  <c r="F27" i="4"/>
  <c r="W26" i="4"/>
  <c r="Z26" i="4"/>
  <c r="S26" i="4"/>
  <c r="Q26" i="4"/>
  <c r="O26" i="4"/>
  <c r="M26" i="4"/>
  <c r="L24" i="8"/>
  <c r="K26" i="4"/>
  <c r="H26" i="4"/>
  <c r="J24" i="8"/>
  <c r="F26" i="4"/>
  <c r="W25" i="4"/>
  <c r="S25" i="4"/>
  <c r="Q25" i="4"/>
  <c r="N23" i="8"/>
  <c r="O25" i="4"/>
  <c r="M23" i="8"/>
  <c r="M25" i="4"/>
  <c r="K25" i="4"/>
  <c r="H25" i="4"/>
  <c r="J23" i="8"/>
  <c r="F25" i="4"/>
  <c r="W24" i="4"/>
  <c r="S24" i="4"/>
  <c r="Q24" i="4"/>
  <c r="N22" i="8"/>
  <c r="O24" i="4"/>
  <c r="M24" i="4"/>
  <c r="K24" i="4"/>
  <c r="I24" i="4"/>
  <c r="H24" i="4"/>
  <c r="F24" i="4"/>
  <c r="W23" i="4"/>
  <c r="P21" i="8"/>
  <c r="S23" i="4"/>
  <c r="O21" i="8"/>
  <c r="Q23" i="4"/>
  <c r="O23" i="4"/>
  <c r="M23" i="4"/>
  <c r="L21" i="8"/>
  <c r="K23" i="4"/>
  <c r="X23" i="4"/>
  <c r="H23" i="4"/>
  <c r="F23" i="4"/>
  <c r="I23" i="4"/>
  <c r="W22" i="4"/>
  <c r="S22" i="4"/>
  <c r="Q22" i="4"/>
  <c r="O22" i="4"/>
  <c r="M20" i="8"/>
  <c r="M22" i="4"/>
  <c r="K22" i="4"/>
  <c r="H22" i="4"/>
  <c r="F22" i="4"/>
  <c r="I22" i="4"/>
  <c r="W21" i="4"/>
  <c r="Z21" i="4"/>
  <c r="S21" i="4"/>
  <c r="Q21" i="4"/>
  <c r="N19" i="8"/>
  <c r="O21" i="4"/>
  <c r="X21" i="4"/>
  <c r="M21" i="4"/>
  <c r="K21" i="4"/>
  <c r="H21" i="4"/>
  <c r="I21" i="4"/>
  <c r="Y21" i="4"/>
  <c r="F21" i="4"/>
  <c r="W20" i="4"/>
  <c r="S20" i="4"/>
  <c r="O18" i="8"/>
  <c r="Q20" i="4"/>
  <c r="N18" i="8"/>
  <c r="O20" i="4"/>
  <c r="M20" i="4"/>
  <c r="K20" i="4"/>
  <c r="I20" i="4"/>
  <c r="H20" i="4"/>
  <c r="F20" i="4"/>
  <c r="Z19" i="4"/>
  <c r="W19" i="4"/>
  <c r="P17" i="8"/>
  <c r="S19" i="4"/>
  <c r="O17" i="8"/>
  <c r="Q19" i="4"/>
  <c r="O19" i="4"/>
  <c r="M19" i="4"/>
  <c r="K19" i="4"/>
  <c r="H19" i="4"/>
  <c r="F19" i="4"/>
  <c r="I19" i="4"/>
  <c r="W18" i="4"/>
  <c r="Z18" i="4"/>
  <c r="S18" i="4"/>
  <c r="Q18" i="4"/>
  <c r="O18" i="4"/>
  <c r="M18" i="4"/>
  <c r="X18" i="4"/>
  <c r="K18" i="4"/>
  <c r="H18" i="4"/>
  <c r="J16" i="8"/>
  <c r="F18" i="4"/>
  <c r="W17" i="4"/>
  <c r="S17" i="4"/>
  <c r="Q17" i="4"/>
  <c r="O17" i="4"/>
  <c r="M15" i="8"/>
  <c r="M17" i="4"/>
  <c r="K17" i="4"/>
  <c r="H17" i="4"/>
  <c r="I17" i="4"/>
  <c r="F17" i="4"/>
  <c r="W16" i="4"/>
  <c r="S16" i="4"/>
  <c r="Q16" i="4"/>
  <c r="N14" i="8"/>
  <c r="O16" i="4"/>
  <c r="M16" i="4"/>
  <c r="K16" i="4"/>
  <c r="I16" i="4"/>
  <c r="H16" i="4"/>
  <c r="F16" i="4"/>
  <c r="W15" i="4"/>
  <c r="S15" i="4"/>
  <c r="O13" i="8"/>
  <c r="Q15" i="4"/>
  <c r="O15" i="4"/>
  <c r="M15" i="4"/>
  <c r="L13" i="8"/>
  <c r="K15" i="4"/>
  <c r="H15" i="4"/>
  <c r="F15" i="4"/>
  <c r="W14" i="4"/>
  <c r="S14" i="4"/>
  <c r="Q14" i="4"/>
  <c r="O14" i="4"/>
  <c r="M12" i="8"/>
  <c r="M14" i="4"/>
  <c r="K14" i="4"/>
  <c r="H14" i="4"/>
  <c r="J12" i="8"/>
  <c r="F14" i="4"/>
  <c r="W13" i="4"/>
  <c r="Z13" i="4"/>
  <c r="S13" i="4"/>
  <c r="Q13" i="4"/>
  <c r="N11" i="8"/>
  <c r="O13" i="4"/>
  <c r="X13" i="4"/>
  <c r="M13" i="4"/>
  <c r="K13" i="4"/>
  <c r="I13" i="4"/>
  <c r="H13" i="4"/>
  <c r="F13" i="4"/>
  <c r="W12" i="4"/>
  <c r="S12" i="4"/>
  <c r="O10" i="8"/>
  <c r="Q12" i="4"/>
  <c r="Z12" i="4"/>
  <c r="O12" i="4"/>
  <c r="M12" i="4"/>
  <c r="K12" i="4"/>
  <c r="I12" i="4"/>
  <c r="H12" i="4"/>
  <c r="F12" i="4"/>
  <c r="Z11" i="4"/>
  <c r="W11" i="4"/>
  <c r="P9" i="8"/>
  <c r="S11" i="4"/>
  <c r="O9" i="8"/>
  <c r="Q11" i="4"/>
  <c r="O11" i="4"/>
  <c r="M11" i="4"/>
  <c r="K11" i="4"/>
  <c r="H11" i="4"/>
  <c r="F11" i="4"/>
  <c r="W10" i="4"/>
  <c r="Z10" i="4"/>
  <c r="S10" i="4"/>
  <c r="Q10" i="4"/>
  <c r="O10" i="4"/>
  <c r="M8" i="8"/>
  <c r="M10" i="4"/>
  <c r="L8" i="8"/>
  <c r="K10" i="4"/>
  <c r="H10" i="4"/>
  <c r="J8" i="8"/>
  <c r="F10" i="4"/>
  <c r="W9" i="4"/>
  <c r="S9" i="4"/>
  <c r="Q9" i="4"/>
  <c r="N7" i="8"/>
  <c r="O9" i="4"/>
  <c r="M7" i="8"/>
  <c r="M9" i="4"/>
  <c r="K9" i="4"/>
  <c r="H9" i="4"/>
  <c r="F9" i="4"/>
  <c r="W8" i="4"/>
  <c r="S8" i="4"/>
  <c r="Z8" i="4"/>
  <c r="Q8" i="4"/>
  <c r="N6" i="8"/>
  <c r="O8" i="4"/>
  <c r="M8" i="4"/>
  <c r="K8" i="4"/>
  <c r="I8" i="4"/>
  <c r="H8" i="4"/>
  <c r="F8" i="4"/>
  <c r="W7" i="4"/>
  <c r="P5" i="8"/>
  <c r="S7" i="4"/>
  <c r="O5" i="8"/>
  <c r="Q7" i="4"/>
  <c r="O7" i="4"/>
  <c r="M7" i="4"/>
  <c r="L5" i="8"/>
  <c r="K7" i="4"/>
  <c r="H7" i="4"/>
  <c r="F7" i="4"/>
  <c r="W6" i="4"/>
  <c r="S6" i="4"/>
  <c r="Q6" i="4"/>
  <c r="O6" i="4"/>
  <c r="M4" i="8"/>
  <c r="M6" i="4"/>
  <c r="K6" i="4"/>
  <c r="H6" i="4"/>
  <c r="J4" i="8"/>
  <c r="F6" i="4"/>
  <c r="W5" i="4"/>
  <c r="Z5" i="4"/>
  <c r="S5" i="4"/>
  <c r="Q5" i="4"/>
  <c r="N3" i="8"/>
  <c r="O5" i="4"/>
  <c r="M5" i="4"/>
  <c r="K5" i="4"/>
  <c r="I5" i="4"/>
  <c r="H5" i="4"/>
  <c r="F5" i="4"/>
  <c r="Z4" i="4"/>
  <c r="W4" i="4"/>
  <c r="S4" i="4"/>
  <c r="Q4" i="4"/>
  <c r="O4" i="4"/>
  <c r="M4" i="4"/>
  <c r="K4" i="4"/>
  <c r="I4" i="4"/>
  <c r="H4" i="4"/>
  <c r="F4" i="4"/>
  <c r="I34" i="3"/>
  <c r="H32" i="8"/>
  <c r="G34" i="3"/>
  <c r="E34" i="3"/>
  <c r="C34" i="3"/>
  <c r="I33" i="3"/>
  <c r="G33" i="3"/>
  <c r="E33" i="3"/>
  <c r="C33" i="3"/>
  <c r="J33" i="3"/>
  <c r="K33" i="3"/>
  <c r="I32" i="3"/>
  <c r="G32" i="3"/>
  <c r="E32" i="3"/>
  <c r="C32" i="3"/>
  <c r="J32" i="3"/>
  <c r="K32" i="3"/>
  <c r="I31" i="3"/>
  <c r="G31" i="3"/>
  <c r="E31" i="3"/>
  <c r="C31" i="3"/>
  <c r="J31" i="3"/>
  <c r="K31" i="3"/>
  <c r="I30" i="3"/>
  <c r="G30" i="3"/>
  <c r="E30" i="3"/>
  <c r="C30" i="3"/>
  <c r="J30" i="3"/>
  <c r="K30" i="3"/>
  <c r="I29" i="3"/>
  <c r="G29" i="3"/>
  <c r="E29" i="3"/>
  <c r="C29" i="3"/>
  <c r="J29" i="3"/>
  <c r="K29" i="3"/>
  <c r="I28" i="3"/>
  <c r="G28" i="3"/>
  <c r="E28" i="3"/>
  <c r="C28" i="3"/>
  <c r="J28" i="3"/>
  <c r="K28" i="3"/>
  <c r="I27" i="3"/>
  <c r="G27" i="3"/>
  <c r="E27" i="3"/>
  <c r="C27" i="3"/>
  <c r="J27" i="3"/>
  <c r="K27" i="3"/>
  <c r="I26" i="3"/>
  <c r="G26" i="3"/>
  <c r="E26" i="3"/>
  <c r="C26" i="3"/>
  <c r="J26" i="3"/>
  <c r="K26" i="3"/>
  <c r="I25" i="3"/>
  <c r="G25" i="3"/>
  <c r="E25" i="3"/>
  <c r="C25" i="3"/>
  <c r="J25" i="3"/>
  <c r="K25" i="3"/>
  <c r="I24" i="3"/>
  <c r="G24" i="3"/>
  <c r="E24" i="3"/>
  <c r="C24" i="3"/>
  <c r="J24" i="3"/>
  <c r="K24" i="3"/>
  <c r="I23" i="3"/>
  <c r="G23" i="3"/>
  <c r="E23" i="3"/>
  <c r="C23" i="3"/>
  <c r="J23" i="3"/>
  <c r="K23" i="3"/>
  <c r="I22" i="3"/>
  <c r="G22" i="3"/>
  <c r="E22" i="3"/>
  <c r="C22" i="3"/>
  <c r="J22" i="3"/>
  <c r="K22" i="3"/>
  <c r="I21" i="3"/>
  <c r="G21" i="3"/>
  <c r="E21" i="3"/>
  <c r="C21" i="3"/>
  <c r="J21" i="3"/>
  <c r="K21" i="3"/>
  <c r="I20" i="3"/>
  <c r="G20" i="3"/>
  <c r="E20" i="3"/>
  <c r="C20" i="3"/>
  <c r="J20" i="3"/>
  <c r="K20" i="3"/>
  <c r="I19" i="3"/>
  <c r="G19" i="3"/>
  <c r="E19" i="3"/>
  <c r="C19" i="3"/>
  <c r="J19" i="3"/>
  <c r="K19" i="3"/>
  <c r="I18" i="3"/>
  <c r="G18" i="3"/>
  <c r="E18" i="3"/>
  <c r="C18" i="3"/>
  <c r="J18" i="3"/>
  <c r="K18" i="3"/>
  <c r="I17" i="3"/>
  <c r="G17" i="3"/>
  <c r="E17" i="3"/>
  <c r="C17" i="3"/>
  <c r="J17" i="3"/>
  <c r="K17" i="3"/>
  <c r="I16" i="3"/>
  <c r="G16" i="3"/>
  <c r="E16" i="3"/>
  <c r="C16" i="3"/>
  <c r="J16" i="3"/>
  <c r="K16" i="3"/>
  <c r="I15" i="3"/>
  <c r="G15" i="3"/>
  <c r="E15" i="3"/>
  <c r="C15" i="3"/>
  <c r="J15" i="3"/>
  <c r="K15" i="3"/>
  <c r="I14" i="3"/>
  <c r="G14" i="3"/>
  <c r="E14" i="3"/>
  <c r="C14" i="3"/>
  <c r="J14" i="3"/>
  <c r="K14" i="3"/>
  <c r="I13" i="3"/>
  <c r="G13" i="3"/>
  <c r="E13" i="3"/>
  <c r="C13" i="3"/>
  <c r="J13" i="3"/>
  <c r="K13" i="3"/>
  <c r="I12" i="3"/>
  <c r="G12" i="3"/>
  <c r="E12" i="3"/>
  <c r="C12" i="3"/>
  <c r="J12" i="3"/>
  <c r="K12" i="3"/>
  <c r="I11" i="3"/>
  <c r="G11" i="3"/>
  <c r="E11" i="3"/>
  <c r="C11" i="3"/>
  <c r="J11" i="3"/>
  <c r="K11" i="3"/>
  <c r="I10" i="3"/>
  <c r="G10" i="3"/>
  <c r="E10" i="3"/>
  <c r="C10" i="3"/>
  <c r="J10" i="3"/>
  <c r="K10" i="3"/>
  <c r="I9" i="3"/>
  <c r="G9" i="3"/>
  <c r="E9" i="3"/>
  <c r="C9" i="3"/>
  <c r="J9" i="3"/>
  <c r="K9" i="3"/>
  <c r="I8" i="3"/>
  <c r="G8" i="3"/>
  <c r="E8" i="3"/>
  <c r="C8" i="3"/>
  <c r="J8" i="3"/>
  <c r="K8" i="3"/>
  <c r="I7" i="3"/>
  <c r="G7" i="3"/>
  <c r="E7" i="3"/>
  <c r="C7" i="3"/>
  <c r="J7" i="3"/>
  <c r="K7" i="3"/>
  <c r="I6" i="3"/>
  <c r="G6" i="3"/>
  <c r="E6" i="3"/>
  <c r="C6" i="3"/>
  <c r="J6" i="3"/>
  <c r="K6" i="3"/>
  <c r="I5" i="3"/>
  <c r="G5" i="3"/>
  <c r="E5" i="3"/>
  <c r="C5" i="3"/>
  <c r="J5" i="3"/>
  <c r="K5" i="3"/>
  <c r="I4" i="3"/>
  <c r="I35" i="3"/>
  <c r="G4" i="3"/>
  <c r="G35" i="3"/>
  <c r="E4" i="3"/>
  <c r="E35" i="3"/>
  <c r="C4" i="3"/>
  <c r="C35" i="3"/>
  <c r="K3" i="3"/>
  <c r="J3" i="3"/>
  <c r="S34" i="2"/>
  <c r="Q34" i="2"/>
  <c r="O34" i="2"/>
  <c r="M34" i="2"/>
  <c r="AA32" i="8"/>
  <c r="K34" i="2"/>
  <c r="I34" i="2"/>
  <c r="G34" i="2"/>
  <c r="E34" i="2"/>
  <c r="C34" i="2"/>
  <c r="S33" i="2"/>
  <c r="Q33" i="2"/>
  <c r="O33" i="2"/>
  <c r="AB31" i="8"/>
  <c r="M33" i="2"/>
  <c r="K33" i="2"/>
  <c r="I33" i="2"/>
  <c r="G33" i="2"/>
  <c r="E33" i="2"/>
  <c r="C33" i="2"/>
  <c r="S32" i="2"/>
  <c r="Q32" i="2"/>
  <c r="AC30" i="8"/>
  <c r="O32" i="2"/>
  <c r="M32" i="2"/>
  <c r="K32" i="2"/>
  <c r="I32" i="2"/>
  <c r="G32" i="2"/>
  <c r="E32" i="2"/>
  <c r="C32" i="2"/>
  <c r="S31" i="2"/>
  <c r="AC29" i="8"/>
  <c r="Q31" i="2"/>
  <c r="O31" i="2"/>
  <c r="M31" i="2"/>
  <c r="K31" i="2"/>
  <c r="I31" i="2"/>
  <c r="G31" i="2"/>
  <c r="E31" i="2"/>
  <c r="C31" i="2"/>
  <c r="Z29" i="8"/>
  <c r="S30" i="2"/>
  <c r="Q30" i="2"/>
  <c r="O30" i="2"/>
  <c r="M30" i="2"/>
  <c r="AA28" i="8"/>
  <c r="K30" i="2"/>
  <c r="I30" i="2"/>
  <c r="G30" i="2"/>
  <c r="E30" i="2"/>
  <c r="Z28" i="8"/>
  <c r="C30" i="2"/>
  <c r="S29" i="2"/>
  <c r="Q29" i="2"/>
  <c r="O29" i="2"/>
  <c r="AB27" i="8"/>
  <c r="M29" i="2"/>
  <c r="K29" i="2"/>
  <c r="I29" i="2"/>
  <c r="G29" i="2"/>
  <c r="Z27" i="8"/>
  <c r="E29" i="2"/>
  <c r="C29" i="2"/>
  <c r="S28" i="2"/>
  <c r="Q28" i="2"/>
  <c r="AC26" i="8"/>
  <c r="O28" i="2"/>
  <c r="M28" i="2"/>
  <c r="K28" i="2"/>
  <c r="I28" i="2"/>
  <c r="Z26" i="8"/>
  <c r="G28" i="2"/>
  <c r="E28" i="2"/>
  <c r="C28" i="2"/>
  <c r="S27" i="2"/>
  <c r="AC25" i="8"/>
  <c r="Q27" i="2"/>
  <c r="O27" i="2"/>
  <c r="M27" i="2"/>
  <c r="K27" i="2"/>
  <c r="AA25" i="8"/>
  <c r="I27" i="2"/>
  <c r="G27" i="2"/>
  <c r="E27" i="2"/>
  <c r="C27" i="2"/>
  <c r="S26" i="2"/>
  <c r="Q26" i="2"/>
  <c r="O26" i="2"/>
  <c r="M26" i="2"/>
  <c r="K26" i="2"/>
  <c r="I26" i="2"/>
  <c r="G26" i="2"/>
  <c r="E26" i="2"/>
  <c r="Z24" i="8"/>
  <c r="C26" i="2"/>
  <c r="S25" i="2"/>
  <c r="Q25" i="2"/>
  <c r="O25" i="2"/>
  <c r="AB23" i="8"/>
  <c r="M25" i="2"/>
  <c r="K25" i="2"/>
  <c r="I25" i="2"/>
  <c r="G25" i="2"/>
  <c r="Z23" i="8"/>
  <c r="E25" i="2"/>
  <c r="C25" i="2"/>
  <c r="S24" i="2"/>
  <c r="Q24" i="2"/>
  <c r="AC22" i="8"/>
  <c r="O24" i="2"/>
  <c r="M24" i="2"/>
  <c r="K24" i="2"/>
  <c r="I24" i="2"/>
  <c r="Z22" i="8"/>
  <c r="G24" i="2"/>
  <c r="E24" i="2"/>
  <c r="C24" i="2"/>
  <c r="S23" i="2"/>
  <c r="AC21" i="8"/>
  <c r="Q23" i="2"/>
  <c r="O23" i="2"/>
  <c r="M23" i="2"/>
  <c r="K23" i="2"/>
  <c r="I23" i="2"/>
  <c r="G23" i="2"/>
  <c r="E23" i="2"/>
  <c r="C23" i="2"/>
  <c r="Z21" i="8"/>
  <c r="S22" i="2"/>
  <c r="Q22" i="2"/>
  <c r="O22" i="2"/>
  <c r="M22" i="2"/>
  <c r="AA20" i="8"/>
  <c r="K22" i="2"/>
  <c r="I22" i="2"/>
  <c r="G22" i="2"/>
  <c r="E22" i="2"/>
  <c r="Z20" i="8"/>
  <c r="C22" i="2"/>
  <c r="S21" i="2"/>
  <c r="Q21" i="2"/>
  <c r="O21" i="2"/>
  <c r="M21" i="2"/>
  <c r="K21" i="2"/>
  <c r="I21" i="2"/>
  <c r="G21" i="2"/>
  <c r="Z19" i="8"/>
  <c r="E21" i="2"/>
  <c r="C21" i="2"/>
  <c r="S20" i="2"/>
  <c r="Q20" i="2"/>
  <c r="O20" i="2"/>
  <c r="M20" i="2"/>
  <c r="K20" i="2"/>
  <c r="I20" i="2"/>
  <c r="G20" i="2"/>
  <c r="E20" i="2"/>
  <c r="C20" i="2"/>
  <c r="S19" i="2"/>
  <c r="Q19" i="2"/>
  <c r="O19" i="2"/>
  <c r="M19" i="2"/>
  <c r="K19" i="2"/>
  <c r="AA17" i="8"/>
  <c r="I19" i="2"/>
  <c r="G19" i="2"/>
  <c r="E19" i="2"/>
  <c r="C19" i="2"/>
  <c r="Z17" i="8"/>
  <c r="S18" i="2"/>
  <c r="Q18" i="2"/>
  <c r="O18" i="2"/>
  <c r="M18" i="2"/>
  <c r="AA16" i="8"/>
  <c r="K18" i="2"/>
  <c r="I18" i="2"/>
  <c r="G18" i="2"/>
  <c r="E18" i="2"/>
  <c r="Z16" i="8"/>
  <c r="C18" i="2"/>
  <c r="S17" i="2"/>
  <c r="Q17" i="2"/>
  <c r="O17" i="2"/>
  <c r="M17" i="2"/>
  <c r="K17" i="2"/>
  <c r="I17" i="2"/>
  <c r="G17" i="2"/>
  <c r="Z15" i="8"/>
  <c r="E17" i="2"/>
  <c r="C17" i="2"/>
  <c r="S16" i="2"/>
  <c r="Q16" i="2"/>
  <c r="AC14" i="8"/>
  <c r="O16" i="2"/>
  <c r="M16" i="2"/>
  <c r="K16" i="2"/>
  <c r="I16" i="2"/>
  <c r="G16" i="2"/>
  <c r="E16" i="2"/>
  <c r="C16" i="2"/>
  <c r="S15" i="2"/>
  <c r="AC13" i="8"/>
  <c r="Q15" i="2"/>
  <c r="O15" i="2"/>
  <c r="M15" i="2"/>
  <c r="K15" i="2"/>
  <c r="AA13" i="8"/>
  <c r="I15" i="2"/>
  <c r="G15" i="2"/>
  <c r="E15" i="2"/>
  <c r="C15" i="2"/>
  <c r="Z13" i="8"/>
  <c r="S14" i="2"/>
  <c r="Q14" i="2"/>
  <c r="O14" i="2"/>
  <c r="M14" i="2"/>
  <c r="AA12" i="8"/>
  <c r="K14" i="2"/>
  <c r="I14" i="2"/>
  <c r="G14" i="2"/>
  <c r="E14" i="2"/>
  <c r="Z12" i="8"/>
  <c r="C14" i="2"/>
  <c r="S13" i="2"/>
  <c r="Q13" i="2"/>
  <c r="O13" i="2"/>
  <c r="AB11" i="8"/>
  <c r="M13" i="2"/>
  <c r="K13" i="2"/>
  <c r="I13" i="2"/>
  <c r="G13" i="2"/>
  <c r="E13" i="2"/>
  <c r="C13" i="2"/>
  <c r="S12" i="2"/>
  <c r="Q12" i="2"/>
  <c r="AC10" i="8"/>
  <c r="O12" i="2"/>
  <c r="M12" i="2"/>
  <c r="K12" i="2"/>
  <c r="I12" i="2"/>
  <c r="Z10" i="8"/>
  <c r="G12" i="2"/>
  <c r="E12" i="2"/>
  <c r="C12" i="2"/>
  <c r="S11" i="2"/>
  <c r="AC9" i="8"/>
  <c r="Q11" i="2"/>
  <c r="O11" i="2"/>
  <c r="M11" i="2"/>
  <c r="K11" i="2"/>
  <c r="AA9" i="8"/>
  <c r="I11" i="2"/>
  <c r="G11" i="2"/>
  <c r="E11" i="2"/>
  <c r="C11" i="2"/>
  <c r="S10" i="2"/>
  <c r="Q10" i="2"/>
  <c r="O10" i="2"/>
  <c r="M10" i="2"/>
  <c r="AA8" i="8"/>
  <c r="K10" i="2"/>
  <c r="I10" i="2"/>
  <c r="G10" i="2"/>
  <c r="E10" i="2"/>
  <c r="Z8" i="8"/>
  <c r="C10" i="2"/>
  <c r="S9" i="2"/>
  <c r="Q9" i="2"/>
  <c r="O9" i="2"/>
  <c r="AB7" i="8"/>
  <c r="M9" i="2"/>
  <c r="K9" i="2"/>
  <c r="I9" i="2"/>
  <c r="G9" i="2"/>
  <c r="Z7" i="8"/>
  <c r="E9" i="2"/>
  <c r="C9" i="2"/>
  <c r="S8" i="2"/>
  <c r="Q8" i="2"/>
  <c r="AC6" i="8"/>
  <c r="O8" i="2"/>
  <c r="M8" i="2"/>
  <c r="K8" i="2"/>
  <c r="I8" i="2"/>
  <c r="Z6" i="8"/>
  <c r="G8" i="2"/>
  <c r="E8" i="2"/>
  <c r="C8" i="2"/>
  <c r="S7" i="2"/>
  <c r="AC5" i="8"/>
  <c r="Q7" i="2"/>
  <c r="O7" i="2"/>
  <c r="M7" i="2"/>
  <c r="K7" i="2"/>
  <c r="K35" i="2"/>
  <c r="I7" i="2"/>
  <c r="G7" i="2"/>
  <c r="E7" i="2"/>
  <c r="C7" i="2"/>
  <c r="Z5" i="8"/>
  <c r="S6" i="2"/>
  <c r="Q6" i="2"/>
  <c r="O6" i="2"/>
  <c r="M6" i="2"/>
  <c r="AA4" i="8"/>
  <c r="K6" i="2"/>
  <c r="I6" i="2"/>
  <c r="G6" i="2"/>
  <c r="E6" i="2"/>
  <c r="Z4" i="8"/>
  <c r="C6" i="2"/>
  <c r="S5" i="2"/>
  <c r="Q5" i="2"/>
  <c r="O5" i="2"/>
  <c r="AB3" i="8"/>
  <c r="M5" i="2"/>
  <c r="K5" i="2"/>
  <c r="I5" i="2"/>
  <c r="G5" i="2"/>
  <c r="Z3" i="8"/>
  <c r="E5" i="2"/>
  <c r="C5" i="2"/>
  <c r="S4" i="2"/>
  <c r="Q4" i="2"/>
  <c r="Q35" i="2"/>
  <c r="O4" i="2"/>
  <c r="O35" i="2"/>
  <c r="M4" i="2"/>
  <c r="K4" i="2"/>
  <c r="I4" i="2"/>
  <c r="I35" i="2"/>
  <c r="G4" i="2"/>
  <c r="G35" i="2"/>
  <c r="E4" i="2"/>
  <c r="C4" i="2"/>
  <c r="AB18" i="8"/>
  <c r="AB20" i="8"/>
  <c r="H18" i="8"/>
  <c r="H21" i="8"/>
  <c r="H17" i="8"/>
  <c r="G18" i="8"/>
  <c r="G19" i="8"/>
  <c r="O19" i="8"/>
  <c r="N17" i="8"/>
  <c r="M19" i="8"/>
  <c r="L18" i="8"/>
  <c r="K19" i="8"/>
  <c r="J18" i="8"/>
  <c r="D19" i="4"/>
  <c r="Q17" i="8"/>
  <c r="D18" i="4"/>
  <c r="Q16" i="8"/>
  <c r="G19" i="9"/>
  <c r="R16" i="8"/>
  <c r="U14" i="8"/>
  <c r="G17" i="9"/>
  <c r="G16" i="9"/>
  <c r="G15" i="9"/>
  <c r="G11" i="9"/>
  <c r="G7" i="9"/>
  <c r="G3" i="9"/>
  <c r="M18" i="8"/>
  <c r="M17" i="8"/>
  <c r="L17" i="8"/>
  <c r="J17" i="8"/>
  <c r="O16" i="8"/>
  <c r="N15" i="8"/>
  <c r="D17" i="4"/>
  <c r="Q15" i="8"/>
  <c r="P14" i="8"/>
  <c r="D16" i="4"/>
  <c r="Q14" i="8"/>
  <c r="M13" i="8"/>
  <c r="D15" i="4"/>
  <c r="Q13" i="8"/>
  <c r="O12" i="8"/>
  <c r="D14" i="4"/>
  <c r="D13" i="4"/>
  <c r="Q11" i="8"/>
  <c r="L10" i="8"/>
  <c r="D12" i="4"/>
  <c r="Q10" i="8"/>
  <c r="N9" i="8"/>
  <c r="D11" i="4"/>
  <c r="Q9" i="8"/>
  <c r="P8" i="8"/>
  <c r="O8" i="8"/>
  <c r="D10" i="4"/>
  <c r="Q8" i="8"/>
  <c r="D9" i="4"/>
  <c r="Q7" i="8"/>
  <c r="P6" i="8"/>
  <c r="L6" i="8"/>
  <c r="D8" i="4"/>
  <c r="Q6" i="8"/>
  <c r="M5" i="8"/>
  <c r="J5" i="8"/>
  <c r="D7" i="4"/>
  <c r="D6" i="4"/>
  <c r="Q4" i="8"/>
  <c r="J3" i="8"/>
  <c r="D5" i="4"/>
  <c r="D4" i="4"/>
  <c r="G17" i="8"/>
  <c r="H16" i="8"/>
  <c r="G16" i="8"/>
  <c r="F16" i="8"/>
  <c r="E16" i="8"/>
  <c r="H15" i="8"/>
  <c r="G15" i="8"/>
  <c r="G13" i="8"/>
  <c r="F12" i="8"/>
  <c r="E12" i="8"/>
  <c r="H9" i="8"/>
  <c r="G9" i="8"/>
  <c r="F8" i="8"/>
  <c r="G7" i="8"/>
  <c r="E6" i="8"/>
  <c r="F4" i="8"/>
  <c r="E4" i="8"/>
  <c r="H3" i="8"/>
  <c r="G3" i="8"/>
  <c r="AC18" i="8"/>
  <c r="AB17" i="8"/>
  <c r="AC16" i="8"/>
  <c r="AC15" i="8"/>
  <c r="AB15" i="8"/>
  <c r="AA15" i="8"/>
  <c r="AB14" i="8"/>
  <c r="AC12" i="8"/>
  <c r="AC11" i="8"/>
  <c r="AA11" i="8"/>
  <c r="Z11" i="8"/>
  <c r="AB10" i="8"/>
  <c r="Z9" i="8"/>
  <c r="AC8" i="8"/>
  <c r="AC7" i="8"/>
  <c r="AA7" i="8"/>
  <c r="AB6" i="8"/>
  <c r="AA5" i="8"/>
  <c r="AC4" i="8"/>
  <c r="AC3" i="8"/>
  <c r="AA3" i="8"/>
  <c r="G4" i="9"/>
  <c r="G5" i="9"/>
  <c r="G6" i="9"/>
  <c r="G8" i="9"/>
  <c r="G9" i="9"/>
  <c r="G12" i="9"/>
  <c r="G13" i="9"/>
  <c r="AB4" i="8"/>
  <c r="AB5" i="8"/>
  <c r="AB8" i="8"/>
  <c r="AB9" i="8"/>
  <c r="AB12" i="8"/>
  <c r="AB13" i="8"/>
  <c r="AB16" i="8"/>
  <c r="AB2" i="8"/>
  <c r="Z14" i="8"/>
  <c r="AA6" i="8"/>
  <c r="AA10" i="8"/>
  <c r="AA14" i="8"/>
  <c r="AA2" i="8"/>
  <c r="Q12" i="8"/>
  <c r="F9" i="8"/>
  <c r="E11" i="8"/>
  <c r="S4" i="8"/>
  <c r="S6" i="8"/>
  <c r="S8" i="8"/>
  <c r="T10" i="8"/>
  <c r="U9" i="8"/>
  <c r="T9" i="8"/>
  <c r="W8" i="8"/>
  <c r="V8" i="8"/>
  <c r="U7" i="8"/>
  <c r="R7" i="8"/>
  <c r="W6" i="8"/>
  <c r="V6" i="8"/>
  <c r="T5" i="8"/>
  <c r="W4" i="8"/>
  <c r="U3" i="8"/>
  <c r="V3" i="8"/>
  <c r="T3" i="8"/>
  <c r="V2" i="8"/>
  <c r="S2" i="8"/>
  <c r="K9" i="8"/>
  <c r="J9" i="8"/>
  <c r="N8" i="8"/>
  <c r="P7" i="8"/>
  <c r="O7" i="8"/>
  <c r="L7" i="8"/>
  <c r="K7" i="8"/>
  <c r="I7" i="8"/>
  <c r="O6" i="8"/>
  <c r="M6" i="8"/>
  <c r="J6" i="8"/>
  <c r="I6" i="8"/>
  <c r="N5" i="8"/>
  <c r="Q5" i="8"/>
  <c r="O4" i="8"/>
  <c r="N4" i="8"/>
  <c r="K4" i="8"/>
  <c r="P3" i="8"/>
  <c r="O3" i="8"/>
  <c r="L3" i="8"/>
  <c r="K3" i="8"/>
  <c r="I3" i="8"/>
  <c r="Q3" i="8"/>
  <c r="M2" i="8"/>
  <c r="J2" i="8"/>
  <c r="E9" i="8"/>
  <c r="H8" i="8"/>
  <c r="G8" i="8"/>
  <c r="H7" i="8"/>
  <c r="F7" i="8"/>
  <c r="E7" i="8"/>
  <c r="H6" i="8"/>
  <c r="G6" i="8"/>
  <c r="H5" i="8"/>
  <c r="G5" i="8"/>
  <c r="F5" i="8"/>
  <c r="E5" i="8"/>
  <c r="AD5" i="8"/>
  <c r="AE5" i="8"/>
  <c r="I5" i="9"/>
  <c r="H4" i="8"/>
  <c r="G4" i="8"/>
  <c r="F3" i="8"/>
  <c r="E3" i="8"/>
  <c r="AD3" i="8"/>
  <c r="AE3" i="8"/>
  <c r="I3" i="9"/>
  <c r="H2" i="8"/>
  <c r="G2" i="8"/>
  <c r="E2" i="8"/>
  <c r="AD2" i="8"/>
  <c r="AE2" i="8"/>
  <c r="I2" i="9"/>
  <c r="X2" i="8"/>
  <c r="B3" i="8"/>
  <c r="X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K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S5" i="8"/>
  <c r="F2" i="8"/>
  <c r="V4" i="8"/>
  <c r="V7" i="8"/>
  <c r="R5" i="8"/>
  <c r="R6" i="8"/>
  <c r="T7" i="8"/>
  <c r="L9" i="8"/>
  <c r="U8" i="8"/>
  <c r="U5" i="8"/>
  <c r="W7" i="8"/>
  <c r="R3" i="8"/>
  <c r="F6" i="8"/>
  <c r="W2" i="8"/>
  <c r="P11" i="8"/>
  <c r="J10" i="8"/>
  <c r="O11" i="8"/>
  <c r="M9" i="8"/>
  <c r="I8" i="8"/>
  <c r="V10" i="8"/>
  <c r="R9" i="8"/>
  <c r="H10" i="8"/>
  <c r="G10" i="8"/>
  <c r="F10" i="8"/>
  <c r="E10" i="8"/>
  <c r="W11" i="8"/>
  <c r="W13" i="8"/>
  <c r="S12" i="8"/>
  <c r="W12" i="8"/>
  <c r="U11" i="8"/>
  <c r="U10" i="8"/>
  <c r="V11" i="8"/>
  <c r="N13" i="8"/>
  <c r="N12" i="8"/>
  <c r="K11" i="8"/>
  <c r="J11" i="8"/>
  <c r="H12" i="8"/>
  <c r="H11" i="8"/>
  <c r="AE11" i="8"/>
  <c r="I11" i="9"/>
  <c r="AD11" i="8"/>
  <c r="F11" i="8"/>
  <c r="P12" i="8"/>
  <c r="M10" i="8"/>
  <c r="L12" i="8"/>
  <c r="I11" i="8"/>
  <c r="Y11" i="8"/>
  <c r="G12" i="8"/>
  <c r="R13" i="8"/>
  <c r="H13" i="8"/>
  <c r="P13" i="8"/>
  <c r="M11" i="8"/>
  <c r="L11" i="8"/>
  <c r="J14" i="8"/>
  <c r="G11" i="8"/>
  <c r="F13" i="8"/>
  <c r="E13" i="8"/>
  <c r="U12" i="8"/>
  <c r="T13" i="8"/>
  <c r="U15" i="8"/>
  <c r="H14" i="8"/>
  <c r="G14" i="8"/>
  <c r="R11" i="8"/>
  <c r="V14" i="8"/>
  <c r="P15" i="8"/>
  <c r="O14" i="8"/>
  <c r="L14" i="8"/>
  <c r="K15" i="8"/>
  <c r="O15" i="8"/>
  <c r="W14" i="8"/>
  <c r="S15" i="8"/>
  <c r="S16" i="8"/>
  <c r="M14" i="8"/>
  <c r="L16" i="8"/>
  <c r="F15" i="8"/>
  <c r="F14" i="8"/>
  <c r="E14" i="8"/>
  <c r="U16" i="8"/>
  <c r="R15" i="8"/>
  <c r="R14" i="8"/>
  <c r="L15" i="8"/>
  <c r="I15" i="8"/>
  <c r="E15" i="8"/>
  <c r="N16" i="8"/>
  <c r="M16" i="8"/>
  <c r="W16" i="8"/>
  <c r="T16" i="8"/>
  <c r="G18" i="9"/>
  <c r="P18" i="8"/>
  <c r="X18" i="8"/>
  <c r="K18" i="9"/>
  <c r="X17" i="8"/>
  <c r="H19" i="8"/>
  <c r="T17" i="8"/>
  <c r="T18" i="8"/>
  <c r="P19" i="8"/>
  <c r="N20" i="8"/>
  <c r="AB19" i="8"/>
  <c r="AA18" i="8"/>
  <c r="Z18" i="8"/>
  <c r="F17" i="8"/>
  <c r="AD15" i="8"/>
  <c r="AC17" i="8"/>
  <c r="H22" i="8"/>
  <c r="H20" i="8"/>
  <c r="F19" i="8"/>
  <c r="F18" i="8"/>
  <c r="E17" i="8"/>
  <c r="AD17" i="8"/>
  <c r="AE17" i="8"/>
  <c r="I17" i="9"/>
  <c r="E18" i="8"/>
  <c r="AD18" i="8"/>
  <c r="AE18" i="8"/>
  <c r="I18" i="9"/>
  <c r="I18" i="8"/>
  <c r="D22" i="4"/>
  <c r="Q20" i="8"/>
  <c r="D21" i="4"/>
  <c r="Q19" i="8"/>
  <c r="D20" i="4"/>
  <c r="Q18" i="8"/>
  <c r="U17" i="8"/>
  <c r="V17" i="8"/>
  <c r="S17" i="8"/>
  <c r="R18" i="8"/>
  <c r="V16" i="8"/>
  <c r="W15" i="8"/>
  <c r="S11" i="8"/>
  <c r="W10" i="8"/>
  <c r="W18" i="8"/>
  <c r="S14" i="8"/>
  <c r="V13" i="8"/>
  <c r="T12" i="8"/>
  <c r="R10" i="8"/>
  <c r="T15" i="8"/>
  <c r="Q2" i="8"/>
  <c r="P2" i="8"/>
  <c r="K12" i="8"/>
  <c r="K16" i="8"/>
  <c r="J13" i="8"/>
  <c r="P10" i="8"/>
  <c r="L2" i="8"/>
  <c r="O2" i="8"/>
  <c r="I14" i="8"/>
  <c r="K8" i="8"/>
  <c r="I2" i="8"/>
  <c r="I10" i="8"/>
  <c r="AE15" i="8"/>
  <c r="I15" i="9"/>
  <c r="AD9" i="8"/>
  <c r="AE9" i="8"/>
  <c r="I9" i="9"/>
  <c r="AD4" i="8"/>
  <c r="AE4" i="8"/>
  <c r="I4" i="9"/>
  <c r="AD6" i="8"/>
  <c r="AE6" i="8"/>
  <c r="I6" i="9"/>
  <c r="AD12" i="8"/>
  <c r="AE12" i="8"/>
  <c r="I12" i="9"/>
  <c r="AD16" i="8"/>
  <c r="AE16" i="8"/>
  <c r="I16" i="9"/>
  <c r="E8" i="8"/>
  <c r="AD14" i="8"/>
  <c r="AE14" i="8"/>
  <c r="I14" i="9"/>
  <c r="AD10" i="8"/>
  <c r="AE10" i="8"/>
  <c r="I10" i="9"/>
  <c r="T20" i="8"/>
  <c r="V18" i="8"/>
  <c r="L19" i="8"/>
  <c r="J19" i="8"/>
  <c r="G24" i="9"/>
  <c r="U18" i="8"/>
  <c r="R20" i="8"/>
  <c r="AD8" i="8"/>
  <c r="AE8" i="8"/>
  <c r="I8" i="9"/>
  <c r="W19" i="8"/>
  <c r="W21" i="8"/>
  <c r="L20" i="8"/>
  <c r="G20" i="9"/>
  <c r="W20" i="8"/>
  <c r="AC19" i="8"/>
  <c r="AB24" i="8"/>
  <c r="AB22" i="8"/>
  <c r="AB21" i="8"/>
  <c r="AA19" i="8"/>
  <c r="U19" i="8"/>
  <c r="V19" i="8"/>
  <c r="T21" i="8"/>
  <c r="S18" i="8"/>
  <c r="R19" i="8"/>
  <c r="G21" i="9"/>
  <c r="X20" i="8"/>
  <c r="K20" i="9"/>
  <c r="B23" i="4"/>
  <c r="K19" i="9"/>
  <c r="X19" i="8"/>
  <c r="N21" i="8"/>
  <c r="L22" i="8"/>
  <c r="K20" i="8"/>
  <c r="J20" i="8"/>
  <c r="I19" i="8"/>
  <c r="H23" i="8"/>
  <c r="G21" i="8"/>
  <c r="G20" i="8"/>
  <c r="F20" i="8"/>
  <c r="E20" i="8"/>
  <c r="AD20" i="8"/>
  <c r="AE20" i="8"/>
  <c r="I20" i="9"/>
  <c r="E21" i="8"/>
  <c r="E19" i="8"/>
  <c r="AC20" i="8"/>
  <c r="U20" i="8"/>
  <c r="V22" i="8"/>
  <c r="V20" i="8"/>
  <c r="S20" i="8"/>
  <c r="S19" i="8"/>
  <c r="R22" i="8"/>
  <c r="K21" i="9"/>
  <c r="X21" i="8"/>
  <c r="K22" i="8"/>
  <c r="M21" i="8"/>
  <c r="L23" i="8"/>
  <c r="D23" i="4"/>
  <c r="Q21" i="8"/>
  <c r="G22" i="8"/>
  <c r="AD19" i="8"/>
  <c r="AE19" i="8"/>
  <c r="I19" i="9"/>
  <c r="AA21" i="8"/>
  <c r="U24" i="8"/>
  <c r="V21" i="8"/>
  <c r="T22" i="8"/>
  <c r="S21" i="8"/>
  <c r="X22" i="8"/>
  <c r="B25" i="4"/>
  <c r="X23" i="8"/>
  <c r="K22" i="9"/>
  <c r="P22" i="8"/>
  <c r="O20" i="8"/>
  <c r="M22" i="8"/>
  <c r="J21" i="8"/>
  <c r="I20" i="8"/>
  <c r="D25" i="4"/>
  <c r="Q23" i="8"/>
  <c r="D24" i="4"/>
  <c r="Q22" i="8"/>
  <c r="F21" i="8"/>
  <c r="K24" i="9"/>
  <c r="K23" i="9"/>
  <c r="P23" i="8"/>
  <c r="I22" i="8"/>
  <c r="I21" i="8"/>
  <c r="D26" i="4"/>
  <c r="Q24" i="8"/>
  <c r="G23" i="8"/>
  <c r="B27" i="4"/>
  <c r="X25" i="8"/>
  <c r="K24" i="8"/>
  <c r="W23" i="8"/>
  <c r="R25" i="8"/>
  <c r="O23" i="8"/>
  <c r="O22" i="8"/>
  <c r="J22" i="8"/>
  <c r="AD21" i="8"/>
  <c r="AE21" i="8"/>
  <c r="I21" i="9"/>
  <c r="F24" i="8"/>
  <c r="F23" i="8"/>
  <c r="AA22" i="8"/>
  <c r="W24" i="8"/>
  <c r="V23" i="8"/>
  <c r="S24" i="8"/>
  <c r="O24" i="8"/>
  <c r="N24" i="8"/>
  <c r="F22" i="8"/>
  <c r="AC23" i="8"/>
  <c r="AA24" i="8"/>
  <c r="S23" i="8"/>
  <c r="U22" i="8"/>
  <c r="R23" i="8"/>
  <c r="R24" i="8"/>
  <c r="G23" i="9"/>
  <c r="X26" i="8"/>
  <c r="X24" i="8"/>
  <c r="K25" i="9"/>
  <c r="L25" i="8"/>
  <c r="K23" i="8"/>
  <c r="I23" i="8"/>
  <c r="Y23" i="8"/>
  <c r="D27" i="4"/>
  <c r="Q25" i="8"/>
  <c r="E23" i="8"/>
  <c r="E22" i="8"/>
  <c r="AC24" i="8"/>
  <c r="AB25" i="8"/>
  <c r="AA23" i="8"/>
  <c r="L26" i="8"/>
  <c r="AD22" i="8"/>
  <c r="AE22" i="8"/>
  <c r="I22" i="9"/>
  <c r="E24" i="8"/>
  <c r="U23" i="8"/>
  <c r="V25" i="8"/>
  <c r="T23" i="8"/>
  <c r="O25" i="8"/>
  <c r="D28" i="4"/>
  <c r="Q26" i="8"/>
  <c r="AD23" i="8"/>
  <c r="AE23" i="8"/>
  <c r="I23" i="9"/>
  <c r="G24" i="8"/>
  <c r="F25" i="8"/>
  <c r="Z25" i="8"/>
  <c r="N25" i="8"/>
  <c r="I26" i="8"/>
  <c r="H24" i="8"/>
  <c r="S25" i="8"/>
  <c r="M25" i="8"/>
  <c r="M24" i="8"/>
  <c r="K25" i="8"/>
  <c r="J25" i="8"/>
  <c r="D29" i="4"/>
  <c r="Q27" i="8"/>
  <c r="H26" i="8"/>
  <c r="H25" i="8"/>
  <c r="G26" i="8"/>
  <c r="E26" i="8"/>
  <c r="AB26" i="8"/>
  <c r="P27" i="8"/>
  <c r="P26" i="8"/>
  <c r="M26" i="8"/>
  <c r="AD24" i="8"/>
  <c r="AE24" i="8"/>
  <c r="I24" i="9"/>
  <c r="E25" i="8"/>
  <c r="AD25" i="8"/>
  <c r="AE25" i="8"/>
  <c r="I25" i="9"/>
  <c r="X27" i="8"/>
  <c r="K27" i="9"/>
  <c r="K26" i="9"/>
  <c r="K28" i="9"/>
  <c r="X28" i="8"/>
  <c r="X29" i="8"/>
  <c r="K29" i="9"/>
  <c r="K31" i="9"/>
  <c r="X30" i="8"/>
  <c r="K32" i="9"/>
  <c r="X31" i="8"/>
  <c r="K30" i="9"/>
  <c r="V26" i="8"/>
  <c r="T24" i="8"/>
  <c r="R26" i="8"/>
  <c r="R27" i="8"/>
  <c r="G27" i="9"/>
  <c r="G25" i="9"/>
  <c r="G29" i="9"/>
  <c r="O27" i="8"/>
  <c r="D30" i="4"/>
  <c r="F27" i="8"/>
  <c r="F26" i="8"/>
  <c r="F28" i="8"/>
  <c r="H27" i="8"/>
  <c r="AD26" i="8"/>
  <c r="AE26" i="8"/>
  <c r="I26" i="9"/>
  <c r="G27" i="8"/>
  <c r="G25" i="8"/>
  <c r="F29" i="8"/>
  <c r="AA26" i="8"/>
  <c r="AC27" i="8"/>
  <c r="AB28" i="8"/>
  <c r="Z30" i="8"/>
  <c r="U26" i="8"/>
  <c r="S27" i="8"/>
  <c r="W25" i="8"/>
  <c r="U27" i="8"/>
  <c r="V27" i="8"/>
  <c r="V29" i="8"/>
  <c r="T26" i="8"/>
  <c r="T25" i="8"/>
  <c r="G32" i="9"/>
  <c r="G28" i="9"/>
  <c r="O28" i="8"/>
  <c r="O26" i="8"/>
  <c r="L27" i="8"/>
  <c r="L29" i="8"/>
  <c r="K26" i="8"/>
  <c r="K27" i="8"/>
  <c r="J26" i="8"/>
  <c r="J28" i="8"/>
  <c r="I27" i="8"/>
  <c r="Q28" i="8"/>
  <c r="D31" i="4"/>
  <c r="Q29" i="8"/>
  <c r="H28" i="8"/>
  <c r="E27" i="8"/>
  <c r="AB29" i="8"/>
  <c r="S28" i="8"/>
  <c r="W27" i="8"/>
  <c r="U28" i="8"/>
  <c r="R28" i="8"/>
  <c r="G31" i="9"/>
  <c r="P29" i="8"/>
  <c r="P30" i="8"/>
  <c r="M29" i="8"/>
  <c r="L30" i="8"/>
  <c r="K28" i="8"/>
  <c r="Y27" i="8"/>
  <c r="J29" i="8"/>
  <c r="D32" i="4"/>
  <c r="Q30" i="8"/>
  <c r="G29" i="8"/>
  <c r="G28" i="8"/>
  <c r="F30" i="8"/>
  <c r="F31" i="8"/>
  <c r="AD27" i="8"/>
  <c r="AE27" i="8"/>
  <c r="I27" i="9"/>
  <c r="E28" i="8"/>
  <c r="AC28" i="8"/>
  <c r="AB30" i="8"/>
  <c r="AA27" i="8"/>
  <c r="S29" i="8"/>
  <c r="W28" i="8"/>
  <c r="U29" i="8"/>
  <c r="T28" i="8"/>
  <c r="R29" i="8"/>
  <c r="P31" i="8"/>
  <c r="O30" i="8"/>
  <c r="N28" i="8"/>
  <c r="M30" i="8"/>
  <c r="L31" i="8"/>
  <c r="J30" i="8"/>
  <c r="I31" i="8"/>
  <c r="I29" i="8"/>
  <c r="D33" i="4"/>
  <c r="Q31" i="8"/>
  <c r="H29" i="8"/>
  <c r="H30" i="8"/>
  <c r="G30" i="8"/>
  <c r="E29" i="8"/>
  <c r="E30" i="8"/>
  <c r="AD28" i="8"/>
  <c r="AE28" i="8"/>
  <c r="I28" i="9"/>
  <c r="AA29" i="8"/>
  <c r="S30" i="8"/>
  <c r="W29" i="8"/>
  <c r="U30" i="8"/>
  <c r="T29" i="8"/>
  <c r="T31" i="8"/>
  <c r="R30" i="8"/>
  <c r="O31" i="8"/>
  <c r="N29" i="8"/>
  <c r="K31" i="8"/>
  <c r="K30" i="8"/>
  <c r="I30" i="8"/>
  <c r="G31" i="8"/>
  <c r="AD29" i="8"/>
  <c r="AE29" i="8"/>
  <c r="I29" i="9"/>
  <c r="AC31" i="8"/>
  <c r="AA30" i="8"/>
  <c r="AA31" i="8"/>
  <c r="W30" i="8"/>
  <c r="U31" i="8"/>
  <c r="N30" i="8"/>
  <c r="G32" i="8"/>
  <c r="E31" i="8"/>
  <c r="W32" i="8"/>
  <c r="W31" i="8"/>
  <c r="V30" i="8"/>
  <c r="V32" i="8"/>
  <c r="O32" i="8"/>
  <c r="J32" i="8"/>
  <c r="D34" i="4"/>
  <c r="Q32" i="8"/>
  <c r="X32" i="8"/>
  <c r="AD30" i="8"/>
  <c r="AE30" i="8"/>
  <c r="I30" i="9"/>
  <c r="AB32" i="8"/>
  <c r="H31" i="8"/>
  <c r="AE31" i="8"/>
  <c r="I31" i="9"/>
  <c r="AD31" i="8"/>
  <c r="K32" i="8"/>
  <c r="F35" i="4"/>
  <c r="F32" i="8"/>
  <c r="E32" i="8"/>
  <c r="AC32" i="8"/>
  <c r="Z31" i="8"/>
  <c r="U32" i="8"/>
  <c r="T32" i="8"/>
  <c r="S31" i="8"/>
  <c r="S32" i="8"/>
  <c r="R31" i="8"/>
  <c r="R32" i="8"/>
  <c r="T9" i="1"/>
  <c r="U9" i="1"/>
  <c r="T11" i="1"/>
  <c r="U11" i="1"/>
  <c r="V31" i="8"/>
  <c r="V28" i="8"/>
  <c r="W26" i="8"/>
  <c r="V24" i="8"/>
  <c r="S22" i="8"/>
  <c r="U21" i="8"/>
  <c r="R17" i="8"/>
  <c r="V5" i="8"/>
  <c r="W9" i="8"/>
  <c r="U4" i="8"/>
  <c r="T2" i="8"/>
  <c r="W5" i="8"/>
  <c r="S10" i="8"/>
  <c r="S13" i="8"/>
  <c r="D3" i="1"/>
  <c r="J3" i="1"/>
  <c r="J34" i="1"/>
  <c r="P3" i="1"/>
  <c r="G4" i="1"/>
  <c r="S4" i="1"/>
  <c r="D5" i="1"/>
  <c r="J5" i="1"/>
  <c r="D7" i="1"/>
  <c r="J7" i="1"/>
  <c r="P7" i="1"/>
  <c r="P34" i="1"/>
  <c r="G8" i="1"/>
  <c r="D9" i="1"/>
  <c r="J9" i="1"/>
  <c r="G10" i="1"/>
  <c r="M10" i="1"/>
  <c r="M34" i="1"/>
  <c r="T10" i="1"/>
  <c r="U10" i="1"/>
  <c r="J12" i="1"/>
  <c r="M13" i="1"/>
  <c r="T13" i="1"/>
  <c r="U13" i="1"/>
  <c r="P14" i="1"/>
  <c r="D18" i="1"/>
  <c r="G19" i="1"/>
  <c r="T23" i="1"/>
  <c r="U23" i="1"/>
  <c r="T27" i="1"/>
  <c r="U27" i="1"/>
  <c r="T16" i="1"/>
  <c r="U16" i="1"/>
  <c r="T20" i="1"/>
  <c r="U20" i="1"/>
  <c r="T30" i="8"/>
  <c r="S26" i="8"/>
  <c r="T19" i="8"/>
  <c r="R2" i="8"/>
  <c r="R4" i="8"/>
  <c r="D12" i="1"/>
  <c r="T15" i="1"/>
  <c r="U15" i="1"/>
  <c r="T22" i="1"/>
  <c r="U22" i="1"/>
  <c r="T26" i="1"/>
  <c r="U26" i="1"/>
  <c r="T3" i="1"/>
  <c r="U3" i="1"/>
  <c r="T24" i="1"/>
  <c r="U24" i="1"/>
  <c r="T28" i="1"/>
  <c r="U28" i="1"/>
  <c r="T31" i="1"/>
  <c r="U31" i="1"/>
  <c r="T27" i="8"/>
  <c r="U25" i="8"/>
  <c r="R21" i="8"/>
  <c r="W22" i="8"/>
  <c r="W17" i="8"/>
  <c r="V15" i="8"/>
  <c r="T14" i="8"/>
  <c r="R12" i="8"/>
  <c r="U2" i="8"/>
  <c r="G34" i="1"/>
  <c r="S34" i="1"/>
  <c r="T14" i="1"/>
  <c r="U14" i="1"/>
  <c r="T21" i="1"/>
  <c r="U21" i="1"/>
  <c r="T25" i="1"/>
  <c r="U25" i="1"/>
  <c r="T29" i="1"/>
  <c r="U29" i="1"/>
  <c r="T30" i="1"/>
  <c r="U30" i="1"/>
  <c r="T32" i="1"/>
  <c r="U32" i="1"/>
  <c r="K17" i="11"/>
  <c r="C10" i="11"/>
  <c r="D10" i="11"/>
  <c r="K21" i="11"/>
  <c r="K23" i="11"/>
  <c r="K29" i="11"/>
  <c r="C14" i="11"/>
  <c r="K31" i="11"/>
  <c r="K8" i="11"/>
  <c r="K10" i="11"/>
  <c r="K13" i="11"/>
  <c r="K14" i="11"/>
  <c r="C2" i="11"/>
  <c r="D2" i="11"/>
  <c r="K19" i="11"/>
  <c r="C11" i="11"/>
  <c r="D11" i="11"/>
  <c r="Y32" i="8"/>
  <c r="AD32" i="8"/>
  <c r="AE32" i="8"/>
  <c r="I32" i="9"/>
  <c r="M35" i="2"/>
  <c r="E35" i="2"/>
  <c r="Z32" i="8"/>
  <c r="C5" i="11"/>
  <c r="D5" i="11"/>
  <c r="C16" i="11"/>
  <c r="D16" i="11"/>
  <c r="D14" i="11"/>
  <c r="C27" i="11"/>
  <c r="D27" i="11"/>
  <c r="D26" i="11"/>
  <c r="G2" i="9"/>
  <c r="D35" i="4"/>
  <c r="S35" i="4"/>
  <c r="E8" i="9"/>
  <c r="E12" i="9"/>
  <c r="E19" i="9"/>
  <c r="E22" i="9"/>
  <c r="E23" i="9"/>
  <c r="E32" i="9"/>
  <c r="N2" i="8"/>
  <c r="Q35" i="4"/>
  <c r="K5" i="8"/>
  <c r="X7" i="4"/>
  <c r="K35" i="4"/>
  <c r="J7" i="8"/>
  <c r="Y7" i="8"/>
  <c r="E7" i="9"/>
  <c r="I9" i="4"/>
  <c r="I11" i="4"/>
  <c r="I9" i="8"/>
  <c r="Y9" i="8"/>
  <c r="E9" i="9"/>
  <c r="AA14" i="4"/>
  <c r="I14" i="4"/>
  <c r="I12" i="8"/>
  <c r="Y12" i="8"/>
  <c r="X14" i="4"/>
  <c r="Z15" i="4"/>
  <c r="AA18" i="4"/>
  <c r="N10" i="8"/>
  <c r="E10" i="9"/>
  <c r="I17" i="8"/>
  <c r="I6" i="4"/>
  <c r="Y6" i="4"/>
  <c r="I4" i="8"/>
  <c r="Y4" i="8"/>
  <c r="E4" i="9"/>
  <c r="X6" i="4"/>
  <c r="Y13" i="4"/>
  <c r="Z20" i="4"/>
  <c r="AA23" i="4"/>
  <c r="AA5" i="4"/>
  <c r="AA4" i="4"/>
  <c r="X9" i="4"/>
  <c r="Y12" i="4"/>
  <c r="X15" i="4"/>
  <c r="K13" i="8"/>
  <c r="Y17" i="4"/>
  <c r="Y29" i="8"/>
  <c r="E29" i="9"/>
  <c r="Y26" i="8"/>
  <c r="E26" i="9"/>
  <c r="J15" i="8"/>
  <c r="Y15" i="8"/>
  <c r="E15" i="9"/>
  <c r="X17" i="4"/>
  <c r="Y20" i="4"/>
  <c r="Y28" i="4"/>
  <c r="X22" i="4"/>
  <c r="Y22" i="4"/>
  <c r="X25" i="4"/>
  <c r="I27" i="4"/>
  <c r="Y27" i="4"/>
  <c r="I25" i="8"/>
  <c r="Y25" i="8"/>
  <c r="Z28" i="4"/>
  <c r="AA31" i="4"/>
  <c r="J31" i="8"/>
  <c r="Y31" i="8"/>
  <c r="E31" i="9"/>
  <c r="I33" i="4"/>
  <c r="Y3" i="8"/>
  <c r="X4" i="4"/>
  <c r="AA8" i="4"/>
  <c r="Z35" i="4"/>
  <c r="AA13" i="4"/>
  <c r="X12" i="4"/>
  <c r="K10" i="8"/>
  <c r="Y10" i="8"/>
  <c r="AA16" i="4"/>
  <c r="X20" i="4"/>
  <c r="I25" i="4"/>
  <c r="Y25" i="4"/>
  <c r="X28" i="4"/>
  <c r="AA32" i="4"/>
  <c r="Y30" i="8"/>
  <c r="E30" i="9"/>
  <c r="P24" i="8"/>
  <c r="E24" i="9"/>
  <c r="Y22" i="8"/>
  <c r="K21" i="8"/>
  <c r="Y21" i="8"/>
  <c r="E21" i="9"/>
  <c r="K18" i="8"/>
  <c r="Y18" i="8"/>
  <c r="E18" i="9"/>
  <c r="K2" i="8"/>
  <c r="Y2" i="8"/>
  <c r="Y8" i="8"/>
  <c r="H35" i="4"/>
  <c r="I35" i="4"/>
  <c r="O35" i="4"/>
  <c r="M3" i="8"/>
  <c r="E3" i="9"/>
  <c r="X5" i="4"/>
  <c r="Y5" i="4"/>
  <c r="I7" i="4"/>
  <c r="Y7" i="4"/>
  <c r="I5" i="8"/>
  <c r="Y5" i="8"/>
  <c r="E5" i="9"/>
  <c r="Z7" i="4"/>
  <c r="AA10" i="4"/>
  <c r="I10" i="4"/>
  <c r="X10" i="4"/>
  <c r="X11" i="4"/>
  <c r="I15" i="4"/>
  <c r="Y15" i="4"/>
  <c r="I13" i="8"/>
  <c r="Z16" i="4"/>
  <c r="AA19" i="4"/>
  <c r="I16" i="8"/>
  <c r="Y16" i="8"/>
  <c r="I18" i="4"/>
  <c r="Y18" i="4"/>
  <c r="K17" i="8"/>
  <c r="X19" i="4"/>
  <c r="Y19" i="4"/>
  <c r="Y23" i="4"/>
  <c r="Z23" i="4"/>
  <c r="AA26" i="4"/>
  <c r="Z24" i="4"/>
  <c r="I26" i="4"/>
  <c r="Y26" i="4"/>
  <c r="I24" i="8"/>
  <c r="Y24" i="8"/>
  <c r="X26" i="4"/>
  <c r="X29" i="4"/>
  <c r="L28" i="8"/>
  <c r="X30" i="4"/>
  <c r="Z30" i="4"/>
  <c r="AA33" i="4"/>
  <c r="P28" i="8"/>
  <c r="K29" i="8"/>
  <c r="X31" i="4"/>
  <c r="Y31" i="4"/>
  <c r="Y19" i="8"/>
  <c r="P16" i="8"/>
  <c r="E16" i="9"/>
  <c r="L4" i="8"/>
  <c r="M35" i="4"/>
  <c r="Z6" i="4"/>
  <c r="AA9" i="4"/>
  <c r="P4" i="8"/>
  <c r="W35" i="4"/>
  <c r="X8" i="4"/>
  <c r="Y8" i="4"/>
  <c r="K6" i="8"/>
  <c r="Y6" i="8"/>
  <c r="E6" i="9"/>
  <c r="Z9" i="4"/>
  <c r="AA12" i="4"/>
  <c r="Z14" i="4"/>
  <c r="X16" i="4"/>
  <c r="Y16" i="4"/>
  <c r="K14" i="8"/>
  <c r="Y14" i="8"/>
  <c r="E14" i="9"/>
  <c r="Z17" i="4"/>
  <c r="Z22" i="4"/>
  <c r="AA25" i="4"/>
  <c r="P20" i="8"/>
  <c r="X24" i="4"/>
  <c r="Y24" i="4"/>
  <c r="Z25" i="4"/>
  <c r="I29" i="4"/>
  <c r="Y29" i="4"/>
  <c r="I30" i="4"/>
  <c r="Y30" i="4"/>
  <c r="I28" i="8"/>
  <c r="X33" i="4"/>
  <c r="AE13" i="8"/>
  <c r="I13" i="9"/>
  <c r="AE7" i="8"/>
  <c r="I7" i="9"/>
  <c r="AD13" i="8"/>
  <c r="AD7" i="8"/>
  <c r="J4" i="3"/>
  <c r="E27" i="9"/>
  <c r="E25" i="9"/>
  <c r="E11" i="9"/>
  <c r="S35" i="2"/>
  <c r="AC2" i="8"/>
  <c r="C35" i="2"/>
  <c r="Z2" i="8"/>
  <c r="U34" i="1"/>
  <c r="D34" i="1"/>
  <c r="T34" i="1"/>
  <c r="C6" i="11"/>
  <c r="D6" i="11"/>
  <c r="C8" i="11"/>
  <c r="C22" i="11"/>
  <c r="D22" i="11"/>
  <c r="E2" i="9"/>
  <c r="AA24" i="4"/>
  <c r="AA17" i="4"/>
  <c r="AA30" i="4"/>
  <c r="AA6" i="4"/>
  <c r="AA28" i="4"/>
  <c r="AA20" i="4"/>
  <c r="AA27" i="4"/>
  <c r="Y13" i="8"/>
  <c r="E13" i="9"/>
  <c r="Y10" i="4"/>
  <c r="X35" i="4"/>
  <c r="Y33" i="4"/>
  <c r="AA22" i="4"/>
  <c r="AA7" i="4"/>
  <c r="AA11" i="4"/>
  <c r="Y17" i="8"/>
  <c r="E17" i="9"/>
  <c r="Y11" i="4"/>
  <c r="Y4" i="4"/>
  <c r="AA15" i="4"/>
  <c r="Y20" i="8"/>
  <c r="E20" i="9"/>
  <c r="Y28" i="8"/>
  <c r="E28" i="9"/>
  <c r="AA29" i="4"/>
  <c r="AA21" i="4"/>
  <c r="Y14" i="4"/>
  <c r="Y9" i="4"/>
  <c r="K4" i="3"/>
  <c r="K35" i="3"/>
  <c r="J35" i="3"/>
  <c r="D8" i="11"/>
  <c r="C7" i="11"/>
  <c r="D7" i="11"/>
  <c r="Y35" i="4"/>
</calcChain>
</file>

<file path=xl/comments1.xml><?xml version="1.0" encoding="utf-8"?>
<comments xmlns="http://schemas.openxmlformats.org/spreadsheetml/2006/main">
  <authors>
    <author>Mohamed Amin</author>
  </authors>
  <commentList>
    <comment ref="H3" authorId="0" shapeId="0">
      <text>
        <r>
          <rPr>
            <b/>
            <sz val="9"/>
            <color indexed="81"/>
            <rFont val="Tahoma"/>
            <charset val="1"/>
          </rPr>
          <t>Mohamed Amin:</t>
        </r>
        <r>
          <rPr>
            <sz val="9"/>
            <color indexed="81"/>
            <rFont val="Tahoma"/>
            <charset val="1"/>
          </rPr>
          <t xml:space="preserve">
counter malfunction</t>
        </r>
      </text>
    </comment>
    <comment ref="H4" authorId="0" shapeId="0">
      <text>
        <r>
          <rPr>
            <b/>
            <sz val="9"/>
            <color indexed="81"/>
            <rFont val="Tahoma"/>
            <charset val="1"/>
          </rPr>
          <t>Mohamed Amin:</t>
        </r>
        <r>
          <rPr>
            <sz val="9"/>
            <color indexed="81"/>
            <rFont val="Tahoma"/>
            <charset val="1"/>
          </rPr>
          <t xml:space="preserve">
counter malfunction
</t>
        </r>
      </text>
    </comment>
  </commentList>
</comments>
</file>

<file path=xl/sharedStrings.xml><?xml version="1.0" encoding="utf-8"?>
<sst xmlns="http://schemas.openxmlformats.org/spreadsheetml/2006/main" count="312" uniqueCount="132">
  <si>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</si>
  <si>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</si>
  <si>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</si>
  <si>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</si>
  <si>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</si>
  <si>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</si>
  <si>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</si>
  <si>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</si>
  <si>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</si>
  <si>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</si>
  <si>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</si>
  <si>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</si>
  <si>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</si>
  <si>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</si>
  <si>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</si>
  <si>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</si>
  <si>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</si>
  <si>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</si>
  <si>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</si>
  <si>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</si>
  <si>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</si>
  <si>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</si>
  <si>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</si>
  <si>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</si>
  <si>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 xml:space="preserve">Last </t>
  </si>
  <si>
    <t xml:space="preserve">                                     </t>
  </si>
  <si>
    <t xml:space="preserve">        </t>
  </si>
  <si>
    <t xml:space="preserve">         </t>
  </si>
  <si>
    <t>Total</t>
  </si>
  <si>
    <t xml:space="preserve">                            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</si>
  <si>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</si>
  <si>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</si>
  <si>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</si>
  <si>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</si>
  <si>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</si>
  <si>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</si>
  <si>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</si>
  <si>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</si>
  <si>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</si>
  <si>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</si>
  <si>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</si>
  <si>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</si>
  <si>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</si>
  <si>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</si>
  <si>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</si>
  <si>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</si>
  <si>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</si>
  <si>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</si>
  <si>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</si>
  <si>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</si>
  <si>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</si>
  <si>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</si>
  <si>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</si>
  <si>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</si>
  <si>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</si>
  <si>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</si>
  <si>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</si>
  <si>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</si>
  <si>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</si>
  <si>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</si>
  <si>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</si>
  <si>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</si>
  <si>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</si>
  <si>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</si>
  <si>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</si>
  <si>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</si>
  <si>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</si>
  <si>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</si>
  <si>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</si>
  <si>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</si>
  <si>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</si>
  <si>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</si>
  <si>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</si>
  <si>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</si>
  <si>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</si>
  <si>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</si>
  <si>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</si>
  <si>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</si>
  <si>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</si>
  <si>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</si>
  <si>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</si>
  <si>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</si>
  <si>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</si>
  <si>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</si>
  <si>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</si>
  <si>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</si>
  <si>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</si>
  <si>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</si>
  <si>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</si>
  <si>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</si>
  <si>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</si>
  <si>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</si>
  <si>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</si>
  <si>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</si>
  <si>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</si>
  <si>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</si>
  <si>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Rotana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</si>
  <si>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</si>
  <si>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</si>
  <si>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</si>
  <si>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</si>
  <si>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</si>
  <si>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</si>
  <si>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</si>
  <si>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</si>
  <si>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</si>
  <si>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</si>
  <si>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</si>
  <si>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</si>
  <si>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</si>
  <si>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</si>
  <si>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</si>
  <si>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</si>
  <si>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</si>
  <si>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</si>
  <si>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</si>
  <si>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</si>
  <si>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</si>
  <si>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</si>
  <si>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</si>
  <si>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</si>
  <si>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</si>
  <si>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</si>
  <si>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</si>
  <si>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</si>
  <si>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</si>
  <si>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</si>
  <si>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Feeders and transformers Electrity cons.  Dec  2019</t>
  </si>
  <si>
    <t>Mall, Citadel and Rotana readings and cons.  Jan 2019</t>
  </si>
  <si>
    <t>Main Building, Podium, Hotel and Large cons.  Jan 2019</t>
  </si>
  <si>
    <t>Gas Con. Jan 2019</t>
  </si>
  <si>
    <t>Energy Monthly Statement Jan .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</si>
</sst>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72" formatCode="#,##0.0"/>
    <numFmt numFmtId="174" formatCode="[$-409]d\-mmm\-yyyy;@"/>
    <numFmt numFmtId="176" formatCode="0.000"/>
    <numFmt numFmtId="178" formatCode="0.00;[Red]0.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Calibri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color indexed="12"/>
      <name val="Arial"/>
      <family val="2"/>
    </font>
    <font>
      <b/>
      <sz val="12"/>
      <color indexed="30"/>
      <name val="Arial"/>
      <family val="2"/>
    </font>
    <font>
      <b/>
      <sz val="12"/>
      <color indexed="12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i/>
      <sz val="12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10"/>
      <color indexed="12"/>
      <name val="Arial"/>
      <family val="2"/>
    </font>
    <font>
      <u/>
      <sz val="12"/>
      <color indexed="10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7">
    <xf numFmtId="0" fontId="0" fillId="0" borderId="0"/>
    <xf numFmtId="0" fontId="17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</cellStyleXfs>
  <cellXfs count="137">
    <xf numFmtId="0" fontId="0" fillId="0" borderId="0" xfId="0"/>
    <xf numFmtId="0" fontId="4" fillId="0" borderId="1" xfId="0" applyFont="1" applyBorder="1" applyAlignment="1">
      <alignment horizontal="center"/>
    </xf>
    <xf numFmtId="17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74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74" fontId="8" fillId="0" borderId="1" xfId="0" applyNumberFormat="1" applyFont="1" applyBorder="1" applyAlignment="1">
      <alignment horizontal="center" vertical="center"/>
    </xf>
    <xf numFmtId="174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174" fontId="6" fillId="0" borderId="2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74" fontId="4" fillId="0" borderId="0" xfId="0" applyNumberFormat="1" applyFont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/>
    <xf numFmtId="0" fontId="4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8" fillId="0" borderId="0" xfId="0" applyFont="1"/>
    <xf numFmtId="0" fontId="18" fillId="0" borderId="1" xfId="0" applyFont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8" fillId="0" borderId="1" xfId="0" applyFont="1" applyBorder="1"/>
    <xf numFmtId="0" fontId="20" fillId="4" borderId="1" xfId="0" applyFont="1" applyFill="1" applyBorder="1" applyAlignment="1">
      <alignment horizontal="center"/>
    </xf>
    <xf numFmtId="0" fontId="21" fillId="0" borderId="1" xfId="0" applyFont="1" applyBorder="1"/>
    <xf numFmtId="17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7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178" fontId="18" fillId="3" borderId="1" xfId="0" applyNumberFormat="1" applyFont="1" applyFill="1" applyBorder="1" applyAlignment="1">
      <alignment horizontal="center"/>
    </xf>
    <xf numFmtId="178" fontId="20" fillId="4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0" fillId="8" borderId="4" xfId="0" applyFill="1" applyBorder="1"/>
    <xf numFmtId="0" fontId="0" fillId="8" borderId="4" xfId="0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33" fillId="9" borderId="1" xfId="0" applyFont="1" applyFill="1" applyBorder="1" applyAlignment="1">
      <alignment horizontal="center"/>
    </xf>
    <xf numFmtId="0" fontId="34" fillId="9" borderId="1" xfId="0" applyFont="1" applyFill="1" applyBorder="1" applyAlignment="1">
      <alignment horizontal="center"/>
    </xf>
    <xf numFmtId="0" fontId="32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5" fillId="0" borderId="1" xfId="0" applyNumberFormat="1" applyFont="1" applyBorder="1" applyAlignment="1">
      <alignment horizontal="center" vertical="center"/>
    </xf>
    <xf numFmtId="1" fontId="36" fillId="0" borderId="0" xfId="0" applyNumberFormat="1" applyFont="1"/>
    <xf numFmtId="1" fontId="35" fillId="0" borderId="0" xfId="0" applyNumberFormat="1" applyFont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15" fillId="4" borderId="1" xfId="0" applyNumberFormat="1" applyFont="1" applyFill="1" applyBorder="1" applyAlignment="1">
      <alignment horizontal="center"/>
    </xf>
    <xf numFmtId="2" fontId="35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/>
    </xf>
    <xf numFmtId="1" fontId="38" fillId="0" borderId="1" xfId="0" applyNumberFormat="1" applyFont="1" applyBorder="1" applyAlignment="1">
      <alignment horizontal="center" vertical="center"/>
    </xf>
    <xf numFmtId="0" fontId="24" fillId="0" borderId="0" xfId="0" applyFont="1"/>
    <xf numFmtId="2" fontId="5" fillId="4" borderId="1" xfId="0" applyNumberFormat="1" applyFont="1" applyFill="1" applyBorder="1" applyAlignment="1">
      <alignment horizontal="center"/>
    </xf>
    <xf numFmtId="0" fontId="39" fillId="0" borderId="5" xfId="0" applyFont="1" applyBorder="1"/>
    <xf numFmtId="0" fontId="40" fillId="0" borderId="0" xfId="0" applyFont="1"/>
    <xf numFmtId="1" fontId="32" fillId="0" borderId="5" xfId="0" applyNumberFormat="1" applyFont="1" applyBorder="1" applyAlignment="1">
      <alignment wrapText="1"/>
    </xf>
    <xf numFmtId="0" fontId="32" fillId="0" borderId="5" xfId="0" applyFont="1" applyBorder="1" applyAlignment="1">
      <alignment horizontal="center" wrapText="1"/>
    </xf>
    <xf numFmtId="0" fontId="41" fillId="0" borderId="5" xfId="0" applyFont="1" applyBorder="1" applyAlignment="1">
      <alignment horizontal="center"/>
    </xf>
    <xf numFmtId="1" fontId="32" fillId="0" borderId="5" xfId="0" applyNumberFormat="1" applyFont="1" applyBorder="1" applyAlignment="1">
      <alignment horizontal="center" wrapText="1"/>
    </xf>
    <xf numFmtId="0" fontId="40" fillId="0" borderId="0" xfId="0" applyFont="1" applyAlignment="1">
      <alignment horizontal="center"/>
    </xf>
    <xf numFmtId="2" fontId="32" fillId="0" borderId="5" xfId="0" applyNumberFormat="1" applyFont="1" applyBorder="1" applyAlignment="1">
      <alignment horizontal="center" wrapText="1"/>
    </xf>
    <xf numFmtId="176" fontId="25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1" xfId="6" applyFont="1" applyFill="1" applyBorder="1" applyAlignment="1">
      <alignment horizontal="center" vertical="center"/>
    </xf>
    <xf numFmtId="43" fontId="1" fillId="0" borderId="1" xfId="6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" fontId="32" fillId="0" borderId="0" xfId="0" applyNumberFormat="1" applyFont="1" applyBorder="1" applyAlignment="1">
      <alignment wrapText="1"/>
    </xf>
    <xf numFmtId="0" fontId="32" fillId="0" borderId="0" xfId="0" applyFont="1" applyAlignment="1">
      <alignment horizontal="center" vertical="center" wrapText="1"/>
    </xf>
    <xf numFmtId="0" fontId="18" fillId="0" borderId="1" xfId="0" applyFont="1" applyFill="1" applyBorder="1" applyAlignment="1">
      <alignment horizontal="center"/>
    </xf>
    <xf numFmtId="0" fontId="18" fillId="9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43" fontId="26" fillId="0" borderId="1" xfId="0" applyNumberFormat="1" applyFont="1" applyFill="1" applyBorder="1" applyAlignment="1">
      <alignment horizontal="center" vertical="center"/>
    </xf>
    <xf numFmtId="43" fontId="26" fillId="0" borderId="0" xfId="0" applyNumberFormat="1" applyFont="1" applyFill="1" applyBorder="1" applyAlignment="1">
      <alignment horizontal="center" vertical="center"/>
    </xf>
    <xf numFmtId="0" fontId="26" fillId="0" borderId="0" xfId="6" applyFont="1" applyAlignment="1">
      <alignment horizontal="center" vertical="center"/>
    </xf>
    <xf numFmtId="0" fontId="1" fillId="0" borderId="0" xfId="6" applyFont="1" applyAlignment="1">
      <alignment horizontal="center" vertical="center"/>
    </xf>
    <xf numFmtId="0" fontId="26" fillId="5" borderId="1" xfId="6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72" fontId="26" fillId="0" borderId="1" xfId="0" applyNumberFormat="1" applyFont="1" applyFill="1" applyBorder="1" applyAlignment="1">
      <alignment horizontal="center" vertical="center"/>
    </xf>
    <xf numFmtId="172" fontId="26" fillId="0" borderId="1" xfId="0" applyNumberFormat="1" applyFont="1" applyBorder="1" applyAlignment="1">
      <alignment horizontal="center" vertical="center"/>
    </xf>
    <xf numFmtId="172" fontId="26" fillId="0" borderId="0" xfId="0" applyNumberFormat="1" applyFont="1" applyBorder="1" applyAlignment="1">
      <alignment horizontal="center" vertical="center"/>
    </xf>
    <xf numFmtId="0" fontId="1" fillId="6" borderId="1" xfId="6" applyFont="1" applyFill="1" applyBorder="1" applyAlignment="1">
      <alignment horizontal="center" vertical="center"/>
    </xf>
    <xf numFmtId="43" fontId="26" fillId="0" borderId="1" xfId="2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72" fontId="1" fillId="0" borderId="0" xfId="0" applyNumberFormat="1" applyFont="1" applyAlignment="1">
      <alignment horizontal="center" vertical="center"/>
    </xf>
    <xf numFmtId="0" fontId="26" fillId="0" borderId="0" xfId="6" applyFont="1" applyFill="1" applyBorder="1" applyAlignment="1">
      <alignment horizontal="center" vertical="center"/>
    </xf>
    <xf numFmtId="172" fontId="26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6" fillId="0" borderId="1" xfId="6" applyFont="1" applyFill="1" applyBorder="1" applyAlignment="1">
      <alignment horizontal="center" vertical="center"/>
    </xf>
    <xf numFmtId="172" fontId="26" fillId="0" borderId="1" xfId="6" applyNumberFormat="1" applyFont="1" applyFill="1" applyBorder="1" applyAlignment="1">
      <alignment horizontal="center" vertical="center"/>
    </xf>
    <xf numFmtId="172" fontId="26" fillId="0" borderId="0" xfId="6" applyNumberFormat="1" applyFont="1" applyFill="1" applyBorder="1" applyAlignment="1">
      <alignment horizontal="center" vertical="center"/>
    </xf>
    <xf numFmtId="172" fontId="26" fillId="0" borderId="1" xfId="2" applyNumberFormat="1" applyFont="1" applyFill="1" applyBorder="1" applyAlignment="1">
      <alignment horizontal="center" vertical="center"/>
    </xf>
    <xf numFmtId="0" fontId="26" fillId="5" borderId="4" xfId="6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2" fontId="26" fillId="0" borderId="9" xfId="6" applyNumberFormat="1" applyFont="1" applyFill="1" applyBorder="1" applyAlignment="1">
      <alignment horizontal="center" vertical="center"/>
    </xf>
    <xf numFmtId="172" fontId="28" fillId="0" borderId="1" xfId="0" applyNumberFormat="1" applyFont="1" applyFill="1" applyBorder="1" applyAlignment="1">
      <alignment horizontal="center" vertical="center"/>
    </xf>
    <xf numFmtId="172" fontId="26" fillId="0" borderId="0" xfId="0" applyNumberFormat="1" applyFont="1" applyFill="1" applyBorder="1" applyAlignment="1">
      <alignment horizontal="center" vertical="center"/>
    </xf>
    <xf numFmtId="0" fontId="1" fillId="0" borderId="0" xfId="2" applyNumberFormat="1" applyFont="1" applyBorder="1" applyAlignment="1">
      <alignment horizontal="center" vertical="center"/>
    </xf>
    <xf numFmtId="0" fontId="26" fillId="0" borderId="0" xfId="6" applyFont="1" applyFill="1" applyBorder="1" applyAlignment="1">
      <alignment horizontal="center"/>
    </xf>
    <xf numFmtId="0" fontId="26" fillId="5" borderId="4" xfId="6" applyFont="1" applyFill="1" applyBorder="1"/>
    <xf numFmtId="0" fontId="1" fillId="6" borderId="4" xfId="0" applyFont="1" applyFill="1" applyBorder="1"/>
    <xf numFmtId="0" fontId="1" fillId="0" borderId="4" xfId="0" applyFont="1" applyBorder="1"/>
    <xf numFmtId="174" fontId="4" fillId="0" borderId="6" xfId="0" applyNumberFormat="1" applyFont="1" applyBorder="1" applyAlignment="1">
      <alignment horizontal="center" vertical="center"/>
    </xf>
    <xf numFmtId="174" fontId="8" fillId="0" borderId="0" xfId="0" applyNumberFormat="1" applyFont="1" applyAlignment="1">
      <alignment horizontal="center" vertical="center"/>
    </xf>
    <xf numFmtId="174" fontId="9" fillId="0" borderId="0" xfId="0" applyNumberFormat="1" applyFont="1" applyAlignment="1">
      <alignment horizontal="center" vertical="center"/>
    </xf>
    <xf numFmtId="174" fontId="16" fillId="0" borderId="0" xfId="0" applyNumberFormat="1" applyFont="1" applyAlignment="1">
      <alignment horizontal="center" vertical="center"/>
    </xf>
    <xf numFmtId="174" fontId="16" fillId="0" borderId="2" xfId="0" applyNumberFormat="1" applyFont="1" applyBorder="1" applyAlignment="1">
      <alignment horizontal="center" vertical="center"/>
    </xf>
    <xf numFmtId="174" fontId="16" fillId="0" borderId="7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8" fillId="7" borderId="8" xfId="0" applyFont="1" applyFill="1" applyBorder="1" applyAlignment="1">
      <alignment horizontal="left" vertical="center"/>
    </xf>
    <xf numFmtId="0" fontId="18" fillId="7" borderId="0" xfId="0" applyFont="1" applyFill="1" applyAlignment="1">
      <alignment horizontal="left" vertical="center"/>
    </xf>
  </cellXfs>
  <cellStyles count="7">
    <cellStyle name="Bad" xfId="1" builtinId="27" customBuiltin="1"/>
    <cellStyle name="Comma" xfId="2" builtinId="3"/>
    <cellStyle name="Normal" xfId="0" builtinId="0"/>
    <cellStyle name="Normal 12" xfId="3"/>
    <cellStyle name="Normal 14" xfId="4"/>
    <cellStyle name="Normal 14 2" xfId="5"/>
    <cellStyle name="Normal_~031337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e.ElKhoury\AppData\Local\Microsoft\Windows\INetCache\Content.Outlook\U9VXKNQT\Consumptions%20%20%20%202019%20Ja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ll, Citadel, Rotana"/>
      <sheetName val="Water"/>
      <sheetName val="ELECT."/>
      <sheetName val="Gas"/>
      <sheetName val="Energy Monthly statment"/>
      <sheetName val="Plaza and Residential"/>
      <sheetName val="BTU"/>
    </sheetNames>
    <sheetDataSet>
      <sheetData sheetId="0">
        <row r="3">
          <cell r="B3">
            <v>41222</v>
          </cell>
          <cell r="D3">
            <v>37066</v>
          </cell>
          <cell r="F3">
            <v>17159</v>
          </cell>
          <cell r="H3">
            <v>213152</v>
          </cell>
          <cell r="J3">
            <v>303515</v>
          </cell>
          <cell r="L3">
            <v>21668</v>
          </cell>
          <cell r="N3">
            <v>167792</v>
          </cell>
          <cell r="P3">
            <v>963408</v>
          </cell>
          <cell r="R3">
            <v>55047</v>
          </cell>
        </row>
        <row r="34">
          <cell r="B34">
            <v>41378</v>
          </cell>
          <cell r="D34">
            <v>37163</v>
          </cell>
          <cell r="F34">
            <v>17288</v>
          </cell>
          <cell r="H34">
            <v>213567</v>
          </cell>
          <cell r="J34">
            <v>303515</v>
          </cell>
          <cell r="L34">
            <v>21789</v>
          </cell>
          <cell r="N34">
            <v>167879</v>
          </cell>
          <cell r="P34">
            <v>967771</v>
          </cell>
          <cell r="R34">
            <v>55047</v>
          </cell>
        </row>
      </sheetData>
      <sheetData sheetId="1">
        <row r="3">
          <cell r="B3">
            <v>339105</v>
          </cell>
          <cell r="D3">
            <v>91386700</v>
          </cell>
          <cell r="F3">
            <v>91599400</v>
          </cell>
          <cell r="H3">
            <v>590400</v>
          </cell>
        </row>
        <row r="34">
          <cell r="B34">
            <v>342227</v>
          </cell>
          <cell r="D34">
            <v>91973500</v>
          </cell>
          <cell r="F34">
            <v>92026300</v>
          </cell>
          <cell r="H34">
            <v>595730</v>
          </cell>
        </row>
      </sheetData>
      <sheetData sheetId="2">
        <row r="3">
          <cell r="B3">
            <v>15259933</v>
          </cell>
          <cell r="D3">
            <v>39367646</v>
          </cell>
          <cell r="G3">
            <v>3282768</v>
          </cell>
          <cell r="I3">
            <v>3401304</v>
          </cell>
          <cell r="K3">
            <v>2186588</v>
          </cell>
          <cell r="M3">
            <v>4537644</v>
          </cell>
          <cell r="O3">
            <v>8859895</v>
          </cell>
          <cell r="S3">
            <v>5223635</v>
          </cell>
        </row>
        <row r="34">
          <cell r="B34">
            <v>15693789</v>
          </cell>
          <cell r="D34">
            <v>40737330</v>
          </cell>
          <cell r="G34">
            <v>3440159</v>
          </cell>
          <cell r="I34">
            <v>3590930</v>
          </cell>
          <cell r="K34">
            <v>2306213</v>
          </cell>
          <cell r="M34">
            <v>4625972</v>
          </cell>
          <cell r="O34">
            <v>9199373</v>
          </cell>
          <cell r="S34">
            <v>5604609</v>
          </cell>
        </row>
      </sheetData>
      <sheetData sheetId="3">
        <row r="3">
          <cell r="B3">
            <v>14997495</v>
          </cell>
        </row>
        <row r="34">
          <cell r="B34">
            <v>15122547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"/>
  <sheetViews>
    <sheetView tabSelected="1" zoomScale="85" zoomScaleNormal="85" workbookViewId="0">
      <selection activeCell="J11" sqref="J11"/>
    </sheetView>
  </sheetViews>
  <sheetFormatPr defaultColWidth="11.5703125" defaultRowHeight="12.75" x14ac:dyDescent="0.2"/>
  <cols>
    <col min="1" max="1" width="15.85546875" style="76" bestFit="1" customWidth="1"/>
    <col min="2" max="3" width="11.5703125" style="81"/>
    <col min="4" max="4" width="13.42578125" style="81" customWidth="1"/>
    <col min="5" max="6" width="12.5703125" style="16" customWidth="1"/>
    <col min="7" max="11" width="11.5703125" style="16"/>
  </cols>
  <sheetData>
    <row r="1" spans="1:11" s="59" customFormat="1" ht="60" x14ac:dyDescent="0.25">
      <c r="A1" s="75" t="s">
        <v>51</v>
      </c>
      <c r="B1" s="79" t="s">
        <v>0</v>
      </c>
      <c r="C1" s="79" t="s">
        <v>52</v>
      </c>
      <c r="D1" s="79" t="s">
        <v>53</v>
      </c>
      <c r="E1" s="78" t="s">
        <v>54</v>
      </c>
      <c r="F1" s="78" t="s">
        <v>55</v>
      </c>
      <c r="G1" s="78" t="s">
        <v>80</v>
      </c>
      <c r="H1" s="78" t="s">
        <v>81</v>
      </c>
      <c r="I1" s="78" t="s">
        <v>56</v>
      </c>
      <c r="J1" s="78" t="s">
        <v>57</v>
      </c>
      <c r="K1" s="78" t="s">
        <v>58</v>
      </c>
    </row>
    <row r="2" spans="1:11" x14ac:dyDescent="0.2">
      <c r="A2" s="76" t="s">
        <v>59</v>
      </c>
      <c r="B2" s="81">
        <v>1</v>
      </c>
      <c r="C2" s="81">
        <v>1</v>
      </c>
      <c r="D2" s="81">
        <v>2019</v>
      </c>
      <c r="E2" s="6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71499.561084000001</v>
      </c>
      <c r="F2" s="16">
        <v>1.1499999999999999</v>
      </c>
      <c r="G2" s="62">
        <f>Gas!C4*0.9147</f>
        <v>5319.8951999999999</v>
      </c>
      <c r="H2" s="16">
        <v>2.25</v>
      </c>
      <c r="I2" s="62">
        <f>Submetering!AE2+Submetering!AD2+Submetering!H2</f>
        <v>866</v>
      </c>
      <c r="J2" s="63">
        <v>9.1199999999999992</v>
      </c>
      <c r="K2" s="62">
        <f>ELECT.!B4</f>
        <v>265</v>
      </c>
    </row>
    <row r="3" spans="1:11" x14ac:dyDescent="0.2">
      <c r="A3" s="76" t="s">
        <v>59</v>
      </c>
      <c r="B3" s="81">
        <f>B2+1</f>
        <v>2</v>
      </c>
      <c r="C3" s="81">
        <v>1</v>
      </c>
      <c r="D3" s="81">
        <v>2019</v>
      </c>
      <c r="E3" s="6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45441.900827999998</v>
      </c>
      <c r="F3" s="16">
        <v>1.1499999999999999</v>
      </c>
      <c r="G3" s="62">
        <f>Gas!C5*0.9147</f>
        <v>3332.2520999999997</v>
      </c>
      <c r="H3" s="16">
        <v>2.25</v>
      </c>
      <c r="I3" s="62">
        <f>Submetering!AE3+Submetering!AD3+Submetering!H3</f>
        <v>455.99999999999989</v>
      </c>
      <c r="J3" s="63">
        <v>9.1199999999999992</v>
      </c>
      <c r="K3" s="62">
        <f>ELECT.!B5</f>
        <v>284</v>
      </c>
    </row>
    <row r="4" spans="1:11" x14ac:dyDescent="0.2">
      <c r="A4" s="76" t="s">
        <v>59</v>
      </c>
      <c r="B4" s="81">
        <f t="shared" ref="B4:B31" si="0">B3+1</f>
        <v>3</v>
      </c>
      <c r="C4" s="81">
        <v>1</v>
      </c>
      <c r="D4" s="81">
        <v>2019</v>
      </c>
      <c r="E4" s="6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74047.275911999997</v>
      </c>
      <c r="F4" s="16">
        <v>1.1499999999999999</v>
      </c>
      <c r="G4" s="62">
        <f>Gas!C6*0.9147</f>
        <v>2954.4809999999998</v>
      </c>
      <c r="H4" s="16">
        <v>2.25</v>
      </c>
      <c r="I4" s="62">
        <f>Submetering!AE4+Submetering!AD4+Submetering!H4</f>
        <v>656</v>
      </c>
      <c r="J4" s="63">
        <v>9.1199999999999992</v>
      </c>
      <c r="K4" s="62">
        <f>ELECT.!B6</f>
        <v>316</v>
      </c>
    </row>
    <row r="5" spans="1:11" x14ac:dyDescent="0.2">
      <c r="A5" s="76" t="s">
        <v>59</v>
      </c>
      <c r="B5" s="81">
        <f t="shared" si="0"/>
        <v>4</v>
      </c>
      <c r="C5" s="81">
        <v>1</v>
      </c>
      <c r="D5" s="81">
        <v>2019</v>
      </c>
      <c r="E5" s="6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60289.723308000001</v>
      </c>
      <c r="F5" s="16">
        <v>1.1499999999999999</v>
      </c>
      <c r="G5" s="62">
        <f>Gas!C7*0.9147</f>
        <v>3893.8779</v>
      </c>
      <c r="H5" s="16">
        <v>2.25</v>
      </c>
      <c r="I5" s="62">
        <f>Submetering!AE5+Submetering!AD5+Submetering!H5</f>
        <v>1186</v>
      </c>
      <c r="J5" s="63">
        <v>9.1199999999999992</v>
      </c>
      <c r="K5" s="62">
        <f>ELECT.!B7</f>
        <v>316</v>
      </c>
    </row>
    <row r="6" spans="1:11" x14ac:dyDescent="0.2">
      <c r="A6" s="76" t="s">
        <v>59</v>
      </c>
      <c r="B6" s="81">
        <f t="shared" si="0"/>
        <v>5</v>
      </c>
      <c r="C6" s="81">
        <v>1</v>
      </c>
      <c r="D6" s="81">
        <v>2019</v>
      </c>
      <c r="E6" s="6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49568.406067999997</v>
      </c>
      <c r="F6" s="16">
        <v>1.1499999999999999</v>
      </c>
      <c r="G6" s="62">
        <f>Gas!C8*0.9147</f>
        <v>3664.2882</v>
      </c>
      <c r="H6" s="16">
        <v>2.25</v>
      </c>
      <c r="I6" s="62">
        <f>Submetering!AE6+Submetering!AD6+Submetering!H6</f>
        <v>1016.0000000000001</v>
      </c>
      <c r="J6" s="63">
        <v>9.1199999999999992</v>
      </c>
      <c r="K6" s="62">
        <f>ELECT.!B8</f>
        <v>318</v>
      </c>
    </row>
    <row r="7" spans="1:11" x14ac:dyDescent="0.2">
      <c r="A7" s="76" t="s">
        <v>59</v>
      </c>
      <c r="B7" s="81">
        <f t="shared" si="0"/>
        <v>6</v>
      </c>
      <c r="C7" s="81">
        <v>1</v>
      </c>
      <c r="D7" s="81">
        <v>2019</v>
      </c>
      <c r="E7" s="6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45064.771948000009</v>
      </c>
      <c r="F7" s="16">
        <v>1.1499999999999999</v>
      </c>
      <c r="G7" s="62">
        <f>Gas!C9*0.9147</f>
        <v>3334.0814999999998</v>
      </c>
      <c r="H7" s="16">
        <v>2.25</v>
      </c>
      <c r="I7" s="62">
        <f>Submetering!AE7+Submetering!AD7+Submetering!H7</f>
        <v>935.99999999999989</v>
      </c>
      <c r="J7" s="63">
        <v>9.1199999999999992</v>
      </c>
      <c r="K7" s="62">
        <f>ELECT.!B9</f>
        <v>270</v>
      </c>
    </row>
    <row r="8" spans="1:11" x14ac:dyDescent="0.2">
      <c r="A8" s="76" t="s">
        <v>59</v>
      </c>
      <c r="B8" s="81">
        <f t="shared" si="0"/>
        <v>7</v>
      </c>
      <c r="C8" s="81">
        <v>1</v>
      </c>
      <c r="D8" s="81">
        <v>2019</v>
      </c>
      <c r="E8" s="6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68307.424908000001</v>
      </c>
      <c r="F8" s="16">
        <v>1.1499999999999999</v>
      </c>
      <c r="G8" s="62">
        <f>Gas!C10*0.9147</f>
        <v>3273.7112999999999</v>
      </c>
      <c r="H8" s="16">
        <v>2.25</v>
      </c>
      <c r="I8" s="62">
        <f>Submetering!AE8+Submetering!AD8+Submetering!H8</f>
        <v>975.99999999999989</v>
      </c>
      <c r="J8" s="63">
        <v>9.1199999999999992</v>
      </c>
      <c r="K8" s="62">
        <f>ELECT.!B10</f>
        <v>258</v>
      </c>
    </row>
    <row r="9" spans="1:11" x14ac:dyDescent="0.2">
      <c r="A9" s="76" t="s">
        <v>59</v>
      </c>
      <c r="B9" s="81">
        <f t="shared" si="0"/>
        <v>8</v>
      </c>
      <c r="C9" s="81">
        <v>1</v>
      </c>
      <c r="D9" s="81">
        <v>2019</v>
      </c>
      <c r="E9" s="6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52108.838331999999</v>
      </c>
      <c r="F9" s="16">
        <v>1.1499999999999999</v>
      </c>
      <c r="G9" s="62">
        <f>Gas!C11*0.9147</f>
        <v>5257.6956</v>
      </c>
      <c r="H9" s="16">
        <v>2.25</v>
      </c>
      <c r="I9" s="62">
        <f>Submetering!AE9+Submetering!AD9+Submetering!H9</f>
        <v>676</v>
      </c>
      <c r="J9" s="63">
        <v>9.1199999999999992</v>
      </c>
      <c r="K9" s="62">
        <f>ELECT.!B11</f>
        <v>263</v>
      </c>
    </row>
    <row r="10" spans="1:11" x14ac:dyDescent="0.2">
      <c r="A10" s="76" t="s">
        <v>59</v>
      </c>
      <c r="B10" s="81">
        <f t="shared" si="0"/>
        <v>9</v>
      </c>
      <c r="C10" s="81">
        <v>1</v>
      </c>
      <c r="D10" s="81">
        <v>2019</v>
      </c>
      <c r="E10" s="6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62433.179255999989</v>
      </c>
      <c r="F10" s="16">
        <v>1.1499999999999999</v>
      </c>
      <c r="G10" s="62">
        <f>Gas!C12*0.9147</f>
        <v>4696.9844999999996</v>
      </c>
      <c r="H10" s="16">
        <v>2.25</v>
      </c>
      <c r="I10" s="62">
        <f>Submetering!AE10+Submetering!AD10+Submetering!H10</f>
        <v>1076</v>
      </c>
      <c r="J10" s="63">
        <v>9.1199999999999992</v>
      </c>
      <c r="K10" s="62">
        <f>ELECT.!B12</f>
        <v>263</v>
      </c>
    </row>
    <row r="11" spans="1:11" x14ac:dyDescent="0.2">
      <c r="A11" s="76" t="s">
        <v>59</v>
      </c>
      <c r="B11" s="81">
        <f t="shared" si="0"/>
        <v>10</v>
      </c>
      <c r="C11" s="81">
        <v>1</v>
      </c>
      <c r="D11" s="81">
        <v>2019</v>
      </c>
      <c r="E11" s="6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49205.373832000005</v>
      </c>
      <c r="F11" s="16">
        <v>1.1499999999999999</v>
      </c>
      <c r="G11" s="62">
        <f>Gas!C13*0.9147</f>
        <v>4306.4075999999995</v>
      </c>
      <c r="H11" s="16">
        <v>2.25</v>
      </c>
      <c r="I11" s="62">
        <f>Submetering!AE11+Submetering!AD11+Submetering!H11</f>
        <v>876</v>
      </c>
      <c r="J11" s="63">
        <v>9.1199999999999992</v>
      </c>
      <c r="K11" s="62">
        <f>ELECT.!B13</f>
        <v>268</v>
      </c>
    </row>
    <row r="12" spans="1:11" x14ac:dyDescent="0.2">
      <c r="A12" s="76" t="s">
        <v>59</v>
      </c>
      <c r="B12" s="81">
        <f t="shared" si="0"/>
        <v>11</v>
      </c>
      <c r="C12" s="81">
        <v>1</v>
      </c>
      <c r="D12" s="81">
        <v>2019</v>
      </c>
      <c r="E12" s="6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81660.159247999996</v>
      </c>
      <c r="F12" s="16">
        <v>1.1499999999999999</v>
      </c>
      <c r="G12" s="62">
        <f>Gas!C14*0.9147</f>
        <v>5362.8860999999997</v>
      </c>
      <c r="H12" s="16">
        <v>2.25</v>
      </c>
      <c r="I12" s="62">
        <f>Submetering!AE12+Submetering!AD12+Submetering!H12</f>
        <v>845.99999999999989</v>
      </c>
      <c r="J12" s="63">
        <v>9.1199999999999992</v>
      </c>
      <c r="K12" s="62">
        <f>ELECT.!B14</f>
        <v>271</v>
      </c>
    </row>
    <row r="13" spans="1:11" x14ac:dyDescent="0.2">
      <c r="A13" s="76" t="s">
        <v>59</v>
      </c>
      <c r="B13" s="81">
        <f t="shared" si="0"/>
        <v>12</v>
      </c>
      <c r="C13" s="81">
        <v>1</v>
      </c>
      <c r="D13" s="81">
        <v>2019</v>
      </c>
      <c r="E13" s="6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37318.518795999997</v>
      </c>
      <c r="F13" s="16">
        <v>1.1499999999999999</v>
      </c>
      <c r="G13" s="62">
        <f>Gas!C15*0.9147</f>
        <v>4030.1681999999996</v>
      </c>
      <c r="H13" s="16">
        <v>2.25</v>
      </c>
      <c r="I13" s="62">
        <f>Submetering!AE13+Submetering!AD13+Submetering!H13</f>
        <v>916</v>
      </c>
      <c r="J13" s="63">
        <v>9.1199999999999992</v>
      </c>
      <c r="K13" s="62">
        <f>ELECT.!B15</f>
        <v>298</v>
      </c>
    </row>
    <row r="14" spans="1:11" x14ac:dyDescent="0.2">
      <c r="A14" s="76" t="s">
        <v>59</v>
      </c>
      <c r="B14" s="81">
        <f t="shared" si="0"/>
        <v>13</v>
      </c>
      <c r="C14" s="81">
        <v>1</v>
      </c>
      <c r="D14" s="81">
        <v>2019</v>
      </c>
      <c r="E14" s="6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67210.73208799999</v>
      </c>
      <c r="F14" s="16">
        <v>1.1499999999999999</v>
      </c>
      <c r="G14" s="62">
        <f>Gas!C16*0.9147</f>
        <v>3865.5221999999999</v>
      </c>
      <c r="H14" s="16">
        <v>2.25</v>
      </c>
      <c r="I14" s="62">
        <f>Submetering!AE14+Submetering!AD14+Submetering!H14</f>
        <v>855.99999999999989</v>
      </c>
      <c r="J14" s="63">
        <v>9.1199999999999992</v>
      </c>
      <c r="K14" s="62">
        <f>ELECT.!B16</f>
        <v>250</v>
      </c>
    </row>
    <row r="15" spans="1:11" x14ac:dyDescent="0.2">
      <c r="A15" s="76" t="s">
        <v>59</v>
      </c>
      <c r="B15" s="81">
        <f t="shared" si="0"/>
        <v>14</v>
      </c>
      <c r="C15" s="81">
        <v>1</v>
      </c>
      <c r="D15" s="81">
        <v>2019</v>
      </c>
      <c r="E15" s="6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39713.684816000001</v>
      </c>
      <c r="F15" s="16">
        <v>1.1499999999999999</v>
      </c>
      <c r="G15" s="62">
        <f>Gas!C17*0.9147</f>
        <v>2701.1090999999997</v>
      </c>
      <c r="H15" s="16">
        <v>2.25</v>
      </c>
      <c r="I15" s="62">
        <f>Submetering!AE15+Submetering!AD15+Submetering!H15</f>
        <v>646</v>
      </c>
      <c r="J15" s="63">
        <v>9.1199999999999992</v>
      </c>
      <c r="K15" s="62">
        <f>ELECT.!B17</f>
        <v>227</v>
      </c>
    </row>
    <row r="16" spans="1:11" x14ac:dyDescent="0.2">
      <c r="A16" s="76" t="s">
        <v>59</v>
      </c>
      <c r="B16" s="81">
        <f t="shared" si="0"/>
        <v>15</v>
      </c>
      <c r="C16" s="81">
        <v>1</v>
      </c>
      <c r="D16" s="81">
        <v>2019</v>
      </c>
      <c r="E16" s="6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75020.846947999991</v>
      </c>
      <c r="F16" s="16">
        <v>1.1499999999999999</v>
      </c>
      <c r="G16" s="62">
        <f>Gas!C18*0.9147</f>
        <v>3629.5295999999998</v>
      </c>
      <c r="H16" s="16">
        <v>2.25</v>
      </c>
      <c r="I16" s="62">
        <f>Submetering!AE16+Submetering!AD16+Submetering!H16</f>
        <v>1046.0000000000002</v>
      </c>
      <c r="J16" s="63">
        <v>9.1199999999999992</v>
      </c>
      <c r="K16" s="62">
        <f>ELECT.!B18</f>
        <v>263</v>
      </c>
    </row>
    <row r="17" spans="1:13" x14ac:dyDescent="0.2">
      <c r="A17" s="76" t="s">
        <v>59</v>
      </c>
      <c r="B17" s="81">
        <f t="shared" si="0"/>
        <v>16</v>
      </c>
      <c r="C17" s="81">
        <v>1</v>
      </c>
      <c r="D17" s="81">
        <v>2019</v>
      </c>
      <c r="E17" s="6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53416.067000000003</v>
      </c>
      <c r="F17" s="16">
        <v>1.1499999999999999</v>
      </c>
      <c r="G17" s="62">
        <f>Gas!C19*0.9147</f>
        <v>3856.3751999999999</v>
      </c>
      <c r="H17" s="16">
        <v>2.25</v>
      </c>
      <c r="I17" s="62">
        <f>Submetering!AE17+Submetering!AD17+Submetering!H17</f>
        <v>706</v>
      </c>
      <c r="J17" s="63">
        <v>9.1199999999999992</v>
      </c>
      <c r="K17" s="62">
        <f>ELECT.!B19</f>
        <v>265</v>
      </c>
    </row>
    <row r="18" spans="1:13" x14ac:dyDescent="0.2">
      <c r="A18" s="76" t="s">
        <v>59</v>
      </c>
      <c r="B18" s="81">
        <f t="shared" si="0"/>
        <v>17</v>
      </c>
      <c r="C18" s="81">
        <v>1</v>
      </c>
      <c r="D18" s="81">
        <v>2019</v>
      </c>
      <c r="E18" s="6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66048.464420000004</v>
      </c>
      <c r="F18" s="16">
        <v>1.1499999999999999</v>
      </c>
      <c r="G18" s="62">
        <f>Gas!C20*0.9147</f>
        <v>3988.0919999999996</v>
      </c>
      <c r="H18" s="16">
        <v>2.25</v>
      </c>
      <c r="I18" s="62">
        <f>Submetering!AE18+Submetering!AD18+Submetering!H18</f>
        <v>865.99999999999989</v>
      </c>
      <c r="J18" s="63">
        <v>9.1199999999999992</v>
      </c>
      <c r="K18" s="62">
        <f>ELECT.!B20</f>
        <v>269</v>
      </c>
    </row>
    <row r="19" spans="1:13" x14ac:dyDescent="0.2">
      <c r="A19" s="76" t="s">
        <v>59</v>
      </c>
      <c r="B19" s="81">
        <f t="shared" si="0"/>
        <v>18</v>
      </c>
      <c r="C19" s="81">
        <v>1</v>
      </c>
      <c r="D19" s="81">
        <v>2019</v>
      </c>
      <c r="E19" s="6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40005.150360000007</v>
      </c>
      <c r="F19" s="16">
        <v>1.1499999999999999</v>
      </c>
      <c r="G19" s="62">
        <f>Gas!C21*0.9147</f>
        <v>3465.7982999999999</v>
      </c>
      <c r="H19" s="16">
        <v>2.25</v>
      </c>
      <c r="I19" s="62">
        <f>Submetering!AE19+Submetering!AD19+Submetering!H19</f>
        <v>1016.0000000000001</v>
      </c>
      <c r="J19" s="63">
        <v>9.1199999999999992</v>
      </c>
      <c r="K19" s="62">
        <f>ELECT.!B21</f>
        <v>271</v>
      </c>
    </row>
    <row r="20" spans="1:13" x14ac:dyDescent="0.2">
      <c r="A20" s="76" t="s">
        <v>59</v>
      </c>
      <c r="B20" s="81">
        <f t="shared" si="0"/>
        <v>19</v>
      </c>
      <c r="C20" s="81">
        <v>1</v>
      </c>
      <c r="D20" s="81">
        <v>2019</v>
      </c>
      <c r="E20" s="6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69264.311332000012</v>
      </c>
      <c r="F20" s="16">
        <v>1.1499999999999999</v>
      </c>
      <c r="G20" s="62">
        <f>Gas!C22*0.9147</f>
        <v>3697.2174</v>
      </c>
      <c r="H20" s="16">
        <v>2.25</v>
      </c>
      <c r="I20" s="62">
        <f>Submetering!AE20+Submetering!AD20+Submetering!H20</f>
        <v>806</v>
      </c>
      <c r="J20" s="63">
        <v>9.1199999999999992</v>
      </c>
      <c r="K20" s="62">
        <f>ELECT.!B22</f>
        <v>299</v>
      </c>
    </row>
    <row r="21" spans="1:13" x14ac:dyDescent="0.2">
      <c r="A21" s="76" t="s">
        <v>59</v>
      </c>
      <c r="B21" s="81">
        <f t="shared" si="0"/>
        <v>20</v>
      </c>
      <c r="C21" s="81">
        <v>1</v>
      </c>
      <c r="D21" s="81">
        <v>2019</v>
      </c>
      <c r="E21" s="6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62374.397496000005</v>
      </c>
      <c r="F21" s="16">
        <v>1.1499999999999999</v>
      </c>
      <c r="G21" s="62">
        <f>Gas!C23*0.9147</f>
        <v>3549.0360000000001</v>
      </c>
      <c r="H21" s="16">
        <v>2.25</v>
      </c>
      <c r="I21" s="62">
        <f>Submetering!AE21+Submetering!AD21+Submetering!H21</f>
        <v>876</v>
      </c>
      <c r="J21" s="63">
        <v>9.1199999999999992</v>
      </c>
      <c r="K21" s="62">
        <f>ELECT.!B23</f>
        <v>299</v>
      </c>
    </row>
    <row r="22" spans="1:13" x14ac:dyDescent="0.2">
      <c r="A22" s="76" t="s">
        <v>59</v>
      </c>
      <c r="B22" s="81">
        <f t="shared" si="0"/>
        <v>21</v>
      </c>
      <c r="C22" s="81">
        <v>1</v>
      </c>
      <c r="D22" s="81">
        <v>2019</v>
      </c>
      <c r="E22" s="6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73692.550015999994</v>
      </c>
      <c r="F22" s="16">
        <v>1.1499999999999999</v>
      </c>
      <c r="G22" s="62">
        <f>Gas!C24*0.9147</f>
        <v>3873.7545</v>
      </c>
      <c r="H22" s="16">
        <v>2.25</v>
      </c>
      <c r="I22" s="62">
        <f>Submetering!AE22+Submetering!AD22+Submetering!H22</f>
        <v>1036</v>
      </c>
      <c r="J22" s="63">
        <v>9.1199999999999992</v>
      </c>
      <c r="K22" s="62">
        <f>ELECT.!B24</f>
        <v>278</v>
      </c>
    </row>
    <row r="23" spans="1:13" x14ac:dyDescent="0.2">
      <c r="A23" s="76" t="s">
        <v>59</v>
      </c>
      <c r="B23" s="81">
        <f t="shared" si="0"/>
        <v>22</v>
      </c>
      <c r="C23" s="81">
        <v>1</v>
      </c>
      <c r="D23" s="81">
        <v>2019</v>
      </c>
      <c r="E23" s="6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41202.244543999994</v>
      </c>
      <c r="F23" s="16">
        <v>1.1499999999999999</v>
      </c>
      <c r="G23" s="62">
        <f>Gas!C25*0.9147</f>
        <v>3525.2538</v>
      </c>
      <c r="H23" s="16">
        <v>2.25</v>
      </c>
      <c r="I23" s="62">
        <f>Submetering!AE23+Submetering!AD23+Submetering!H23</f>
        <v>746</v>
      </c>
      <c r="J23" s="63">
        <v>9.1199999999999992</v>
      </c>
      <c r="K23" s="62">
        <f>ELECT.!B25</f>
        <v>278</v>
      </c>
    </row>
    <row r="24" spans="1:13" x14ac:dyDescent="0.2">
      <c r="A24" s="76" t="s">
        <v>59</v>
      </c>
      <c r="B24" s="81">
        <f t="shared" si="0"/>
        <v>23</v>
      </c>
      <c r="C24" s="81">
        <v>1</v>
      </c>
      <c r="D24" s="81">
        <v>2019</v>
      </c>
      <c r="E24" s="6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55328.560200000007</v>
      </c>
      <c r="F24" s="16">
        <v>1.1499999999999999</v>
      </c>
      <c r="G24" s="62">
        <f>Gas!C26*0.9147</f>
        <v>3195.9618</v>
      </c>
      <c r="H24" s="16">
        <v>2.25</v>
      </c>
      <c r="I24" s="62">
        <f>Submetering!AE24+Submetering!AD24+Submetering!H24</f>
        <v>706</v>
      </c>
      <c r="J24" s="63">
        <v>9.1199999999999992</v>
      </c>
      <c r="K24" s="62">
        <f>ELECT.!B26</f>
        <v>318</v>
      </c>
    </row>
    <row r="25" spans="1:13" x14ac:dyDescent="0.2">
      <c r="A25" s="76" t="s">
        <v>59</v>
      </c>
      <c r="B25" s="81">
        <f t="shared" si="0"/>
        <v>24</v>
      </c>
      <c r="C25" s="81">
        <v>1</v>
      </c>
      <c r="D25" s="81">
        <v>2019</v>
      </c>
      <c r="E25" s="6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52986.416424000003</v>
      </c>
      <c r="F25" s="16">
        <v>1.1499999999999999</v>
      </c>
      <c r="G25" s="62">
        <f>Gas!C27*0.9147</f>
        <v>3018.5099999999998</v>
      </c>
      <c r="H25" s="16">
        <v>2.25</v>
      </c>
      <c r="I25" s="62">
        <f>Submetering!AE25+Submetering!AD25+Submetering!H25</f>
        <v>706</v>
      </c>
      <c r="J25" s="63">
        <v>9.1199999999999992</v>
      </c>
      <c r="K25" s="62">
        <f>ELECT.!B27</f>
        <v>318</v>
      </c>
    </row>
    <row r="26" spans="1:13" x14ac:dyDescent="0.2">
      <c r="A26" s="76" t="s">
        <v>59</v>
      </c>
      <c r="B26" s="81">
        <f>B25+1</f>
        <v>25</v>
      </c>
      <c r="C26" s="81">
        <v>1</v>
      </c>
      <c r="D26" s="81">
        <v>2019</v>
      </c>
      <c r="E26" s="6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58523.697192</v>
      </c>
      <c r="F26" s="16">
        <v>1.1499999999999999</v>
      </c>
      <c r="G26" s="62">
        <f>Gas!C28*0.9147</f>
        <v>3128.2739999999999</v>
      </c>
      <c r="H26" s="16">
        <v>2.25</v>
      </c>
      <c r="I26" s="62">
        <f>Submetering!AE26+Submetering!AD26+Submetering!H26</f>
        <v>736</v>
      </c>
      <c r="J26" s="63">
        <v>9.1199999999999992</v>
      </c>
      <c r="K26" s="62">
        <f>ELECT.!B28</f>
        <v>305</v>
      </c>
      <c r="M26" s="48" t="s">
        <v>13</v>
      </c>
    </row>
    <row r="27" spans="1:13" x14ac:dyDescent="0.2">
      <c r="A27" s="76" t="s">
        <v>59</v>
      </c>
      <c r="B27" s="81">
        <f t="shared" si="0"/>
        <v>26</v>
      </c>
      <c r="C27" s="81">
        <v>1</v>
      </c>
      <c r="D27" s="81">
        <v>2019</v>
      </c>
      <c r="E27" s="6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44904.063183999999</v>
      </c>
      <c r="F27" s="16">
        <v>1.1499999999999999</v>
      </c>
      <c r="G27" s="62">
        <f>Gas!C29*0.9147</f>
        <v>4739.9753999999994</v>
      </c>
      <c r="H27" s="16">
        <v>2.25</v>
      </c>
      <c r="I27" s="62">
        <f>Submetering!AE27+Submetering!AD27+Submetering!H27</f>
        <v>736</v>
      </c>
      <c r="J27" s="63">
        <v>9.1199999999999992</v>
      </c>
      <c r="K27" s="62">
        <f>ELECT.!B29</f>
        <v>337</v>
      </c>
    </row>
    <row r="28" spans="1:13" x14ac:dyDescent="0.2">
      <c r="A28" s="76" t="s">
        <v>59</v>
      </c>
      <c r="B28" s="81">
        <f t="shared" si="0"/>
        <v>27</v>
      </c>
      <c r="C28" s="81">
        <v>1</v>
      </c>
      <c r="D28" s="81">
        <v>2019</v>
      </c>
      <c r="E28" s="6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61628.432743999998</v>
      </c>
      <c r="F28" s="16">
        <v>1.1499999999999999</v>
      </c>
      <c r="G28" s="62">
        <f>Gas!C30*0.9147</f>
        <v>3121.8710999999998</v>
      </c>
      <c r="H28" s="16">
        <v>2.25</v>
      </c>
      <c r="I28" s="62">
        <f>Submetering!AE28+Submetering!AD28+Submetering!H28</f>
        <v>826</v>
      </c>
      <c r="J28" s="63">
        <v>9.1199999999999992</v>
      </c>
      <c r="K28" s="62">
        <f>ELECT.!B30</f>
        <v>360</v>
      </c>
    </row>
    <row r="29" spans="1:13" x14ac:dyDescent="0.2">
      <c r="A29" s="76" t="s">
        <v>59</v>
      </c>
      <c r="B29" s="81">
        <f t="shared" si="0"/>
        <v>28</v>
      </c>
      <c r="C29" s="81">
        <v>1</v>
      </c>
      <c r="D29" s="81">
        <v>2019</v>
      </c>
      <c r="E29" s="6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52315.14117599999</v>
      </c>
      <c r="F29" s="16">
        <v>1.1499999999999999</v>
      </c>
      <c r="G29" s="62">
        <f>Gas!C31*0.9147</f>
        <v>2774.2851000000001</v>
      </c>
      <c r="H29" s="16">
        <v>2.25</v>
      </c>
      <c r="I29" s="62">
        <f>Submetering!AE29+Submetering!AD29+Submetering!H29</f>
        <v>965.99999999999989</v>
      </c>
      <c r="J29" s="63">
        <v>9.1199999999999992</v>
      </c>
      <c r="K29" s="62">
        <f>ELECT.!B31</f>
        <v>365</v>
      </c>
    </row>
    <row r="30" spans="1:13" x14ac:dyDescent="0.2">
      <c r="A30" s="76" t="s">
        <v>59</v>
      </c>
      <c r="B30" s="81">
        <f t="shared" si="0"/>
        <v>29</v>
      </c>
      <c r="C30" s="81">
        <v>1</v>
      </c>
      <c r="D30" s="81">
        <v>2019</v>
      </c>
      <c r="E30" s="6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40340.045579999998</v>
      </c>
      <c r="F30" s="16">
        <v>1.1499999999999999</v>
      </c>
      <c r="G30" s="62">
        <f>Gas!C32*0.9147</f>
        <v>3800.5784999999996</v>
      </c>
      <c r="H30" s="16">
        <v>2.25</v>
      </c>
      <c r="I30" s="62">
        <f>Submetering!AE30+Submetering!AD30+Submetering!H30</f>
        <v>756</v>
      </c>
      <c r="J30" s="63">
        <v>9.1199999999999992</v>
      </c>
      <c r="K30" s="62">
        <f>ELECT.!B32</f>
        <v>360</v>
      </c>
    </row>
    <row r="31" spans="1:13" x14ac:dyDescent="0.2">
      <c r="A31" s="76" t="s">
        <v>59</v>
      </c>
      <c r="B31" s="81">
        <f t="shared" si="0"/>
        <v>30</v>
      </c>
      <c r="C31" s="81">
        <v>1</v>
      </c>
      <c r="D31" s="81">
        <v>2019</v>
      </c>
      <c r="E31" s="6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75560.406343999988</v>
      </c>
      <c r="F31" s="16">
        <v>1.1499999999999999</v>
      </c>
      <c r="G31" s="62">
        <f>Gas!C33*0.9147</f>
        <v>5027.1912000000002</v>
      </c>
      <c r="H31" s="16">
        <v>2.25</v>
      </c>
      <c r="I31" s="62">
        <f>Submetering!AE31+Submetering!AD31+Submetering!H31</f>
        <v>885.99999999999989</v>
      </c>
      <c r="J31" s="63">
        <v>9.1199999999999992</v>
      </c>
      <c r="K31" s="62">
        <f>ELECT.!B33</f>
        <v>331</v>
      </c>
    </row>
    <row r="32" spans="1:13" x14ac:dyDescent="0.2">
      <c r="A32" s="76" t="s">
        <v>59</v>
      </c>
      <c r="B32" s="81">
        <v>31</v>
      </c>
      <c r="C32" s="81">
        <v>1</v>
      </c>
      <c r="D32" s="81">
        <v>2019</v>
      </c>
      <c r="E32" s="6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21398.546208</v>
      </c>
      <c r="F32" s="16">
        <v>1.1499999999999999</v>
      </c>
      <c r="G32" s="62">
        <f>Gas!C34*0.9147</f>
        <v>1984.8989999999999</v>
      </c>
      <c r="H32" s="16">
        <v>2.25</v>
      </c>
      <c r="I32" s="62">
        <f>Submetering!AE32+Submetering!AD32+Submetering!H32</f>
        <v>1005.9999999999999</v>
      </c>
      <c r="J32" s="63">
        <v>9.1199999999999992</v>
      </c>
      <c r="K32" s="62">
        <f>ELECT.!B34</f>
        <v>358</v>
      </c>
    </row>
    <row r="33" spans="5:5" x14ac:dyDescent="0.2">
      <c r="E33" s="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5"/>
  <sheetViews>
    <sheetView zoomScale="85" zoomScaleNormal="85" workbookViewId="0">
      <selection activeCell="AE2" sqref="AE2"/>
    </sheetView>
  </sheetViews>
  <sheetFormatPr defaultColWidth="11.5703125" defaultRowHeight="12.75" x14ac:dyDescent="0.2"/>
  <cols>
    <col min="1" max="1" width="15.85546875" style="76" bestFit="1" customWidth="1"/>
    <col min="2" max="3" width="11.5703125" style="81"/>
    <col min="4" max="4" width="13.42578125" style="81" customWidth="1"/>
    <col min="5" max="17" width="12.5703125" style="62" customWidth="1"/>
    <col min="18" max="23" width="12.5703125" style="63" customWidth="1"/>
    <col min="24" max="25" width="11.5703125" style="60"/>
    <col min="27" max="27" width="13.7109375" bestFit="1" customWidth="1"/>
    <col min="28" max="28" width="13.5703125" bestFit="1" customWidth="1"/>
    <col min="30" max="30" width="15.5703125" customWidth="1"/>
  </cols>
  <sheetData>
    <row r="1" spans="1:31" s="59" customFormat="1" ht="60" x14ac:dyDescent="0.25">
      <c r="A1" s="75" t="s">
        <v>51</v>
      </c>
      <c r="B1" s="79" t="s">
        <v>0</v>
      </c>
      <c r="C1" s="79" t="s">
        <v>52</v>
      </c>
      <c r="D1" s="79" t="s">
        <v>53</v>
      </c>
      <c r="E1" s="80" t="s">
        <v>70</v>
      </c>
      <c r="F1" s="80" t="s">
        <v>71</v>
      </c>
      <c r="G1" s="80" t="s">
        <v>72</v>
      </c>
      <c r="H1" s="80" t="s">
        <v>73</v>
      </c>
      <c r="I1" s="80" t="s">
        <v>63</v>
      </c>
      <c r="J1" s="80" t="s">
        <v>62</v>
      </c>
      <c r="K1" s="80" t="s">
        <v>61</v>
      </c>
      <c r="L1" s="80" t="s">
        <v>64</v>
      </c>
      <c r="M1" s="80" t="s">
        <v>65</v>
      </c>
      <c r="N1" s="80" t="s">
        <v>66</v>
      </c>
      <c r="O1" s="80" t="s">
        <v>67</v>
      </c>
      <c r="P1" s="80" t="s">
        <v>68</v>
      </c>
      <c r="Q1" s="80" t="s">
        <v>82</v>
      </c>
      <c r="R1" s="82" t="s">
        <v>74</v>
      </c>
      <c r="S1" s="82" t="s">
        <v>75</v>
      </c>
      <c r="T1" s="82" t="s">
        <v>76</v>
      </c>
      <c r="U1" s="82" t="s">
        <v>77</v>
      </c>
      <c r="V1" s="82" t="s">
        <v>78</v>
      </c>
      <c r="W1" s="82" t="s">
        <v>79</v>
      </c>
      <c r="X1" s="77" t="s">
        <v>58</v>
      </c>
      <c r="Y1" s="88" t="s">
        <v>120</v>
      </c>
      <c r="Z1" s="59" t="s">
        <v>121</v>
      </c>
      <c r="AA1" s="59" t="s">
        <v>122</v>
      </c>
      <c r="AB1" s="59" t="s">
        <v>123</v>
      </c>
      <c r="AC1" s="59" t="s">
        <v>124</v>
      </c>
      <c r="AD1" s="89" t="s">
        <v>125</v>
      </c>
      <c r="AE1" s="89" t="s">
        <v>126</v>
      </c>
    </row>
    <row r="2" spans="1:31" x14ac:dyDescent="0.2">
      <c r="A2" s="76" t="s">
        <v>59</v>
      </c>
      <c r="B2" s="81">
        <v>1</v>
      </c>
      <c r="C2" s="81">
        <v>1</v>
      </c>
      <c r="D2" s="81">
        <v>2019</v>
      </c>
      <c r="E2" s="62">
        <f>Water!C4</f>
        <v>1060</v>
      </c>
      <c r="F2" s="62">
        <f>Water!E4</f>
        <v>558.9</v>
      </c>
      <c r="G2" s="62">
        <f>Water!G4</f>
        <v>475.2</v>
      </c>
      <c r="H2" s="62">
        <f>Water!I4</f>
        <v>5.2110000000000003</v>
      </c>
      <c r="I2" s="62">
        <f>ELECT.!F4</f>
        <v>17864</v>
      </c>
      <c r="J2" s="62">
        <f>ELECT.!H4</f>
        <v>55718</v>
      </c>
      <c r="K2" s="62">
        <f>ELECT.!K4</f>
        <v>7382</v>
      </c>
      <c r="L2" s="62">
        <f>ELECT.!M4</f>
        <v>8059</v>
      </c>
      <c r="M2" s="62">
        <f>ELECT.!O4</f>
        <v>9720</v>
      </c>
      <c r="N2" s="62">
        <f>ELECT.!Q4</f>
        <v>4854</v>
      </c>
      <c r="O2" s="62">
        <f>ELECT.!S4</f>
        <v>13613</v>
      </c>
      <c r="P2" s="62">
        <f>ELECT.!W4*2</f>
        <v>29888</v>
      </c>
      <c r="Q2" s="62">
        <f>ELECT.!D4</f>
        <v>1280</v>
      </c>
      <c r="R2" s="63">
        <f>BTU!C3</f>
        <v>3.9120000000002619</v>
      </c>
      <c r="S2" s="63">
        <f>BTU!F3</f>
        <v>0.64400000000000546</v>
      </c>
      <c r="T2" s="63">
        <f>BTU!I3</f>
        <v>0</v>
      </c>
      <c r="U2" s="63">
        <f>BTU!O3</f>
        <v>1.1559999999999491</v>
      </c>
      <c r="V2" s="63">
        <f>BTU!L3</f>
        <v>0.3999999999996362</v>
      </c>
      <c r="W2" s="63">
        <f>BTU!R3</f>
        <v>0.11999999999989086</v>
      </c>
      <c r="X2" s="60">
        <f>ELECT.!B4</f>
        <v>265</v>
      </c>
      <c r="Y2" s="60">
        <f>I2+J2-(K2+L2+M2+N2+O2+P2)</f>
        <v>66</v>
      </c>
      <c r="Z2">
        <f>'Mall, Citadel, Rotana'!C4+'Mall, Citadel, Rotana'!E4+'Mall, Citadel, Rotana'!G4+'Mall, Citadel, Rotana'!I4</f>
        <v>1173</v>
      </c>
      <c r="AA2">
        <f>'Mall, Citadel, Rotana'!K4+'Mall, Citadel, Rotana'!M4</f>
        <v>160</v>
      </c>
      <c r="AB2">
        <f>'Mall, Citadel, Rotana'!O4</f>
        <v>3</v>
      </c>
      <c r="AC2">
        <f>'Mall, Citadel, Rotana'!Q4+'Mall, Citadel, Rotana'!S4</f>
        <v>63</v>
      </c>
      <c r="AD2" s="60">
        <f>(E2-H2-194)*0.1318</f>
        <v>113.4519902</v>
      </c>
      <c r="AE2" s="60">
        <f>E2-H2-AD2-194</f>
        <v>747.33700980000003</v>
      </c>
    </row>
    <row r="3" spans="1:31" x14ac:dyDescent="0.2">
      <c r="A3" s="76" t="s">
        <v>59</v>
      </c>
      <c r="B3" s="81">
        <f>B2+1</f>
        <v>2</v>
      </c>
      <c r="C3" s="81">
        <v>1</v>
      </c>
      <c r="D3" s="81">
        <v>2019</v>
      </c>
      <c r="E3" s="62">
        <f>Water!C5</f>
        <v>650</v>
      </c>
      <c r="F3" s="62">
        <f>Water!E5</f>
        <v>610.20000000000005</v>
      </c>
      <c r="G3" s="62">
        <f>Water!G5</f>
        <v>594</v>
      </c>
      <c r="H3" s="62">
        <f>Water!I5</f>
        <v>5.859</v>
      </c>
      <c r="I3" s="62">
        <f>ELECT.!F5</f>
        <v>11858</v>
      </c>
      <c r="J3" s="62">
        <f>ELECT.!H5</f>
        <v>36170</v>
      </c>
      <c r="K3" s="62">
        <f>ELECT.!K5</f>
        <v>3946</v>
      </c>
      <c r="L3" s="62">
        <f>ELECT.!M5</f>
        <v>5246</v>
      </c>
      <c r="M3" s="62">
        <f>ELECT.!O5</f>
        <v>6454</v>
      </c>
      <c r="N3" s="62">
        <f>ELECT.!Q5</f>
        <v>1773</v>
      </c>
      <c r="O3" s="62">
        <f>ELECT.!S5</f>
        <v>8939</v>
      </c>
      <c r="P3" s="62">
        <f>ELECT.!W5*2</f>
        <v>19878</v>
      </c>
      <c r="Q3" s="62">
        <f>ELECT.!D5</f>
        <v>1280</v>
      </c>
      <c r="R3" s="63">
        <f>BTU!C4</f>
        <v>3.7709999999988213</v>
      </c>
      <c r="S3" s="63">
        <f>BTU!F4</f>
        <v>0.58400000000006003</v>
      </c>
      <c r="T3" s="63">
        <f>BTU!I4</f>
        <v>0</v>
      </c>
      <c r="U3" s="63">
        <f>BTU!O4</f>
        <v>1.1089999999999236</v>
      </c>
      <c r="V3" s="63">
        <f>BTU!L4</f>
        <v>0.28000000000065484</v>
      </c>
      <c r="W3" s="63" t="str">
        <f>BTU!R4</f>
        <v>0</v>
      </c>
      <c r="X3" s="60">
        <f>ELECT.!B5</f>
        <v>284</v>
      </c>
      <c r="Y3" s="60">
        <f t="shared" ref="Y3:Y31" si="0">I3+J3-(K3+L3+M3+N3+O3+P3)</f>
        <v>1792</v>
      </c>
      <c r="Z3">
        <f>'Mall, Citadel, Rotana'!C5+'Mall, Citadel, Rotana'!E5+'Mall, Citadel, Rotana'!G5+'Mall, Citadel, Rotana'!I5</f>
        <v>1213</v>
      </c>
      <c r="AA3">
        <f>'Mall, Citadel, Rotana'!K5+'Mall, Citadel, Rotana'!M5</f>
        <v>960</v>
      </c>
      <c r="AB3">
        <f>'Mall, Citadel, Rotana'!O5</f>
        <v>3</v>
      </c>
      <c r="AC3">
        <f>'Mall, Citadel, Rotana'!Q5+'Mall, Citadel, Rotana'!S5</f>
        <v>11</v>
      </c>
      <c r="AD3" s="60">
        <f t="shared" ref="AD3:AD31" si="1">(E3-H3-194)*0.1318</f>
        <v>59.328583799999997</v>
      </c>
      <c r="AE3" s="60">
        <f t="shared" ref="AE3:AE31" si="2">E3-H3-AD3-194</f>
        <v>390.81241619999992</v>
      </c>
    </row>
    <row r="4" spans="1:31" x14ac:dyDescent="0.2">
      <c r="A4" s="76" t="s">
        <v>59</v>
      </c>
      <c r="B4" s="81">
        <f t="shared" ref="B4:B31" si="3">B3+1</f>
        <v>3</v>
      </c>
      <c r="C4" s="81">
        <v>1</v>
      </c>
      <c r="D4" s="81">
        <v>2019</v>
      </c>
      <c r="E4" s="62">
        <f>Water!C6</f>
        <v>850</v>
      </c>
      <c r="F4" s="62">
        <f>Water!E6</f>
        <v>680.4</v>
      </c>
      <c r="G4" s="62">
        <f>Water!G6</f>
        <v>437.4</v>
      </c>
      <c r="H4" s="62">
        <f>Water!I6</f>
        <v>6.1559999999999997</v>
      </c>
      <c r="I4" s="62">
        <f>ELECT.!F6</f>
        <v>18769</v>
      </c>
      <c r="J4" s="62">
        <f>ELECT.!H6</f>
        <v>58620</v>
      </c>
      <c r="K4" s="62">
        <f>ELECT.!K6</f>
        <v>6404</v>
      </c>
      <c r="L4" s="62">
        <f>ELECT.!M6</f>
        <v>8034</v>
      </c>
      <c r="M4" s="62">
        <f>ELECT.!O6</f>
        <v>10540</v>
      </c>
      <c r="N4" s="62">
        <f>ELECT.!Q6</f>
        <v>4209</v>
      </c>
      <c r="O4" s="62">
        <f>ELECT.!S6</f>
        <v>15258</v>
      </c>
      <c r="P4" s="62">
        <f>ELECT.!W6*2</f>
        <v>31760</v>
      </c>
      <c r="Q4" s="62">
        <f>ELECT.!D6</f>
        <v>1280</v>
      </c>
      <c r="R4" s="63">
        <f>BTU!C5</f>
        <v>3.3440000000009604</v>
      </c>
      <c r="S4" s="63">
        <f>BTU!F5</f>
        <v>0.5989999999999327</v>
      </c>
      <c r="T4" s="63">
        <f>BTU!I5</f>
        <v>0</v>
      </c>
      <c r="U4" s="63">
        <f>BTU!O5</f>
        <v>0.65300000000002001</v>
      </c>
      <c r="V4" s="63">
        <f>BTU!L5</f>
        <v>0.61000000000058208</v>
      </c>
      <c r="W4" s="63">
        <f>BTU!R5</f>
        <v>5.0000000000181899E-2</v>
      </c>
      <c r="X4" s="60">
        <f>ELECT.!B6</f>
        <v>316</v>
      </c>
      <c r="Y4" s="60">
        <f t="shared" si="0"/>
        <v>1184</v>
      </c>
      <c r="Z4">
        <f>'Mall, Citadel, Rotana'!C6+'Mall, Citadel, Rotana'!E6+'Mall, Citadel, Rotana'!G6+'Mall, Citadel, Rotana'!I6</f>
        <v>1437</v>
      </c>
      <c r="AA4">
        <f>'Mall, Citadel, Rotana'!K6+'Mall, Citadel, Rotana'!M6</f>
        <v>640</v>
      </c>
      <c r="AB4">
        <f>'Mall, Citadel, Rotana'!O6</f>
        <v>3</v>
      </c>
      <c r="AC4">
        <f>'Mall, Citadel, Rotana'!Q6+'Mall, Citadel, Rotana'!S6</f>
        <v>504</v>
      </c>
      <c r="AD4" s="60">
        <f t="shared" si="1"/>
        <v>85.649439200000003</v>
      </c>
      <c r="AE4" s="60">
        <f t="shared" si="2"/>
        <v>564.19456080000009</v>
      </c>
    </row>
    <row r="5" spans="1:31" x14ac:dyDescent="0.2">
      <c r="A5" s="76" t="s">
        <v>59</v>
      </c>
      <c r="B5" s="81">
        <f t="shared" si="3"/>
        <v>4</v>
      </c>
      <c r="C5" s="81">
        <v>1</v>
      </c>
      <c r="D5" s="81">
        <v>2019</v>
      </c>
      <c r="E5" s="62">
        <f>Water!C7</f>
        <v>1380</v>
      </c>
      <c r="F5" s="62">
        <f>Water!E7</f>
        <v>488.7</v>
      </c>
      <c r="G5" s="62">
        <f>Water!G7</f>
        <v>237.6</v>
      </c>
      <c r="H5" s="62">
        <f>Water!I7</f>
        <v>4.266</v>
      </c>
      <c r="I5" s="62">
        <f>ELECT.!F7</f>
        <v>14786</v>
      </c>
      <c r="J5" s="62">
        <f>ELECT.!H7</f>
        <v>47759</v>
      </c>
      <c r="K5" s="62">
        <f>ELECT.!K7</f>
        <v>5284</v>
      </c>
      <c r="L5" s="62">
        <f>ELECT.!M7</f>
        <v>6069</v>
      </c>
      <c r="M5" s="62">
        <f>ELECT.!O7</f>
        <v>8492</v>
      </c>
      <c r="N5" s="62">
        <f>ELECT.!Q7</f>
        <v>3724</v>
      </c>
      <c r="O5" s="62">
        <f>ELECT.!S7</f>
        <v>12163</v>
      </c>
      <c r="P5" s="62">
        <f>ELECT.!W7*2</f>
        <v>25674</v>
      </c>
      <c r="Q5" s="62">
        <f>ELECT.!D7</f>
        <v>1280</v>
      </c>
      <c r="R5" s="63">
        <f>BTU!C6</f>
        <v>3.5280000000002474</v>
      </c>
      <c r="S5" s="63">
        <f>BTU!F6</f>
        <v>0.41399999999998727</v>
      </c>
      <c r="T5" s="63">
        <f>BTU!I6</f>
        <v>0</v>
      </c>
      <c r="U5" s="63">
        <f>BTU!O6</f>
        <v>0.95000000000004547</v>
      </c>
      <c r="V5" s="63">
        <f>BTU!L6</f>
        <v>7.999999999992724E-2</v>
      </c>
      <c r="W5" s="63">
        <f>BTU!R6</f>
        <v>0</v>
      </c>
      <c r="X5" s="60">
        <f>ELECT.!B7</f>
        <v>316</v>
      </c>
      <c r="Y5" s="60">
        <f t="shared" si="0"/>
        <v>1139</v>
      </c>
      <c r="Z5">
        <f>'Mall, Citadel, Rotana'!C7+'Mall, Citadel, Rotana'!E7+'Mall, Citadel, Rotana'!G7+'Mall, Citadel, Rotana'!I7</f>
        <v>1010</v>
      </c>
      <c r="AA5">
        <f>'Mall, Citadel, Rotana'!K7+'Mall, Citadel, Rotana'!M7</f>
        <v>640</v>
      </c>
      <c r="AB5">
        <f>'Mall, Citadel, Rotana'!O7</f>
        <v>2</v>
      </c>
      <c r="AC5">
        <f>'Mall, Citadel, Rotana'!Q7+'Mall, Citadel, Rotana'!S7</f>
        <v>13</v>
      </c>
      <c r="AD5" s="60">
        <f t="shared" si="1"/>
        <v>155.7525412</v>
      </c>
      <c r="AE5" s="60">
        <f t="shared" si="2"/>
        <v>1025.9814587999999</v>
      </c>
    </row>
    <row r="6" spans="1:31" x14ac:dyDescent="0.2">
      <c r="A6" s="76" t="s">
        <v>59</v>
      </c>
      <c r="B6" s="81">
        <f t="shared" si="3"/>
        <v>5</v>
      </c>
      <c r="C6" s="81">
        <v>1</v>
      </c>
      <c r="D6" s="81">
        <v>2019</v>
      </c>
      <c r="E6" s="62">
        <f>Water!C8</f>
        <v>1210</v>
      </c>
      <c r="F6" s="62">
        <f>Water!E8</f>
        <v>629.1</v>
      </c>
      <c r="G6" s="62">
        <f>Water!G8</f>
        <v>432</v>
      </c>
      <c r="H6" s="62">
        <f>Water!I8</f>
        <v>6.399</v>
      </c>
      <c r="I6" s="62">
        <f>ELECT.!F8</f>
        <v>12510</v>
      </c>
      <c r="J6" s="62">
        <f>ELECT.!H8</f>
        <v>39358</v>
      </c>
      <c r="K6" s="62">
        <f>ELECT.!K8</f>
        <v>5528</v>
      </c>
      <c r="L6" s="62">
        <f>ELECT.!M8</f>
        <v>5481</v>
      </c>
      <c r="M6" s="62">
        <f>ELECT.!O8</f>
        <v>6906</v>
      </c>
      <c r="N6" s="62">
        <f>ELECT.!Q8</f>
        <v>3549</v>
      </c>
      <c r="O6" s="62">
        <f>ELECT.!S8</f>
        <v>9541</v>
      </c>
      <c r="P6" s="62">
        <f>ELECT.!W8*2</f>
        <v>20786</v>
      </c>
      <c r="Q6" s="62">
        <f>ELECT.!D8</f>
        <v>1280</v>
      </c>
      <c r="R6" s="63">
        <f>BTU!C7</f>
        <v>3.8629999999993743</v>
      </c>
      <c r="S6" s="63">
        <f>BTU!F7</f>
        <v>0.57500000000004547</v>
      </c>
      <c r="T6" s="63">
        <f>BTU!I7</f>
        <v>1.3000000000033651E-2</v>
      </c>
      <c r="U6" s="63">
        <f>BTU!O7</f>
        <v>0.99600000000009459</v>
      </c>
      <c r="V6" s="63">
        <f>BTU!L7</f>
        <v>0.18999999999869033</v>
      </c>
      <c r="W6" s="63">
        <f>BTU!R7</f>
        <v>0</v>
      </c>
      <c r="X6" s="60">
        <f>ELECT.!B8</f>
        <v>318</v>
      </c>
      <c r="Y6" s="60">
        <f t="shared" si="0"/>
        <v>77</v>
      </c>
      <c r="Z6">
        <f>'Mall, Citadel, Rotana'!C8+'Mall, Citadel, Rotana'!E8+'Mall, Citadel, Rotana'!G8+'Mall, Citadel, Rotana'!I8</f>
        <v>1339</v>
      </c>
      <c r="AA6">
        <f>'Mall, Citadel, Rotana'!K8+'Mall, Citadel, Rotana'!M8</f>
        <v>320</v>
      </c>
      <c r="AB6">
        <f>'Mall, Citadel, Rotana'!O8</f>
        <v>4</v>
      </c>
      <c r="AC6">
        <f>'Mall, Citadel, Rotana'!Q8+'Mall, Citadel, Rotana'!S8</f>
        <v>207</v>
      </c>
      <c r="AD6" s="60">
        <f t="shared" si="1"/>
        <v>133.06541180000002</v>
      </c>
      <c r="AE6" s="60">
        <f t="shared" si="2"/>
        <v>876.53558820000012</v>
      </c>
    </row>
    <row r="7" spans="1:31" x14ac:dyDescent="0.2">
      <c r="A7" s="76" t="s">
        <v>59</v>
      </c>
      <c r="B7" s="81">
        <f t="shared" si="3"/>
        <v>6</v>
      </c>
      <c r="C7" s="81">
        <v>1</v>
      </c>
      <c r="D7" s="81">
        <v>2019</v>
      </c>
      <c r="E7" s="62">
        <f>Water!C9</f>
        <v>1130</v>
      </c>
      <c r="F7" s="62">
        <f>Water!E9</f>
        <v>631.79999999999995</v>
      </c>
      <c r="G7" s="62">
        <f>Water!G9</f>
        <v>324</v>
      </c>
      <c r="H7" s="62">
        <f>Water!I9</f>
        <v>6.5339999999999998</v>
      </c>
      <c r="I7" s="62">
        <f>ELECT.!F9</f>
        <v>11373</v>
      </c>
      <c r="J7" s="62">
        <f>ELECT.!H9</f>
        <v>36395</v>
      </c>
      <c r="K7" s="62">
        <f>ELECT.!K9</f>
        <v>5211</v>
      </c>
      <c r="L7" s="62">
        <f>ELECT.!M9</f>
        <v>4915</v>
      </c>
      <c r="M7" s="62">
        <f>ELECT.!O9</f>
        <v>6320</v>
      </c>
      <c r="N7" s="62">
        <f>ELECT.!Q9</f>
        <v>2191</v>
      </c>
      <c r="O7" s="62">
        <f>ELECT.!S9</f>
        <v>8749</v>
      </c>
      <c r="P7" s="62">
        <f>ELECT.!W9*2</f>
        <v>19048</v>
      </c>
      <c r="Q7" s="62">
        <f>ELECT.!D9</f>
        <v>1280</v>
      </c>
      <c r="R7" s="63">
        <f>BTU!C8</f>
        <v>3.5720000000001164</v>
      </c>
      <c r="S7" s="63">
        <f>BTU!F8</f>
        <v>0.52899999999999636</v>
      </c>
      <c r="T7" s="63">
        <f>BTU!I8</f>
        <v>0</v>
      </c>
      <c r="U7" s="63">
        <f>BTU!O8</f>
        <v>1.0019999999999527</v>
      </c>
      <c r="V7" s="63">
        <f>BTU!L8</f>
        <v>0</v>
      </c>
      <c r="W7" s="63">
        <f>BTU!R8</f>
        <v>0</v>
      </c>
      <c r="X7" s="60">
        <f>ELECT.!B9</f>
        <v>270</v>
      </c>
      <c r="Y7" s="60">
        <f t="shared" si="0"/>
        <v>1334</v>
      </c>
      <c r="Z7">
        <f>'Mall, Citadel, Rotana'!C9+'Mall, Citadel, Rotana'!E9+'Mall, Citadel, Rotana'!G9+'Mall, Citadel, Rotana'!I9</f>
        <v>1316</v>
      </c>
      <c r="AA7">
        <f>'Mall, Citadel, Rotana'!K9+'Mall, Citadel, Rotana'!M9</f>
        <v>800</v>
      </c>
      <c r="AB7">
        <f>'Mall, Citadel, Rotana'!O9</f>
        <v>3</v>
      </c>
      <c r="AC7">
        <f>'Mall, Citadel, Rotana'!Q9+'Mall, Citadel, Rotana'!S9</f>
        <v>200</v>
      </c>
      <c r="AD7" s="60">
        <f t="shared" si="1"/>
        <v>122.50361879999998</v>
      </c>
      <c r="AE7" s="60">
        <f t="shared" si="2"/>
        <v>806.96238119999987</v>
      </c>
    </row>
    <row r="8" spans="1:31" x14ac:dyDescent="0.2">
      <c r="A8" s="76" t="s">
        <v>59</v>
      </c>
      <c r="B8" s="81">
        <f t="shared" si="3"/>
        <v>7</v>
      </c>
      <c r="C8" s="81">
        <v>1</v>
      </c>
      <c r="D8" s="81">
        <v>2019</v>
      </c>
      <c r="E8" s="62">
        <f>Water!C10</f>
        <v>1170</v>
      </c>
      <c r="F8" s="62">
        <f>Water!E10</f>
        <v>669.6</v>
      </c>
      <c r="G8" s="62">
        <f>Water!G10</f>
        <v>321.3</v>
      </c>
      <c r="H8" s="62">
        <f>Water!I10</f>
        <v>6.21</v>
      </c>
      <c r="I8" s="62">
        <f>ELECT.!F10</f>
        <v>16709</v>
      </c>
      <c r="J8" s="62">
        <f>ELECT.!H10</f>
        <v>53966</v>
      </c>
      <c r="K8" s="62">
        <f>ELECT.!K10</f>
        <v>6062</v>
      </c>
      <c r="L8" s="62">
        <f>ELECT.!M10</f>
        <v>7272</v>
      </c>
      <c r="M8" s="62">
        <f>ELECT.!O10</f>
        <v>9244</v>
      </c>
      <c r="N8" s="62">
        <f>ELECT.!Q10</f>
        <v>4094</v>
      </c>
      <c r="O8" s="62">
        <f>ELECT.!S10</f>
        <v>13987</v>
      </c>
      <c r="P8" s="62">
        <f>ELECT.!W10*2</f>
        <v>28950</v>
      </c>
      <c r="Q8" s="62">
        <f>ELECT.!D10</f>
        <v>1280</v>
      </c>
      <c r="R8" s="63">
        <f>BTU!C9</f>
        <v>3.7669999999998254</v>
      </c>
      <c r="S8" s="63">
        <f>BTU!F9</f>
        <v>0.42699999999990723</v>
      </c>
      <c r="T8" s="63">
        <f>BTU!I9</f>
        <v>0</v>
      </c>
      <c r="U8" s="63">
        <f>BTU!O9</f>
        <v>0.69799999999986539</v>
      </c>
      <c r="V8" s="63">
        <f>BTU!L9</f>
        <v>0.1000000000003638</v>
      </c>
      <c r="W8" s="63">
        <f>BTU!R9</f>
        <v>0</v>
      </c>
      <c r="X8" s="60">
        <f>ELECT.!B10</f>
        <v>258</v>
      </c>
      <c r="Y8" s="60">
        <f t="shared" si="0"/>
        <v>1066</v>
      </c>
      <c r="Z8">
        <f>'Mall, Citadel, Rotana'!C10+'Mall, Citadel, Rotana'!E10+'Mall, Citadel, Rotana'!G10+'Mall, Citadel, Rotana'!I10</f>
        <v>1011</v>
      </c>
      <c r="AA8">
        <f>'Mall, Citadel, Rotana'!K10+'Mall, Citadel, Rotana'!M10</f>
        <v>480</v>
      </c>
      <c r="AB8">
        <f>'Mall, Citadel, Rotana'!O10</f>
        <v>3</v>
      </c>
      <c r="AC8">
        <f>'Mall, Citadel, Rotana'!Q10+'Mall, Citadel, Rotana'!S10</f>
        <v>203</v>
      </c>
      <c r="AD8" s="60">
        <f t="shared" si="1"/>
        <v>127.81832199999999</v>
      </c>
      <c r="AE8" s="60">
        <f t="shared" si="2"/>
        <v>841.97167799999988</v>
      </c>
    </row>
    <row r="9" spans="1:31" x14ac:dyDescent="0.2">
      <c r="A9" s="76" t="s">
        <v>59</v>
      </c>
      <c r="B9" s="81">
        <f t="shared" si="3"/>
        <v>8</v>
      </c>
      <c r="C9" s="81">
        <v>1</v>
      </c>
      <c r="D9" s="81">
        <v>2019</v>
      </c>
      <c r="E9" s="62">
        <f>Water!C11</f>
        <v>870</v>
      </c>
      <c r="F9" s="62">
        <f>Water!E11</f>
        <v>464.4</v>
      </c>
      <c r="G9" s="62">
        <f>Water!G11</f>
        <v>245.7</v>
      </c>
      <c r="H9" s="62">
        <f>Water!I11</f>
        <v>5.9130000000000003</v>
      </c>
      <c r="I9" s="62">
        <f>ELECT.!F11</f>
        <v>13023</v>
      </c>
      <c r="J9" s="62">
        <f>ELECT.!H11</f>
        <v>41880</v>
      </c>
      <c r="K9" s="62">
        <f>ELECT.!K11</f>
        <v>4807</v>
      </c>
      <c r="L9" s="62">
        <f>ELECT.!M11</f>
        <v>5800</v>
      </c>
      <c r="M9" s="62">
        <f>ELECT.!O11</f>
        <v>7054</v>
      </c>
      <c r="N9" s="62">
        <f>ELECT.!Q11</f>
        <v>3705</v>
      </c>
      <c r="O9" s="62">
        <f>ELECT.!S11</f>
        <v>10755</v>
      </c>
      <c r="P9" s="62">
        <f>ELECT.!W11*2</f>
        <v>22518</v>
      </c>
      <c r="Q9" s="62">
        <f>ELECT.!D11</f>
        <v>1280</v>
      </c>
      <c r="R9" s="63">
        <f>BTU!C10</f>
        <v>3.3150000000005093</v>
      </c>
      <c r="S9" s="63">
        <f>BTU!F10</f>
        <v>0.64200000000005275</v>
      </c>
      <c r="T9" s="63">
        <f>BTU!I10</f>
        <v>0</v>
      </c>
      <c r="U9" s="63">
        <f>BTU!O10</f>
        <v>0.86700000000018917</v>
      </c>
      <c r="V9" s="63">
        <f>BTU!L10</f>
        <v>0</v>
      </c>
      <c r="W9" s="63">
        <f>BTU!R10</f>
        <v>0</v>
      </c>
      <c r="X9" s="60">
        <f>ELECT.!B11</f>
        <v>263</v>
      </c>
      <c r="Y9" s="60">
        <f t="shared" si="0"/>
        <v>264</v>
      </c>
      <c r="Z9">
        <f>'Mall, Citadel, Rotana'!C11+'Mall, Citadel, Rotana'!E11+'Mall, Citadel, Rotana'!G11+'Mall, Citadel, Rotana'!I11</f>
        <v>1474</v>
      </c>
      <c r="AA9">
        <f>'Mall, Citadel, Rotana'!K11+'Mall, Citadel, Rotana'!M11</f>
        <v>640</v>
      </c>
      <c r="AB9">
        <f>'Mall, Citadel, Rotana'!O11</f>
        <v>3</v>
      </c>
      <c r="AC9">
        <f>'Mall, Citadel, Rotana'!Q11+'Mall, Citadel, Rotana'!S11</f>
        <v>205</v>
      </c>
      <c r="AD9" s="60">
        <f t="shared" si="1"/>
        <v>88.317466600000003</v>
      </c>
      <c r="AE9" s="60">
        <f t="shared" si="2"/>
        <v>581.7695334</v>
      </c>
    </row>
    <row r="10" spans="1:31" x14ac:dyDescent="0.2">
      <c r="A10" s="76" t="s">
        <v>59</v>
      </c>
      <c r="B10" s="81">
        <f t="shared" si="3"/>
        <v>9</v>
      </c>
      <c r="C10" s="81">
        <v>1</v>
      </c>
      <c r="D10" s="81">
        <v>2019</v>
      </c>
      <c r="E10" s="62">
        <f>Water!C12</f>
        <v>1270</v>
      </c>
      <c r="F10" s="62">
        <f>Water!E12</f>
        <v>604.79999999999995</v>
      </c>
      <c r="G10" s="62">
        <f>Water!G12</f>
        <v>391.5</v>
      </c>
      <c r="H10" s="62">
        <f>Water!I12</f>
        <v>6.5069999999999997</v>
      </c>
      <c r="I10" s="62">
        <f>ELECT.!F12</f>
        <v>15086</v>
      </c>
      <c r="J10" s="62">
        <f>ELECT.!H12</f>
        <v>50331</v>
      </c>
      <c r="K10" s="62">
        <f>ELECT.!K12</f>
        <v>6176</v>
      </c>
      <c r="L10" s="62">
        <f>ELECT.!M12</f>
        <v>6658</v>
      </c>
      <c r="M10" s="62">
        <f>ELECT.!O12</f>
        <v>8266</v>
      </c>
      <c r="N10" s="62">
        <f>ELECT.!Q12</f>
        <v>2913</v>
      </c>
      <c r="O10" s="62">
        <f>ELECT.!S12</f>
        <v>13078</v>
      </c>
      <c r="P10" s="62">
        <f>ELECT.!W12*2</f>
        <v>27256</v>
      </c>
      <c r="Q10" s="62">
        <f>ELECT.!D12</f>
        <v>1280</v>
      </c>
      <c r="R10" s="63">
        <f>BTU!C11</f>
        <v>2.3999999999996362</v>
      </c>
      <c r="S10" s="63">
        <f>BTU!F11</f>
        <v>0.52499999999986358</v>
      </c>
      <c r="T10" s="63">
        <f>BTU!I11</f>
        <v>1.9000000000005457E-2</v>
      </c>
      <c r="U10" s="63">
        <f>BTU!O11</f>
        <v>0.69299999999998363</v>
      </c>
      <c r="V10" s="63">
        <f>BTU!L11</f>
        <v>3.0000000000654836E-2</v>
      </c>
      <c r="W10" s="63">
        <f>BTU!R11</f>
        <v>0</v>
      </c>
      <c r="X10" s="60">
        <f>ELECT.!B12</f>
        <v>263</v>
      </c>
      <c r="Y10" s="60">
        <f t="shared" si="0"/>
        <v>1070</v>
      </c>
      <c r="Z10">
        <f>'Mall, Citadel, Rotana'!C12+'Mall, Citadel, Rotana'!E12+'Mall, Citadel, Rotana'!G12+'Mall, Citadel, Rotana'!I12</f>
        <v>1352</v>
      </c>
      <c r="AA10">
        <f>'Mall, Citadel, Rotana'!K12+'Mall, Citadel, Rotana'!M12</f>
        <v>960</v>
      </c>
      <c r="AB10">
        <f>'Mall, Citadel, Rotana'!O12</f>
        <v>2</v>
      </c>
      <c r="AC10">
        <f>'Mall, Citadel, Rotana'!Q12+'Mall, Citadel, Rotana'!S12</f>
        <v>94</v>
      </c>
      <c r="AD10" s="60">
        <f t="shared" si="1"/>
        <v>140.95917739999999</v>
      </c>
      <c r="AE10" s="60">
        <f t="shared" si="2"/>
        <v>928.53382259999989</v>
      </c>
    </row>
    <row r="11" spans="1:31" x14ac:dyDescent="0.2">
      <c r="A11" s="76" t="s">
        <v>59</v>
      </c>
      <c r="B11" s="81">
        <f t="shared" si="3"/>
        <v>10</v>
      </c>
      <c r="C11" s="81">
        <v>1</v>
      </c>
      <c r="D11" s="81">
        <v>2019</v>
      </c>
      <c r="E11" s="62">
        <f>Water!C13</f>
        <v>1070</v>
      </c>
      <c r="F11" s="62">
        <f>Water!E13</f>
        <v>577.79999999999995</v>
      </c>
      <c r="G11" s="62">
        <f>Water!G13</f>
        <v>472.5</v>
      </c>
      <c r="H11" s="62">
        <f>Water!I13</f>
        <v>4.9139999999999997</v>
      </c>
      <c r="I11" s="62">
        <f>ELECT.!F13</f>
        <v>10136</v>
      </c>
      <c r="J11" s="62">
        <f>ELECT.!H13</f>
        <v>41739</v>
      </c>
      <c r="K11" s="62">
        <f>ELECT.!K13</f>
        <v>6014</v>
      </c>
      <c r="L11" s="62">
        <f>ELECT.!M13</f>
        <v>4592</v>
      </c>
      <c r="M11" s="62">
        <f>ELECT.!O13</f>
        <v>5420</v>
      </c>
      <c r="N11" s="62">
        <f>ELECT.!Q13</f>
        <v>3262</v>
      </c>
      <c r="O11" s="62">
        <f>ELECT.!S13</f>
        <v>9488</v>
      </c>
      <c r="P11" s="62">
        <f>ELECT.!W13*2</f>
        <v>21810</v>
      </c>
      <c r="Q11" s="62">
        <f>ELECT.!D13</f>
        <v>1280</v>
      </c>
      <c r="R11" s="63">
        <f>BTU!C12</f>
        <v>2.5669999999990978</v>
      </c>
      <c r="S11" s="63">
        <f>BTU!F12</f>
        <v>0.71900000000005093</v>
      </c>
      <c r="T11" s="63">
        <f>BTU!I12</f>
        <v>0</v>
      </c>
      <c r="U11" s="63">
        <f>BTU!O12</f>
        <v>0.46999999999979991</v>
      </c>
      <c r="V11" s="63">
        <f>BTU!L12</f>
        <v>0.13999999999941792</v>
      </c>
      <c r="W11" s="63">
        <f>BTU!R12</f>
        <v>0</v>
      </c>
      <c r="X11" s="60">
        <f>ELECT.!B13</f>
        <v>268</v>
      </c>
      <c r="Y11" s="60">
        <f t="shared" si="0"/>
        <v>1289</v>
      </c>
      <c r="Z11">
        <f>'Mall, Citadel, Rotana'!C13+'Mall, Citadel, Rotana'!E13+'Mall, Citadel, Rotana'!G13+'Mall, Citadel, Rotana'!I13</f>
        <v>1189</v>
      </c>
      <c r="AA11">
        <f>'Mall, Citadel, Rotana'!K13+'Mall, Citadel, Rotana'!M13</f>
        <v>960</v>
      </c>
      <c r="AB11">
        <f>'Mall, Citadel, Rotana'!O13</f>
        <v>3</v>
      </c>
      <c r="AC11">
        <f>'Mall, Citadel, Rotana'!Q13+'Mall, Citadel, Rotana'!S13</f>
        <v>98</v>
      </c>
      <c r="AD11" s="60">
        <f t="shared" si="1"/>
        <v>114.8091348</v>
      </c>
      <c r="AE11" s="60">
        <f t="shared" si="2"/>
        <v>756.27686519999997</v>
      </c>
    </row>
    <row r="12" spans="1:31" x14ac:dyDescent="0.2">
      <c r="A12" s="76" t="s">
        <v>59</v>
      </c>
      <c r="B12" s="81">
        <f t="shared" si="3"/>
        <v>11</v>
      </c>
      <c r="C12" s="81">
        <v>1</v>
      </c>
      <c r="D12" s="81">
        <v>2019</v>
      </c>
      <c r="E12" s="62">
        <f>Water!C14</f>
        <v>1040</v>
      </c>
      <c r="F12" s="62">
        <f>Water!E14</f>
        <v>545.4</v>
      </c>
      <c r="G12" s="62">
        <f>Water!G14</f>
        <v>364.5</v>
      </c>
      <c r="H12" s="62">
        <f>Water!I14</f>
        <v>3.1589999999999998</v>
      </c>
      <c r="I12" s="62">
        <f>ELECT.!F14</f>
        <v>18316</v>
      </c>
      <c r="J12" s="62">
        <f>ELECT.!H14</f>
        <v>65659</v>
      </c>
      <c r="K12" s="62">
        <f>ELECT.!K14</f>
        <v>7547</v>
      </c>
      <c r="L12" s="62">
        <f>ELECT.!M14</f>
        <v>7763</v>
      </c>
      <c r="M12" s="62">
        <f>ELECT.!O14</f>
        <v>10294</v>
      </c>
      <c r="N12" s="62">
        <f>ELECT.!Q14</f>
        <v>4622</v>
      </c>
      <c r="O12" s="62">
        <f>ELECT.!S14</f>
        <v>16248</v>
      </c>
      <c r="P12" s="62">
        <f>ELECT.!W14*2</f>
        <v>36024</v>
      </c>
      <c r="Q12" s="62">
        <f>ELECT.!D14</f>
        <v>1280</v>
      </c>
      <c r="R12" s="63">
        <f>BTU!C13</f>
        <v>3.1730000000006839</v>
      </c>
      <c r="S12" s="63">
        <f>BTU!F13</f>
        <v>0.50599999999985812</v>
      </c>
      <c r="T12" s="63">
        <f>BTU!I13</f>
        <v>2.8000000000020009E-2</v>
      </c>
      <c r="U12" s="63">
        <f>BTU!O13</f>
        <v>1.0060000000000855</v>
      </c>
      <c r="V12" s="63">
        <f>BTU!L13</f>
        <v>6.0000000001309672E-2</v>
      </c>
      <c r="W12" s="63">
        <f>BTU!R13</f>
        <v>0</v>
      </c>
      <c r="X12" s="60">
        <f>ELECT.!B14</f>
        <v>271</v>
      </c>
      <c r="Y12" s="60">
        <f t="shared" si="0"/>
        <v>1477</v>
      </c>
      <c r="Z12">
        <f>'Mall, Citadel, Rotana'!C14+'Mall, Citadel, Rotana'!E14+'Mall, Citadel, Rotana'!G14+'Mall, Citadel, Rotana'!I14</f>
        <v>747</v>
      </c>
      <c r="AA12">
        <f>'Mall, Citadel, Rotana'!K14+'Mall, Citadel, Rotana'!M14</f>
        <v>640</v>
      </c>
      <c r="AB12">
        <f>'Mall, Citadel, Rotana'!O14</f>
        <v>6</v>
      </c>
      <c r="AC12">
        <f>'Mall, Citadel, Rotana'!Q14+'Mall, Citadel, Rotana'!S14</f>
        <v>102</v>
      </c>
      <c r="AD12" s="60">
        <f t="shared" si="1"/>
        <v>111.08644379999998</v>
      </c>
      <c r="AE12" s="60">
        <f t="shared" si="2"/>
        <v>731.75455619999991</v>
      </c>
    </row>
    <row r="13" spans="1:31" x14ac:dyDescent="0.2">
      <c r="A13" s="76" t="s">
        <v>59</v>
      </c>
      <c r="B13" s="81">
        <f t="shared" si="3"/>
        <v>12</v>
      </c>
      <c r="C13" s="81">
        <v>1</v>
      </c>
      <c r="D13" s="81">
        <v>2019</v>
      </c>
      <c r="E13" s="62">
        <f>Water!C15</f>
        <v>1110</v>
      </c>
      <c r="F13" s="62">
        <f>Water!E15</f>
        <v>575.1</v>
      </c>
      <c r="G13" s="62">
        <f>Water!G15</f>
        <v>391.5</v>
      </c>
      <c r="H13" s="62">
        <f>Water!I15</f>
        <v>4.7789999999999999</v>
      </c>
      <c r="I13" s="62">
        <f>ELECT.!F15</f>
        <v>9508</v>
      </c>
      <c r="J13" s="62">
        <f>ELECT.!H15</f>
        <v>29953</v>
      </c>
      <c r="K13" s="62">
        <f>ELECT.!K15</f>
        <v>3491</v>
      </c>
      <c r="L13" s="62">
        <f>ELECT.!M15</f>
        <v>4283</v>
      </c>
      <c r="M13" s="62">
        <f>ELECT.!O15</f>
        <v>5142</v>
      </c>
      <c r="N13" s="62">
        <f>ELECT.!Q15</f>
        <v>2078</v>
      </c>
      <c r="O13" s="62">
        <f>ELECT.!S15</f>
        <v>7613</v>
      </c>
      <c r="P13" s="62">
        <f>ELECT.!W15*2</f>
        <v>16356</v>
      </c>
      <c r="Q13" s="62">
        <f>ELECT.!D15</f>
        <v>1280</v>
      </c>
      <c r="R13" s="63">
        <f>BTU!C14</f>
        <v>2</v>
      </c>
      <c r="S13" s="63">
        <f>BTU!F14</f>
        <v>0.38000000000010914</v>
      </c>
      <c r="T13" s="63">
        <f>BTU!I14</f>
        <v>0</v>
      </c>
      <c r="U13" s="63">
        <f>BTU!O14</f>
        <v>1.1490000000001146</v>
      </c>
      <c r="V13" s="63">
        <f>BTU!L14</f>
        <v>5.9999999999490683E-2</v>
      </c>
      <c r="W13" s="63">
        <f>BTU!R14</f>
        <v>0</v>
      </c>
      <c r="X13" s="60">
        <f>ELECT.!B15</f>
        <v>298</v>
      </c>
      <c r="Y13" s="60">
        <f t="shared" si="0"/>
        <v>498</v>
      </c>
      <c r="Z13">
        <f>'Mall, Citadel, Rotana'!C15+'Mall, Citadel, Rotana'!E15+'Mall, Citadel, Rotana'!G15+'Mall, Citadel, Rotana'!I15</f>
        <v>1767</v>
      </c>
      <c r="AA13">
        <f>'Mall, Citadel, Rotana'!K15+'Mall, Citadel, Rotana'!M15</f>
        <v>0</v>
      </c>
      <c r="AB13">
        <f>'Mall, Citadel, Rotana'!O15</f>
        <v>0</v>
      </c>
      <c r="AC13">
        <f>'Mall, Citadel, Rotana'!Q15+'Mall, Citadel, Rotana'!S15</f>
        <v>96</v>
      </c>
      <c r="AD13" s="60">
        <f t="shared" si="1"/>
        <v>120.0989278</v>
      </c>
      <c r="AE13" s="60">
        <f t="shared" si="2"/>
        <v>791.12207220000005</v>
      </c>
    </row>
    <row r="14" spans="1:31" x14ac:dyDescent="0.2">
      <c r="A14" s="76" t="s">
        <v>59</v>
      </c>
      <c r="B14" s="81">
        <f t="shared" si="3"/>
        <v>13</v>
      </c>
      <c r="C14" s="81">
        <v>1</v>
      </c>
      <c r="D14" s="81">
        <v>2019</v>
      </c>
      <c r="E14" s="62">
        <f>Water!C16</f>
        <v>1050</v>
      </c>
      <c r="F14" s="62">
        <f>Water!E16</f>
        <v>564.29999999999995</v>
      </c>
      <c r="G14" s="62">
        <f>Water!G16</f>
        <v>356.4</v>
      </c>
      <c r="H14" s="62">
        <f>Water!I16</f>
        <v>4.5629999999999997</v>
      </c>
      <c r="I14" s="62">
        <f>ELECT.!F16</f>
        <v>16685</v>
      </c>
      <c r="J14" s="62">
        <f>ELECT.!H16</f>
        <v>53531</v>
      </c>
      <c r="K14" s="62">
        <f>ELECT.!K16</f>
        <v>6074</v>
      </c>
      <c r="L14" s="62">
        <f>ELECT.!M16</f>
        <v>8193</v>
      </c>
      <c r="M14" s="62">
        <f>ELECT.!O16</f>
        <v>8874</v>
      </c>
      <c r="N14" s="62">
        <f>ELECT.!Q16</f>
        <v>3472</v>
      </c>
      <c r="O14" s="62">
        <f>ELECT.!S16</f>
        <v>13540</v>
      </c>
      <c r="P14" s="62">
        <f>ELECT.!W16*2</f>
        <v>29442</v>
      </c>
      <c r="Q14" s="62">
        <f>ELECT.!D16</f>
        <v>1280</v>
      </c>
      <c r="R14" s="63">
        <f>BTU!C15</f>
        <v>3.6000000000003638</v>
      </c>
      <c r="S14" s="63">
        <f>BTU!F15</f>
        <v>0.40000000000009095</v>
      </c>
      <c r="T14" s="63">
        <f>BTU!I15</f>
        <v>0</v>
      </c>
      <c r="U14" s="63">
        <f>BTU!O15</f>
        <v>0.79999999999995453</v>
      </c>
      <c r="V14" s="63">
        <f>BTU!L15</f>
        <v>0.59000000000014552</v>
      </c>
      <c r="W14" s="63">
        <f>BTU!R15</f>
        <v>0</v>
      </c>
      <c r="X14" s="60">
        <f>ELECT.!B16</f>
        <v>250</v>
      </c>
      <c r="Y14" s="60">
        <f t="shared" si="0"/>
        <v>621</v>
      </c>
      <c r="Z14">
        <f>'Mall, Citadel, Rotana'!C16+'Mall, Citadel, Rotana'!E16+'Mall, Citadel, Rotana'!G16+'Mall, Citadel, Rotana'!I16</f>
        <v>1965</v>
      </c>
      <c r="AA14">
        <f>'Mall, Citadel, Rotana'!K16+'Mall, Citadel, Rotana'!M16</f>
        <v>320</v>
      </c>
      <c r="AB14">
        <f>'Mall, Citadel, Rotana'!O16</f>
        <v>0</v>
      </c>
      <c r="AC14">
        <f>'Mall, Citadel, Rotana'!Q16+'Mall, Citadel, Rotana'!S16</f>
        <v>97</v>
      </c>
      <c r="AD14" s="60">
        <f t="shared" si="1"/>
        <v>112.21939659999998</v>
      </c>
      <c r="AE14" s="60">
        <f t="shared" si="2"/>
        <v>739.21760339999992</v>
      </c>
    </row>
    <row r="15" spans="1:31" x14ac:dyDescent="0.2">
      <c r="A15" s="76" t="s">
        <v>59</v>
      </c>
      <c r="B15" s="81">
        <f t="shared" si="3"/>
        <v>14</v>
      </c>
      <c r="C15" s="81">
        <v>1</v>
      </c>
      <c r="D15" s="81">
        <v>2019</v>
      </c>
      <c r="E15" s="62">
        <f>Water!C17</f>
        <v>840</v>
      </c>
      <c r="F15" s="62">
        <f>Water!E17</f>
        <v>615.6</v>
      </c>
      <c r="G15" s="62">
        <f>Water!G17</f>
        <v>369.9</v>
      </c>
      <c r="H15" s="62">
        <f>Water!I17</f>
        <v>5.1840000000000002</v>
      </c>
      <c r="I15" s="62">
        <f>ELECT.!F17</f>
        <v>9822</v>
      </c>
      <c r="J15" s="62">
        <f>ELECT.!H17</f>
        <v>32110</v>
      </c>
      <c r="K15" s="62">
        <f>ELECT.!K17</f>
        <v>3262</v>
      </c>
      <c r="L15" s="62">
        <f>ELECT.!M17</f>
        <v>3867</v>
      </c>
      <c r="M15" s="62">
        <f>ELECT.!O17</f>
        <v>5252</v>
      </c>
      <c r="N15" s="62">
        <f>ELECT.!Q17</f>
        <v>2783</v>
      </c>
      <c r="O15" s="62">
        <f>ELECT.!S17</f>
        <v>7912</v>
      </c>
      <c r="P15" s="62">
        <f>ELECT.!W17*2</f>
        <v>18512</v>
      </c>
      <c r="Q15" s="62">
        <f>ELECT.!D17</f>
        <v>1280</v>
      </c>
      <c r="R15" s="63">
        <f>BTU!C16</f>
        <v>3.1999999999989086</v>
      </c>
      <c r="S15" s="63">
        <f>BTU!F16</f>
        <v>0.73999999999978172</v>
      </c>
      <c r="T15" s="63">
        <f>BTU!I16</f>
        <v>0</v>
      </c>
      <c r="U15" s="63">
        <f>BTU!O16</f>
        <v>0.46000000000003638</v>
      </c>
      <c r="V15" s="63">
        <f>BTU!L16</f>
        <v>0</v>
      </c>
      <c r="W15" s="63">
        <f>BTU!R16</f>
        <v>0</v>
      </c>
      <c r="X15" s="60">
        <f>ELECT.!B17</f>
        <v>227</v>
      </c>
      <c r="Y15" s="60">
        <f t="shared" si="0"/>
        <v>344</v>
      </c>
      <c r="Z15">
        <f>'Mall, Citadel, Rotana'!C17+'Mall, Citadel, Rotana'!E17+'Mall, Citadel, Rotana'!G17+'Mall, Citadel, Rotana'!I17</f>
        <v>540</v>
      </c>
      <c r="AA15">
        <f>'Mall, Citadel, Rotana'!K17+'Mall, Citadel, Rotana'!M17</f>
        <v>1120</v>
      </c>
      <c r="AB15">
        <f>'Mall, Citadel, Rotana'!O17</f>
        <v>6</v>
      </c>
      <c r="AC15">
        <f>'Mall, Citadel, Rotana'!Q17+'Mall, Citadel, Rotana'!S17</f>
        <v>229</v>
      </c>
      <c r="AD15" s="60">
        <f t="shared" si="1"/>
        <v>84.459548800000007</v>
      </c>
      <c r="AE15" s="60">
        <f t="shared" si="2"/>
        <v>556.35645120000004</v>
      </c>
    </row>
    <row r="16" spans="1:31" x14ac:dyDescent="0.2">
      <c r="A16" s="76" t="s">
        <v>59</v>
      </c>
      <c r="B16" s="81">
        <f t="shared" si="3"/>
        <v>15</v>
      </c>
      <c r="C16" s="81">
        <v>1</v>
      </c>
      <c r="D16" s="81">
        <v>2019</v>
      </c>
      <c r="E16" s="62">
        <f>Water!C18</f>
        <v>1240</v>
      </c>
      <c r="F16" s="62">
        <f>Water!E18</f>
        <v>540</v>
      </c>
      <c r="G16" s="62">
        <f>Water!G18</f>
        <v>337.5</v>
      </c>
      <c r="H16" s="62">
        <f>Water!I18</f>
        <v>5.5350000000000001</v>
      </c>
      <c r="I16" s="62">
        <f>ELECT.!F18</f>
        <v>17512</v>
      </c>
      <c r="J16" s="62">
        <f>ELECT.!H18</f>
        <v>60464</v>
      </c>
      <c r="K16" s="62">
        <f>ELECT.!K18</f>
        <v>6640</v>
      </c>
      <c r="L16" s="62">
        <f>ELECT.!M18</f>
        <v>7783</v>
      </c>
      <c r="M16" s="62">
        <f>ELECT.!O18</f>
        <v>9538</v>
      </c>
      <c r="N16" s="62">
        <f>ELECT.!Q18</f>
        <v>2735</v>
      </c>
      <c r="O16" s="62">
        <f>ELECT.!S18</f>
        <v>14423</v>
      </c>
      <c r="P16" s="62">
        <f>ELECT.!W18*2</f>
        <v>34924</v>
      </c>
      <c r="Q16" s="62">
        <f>ELECT.!D18</f>
        <v>1280</v>
      </c>
      <c r="R16" s="63">
        <f>BTU!C17</f>
        <v>1.2000000000007276</v>
      </c>
      <c r="S16" s="63">
        <f>BTU!F17</f>
        <v>0.77100000000018554</v>
      </c>
      <c r="T16" s="63">
        <f>BTU!I17</f>
        <v>0.11099999999999</v>
      </c>
      <c r="U16" s="63">
        <f>BTU!O17</f>
        <v>2.0139999999998963</v>
      </c>
      <c r="V16" s="63">
        <f>BTU!L17</f>
        <v>0</v>
      </c>
      <c r="W16" s="63">
        <f>BTU!R17</f>
        <v>0</v>
      </c>
      <c r="X16" s="60">
        <f>ELECT.!B18</f>
        <v>263</v>
      </c>
      <c r="Y16" s="60">
        <f t="shared" si="0"/>
        <v>1933</v>
      </c>
      <c r="Z16">
        <f>'Mall, Citadel, Rotana'!C18+'Mall, Citadel, Rotana'!E18+'Mall, Citadel, Rotana'!G18+'Mall, Citadel, Rotana'!I18</f>
        <v>1147</v>
      </c>
      <c r="AA16">
        <f>'Mall, Citadel, Rotana'!K18+'Mall, Citadel, Rotana'!M18</f>
        <v>800</v>
      </c>
      <c r="AB16">
        <f>'Mall, Citadel, Rotana'!O18</f>
        <v>3</v>
      </c>
      <c r="AC16">
        <f>'Mall, Citadel, Rotana'!Q18+'Mall, Citadel, Rotana'!S18</f>
        <v>284</v>
      </c>
      <c r="AD16" s="60">
        <f t="shared" si="1"/>
        <v>137.133287</v>
      </c>
      <c r="AE16" s="60">
        <f t="shared" si="2"/>
        <v>903.33171300000004</v>
      </c>
    </row>
    <row r="17" spans="1:31" x14ac:dyDescent="0.2">
      <c r="A17" s="76" t="s">
        <v>59</v>
      </c>
      <c r="B17" s="81">
        <f t="shared" si="3"/>
        <v>16</v>
      </c>
      <c r="C17" s="81">
        <v>1</v>
      </c>
      <c r="D17" s="81">
        <v>2019</v>
      </c>
      <c r="E17" s="62">
        <f>Water!C19</f>
        <v>900</v>
      </c>
      <c r="F17" s="62">
        <f>Water!E19</f>
        <v>445.5</v>
      </c>
      <c r="G17" s="62">
        <f>Water!G19</f>
        <v>318.60000000000002</v>
      </c>
      <c r="H17" s="62">
        <f>Water!I19</f>
        <v>4.05</v>
      </c>
      <c r="I17" s="62">
        <f>ELECT.!F19</f>
        <v>12571</v>
      </c>
      <c r="J17" s="62">
        <f>ELECT.!H19</f>
        <v>43639</v>
      </c>
      <c r="K17" s="62">
        <f>ELECT.!K19</f>
        <v>4982</v>
      </c>
      <c r="L17" s="62">
        <f>ELECT.!M19</f>
        <v>5751</v>
      </c>
      <c r="M17" s="62">
        <f>ELECT.!O19</f>
        <v>6692</v>
      </c>
      <c r="N17" s="62">
        <f>ELECT.!Q19</f>
        <v>2521</v>
      </c>
      <c r="O17" s="62">
        <f>ELECT.!S19</f>
        <v>10388</v>
      </c>
      <c r="P17" s="62">
        <f>ELECT.!W19*2</f>
        <v>24962</v>
      </c>
      <c r="Q17" s="62">
        <f>ELECT.!D19</f>
        <v>1280</v>
      </c>
      <c r="R17" s="63">
        <f>BTU!C18</f>
        <v>4.0239999999994325</v>
      </c>
      <c r="S17" s="63">
        <f>BTU!F18</f>
        <v>0.62899999999990541</v>
      </c>
      <c r="T17" s="63">
        <f>BTU!I18</f>
        <v>0</v>
      </c>
      <c r="U17" s="63">
        <f>BTU!O18</f>
        <v>1.4639999999999418</v>
      </c>
      <c r="V17" s="63" t="str">
        <f>BTU!L18</f>
        <v>0</v>
      </c>
      <c r="W17" s="63">
        <f>BTU!R18</f>
        <v>0</v>
      </c>
      <c r="X17" s="60">
        <f>ELECT.!B19</f>
        <v>265</v>
      </c>
      <c r="Y17" s="60">
        <f t="shared" si="0"/>
        <v>914</v>
      </c>
      <c r="Z17">
        <f>'Mall, Citadel, Rotana'!C19+'Mall, Citadel, Rotana'!E19+'Mall, Citadel, Rotana'!G19+'Mall, Citadel, Rotana'!I19</f>
        <v>1350</v>
      </c>
      <c r="AA17">
        <f>'Mall, Citadel, Rotana'!K19+'Mall, Citadel, Rotana'!M19</f>
        <v>800</v>
      </c>
      <c r="AB17">
        <f>'Mall, Citadel, Rotana'!O19</f>
        <v>3</v>
      </c>
      <c r="AC17">
        <f>'Mall, Citadel, Rotana'!Q19+'Mall, Citadel, Rotana'!S19</f>
        <v>180</v>
      </c>
      <c r="AD17" s="60">
        <f t="shared" si="1"/>
        <v>92.517010000000013</v>
      </c>
      <c r="AE17" s="60">
        <f t="shared" si="2"/>
        <v>609.43299000000002</v>
      </c>
    </row>
    <row r="18" spans="1:31" x14ac:dyDescent="0.2">
      <c r="A18" s="76" t="s">
        <v>59</v>
      </c>
      <c r="B18" s="81">
        <f t="shared" si="3"/>
        <v>17</v>
      </c>
      <c r="C18" s="81">
        <v>1</v>
      </c>
      <c r="D18" s="81">
        <v>2019</v>
      </c>
      <c r="E18" s="62">
        <f>Water!C20</f>
        <v>1060</v>
      </c>
      <c r="F18" s="62">
        <f>Water!E20</f>
        <v>502.2</v>
      </c>
      <c r="G18" s="62">
        <f>Water!G20</f>
        <v>445.5</v>
      </c>
      <c r="H18" s="62">
        <f>Water!I20</f>
        <v>4.6979999999999995</v>
      </c>
      <c r="I18" s="62">
        <f>ELECT.!F20</f>
        <v>16128</v>
      </c>
      <c r="J18" s="62">
        <f>ELECT.!H20</f>
        <v>52863</v>
      </c>
      <c r="K18" s="62">
        <f>ELECT.!K20</f>
        <v>6000</v>
      </c>
      <c r="L18" s="62">
        <f>ELECT.!M20</f>
        <v>7243</v>
      </c>
      <c r="M18" s="62">
        <f>ELECT.!O20</f>
        <v>8632</v>
      </c>
      <c r="N18" s="62">
        <f>ELECT.!Q20</f>
        <v>3259</v>
      </c>
      <c r="O18" s="62">
        <f>ELECT.!S20</f>
        <v>13671</v>
      </c>
      <c r="P18" s="62">
        <f>ELECT.!W20*2</f>
        <v>28984</v>
      </c>
      <c r="Q18" s="62">
        <f>ELECT.!D20</f>
        <v>1280</v>
      </c>
      <c r="R18" s="63">
        <f>BTU!C19</f>
        <v>3.3360000000011496</v>
      </c>
      <c r="S18" s="63">
        <f>BTU!F19</f>
        <v>0.52899999999999636</v>
      </c>
      <c r="T18" s="63">
        <f>BTU!I19</f>
        <v>1.7999999999915417E-2</v>
      </c>
      <c r="U18" s="63">
        <f>BTU!O19</f>
        <v>0.90000000000009095</v>
      </c>
      <c r="V18" s="63">
        <f>BTU!L19</f>
        <v>0</v>
      </c>
      <c r="W18" s="63">
        <f>BTU!R19</f>
        <v>0</v>
      </c>
      <c r="X18" s="60">
        <f>ELECT.!B20</f>
        <v>269</v>
      </c>
      <c r="Y18" s="60">
        <f t="shared" si="0"/>
        <v>1202</v>
      </c>
      <c r="Z18">
        <f>'Mall, Citadel, Rotana'!C20+'Mall, Citadel, Rotana'!E20+'Mall, Citadel, Rotana'!G20+'Mall, Citadel, Rotana'!I20</f>
        <v>1107</v>
      </c>
      <c r="AA18">
        <f>'Mall, Citadel, Rotana'!K20+'Mall, Citadel, Rotana'!M20</f>
        <v>1120</v>
      </c>
      <c r="AB18">
        <f>'Mall, Citadel, Rotana'!O20</f>
        <v>2</v>
      </c>
      <c r="AC18">
        <f>'Mall, Citadel, Rotana'!Q20+'Mall, Citadel, Rotana'!S20</f>
        <v>89</v>
      </c>
      <c r="AD18" s="60">
        <f t="shared" si="1"/>
        <v>113.51960359999998</v>
      </c>
      <c r="AE18" s="60">
        <f t="shared" si="2"/>
        <v>747.78239639999993</v>
      </c>
    </row>
    <row r="19" spans="1:31" x14ac:dyDescent="0.2">
      <c r="A19" s="76" t="s">
        <v>59</v>
      </c>
      <c r="B19" s="81">
        <f t="shared" si="3"/>
        <v>18</v>
      </c>
      <c r="C19" s="81">
        <v>1</v>
      </c>
      <c r="D19" s="81">
        <v>2019</v>
      </c>
      <c r="E19" s="62">
        <f>Water!C21</f>
        <v>1210</v>
      </c>
      <c r="F19" s="62">
        <f>Water!E21</f>
        <v>467.1</v>
      </c>
      <c r="G19" s="62">
        <f>Water!G21</f>
        <v>342.9</v>
      </c>
      <c r="H19" s="62">
        <f>Water!I21</f>
        <v>3.645</v>
      </c>
      <c r="I19" s="62">
        <f>ELECT.!F21</f>
        <v>10084</v>
      </c>
      <c r="J19" s="62">
        <f>ELECT.!H21</f>
        <v>31626</v>
      </c>
      <c r="K19" s="62">
        <f>ELECT.!K21</f>
        <v>3508</v>
      </c>
      <c r="L19" s="62">
        <f>ELECT.!M21</f>
        <v>4363</v>
      </c>
      <c r="M19" s="62">
        <f>ELECT.!O21</f>
        <v>5616</v>
      </c>
      <c r="N19" s="62">
        <f>ELECT.!Q21</f>
        <v>1750</v>
      </c>
      <c r="O19" s="62">
        <f>ELECT.!S21</f>
        <v>8186</v>
      </c>
      <c r="P19" s="62">
        <f>ELECT.!W21*2</f>
        <v>17804</v>
      </c>
      <c r="Q19" s="62">
        <f>ELECT.!D21</f>
        <v>1280</v>
      </c>
      <c r="R19" s="63">
        <f>BTU!C20</f>
        <v>3.4729999999999563</v>
      </c>
      <c r="S19" s="63">
        <f>BTU!F20</f>
        <v>0.34300000000030195</v>
      </c>
      <c r="T19" s="63">
        <f>BTU!I20</f>
        <v>0</v>
      </c>
      <c r="U19" s="63">
        <f>BTU!O20</f>
        <v>1.4600000000000364</v>
      </c>
      <c r="V19" s="63">
        <f>BTU!L20</f>
        <v>0</v>
      </c>
      <c r="W19" s="63">
        <f>BTU!R20</f>
        <v>0</v>
      </c>
      <c r="X19" s="60">
        <f>ELECT.!B21</f>
        <v>271</v>
      </c>
      <c r="Y19" s="60">
        <f t="shared" si="0"/>
        <v>483</v>
      </c>
      <c r="Z19">
        <f>'Mall, Citadel, Rotana'!C21+'Mall, Citadel, Rotana'!E21+'Mall, Citadel, Rotana'!G21+'Mall, Citadel, Rotana'!I21</f>
        <v>1378</v>
      </c>
      <c r="AA19">
        <f>'Mall, Citadel, Rotana'!K21+'Mall, Citadel, Rotana'!M21</f>
        <v>0</v>
      </c>
      <c r="AB19">
        <f>'Mall, Citadel, Rotana'!O21</f>
        <v>4</v>
      </c>
      <c r="AC19">
        <f>'Mall, Citadel, Rotana'!Q21+'Mall, Citadel, Rotana'!S21</f>
        <v>21</v>
      </c>
      <c r="AD19" s="60">
        <f t="shared" si="1"/>
        <v>133.42838900000001</v>
      </c>
      <c r="AE19" s="60">
        <f t="shared" si="2"/>
        <v>878.92661100000009</v>
      </c>
    </row>
    <row r="20" spans="1:31" x14ac:dyDescent="0.2">
      <c r="A20" s="76" t="s">
        <v>59</v>
      </c>
      <c r="B20" s="81">
        <f t="shared" si="3"/>
        <v>19</v>
      </c>
      <c r="C20" s="81">
        <v>1</v>
      </c>
      <c r="D20" s="81">
        <v>2019</v>
      </c>
      <c r="E20" s="62">
        <f>Water!C22</f>
        <v>1000</v>
      </c>
      <c r="F20" s="62">
        <f>Water!E22</f>
        <v>461.7</v>
      </c>
      <c r="G20" s="62">
        <f>Water!G22</f>
        <v>383.4</v>
      </c>
      <c r="H20" s="62">
        <f>Water!I22</f>
        <v>4.4550000000000001</v>
      </c>
      <c r="I20" s="62">
        <f>ELECT.!F22</f>
        <v>17535</v>
      </c>
      <c r="J20" s="62">
        <f>ELECT.!H22</f>
        <v>54320</v>
      </c>
      <c r="K20" s="62">
        <f>ELECT.!K22</f>
        <v>5749</v>
      </c>
      <c r="L20" s="62">
        <f>ELECT.!M22</f>
        <v>7864</v>
      </c>
      <c r="M20" s="62">
        <f>ELECT.!O22</f>
        <v>9466</v>
      </c>
      <c r="N20" s="62">
        <f>ELECT.!Q22</f>
        <v>2908</v>
      </c>
      <c r="O20" s="62">
        <f>ELECT.!S22</f>
        <v>13619</v>
      </c>
      <c r="P20" s="62">
        <f>ELECT.!W22*2</f>
        <v>31204</v>
      </c>
      <c r="Q20" s="62">
        <f>ELECT.!D22</f>
        <v>1280</v>
      </c>
      <c r="R20" s="63">
        <f>BTU!C21</f>
        <v>3.1199999999989814</v>
      </c>
      <c r="S20" s="63">
        <f>BTU!F21</f>
        <v>0.50900000000001455</v>
      </c>
      <c r="T20" s="63">
        <f>BTU!I21</f>
        <v>1.9000000000005457E-2</v>
      </c>
      <c r="U20" s="63">
        <f>BTU!O21</f>
        <v>1.1739999999999782</v>
      </c>
      <c r="V20" s="63">
        <f>BTU!L21</f>
        <v>0</v>
      </c>
      <c r="W20" s="63">
        <f>BTU!R21</f>
        <v>0</v>
      </c>
      <c r="X20" s="60">
        <f>ELECT.!B22</f>
        <v>299</v>
      </c>
      <c r="Y20" s="60">
        <f t="shared" si="0"/>
        <v>1045</v>
      </c>
      <c r="Z20">
        <f>'Mall, Citadel, Rotana'!C22+'Mall, Citadel, Rotana'!E22+'Mall, Citadel, Rotana'!G22+'Mall, Citadel, Rotana'!I22</f>
        <v>1174</v>
      </c>
      <c r="AA20">
        <f>'Mall, Citadel, Rotana'!K22+'Mall, Citadel, Rotana'!M22</f>
        <v>640</v>
      </c>
      <c r="AB20">
        <f>'Mall, Citadel, Rotana'!O22</f>
        <v>2</v>
      </c>
      <c r="AC20">
        <f>'Mall, Citadel, Rotana'!Q22+'Mall, Citadel, Rotana'!S22</f>
        <v>120</v>
      </c>
      <c r="AD20" s="60">
        <f t="shared" si="1"/>
        <v>105.643631</v>
      </c>
      <c r="AE20" s="60">
        <f t="shared" si="2"/>
        <v>695.90136899999993</v>
      </c>
    </row>
    <row r="21" spans="1:31" x14ac:dyDescent="0.2">
      <c r="A21" s="76" t="s">
        <v>59</v>
      </c>
      <c r="B21" s="81">
        <f t="shared" si="3"/>
        <v>20</v>
      </c>
      <c r="C21" s="81">
        <v>1</v>
      </c>
      <c r="D21" s="81">
        <v>2019</v>
      </c>
      <c r="E21" s="62">
        <f>Water!C23</f>
        <v>1070</v>
      </c>
      <c r="F21" s="62">
        <f>Water!E23</f>
        <v>510.3</v>
      </c>
      <c r="G21" s="62">
        <f>Water!G23</f>
        <v>369.9</v>
      </c>
      <c r="H21" s="62">
        <f>Water!I23</f>
        <v>5.4809999999999999</v>
      </c>
      <c r="I21" s="62">
        <f>ELECT.!F23</f>
        <v>16226</v>
      </c>
      <c r="J21" s="62">
        <f>ELECT.!H23</f>
        <v>49006</v>
      </c>
      <c r="K21" s="62">
        <f>ELECT.!K23</f>
        <v>5053</v>
      </c>
      <c r="L21" s="62">
        <f>ELECT.!M23</f>
        <v>7137</v>
      </c>
      <c r="M21" s="62">
        <f>ELECT.!O23</f>
        <v>8926</v>
      </c>
      <c r="N21" s="62">
        <f>ELECT.!Q23</f>
        <v>2812</v>
      </c>
      <c r="O21" s="62">
        <f>ELECT.!S23</f>
        <v>11520</v>
      </c>
      <c r="P21" s="62">
        <f>ELECT.!W23*2</f>
        <v>28874</v>
      </c>
      <c r="Q21" s="62">
        <f>ELECT.!D23</f>
        <v>1280</v>
      </c>
      <c r="R21" s="63">
        <f>BTU!C22</f>
        <v>2.9930000000003929</v>
      </c>
      <c r="S21" s="63">
        <f>BTU!F22</f>
        <v>0.71899999999959618</v>
      </c>
      <c r="T21" s="63">
        <f>BTU!I22</f>
        <v>0</v>
      </c>
      <c r="U21" s="63">
        <f>BTU!O22</f>
        <v>0.93499999999994543</v>
      </c>
      <c r="V21" s="63">
        <f>BTU!L22</f>
        <v>0.16000000000167347</v>
      </c>
      <c r="W21" s="63">
        <f>BTU!R22</f>
        <v>0</v>
      </c>
      <c r="X21" s="60">
        <f>ELECT.!B23</f>
        <v>299</v>
      </c>
      <c r="Y21" s="60">
        <f t="shared" si="0"/>
        <v>910</v>
      </c>
      <c r="Z21">
        <f>'Mall, Citadel, Rotana'!C23+'Mall, Citadel, Rotana'!E23+'Mall, Citadel, Rotana'!G23+'Mall, Citadel, Rotana'!I23</f>
        <v>1452</v>
      </c>
      <c r="AA21">
        <f>'Mall, Citadel, Rotana'!K23+'Mall, Citadel, Rotana'!M23</f>
        <v>640</v>
      </c>
      <c r="AB21">
        <f>'Mall, Citadel, Rotana'!O23</f>
        <v>3</v>
      </c>
      <c r="AC21">
        <f>'Mall, Citadel, Rotana'!Q23+'Mall, Citadel, Rotana'!S23</f>
        <v>173</v>
      </c>
      <c r="AD21" s="60">
        <f t="shared" si="1"/>
        <v>114.7344042</v>
      </c>
      <c r="AE21" s="60">
        <f t="shared" si="2"/>
        <v>755.78459580000003</v>
      </c>
    </row>
    <row r="22" spans="1:31" x14ac:dyDescent="0.2">
      <c r="A22" s="76" t="s">
        <v>59</v>
      </c>
      <c r="B22" s="81">
        <f t="shared" si="3"/>
        <v>21</v>
      </c>
      <c r="C22" s="81">
        <v>1</v>
      </c>
      <c r="D22" s="81">
        <v>2019</v>
      </c>
      <c r="E22" s="62">
        <f>Water!C24</f>
        <v>1230</v>
      </c>
      <c r="F22" s="62">
        <f>Water!E24</f>
        <v>540</v>
      </c>
      <c r="G22" s="62">
        <f>Water!G24</f>
        <v>396.9</v>
      </c>
      <c r="H22" s="62">
        <f>Water!I24</f>
        <v>3.456</v>
      </c>
      <c r="I22" s="62">
        <f>ELECT.!F24</f>
        <v>18958</v>
      </c>
      <c r="J22" s="62">
        <f>ELECT.!H24</f>
        <v>57477</v>
      </c>
      <c r="K22" s="62">
        <f>ELECT.!K24</f>
        <v>6051</v>
      </c>
      <c r="L22" s="62">
        <f>ELECT.!M24</f>
        <v>7609</v>
      </c>
      <c r="M22" s="62">
        <f>ELECT.!O24</f>
        <v>11100</v>
      </c>
      <c r="N22" s="62">
        <f>ELECT.!Q24</f>
        <v>3082</v>
      </c>
      <c r="O22" s="62">
        <f>ELECT.!S24</f>
        <v>13824</v>
      </c>
      <c r="P22" s="62">
        <f>ELECT.!W24*2</f>
        <v>33500</v>
      </c>
      <c r="Q22" s="62">
        <f>ELECT.!D24</f>
        <v>1280</v>
      </c>
      <c r="R22" s="63">
        <f>BTU!C23</f>
        <v>3.3250000000007276</v>
      </c>
      <c r="S22" s="63">
        <f>BTU!F23</f>
        <v>0.72800000000006548</v>
      </c>
      <c r="T22" s="63">
        <f>BTU!I23</f>
        <v>0</v>
      </c>
      <c r="U22" s="63">
        <f>BTU!O23</f>
        <v>1.2809999999999491</v>
      </c>
      <c r="V22" s="63">
        <f>BTU!L23</f>
        <v>0.26999999999861757</v>
      </c>
      <c r="W22" s="63">
        <f>BTU!R23</f>
        <v>1.999999999998181E-2</v>
      </c>
      <c r="X22" s="60">
        <f>ELECT.!B24</f>
        <v>278</v>
      </c>
      <c r="Y22" s="60">
        <f t="shared" si="0"/>
        <v>1269</v>
      </c>
      <c r="Z22">
        <f>'Mall, Citadel, Rotana'!C24+'Mall, Citadel, Rotana'!E24+'Mall, Citadel, Rotana'!G24+'Mall, Citadel, Rotana'!I24</f>
        <v>1195</v>
      </c>
      <c r="AA22">
        <f>'Mall, Citadel, Rotana'!K24+'Mall, Citadel, Rotana'!M24</f>
        <v>800</v>
      </c>
      <c r="AB22">
        <f>'Mall, Citadel, Rotana'!O24</f>
        <v>3</v>
      </c>
      <c r="AC22">
        <f>'Mall, Citadel, Rotana'!Q24+'Mall, Citadel, Rotana'!S24</f>
        <v>0</v>
      </c>
      <c r="AD22" s="60">
        <f t="shared" si="1"/>
        <v>136.0892992</v>
      </c>
      <c r="AE22" s="60">
        <f t="shared" si="2"/>
        <v>896.45470080000018</v>
      </c>
    </row>
    <row r="23" spans="1:31" x14ac:dyDescent="0.2">
      <c r="A23" s="76" t="s">
        <v>59</v>
      </c>
      <c r="B23" s="81">
        <f t="shared" si="3"/>
        <v>22</v>
      </c>
      <c r="C23" s="81">
        <v>1</v>
      </c>
      <c r="D23" s="81">
        <v>2019</v>
      </c>
      <c r="E23" s="62">
        <f>Water!C25</f>
        <v>940</v>
      </c>
      <c r="F23" s="62">
        <f>Water!E25</f>
        <v>477.9</v>
      </c>
      <c r="G23" s="62">
        <f>Water!G25</f>
        <v>383.4</v>
      </c>
      <c r="H23" s="62">
        <f>Water!I25</f>
        <v>4.4820000000000002</v>
      </c>
      <c r="I23" s="62">
        <f>ELECT.!F25</f>
        <v>12174</v>
      </c>
      <c r="J23" s="62">
        <f>ELECT.!H25</f>
        <v>33621</v>
      </c>
      <c r="K23" s="62">
        <f>ELECT.!K25</f>
        <v>4078</v>
      </c>
      <c r="L23" s="62">
        <f>ELECT.!M25</f>
        <v>5676</v>
      </c>
      <c r="M23" s="62">
        <f>ELECT.!O25</f>
        <v>6392</v>
      </c>
      <c r="N23" s="62">
        <f>ELECT.!Q25</f>
        <v>1790</v>
      </c>
      <c r="O23" s="62">
        <f>ELECT.!S25</f>
        <v>7728</v>
      </c>
      <c r="P23" s="62">
        <f>ELECT.!W25*2</f>
        <v>19588</v>
      </c>
      <c r="Q23" s="62">
        <f>ELECT.!D25</f>
        <v>1280</v>
      </c>
      <c r="R23" s="63">
        <f>BTU!C24</f>
        <v>3.2479999999995925</v>
      </c>
      <c r="S23" s="63">
        <f>BTU!F24</f>
        <v>0.83300000000008367</v>
      </c>
      <c r="T23" s="63">
        <f>BTU!I24</f>
        <v>0</v>
      </c>
      <c r="U23" s="63">
        <f>BTU!O24</f>
        <v>1.2940000000000964</v>
      </c>
      <c r="V23" s="63">
        <f>BTU!L24</f>
        <v>0.82999999999992724</v>
      </c>
      <c r="W23" s="63">
        <f>BTU!R24</f>
        <v>0</v>
      </c>
      <c r="X23" s="60">
        <f>ELECT.!B25</f>
        <v>278</v>
      </c>
      <c r="Y23" s="60">
        <f t="shared" si="0"/>
        <v>543</v>
      </c>
      <c r="Z23">
        <f>'Mall, Citadel, Rotana'!C25+'Mall, Citadel, Rotana'!E25+'Mall, Citadel, Rotana'!G25+'Mall, Citadel, Rotana'!I25</f>
        <v>2346</v>
      </c>
      <c r="AA23">
        <f>'Mall, Citadel, Rotana'!K25+'Mall, Citadel, Rotana'!M25</f>
        <v>1760</v>
      </c>
      <c r="AB23">
        <f>'Mall, Citadel, Rotana'!O25</f>
        <v>3</v>
      </c>
      <c r="AC23">
        <f>'Mall, Citadel, Rotana'!Q25+'Mall, Citadel, Rotana'!S25</f>
        <v>141</v>
      </c>
      <c r="AD23" s="60">
        <f t="shared" si="1"/>
        <v>97.732072400000007</v>
      </c>
      <c r="AE23" s="60">
        <f t="shared" si="2"/>
        <v>643.78592760000004</v>
      </c>
    </row>
    <row r="24" spans="1:31" x14ac:dyDescent="0.2">
      <c r="A24" s="76" t="s">
        <v>59</v>
      </c>
      <c r="B24" s="81">
        <f t="shared" si="3"/>
        <v>23</v>
      </c>
      <c r="C24" s="81">
        <v>1</v>
      </c>
      <c r="D24" s="81">
        <v>2019</v>
      </c>
      <c r="E24" s="62">
        <f>Water!C26</f>
        <v>900</v>
      </c>
      <c r="F24" s="62">
        <f>Water!E26</f>
        <v>475.2</v>
      </c>
      <c r="G24" s="62">
        <f>Water!G26</f>
        <v>351</v>
      </c>
      <c r="H24" s="62">
        <f>Water!I26</f>
        <v>4.2930000000000001</v>
      </c>
      <c r="I24" s="62">
        <f>ELECT.!F26</f>
        <v>14458</v>
      </c>
      <c r="J24" s="62">
        <f>ELECT.!H26</f>
        <v>42617</v>
      </c>
      <c r="K24" s="62">
        <f>ELECT.!K26</f>
        <v>4698</v>
      </c>
      <c r="L24" s="62">
        <f>ELECT.!M26</f>
        <v>6136</v>
      </c>
      <c r="M24" s="62">
        <f>ELECT.!O26</f>
        <v>8168</v>
      </c>
      <c r="N24" s="62">
        <f>ELECT.!Q26</f>
        <v>2352</v>
      </c>
      <c r="O24" s="62">
        <f>ELECT.!S26</f>
        <v>9510</v>
      </c>
      <c r="P24" s="62">
        <f>ELECT.!W26*2</f>
        <v>25340</v>
      </c>
      <c r="Q24" s="62">
        <f>ELECT.!D26</f>
        <v>1280</v>
      </c>
      <c r="R24" s="63">
        <f>BTU!C25</f>
        <v>2.7409999999999854</v>
      </c>
      <c r="S24" s="63">
        <f>BTU!F25</f>
        <v>0.59900000000016007</v>
      </c>
      <c r="T24" s="63">
        <f>BTU!I25</f>
        <v>0.29300000000000637</v>
      </c>
      <c r="U24" s="63">
        <f>BTU!O25</f>
        <v>1.2999999999999545</v>
      </c>
      <c r="V24" s="63">
        <f>BTU!L25</f>
        <v>1.2000000000625732E-2</v>
      </c>
      <c r="W24" s="63">
        <f>BTU!R25</f>
        <v>0</v>
      </c>
      <c r="X24" s="60">
        <f>ELECT.!B26</f>
        <v>318</v>
      </c>
      <c r="Y24" s="60">
        <f t="shared" si="0"/>
        <v>871</v>
      </c>
      <c r="Z24">
        <f>'Mall, Citadel, Rotana'!C26+'Mall, Citadel, Rotana'!E26+'Mall, Citadel, Rotana'!G26+'Mall, Citadel, Rotana'!I26</f>
        <v>979</v>
      </c>
      <c r="AA24">
        <f>'Mall, Citadel, Rotana'!K26+'Mall, Citadel, Rotana'!M26</f>
        <v>160</v>
      </c>
      <c r="AB24">
        <f>'Mall, Citadel, Rotana'!O26</f>
        <v>3</v>
      </c>
      <c r="AC24">
        <f>'Mall, Citadel, Rotana'!Q26+'Mall, Citadel, Rotana'!S26</f>
        <v>106</v>
      </c>
      <c r="AD24" s="60">
        <f t="shared" si="1"/>
        <v>92.484982599999995</v>
      </c>
      <c r="AE24" s="60">
        <f t="shared" si="2"/>
        <v>609.22201740000003</v>
      </c>
    </row>
    <row r="25" spans="1:31" x14ac:dyDescent="0.2">
      <c r="A25" s="76" t="s">
        <v>59</v>
      </c>
      <c r="B25" s="81">
        <f t="shared" si="3"/>
        <v>24</v>
      </c>
      <c r="C25" s="81">
        <v>1</v>
      </c>
      <c r="D25" s="81">
        <v>2019</v>
      </c>
      <c r="E25" s="62">
        <f>Water!C27</f>
        <v>900</v>
      </c>
      <c r="F25" s="62">
        <f>Water!E27</f>
        <v>423.9</v>
      </c>
      <c r="G25" s="62">
        <f>Water!G27</f>
        <v>345.6</v>
      </c>
      <c r="H25" s="62">
        <f>Water!I27</f>
        <v>4.077</v>
      </c>
      <c r="I25" s="62">
        <f>ELECT.!F27</f>
        <v>14092</v>
      </c>
      <c r="J25" s="62">
        <f>ELECT.!H27</f>
        <v>39732</v>
      </c>
      <c r="K25" s="62">
        <f>ELECT.!K27</f>
        <v>3653</v>
      </c>
      <c r="L25" s="62">
        <f>ELECT.!M27</f>
        <v>5629</v>
      </c>
      <c r="M25" s="62">
        <f>ELECT.!O27</f>
        <v>7040</v>
      </c>
      <c r="N25" s="62">
        <f>ELECT.!Q27</f>
        <v>2331</v>
      </c>
      <c r="O25" s="62">
        <f>ELECT.!S27</f>
        <v>9884</v>
      </c>
      <c r="P25" s="62">
        <f>ELECT.!W27*2</f>
        <v>22802</v>
      </c>
      <c r="Q25" s="62">
        <f>ELECT.!D27</f>
        <v>1280</v>
      </c>
      <c r="R25" s="63">
        <f>BTU!C26</f>
        <v>3.3400000000001455</v>
      </c>
      <c r="S25" s="63">
        <f>BTU!F26</f>
        <v>0.42999999999983629</v>
      </c>
      <c r="T25" s="63">
        <f>BTU!I26</f>
        <v>1.4900000000000091</v>
      </c>
      <c r="U25" s="63">
        <f>BTU!O26</f>
        <v>15000.678</v>
      </c>
      <c r="V25" s="63">
        <f>BTU!L26</f>
        <v>0.81799999999930151</v>
      </c>
      <c r="W25" s="63">
        <f>BTU!R26</f>
        <v>0</v>
      </c>
      <c r="X25" s="60">
        <f>ELECT.!B27</f>
        <v>318</v>
      </c>
      <c r="Y25" s="60">
        <f t="shared" si="0"/>
        <v>2485</v>
      </c>
      <c r="Z25">
        <f>'Mall, Citadel, Rotana'!C27+'Mall, Citadel, Rotana'!E27+'Mall, Citadel, Rotana'!G27+'Mall, Citadel, Rotana'!I27</f>
        <v>153</v>
      </c>
      <c r="AA25">
        <f>'Mall, Citadel, Rotana'!K27+'Mall, Citadel, Rotana'!M27</f>
        <v>0</v>
      </c>
      <c r="AB25">
        <f>'Mall, Citadel, Rotana'!O27</f>
        <v>3</v>
      </c>
      <c r="AC25">
        <f>'Mall, Citadel, Rotana'!Q27+'Mall, Citadel, Rotana'!S27</f>
        <v>187</v>
      </c>
      <c r="AD25" s="60">
        <f t="shared" si="1"/>
        <v>92.513451399999994</v>
      </c>
      <c r="AE25" s="60">
        <f t="shared" si="2"/>
        <v>609.40954859999999</v>
      </c>
    </row>
    <row r="26" spans="1:31" x14ac:dyDescent="0.2">
      <c r="A26" s="76" t="s">
        <v>59</v>
      </c>
      <c r="B26" s="81">
        <f>B25+1</f>
        <v>25</v>
      </c>
      <c r="C26" s="81">
        <v>1</v>
      </c>
      <c r="D26" s="81">
        <v>2019</v>
      </c>
      <c r="E26" s="62">
        <f>Water!C28</f>
        <v>930</v>
      </c>
      <c r="F26" s="62">
        <f>Water!E28</f>
        <v>423.9</v>
      </c>
      <c r="G26" s="62">
        <f>Water!G28</f>
        <v>361.8</v>
      </c>
      <c r="H26" s="62">
        <f>Water!I28</f>
        <v>3.2399999999999998</v>
      </c>
      <c r="I26" s="62">
        <f>ELECT.!F28</f>
        <v>13974</v>
      </c>
      <c r="J26" s="62">
        <f>ELECT.!H28</f>
        <v>45758</v>
      </c>
      <c r="K26" s="62">
        <f>ELECT.!K28</f>
        <v>5023</v>
      </c>
      <c r="L26" s="62">
        <f>ELECT.!M28</f>
        <v>6321</v>
      </c>
      <c r="M26" s="62">
        <f>ELECT.!O28</f>
        <v>8732</v>
      </c>
      <c r="N26" s="62">
        <f>ELECT.!Q28</f>
        <v>2334</v>
      </c>
      <c r="O26" s="62">
        <f>ELECT.!S28</f>
        <v>11976</v>
      </c>
      <c r="P26" s="62">
        <f>ELECT.!W28*2</f>
        <v>26062</v>
      </c>
      <c r="Q26" s="62">
        <f>ELECT.!D28</f>
        <v>1280</v>
      </c>
      <c r="R26" s="63">
        <f>BTU!C27</f>
        <v>3.8999999999996362</v>
      </c>
      <c r="S26" s="63">
        <f>BTU!F27</f>
        <v>0.47000000000025466</v>
      </c>
      <c r="T26" s="63">
        <f>BTU!I27</f>
        <v>1.5349999999999682</v>
      </c>
      <c r="U26" s="63" t="str">
        <f>BTU!O27</f>
        <v>0</v>
      </c>
      <c r="V26" s="63">
        <f>BTU!L27</f>
        <v>0.48000000000138243</v>
      </c>
      <c r="W26" s="63">
        <f>BTU!R27</f>
        <v>0</v>
      </c>
      <c r="X26" s="60">
        <f>ELECT.!B28</f>
        <v>305</v>
      </c>
      <c r="Y26" s="60">
        <f t="shared" si="0"/>
        <v>-716</v>
      </c>
      <c r="Z26">
        <f>'Mall, Citadel, Rotana'!C28+'Mall, Citadel, Rotana'!E28+'Mall, Citadel, Rotana'!G28+'Mall, Citadel, Rotana'!I28</f>
        <v>403</v>
      </c>
      <c r="AA26">
        <f>'Mall, Citadel, Rotana'!K28+'Mall, Citadel, Rotana'!M28</f>
        <v>0</v>
      </c>
      <c r="AB26">
        <f>'Mall, Citadel, Rotana'!O28</f>
        <v>1</v>
      </c>
      <c r="AC26">
        <f>'Mall, Citadel, Rotana'!Q28+'Mall, Citadel, Rotana'!S28</f>
        <v>312</v>
      </c>
      <c r="AD26" s="60">
        <f t="shared" si="1"/>
        <v>96.577768000000006</v>
      </c>
      <c r="AE26" s="60">
        <f t="shared" si="2"/>
        <v>636.182232</v>
      </c>
    </row>
    <row r="27" spans="1:31" x14ac:dyDescent="0.2">
      <c r="A27" s="76" t="s">
        <v>59</v>
      </c>
      <c r="B27" s="81">
        <f t="shared" si="3"/>
        <v>26</v>
      </c>
      <c r="C27" s="81">
        <v>1</v>
      </c>
      <c r="D27" s="81">
        <v>2019</v>
      </c>
      <c r="E27" s="62">
        <f>Water!C29</f>
        <v>930</v>
      </c>
      <c r="F27" s="62">
        <f>Water!E29</f>
        <v>418.5</v>
      </c>
      <c r="G27" s="62">
        <f>Water!G29</f>
        <v>375.3</v>
      </c>
      <c r="H27" s="62">
        <f>Water!I29</f>
        <v>4.1849999999999996</v>
      </c>
      <c r="I27" s="62">
        <f>ELECT.!F29</f>
        <v>14923</v>
      </c>
      <c r="J27" s="62">
        <f>ELECT.!H29</f>
        <v>33491</v>
      </c>
      <c r="K27" s="62">
        <f>ELECT.!K29</f>
        <v>3519</v>
      </c>
      <c r="L27" s="62">
        <f>ELECT.!M29</f>
        <v>4605</v>
      </c>
      <c r="M27" s="62">
        <f>ELECT.!O29</f>
        <v>6662</v>
      </c>
      <c r="N27" s="62">
        <f>ELECT.!Q29</f>
        <v>1961</v>
      </c>
      <c r="O27" s="62">
        <f>ELECT.!S29</f>
        <v>8220</v>
      </c>
      <c r="P27" s="62">
        <f>ELECT.!W29*2</f>
        <v>19256</v>
      </c>
      <c r="Q27" s="62">
        <f>ELECT.!D29</f>
        <v>1280</v>
      </c>
      <c r="R27" s="63">
        <f>BTU!C28</f>
        <v>1</v>
      </c>
      <c r="S27" s="63">
        <f>BTU!F28</f>
        <v>0</v>
      </c>
      <c r="T27" s="63">
        <f>BTU!I28</f>
        <v>0</v>
      </c>
      <c r="U27" s="63">
        <f>BTU!O28</f>
        <v>0</v>
      </c>
      <c r="V27" s="63">
        <f>BTU!L28</f>
        <v>0</v>
      </c>
      <c r="W27" s="63">
        <f>BTU!R28</f>
        <v>0</v>
      </c>
      <c r="X27" s="60">
        <f>ELECT.!B29</f>
        <v>337</v>
      </c>
      <c r="Y27" s="60">
        <f t="shared" si="0"/>
        <v>4191</v>
      </c>
      <c r="Z27">
        <f>'Mall, Citadel, Rotana'!C29+'Mall, Citadel, Rotana'!E29+'Mall, Citadel, Rotana'!G29+'Mall, Citadel, Rotana'!I29</f>
        <v>1978</v>
      </c>
      <c r="AA27">
        <f>'Mall, Citadel, Rotana'!K29+'Mall, Citadel, Rotana'!M29</f>
        <v>960</v>
      </c>
      <c r="AB27">
        <f>'Mall, Citadel, Rotana'!O29</f>
        <v>4</v>
      </c>
      <c r="AC27">
        <f>'Mall, Citadel, Rotana'!Q29+'Mall, Citadel, Rotana'!S29</f>
        <v>88</v>
      </c>
      <c r="AD27" s="60">
        <f t="shared" si="1"/>
        <v>96.453217000000009</v>
      </c>
      <c r="AE27" s="60">
        <f t="shared" si="2"/>
        <v>635.36178300000006</v>
      </c>
    </row>
    <row r="28" spans="1:31" x14ac:dyDescent="0.2">
      <c r="A28" s="76" t="s">
        <v>59</v>
      </c>
      <c r="B28" s="81">
        <f t="shared" si="3"/>
        <v>27</v>
      </c>
      <c r="C28" s="81">
        <v>1</v>
      </c>
      <c r="D28" s="81">
        <v>2019</v>
      </c>
      <c r="E28" s="62">
        <f>Water!C30</f>
        <v>1020</v>
      </c>
      <c r="F28" s="62">
        <f>Water!E30</f>
        <v>486</v>
      </c>
      <c r="G28" s="62">
        <f>Water!G30</f>
        <v>402.3</v>
      </c>
      <c r="H28" s="62">
        <f>Water!I30</f>
        <v>4.1040000000000001</v>
      </c>
      <c r="I28" s="62">
        <f>ELECT.!F30</f>
        <v>14345</v>
      </c>
      <c r="J28" s="62">
        <f>ELECT.!H30</f>
        <v>50445</v>
      </c>
      <c r="K28" s="62">
        <f>ELECT.!K30</f>
        <v>5429</v>
      </c>
      <c r="L28" s="62">
        <f>ELECT.!M30</f>
        <v>7696</v>
      </c>
      <c r="M28" s="62">
        <f>ELECT.!O30</f>
        <v>9962</v>
      </c>
      <c r="N28" s="62">
        <f>ELECT.!Q30</f>
        <v>3120</v>
      </c>
      <c r="O28" s="62">
        <f>ELECT.!S30</f>
        <v>12890</v>
      </c>
      <c r="P28" s="62">
        <f>ELECT.!W30*2</f>
        <v>28176</v>
      </c>
      <c r="Q28" s="62">
        <f>ELECT.!D30</f>
        <v>1280</v>
      </c>
      <c r="R28" s="63">
        <f>BTU!C29</f>
        <v>2.3999999999996362</v>
      </c>
      <c r="S28" s="63">
        <f>BTU!F29</f>
        <v>0.35500000000001819</v>
      </c>
      <c r="T28" s="63">
        <f>BTU!I29</f>
        <v>1.3190000000000737</v>
      </c>
      <c r="U28" s="63">
        <f>BTU!O29</f>
        <v>1.2880000000000109</v>
      </c>
      <c r="V28" s="63">
        <f>BTU!L29</f>
        <v>0.73999999999978172</v>
      </c>
      <c r="W28" s="63">
        <f>BTU!R29</f>
        <v>0.75</v>
      </c>
      <c r="X28" s="60">
        <f>ELECT.!B30</f>
        <v>360</v>
      </c>
      <c r="Y28" s="60">
        <f t="shared" si="0"/>
        <v>-2483</v>
      </c>
      <c r="Z28">
        <f>'Mall, Citadel, Rotana'!C30+'Mall, Citadel, Rotana'!E30+'Mall, Citadel, Rotana'!G30+'Mall, Citadel, Rotana'!I30</f>
        <v>1656</v>
      </c>
      <c r="AA28">
        <f>'Mall, Citadel, Rotana'!K30+'Mall, Citadel, Rotana'!M30</f>
        <v>800</v>
      </c>
      <c r="AB28">
        <f>'Mall, Citadel, Rotana'!O30</f>
        <v>4</v>
      </c>
      <c r="AC28">
        <f>'Mall, Citadel, Rotana'!Q30+'Mall, Citadel, Rotana'!S30</f>
        <v>174</v>
      </c>
      <c r="AD28" s="60">
        <f t="shared" si="1"/>
        <v>108.32589279999999</v>
      </c>
      <c r="AE28" s="60">
        <f t="shared" si="2"/>
        <v>713.57010719999994</v>
      </c>
    </row>
    <row r="29" spans="1:31" x14ac:dyDescent="0.2">
      <c r="A29" s="76" t="s">
        <v>59</v>
      </c>
      <c r="B29" s="81">
        <f t="shared" si="3"/>
        <v>28</v>
      </c>
      <c r="C29" s="81">
        <v>1</v>
      </c>
      <c r="D29" s="81">
        <v>2019</v>
      </c>
      <c r="E29" s="62">
        <f>Water!C31</f>
        <v>1160</v>
      </c>
      <c r="F29" s="62">
        <f>Water!E31</f>
        <v>526.5</v>
      </c>
      <c r="G29" s="62">
        <f>Water!G31</f>
        <v>521.1</v>
      </c>
      <c r="H29" s="62">
        <f>Water!I31</f>
        <v>4.5359999999999996</v>
      </c>
      <c r="I29" s="62">
        <f>ELECT.!F31</f>
        <v>14041</v>
      </c>
      <c r="J29" s="62">
        <f>ELECT.!H31</f>
        <v>40384</v>
      </c>
      <c r="K29" s="62">
        <f>ELECT.!K31</f>
        <v>4393</v>
      </c>
      <c r="L29" s="62">
        <f>ELECT.!M31</f>
        <v>6154</v>
      </c>
      <c r="M29" s="62">
        <f>ELECT.!O31</f>
        <v>7716</v>
      </c>
      <c r="N29" s="62">
        <f>ELECT.!Q31</f>
        <v>2604</v>
      </c>
      <c r="O29" s="62">
        <f>ELECT.!S31</f>
        <v>10240</v>
      </c>
      <c r="P29" s="62">
        <f>ELECT.!W31*2</f>
        <v>22474</v>
      </c>
      <c r="Q29" s="62">
        <f>ELECT.!D31</f>
        <v>1280</v>
      </c>
      <c r="R29" s="63">
        <f>BTU!C30</f>
        <v>7.0290000000004511</v>
      </c>
      <c r="S29" s="63">
        <f>BTU!F30</f>
        <v>1.4279999999998836</v>
      </c>
      <c r="T29" s="63">
        <f>BTU!I30</f>
        <v>3.1599999999999682</v>
      </c>
      <c r="U29" s="63">
        <f>BTU!O30</f>
        <v>2.2809999999999491</v>
      </c>
      <c r="V29" s="63">
        <f>BTU!L30</f>
        <v>2.0799999999999272</v>
      </c>
      <c r="W29" s="63">
        <f>BTU!R30</f>
        <v>1.3200000000001637</v>
      </c>
      <c r="X29" s="60">
        <f>ELECT.!B31</f>
        <v>365</v>
      </c>
      <c r="Y29" s="60">
        <f t="shared" si="0"/>
        <v>844</v>
      </c>
      <c r="Z29">
        <f>'Mall, Citadel, Rotana'!C31+'Mall, Citadel, Rotana'!E31+'Mall, Citadel, Rotana'!G31+'Mall, Citadel, Rotana'!I31</f>
        <v>834</v>
      </c>
      <c r="AA29">
        <f>'Mall, Citadel, Rotana'!K31+'Mall, Citadel, Rotana'!M31</f>
        <v>640</v>
      </c>
      <c r="AB29">
        <f>'Mall, Citadel, Rotana'!O31</f>
        <v>2</v>
      </c>
      <c r="AC29">
        <f>'Mall, Citadel, Rotana'!Q31+'Mall, Citadel, Rotana'!S31</f>
        <v>162</v>
      </c>
      <c r="AD29" s="60">
        <f t="shared" si="1"/>
        <v>126.72095519999999</v>
      </c>
      <c r="AE29" s="60">
        <f t="shared" si="2"/>
        <v>834.74304480000001</v>
      </c>
    </row>
    <row r="30" spans="1:31" x14ac:dyDescent="0.2">
      <c r="A30" s="76" t="s">
        <v>59</v>
      </c>
      <c r="B30" s="81">
        <f t="shared" si="3"/>
        <v>29</v>
      </c>
      <c r="C30" s="81">
        <v>1</v>
      </c>
      <c r="D30" s="81">
        <v>2019</v>
      </c>
      <c r="E30" s="62">
        <f>Water!C32</f>
        <v>950</v>
      </c>
      <c r="F30" s="62">
        <f>Water!E32</f>
        <v>418.5</v>
      </c>
      <c r="G30" s="62">
        <f>Water!G32</f>
        <v>364.5</v>
      </c>
      <c r="H30" s="62">
        <f>Water!I32</f>
        <v>4.0229999999999997</v>
      </c>
      <c r="I30" s="62">
        <f>ELECT.!F32</f>
        <v>10958</v>
      </c>
      <c r="J30" s="62">
        <f>ELECT.!H32</f>
        <v>31970</v>
      </c>
      <c r="K30" s="62">
        <f>ELECT.!K32</f>
        <v>3448</v>
      </c>
      <c r="L30" s="62">
        <f>ELECT.!M32</f>
        <v>4694</v>
      </c>
      <c r="M30" s="62">
        <f>ELECT.!O32</f>
        <v>6136</v>
      </c>
      <c r="N30" s="62">
        <f>ELECT.!Q32</f>
        <v>1956</v>
      </c>
      <c r="O30" s="62">
        <f>ELECT.!S32</f>
        <v>8115</v>
      </c>
      <c r="P30" s="62">
        <f>ELECT.!W32*2</f>
        <v>17930</v>
      </c>
      <c r="Q30" s="62">
        <f>ELECT.!D32</f>
        <v>1280</v>
      </c>
      <c r="R30" s="63">
        <f>BTU!C31</f>
        <v>3.6589999999996508</v>
      </c>
      <c r="S30" s="63">
        <f>BTU!F31</f>
        <v>0.61699999999973443</v>
      </c>
      <c r="T30" s="63">
        <f>BTU!I31</f>
        <v>1.51400000000001</v>
      </c>
      <c r="U30" s="63">
        <f>BTU!O31</f>
        <v>0.97000000000002728</v>
      </c>
      <c r="V30" s="63">
        <f>BTU!L31</f>
        <v>1.069999999999709</v>
      </c>
      <c r="W30" s="63">
        <f>BTU!R31</f>
        <v>0.43999999999959982</v>
      </c>
      <c r="X30" s="60">
        <f>ELECT.!B32</f>
        <v>360</v>
      </c>
      <c r="Y30" s="60">
        <f t="shared" si="0"/>
        <v>649</v>
      </c>
      <c r="Z30">
        <f>'Mall, Citadel, Rotana'!C32+'Mall, Citadel, Rotana'!E32+'Mall, Citadel, Rotana'!G32+'Mall, Citadel, Rotana'!I32</f>
        <v>1176</v>
      </c>
      <c r="AA30">
        <f>'Mall, Citadel, Rotana'!K32+'Mall, Citadel, Rotana'!M32</f>
        <v>960</v>
      </c>
      <c r="AB30">
        <f>'Mall, Citadel, Rotana'!O32</f>
        <v>4</v>
      </c>
      <c r="AC30">
        <f>'Mall, Citadel, Rotana'!Q32+'Mall, Citadel, Rotana'!S32</f>
        <v>116</v>
      </c>
      <c r="AD30" s="60">
        <f t="shared" si="1"/>
        <v>99.110568599999993</v>
      </c>
      <c r="AE30" s="60">
        <f t="shared" si="2"/>
        <v>652.86643140000001</v>
      </c>
    </row>
    <row r="31" spans="1:31" x14ac:dyDescent="0.2">
      <c r="A31" s="76" t="s">
        <v>59</v>
      </c>
      <c r="B31" s="81">
        <f t="shared" si="3"/>
        <v>30</v>
      </c>
      <c r="C31" s="81">
        <v>1</v>
      </c>
      <c r="D31" s="81">
        <v>2019</v>
      </c>
      <c r="E31" s="62">
        <f>Water!C33</f>
        <v>1080</v>
      </c>
      <c r="F31" s="62">
        <f>Water!E33</f>
        <v>510.3</v>
      </c>
      <c r="G31" s="62">
        <f>Water!G33</f>
        <v>413.1</v>
      </c>
      <c r="H31" s="62">
        <f>Water!I33</f>
        <v>3.996</v>
      </c>
      <c r="I31" s="62">
        <f>ELECT.!F33</f>
        <v>19432</v>
      </c>
      <c r="J31" s="62">
        <f>ELECT.!H33</f>
        <v>59082</v>
      </c>
      <c r="K31" s="62">
        <f>ELECT.!K33</f>
        <v>7979</v>
      </c>
      <c r="L31" s="62">
        <f>ELECT.!M33</f>
        <v>8733</v>
      </c>
      <c r="M31" s="62">
        <f>ELECT.!O33</f>
        <v>10494</v>
      </c>
      <c r="N31" s="62">
        <f>ELECT.!Q33</f>
        <v>3584</v>
      </c>
      <c r="O31" s="62">
        <f>ELECT.!S33</f>
        <v>14400</v>
      </c>
      <c r="P31" s="62">
        <f>ELECT.!W33*2</f>
        <v>32166</v>
      </c>
      <c r="Q31" s="62">
        <f>ELECT.!D33</f>
        <v>480</v>
      </c>
      <c r="R31" s="63" t="str">
        <f>BTU!C32</f>
        <v>0</v>
      </c>
      <c r="S31" s="63" t="str">
        <f>BTU!F32</f>
        <v>0</v>
      </c>
      <c r="T31" s="63" t="str">
        <f>BTU!I32</f>
        <v>0</v>
      </c>
      <c r="U31" s="63" t="str">
        <f>BTU!O32</f>
        <v>0</v>
      </c>
      <c r="V31" s="63" t="str">
        <f>BTU!L32</f>
        <v>0</v>
      </c>
      <c r="W31" s="63" t="str">
        <f>BTU!R32</f>
        <v>0</v>
      </c>
      <c r="X31" s="60">
        <f>ELECT.!B33</f>
        <v>331</v>
      </c>
      <c r="Y31" s="60">
        <f t="shared" si="0"/>
        <v>1158</v>
      </c>
      <c r="Z31">
        <f>'Mall, Citadel, Rotana'!C33+'Mall, Citadel, Rotana'!E33+'Mall, Citadel, Rotana'!G33+'Mall, Citadel, Rotana'!I33</f>
        <v>1374</v>
      </c>
      <c r="AA31">
        <f>'Mall, Citadel, Rotana'!K33+'Mall, Citadel, Rotana'!M33</f>
        <v>640</v>
      </c>
      <c r="AB31">
        <f>'Mall, Citadel, Rotana'!O33</f>
        <v>2</v>
      </c>
      <c r="AC31">
        <f>'Mall, Citadel, Rotana'!Q33+'Mall, Citadel, Rotana'!S33</f>
        <v>88</v>
      </c>
      <c r="AD31" s="60">
        <f t="shared" si="1"/>
        <v>116.24812719999998</v>
      </c>
      <c r="AE31" s="60">
        <f t="shared" si="2"/>
        <v>765.75587279999991</v>
      </c>
    </row>
    <row r="32" spans="1:31" x14ac:dyDescent="0.2">
      <c r="A32" s="76" t="s">
        <v>59</v>
      </c>
      <c r="B32" s="81">
        <v>31</v>
      </c>
      <c r="C32" s="81">
        <v>1</v>
      </c>
      <c r="D32" s="81">
        <v>2019</v>
      </c>
      <c r="E32" s="62">
        <f>Water!C34</f>
        <v>1200</v>
      </c>
      <c r="F32" s="62">
        <f>Water!E34</f>
        <v>499.5</v>
      </c>
      <c r="G32" s="62">
        <f>Water!G34</f>
        <v>434.7</v>
      </c>
      <c r="H32" s="62">
        <f>Water!I34</f>
        <v>3.726</v>
      </c>
      <c r="I32" s="62">
        <f>ELECT.!F34</f>
        <v>5379</v>
      </c>
      <c r="J32" s="62">
        <f>ELECT.!H34</f>
        <v>17995</v>
      </c>
      <c r="K32" s="62">
        <f>ELECT.!K34</f>
        <v>1969</v>
      </c>
      <c r="L32" s="62">
        <f>ELECT.!M34</f>
        <v>2082</v>
      </c>
      <c r="M32" s="62">
        <f>ELECT.!O34</f>
        <v>3210</v>
      </c>
      <c r="N32" s="62">
        <f>ELECT.!Q34</f>
        <v>1115</v>
      </c>
      <c r="O32" s="62">
        <f>ELECT.!S34</f>
        <v>4462</v>
      </c>
      <c r="P32" s="62">
        <f>ELECT.!W34*2</f>
        <v>10150</v>
      </c>
      <c r="Q32" s="62">
        <f>ELECT.!D34</f>
        <v>640</v>
      </c>
      <c r="R32" s="63">
        <f>BTU!C33</f>
        <v>0</v>
      </c>
      <c r="S32" s="63">
        <f>BTU!F33</f>
        <v>0</v>
      </c>
      <c r="T32" s="63">
        <f>BTU!I33</f>
        <v>0</v>
      </c>
      <c r="U32" s="63">
        <f>BTU!O33</f>
        <v>0</v>
      </c>
      <c r="V32" s="63">
        <f>BTU!L33</f>
        <v>0</v>
      </c>
      <c r="W32" s="63">
        <f>BTU!R33</f>
        <v>0</v>
      </c>
      <c r="X32" s="60">
        <f>ELECT.!B34</f>
        <v>358</v>
      </c>
      <c r="Y32" s="60">
        <f>I32+J32-(K32+L32+M32+N32+O32+P32)</f>
        <v>386</v>
      </c>
      <c r="Z32">
        <f>'Mall, Citadel, Rotana'!C34+'Mall, Citadel, Rotana'!E34+'Mall, Citadel, Rotana'!G34+'Mall, Citadel, Rotana'!I34</f>
        <v>1083</v>
      </c>
      <c r="AA32">
        <f>'Mall, Citadel, Rotana'!K34+'Mall, Citadel, Rotana'!M34</f>
        <v>640</v>
      </c>
      <c r="AB32">
        <f>'Mall, Citadel, Rotana'!O34</f>
        <v>2</v>
      </c>
      <c r="AC32">
        <f>'Mall, Citadel, Rotana'!Q34+'Mall, Citadel, Rotana'!S34</f>
        <v>59</v>
      </c>
      <c r="AD32" s="60">
        <f>(E32-H32-194)*0.1318</f>
        <v>132.0997132</v>
      </c>
      <c r="AE32" s="60">
        <f>E32-H32-AD32-194</f>
        <v>870.17428679999989</v>
      </c>
    </row>
    <row r="35" spans="9:9" x14ac:dyDescent="0.2">
      <c r="I35" s="62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zoomScale="55" zoomScaleNormal="55" workbookViewId="0">
      <selection activeCell="R34" sqref="R34"/>
    </sheetView>
  </sheetViews>
  <sheetFormatPr defaultRowHeight="12.75" x14ac:dyDescent="0.2"/>
  <cols>
    <col min="1" max="1" width="16.5703125" style="19" bestFit="1" customWidth="1"/>
    <col min="2" max="2" width="10.5703125" style="22" bestFit="1" customWidth="1"/>
    <col min="3" max="3" width="11.42578125" style="23" bestFit="1" customWidth="1"/>
    <col min="4" max="4" width="10.85546875" style="22" bestFit="1" customWidth="1"/>
    <col min="5" max="5" width="11.42578125" style="23" bestFit="1" customWidth="1"/>
    <col min="6" max="6" width="8.7109375" style="22" customWidth="1"/>
    <col min="7" max="7" width="9.7109375" style="23" bestFit="1" customWidth="1"/>
    <col min="8" max="8" width="10" style="22" bestFit="1" customWidth="1"/>
    <col min="9" max="9" width="9.7109375" style="23" bestFit="1" customWidth="1"/>
    <col min="10" max="10" width="9.28515625" style="22" bestFit="1" customWidth="1"/>
    <col min="11" max="11" width="9.7109375" style="23" bestFit="1" customWidth="1"/>
    <col min="12" max="12" width="10" style="22" bestFit="1" customWidth="1"/>
    <col min="13" max="13" width="14.140625" style="23" bestFit="1" customWidth="1"/>
    <col min="14" max="14" width="11.42578125" style="56" customWidth="1"/>
    <col min="15" max="15" width="11.42578125" style="23" customWidth="1"/>
    <col min="16" max="16" width="10" style="22" bestFit="1" customWidth="1"/>
    <col min="17" max="17" width="9.7109375" style="23" bestFit="1" customWidth="1"/>
    <col min="18" max="18" width="8.7109375" style="22" customWidth="1"/>
    <col min="19" max="19" width="8.42578125" style="23" bestFit="1" customWidth="1"/>
  </cols>
  <sheetData>
    <row r="1" spans="1:24" ht="13.5" thickBot="1" x14ac:dyDescent="0.25">
      <c r="A1" s="128" t="s">
        <v>128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</row>
    <row r="2" spans="1:24" s="16" customFormat="1" ht="15.75" thickBot="1" x14ac:dyDescent="0.25">
      <c r="A2" s="13" t="s">
        <v>0</v>
      </c>
      <c r="B2" s="1" t="s">
        <v>14</v>
      </c>
      <c r="C2" s="14" t="s">
        <v>15</v>
      </c>
      <c r="D2" s="1" t="s">
        <v>16</v>
      </c>
      <c r="E2" s="14" t="s">
        <v>17</v>
      </c>
      <c r="F2" s="1" t="s">
        <v>18</v>
      </c>
      <c r="G2" s="14" t="s">
        <v>17</v>
      </c>
      <c r="H2" s="1" t="s">
        <v>19</v>
      </c>
      <c r="I2" s="14" t="s">
        <v>17</v>
      </c>
      <c r="J2" s="1" t="s">
        <v>20</v>
      </c>
      <c r="K2" s="14" t="s">
        <v>17</v>
      </c>
      <c r="L2" s="1" t="s">
        <v>21</v>
      </c>
      <c r="M2" s="14" t="s">
        <v>17</v>
      </c>
      <c r="N2" s="57" t="s">
        <v>50</v>
      </c>
      <c r="O2" s="14" t="s">
        <v>17</v>
      </c>
      <c r="P2" s="1" t="s">
        <v>22</v>
      </c>
      <c r="Q2" s="14" t="s">
        <v>17</v>
      </c>
      <c r="R2" s="1" t="s">
        <v>23</v>
      </c>
      <c r="S2" s="15" t="s">
        <v>17</v>
      </c>
    </row>
    <row r="3" spans="1:24" ht="13.5" thickBot="1" x14ac:dyDescent="0.25">
      <c r="A3" s="10" t="s">
        <v>24</v>
      </c>
      <c r="B3" s="1">
        <v>41222</v>
      </c>
      <c r="C3" s="17"/>
      <c r="D3" s="1">
        <v>37066</v>
      </c>
      <c r="E3" s="17"/>
      <c r="F3" s="1">
        <v>17159</v>
      </c>
      <c r="G3" s="17"/>
      <c r="H3" s="1">
        <v>213152</v>
      </c>
      <c r="I3" s="17"/>
      <c r="J3" s="1">
        <v>303515</v>
      </c>
      <c r="K3" s="17"/>
      <c r="L3" s="1">
        <v>21668</v>
      </c>
      <c r="M3" s="17"/>
      <c r="N3" s="57">
        <v>167792</v>
      </c>
      <c r="O3" s="17"/>
      <c r="P3" s="1">
        <v>963408</v>
      </c>
      <c r="Q3" s="17"/>
      <c r="R3" s="1">
        <v>55047</v>
      </c>
      <c r="S3" s="17"/>
    </row>
    <row r="4" spans="1:24" ht="13.5" thickBot="1" x14ac:dyDescent="0.25">
      <c r="A4" s="10">
        <v>43466</v>
      </c>
      <c r="B4" s="1">
        <v>41227</v>
      </c>
      <c r="C4" s="17">
        <f t="shared" ref="C4:C33" si="0">(B4-B3)*600/5</f>
        <v>600</v>
      </c>
      <c r="D4" s="1">
        <v>37069</v>
      </c>
      <c r="E4" s="17">
        <f>(D4-D3)*800/5</f>
        <v>480</v>
      </c>
      <c r="F4" s="1">
        <v>17163</v>
      </c>
      <c r="G4" s="17">
        <f>(F4-F3)*100/5</f>
        <v>80</v>
      </c>
      <c r="H4" s="1">
        <v>213165</v>
      </c>
      <c r="I4" s="17">
        <f>H4-H3</f>
        <v>13</v>
      </c>
      <c r="J4" s="1">
        <v>303515</v>
      </c>
      <c r="K4" s="17">
        <f t="shared" ref="K4:K33" si="1">J4-J3</f>
        <v>0</v>
      </c>
      <c r="L4" s="1">
        <v>21669</v>
      </c>
      <c r="M4" s="17">
        <f>(L4-L3)*800/5</f>
        <v>160</v>
      </c>
      <c r="N4" s="57">
        <v>167795</v>
      </c>
      <c r="O4" s="17">
        <f>N4-N3</f>
        <v>3</v>
      </c>
      <c r="P4" s="1">
        <v>963471</v>
      </c>
      <c r="Q4" s="17">
        <f t="shared" ref="Q4:Q31" si="2">P4-P3</f>
        <v>63</v>
      </c>
      <c r="R4" s="1">
        <v>55047</v>
      </c>
      <c r="S4" s="17">
        <f>R4-R3</f>
        <v>0</v>
      </c>
    </row>
    <row r="5" spans="1:24" ht="13.5" thickBot="1" x14ac:dyDescent="0.25">
      <c r="A5" s="10">
        <v>43467</v>
      </c>
      <c r="B5" s="1">
        <v>41231</v>
      </c>
      <c r="C5" s="17">
        <f t="shared" si="0"/>
        <v>480</v>
      </c>
      <c r="D5" s="1">
        <v>37073</v>
      </c>
      <c r="E5" s="17">
        <f t="shared" ref="E5:E33" si="3">(D5-D4)*800/5</f>
        <v>640</v>
      </c>
      <c r="F5" s="1">
        <v>17167</v>
      </c>
      <c r="G5" s="17">
        <f t="shared" ref="G5:G33" si="4">(F5-F4)*100/5</f>
        <v>80</v>
      </c>
      <c r="H5" s="1">
        <v>213178</v>
      </c>
      <c r="I5" s="17">
        <f t="shared" ref="I5:I33" si="5">H5-H4</f>
        <v>13</v>
      </c>
      <c r="J5" s="1">
        <v>303515</v>
      </c>
      <c r="K5" s="17">
        <f t="shared" si="1"/>
        <v>0</v>
      </c>
      <c r="L5" s="1">
        <v>21675</v>
      </c>
      <c r="M5" s="17">
        <f t="shared" ref="M5:M33" si="6">(L5-L4)*800/5</f>
        <v>960</v>
      </c>
      <c r="N5" s="57">
        <v>167798</v>
      </c>
      <c r="O5" s="17">
        <f t="shared" ref="O5:O34" si="7">N5-N4</f>
        <v>3</v>
      </c>
      <c r="P5" s="1">
        <v>963482</v>
      </c>
      <c r="Q5" s="17">
        <f t="shared" si="2"/>
        <v>11</v>
      </c>
      <c r="R5" s="1">
        <v>55047</v>
      </c>
      <c r="S5" s="17">
        <f t="shared" ref="S5:S31" si="8">R5-R4</f>
        <v>0</v>
      </c>
    </row>
    <row r="6" spans="1:24" ht="13.5" thickBot="1" x14ac:dyDescent="0.25">
      <c r="A6" s="10">
        <v>43468</v>
      </c>
      <c r="B6" s="1">
        <v>41238</v>
      </c>
      <c r="C6" s="17">
        <f t="shared" si="0"/>
        <v>840</v>
      </c>
      <c r="D6" s="1">
        <v>37076</v>
      </c>
      <c r="E6" s="17">
        <f t="shared" si="3"/>
        <v>480</v>
      </c>
      <c r="F6" s="1">
        <v>17172</v>
      </c>
      <c r="G6" s="17">
        <f t="shared" si="4"/>
        <v>100</v>
      </c>
      <c r="H6" s="1">
        <v>213195</v>
      </c>
      <c r="I6" s="17">
        <f t="shared" si="5"/>
        <v>17</v>
      </c>
      <c r="J6" s="1">
        <v>303515</v>
      </c>
      <c r="K6" s="17">
        <f t="shared" si="1"/>
        <v>0</v>
      </c>
      <c r="L6" s="1">
        <v>21679</v>
      </c>
      <c r="M6" s="17">
        <f t="shared" si="6"/>
        <v>640</v>
      </c>
      <c r="N6" s="57">
        <v>167801</v>
      </c>
      <c r="O6" s="17">
        <f t="shared" si="7"/>
        <v>3</v>
      </c>
      <c r="P6" s="1">
        <v>963986</v>
      </c>
      <c r="Q6" s="17">
        <f t="shared" si="2"/>
        <v>504</v>
      </c>
      <c r="R6" s="1">
        <v>55047</v>
      </c>
      <c r="S6" s="17">
        <f t="shared" si="8"/>
        <v>0</v>
      </c>
    </row>
    <row r="7" spans="1:24" ht="13.5" thickBot="1" x14ac:dyDescent="0.25">
      <c r="A7" s="10">
        <v>43469</v>
      </c>
      <c r="B7" s="1">
        <v>41243</v>
      </c>
      <c r="C7" s="17">
        <f t="shared" si="0"/>
        <v>600</v>
      </c>
      <c r="D7" s="1">
        <v>37078</v>
      </c>
      <c r="E7" s="17">
        <f t="shared" si="3"/>
        <v>320</v>
      </c>
      <c r="F7" s="1">
        <v>17176</v>
      </c>
      <c r="G7" s="17">
        <f t="shared" si="4"/>
        <v>80</v>
      </c>
      <c r="H7" s="1">
        <v>213205</v>
      </c>
      <c r="I7" s="17">
        <f t="shared" si="5"/>
        <v>10</v>
      </c>
      <c r="J7" s="1">
        <v>303515</v>
      </c>
      <c r="K7" s="17">
        <f t="shared" si="1"/>
        <v>0</v>
      </c>
      <c r="L7" s="1">
        <v>21683</v>
      </c>
      <c r="M7" s="17">
        <f t="shared" si="6"/>
        <v>640</v>
      </c>
      <c r="N7" s="57">
        <v>167803</v>
      </c>
      <c r="O7" s="17">
        <f t="shared" si="7"/>
        <v>2</v>
      </c>
      <c r="P7" s="1">
        <v>963999</v>
      </c>
      <c r="Q7" s="17">
        <f t="shared" si="2"/>
        <v>13</v>
      </c>
      <c r="R7" s="1">
        <v>55047</v>
      </c>
      <c r="S7" s="17">
        <f t="shared" si="8"/>
        <v>0</v>
      </c>
    </row>
    <row r="8" spans="1:24" ht="13.5" thickBot="1" x14ac:dyDescent="0.25">
      <c r="A8" s="10">
        <v>43470</v>
      </c>
      <c r="B8" s="1">
        <v>41248</v>
      </c>
      <c r="C8" s="17">
        <f t="shared" si="0"/>
        <v>600</v>
      </c>
      <c r="D8" s="1">
        <v>37082</v>
      </c>
      <c r="E8" s="17">
        <f t="shared" si="3"/>
        <v>640</v>
      </c>
      <c r="F8" s="1">
        <v>17180</v>
      </c>
      <c r="G8" s="17">
        <f t="shared" si="4"/>
        <v>80</v>
      </c>
      <c r="H8" s="1">
        <v>213224</v>
      </c>
      <c r="I8" s="17">
        <f t="shared" si="5"/>
        <v>19</v>
      </c>
      <c r="J8" s="1">
        <v>303515</v>
      </c>
      <c r="K8" s="17">
        <f t="shared" si="1"/>
        <v>0</v>
      </c>
      <c r="L8" s="1">
        <v>21685</v>
      </c>
      <c r="M8" s="17">
        <f t="shared" si="6"/>
        <v>320</v>
      </c>
      <c r="N8" s="57">
        <v>167807</v>
      </c>
      <c r="O8" s="17">
        <f t="shared" si="7"/>
        <v>4</v>
      </c>
      <c r="P8" s="1">
        <v>964206</v>
      </c>
      <c r="Q8" s="17">
        <f t="shared" si="2"/>
        <v>207</v>
      </c>
      <c r="R8" s="1">
        <v>55047</v>
      </c>
      <c r="S8" s="17">
        <f t="shared" si="8"/>
        <v>0</v>
      </c>
    </row>
    <row r="9" spans="1:24" ht="13.5" thickBot="1" x14ac:dyDescent="0.25">
      <c r="A9" s="10">
        <v>43471</v>
      </c>
      <c r="B9" s="1">
        <v>41254</v>
      </c>
      <c r="C9" s="17">
        <f t="shared" si="0"/>
        <v>720</v>
      </c>
      <c r="D9" s="1">
        <v>37085</v>
      </c>
      <c r="E9" s="17">
        <f t="shared" si="3"/>
        <v>480</v>
      </c>
      <c r="F9" s="1">
        <v>17185</v>
      </c>
      <c r="G9" s="17">
        <f t="shared" si="4"/>
        <v>100</v>
      </c>
      <c r="H9" s="1">
        <v>213240</v>
      </c>
      <c r="I9" s="17">
        <f t="shared" si="5"/>
        <v>16</v>
      </c>
      <c r="J9" s="1">
        <v>303515</v>
      </c>
      <c r="K9" s="17">
        <f t="shared" si="1"/>
        <v>0</v>
      </c>
      <c r="L9" s="1">
        <v>21690</v>
      </c>
      <c r="M9" s="17">
        <f t="shared" si="6"/>
        <v>800</v>
      </c>
      <c r="N9" s="57">
        <v>167810</v>
      </c>
      <c r="O9" s="17">
        <f t="shared" si="7"/>
        <v>3</v>
      </c>
      <c r="P9" s="1">
        <v>964406</v>
      </c>
      <c r="Q9" s="17">
        <f t="shared" si="2"/>
        <v>200</v>
      </c>
      <c r="R9" s="1">
        <v>55047</v>
      </c>
      <c r="S9" s="17">
        <f t="shared" si="8"/>
        <v>0</v>
      </c>
    </row>
    <row r="10" spans="1:24" ht="13.5" thickBot="1" x14ac:dyDescent="0.25">
      <c r="A10" s="10">
        <v>43472</v>
      </c>
      <c r="B10" s="1">
        <v>41259</v>
      </c>
      <c r="C10" s="17">
        <f t="shared" si="0"/>
        <v>600</v>
      </c>
      <c r="D10" s="1">
        <v>37087</v>
      </c>
      <c r="E10" s="17">
        <f t="shared" si="3"/>
        <v>320</v>
      </c>
      <c r="F10" s="1">
        <v>17189</v>
      </c>
      <c r="G10" s="17">
        <f t="shared" si="4"/>
        <v>80</v>
      </c>
      <c r="H10" s="1">
        <v>213251</v>
      </c>
      <c r="I10" s="17">
        <f t="shared" si="5"/>
        <v>11</v>
      </c>
      <c r="J10" s="1">
        <v>303515</v>
      </c>
      <c r="K10" s="17">
        <f t="shared" si="1"/>
        <v>0</v>
      </c>
      <c r="L10" s="1">
        <v>21693</v>
      </c>
      <c r="M10" s="17">
        <f t="shared" si="6"/>
        <v>480</v>
      </c>
      <c r="N10" s="57">
        <v>167813</v>
      </c>
      <c r="O10" s="17">
        <f t="shared" si="7"/>
        <v>3</v>
      </c>
      <c r="P10" s="1">
        <v>964609</v>
      </c>
      <c r="Q10" s="17">
        <f>P10-P9</f>
        <v>203</v>
      </c>
      <c r="R10" s="1">
        <v>55047</v>
      </c>
      <c r="S10" s="17">
        <f>R10-R9</f>
        <v>0</v>
      </c>
    </row>
    <row r="11" spans="1:24" ht="13.5" thickBot="1" x14ac:dyDescent="0.25">
      <c r="A11" s="10">
        <v>43473</v>
      </c>
      <c r="B11" s="1">
        <v>41264</v>
      </c>
      <c r="C11" s="17">
        <f t="shared" si="0"/>
        <v>600</v>
      </c>
      <c r="D11" s="1">
        <v>37092</v>
      </c>
      <c r="E11" s="17">
        <f t="shared" si="3"/>
        <v>800</v>
      </c>
      <c r="F11" s="1">
        <v>17192</v>
      </c>
      <c r="G11" s="17">
        <f t="shared" si="4"/>
        <v>60</v>
      </c>
      <c r="H11" s="1">
        <v>213265</v>
      </c>
      <c r="I11" s="17">
        <f t="shared" si="5"/>
        <v>14</v>
      </c>
      <c r="J11" s="1">
        <v>303515</v>
      </c>
      <c r="K11" s="17">
        <f t="shared" si="1"/>
        <v>0</v>
      </c>
      <c r="L11" s="1">
        <v>21697</v>
      </c>
      <c r="M11" s="17">
        <f t="shared" si="6"/>
        <v>640</v>
      </c>
      <c r="N11" s="57">
        <v>167816</v>
      </c>
      <c r="O11" s="17">
        <f t="shared" si="7"/>
        <v>3</v>
      </c>
      <c r="P11" s="1">
        <v>964814</v>
      </c>
      <c r="Q11" s="17">
        <f>P11-P10</f>
        <v>205</v>
      </c>
      <c r="R11" s="1">
        <v>55047</v>
      </c>
      <c r="S11" s="17">
        <f>R11-R10</f>
        <v>0</v>
      </c>
    </row>
    <row r="12" spans="1:24" ht="13.5" thickBot="1" x14ac:dyDescent="0.25">
      <c r="A12" s="10">
        <v>43474</v>
      </c>
      <c r="B12" s="1">
        <v>41270</v>
      </c>
      <c r="C12" s="17">
        <f t="shared" si="0"/>
        <v>720</v>
      </c>
      <c r="D12" s="1">
        <v>37095</v>
      </c>
      <c r="E12" s="17">
        <f t="shared" si="3"/>
        <v>480</v>
      </c>
      <c r="F12" s="1">
        <v>17199</v>
      </c>
      <c r="G12" s="17">
        <f>(F12-F11)*100/5</f>
        <v>140</v>
      </c>
      <c r="H12" s="1">
        <v>213277</v>
      </c>
      <c r="I12" s="17">
        <f t="shared" si="5"/>
        <v>12</v>
      </c>
      <c r="J12" s="1">
        <v>303515</v>
      </c>
      <c r="K12" s="17">
        <f t="shared" si="1"/>
        <v>0</v>
      </c>
      <c r="L12" s="1">
        <v>21703</v>
      </c>
      <c r="M12" s="17">
        <f t="shared" si="6"/>
        <v>960</v>
      </c>
      <c r="N12" s="57">
        <v>167818</v>
      </c>
      <c r="O12" s="17">
        <f t="shared" si="7"/>
        <v>2</v>
      </c>
      <c r="P12" s="1">
        <v>964908</v>
      </c>
      <c r="Q12" s="17">
        <f t="shared" si="2"/>
        <v>94</v>
      </c>
      <c r="R12" s="1">
        <v>55047</v>
      </c>
      <c r="S12" s="17">
        <f t="shared" si="8"/>
        <v>0</v>
      </c>
    </row>
    <row r="13" spans="1:24" ht="13.5" thickBot="1" x14ac:dyDescent="0.25">
      <c r="A13" s="10">
        <v>43475</v>
      </c>
      <c r="B13" s="1">
        <v>41275</v>
      </c>
      <c r="C13" s="17">
        <f t="shared" si="0"/>
        <v>600</v>
      </c>
      <c r="D13" s="1">
        <v>37098</v>
      </c>
      <c r="E13" s="17">
        <f t="shared" si="3"/>
        <v>480</v>
      </c>
      <c r="F13" s="1">
        <v>17204</v>
      </c>
      <c r="G13" s="17">
        <f t="shared" si="4"/>
        <v>100</v>
      </c>
      <c r="H13" s="1">
        <v>213286</v>
      </c>
      <c r="I13" s="17">
        <f t="shared" si="5"/>
        <v>9</v>
      </c>
      <c r="J13" s="1">
        <v>303515</v>
      </c>
      <c r="K13" s="17">
        <f t="shared" si="1"/>
        <v>0</v>
      </c>
      <c r="L13" s="1">
        <v>21709</v>
      </c>
      <c r="M13" s="17">
        <f t="shared" si="6"/>
        <v>960</v>
      </c>
      <c r="N13" s="57">
        <v>167821</v>
      </c>
      <c r="O13" s="17">
        <f t="shared" si="7"/>
        <v>3</v>
      </c>
      <c r="P13" s="1">
        <v>965006</v>
      </c>
      <c r="Q13" s="17">
        <f t="shared" si="2"/>
        <v>98</v>
      </c>
      <c r="R13" s="1">
        <v>55047</v>
      </c>
      <c r="S13" s="17">
        <f t="shared" si="8"/>
        <v>0</v>
      </c>
    </row>
    <row r="14" spans="1:24" ht="13.5" thickBot="1" x14ac:dyDescent="0.25">
      <c r="A14" s="10">
        <v>43476</v>
      </c>
      <c r="B14" s="1">
        <v>41279</v>
      </c>
      <c r="C14" s="17">
        <f t="shared" si="0"/>
        <v>480</v>
      </c>
      <c r="D14" s="1">
        <v>37099</v>
      </c>
      <c r="E14" s="17">
        <f t="shared" si="3"/>
        <v>160</v>
      </c>
      <c r="F14" s="1">
        <v>17209</v>
      </c>
      <c r="G14" s="17">
        <f t="shared" si="4"/>
        <v>100</v>
      </c>
      <c r="H14" s="1">
        <v>213293</v>
      </c>
      <c r="I14" s="17">
        <f t="shared" si="5"/>
        <v>7</v>
      </c>
      <c r="J14" s="1">
        <v>303515</v>
      </c>
      <c r="K14" s="17">
        <f t="shared" si="1"/>
        <v>0</v>
      </c>
      <c r="L14" s="1">
        <v>21713</v>
      </c>
      <c r="M14" s="17">
        <f t="shared" si="6"/>
        <v>640</v>
      </c>
      <c r="N14" s="57">
        <v>167827</v>
      </c>
      <c r="O14" s="17">
        <f t="shared" si="7"/>
        <v>6</v>
      </c>
      <c r="P14" s="1">
        <v>965108</v>
      </c>
      <c r="Q14" s="17">
        <f t="shared" si="2"/>
        <v>102</v>
      </c>
      <c r="R14" s="1">
        <v>55047</v>
      </c>
      <c r="S14" s="17">
        <f t="shared" si="8"/>
        <v>0</v>
      </c>
    </row>
    <row r="15" spans="1:24" ht="13.5" thickBot="1" x14ac:dyDescent="0.25">
      <c r="A15" s="10">
        <v>43477</v>
      </c>
      <c r="B15" s="1">
        <v>41285</v>
      </c>
      <c r="C15" s="17">
        <f t="shared" si="0"/>
        <v>720</v>
      </c>
      <c r="D15" s="1">
        <v>37105</v>
      </c>
      <c r="E15" s="17">
        <f t="shared" si="3"/>
        <v>960</v>
      </c>
      <c r="F15" s="1">
        <v>17212</v>
      </c>
      <c r="G15" s="17">
        <f t="shared" si="4"/>
        <v>60</v>
      </c>
      <c r="H15" s="1">
        <v>213320</v>
      </c>
      <c r="I15" s="17">
        <f t="shared" si="5"/>
        <v>27</v>
      </c>
      <c r="J15" s="1">
        <v>303515</v>
      </c>
      <c r="K15" s="17">
        <f t="shared" si="1"/>
        <v>0</v>
      </c>
      <c r="L15" s="1">
        <v>21713</v>
      </c>
      <c r="M15" s="17">
        <f t="shared" si="6"/>
        <v>0</v>
      </c>
      <c r="N15" s="57">
        <v>167827</v>
      </c>
      <c r="O15" s="17">
        <f t="shared" si="7"/>
        <v>0</v>
      </c>
      <c r="P15" s="1">
        <v>965204</v>
      </c>
      <c r="Q15" s="17">
        <f t="shared" si="2"/>
        <v>96</v>
      </c>
      <c r="R15" s="1">
        <v>55047</v>
      </c>
      <c r="S15" s="17">
        <f t="shared" si="8"/>
        <v>0</v>
      </c>
    </row>
    <row r="16" spans="1:24" ht="13.5" thickBot="1" x14ac:dyDescent="0.25">
      <c r="A16" s="10">
        <v>43478</v>
      </c>
      <c r="B16" s="1">
        <v>41294</v>
      </c>
      <c r="C16" s="17">
        <f t="shared" si="0"/>
        <v>1080</v>
      </c>
      <c r="D16" s="1">
        <v>37110</v>
      </c>
      <c r="E16" s="17">
        <f t="shared" si="3"/>
        <v>800</v>
      </c>
      <c r="F16" s="1">
        <v>17215</v>
      </c>
      <c r="G16" s="17">
        <f t="shared" si="4"/>
        <v>60</v>
      </c>
      <c r="H16" s="1">
        <v>213345</v>
      </c>
      <c r="I16" s="17">
        <f t="shared" si="5"/>
        <v>25</v>
      </c>
      <c r="J16" s="1">
        <v>303515</v>
      </c>
      <c r="K16" s="17">
        <f t="shared" si="1"/>
        <v>0</v>
      </c>
      <c r="L16" s="1">
        <v>21715</v>
      </c>
      <c r="M16" s="17">
        <f t="shared" si="6"/>
        <v>320</v>
      </c>
      <c r="N16" s="57">
        <v>167827</v>
      </c>
      <c r="O16" s="17">
        <f t="shared" si="7"/>
        <v>0</v>
      </c>
      <c r="P16" s="1">
        <v>965301</v>
      </c>
      <c r="Q16" s="17">
        <f t="shared" si="2"/>
        <v>97</v>
      </c>
      <c r="R16" s="1">
        <v>55047</v>
      </c>
      <c r="S16" s="17">
        <f t="shared" si="8"/>
        <v>0</v>
      </c>
      <c r="X16" t="s">
        <v>13</v>
      </c>
    </row>
    <row r="17" spans="1:23" ht="13.5" thickBot="1" x14ac:dyDescent="0.25">
      <c r="A17" s="10">
        <v>43479</v>
      </c>
      <c r="B17" s="1">
        <v>41296</v>
      </c>
      <c r="C17" s="17">
        <f t="shared" si="0"/>
        <v>240</v>
      </c>
      <c r="D17" s="1">
        <v>37111</v>
      </c>
      <c r="E17" s="17">
        <f t="shared" si="3"/>
        <v>160</v>
      </c>
      <c r="F17" s="1">
        <v>17222</v>
      </c>
      <c r="G17" s="17">
        <f t="shared" si="4"/>
        <v>140</v>
      </c>
      <c r="H17" s="1">
        <v>213345</v>
      </c>
      <c r="I17" s="17">
        <f t="shared" si="5"/>
        <v>0</v>
      </c>
      <c r="J17" s="1">
        <v>303515</v>
      </c>
      <c r="K17" s="17">
        <f t="shared" si="1"/>
        <v>0</v>
      </c>
      <c r="L17" s="1">
        <v>21722</v>
      </c>
      <c r="M17" s="17">
        <f t="shared" si="6"/>
        <v>1120</v>
      </c>
      <c r="N17" s="57">
        <v>167833</v>
      </c>
      <c r="O17" s="17">
        <f t="shared" si="7"/>
        <v>6</v>
      </c>
      <c r="P17" s="1">
        <v>965530</v>
      </c>
      <c r="Q17" s="17">
        <f t="shared" si="2"/>
        <v>229</v>
      </c>
      <c r="R17" s="1">
        <v>55047</v>
      </c>
      <c r="S17" s="17">
        <f t="shared" si="8"/>
        <v>0</v>
      </c>
      <c r="W17" t="s">
        <v>13</v>
      </c>
    </row>
    <row r="18" spans="1:23" ht="13.5" thickBot="1" x14ac:dyDescent="0.25">
      <c r="A18" s="10">
        <v>43480</v>
      </c>
      <c r="B18" s="1">
        <v>41301</v>
      </c>
      <c r="C18" s="17">
        <f t="shared" si="0"/>
        <v>600</v>
      </c>
      <c r="D18" s="1">
        <v>37114</v>
      </c>
      <c r="E18" s="17">
        <f t="shared" si="3"/>
        <v>480</v>
      </c>
      <c r="F18" s="1">
        <v>17225</v>
      </c>
      <c r="G18" s="17">
        <f t="shared" si="4"/>
        <v>60</v>
      </c>
      <c r="H18" s="1">
        <v>213352</v>
      </c>
      <c r="I18" s="17">
        <f t="shared" si="5"/>
        <v>7</v>
      </c>
      <c r="J18" s="1">
        <v>303515</v>
      </c>
      <c r="K18" s="17">
        <f t="shared" si="1"/>
        <v>0</v>
      </c>
      <c r="L18" s="1">
        <v>21727</v>
      </c>
      <c r="M18" s="17">
        <f t="shared" si="6"/>
        <v>800</v>
      </c>
      <c r="N18" s="57">
        <v>167836</v>
      </c>
      <c r="O18" s="17">
        <f t="shared" si="7"/>
        <v>3</v>
      </c>
      <c r="P18" s="1">
        <v>965814</v>
      </c>
      <c r="Q18" s="17">
        <f t="shared" si="2"/>
        <v>284</v>
      </c>
      <c r="R18" s="1">
        <v>55047</v>
      </c>
      <c r="S18" s="17">
        <f t="shared" si="8"/>
        <v>0</v>
      </c>
    </row>
    <row r="19" spans="1:23" ht="13.5" thickBot="1" x14ac:dyDescent="0.25">
      <c r="A19" s="10">
        <v>43481</v>
      </c>
      <c r="B19" s="1">
        <v>41306</v>
      </c>
      <c r="C19" s="17">
        <f t="shared" si="0"/>
        <v>600</v>
      </c>
      <c r="D19" s="1">
        <v>37118</v>
      </c>
      <c r="E19" s="17">
        <f t="shared" si="3"/>
        <v>640</v>
      </c>
      <c r="F19" s="1">
        <v>17230</v>
      </c>
      <c r="G19" s="17">
        <f t="shared" si="4"/>
        <v>100</v>
      </c>
      <c r="H19" s="1">
        <v>213362</v>
      </c>
      <c r="I19" s="17">
        <f t="shared" si="5"/>
        <v>10</v>
      </c>
      <c r="J19" s="1">
        <v>303515</v>
      </c>
      <c r="K19" s="17">
        <f t="shared" si="1"/>
        <v>0</v>
      </c>
      <c r="L19" s="1">
        <v>21732</v>
      </c>
      <c r="M19" s="17">
        <f t="shared" si="6"/>
        <v>800</v>
      </c>
      <c r="N19" s="57">
        <v>167839</v>
      </c>
      <c r="O19" s="17">
        <f t="shared" si="7"/>
        <v>3</v>
      </c>
      <c r="P19" s="1">
        <v>965994</v>
      </c>
      <c r="Q19" s="17">
        <f t="shared" si="2"/>
        <v>180</v>
      </c>
      <c r="R19" s="1">
        <v>55047</v>
      </c>
      <c r="S19" s="17">
        <f t="shared" si="8"/>
        <v>0</v>
      </c>
      <c r="U19" t="s">
        <v>13</v>
      </c>
    </row>
    <row r="20" spans="1:23" ht="13.5" thickBot="1" x14ac:dyDescent="0.25">
      <c r="A20" s="10">
        <v>43482</v>
      </c>
      <c r="B20" s="1">
        <v>41311</v>
      </c>
      <c r="C20" s="17">
        <f t="shared" si="0"/>
        <v>600</v>
      </c>
      <c r="D20" s="1">
        <v>37121</v>
      </c>
      <c r="E20" s="17">
        <f t="shared" si="3"/>
        <v>480</v>
      </c>
      <c r="F20" s="1">
        <v>17231</v>
      </c>
      <c r="G20" s="17">
        <f t="shared" si="4"/>
        <v>20</v>
      </c>
      <c r="H20" s="1">
        <v>213369</v>
      </c>
      <c r="I20" s="17">
        <f t="shared" si="5"/>
        <v>7</v>
      </c>
      <c r="J20" s="1">
        <v>303515</v>
      </c>
      <c r="K20" s="17">
        <f t="shared" si="1"/>
        <v>0</v>
      </c>
      <c r="L20" s="1">
        <v>21739</v>
      </c>
      <c r="M20" s="17">
        <f t="shared" si="6"/>
        <v>1120</v>
      </c>
      <c r="N20" s="57">
        <v>167841</v>
      </c>
      <c r="O20" s="17">
        <f t="shared" si="7"/>
        <v>2</v>
      </c>
      <c r="P20" s="1">
        <v>966083</v>
      </c>
      <c r="Q20" s="17">
        <f t="shared" si="2"/>
        <v>89</v>
      </c>
      <c r="R20" s="1">
        <v>55047</v>
      </c>
      <c r="S20" s="17">
        <f t="shared" si="8"/>
        <v>0</v>
      </c>
      <c r="T20" t="s">
        <v>26</v>
      </c>
      <c r="W20" t="s">
        <v>13</v>
      </c>
    </row>
    <row r="21" spans="1:23" ht="13.5" thickBot="1" x14ac:dyDescent="0.25">
      <c r="A21" s="10">
        <v>43483</v>
      </c>
      <c r="B21" s="1">
        <v>41317</v>
      </c>
      <c r="C21" s="17">
        <f t="shared" si="0"/>
        <v>720</v>
      </c>
      <c r="D21" s="1">
        <v>37124</v>
      </c>
      <c r="E21" s="17">
        <f t="shared" si="3"/>
        <v>480</v>
      </c>
      <c r="F21" s="1">
        <v>17239</v>
      </c>
      <c r="G21" s="17">
        <f t="shared" si="4"/>
        <v>160</v>
      </c>
      <c r="H21" s="1">
        <v>213387</v>
      </c>
      <c r="I21" s="17">
        <f t="shared" si="5"/>
        <v>18</v>
      </c>
      <c r="J21" s="1">
        <v>303515</v>
      </c>
      <c r="K21" s="17">
        <f t="shared" si="1"/>
        <v>0</v>
      </c>
      <c r="L21" s="1">
        <v>21739</v>
      </c>
      <c r="M21" s="17">
        <f t="shared" si="6"/>
        <v>0</v>
      </c>
      <c r="N21" s="57">
        <v>167845</v>
      </c>
      <c r="O21" s="17">
        <f t="shared" si="7"/>
        <v>4</v>
      </c>
      <c r="P21" s="1">
        <v>966104</v>
      </c>
      <c r="Q21" s="17">
        <f t="shared" si="2"/>
        <v>21</v>
      </c>
      <c r="R21" s="1">
        <v>55047</v>
      </c>
      <c r="S21" s="17">
        <f t="shared" si="8"/>
        <v>0</v>
      </c>
    </row>
    <row r="22" spans="1:23" ht="13.5" thickBot="1" x14ac:dyDescent="0.25">
      <c r="A22" s="10">
        <v>43484</v>
      </c>
      <c r="B22" s="1">
        <v>41322</v>
      </c>
      <c r="C22" s="17">
        <f t="shared" si="0"/>
        <v>600</v>
      </c>
      <c r="D22" s="1">
        <v>37127</v>
      </c>
      <c r="E22" s="17">
        <f t="shared" si="3"/>
        <v>480</v>
      </c>
      <c r="F22" s="1">
        <v>17243</v>
      </c>
      <c r="G22" s="17">
        <f t="shared" si="4"/>
        <v>80</v>
      </c>
      <c r="H22" s="1">
        <v>213401</v>
      </c>
      <c r="I22" s="17">
        <f t="shared" si="5"/>
        <v>14</v>
      </c>
      <c r="J22" s="1">
        <v>303515</v>
      </c>
      <c r="K22" s="17">
        <f t="shared" si="1"/>
        <v>0</v>
      </c>
      <c r="L22" s="1">
        <v>21743</v>
      </c>
      <c r="M22" s="17">
        <f t="shared" si="6"/>
        <v>640</v>
      </c>
      <c r="N22" s="57">
        <v>167847</v>
      </c>
      <c r="O22" s="17">
        <f t="shared" si="7"/>
        <v>2</v>
      </c>
      <c r="P22" s="1">
        <v>966224</v>
      </c>
      <c r="Q22" s="17">
        <f t="shared" si="2"/>
        <v>120</v>
      </c>
      <c r="R22" s="1">
        <v>55047</v>
      </c>
      <c r="S22" s="17">
        <f t="shared" si="8"/>
        <v>0</v>
      </c>
    </row>
    <row r="23" spans="1:23" ht="13.5" thickBot="1" x14ac:dyDescent="0.25">
      <c r="A23" s="10">
        <v>43485</v>
      </c>
      <c r="B23" s="1">
        <v>41328</v>
      </c>
      <c r="C23" s="17">
        <f t="shared" si="0"/>
        <v>720</v>
      </c>
      <c r="D23" s="1">
        <v>37131</v>
      </c>
      <c r="E23" s="17">
        <f t="shared" si="3"/>
        <v>640</v>
      </c>
      <c r="F23" s="1">
        <v>17247</v>
      </c>
      <c r="G23" s="17">
        <f t="shared" si="4"/>
        <v>80</v>
      </c>
      <c r="H23" s="1">
        <v>213413</v>
      </c>
      <c r="I23" s="17">
        <f t="shared" si="5"/>
        <v>12</v>
      </c>
      <c r="J23" s="1">
        <v>303515</v>
      </c>
      <c r="K23" s="17">
        <f t="shared" si="1"/>
        <v>0</v>
      </c>
      <c r="L23" s="1">
        <v>21747</v>
      </c>
      <c r="M23" s="17">
        <f t="shared" si="6"/>
        <v>640</v>
      </c>
      <c r="N23" s="57">
        <v>167850</v>
      </c>
      <c r="O23" s="17">
        <f t="shared" si="7"/>
        <v>3</v>
      </c>
      <c r="P23" s="1">
        <v>966397</v>
      </c>
      <c r="Q23" s="17">
        <f t="shared" si="2"/>
        <v>173</v>
      </c>
      <c r="R23" s="1">
        <v>55047</v>
      </c>
      <c r="S23" s="17">
        <f t="shared" si="8"/>
        <v>0</v>
      </c>
    </row>
    <row r="24" spans="1:23" ht="13.5" thickBot="1" x14ac:dyDescent="0.25">
      <c r="A24" s="10">
        <v>43486</v>
      </c>
      <c r="B24" s="1">
        <v>41333</v>
      </c>
      <c r="C24" s="17">
        <f t="shared" si="0"/>
        <v>600</v>
      </c>
      <c r="D24" s="1">
        <v>37134</v>
      </c>
      <c r="E24" s="17">
        <f t="shared" si="3"/>
        <v>480</v>
      </c>
      <c r="F24" s="1">
        <v>17252</v>
      </c>
      <c r="G24" s="17">
        <f t="shared" si="4"/>
        <v>100</v>
      </c>
      <c r="H24" s="1">
        <v>213428</v>
      </c>
      <c r="I24" s="17">
        <f t="shared" si="5"/>
        <v>15</v>
      </c>
      <c r="J24" s="1">
        <v>303515</v>
      </c>
      <c r="K24" s="17">
        <f t="shared" si="1"/>
        <v>0</v>
      </c>
      <c r="L24" s="1">
        <v>21752</v>
      </c>
      <c r="M24" s="17">
        <f t="shared" si="6"/>
        <v>800</v>
      </c>
      <c r="N24" s="57">
        <v>167853</v>
      </c>
      <c r="O24" s="17">
        <f t="shared" si="7"/>
        <v>3</v>
      </c>
      <c r="P24" s="1">
        <v>966397</v>
      </c>
      <c r="Q24" s="17">
        <f t="shared" si="2"/>
        <v>0</v>
      </c>
      <c r="R24" s="1">
        <v>55047</v>
      </c>
      <c r="S24" s="17">
        <f t="shared" si="8"/>
        <v>0</v>
      </c>
    </row>
    <row r="25" spans="1:23" ht="13.5" thickBot="1" x14ac:dyDescent="0.25">
      <c r="A25" s="10">
        <v>43487</v>
      </c>
      <c r="B25" s="1">
        <v>41339</v>
      </c>
      <c r="C25" s="17">
        <f t="shared" si="0"/>
        <v>720</v>
      </c>
      <c r="D25" s="1">
        <v>37143</v>
      </c>
      <c r="E25" s="17">
        <f t="shared" si="3"/>
        <v>1440</v>
      </c>
      <c r="F25" s="1">
        <v>17261</v>
      </c>
      <c r="G25" s="17">
        <f t="shared" si="4"/>
        <v>180</v>
      </c>
      <c r="H25" s="1">
        <v>213434</v>
      </c>
      <c r="I25" s="17">
        <f t="shared" si="5"/>
        <v>6</v>
      </c>
      <c r="J25" s="1">
        <v>303515</v>
      </c>
      <c r="K25" s="17">
        <f t="shared" si="1"/>
        <v>0</v>
      </c>
      <c r="L25" s="1">
        <v>21763</v>
      </c>
      <c r="M25" s="17">
        <f t="shared" si="6"/>
        <v>1760</v>
      </c>
      <c r="N25" s="57">
        <v>167856</v>
      </c>
      <c r="O25" s="17">
        <f t="shared" si="7"/>
        <v>3</v>
      </c>
      <c r="P25" s="1">
        <v>966538</v>
      </c>
      <c r="Q25" s="17">
        <f t="shared" si="2"/>
        <v>141</v>
      </c>
      <c r="R25" s="1">
        <v>55047</v>
      </c>
      <c r="S25" s="17">
        <f t="shared" si="8"/>
        <v>0</v>
      </c>
    </row>
    <row r="26" spans="1:23" ht="13.5" thickBot="1" x14ac:dyDescent="0.25">
      <c r="A26" s="10">
        <v>43488</v>
      </c>
      <c r="B26" s="1">
        <v>41344</v>
      </c>
      <c r="C26" s="17">
        <f t="shared" si="0"/>
        <v>600</v>
      </c>
      <c r="D26" s="1">
        <v>37145</v>
      </c>
      <c r="E26" s="17">
        <f t="shared" si="3"/>
        <v>320</v>
      </c>
      <c r="F26" s="1">
        <v>17263</v>
      </c>
      <c r="G26" s="17">
        <f t="shared" si="4"/>
        <v>40</v>
      </c>
      <c r="H26" s="1">
        <v>213453</v>
      </c>
      <c r="I26" s="17">
        <f t="shared" si="5"/>
        <v>19</v>
      </c>
      <c r="J26" s="1">
        <v>303515</v>
      </c>
      <c r="K26" s="17">
        <f t="shared" si="1"/>
        <v>0</v>
      </c>
      <c r="L26" s="1">
        <v>21764</v>
      </c>
      <c r="M26" s="17">
        <f t="shared" si="6"/>
        <v>160</v>
      </c>
      <c r="N26" s="57">
        <v>167859</v>
      </c>
      <c r="O26" s="17">
        <f t="shared" si="7"/>
        <v>3</v>
      </c>
      <c r="P26" s="1">
        <v>966644</v>
      </c>
      <c r="Q26" s="17">
        <f t="shared" si="2"/>
        <v>106</v>
      </c>
      <c r="R26" s="1">
        <v>55047</v>
      </c>
      <c r="S26" s="17">
        <f t="shared" si="8"/>
        <v>0</v>
      </c>
      <c r="U26" t="s">
        <v>13</v>
      </c>
      <c r="V26" t="s">
        <v>13</v>
      </c>
    </row>
    <row r="27" spans="1:23" ht="13.5" thickBot="1" x14ac:dyDescent="0.25">
      <c r="A27" s="10">
        <v>43489</v>
      </c>
      <c r="B27" s="1">
        <v>41345</v>
      </c>
      <c r="C27" s="17">
        <f t="shared" si="0"/>
        <v>120</v>
      </c>
      <c r="D27" s="1">
        <v>37145</v>
      </c>
      <c r="E27" s="17">
        <f t="shared" si="3"/>
        <v>0</v>
      </c>
      <c r="F27" s="1">
        <v>17264</v>
      </c>
      <c r="G27" s="17">
        <f t="shared" si="4"/>
        <v>20</v>
      </c>
      <c r="H27" s="1">
        <v>213466</v>
      </c>
      <c r="I27" s="17">
        <f t="shared" si="5"/>
        <v>13</v>
      </c>
      <c r="J27" s="1">
        <v>303515</v>
      </c>
      <c r="K27" s="17">
        <f t="shared" si="1"/>
        <v>0</v>
      </c>
      <c r="L27" s="1">
        <v>21764</v>
      </c>
      <c r="M27" s="17">
        <f t="shared" si="6"/>
        <v>0</v>
      </c>
      <c r="N27" s="57">
        <v>167862</v>
      </c>
      <c r="O27" s="17">
        <f t="shared" si="7"/>
        <v>3</v>
      </c>
      <c r="P27" s="1">
        <v>966831</v>
      </c>
      <c r="Q27" s="17">
        <f t="shared" si="2"/>
        <v>187</v>
      </c>
      <c r="R27" s="1">
        <v>55047</v>
      </c>
      <c r="S27" s="17">
        <f t="shared" si="8"/>
        <v>0</v>
      </c>
      <c r="W27" t="s">
        <v>13</v>
      </c>
    </row>
    <row r="28" spans="1:23" ht="13.5" thickBot="1" x14ac:dyDescent="0.25">
      <c r="A28" s="10">
        <v>43490</v>
      </c>
      <c r="B28" s="1">
        <v>41348</v>
      </c>
      <c r="C28" s="17">
        <f t="shared" si="0"/>
        <v>360</v>
      </c>
      <c r="D28" s="1">
        <v>37145</v>
      </c>
      <c r="E28" s="17">
        <f t="shared" si="3"/>
        <v>0</v>
      </c>
      <c r="F28" s="1">
        <v>17266</v>
      </c>
      <c r="G28" s="17">
        <f t="shared" si="4"/>
        <v>40</v>
      </c>
      <c r="H28" s="1">
        <v>213469</v>
      </c>
      <c r="I28" s="17">
        <f t="shared" si="5"/>
        <v>3</v>
      </c>
      <c r="J28" s="1">
        <v>303515</v>
      </c>
      <c r="K28" s="17">
        <f t="shared" si="1"/>
        <v>0</v>
      </c>
      <c r="L28" s="1">
        <v>21764</v>
      </c>
      <c r="M28" s="17">
        <f t="shared" si="6"/>
        <v>0</v>
      </c>
      <c r="N28" s="57">
        <v>167863</v>
      </c>
      <c r="O28" s="17">
        <f t="shared" si="7"/>
        <v>1</v>
      </c>
      <c r="P28" s="1">
        <v>967143</v>
      </c>
      <c r="Q28" s="17">
        <f t="shared" si="2"/>
        <v>312</v>
      </c>
      <c r="R28" s="1">
        <v>55047</v>
      </c>
      <c r="S28" s="17">
        <f t="shared" si="8"/>
        <v>0</v>
      </c>
      <c r="T28" t="s">
        <v>25</v>
      </c>
    </row>
    <row r="29" spans="1:23" ht="13.5" thickBot="1" x14ac:dyDescent="0.25">
      <c r="A29" s="10">
        <v>43491</v>
      </c>
      <c r="B29" s="1">
        <v>41358</v>
      </c>
      <c r="C29" s="17">
        <f t="shared" si="0"/>
        <v>1200</v>
      </c>
      <c r="D29" s="1">
        <v>37149</v>
      </c>
      <c r="E29" s="17">
        <f t="shared" si="3"/>
        <v>640</v>
      </c>
      <c r="F29" s="1">
        <v>17271</v>
      </c>
      <c r="G29" s="17">
        <f t="shared" si="4"/>
        <v>100</v>
      </c>
      <c r="H29" s="1">
        <v>213507</v>
      </c>
      <c r="I29" s="17">
        <f t="shared" si="5"/>
        <v>38</v>
      </c>
      <c r="J29" s="1">
        <v>303515</v>
      </c>
      <c r="K29" s="17">
        <f t="shared" si="1"/>
        <v>0</v>
      </c>
      <c r="L29" s="1">
        <v>21770</v>
      </c>
      <c r="M29" s="17">
        <f t="shared" si="6"/>
        <v>960</v>
      </c>
      <c r="N29" s="57">
        <v>167867</v>
      </c>
      <c r="O29" s="17">
        <f t="shared" si="7"/>
        <v>4</v>
      </c>
      <c r="P29" s="1">
        <v>967231</v>
      </c>
      <c r="Q29" s="18">
        <f t="shared" si="2"/>
        <v>88</v>
      </c>
      <c r="R29" s="1">
        <v>55047</v>
      </c>
      <c r="S29" s="18">
        <f t="shared" si="8"/>
        <v>0</v>
      </c>
    </row>
    <row r="30" spans="1:23" ht="13.5" thickBot="1" x14ac:dyDescent="0.25">
      <c r="A30" s="10">
        <v>43492</v>
      </c>
      <c r="B30" s="1">
        <v>41367</v>
      </c>
      <c r="C30" s="17">
        <f t="shared" si="0"/>
        <v>1080</v>
      </c>
      <c r="D30" s="1">
        <v>37152</v>
      </c>
      <c r="E30" s="17">
        <f t="shared" si="3"/>
        <v>480</v>
      </c>
      <c r="F30" s="1">
        <v>17275</v>
      </c>
      <c r="G30" s="17">
        <f t="shared" si="4"/>
        <v>80</v>
      </c>
      <c r="H30" s="1">
        <v>213523</v>
      </c>
      <c r="I30" s="17">
        <f t="shared" si="5"/>
        <v>16</v>
      </c>
      <c r="J30" s="1">
        <v>303515</v>
      </c>
      <c r="K30" s="17">
        <f t="shared" si="1"/>
        <v>0</v>
      </c>
      <c r="L30" s="1">
        <v>21775</v>
      </c>
      <c r="M30" s="17">
        <f t="shared" si="6"/>
        <v>800</v>
      </c>
      <c r="N30" s="57">
        <v>167871</v>
      </c>
      <c r="O30" s="17">
        <f t="shared" si="7"/>
        <v>4</v>
      </c>
      <c r="P30" s="1">
        <v>967405</v>
      </c>
      <c r="Q30" s="17">
        <f t="shared" si="2"/>
        <v>174</v>
      </c>
      <c r="R30" s="1">
        <v>55047</v>
      </c>
      <c r="S30" s="17">
        <f t="shared" si="8"/>
        <v>0</v>
      </c>
      <c r="T30" t="s">
        <v>27</v>
      </c>
      <c r="U30" t="s">
        <v>13</v>
      </c>
    </row>
    <row r="31" spans="1:23" ht="13.5" thickBot="1" x14ac:dyDescent="0.25">
      <c r="A31" s="10">
        <v>43493</v>
      </c>
      <c r="B31" s="1">
        <v>41369</v>
      </c>
      <c r="C31" s="17">
        <f t="shared" si="0"/>
        <v>240</v>
      </c>
      <c r="D31" s="1">
        <v>37155</v>
      </c>
      <c r="E31" s="17">
        <f t="shared" si="3"/>
        <v>480</v>
      </c>
      <c r="F31" s="1">
        <v>17280</v>
      </c>
      <c r="G31" s="17">
        <f t="shared" si="4"/>
        <v>100</v>
      </c>
      <c r="H31" s="1">
        <v>213537</v>
      </c>
      <c r="I31" s="17">
        <f t="shared" si="5"/>
        <v>14</v>
      </c>
      <c r="J31" s="1">
        <v>303515</v>
      </c>
      <c r="K31" s="17">
        <f t="shared" si="1"/>
        <v>0</v>
      </c>
      <c r="L31" s="1">
        <v>21779</v>
      </c>
      <c r="M31" s="17">
        <f t="shared" si="6"/>
        <v>640</v>
      </c>
      <c r="N31" s="57">
        <v>167873</v>
      </c>
      <c r="O31" s="17">
        <f t="shared" si="7"/>
        <v>2</v>
      </c>
      <c r="P31" s="1">
        <v>967567</v>
      </c>
      <c r="Q31" s="17">
        <f t="shared" si="2"/>
        <v>162</v>
      </c>
      <c r="R31" s="1">
        <v>55047</v>
      </c>
      <c r="S31" s="17">
        <f t="shared" si="8"/>
        <v>0</v>
      </c>
      <c r="T31" t="s">
        <v>13</v>
      </c>
    </row>
    <row r="32" spans="1:23" ht="13.5" thickBot="1" x14ac:dyDescent="0.25">
      <c r="A32" s="10">
        <v>43494</v>
      </c>
      <c r="B32" s="1">
        <v>41374</v>
      </c>
      <c r="C32" s="17">
        <f t="shared" si="0"/>
        <v>600</v>
      </c>
      <c r="D32" s="1">
        <v>37158</v>
      </c>
      <c r="E32" s="17">
        <f t="shared" si="3"/>
        <v>480</v>
      </c>
      <c r="F32" s="1">
        <v>17284</v>
      </c>
      <c r="G32" s="17">
        <f t="shared" si="4"/>
        <v>80</v>
      </c>
      <c r="H32" s="1">
        <v>213553</v>
      </c>
      <c r="I32" s="17">
        <f t="shared" si="5"/>
        <v>16</v>
      </c>
      <c r="J32" s="1">
        <v>303515</v>
      </c>
      <c r="K32" s="17">
        <f t="shared" si="1"/>
        <v>0</v>
      </c>
      <c r="L32" s="1">
        <v>21785</v>
      </c>
      <c r="M32" s="17">
        <f t="shared" si="6"/>
        <v>960</v>
      </c>
      <c r="N32" s="57">
        <v>167877</v>
      </c>
      <c r="O32" s="17">
        <f t="shared" si="7"/>
        <v>4</v>
      </c>
      <c r="P32" s="1">
        <v>967683</v>
      </c>
      <c r="Q32" s="17">
        <f>P32-P31</f>
        <v>116</v>
      </c>
      <c r="R32" s="1">
        <v>55047</v>
      </c>
      <c r="S32" s="17">
        <f>R32-R31</f>
        <v>0</v>
      </c>
    </row>
    <row r="33" spans="1:22" ht="13.5" thickBot="1" x14ac:dyDescent="0.25">
      <c r="A33" s="10">
        <v>43495</v>
      </c>
      <c r="B33" s="1">
        <v>41378</v>
      </c>
      <c r="C33" s="17">
        <f t="shared" si="0"/>
        <v>480</v>
      </c>
      <c r="D33" s="1">
        <v>37163</v>
      </c>
      <c r="E33" s="17">
        <f t="shared" si="3"/>
        <v>800</v>
      </c>
      <c r="F33" s="1">
        <v>17288</v>
      </c>
      <c r="G33" s="17">
        <f t="shared" si="4"/>
        <v>80</v>
      </c>
      <c r="H33" s="1">
        <v>213567</v>
      </c>
      <c r="I33" s="17">
        <f t="shared" si="5"/>
        <v>14</v>
      </c>
      <c r="J33" s="1">
        <v>303515</v>
      </c>
      <c r="K33" s="17">
        <f t="shared" si="1"/>
        <v>0</v>
      </c>
      <c r="L33" s="1">
        <v>21789</v>
      </c>
      <c r="M33" s="17">
        <f t="shared" si="6"/>
        <v>640</v>
      </c>
      <c r="N33" s="57">
        <v>167879</v>
      </c>
      <c r="O33" s="17">
        <f t="shared" si="7"/>
        <v>2</v>
      </c>
      <c r="P33" s="1">
        <v>967771</v>
      </c>
      <c r="Q33" s="17">
        <f>P33-P32</f>
        <v>88</v>
      </c>
      <c r="R33" s="1">
        <v>55047</v>
      </c>
      <c r="S33" s="17">
        <f>R33-R32</f>
        <v>0</v>
      </c>
      <c r="V33" t="s">
        <v>13</v>
      </c>
    </row>
    <row r="34" spans="1:22" ht="13.5" thickBot="1" x14ac:dyDescent="0.25">
      <c r="A34" s="10">
        <v>43496</v>
      </c>
      <c r="B34" s="1">
        <v>41381</v>
      </c>
      <c r="C34" s="17">
        <f>(B34-B33)*600/5</f>
        <v>360</v>
      </c>
      <c r="D34" s="1">
        <v>37167</v>
      </c>
      <c r="E34" s="17">
        <f>(D34-D33)*800/5</f>
        <v>640</v>
      </c>
      <c r="F34" s="1">
        <v>17292</v>
      </c>
      <c r="G34" s="17">
        <f>(F34-F33)*100/5</f>
        <v>80</v>
      </c>
      <c r="H34" s="1">
        <v>213570</v>
      </c>
      <c r="I34" s="17">
        <f>H34-H33</f>
        <v>3</v>
      </c>
      <c r="J34" s="1">
        <v>303515</v>
      </c>
      <c r="K34" s="17">
        <f>J34-J33</f>
        <v>0</v>
      </c>
      <c r="L34" s="1">
        <v>21793</v>
      </c>
      <c r="M34" s="17">
        <f>(L34-L33)*800/5</f>
        <v>640</v>
      </c>
      <c r="N34" s="57">
        <v>167881</v>
      </c>
      <c r="O34" s="17">
        <f t="shared" si="7"/>
        <v>2</v>
      </c>
      <c r="P34" s="1">
        <v>967830</v>
      </c>
      <c r="Q34" s="17">
        <f>P34-P33</f>
        <v>59</v>
      </c>
      <c r="R34" s="1">
        <v>55047</v>
      </c>
      <c r="S34" s="17">
        <f>R34-R33</f>
        <v>0</v>
      </c>
    </row>
    <row r="35" spans="1:22" ht="16.5" thickBot="1" x14ac:dyDescent="0.3">
      <c r="A35" s="10" t="s">
        <v>28</v>
      </c>
      <c r="B35" s="1"/>
      <c r="C35" s="11">
        <f>SUM(C4:C34)</f>
        <v>19080</v>
      </c>
      <c r="D35" s="14"/>
      <c r="E35" s="11">
        <f>SUM(E4:E34)</f>
        <v>16160</v>
      </c>
      <c r="F35" s="14"/>
      <c r="G35" s="11">
        <f>SUM(G4:G34)</f>
        <v>2660</v>
      </c>
      <c r="H35" s="14"/>
      <c r="I35" s="11">
        <f>SUM(I4:I34)</f>
        <v>418</v>
      </c>
      <c r="J35" s="14"/>
      <c r="K35" s="11">
        <f>SUM(K4:K34)</f>
        <v>0</v>
      </c>
      <c r="L35" s="14"/>
      <c r="M35" s="11">
        <f>SUM(M4:M34)</f>
        <v>20000</v>
      </c>
      <c r="N35" s="58"/>
      <c r="O35" s="11">
        <f>SUM(O4:O34)</f>
        <v>89</v>
      </c>
      <c r="P35" s="14"/>
      <c r="Q35" s="11">
        <f>SUM(Q4:Q34)</f>
        <v>4422</v>
      </c>
      <c r="R35" s="1"/>
      <c r="S35" s="11">
        <f>SUM(S4:S34)</f>
        <v>0</v>
      </c>
      <c r="T35" t="s">
        <v>29</v>
      </c>
    </row>
    <row r="36" spans="1:22" ht="23.25" x14ac:dyDescent="0.35">
      <c r="B36" s="20"/>
      <c r="C36" s="21"/>
      <c r="D36" s="21"/>
      <c r="E36" s="21"/>
    </row>
    <row r="37" spans="1:22" ht="15.75" x14ac:dyDescent="0.25">
      <c r="B37" s="20"/>
      <c r="P37" s="22" t="s">
        <v>13</v>
      </c>
    </row>
    <row r="38" spans="1:22" ht="15.75" x14ac:dyDescent="0.25">
      <c r="B38" s="20"/>
    </row>
    <row r="39" spans="1:22" ht="15.75" x14ac:dyDescent="0.25">
      <c r="B39" s="20"/>
    </row>
  </sheetData>
  <mergeCells count="1">
    <mergeCell ref="A1:S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zoomScale="55" zoomScaleNormal="55" workbookViewId="0">
      <selection activeCell="I34" sqref="I34"/>
    </sheetView>
  </sheetViews>
  <sheetFormatPr defaultRowHeight="12.75" x14ac:dyDescent="0.2"/>
  <cols>
    <col min="1" max="1" width="20.85546875" style="19" bestFit="1" customWidth="1"/>
    <col min="2" max="2" width="20.7109375" bestFit="1" customWidth="1"/>
    <col min="3" max="3" width="14.140625" customWidth="1"/>
    <col min="4" max="4" width="1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61" bestFit="1" customWidth="1"/>
    <col min="10" max="10" width="17.5703125" bestFit="1" customWidth="1"/>
    <col min="11" max="11" width="16.140625" bestFit="1" customWidth="1"/>
    <col min="25" max="25" width="18.28515625" bestFit="1" customWidth="1"/>
  </cols>
  <sheetData>
    <row r="1" spans="1:14" ht="28.5" customHeight="1" thickBot="1" x14ac:dyDescent="0.25">
      <c r="A1" s="129" t="s">
        <v>129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</row>
    <row r="2" spans="1:14" ht="16.5" thickBot="1" x14ac:dyDescent="0.3">
      <c r="A2" s="2" t="s">
        <v>0</v>
      </c>
      <c r="B2" s="3" t="s">
        <v>30</v>
      </c>
      <c r="C2" s="4" t="s">
        <v>31</v>
      </c>
      <c r="D2" s="3" t="s">
        <v>32</v>
      </c>
      <c r="E2" s="4" t="s">
        <v>31</v>
      </c>
      <c r="F2" s="3" t="s">
        <v>33</v>
      </c>
      <c r="G2" s="24" t="s">
        <v>31</v>
      </c>
      <c r="H2" s="3" t="s">
        <v>34</v>
      </c>
      <c r="I2" s="68" t="s">
        <v>31</v>
      </c>
      <c r="J2" s="3" t="s">
        <v>28</v>
      </c>
      <c r="K2" s="3" t="s">
        <v>35</v>
      </c>
    </row>
    <row r="3" spans="1:14" ht="21" thickBot="1" x14ac:dyDescent="0.3">
      <c r="A3" s="9" t="s">
        <v>12</v>
      </c>
      <c r="B3" s="3">
        <v>339105</v>
      </c>
      <c r="C3" s="25">
        <v>0</v>
      </c>
      <c r="D3" s="3">
        <v>91386700</v>
      </c>
      <c r="E3" s="26">
        <v>0</v>
      </c>
      <c r="F3" s="3">
        <v>91599400</v>
      </c>
      <c r="G3" s="26">
        <v>0</v>
      </c>
      <c r="H3" s="3">
        <v>590400</v>
      </c>
      <c r="I3" s="69">
        <v>0</v>
      </c>
      <c r="J3" s="27">
        <f>C3+E3+G3+I3</f>
        <v>0</v>
      </c>
      <c r="K3" s="28">
        <f>J3*5.86</f>
        <v>0</v>
      </c>
    </row>
    <row r="4" spans="1:14" ht="21" thickBot="1" x14ac:dyDescent="0.3">
      <c r="A4" s="9">
        <v>43466</v>
      </c>
      <c r="B4" s="3">
        <v>339211</v>
      </c>
      <c r="C4" s="64">
        <f>(IF((B4-B3)&lt;0,"0",(B4-B3)))*10</f>
        <v>1060</v>
      </c>
      <c r="D4" s="3">
        <v>91407400</v>
      </c>
      <c r="E4" s="64">
        <f>(IF((D4-D3)&lt;0,"0",(D4-D3)))*0.027</f>
        <v>558.9</v>
      </c>
      <c r="F4" s="3">
        <v>91617000</v>
      </c>
      <c r="G4" s="64">
        <f>(IF((F4-F3)&lt;0,"0",(F4-F3)))*0.027</f>
        <v>475.2</v>
      </c>
      <c r="H4" s="3">
        <v>590593</v>
      </c>
      <c r="I4" s="70">
        <f>(IF((H4-H3)&lt;0,"0",(H4-H3)))*0.027</f>
        <v>5.2110000000000003</v>
      </c>
      <c r="J4" s="27">
        <f>C4+E4+G4+I4</f>
        <v>2099.3109999999997</v>
      </c>
      <c r="K4" s="28">
        <f>J4*5.86</f>
        <v>12301.962459999999</v>
      </c>
    </row>
    <row r="5" spans="1:14" ht="21" thickBot="1" x14ac:dyDescent="0.3">
      <c r="A5" s="9">
        <v>43467</v>
      </c>
      <c r="B5" s="3">
        <v>339276</v>
      </c>
      <c r="C5" s="64">
        <f t="shared" ref="C5:C34" si="0">(IF((B5-B4)&lt;0,"0",(B5-B4)))*10</f>
        <v>650</v>
      </c>
      <c r="D5" s="3">
        <v>91430000</v>
      </c>
      <c r="E5" s="64">
        <f t="shared" ref="E5:E34" si="1">(IF((D5-D4)&lt;0,"0",(D5-D4)))*0.027</f>
        <v>610.20000000000005</v>
      </c>
      <c r="F5" s="3">
        <v>91639000</v>
      </c>
      <c r="G5" s="64">
        <f>(IF((F5-F4)&lt;0,"0",(F5-F4)))*0.027</f>
        <v>594</v>
      </c>
      <c r="H5" s="3">
        <v>590810</v>
      </c>
      <c r="I5" s="70">
        <f>(IF((H5-H4)&lt;0,"0",(H5-H4)))*0.027</f>
        <v>5.859</v>
      </c>
      <c r="J5" s="27">
        <f t="shared" ref="J5:J31" si="2">C5+E5+G5+I5</f>
        <v>1860.059</v>
      </c>
      <c r="K5" s="28">
        <f t="shared" ref="K5:K33" si="3">J5*5.86</f>
        <v>10899.945740000001</v>
      </c>
    </row>
    <row r="6" spans="1:14" ht="21" thickBot="1" x14ac:dyDescent="0.3">
      <c r="A6" s="9">
        <v>43468</v>
      </c>
      <c r="B6" s="3">
        <v>339361</v>
      </c>
      <c r="C6" s="64">
        <f t="shared" si="0"/>
        <v>850</v>
      </c>
      <c r="D6" s="3">
        <v>91455200</v>
      </c>
      <c r="E6" s="64">
        <f t="shared" si="1"/>
        <v>680.4</v>
      </c>
      <c r="F6" s="3">
        <v>91655200</v>
      </c>
      <c r="G6" s="64">
        <f t="shared" ref="G6:G34" si="4">(IF((F6-F5)&lt;0,"0",(F6-F5)))*0.027</f>
        <v>437.4</v>
      </c>
      <c r="H6" s="3">
        <v>591038</v>
      </c>
      <c r="I6" s="70">
        <f t="shared" ref="I6:I34" si="5">(IF((H6-H5)&lt;0,"0",(H6-H5)))*0.027</f>
        <v>6.1559999999999997</v>
      </c>
      <c r="J6" s="27">
        <f t="shared" si="2"/>
        <v>1973.9560000000001</v>
      </c>
      <c r="K6" s="28">
        <f t="shared" si="3"/>
        <v>11567.382160000001</v>
      </c>
    </row>
    <row r="7" spans="1:14" ht="21" thickBot="1" x14ac:dyDescent="0.3">
      <c r="A7" s="9">
        <v>43469</v>
      </c>
      <c r="B7" s="3">
        <v>339499</v>
      </c>
      <c r="C7" s="64">
        <f t="shared" si="0"/>
        <v>1380</v>
      </c>
      <c r="D7" s="3">
        <v>91473300</v>
      </c>
      <c r="E7" s="64">
        <f t="shared" si="1"/>
        <v>488.7</v>
      </c>
      <c r="F7" s="3">
        <v>91664000</v>
      </c>
      <c r="G7" s="64">
        <f t="shared" si="4"/>
        <v>237.6</v>
      </c>
      <c r="H7" s="3">
        <v>591196</v>
      </c>
      <c r="I7" s="70">
        <f t="shared" si="5"/>
        <v>4.266</v>
      </c>
      <c r="J7" s="27">
        <f t="shared" si="2"/>
        <v>2110.5660000000003</v>
      </c>
      <c r="K7" s="28">
        <f t="shared" si="3"/>
        <v>12367.916760000002</v>
      </c>
    </row>
    <row r="8" spans="1:14" ht="21" thickBot="1" x14ac:dyDescent="0.3">
      <c r="A8" s="9">
        <v>43470</v>
      </c>
      <c r="B8" s="3">
        <v>339620</v>
      </c>
      <c r="C8" s="64">
        <f t="shared" si="0"/>
        <v>1210</v>
      </c>
      <c r="D8" s="3">
        <v>91496600</v>
      </c>
      <c r="E8" s="64">
        <f t="shared" si="1"/>
        <v>629.1</v>
      </c>
      <c r="F8" s="3">
        <v>91680000</v>
      </c>
      <c r="G8" s="64">
        <f t="shared" si="4"/>
        <v>432</v>
      </c>
      <c r="H8" s="3">
        <v>591433</v>
      </c>
      <c r="I8" s="70">
        <f t="shared" si="5"/>
        <v>6.399</v>
      </c>
      <c r="J8" s="27">
        <f t="shared" si="2"/>
        <v>2277.4989999999998</v>
      </c>
      <c r="K8" s="28">
        <f t="shared" si="3"/>
        <v>13346.14414</v>
      </c>
      <c r="L8" t="s">
        <v>13</v>
      </c>
      <c r="N8" t="s">
        <v>13</v>
      </c>
    </row>
    <row r="9" spans="1:14" ht="21" thickBot="1" x14ac:dyDescent="0.3">
      <c r="A9" s="9">
        <v>43471</v>
      </c>
      <c r="B9" s="3">
        <v>339733</v>
      </c>
      <c r="C9" s="64">
        <f t="shared" si="0"/>
        <v>1130</v>
      </c>
      <c r="D9" s="3">
        <v>91520000</v>
      </c>
      <c r="E9" s="64">
        <f t="shared" si="1"/>
        <v>631.79999999999995</v>
      </c>
      <c r="F9" s="3">
        <v>91692000</v>
      </c>
      <c r="G9" s="64">
        <f t="shared" si="4"/>
        <v>324</v>
      </c>
      <c r="H9" s="3">
        <v>591675</v>
      </c>
      <c r="I9" s="70">
        <f t="shared" si="5"/>
        <v>6.5339999999999998</v>
      </c>
      <c r="J9" s="27">
        <f t="shared" si="2"/>
        <v>2092.3340000000003</v>
      </c>
      <c r="K9" s="28">
        <f t="shared" si="3"/>
        <v>12261.077240000002</v>
      </c>
    </row>
    <row r="10" spans="1:14" ht="21" thickBot="1" x14ac:dyDescent="0.3">
      <c r="A10" s="9">
        <v>43472</v>
      </c>
      <c r="B10" s="3">
        <v>339850</v>
      </c>
      <c r="C10" s="64">
        <f t="shared" si="0"/>
        <v>1170</v>
      </c>
      <c r="D10" s="3">
        <v>91544800</v>
      </c>
      <c r="E10" s="64">
        <f t="shared" si="1"/>
        <v>669.6</v>
      </c>
      <c r="F10" s="3">
        <v>91703900</v>
      </c>
      <c r="G10" s="64">
        <f t="shared" si="4"/>
        <v>321.3</v>
      </c>
      <c r="H10" s="3">
        <v>591905</v>
      </c>
      <c r="I10" s="70">
        <f t="shared" si="5"/>
        <v>6.21</v>
      </c>
      <c r="J10" s="27">
        <f t="shared" si="2"/>
        <v>2167.11</v>
      </c>
      <c r="K10" s="28">
        <f t="shared" si="3"/>
        <v>12699.264600000002</v>
      </c>
    </row>
    <row r="11" spans="1:14" ht="21" thickBot="1" x14ac:dyDescent="0.3">
      <c r="A11" s="9">
        <v>43473</v>
      </c>
      <c r="B11" s="3">
        <v>339937</v>
      </c>
      <c r="C11" s="64">
        <f t="shared" si="0"/>
        <v>870</v>
      </c>
      <c r="D11" s="3">
        <v>91562000</v>
      </c>
      <c r="E11" s="64">
        <f t="shared" si="1"/>
        <v>464.4</v>
      </c>
      <c r="F11" s="3">
        <v>91713000</v>
      </c>
      <c r="G11" s="64">
        <f t="shared" si="4"/>
        <v>245.7</v>
      </c>
      <c r="H11" s="3">
        <v>592124</v>
      </c>
      <c r="I11" s="70">
        <f t="shared" si="5"/>
        <v>5.9130000000000003</v>
      </c>
      <c r="J11" s="27">
        <f t="shared" si="2"/>
        <v>1586.0130000000001</v>
      </c>
      <c r="K11" s="28">
        <f t="shared" si="3"/>
        <v>9294.036180000001</v>
      </c>
    </row>
    <row r="12" spans="1:14" ht="21" thickBot="1" x14ac:dyDescent="0.3">
      <c r="A12" s="9">
        <v>43474</v>
      </c>
      <c r="B12" s="3">
        <v>340064</v>
      </c>
      <c r="C12" s="64">
        <f t="shared" si="0"/>
        <v>1270</v>
      </c>
      <c r="D12" s="3">
        <v>91584400</v>
      </c>
      <c r="E12" s="64">
        <f t="shared" si="1"/>
        <v>604.79999999999995</v>
      </c>
      <c r="F12" s="3">
        <v>91727500</v>
      </c>
      <c r="G12" s="64">
        <f t="shared" si="4"/>
        <v>391.5</v>
      </c>
      <c r="H12" s="3">
        <v>592365</v>
      </c>
      <c r="I12" s="70">
        <f t="shared" si="5"/>
        <v>6.5069999999999997</v>
      </c>
      <c r="J12" s="27">
        <f t="shared" si="2"/>
        <v>2272.8070000000002</v>
      </c>
      <c r="K12" s="28">
        <f t="shared" si="3"/>
        <v>13318.649020000003</v>
      </c>
      <c r="N12" t="s">
        <v>13</v>
      </c>
    </row>
    <row r="13" spans="1:14" ht="21" thickBot="1" x14ac:dyDescent="0.3">
      <c r="A13" s="9">
        <v>43475</v>
      </c>
      <c r="B13" s="3">
        <v>340171</v>
      </c>
      <c r="C13" s="64">
        <f t="shared" si="0"/>
        <v>1070</v>
      </c>
      <c r="D13" s="3">
        <v>91605800</v>
      </c>
      <c r="E13" s="64">
        <f t="shared" si="1"/>
        <v>577.79999999999995</v>
      </c>
      <c r="F13" s="3">
        <v>91745000</v>
      </c>
      <c r="G13" s="64">
        <f t="shared" si="4"/>
        <v>472.5</v>
      </c>
      <c r="H13" s="3">
        <v>592547</v>
      </c>
      <c r="I13" s="70">
        <f t="shared" si="5"/>
        <v>4.9139999999999997</v>
      </c>
      <c r="J13" s="27">
        <f t="shared" si="2"/>
        <v>2125.2140000000004</v>
      </c>
      <c r="K13" s="28">
        <f t="shared" si="3"/>
        <v>12453.754040000003</v>
      </c>
    </row>
    <row r="14" spans="1:14" ht="21" thickBot="1" x14ac:dyDescent="0.3">
      <c r="A14" s="9">
        <v>43476</v>
      </c>
      <c r="B14" s="3">
        <v>340275</v>
      </c>
      <c r="C14" s="64">
        <f t="shared" si="0"/>
        <v>1040</v>
      </c>
      <c r="D14" s="3">
        <v>91626000</v>
      </c>
      <c r="E14" s="64">
        <f t="shared" si="1"/>
        <v>545.4</v>
      </c>
      <c r="F14" s="3">
        <v>91758500</v>
      </c>
      <c r="G14" s="64">
        <f t="shared" si="4"/>
        <v>364.5</v>
      </c>
      <c r="H14" s="3">
        <v>592664</v>
      </c>
      <c r="I14" s="70">
        <f t="shared" si="5"/>
        <v>3.1589999999999998</v>
      </c>
      <c r="J14" s="27">
        <f t="shared" si="2"/>
        <v>1953.0590000000002</v>
      </c>
      <c r="K14" s="28">
        <f t="shared" si="3"/>
        <v>11444.925740000002</v>
      </c>
    </row>
    <row r="15" spans="1:14" ht="21" thickBot="1" x14ac:dyDescent="0.3">
      <c r="A15" s="9">
        <v>43477</v>
      </c>
      <c r="B15" s="3">
        <v>340386</v>
      </c>
      <c r="C15" s="64">
        <f t="shared" si="0"/>
        <v>1110</v>
      </c>
      <c r="D15" s="3">
        <v>91647300</v>
      </c>
      <c r="E15" s="64">
        <f t="shared" si="1"/>
        <v>575.1</v>
      </c>
      <c r="F15" s="3">
        <v>91773000</v>
      </c>
      <c r="G15" s="64">
        <f t="shared" si="4"/>
        <v>391.5</v>
      </c>
      <c r="H15" s="3">
        <v>592841</v>
      </c>
      <c r="I15" s="70">
        <f t="shared" si="5"/>
        <v>4.7789999999999999</v>
      </c>
      <c r="J15" s="27">
        <f t="shared" si="2"/>
        <v>2081.3789999999999</v>
      </c>
      <c r="K15" s="28">
        <f t="shared" si="3"/>
        <v>12196.880940000001</v>
      </c>
    </row>
    <row r="16" spans="1:14" ht="21" thickBot="1" x14ac:dyDescent="0.3">
      <c r="A16" s="9">
        <v>43478</v>
      </c>
      <c r="B16" s="3">
        <v>340491</v>
      </c>
      <c r="C16" s="64">
        <f t="shared" si="0"/>
        <v>1050</v>
      </c>
      <c r="D16" s="3">
        <v>91668200</v>
      </c>
      <c r="E16" s="64">
        <f t="shared" si="1"/>
        <v>564.29999999999995</v>
      </c>
      <c r="F16" s="3">
        <v>91786200</v>
      </c>
      <c r="G16" s="64">
        <f t="shared" si="4"/>
        <v>356.4</v>
      </c>
      <c r="H16" s="3">
        <v>593010</v>
      </c>
      <c r="I16" s="70">
        <f t="shared" si="5"/>
        <v>4.5629999999999997</v>
      </c>
      <c r="J16" s="27">
        <f t="shared" si="2"/>
        <v>1975.2629999999999</v>
      </c>
      <c r="K16" s="28">
        <f t="shared" si="3"/>
        <v>11575.04118</v>
      </c>
    </row>
    <row r="17" spans="1:25" ht="21" thickBot="1" x14ac:dyDescent="0.3">
      <c r="A17" s="9">
        <v>43479</v>
      </c>
      <c r="B17" s="3">
        <v>340575</v>
      </c>
      <c r="C17" s="64">
        <f t="shared" si="0"/>
        <v>840</v>
      </c>
      <c r="D17" s="3">
        <v>91691000</v>
      </c>
      <c r="E17" s="64">
        <f t="shared" si="1"/>
        <v>615.6</v>
      </c>
      <c r="F17" s="3">
        <v>91799900</v>
      </c>
      <c r="G17" s="64">
        <f t="shared" si="4"/>
        <v>369.9</v>
      </c>
      <c r="H17" s="3">
        <v>593202</v>
      </c>
      <c r="I17" s="70">
        <f t="shared" si="5"/>
        <v>5.1840000000000002</v>
      </c>
      <c r="J17" s="27">
        <f t="shared" si="2"/>
        <v>1830.684</v>
      </c>
      <c r="K17" s="28">
        <f t="shared" si="3"/>
        <v>10727.80824</v>
      </c>
    </row>
    <row r="18" spans="1:25" ht="21" thickBot="1" x14ac:dyDescent="0.3">
      <c r="A18" s="9">
        <v>43480</v>
      </c>
      <c r="B18" s="3">
        <v>340699</v>
      </c>
      <c r="C18" s="64">
        <f t="shared" si="0"/>
        <v>1240</v>
      </c>
      <c r="D18" s="3">
        <v>91711000</v>
      </c>
      <c r="E18" s="64">
        <f t="shared" si="1"/>
        <v>540</v>
      </c>
      <c r="F18" s="3">
        <v>91812400</v>
      </c>
      <c r="G18" s="64">
        <f t="shared" si="4"/>
        <v>337.5</v>
      </c>
      <c r="H18" s="3">
        <v>593407</v>
      </c>
      <c r="I18" s="70">
        <f t="shared" si="5"/>
        <v>5.5350000000000001</v>
      </c>
      <c r="J18" s="27">
        <f t="shared" si="2"/>
        <v>2123.0349999999999</v>
      </c>
      <c r="K18" s="28">
        <f t="shared" si="3"/>
        <v>12440.9851</v>
      </c>
      <c r="P18" t="s">
        <v>13</v>
      </c>
      <c r="R18" t="s">
        <v>13</v>
      </c>
    </row>
    <row r="19" spans="1:25" ht="21" thickBot="1" x14ac:dyDescent="0.3">
      <c r="A19" s="9">
        <v>43481</v>
      </c>
      <c r="B19" s="3">
        <v>340789</v>
      </c>
      <c r="C19" s="64">
        <f t="shared" si="0"/>
        <v>900</v>
      </c>
      <c r="D19" s="3">
        <v>91727500</v>
      </c>
      <c r="E19" s="64">
        <f t="shared" si="1"/>
        <v>445.5</v>
      </c>
      <c r="F19" s="3">
        <v>91824200</v>
      </c>
      <c r="G19" s="64">
        <f t="shared" si="4"/>
        <v>318.60000000000002</v>
      </c>
      <c r="H19" s="3">
        <v>593557</v>
      </c>
      <c r="I19" s="70">
        <f t="shared" si="5"/>
        <v>4.05</v>
      </c>
      <c r="J19" s="27">
        <f t="shared" si="2"/>
        <v>1668.1499999999999</v>
      </c>
      <c r="K19" s="28">
        <f t="shared" si="3"/>
        <v>9775.3590000000004</v>
      </c>
      <c r="O19" t="s">
        <v>13</v>
      </c>
      <c r="Q19" t="s">
        <v>49</v>
      </c>
    </row>
    <row r="20" spans="1:25" ht="21" thickBot="1" x14ac:dyDescent="0.3">
      <c r="A20" s="9">
        <v>43482</v>
      </c>
      <c r="B20" s="3">
        <v>340895</v>
      </c>
      <c r="C20" s="64">
        <f t="shared" si="0"/>
        <v>1060</v>
      </c>
      <c r="D20" s="3">
        <v>91746100</v>
      </c>
      <c r="E20" s="64">
        <f t="shared" si="1"/>
        <v>502.2</v>
      </c>
      <c r="F20" s="3">
        <v>91840700</v>
      </c>
      <c r="G20" s="64">
        <f t="shared" si="4"/>
        <v>445.5</v>
      </c>
      <c r="H20" s="3">
        <v>593731</v>
      </c>
      <c r="I20" s="70">
        <f t="shared" si="5"/>
        <v>4.6979999999999995</v>
      </c>
      <c r="J20" s="27">
        <f t="shared" si="2"/>
        <v>2012.3980000000001</v>
      </c>
      <c r="K20" s="28">
        <f t="shared" si="3"/>
        <v>11792.652280000002</v>
      </c>
      <c r="Q20" t="s">
        <v>13</v>
      </c>
    </row>
    <row r="21" spans="1:25" ht="21" thickBot="1" x14ac:dyDescent="0.3">
      <c r="A21" s="9">
        <v>43483</v>
      </c>
      <c r="B21" s="3">
        <v>341016</v>
      </c>
      <c r="C21" s="64">
        <f t="shared" si="0"/>
        <v>1210</v>
      </c>
      <c r="D21" s="3">
        <v>91763400</v>
      </c>
      <c r="E21" s="64">
        <f t="shared" si="1"/>
        <v>467.1</v>
      </c>
      <c r="F21" s="3">
        <v>91853400</v>
      </c>
      <c r="G21" s="64">
        <f t="shared" si="4"/>
        <v>342.9</v>
      </c>
      <c r="H21" s="3">
        <v>593866</v>
      </c>
      <c r="I21" s="70">
        <f t="shared" si="5"/>
        <v>3.645</v>
      </c>
      <c r="J21" s="27">
        <f t="shared" si="2"/>
        <v>2023.645</v>
      </c>
      <c r="K21" s="28">
        <f t="shared" si="3"/>
        <v>11858.5597</v>
      </c>
    </row>
    <row r="22" spans="1:25" ht="21" thickBot="1" x14ac:dyDescent="0.3">
      <c r="A22" s="9">
        <v>43484</v>
      </c>
      <c r="B22" s="3">
        <v>341116</v>
      </c>
      <c r="C22" s="64">
        <f t="shared" si="0"/>
        <v>1000</v>
      </c>
      <c r="D22" s="3">
        <v>91780500</v>
      </c>
      <c r="E22" s="64">
        <f t="shared" si="1"/>
        <v>461.7</v>
      </c>
      <c r="F22" s="3">
        <v>91867600</v>
      </c>
      <c r="G22" s="64">
        <f t="shared" si="4"/>
        <v>383.4</v>
      </c>
      <c r="H22" s="3">
        <v>594031</v>
      </c>
      <c r="I22" s="70">
        <f t="shared" si="5"/>
        <v>4.4550000000000001</v>
      </c>
      <c r="J22" s="27">
        <f t="shared" si="2"/>
        <v>1849.5549999999998</v>
      </c>
      <c r="K22" s="28">
        <f t="shared" si="3"/>
        <v>10838.3923</v>
      </c>
      <c r="N22" t="s">
        <v>13</v>
      </c>
    </row>
    <row r="23" spans="1:25" ht="21" thickBot="1" x14ac:dyDescent="0.3">
      <c r="A23" s="9">
        <v>43485</v>
      </c>
      <c r="B23" s="3">
        <v>341223</v>
      </c>
      <c r="C23" s="64">
        <f t="shared" si="0"/>
        <v>1070</v>
      </c>
      <c r="D23" s="3">
        <v>91799400</v>
      </c>
      <c r="E23" s="64">
        <f t="shared" si="1"/>
        <v>510.3</v>
      </c>
      <c r="F23" s="3">
        <v>91881300</v>
      </c>
      <c r="G23" s="64">
        <f t="shared" si="4"/>
        <v>369.9</v>
      </c>
      <c r="H23" s="3">
        <v>594234</v>
      </c>
      <c r="I23" s="70">
        <f t="shared" si="5"/>
        <v>5.4809999999999999</v>
      </c>
      <c r="J23" s="27">
        <f t="shared" si="2"/>
        <v>1955.6809999999998</v>
      </c>
      <c r="K23" s="28">
        <f t="shared" si="3"/>
        <v>11460.290659999999</v>
      </c>
      <c r="P23" t="s">
        <v>13</v>
      </c>
      <c r="S23" s="48" t="s">
        <v>13</v>
      </c>
    </row>
    <row r="24" spans="1:25" ht="21" thickBot="1" x14ac:dyDescent="0.3">
      <c r="A24" s="9">
        <v>43486</v>
      </c>
      <c r="B24" s="3">
        <v>341346</v>
      </c>
      <c r="C24" s="64">
        <f t="shared" si="0"/>
        <v>1230</v>
      </c>
      <c r="D24" s="3">
        <v>91819400</v>
      </c>
      <c r="E24" s="64">
        <f t="shared" si="1"/>
        <v>540</v>
      </c>
      <c r="F24" s="3">
        <v>91896000</v>
      </c>
      <c r="G24" s="64">
        <f t="shared" si="4"/>
        <v>396.9</v>
      </c>
      <c r="H24" s="3">
        <v>594362</v>
      </c>
      <c r="I24" s="70">
        <f t="shared" si="5"/>
        <v>3.456</v>
      </c>
      <c r="J24" s="27">
        <f t="shared" si="2"/>
        <v>2170.3560000000002</v>
      </c>
      <c r="K24" s="28">
        <f t="shared" si="3"/>
        <v>12718.286160000001</v>
      </c>
      <c r="Q24" t="s">
        <v>13</v>
      </c>
    </row>
    <row r="25" spans="1:25" ht="21" thickBot="1" x14ac:dyDescent="0.3">
      <c r="A25" s="9">
        <v>43487</v>
      </c>
      <c r="B25" s="3">
        <v>341440</v>
      </c>
      <c r="C25" s="64">
        <f t="shared" si="0"/>
        <v>940</v>
      </c>
      <c r="D25" s="3">
        <v>91837100</v>
      </c>
      <c r="E25" s="64">
        <f t="shared" si="1"/>
        <v>477.9</v>
      </c>
      <c r="F25" s="3">
        <v>91910200</v>
      </c>
      <c r="G25" s="64">
        <f t="shared" si="4"/>
        <v>383.4</v>
      </c>
      <c r="H25" s="3">
        <v>594528</v>
      </c>
      <c r="I25" s="70">
        <f t="shared" si="5"/>
        <v>4.4820000000000002</v>
      </c>
      <c r="J25" s="27">
        <f t="shared" si="2"/>
        <v>1805.7820000000002</v>
      </c>
      <c r="K25" s="28">
        <f t="shared" si="3"/>
        <v>10581.882520000001</v>
      </c>
    </row>
    <row r="26" spans="1:25" ht="22.5" customHeight="1" thickBot="1" x14ac:dyDescent="0.4">
      <c r="A26" s="9">
        <v>43488</v>
      </c>
      <c r="B26" s="3">
        <v>341530</v>
      </c>
      <c r="C26" s="64">
        <f t="shared" si="0"/>
        <v>900</v>
      </c>
      <c r="D26" s="3">
        <v>91854700</v>
      </c>
      <c r="E26" s="64">
        <f t="shared" si="1"/>
        <v>475.2</v>
      </c>
      <c r="F26" s="3">
        <v>91923200</v>
      </c>
      <c r="G26" s="64">
        <f t="shared" si="4"/>
        <v>351</v>
      </c>
      <c r="H26" s="3">
        <v>594687</v>
      </c>
      <c r="I26" s="70">
        <f t="shared" si="5"/>
        <v>4.2930000000000001</v>
      </c>
      <c r="J26" s="27">
        <f t="shared" si="2"/>
        <v>1730.4929999999999</v>
      </c>
      <c r="K26" s="28">
        <f t="shared" si="3"/>
        <v>10140.688980000001</v>
      </c>
      <c r="Y26" s="83"/>
    </row>
    <row r="27" spans="1:25" ht="21" thickBot="1" x14ac:dyDescent="0.3">
      <c r="A27" s="9">
        <v>43489</v>
      </c>
      <c r="B27" s="3">
        <v>341620</v>
      </c>
      <c r="C27" s="64">
        <f t="shared" si="0"/>
        <v>900</v>
      </c>
      <c r="D27" s="3">
        <v>91870400</v>
      </c>
      <c r="E27" s="64">
        <f t="shared" si="1"/>
        <v>423.9</v>
      </c>
      <c r="F27" s="3">
        <v>91936000</v>
      </c>
      <c r="G27" s="64">
        <f t="shared" si="4"/>
        <v>345.6</v>
      </c>
      <c r="H27" s="3">
        <v>594838</v>
      </c>
      <c r="I27" s="70">
        <f t="shared" si="5"/>
        <v>4.077</v>
      </c>
      <c r="J27" s="27">
        <f t="shared" si="2"/>
        <v>1673.577</v>
      </c>
      <c r="K27" s="28">
        <f t="shared" si="3"/>
        <v>9807.16122</v>
      </c>
      <c r="L27" t="s">
        <v>13</v>
      </c>
    </row>
    <row r="28" spans="1:25" ht="21" thickBot="1" x14ac:dyDescent="0.3">
      <c r="A28" s="9">
        <v>43490</v>
      </c>
      <c r="B28" s="3">
        <v>341713</v>
      </c>
      <c r="C28" s="64">
        <f t="shared" si="0"/>
        <v>930</v>
      </c>
      <c r="D28" s="3">
        <v>91886100</v>
      </c>
      <c r="E28" s="64">
        <f t="shared" si="1"/>
        <v>423.9</v>
      </c>
      <c r="F28" s="3">
        <v>91949400</v>
      </c>
      <c r="G28" s="64">
        <f t="shared" si="4"/>
        <v>361.8</v>
      </c>
      <c r="H28" s="3">
        <v>594958</v>
      </c>
      <c r="I28" s="70">
        <f t="shared" si="5"/>
        <v>3.2399999999999998</v>
      </c>
      <c r="J28" s="27">
        <f t="shared" si="2"/>
        <v>1718.94</v>
      </c>
      <c r="K28" s="28">
        <f t="shared" si="3"/>
        <v>10072.9884</v>
      </c>
      <c r="O28" t="s">
        <v>13</v>
      </c>
    </row>
    <row r="29" spans="1:25" ht="21" thickBot="1" x14ac:dyDescent="0.3">
      <c r="A29" s="9">
        <v>43491</v>
      </c>
      <c r="B29" s="3">
        <v>341806</v>
      </c>
      <c r="C29" s="64">
        <f t="shared" si="0"/>
        <v>930</v>
      </c>
      <c r="D29" s="3">
        <v>91901600</v>
      </c>
      <c r="E29" s="64">
        <f t="shared" si="1"/>
        <v>418.5</v>
      </c>
      <c r="F29" s="3">
        <v>91963300</v>
      </c>
      <c r="G29" s="64">
        <f t="shared" si="4"/>
        <v>375.3</v>
      </c>
      <c r="H29" s="3">
        <v>595113</v>
      </c>
      <c r="I29" s="70">
        <f t="shared" si="5"/>
        <v>4.1849999999999996</v>
      </c>
      <c r="J29" s="27">
        <f t="shared" si="2"/>
        <v>1727.9849999999999</v>
      </c>
      <c r="K29" s="28">
        <f t="shared" si="3"/>
        <v>10125.992099999999</v>
      </c>
    </row>
    <row r="30" spans="1:25" ht="21" thickBot="1" x14ac:dyDescent="0.3">
      <c r="A30" s="9">
        <v>43492</v>
      </c>
      <c r="B30" s="3">
        <v>341908</v>
      </c>
      <c r="C30" s="64">
        <f t="shared" si="0"/>
        <v>1020</v>
      </c>
      <c r="D30" s="3">
        <v>91919600</v>
      </c>
      <c r="E30" s="64">
        <f t="shared" si="1"/>
        <v>486</v>
      </c>
      <c r="F30" s="3">
        <v>91978200</v>
      </c>
      <c r="G30" s="64">
        <f t="shared" si="4"/>
        <v>402.3</v>
      </c>
      <c r="H30" s="3">
        <v>595265</v>
      </c>
      <c r="I30" s="70">
        <f t="shared" si="5"/>
        <v>4.1040000000000001</v>
      </c>
      <c r="J30" s="27">
        <f t="shared" si="2"/>
        <v>1912.404</v>
      </c>
      <c r="K30" s="28">
        <f t="shared" si="3"/>
        <v>11206.68744</v>
      </c>
    </row>
    <row r="31" spans="1:25" ht="21" thickBot="1" x14ac:dyDescent="0.3">
      <c r="A31" s="9">
        <v>43493</v>
      </c>
      <c r="B31" s="3">
        <v>342024</v>
      </c>
      <c r="C31" s="64">
        <f t="shared" si="0"/>
        <v>1160</v>
      </c>
      <c r="D31" s="3">
        <v>91939100</v>
      </c>
      <c r="E31" s="64">
        <f t="shared" si="1"/>
        <v>526.5</v>
      </c>
      <c r="F31" s="3">
        <v>91997500</v>
      </c>
      <c r="G31" s="64">
        <f t="shared" si="4"/>
        <v>521.1</v>
      </c>
      <c r="H31" s="3">
        <v>595433</v>
      </c>
      <c r="I31" s="70">
        <f t="shared" si="5"/>
        <v>4.5359999999999996</v>
      </c>
      <c r="J31" s="27">
        <f t="shared" si="2"/>
        <v>2212.136</v>
      </c>
      <c r="K31" s="28">
        <f t="shared" si="3"/>
        <v>12963.116960000001</v>
      </c>
    </row>
    <row r="32" spans="1:25" ht="21" thickBot="1" x14ac:dyDescent="0.3">
      <c r="A32" s="9">
        <v>43494</v>
      </c>
      <c r="B32" s="3">
        <v>342119</v>
      </c>
      <c r="C32" s="64">
        <f t="shared" si="0"/>
        <v>950</v>
      </c>
      <c r="D32" s="3">
        <v>91954600</v>
      </c>
      <c r="E32" s="64">
        <f t="shared" si="1"/>
        <v>418.5</v>
      </c>
      <c r="F32" s="3">
        <v>92011000</v>
      </c>
      <c r="G32" s="64">
        <f t="shared" si="4"/>
        <v>364.5</v>
      </c>
      <c r="H32" s="3">
        <v>595582</v>
      </c>
      <c r="I32" s="70">
        <f t="shared" si="5"/>
        <v>4.0229999999999997</v>
      </c>
      <c r="J32" s="27">
        <f>C32+E32+G32+I32</f>
        <v>1737.0229999999999</v>
      </c>
      <c r="K32" s="28">
        <f t="shared" si="3"/>
        <v>10178.95478</v>
      </c>
    </row>
    <row r="33" spans="1:11" ht="21" thickBot="1" x14ac:dyDescent="0.3">
      <c r="A33" s="9">
        <v>43495</v>
      </c>
      <c r="B33" s="3">
        <v>342227</v>
      </c>
      <c r="C33" s="64">
        <f t="shared" si="0"/>
        <v>1080</v>
      </c>
      <c r="D33" s="3">
        <v>91973500</v>
      </c>
      <c r="E33" s="64">
        <f t="shared" si="1"/>
        <v>510.3</v>
      </c>
      <c r="F33" s="3">
        <v>92026300</v>
      </c>
      <c r="G33" s="64">
        <f t="shared" si="4"/>
        <v>413.1</v>
      </c>
      <c r="H33" s="3">
        <v>595730</v>
      </c>
      <c r="I33" s="70">
        <f t="shared" si="5"/>
        <v>3.996</v>
      </c>
      <c r="J33" s="27">
        <f>C33+E33+G33+I33</f>
        <v>2007.3960000000002</v>
      </c>
      <c r="K33" s="28">
        <f t="shared" si="3"/>
        <v>11763.340560000002</v>
      </c>
    </row>
    <row r="34" spans="1:11" ht="21" thickBot="1" x14ac:dyDescent="0.3">
      <c r="A34" s="9">
        <v>43496</v>
      </c>
      <c r="B34" s="3">
        <v>342347</v>
      </c>
      <c r="C34" s="64">
        <f t="shared" si="0"/>
        <v>1200</v>
      </c>
      <c r="D34" s="3">
        <v>91992000</v>
      </c>
      <c r="E34" s="64">
        <f t="shared" si="1"/>
        <v>499.5</v>
      </c>
      <c r="F34" s="3">
        <v>92042400</v>
      </c>
      <c r="G34" s="64">
        <f t="shared" si="4"/>
        <v>434.7</v>
      </c>
      <c r="H34" s="3">
        <v>595868</v>
      </c>
      <c r="I34" s="70">
        <f t="shared" si="5"/>
        <v>3.726</v>
      </c>
      <c r="J34" s="27"/>
      <c r="K34" s="28"/>
    </row>
    <row r="35" spans="1:11" ht="21" thickBot="1" x14ac:dyDescent="0.3">
      <c r="A35" s="9" t="s">
        <v>28</v>
      </c>
      <c r="B35" s="3"/>
      <c r="C35" s="84">
        <f>SUM(C4:C34)</f>
        <v>32420</v>
      </c>
      <c r="D35" s="3"/>
      <c r="E35" s="84">
        <f>SUM(E4:E34)</f>
        <v>16343.1</v>
      </c>
      <c r="F35" s="3"/>
      <c r="G35" s="84">
        <f>SUM(G4:G34)</f>
        <v>11960.999999999998</v>
      </c>
      <c r="H35" s="3"/>
      <c r="I35" s="71">
        <f>SUM(I4:I34)</f>
        <v>147.636</v>
      </c>
      <c r="J35" s="11">
        <f>SUM(J4:J31)</f>
        <v>54989.391000000003</v>
      </c>
      <c r="K35" s="11">
        <f>SUM(K4:K31)</f>
        <v>322237.83126000001</v>
      </c>
    </row>
    <row r="38" spans="1:11" x14ac:dyDescent="0.2">
      <c r="G38" t="s">
        <v>13</v>
      </c>
    </row>
  </sheetData>
  <mergeCells count="1">
    <mergeCell ref="A1:K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52"/>
  <sheetViews>
    <sheetView view="pageBreakPreview" topLeftCell="S1" zoomScale="70" zoomScaleNormal="110" zoomScaleSheetLayoutView="70" workbookViewId="0">
      <selection activeCell="AC34" sqref="AC34"/>
    </sheetView>
  </sheetViews>
  <sheetFormatPr defaultColWidth="23" defaultRowHeight="15.75" x14ac:dyDescent="0.25"/>
  <cols>
    <col min="1" max="1" width="15.140625" style="38" bestFit="1" customWidth="1"/>
    <col min="2" max="2" width="14.85546875" style="66" bestFit="1" customWidth="1"/>
    <col min="3" max="3" width="15.28515625" style="66" bestFit="1" customWidth="1"/>
    <col min="4" max="4" width="10.28515625" style="66" bestFit="1" customWidth="1"/>
    <col min="5" max="5" width="12.85546875" style="30" bestFit="1" customWidth="1"/>
    <col min="6" max="6" width="9" style="30" bestFit="1" customWidth="1"/>
    <col min="7" max="7" width="11.5703125" style="30" bestFit="1" customWidth="1"/>
    <col min="8" max="10" width="10.28515625" style="30" bestFit="1" customWidth="1"/>
    <col min="11" max="11" width="9" style="30" bestFit="1" customWidth="1"/>
    <col min="12" max="12" width="11.5703125" style="30" bestFit="1" customWidth="1"/>
    <col min="13" max="13" width="9" style="30" bestFit="1" customWidth="1"/>
    <col min="14" max="16" width="11.5703125" style="30" bestFit="1" customWidth="1"/>
    <col min="17" max="17" width="9" style="30" bestFit="1" customWidth="1"/>
    <col min="18" max="18" width="12.85546875" style="30" bestFit="1" customWidth="1"/>
    <col min="19" max="19" width="9" style="30" bestFit="1" customWidth="1"/>
    <col min="20" max="20" width="4.7109375" style="30" bestFit="1" customWidth="1"/>
    <col min="21" max="21" width="7.7109375" style="30" bestFit="1" customWidth="1"/>
    <col min="22" max="22" width="11.5703125" style="30" bestFit="1" customWidth="1"/>
    <col min="23" max="23" width="9" style="30" bestFit="1" customWidth="1"/>
    <col min="24" max="24" width="10.85546875" style="30" bestFit="1" customWidth="1"/>
    <col min="25" max="25" width="12.140625" style="30" bestFit="1" customWidth="1"/>
    <col min="26" max="26" width="21.7109375" style="39" bestFit="1" customWidth="1"/>
    <col min="27" max="27" width="20.42578125" style="39" bestFit="1" customWidth="1"/>
    <col min="28" max="16384" width="23" style="30"/>
  </cols>
  <sheetData>
    <row r="1" spans="1:27" ht="16.5" thickBot="1" x14ac:dyDescent="0.25">
      <c r="A1" s="130" t="s">
        <v>127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</row>
    <row r="2" spans="1:27" ht="16.5" thickBot="1" x14ac:dyDescent="0.3">
      <c r="A2" s="6" t="s">
        <v>0</v>
      </c>
      <c r="B2" s="64" t="s">
        <v>60</v>
      </c>
      <c r="C2" s="67" t="s">
        <v>69</v>
      </c>
      <c r="D2" s="67" t="s">
        <v>17</v>
      </c>
      <c r="E2" s="3" t="s">
        <v>36</v>
      </c>
      <c r="F2" s="4" t="s">
        <v>31</v>
      </c>
      <c r="G2" s="3" t="s">
        <v>37</v>
      </c>
      <c r="H2" s="4" t="s">
        <v>31</v>
      </c>
      <c r="I2" s="3" t="s">
        <v>28</v>
      </c>
      <c r="J2" s="3" t="s">
        <v>38</v>
      </c>
      <c r="K2" s="4" t="s">
        <v>31</v>
      </c>
      <c r="L2" s="3" t="s">
        <v>39</v>
      </c>
      <c r="M2" s="4" t="s">
        <v>31</v>
      </c>
      <c r="N2" s="3" t="s">
        <v>40</v>
      </c>
      <c r="O2" s="4" t="s">
        <v>31</v>
      </c>
      <c r="P2" s="3" t="s">
        <v>41</v>
      </c>
      <c r="Q2" s="4" t="s">
        <v>31</v>
      </c>
      <c r="R2" s="3" t="s">
        <v>42</v>
      </c>
      <c r="S2" s="4" t="s">
        <v>31</v>
      </c>
      <c r="T2" s="3" t="s">
        <v>43</v>
      </c>
      <c r="U2" s="4" t="s">
        <v>31</v>
      </c>
      <c r="V2" s="3" t="s">
        <v>44</v>
      </c>
      <c r="W2" s="4" t="s">
        <v>31</v>
      </c>
      <c r="X2" s="3" t="s">
        <v>28</v>
      </c>
      <c r="Y2" s="3" t="s">
        <v>45</v>
      </c>
      <c r="Z2" s="29" t="s">
        <v>46</v>
      </c>
      <c r="AA2" s="29" t="s">
        <v>47</v>
      </c>
    </row>
    <row r="3" spans="1:27" ht="16.5" thickBot="1" x14ac:dyDescent="0.25">
      <c r="A3" s="6" t="s">
        <v>12</v>
      </c>
      <c r="B3" s="64">
        <v>270</v>
      </c>
      <c r="C3" s="64">
        <v>14870</v>
      </c>
      <c r="D3" s="64">
        <v>0</v>
      </c>
      <c r="E3" s="31">
        <v>15259933</v>
      </c>
      <c r="F3" s="32">
        <v>0</v>
      </c>
      <c r="G3" s="31">
        <v>39367646</v>
      </c>
      <c r="H3" s="32">
        <v>0</v>
      </c>
      <c r="I3" s="33">
        <v>0</v>
      </c>
      <c r="J3" s="31">
        <v>3282768</v>
      </c>
      <c r="K3" s="32">
        <v>0</v>
      </c>
      <c r="L3" s="90">
        <v>3401304</v>
      </c>
      <c r="M3" s="32">
        <v>0</v>
      </c>
      <c r="N3" s="31">
        <v>2186588</v>
      </c>
      <c r="O3" s="32">
        <v>0</v>
      </c>
      <c r="P3" s="90">
        <v>4537644</v>
      </c>
      <c r="Q3" s="32">
        <v>0</v>
      </c>
      <c r="R3" s="31">
        <v>8859895</v>
      </c>
      <c r="S3" s="32">
        <v>0</v>
      </c>
      <c r="T3" s="31">
        <v>0</v>
      </c>
      <c r="U3" s="32"/>
      <c r="V3" s="31">
        <v>5223635</v>
      </c>
      <c r="W3" s="32">
        <v>0</v>
      </c>
      <c r="X3" s="33"/>
      <c r="Y3" s="46"/>
      <c r="Z3" s="31"/>
      <c r="AA3" s="31"/>
    </row>
    <row r="4" spans="1:27" ht="16.5" thickBot="1" x14ac:dyDescent="0.25">
      <c r="A4" s="6">
        <v>43466</v>
      </c>
      <c r="B4" s="64">
        <v>265</v>
      </c>
      <c r="C4" s="64">
        <v>14878</v>
      </c>
      <c r="D4" s="64">
        <f>IF((C4-C3)&lt;0,"0",(C4-C3))*160</f>
        <v>1280</v>
      </c>
      <c r="E4" s="31">
        <v>15277797</v>
      </c>
      <c r="F4" s="64">
        <f>IF((E4-E3)&lt;0,"0",(E4-E3))</f>
        <v>17864</v>
      </c>
      <c r="G4" s="31">
        <v>39423364</v>
      </c>
      <c r="H4" s="64">
        <f>IF((G4-G3)&lt;0,"0",(G4-G3))</f>
        <v>55718</v>
      </c>
      <c r="I4" s="33">
        <f t="shared" ref="I4:I31" si="0">F4+H4</f>
        <v>73582</v>
      </c>
      <c r="J4" s="31">
        <v>3290150</v>
      </c>
      <c r="K4" s="64">
        <f>IF((J4-J3)&lt;0,"0",(J4-J3))</f>
        <v>7382</v>
      </c>
      <c r="L4" s="90">
        <v>3409363</v>
      </c>
      <c r="M4" s="64">
        <f>IF((L4-L3)&lt;0,"0",(L4-L3))</f>
        <v>8059</v>
      </c>
      <c r="N4" s="31">
        <v>2191448</v>
      </c>
      <c r="O4" s="64">
        <f>(IF((N4-N3)&lt;0,"0",(N4-N3)))*2</f>
        <v>9720</v>
      </c>
      <c r="P4" s="90">
        <v>4542498</v>
      </c>
      <c r="Q4" s="64">
        <f>IF((P4-P3)&lt;0,"0",(P4-P3))</f>
        <v>4854</v>
      </c>
      <c r="R4" s="31">
        <v>8873508</v>
      </c>
      <c r="S4" s="64">
        <f>IF((R4-R3)&lt;0,"0",(R4-R3))</f>
        <v>13613</v>
      </c>
      <c r="T4" s="31">
        <v>0</v>
      </c>
      <c r="U4" s="32"/>
      <c r="V4" s="31">
        <v>5238579</v>
      </c>
      <c r="W4" s="64">
        <f>IF((V4-V3)&lt;0,"0",(V4-V3))</f>
        <v>14944</v>
      </c>
      <c r="X4" s="33">
        <f t="shared" ref="X4:X31" si="1">K4+M4+O4+Q4+S4+U4+W4</f>
        <v>58572</v>
      </c>
      <c r="Y4" s="46">
        <f t="shared" ref="Y4:Y31" si="2">I4-X4</f>
        <v>15010</v>
      </c>
      <c r="Z4" s="31">
        <f t="shared" ref="Z4:Z33" si="3">(0.93352*(W4+S4)+0.5568*(Q4+O4))*0.26</f>
        <v>9041.0667983999992</v>
      </c>
      <c r="AA4" s="31">
        <f>SUM(Z1:Z4)</f>
        <v>9041.0667983999992</v>
      </c>
    </row>
    <row r="5" spans="1:27" ht="16.5" thickBot="1" x14ac:dyDescent="0.25">
      <c r="A5" s="6">
        <v>43467</v>
      </c>
      <c r="B5" s="64">
        <v>284</v>
      </c>
      <c r="C5" s="64">
        <v>14886</v>
      </c>
      <c r="D5" s="64">
        <f t="shared" ref="D5:D34" si="4">IF((C5-C4)&lt;0,"0",(C5-C4))*160</f>
        <v>1280</v>
      </c>
      <c r="E5" s="31">
        <v>15289655</v>
      </c>
      <c r="F5" s="64">
        <f t="shared" ref="F5:F34" si="5">IF((E5-E4)&lt;0,"0",(E5-E4))</f>
        <v>11858</v>
      </c>
      <c r="G5" s="31">
        <v>39459534</v>
      </c>
      <c r="H5" s="64">
        <f t="shared" ref="H5:H34" si="6">IF((G5-G4)&lt;0,"0",(G5-G4))</f>
        <v>36170</v>
      </c>
      <c r="I5" s="33">
        <f t="shared" si="0"/>
        <v>48028</v>
      </c>
      <c r="J5" s="31">
        <v>3294096</v>
      </c>
      <c r="K5" s="64">
        <f t="shared" ref="K5:K34" si="7">IF((J5-J4)&lt;0,"0",(J5-J4))</f>
        <v>3946</v>
      </c>
      <c r="L5" s="90">
        <v>3414609</v>
      </c>
      <c r="M5" s="64">
        <f t="shared" ref="M5:M34" si="8">IF((L5-L4)&lt;0,"0",(L5-L4))</f>
        <v>5246</v>
      </c>
      <c r="N5" s="31">
        <v>2194675</v>
      </c>
      <c r="O5" s="64">
        <f t="shared" ref="O5:O34" si="9">(IF((N5-N4)&lt;0,"0",(N5-N4)))*2</f>
        <v>6454</v>
      </c>
      <c r="P5" s="90">
        <v>4544271</v>
      </c>
      <c r="Q5" s="64">
        <f t="shared" ref="Q5:Q34" si="10">IF((P5-P4)&lt;0,"0",(P5-P4))</f>
        <v>1773</v>
      </c>
      <c r="R5" s="31">
        <v>8882447</v>
      </c>
      <c r="S5" s="64">
        <f t="shared" ref="S5:S34" si="11">IF((R5-R4)&lt;0,"0",(R5-R4))</f>
        <v>8939</v>
      </c>
      <c r="T5" s="31">
        <v>0</v>
      </c>
      <c r="U5" s="32"/>
      <c r="V5" s="31">
        <v>5248518</v>
      </c>
      <c r="W5" s="64">
        <f t="shared" ref="W5:W34" si="12">IF((V5-V4)&lt;0,"0",(V5-V4))</f>
        <v>9939</v>
      </c>
      <c r="X5" s="33">
        <f t="shared" si="1"/>
        <v>36297</v>
      </c>
      <c r="Y5" s="46">
        <f t="shared" si="2"/>
        <v>11731</v>
      </c>
      <c r="Z5" s="31">
        <f t="shared" si="3"/>
        <v>5772.983881600001</v>
      </c>
      <c r="AA5" s="31">
        <f t="shared" ref="AA5:AA33" si="13">SUM(Z2:Z5)</f>
        <v>14814.05068</v>
      </c>
    </row>
    <row r="6" spans="1:27" ht="16.5" thickBot="1" x14ac:dyDescent="0.25">
      <c r="A6" s="6">
        <v>43468</v>
      </c>
      <c r="B6" s="64">
        <v>316</v>
      </c>
      <c r="C6" s="64">
        <v>14894</v>
      </c>
      <c r="D6" s="64">
        <f t="shared" si="4"/>
        <v>1280</v>
      </c>
      <c r="E6" s="31">
        <v>15308424</v>
      </c>
      <c r="F6" s="64">
        <f t="shared" si="5"/>
        <v>18769</v>
      </c>
      <c r="G6" s="31">
        <v>39518154</v>
      </c>
      <c r="H6" s="64">
        <f t="shared" si="6"/>
        <v>58620</v>
      </c>
      <c r="I6" s="33">
        <f t="shared" si="0"/>
        <v>77389</v>
      </c>
      <c r="J6" s="31">
        <v>3300500</v>
      </c>
      <c r="K6" s="64">
        <f t="shared" si="7"/>
        <v>6404</v>
      </c>
      <c r="L6" s="90">
        <v>3422643</v>
      </c>
      <c r="M6" s="64">
        <f t="shared" si="8"/>
        <v>8034</v>
      </c>
      <c r="N6" s="31">
        <v>2199945</v>
      </c>
      <c r="O6" s="64">
        <f t="shared" si="9"/>
        <v>10540</v>
      </c>
      <c r="P6" s="90">
        <v>4548480</v>
      </c>
      <c r="Q6" s="64">
        <f t="shared" si="10"/>
        <v>4209</v>
      </c>
      <c r="R6" s="31">
        <v>8897705</v>
      </c>
      <c r="S6" s="64">
        <f t="shared" si="11"/>
        <v>15258</v>
      </c>
      <c r="T6" s="31">
        <v>0</v>
      </c>
      <c r="U6" s="32"/>
      <c r="V6" s="31">
        <v>5264398</v>
      </c>
      <c r="W6" s="64">
        <f t="shared" si="12"/>
        <v>15880</v>
      </c>
      <c r="X6" s="33">
        <f t="shared" si="1"/>
        <v>60325</v>
      </c>
      <c r="Y6" s="46">
        <f t="shared" si="2"/>
        <v>17064</v>
      </c>
      <c r="Z6" s="31">
        <f t="shared" si="3"/>
        <v>9692.8491296000011</v>
      </c>
      <c r="AA6" s="31">
        <f t="shared" si="13"/>
        <v>24506.8998096</v>
      </c>
    </row>
    <row r="7" spans="1:27" ht="16.5" thickBot="1" x14ac:dyDescent="0.25">
      <c r="A7" s="6">
        <v>43469</v>
      </c>
      <c r="B7" s="64">
        <v>316</v>
      </c>
      <c r="C7" s="64">
        <v>14902</v>
      </c>
      <c r="D7" s="64">
        <f t="shared" si="4"/>
        <v>1280</v>
      </c>
      <c r="E7" s="31">
        <v>15323210</v>
      </c>
      <c r="F7" s="64">
        <f t="shared" si="5"/>
        <v>14786</v>
      </c>
      <c r="G7" s="31">
        <v>39565913</v>
      </c>
      <c r="H7" s="64">
        <f t="shared" si="6"/>
        <v>47759</v>
      </c>
      <c r="I7" s="33">
        <f t="shared" si="0"/>
        <v>62545</v>
      </c>
      <c r="J7" s="31">
        <v>3305784</v>
      </c>
      <c r="K7" s="64">
        <f t="shared" si="7"/>
        <v>5284</v>
      </c>
      <c r="L7" s="90">
        <v>3428712</v>
      </c>
      <c r="M7" s="64">
        <f t="shared" si="8"/>
        <v>6069</v>
      </c>
      <c r="N7" s="31">
        <v>2204191</v>
      </c>
      <c r="O7" s="64">
        <f t="shared" si="9"/>
        <v>8492</v>
      </c>
      <c r="P7" s="90">
        <v>4552204</v>
      </c>
      <c r="Q7" s="64">
        <f t="shared" si="10"/>
        <v>3724</v>
      </c>
      <c r="R7" s="31">
        <v>8909868</v>
      </c>
      <c r="S7" s="64">
        <f t="shared" si="11"/>
        <v>12163</v>
      </c>
      <c r="T7" s="31">
        <v>0</v>
      </c>
      <c r="U7" s="32"/>
      <c r="V7" s="31">
        <v>5277235</v>
      </c>
      <c r="W7" s="64">
        <f t="shared" si="12"/>
        <v>12837</v>
      </c>
      <c r="X7" s="33">
        <f t="shared" si="1"/>
        <v>48569</v>
      </c>
      <c r="Y7" s="46">
        <f t="shared" si="2"/>
        <v>13976</v>
      </c>
      <c r="Z7" s="31">
        <f t="shared" si="3"/>
        <v>7836.3658880000003</v>
      </c>
      <c r="AA7" s="31">
        <f t="shared" si="13"/>
        <v>32343.2656976</v>
      </c>
    </row>
    <row r="8" spans="1:27" ht="16.5" thickBot="1" x14ac:dyDescent="0.25">
      <c r="A8" s="6">
        <v>43470</v>
      </c>
      <c r="B8" s="64">
        <v>318</v>
      </c>
      <c r="C8" s="64">
        <v>14910</v>
      </c>
      <c r="D8" s="64">
        <f t="shared" si="4"/>
        <v>1280</v>
      </c>
      <c r="E8" s="31">
        <v>15335720</v>
      </c>
      <c r="F8" s="64">
        <f t="shared" si="5"/>
        <v>12510</v>
      </c>
      <c r="G8" s="31">
        <v>39605271</v>
      </c>
      <c r="H8" s="64">
        <f t="shared" si="6"/>
        <v>39358</v>
      </c>
      <c r="I8" s="33">
        <f t="shared" si="0"/>
        <v>51868</v>
      </c>
      <c r="J8" s="31">
        <v>3311312</v>
      </c>
      <c r="K8" s="64">
        <f t="shared" si="7"/>
        <v>5528</v>
      </c>
      <c r="L8" s="90">
        <v>3434193</v>
      </c>
      <c r="M8" s="64">
        <f t="shared" si="8"/>
        <v>5481</v>
      </c>
      <c r="N8" s="31">
        <v>2207644</v>
      </c>
      <c r="O8" s="64">
        <f t="shared" si="9"/>
        <v>6906</v>
      </c>
      <c r="P8" s="90">
        <v>4555753</v>
      </c>
      <c r="Q8" s="64">
        <f t="shared" si="10"/>
        <v>3549</v>
      </c>
      <c r="R8" s="31">
        <v>8919409</v>
      </c>
      <c r="S8" s="64">
        <f t="shared" si="11"/>
        <v>9541</v>
      </c>
      <c r="T8" s="31">
        <v>0</v>
      </c>
      <c r="U8" s="32"/>
      <c r="V8" s="31">
        <v>5287628</v>
      </c>
      <c r="W8" s="64">
        <f t="shared" si="12"/>
        <v>10393</v>
      </c>
      <c r="X8" s="33">
        <f t="shared" si="1"/>
        <v>41398</v>
      </c>
      <c r="Y8" s="46">
        <f t="shared" si="2"/>
        <v>10470</v>
      </c>
      <c r="Z8" s="31">
        <f t="shared" si="3"/>
        <v>6351.8342368000012</v>
      </c>
      <c r="AA8" s="31">
        <f t="shared" si="13"/>
        <v>29654.033136000005</v>
      </c>
    </row>
    <row r="9" spans="1:27" ht="16.5" thickBot="1" x14ac:dyDescent="0.25">
      <c r="A9" s="6">
        <v>43471</v>
      </c>
      <c r="B9" s="64">
        <v>270</v>
      </c>
      <c r="C9" s="64">
        <v>14918</v>
      </c>
      <c r="D9" s="64">
        <f t="shared" si="4"/>
        <v>1280</v>
      </c>
      <c r="E9" s="31">
        <v>15347093</v>
      </c>
      <c r="F9" s="64">
        <f t="shared" si="5"/>
        <v>11373</v>
      </c>
      <c r="G9" s="31">
        <v>39641666</v>
      </c>
      <c r="H9" s="64">
        <f t="shared" si="6"/>
        <v>36395</v>
      </c>
      <c r="I9" s="33">
        <f t="shared" si="0"/>
        <v>47768</v>
      </c>
      <c r="J9" s="31">
        <v>3316523</v>
      </c>
      <c r="K9" s="64">
        <f t="shared" si="7"/>
        <v>5211</v>
      </c>
      <c r="L9" s="90">
        <v>3439108</v>
      </c>
      <c r="M9" s="64">
        <f t="shared" si="8"/>
        <v>4915</v>
      </c>
      <c r="N9" s="31">
        <v>2210804</v>
      </c>
      <c r="O9" s="64">
        <f t="shared" si="9"/>
        <v>6320</v>
      </c>
      <c r="P9" s="90">
        <v>4557944</v>
      </c>
      <c r="Q9" s="64">
        <f t="shared" si="10"/>
        <v>2191</v>
      </c>
      <c r="R9" s="31">
        <v>8928158</v>
      </c>
      <c r="S9" s="64">
        <f t="shared" si="11"/>
        <v>8749</v>
      </c>
      <c r="T9" s="31">
        <v>0</v>
      </c>
      <c r="U9" s="32"/>
      <c r="V9" s="31">
        <v>5297152</v>
      </c>
      <c r="W9" s="64">
        <f t="shared" si="12"/>
        <v>9524</v>
      </c>
      <c r="X9" s="33">
        <f t="shared" si="1"/>
        <v>36910</v>
      </c>
      <c r="Y9" s="46">
        <f t="shared" si="2"/>
        <v>10858</v>
      </c>
      <c r="Z9" s="31">
        <f t="shared" si="3"/>
        <v>5667.2552976000006</v>
      </c>
      <c r="AA9" s="31">
        <f t="shared" si="13"/>
        <v>29548.304552000001</v>
      </c>
    </row>
    <row r="10" spans="1:27" ht="16.5" thickBot="1" x14ac:dyDescent="0.25">
      <c r="A10" s="6">
        <v>43472</v>
      </c>
      <c r="B10" s="64">
        <v>258</v>
      </c>
      <c r="C10" s="64">
        <v>14926</v>
      </c>
      <c r="D10" s="64">
        <f t="shared" si="4"/>
        <v>1280</v>
      </c>
      <c r="E10" s="31">
        <v>15363802</v>
      </c>
      <c r="F10" s="64">
        <f t="shared" si="5"/>
        <v>16709</v>
      </c>
      <c r="G10" s="31">
        <v>39695632</v>
      </c>
      <c r="H10" s="64">
        <f t="shared" si="6"/>
        <v>53966</v>
      </c>
      <c r="I10" s="33">
        <f t="shared" si="0"/>
        <v>70675</v>
      </c>
      <c r="J10" s="31">
        <v>3322585</v>
      </c>
      <c r="K10" s="64">
        <f t="shared" si="7"/>
        <v>6062</v>
      </c>
      <c r="L10" s="90">
        <v>3446380</v>
      </c>
      <c r="M10" s="64">
        <f t="shared" si="8"/>
        <v>7272</v>
      </c>
      <c r="N10" s="31">
        <v>2215426</v>
      </c>
      <c r="O10" s="64">
        <f t="shared" si="9"/>
        <v>9244</v>
      </c>
      <c r="P10" s="90">
        <v>4562038</v>
      </c>
      <c r="Q10" s="64">
        <f t="shared" si="10"/>
        <v>4094</v>
      </c>
      <c r="R10" s="31">
        <v>8942145</v>
      </c>
      <c r="S10" s="64">
        <f t="shared" si="11"/>
        <v>13987</v>
      </c>
      <c r="T10" s="31">
        <v>0</v>
      </c>
      <c r="U10" s="32"/>
      <c r="V10" s="31">
        <v>5311627</v>
      </c>
      <c r="W10" s="64">
        <f t="shared" si="12"/>
        <v>14475</v>
      </c>
      <c r="X10" s="33">
        <f t="shared" si="1"/>
        <v>55134</v>
      </c>
      <c r="Y10" s="46">
        <f t="shared" si="2"/>
        <v>15541</v>
      </c>
      <c r="Z10" s="31">
        <f t="shared" si="3"/>
        <v>8839.0756064000016</v>
      </c>
      <c r="AA10" s="31">
        <f t="shared" si="13"/>
        <v>28694.531028800004</v>
      </c>
    </row>
    <row r="11" spans="1:27" ht="16.5" thickBot="1" x14ac:dyDescent="0.25">
      <c r="A11" s="6">
        <v>43473</v>
      </c>
      <c r="B11" s="64">
        <v>263</v>
      </c>
      <c r="C11" s="64">
        <v>14934</v>
      </c>
      <c r="D11" s="64">
        <f t="shared" si="4"/>
        <v>1280</v>
      </c>
      <c r="E11" s="31">
        <v>15376825</v>
      </c>
      <c r="F11" s="64">
        <f t="shared" si="5"/>
        <v>13023</v>
      </c>
      <c r="G11" s="31">
        <v>39737512</v>
      </c>
      <c r="H11" s="64">
        <f t="shared" si="6"/>
        <v>41880</v>
      </c>
      <c r="I11" s="33">
        <f t="shared" si="0"/>
        <v>54903</v>
      </c>
      <c r="J11" s="31">
        <v>3327392</v>
      </c>
      <c r="K11" s="64">
        <f t="shared" si="7"/>
        <v>4807</v>
      </c>
      <c r="L11" s="90">
        <v>3452180</v>
      </c>
      <c r="M11" s="64">
        <f t="shared" si="8"/>
        <v>5800</v>
      </c>
      <c r="N11" s="31">
        <v>2218953</v>
      </c>
      <c r="O11" s="64">
        <f t="shared" si="9"/>
        <v>7054</v>
      </c>
      <c r="P11" s="90">
        <v>4565743</v>
      </c>
      <c r="Q11" s="64">
        <f t="shared" si="10"/>
        <v>3705</v>
      </c>
      <c r="R11" s="31">
        <v>8952900</v>
      </c>
      <c r="S11" s="64">
        <f t="shared" si="11"/>
        <v>10755</v>
      </c>
      <c r="T11" s="31">
        <v>0</v>
      </c>
      <c r="U11" s="32"/>
      <c r="V11" s="31">
        <v>5322886</v>
      </c>
      <c r="W11" s="64">
        <f t="shared" si="12"/>
        <v>11259</v>
      </c>
      <c r="X11" s="33">
        <f t="shared" si="1"/>
        <v>43380</v>
      </c>
      <c r="Y11" s="46">
        <f t="shared" si="2"/>
        <v>11523</v>
      </c>
      <c r="Z11" s="31">
        <f t="shared" si="3"/>
        <v>6900.691324800001</v>
      </c>
      <c r="AA11" s="31">
        <f t="shared" si="13"/>
        <v>27758.856465600005</v>
      </c>
    </row>
    <row r="12" spans="1:27" ht="16.5" thickBot="1" x14ac:dyDescent="0.25">
      <c r="A12" s="6">
        <v>43474</v>
      </c>
      <c r="B12" s="64">
        <v>263</v>
      </c>
      <c r="C12" s="64">
        <v>14942</v>
      </c>
      <c r="D12" s="64">
        <f t="shared" si="4"/>
        <v>1280</v>
      </c>
      <c r="E12" s="31">
        <v>15391911</v>
      </c>
      <c r="F12" s="64">
        <f t="shared" si="5"/>
        <v>15086</v>
      </c>
      <c r="G12" s="31">
        <v>39787843</v>
      </c>
      <c r="H12" s="64">
        <f t="shared" si="6"/>
        <v>50331</v>
      </c>
      <c r="I12" s="33">
        <f t="shared" si="0"/>
        <v>65417</v>
      </c>
      <c r="J12" s="31">
        <v>3333568</v>
      </c>
      <c r="K12" s="64">
        <f t="shared" si="7"/>
        <v>6176</v>
      </c>
      <c r="L12" s="90">
        <v>3458838</v>
      </c>
      <c r="M12" s="64">
        <f t="shared" si="8"/>
        <v>6658</v>
      </c>
      <c r="N12" s="31">
        <v>2223086</v>
      </c>
      <c r="O12" s="64">
        <f t="shared" si="9"/>
        <v>8266</v>
      </c>
      <c r="P12" s="90">
        <v>4568656</v>
      </c>
      <c r="Q12" s="64">
        <f t="shared" si="10"/>
        <v>2913</v>
      </c>
      <c r="R12" s="31">
        <v>8965978</v>
      </c>
      <c r="S12" s="64">
        <f t="shared" si="11"/>
        <v>13078</v>
      </c>
      <c r="T12" s="31">
        <v>0</v>
      </c>
      <c r="U12" s="32"/>
      <c r="V12" s="31">
        <v>5336514</v>
      </c>
      <c r="W12" s="64">
        <f t="shared" si="12"/>
        <v>13628</v>
      </c>
      <c r="X12" s="33">
        <f t="shared" si="1"/>
        <v>50719</v>
      </c>
      <c r="Y12" s="46">
        <f t="shared" si="2"/>
        <v>14698</v>
      </c>
      <c r="Z12" s="31">
        <f t="shared" si="3"/>
        <v>8100.3136032000002</v>
      </c>
      <c r="AA12" s="31">
        <f t="shared" si="13"/>
        <v>29507.335832000004</v>
      </c>
    </row>
    <row r="13" spans="1:27" ht="16.5" thickBot="1" x14ac:dyDescent="0.25">
      <c r="A13" s="6">
        <v>43475</v>
      </c>
      <c r="B13" s="64">
        <v>268</v>
      </c>
      <c r="C13" s="64">
        <v>14950</v>
      </c>
      <c r="D13" s="64">
        <f t="shared" si="4"/>
        <v>1280</v>
      </c>
      <c r="E13" s="31">
        <v>15402047</v>
      </c>
      <c r="F13" s="64">
        <f t="shared" si="5"/>
        <v>10136</v>
      </c>
      <c r="G13" s="31">
        <v>39829582</v>
      </c>
      <c r="H13" s="64">
        <f t="shared" si="6"/>
        <v>41739</v>
      </c>
      <c r="I13" s="33">
        <f t="shared" si="0"/>
        <v>51875</v>
      </c>
      <c r="J13" s="31">
        <v>3339582</v>
      </c>
      <c r="K13" s="64">
        <f t="shared" si="7"/>
        <v>6014</v>
      </c>
      <c r="L13" s="90">
        <v>3463430</v>
      </c>
      <c r="M13" s="64">
        <f t="shared" si="8"/>
        <v>4592</v>
      </c>
      <c r="N13" s="31">
        <v>2225796</v>
      </c>
      <c r="O13" s="64">
        <f t="shared" si="9"/>
        <v>5420</v>
      </c>
      <c r="P13" s="90">
        <v>4571918</v>
      </c>
      <c r="Q13" s="64">
        <f t="shared" si="10"/>
        <v>3262</v>
      </c>
      <c r="R13" s="31">
        <v>8975466</v>
      </c>
      <c r="S13" s="64">
        <f t="shared" si="11"/>
        <v>9488</v>
      </c>
      <c r="T13" s="31">
        <v>0</v>
      </c>
      <c r="U13" s="32"/>
      <c r="V13" s="31">
        <v>5347419</v>
      </c>
      <c r="W13" s="64">
        <f t="shared" si="12"/>
        <v>10905</v>
      </c>
      <c r="X13" s="33">
        <f t="shared" si="1"/>
        <v>39681</v>
      </c>
      <c r="Y13" s="46">
        <f t="shared" si="2"/>
        <v>12194</v>
      </c>
      <c r="Z13" s="31">
        <f t="shared" si="3"/>
        <v>6206.5668496000008</v>
      </c>
      <c r="AA13" s="31">
        <f t="shared" si="13"/>
        <v>30046.647384000004</v>
      </c>
    </row>
    <row r="14" spans="1:27" ht="16.5" thickBot="1" x14ac:dyDescent="0.25">
      <c r="A14" s="6">
        <v>43476</v>
      </c>
      <c r="B14" s="64">
        <v>271</v>
      </c>
      <c r="C14" s="64">
        <v>14958</v>
      </c>
      <c r="D14" s="64">
        <f t="shared" si="4"/>
        <v>1280</v>
      </c>
      <c r="E14" s="31">
        <v>15420363</v>
      </c>
      <c r="F14" s="64">
        <f t="shared" si="5"/>
        <v>18316</v>
      </c>
      <c r="G14" s="31">
        <v>39895241</v>
      </c>
      <c r="H14" s="64">
        <f t="shared" si="6"/>
        <v>65659</v>
      </c>
      <c r="I14" s="33">
        <f t="shared" si="0"/>
        <v>83975</v>
      </c>
      <c r="J14" s="31">
        <v>3347129</v>
      </c>
      <c r="K14" s="64">
        <f t="shared" si="7"/>
        <v>7547</v>
      </c>
      <c r="L14" s="90">
        <v>3471193</v>
      </c>
      <c r="M14" s="64">
        <f t="shared" si="8"/>
        <v>7763</v>
      </c>
      <c r="N14" s="31">
        <v>2230943</v>
      </c>
      <c r="O14" s="64">
        <f t="shared" si="9"/>
        <v>10294</v>
      </c>
      <c r="P14" s="90">
        <v>4576540</v>
      </c>
      <c r="Q14" s="64">
        <f t="shared" si="10"/>
        <v>4622</v>
      </c>
      <c r="R14" s="31">
        <v>8991714</v>
      </c>
      <c r="S14" s="64">
        <f t="shared" si="11"/>
        <v>16248</v>
      </c>
      <c r="T14" s="31">
        <v>0</v>
      </c>
      <c r="U14" s="32"/>
      <c r="V14" s="31">
        <v>5365431</v>
      </c>
      <c r="W14" s="64">
        <f t="shared" si="12"/>
        <v>18012</v>
      </c>
      <c r="X14" s="33">
        <f t="shared" si="1"/>
        <v>64486</v>
      </c>
      <c r="Y14" s="46">
        <f t="shared" si="2"/>
        <v>19489</v>
      </c>
      <c r="Z14" s="31">
        <f t="shared" si="3"/>
        <v>10474.782239999999</v>
      </c>
      <c r="AA14" s="31">
        <f t="shared" si="13"/>
        <v>31682.354017600002</v>
      </c>
    </row>
    <row r="15" spans="1:27" ht="16.5" thickBot="1" x14ac:dyDescent="0.25">
      <c r="A15" s="6">
        <v>43477</v>
      </c>
      <c r="B15" s="64">
        <v>298</v>
      </c>
      <c r="C15" s="64">
        <v>14966</v>
      </c>
      <c r="D15" s="64">
        <f t="shared" si="4"/>
        <v>1280</v>
      </c>
      <c r="E15" s="31">
        <v>15429871</v>
      </c>
      <c r="F15" s="64">
        <f t="shared" si="5"/>
        <v>9508</v>
      </c>
      <c r="G15" s="31">
        <v>39925194</v>
      </c>
      <c r="H15" s="64">
        <f t="shared" si="6"/>
        <v>29953</v>
      </c>
      <c r="I15" s="33">
        <f t="shared" si="0"/>
        <v>39461</v>
      </c>
      <c r="J15" s="31">
        <v>3350620</v>
      </c>
      <c r="K15" s="64">
        <f t="shared" si="7"/>
        <v>3491</v>
      </c>
      <c r="L15" s="90">
        <v>3475476</v>
      </c>
      <c r="M15" s="64">
        <f t="shared" si="8"/>
        <v>4283</v>
      </c>
      <c r="N15" s="31">
        <v>2233514</v>
      </c>
      <c r="O15" s="64">
        <f t="shared" si="9"/>
        <v>5142</v>
      </c>
      <c r="P15" s="90">
        <v>4578618</v>
      </c>
      <c r="Q15" s="64">
        <f t="shared" si="10"/>
        <v>2078</v>
      </c>
      <c r="R15" s="31">
        <v>8999327</v>
      </c>
      <c r="S15" s="64">
        <f t="shared" si="11"/>
        <v>7613</v>
      </c>
      <c r="T15" s="31">
        <v>0</v>
      </c>
      <c r="U15" s="32"/>
      <c r="V15" s="31">
        <v>5373609</v>
      </c>
      <c r="W15" s="64">
        <f t="shared" si="12"/>
        <v>8178</v>
      </c>
      <c r="X15" s="33">
        <f t="shared" si="1"/>
        <v>30785</v>
      </c>
      <c r="Y15" s="46">
        <f t="shared" si="2"/>
        <v>8676</v>
      </c>
      <c r="Z15" s="31">
        <f t="shared" si="3"/>
        <v>4877.9406832000004</v>
      </c>
      <c r="AA15" s="31">
        <f t="shared" si="13"/>
        <v>29659.603375999999</v>
      </c>
    </row>
    <row r="16" spans="1:27" ht="16.5" thickBot="1" x14ac:dyDescent="0.25">
      <c r="A16" s="6">
        <v>43478</v>
      </c>
      <c r="B16" s="64">
        <v>250</v>
      </c>
      <c r="C16" s="64">
        <v>14974</v>
      </c>
      <c r="D16" s="64">
        <f t="shared" si="4"/>
        <v>1280</v>
      </c>
      <c r="E16" s="31">
        <v>15446556</v>
      </c>
      <c r="F16" s="64">
        <f t="shared" si="5"/>
        <v>16685</v>
      </c>
      <c r="G16" s="31">
        <v>39978725</v>
      </c>
      <c r="H16" s="64">
        <f t="shared" si="6"/>
        <v>53531</v>
      </c>
      <c r="I16" s="33">
        <f t="shared" si="0"/>
        <v>70216</v>
      </c>
      <c r="J16" s="31">
        <v>3356694</v>
      </c>
      <c r="K16" s="64">
        <f t="shared" si="7"/>
        <v>6074</v>
      </c>
      <c r="L16" s="90">
        <v>3483669</v>
      </c>
      <c r="M16" s="64">
        <f t="shared" si="8"/>
        <v>8193</v>
      </c>
      <c r="N16" s="31">
        <v>2237951</v>
      </c>
      <c r="O16" s="64">
        <f t="shared" si="9"/>
        <v>8874</v>
      </c>
      <c r="P16" s="90">
        <v>4582090</v>
      </c>
      <c r="Q16" s="64">
        <f t="shared" si="10"/>
        <v>3472</v>
      </c>
      <c r="R16" s="31">
        <v>9012867</v>
      </c>
      <c r="S16" s="64">
        <f t="shared" si="11"/>
        <v>13540</v>
      </c>
      <c r="T16" s="31">
        <v>0</v>
      </c>
      <c r="U16" s="32"/>
      <c r="V16" s="31">
        <v>5388330</v>
      </c>
      <c r="W16" s="64">
        <f t="shared" si="12"/>
        <v>14721</v>
      </c>
      <c r="X16" s="33">
        <f t="shared" si="1"/>
        <v>54874</v>
      </c>
      <c r="Y16" s="46">
        <f t="shared" si="2"/>
        <v>15342</v>
      </c>
      <c r="Z16" s="31">
        <f t="shared" si="3"/>
        <v>8646.6799952000001</v>
      </c>
      <c r="AA16" s="31">
        <f t="shared" si="13"/>
        <v>30205.969768000003</v>
      </c>
    </row>
    <row r="17" spans="1:27" ht="16.5" thickBot="1" x14ac:dyDescent="0.25">
      <c r="A17" s="6">
        <v>43479</v>
      </c>
      <c r="B17" s="64">
        <v>227</v>
      </c>
      <c r="C17" s="64">
        <v>14982</v>
      </c>
      <c r="D17" s="64">
        <f t="shared" si="4"/>
        <v>1280</v>
      </c>
      <c r="E17" s="31">
        <v>15456378</v>
      </c>
      <c r="F17" s="64">
        <f t="shared" si="5"/>
        <v>9822</v>
      </c>
      <c r="G17" s="31">
        <v>40010835</v>
      </c>
      <c r="H17" s="64">
        <f t="shared" si="6"/>
        <v>32110</v>
      </c>
      <c r="I17" s="33">
        <f t="shared" si="0"/>
        <v>41932</v>
      </c>
      <c r="J17" s="31">
        <v>3359956</v>
      </c>
      <c r="K17" s="64">
        <f t="shared" si="7"/>
        <v>3262</v>
      </c>
      <c r="L17" s="90">
        <v>3487536</v>
      </c>
      <c r="M17" s="64">
        <f t="shared" si="8"/>
        <v>3867</v>
      </c>
      <c r="N17" s="31">
        <v>2240577</v>
      </c>
      <c r="O17" s="64">
        <f t="shared" si="9"/>
        <v>5252</v>
      </c>
      <c r="P17" s="90">
        <v>4584873</v>
      </c>
      <c r="Q17" s="64">
        <f t="shared" si="10"/>
        <v>2783</v>
      </c>
      <c r="R17" s="31">
        <v>9020779</v>
      </c>
      <c r="S17" s="64">
        <f t="shared" si="11"/>
        <v>7912</v>
      </c>
      <c r="T17" s="31">
        <v>0</v>
      </c>
      <c r="U17" s="32"/>
      <c r="V17" s="31">
        <v>5397586</v>
      </c>
      <c r="W17" s="64">
        <f t="shared" si="12"/>
        <v>9256</v>
      </c>
      <c r="X17" s="33">
        <f t="shared" si="1"/>
        <v>32332</v>
      </c>
      <c r="Y17" s="46">
        <f t="shared" si="2"/>
        <v>9600</v>
      </c>
      <c r="Z17" s="31">
        <f t="shared" si="3"/>
        <v>5330.1454335999997</v>
      </c>
      <c r="AA17" s="31">
        <f t="shared" si="13"/>
        <v>29329.548351999998</v>
      </c>
    </row>
    <row r="18" spans="1:27" ht="16.5" thickBot="1" x14ac:dyDescent="0.25">
      <c r="A18" s="6">
        <v>43480</v>
      </c>
      <c r="B18" s="64">
        <v>263</v>
      </c>
      <c r="C18" s="64">
        <v>14990</v>
      </c>
      <c r="D18" s="64">
        <f t="shared" si="4"/>
        <v>1280</v>
      </c>
      <c r="E18" s="31">
        <v>15473890</v>
      </c>
      <c r="F18" s="64">
        <f t="shared" si="5"/>
        <v>17512</v>
      </c>
      <c r="G18" s="31">
        <v>40071299</v>
      </c>
      <c r="H18" s="64">
        <f t="shared" si="6"/>
        <v>60464</v>
      </c>
      <c r="I18" s="33">
        <f t="shared" si="0"/>
        <v>77976</v>
      </c>
      <c r="J18" s="31">
        <v>3366596</v>
      </c>
      <c r="K18" s="64">
        <f t="shared" si="7"/>
        <v>6640</v>
      </c>
      <c r="L18" s="90">
        <v>3495319</v>
      </c>
      <c r="M18" s="64">
        <f t="shared" si="8"/>
        <v>7783</v>
      </c>
      <c r="N18" s="31">
        <v>2245346</v>
      </c>
      <c r="O18" s="64">
        <f t="shared" si="9"/>
        <v>9538</v>
      </c>
      <c r="P18" s="90">
        <v>4587608</v>
      </c>
      <c r="Q18" s="64">
        <f t="shared" si="10"/>
        <v>2735</v>
      </c>
      <c r="R18" s="31">
        <v>9035202</v>
      </c>
      <c r="S18" s="64">
        <f t="shared" si="11"/>
        <v>14423</v>
      </c>
      <c r="T18" s="31">
        <v>0</v>
      </c>
      <c r="U18" s="32"/>
      <c r="V18" s="31">
        <v>5415048</v>
      </c>
      <c r="W18" s="64">
        <f t="shared" si="12"/>
        <v>17462</v>
      </c>
      <c r="X18" s="33">
        <f t="shared" si="1"/>
        <v>58581</v>
      </c>
      <c r="Y18" s="46">
        <f t="shared" si="2"/>
        <v>19395</v>
      </c>
      <c r="Z18" s="31">
        <f t="shared" si="3"/>
        <v>9515.7118160000009</v>
      </c>
      <c r="AA18" s="31">
        <f t="shared" si="13"/>
        <v>28370.477928</v>
      </c>
    </row>
    <row r="19" spans="1:27" ht="16.5" thickBot="1" x14ac:dyDescent="0.25">
      <c r="A19" s="6">
        <v>43481</v>
      </c>
      <c r="B19" s="64">
        <v>265</v>
      </c>
      <c r="C19" s="64">
        <v>14998</v>
      </c>
      <c r="D19" s="64">
        <f t="shared" si="4"/>
        <v>1280</v>
      </c>
      <c r="E19" s="31">
        <v>15486461</v>
      </c>
      <c r="F19" s="64">
        <f t="shared" si="5"/>
        <v>12571</v>
      </c>
      <c r="G19" s="31">
        <v>40114938</v>
      </c>
      <c r="H19" s="64">
        <f t="shared" si="6"/>
        <v>43639</v>
      </c>
      <c r="I19" s="33">
        <f t="shared" si="0"/>
        <v>56210</v>
      </c>
      <c r="J19" s="31">
        <v>3371578</v>
      </c>
      <c r="K19" s="64">
        <f t="shared" si="7"/>
        <v>4982</v>
      </c>
      <c r="L19" s="90">
        <v>3501070</v>
      </c>
      <c r="M19" s="64">
        <f t="shared" si="8"/>
        <v>5751</v>
      </c>
      <c r="N19" s="91">
        <v>2248692</v>
      </c>
      <c r="O19" s="64">
        <f t="shared" si="9"/>
        <v>6692</v>
      </c>
      <c r="P19" s="90">
        <v>4590129</v>
      </c>
      <c r="Q19" s="64">
        <f t="shared" si="10"/>
        <v>2521</v>
      </c>
      <c r="R19" s="31">
        <v>9045590</v>
      </c>
      <c r="S19" s="64">
        <f t="shared" si="11"/>
        <v>10388</v>
      </c>
      <c r="T19" s="31">
        <v>0</v>
      </c>
      <c r="U19" s="32"/>
      <c r="V19" s="31">
        <v>5427529</v>
      </c>
      <c r="W19" s="64">
        <f t="shared" si="12"/>
        <v>12481</v>
      </c>
      <c r="X19" s="33">
        <f t="shared" si="1"/>
        <v>42815</v>
      </c>
      <c r="Y19" s="46">
        <f t="shared" si="2"/>
        <v>13395</v>
      </c>
      <c r="Z19" s="31">
        <f t="shared" si="3"/>
        <v>6884.4014928000006</v>
      </c>
      <c r="AA19" s="31">
        <f t="shared" si="13"/>
        <v>30376.938737599998</v>
      </c>
    </row>
    <row r="20" spans="1:27" ht="16.5" thickBot="1" x14ac:dyDescent="0.25">
      <c r="A20" s="6">
        <v>43482</v>
      </c>
      <c r="B20" s="64">
        <v>269</v>
      </c>
      <c r="C20" s="64">
        <v>15006</v>
      </c>
      <c r="D20" s="64">
        <f>IF((C20-C19)&lt;0,"0",(C20-C19))*160</f>
        <v>1280</v>
      </c>
      <c r="E20" s="31">
        <v>15502589</v>
      </c>
      <c r="F20" s="64">
        <f t="shared" si="5"/>
        <v>16128</v>
      </c>
      <c r="G20" s="31">
        <v>40167801</v>
      </c>
      <c r="H20" s="64">
        <f t="shared" si="6"/>
        <v>52863</v>
      </c>
      <c r="I20" s="33">
        <f t="shared" si="0"/>
        <v>68991</v>
      </c>
      <c r="J20" s="31">
        <v>3377578</v>
      </c>
      <c r="K20" s="64">
        <f t="shared" si="7"/>
        <v>6000</v>
      </c>
      <c r="L20" s="90">
        <v>3508313</v>
      </c>
      <c r="M20" s="64">
        <f t="shared" si="8"/>
        <v>7243</v>
      </c>
      <c r="N20" s="31">
        <v>2253008</v>
      </c>
      <c r="O20" s="64">
        <f t="shared" si="9"/>
        <v>8632</v>
      </c>
      <c r="P20" s="90">
        <v>4593388</v>
      </c>
      <c r="Q20" s="64">
        <f t="shared" si="10"/>
        <v>3259</v>
      </c>
      <c r="R20" s="31">
        <v>9059261</v>
      </c>
      <c r="S20" s="64">
        <f t="shared" si="11"/>
        <v>13671</v>
      </c>
      <c r="T20" s="31">
        <v>0</v>
      </c>
      <c r="U20" s="32"/>
      <c r="V20" s="31">
        <v>5442021</v>
      </c>
      <c r="W20" s="64">
        <f t="shared" si="12"/>
        <v>14492</v>
      </c>
      <c r="X20" s="33">
        <f t="shared" si="1"/>
        <v>53297</v>
      </c>
      <c r="Y20" s="46">
        <f t="shared" si="2"/>
        <v>15694</v>
      </c>
      <c r="Z20" s="31">
        <f t="shared" si="3"/>
        <v>8557.0244655999995</v>
      </c>
      <c r="AA20" s="31">
        <f t="shared" si="13"/>
        <v>30287.283208000001</v>
      </c>
    </row>
    <row r="21" spans="1:27" ht="16.5" thickBot="1" x14ac:dyDescent="0.25">
      <c r="A21" s="6">
        <v>43483</v>
      </c>
      <c r="B21" s="64">
        <v>271</v>
      </c>
      <c r="C21" s="64">
        <v>15014</v>
      </c>
      <c r="D21" s="64">
        <f>IF((C21-C20)&lt;0,"0",(C21-C20))*160</f>
        <v>1280</v>
      </c>
      <c r="E21" s="31">
        <v>15512673</v>
      </c>
      <c r="F21" s="64">
        <f t="shared" si="5"/>
        <v>10084</v>
      </c>
      <c r="G21" s="31">
        <v>40199427</v>
      </c>
      <c r="H21" s="64">
        <f t="shared" si="6"/>
        <v>31626</v>
      </c>
      <c r="I21" s="33">
        <f t="shared" si="0"/>
        <v>41710</v>
      </c>
      <c r="J21" s="31">
        <v>3381086</v>
      </c>
      <c r="K21" s="64">
        <f t="shared" si="7"/>
        <v>3508</v>
      </c>
      <c r="L21" s="90">
        <v>3512676</v>
      </c>
      <c r="M21" s="64">
        <f t="shared" si="8"/>
        <v>4363</v>
      </c>
      <c r="N21" s="31">
        <v>2255816</v>
      </c>
      <c r="O21" s="64">
        <f t="shared" si="9"/>
        <v>5616</v>
      </c>
      <c r="P21" s="90">
        <v>4595138</v>
      </c>
      <c r="Q21" s="64">
        <f t="shared" si="10"/>
        <v>1750</v>
      </c>
      <c r="R21" s="31">
        <v>9067447</v>
      </c>
      <c r="S21" s="64">
        <f t="shared" si="11"/>
        <v>8186</v>
      </c>
      <c r="T21" s="31">
        <v>0</v>
      </c>
      <c r="U21" s="32"/>
      <c r="V21" s="31">
        <v>5450923</v>
      </c>
      <c r="W21" s="64">
        <f t="shared" si="12"/>
        <v>8902</v>
      </c>
      <c r="X21" s="33">
        <f t="shared" si="1"/>
        <v>32325</v>
      </c>
      <c r="Y21" s="46">
        <f t="shared" si="2"/>
        <v>9385</v>
      </c>
      <c r="Z21" s="31">
        <f t="shared" si="3"/>
        <v>5213.8784256000008</v>
      </c>
      <c r="AA21" s="31">
        <f t="shared" si="13"/>
        <v>30171.016200000002</v>
      </c>
    </row>
    <row r="22" spans="1:27" ht="16.5" thickBot="1" x14ac:dyDescent="0.25">
      <c r="A22" s="6">
        <v>43484</v>
      </c>
      <c r="B22" s="64">
        <v>299</v>
      </c>
      <c r="C22" s="64">
        <v>15022</v>
      </c>
      <c r="D22" s="64">
        <f>IF((C22-C21)&lt;0,"0",(C22-C21))*160</f>
        <v>1280</v>
      </c>
      <c r="E22" s="31">
        <v>15530208</v>
      </c>
      <c r="F22" s="64">
        <f t="shared" si="5"/>
        <v>17535</v>
      </c>
      <c r="G22" s="31">
        <v>40253747</v>
      </c>
      <c r="H22" s="64">
        <f t="shared" si="6"/>
        <v>54320</v>
      </c>
      <c r="I22" s="33">
        <f t="shared" si="0"/>
        <v>71855</v>
      </c>
      <c r="J22" s="31">
        <v>3386835</v>
      </c>
      <c r="K22" s="64">
        <f t="shared" si="7"/>
        <v>5749</v>
      </c>
      <c r="L22" s="90">
        <v>3520540</v>
      </c>
      <c r="M22" s="64">
        <f t="shared" si="8"/>
        <v>7864</v>
      </c>
      <c r="N22" s="31">
        <v>2260549</v>
      </c>
      <c r="O22" s="64">
        <f t="shared" si="9"/>
        <v>9466</v>
      </c>
      <c r="P22" s="90">
        <v>4598046</v>
      </c>
      <c r="Q22" s="64">
        <f t="shared" si="10"/>
        <v>2908</v>
      </c>
      <c r="R22" s="31">
        <v>9081066</v>
      </c>
      <c r="S22" s="64">
        <f t="shared" si="11"/>
        <v>13619</v>
      </c>
      <c r="T22" s="31">
        <v>0</v>
      </c>
      <c r="U22" s="32"/>
      <c r="V22" s="31">
        <v>5466525</v>
      </c>
      <c r="W22" s="64">
        <f t="shared" si="12"/>
        <v>15602</v>
      </c>
      <c r="X22" s="33">
        <f t="shared" si="1"/>
        <v>55208</v>
      </c>
      <c r="Y22" s="46">
        <f t="shared" si="2"/>
        <v>16647</v>
      </c>
      <c r="Z22" s="31">
        <f t="shared" si="3"/>
        <v>8883.7400911999994</v>
      </c>
      <c r="AA22" s="31">
        <f t="shared" si="13"/>
        <v>29539.044475199997</v>
      </c>
    </row>
    <row r="23" spans="1:27" ht="16.5" thickBot="1" x14ac:dyDescent="0.25">
      <c r="A23" s="6">
        <v>43485</v>
      </c>
      <c r="B23" s="64">
        <f>B22</f>
        <v>299</v>
      </c>
      <c r="C23" s="64">
        <v>15030</v>
      </c>
      <c r="D23" s="64">
        <f t="shared" si="4"/>
        <v>1280</v>
      </c>
      <c r="E23" s="31">
        <v>15546434</v>
      </c>
      <c r="F23" s="64">
        <f t="shared" si="5"/>
        <v>16226</v>
      </c>
      <c r="G23" s="31">
        <v>40302753</v>
      </c>
      <c r="H23" s="64">
        <f t="shared" si="6"/>
        <v>49006</v>
      </c>
      <c r="I23" s="33">
        <f t="shared" si="0"/>
        <v>65232</v>
      </c>
      <c r="J23" s="31">
        <v>3391888</v>
      </c>
      <c r="K23" s="64">
        <f t="shared" si="7"/>
        <v>5053</v>
      </c>
      <c r="L23" s="90">
        <v>3527677</v>
      </c>
      <c r="M23" s="64">
        <f t="shared" si="8"/>
        <v>7137</v>
      </c>
      <c r="N23" s="31">
        <v>2265012</v>
      </c>
      <c r="O23" s="64">
        <f t="shared" si="9"/>
        <v>8926</v>
      </c>
      <c r="P23" s="90">
        <v>4600858</v>
      </c>
      <c r="Q23" s="64">
        <f t="shared" si="10"/>
        <v>2812</v>
      </c>
      <c r="R23" s="31">
        <v>9092586</v>
      </c>
      <c r="S23" s="64">
        <f t="shared" si="11"/>
        <v>11520</v>
      </c>
      <c r="T23" s="31">
        <v>0</v>
      </c>
      <c r="U23" s="32"/>
      <c r="V23" s="31">
        <v>5480962</v>
      </c>
      <c r="W23" s="64">
        <f t="shared" si="12"/>
        <v>14437</v>
      </c>
      <c r="X23" s="33">
        <f t="shared" si="1"/>
        <v>49885</v>
      </c>
      <c r="Y23" s="46">
        <f t="shared" si="2"/>
        <v>15347</v>
      </c>
      <c r="Z23" s="31">
        <f t="shared" si="3"/>
        <v>7999.4452304000006</v>
      </c>
      <c r="AA23" s="31">
        <f t="shared" si="13"/>
        <v>30654.088212800001</v>
      </c>
    </row>
    <row r="24" spans="1:27" ht="16.5" thickBot="1" x14ac:dyDescent="0.25">
      <c r="A24" s="6">
        <v>43486</v>
      </c>
      <c r="B24" s="64">
        <v>278</v>
      </c>
      <c r="C24" s="64">
        <v>15038</v>
      </c>
      <c r="D24" s="64">
        <f t="shared" si="4"/>
        <v>1280</v>
      </c>
      <c r="E24" s="31">
        <v>15565392</v>
      </c>
      <c r="F24" s="64">
        <f t="shared" si="5"/>
        <v>18958</v>
      </c>
      <c r="G24" s="31">
        <v>40360230</v>
      </c>
      <c r="H24" s="64">
        <f t="shared" si="6"/>
        <v>57477</v>
      </c>
      <c r="I24" s="33">
        <f t="shared" si="0"/>
        <v>76435</v>
      </c>
      <c r="J24" s="31">
        <v>3397939</v>
      </c>
      <c r="K24" s="64">
        <f t="shared" si="7"/>
        <v>6051</v>
      </c>
      <c r="L24" s="90">
        <v>3535286</v>
      </c>
      <c r="M24" s="64">
        <f t="shared" si="8"/>
        <v>7609</v>
      </c>
      <c r="N24" s="31">
        <v>2270562</v>
      </c>
      <c r="O24" s="64">
        <f t="shared" si="9"/>
        <v>11100</v>
      </c>
      <c r="P24" s="90">
        <v>4603940</v>
      </c>
      <c r="Q24" s="64">
        <f t="shared" si="10"/>
        <v>3082</v>
      </c>
      <c r="R24" s="31">
        <v>9106410</v>
      </c>
      <c r="S24" s="64">
        <f t="shared" si="11"/>
        <v>13824</v>
      </c>
      <c r="T24" s="31">
        <v>0</v>
      </c>
      <c r="U24" s="32"/>
      <c r="V24" s="31">
        <v>5497712</v>
      </c>
      <c r="W24" s="64">
        <f t="shared" si="12"/>
        <v>16750</v>
      </c>
      <c r="X24" s="33">
        <f t="shared" si="1"/>
        <v>58416</v>
      </c>
      <c r="Y24" s="46">
        <f t="shared" si="2"/>
        <v>18019</v>
      </c>
      <c r="Z24" s="31">
        <f t="shared" si="3"/>
        <v>9473.8743008000001</v>
      </c>
      <c r="AA24" s="31">
        <f t="shared" si="13"/>
        <v>31570.938048000004</v>
      </c>
    </row>
    <row r="25" spans="1:27" ht="16.5" thickBot="1" x14ac:dyDescent="0.25">
      <c r="A25" s="6">
        <v>43487</v>
      </c>
      <c r="B25" s="64">
        <f>B24</f>
        <v>278</v>
      </c>
      <c r="C25" s="64">
        <v>15046</v>
      </c>
      <c r="D25" s="64">
        <f t="shared" si="4"/>
        <v>1280</v>
      </c>
      <c r="E25" s="31">
        <v>15577566</v>
      </c>
      <c r="F25" s="64">
        <f t="shared" si="5"/>
        <v>12174</v>
      </c>
      <c r="G25" s="31">
        <v>40393851</v>
      </c>
      <c r="H25" s="64">
        <f t="shared" si="6"/>
        <v>33621</v>
      </c>
      <c r="I25" s="33">
        <f t="shared" si="0"/>
        <v>45795</v>
      </c>
      <c r="J25" s="31">
        <v>3402017</v>
      </c>
      <c r="K25" s="64">
        <f t="shared" si="7"/>
        <v>4078</v>
      </c>
      <c r="L25" s="90">
        <v>3540962</v>
      </c>
      <c r="M25" s="64">
        <f t="shared" si="8"/>
        <v>5676</v>
      </c>
      <c r="N25" s="31">
        <v>2273758</v>
      </c>
      <c r="O25" s="64">
        <f t="shared" si="9"/>
        <v>6392</v>
      </c>
      <c r="P25" s="90">
        <v>4605730</v>
      </c>
      <c r="Q25" s="64">
        <f t="shared" si="10"/>
        <v>1790</v>
      </c>
      <c r="R25" s="31">
        <v>9114138</v>
      </c>
      <c r="S25" s="64">
        <f t="shared" si="11"/>
        <v>7728</v>
      </c>
      <c r="T25" s="31">
        <v>0</v>
      </c>
      <c r="U25" s="32"/>
      <c r="V25" s="31">
        <v>5507506</v>
      </c>
      <c r="W25" s="64">
        <f t="shared" si="12"/>
        <v>9794</v>
      </c>
      <c r="X25" s="33">
        <f t="shared" si="1"/>
        <v>35458</v>
      </c>
      <c r="Y25" s="46">
        <f t="shared" si="2"/>
        <v>10337</v>
      </c>
      <c r="Z25" s="31">
        <f t="shared" si="3"/>
        <v>5437.3475103999999</v>
      </c>
      <c r="AA25" s="31">
        <f t="shared" si="13"/>
        <v>31794.407132800003</v>
      </c>
    </row>
    <row r="26" spans="1:27" ht="16.5" thickBot="1" x14ac:dyDescent="0.25">
      <c r="A26" s="6">
        <v>43488</v>
      </c>
      <c r="B26" s="64">
        <v>318</v>
      </c>
      <c r="C26" s="64">
        <v>15054</v>
      </c>
      <c r="D26" s="64">
        <f t="shared" si="4"/>
        <v>1280</v>
      </c>
      <c r="E26" s="31">
        <v>15592024</v>
      </c>
      <c r="F26" s="64">
        <f t="shared" si="5"/>
        <v>14458</v>
      </c>
      <c r="G26" s="31">
        <v>40436468</v>
      </c>
      <c r="H26" s="64">
        <f t="shared" si="6"/>
        <v>42617</v>
      </c>
      <c r="I26" s="33">
        <f t="shared" si="0"/>
        <v>57075</v>
      </c>
      <c r="J26" s="31">
        <v>3406715</v>
      </c>
      <c r="K26" s="64">
        <f t="shared" si="7"/>
        <v>4698</v>
      </c>
      <c r="L26" s="90">
        <v>3547098</v>
      </c>
      <c r="M26" s="64">
        <f t="shared" si="8"/>
        <v>6136</v>
      </c>
      <c r="N26" s="31">
        <v>2277842</v>
      </c>
      <c r="O26" s="64">
        <f t="shared" si="9"/>
        <v>8168</v>
      </c>
      <c r="P26" s="90">
        <v>4608082</v>
      </c>
      <c r="Q26" s="64">
        <f t="shared" si="10"/>
        <v>2352</v>
      </c>
      <c r="R26" s="31">
        <v>9123648</v>
      </c>
      <c r="S26" s="64">
        <f t="shared" si="11"/>
        <v>9510</v>
      </c>
      <c r="T26" s="31">
        <v>0</v>
      </c>
      <c r="U26" s="32"/>
      <c r="V26" s="31">
        <v>5520176</v>
      </c>
      <c r="W26" s="64">
        <f t="shared" si="12"/>
        <v>12670</v>
      </c>
      <c r="X26" s="33">
        <f t="shared" si="1"/>
        <v>43534</v>
      </c>
      <c r="Y26" s="46">
        <f t="shared" si="2"/>
        <v>13541</v>
      </c>
      <c r="Z26" s="31">
        <f t="shared" si="3"/>
        <v>6906.3824960000002</v>
      </c>
      <c r="AA26" s="31">
        <f t="shared" si="13"/>
        <v>29817.049537600004</v>
      </c>
    </row>
    <row r="27" spans="1:27" ht="16.5" thickBot="1" x14ac:dyDescent="0.25">
      <c r="A27" s="6">
        <v>43489</v>
      </c>
      <c r="B27" s="64">
        <f>B26</f>
        <v>318</v>
      </c>
      <c r="C27" s="64">
        <v>15062</v>
      </c>
      <c r="D27" s="64">
        <f t="shared" si="4"/>
        <v>1280</v>
      </c>
      <c r="E27" s="31">
        <v>15606116</v>
      </c>
      <c r="F27" s="64">
        <f t="shared" si="5"/>
        <v>14092</v>
      </c>
      <c r="G27" s="31">
        <v>40476200</v>
      </c>
      <c r="H27" s="64">
        <f t="shared" si="6"/>
        <v>39732</v>
      </c>
      <c r="I27" s="33">
        <f t="shared" si="0"/>
        <v>53824</v>
      </c>
      <c r="J27" s="31">
        <v>3410368</v>
      </c>
      <c r="K27" s="64">
        <f t="shared" si="7"/>
        <v>3653</v>
      </c>
      <c r="L27" s="90">
        <v>3552727</v>
      </c>
      <c r="M27" s="64">
        <f t="shared" si="8"/>
        <v>5629</v>
      </c>
      <c r="N27" s="31">
        <v>2281362</v>
      </c>
      <c r="O27" s="64">
        <f t="shared" si="9"/>
        <v>7040</v>
      </c>
      <c r="P27" s="90">
        <v>4610413</v>
      </c>
      <c r="Q27" s="64">
        <f t="shared" si="10"/>
        <v>2331</v>
      </c>
      <c r="R27" s="31">
        <v>9133532</v>
      </c>
      <c r="S27" s="64">
        <f t="shared" si="11"/>
        <v>9884</v>
      </c>
      <c r="T27" s="31">
        <v>0</v>
      </c>
      <c r="U27" s="32"/>
      <c r="V27" s="31">
        <v>5531577</v>
      </c>
      <c r="W27" s="64">
        <f t="shared" si="12"/>
        <v>11401</v>
      </c>
      <c r="X27" s="33">
        <f t="shared" si="1"/>
        <v>39938</v>
      </c>
      <c r="Y27" s="46">
        <f t="shared" si="2"/>
        <v>13886</v>
      </c>
      <c r="Z27" s="31">
        <f t="shared" si="3"/>
        <v>6522.8139600000004</v>
      </c>
      <c r="AA27" s="31">
        <f t="shared" si="13"/>
        <v>28340.418267200002</v>
      </c>
    </row>
    <row r="28" spans="1:27" ht="16.5" thickBot="1" x14ac:dyDescent="0.25">
      <c r="A28" s="6">
        <v>43490</v>
      </c>
      <c r="B28" s="64">
        <v>305</v>
      </c>
      <c r="C28" s="64">
        <v>15070</v>
      </c>
      <c r="D28" s="64">
        <f t="shared" si="4"/>
        <v>1280</v>
      </c>
      <c r="E28" s="31">
        <v>15620090</v>
      </c>
      <c r="F28" s="64">
        <f t="shared" si="5"/>
        <v>13974</v>
      </c>
      <c r="G28" s="31">
        <v>40521958</v>
      </c>
      <c r="H28" s="64">
        <f t="shared" si="6"/>
        <v>45758</v>
      </c>
      <c r="I28" s="33">
        <f t="shared" si="0"/>
        <v>59732</v>
      </c>
      <c r="J28" s="31">
        <v>3415391</v>
      </c>
      <c r="K28" s="64">
        <f t="shared" si="7"/>
        <v>5023</v>
      </c>
      <c r="L28" s="90">
        <v>3559048</v>
      </c>
      <c r="M28" s="64">
        <f t="shared" si="8"/>
        <v>6321</v>
      </c>
      <c r="N28" s="31">
        <v>2285728</v>
      </c>
      <c r="O28" s="64">
        <f t="shared" si="9"/>
        <v>8732</v>
      </c>
      <c r="P28" s="90">
        <v>4612747</v>
      </c>
      <c r="Q28" s="64">
        <f t="shared" si="10"/>
        <v>2334</v>
      </c>
      <c r="R28" s="31">
        <v>9145508</v>
      </c>
      <c r="S28" s="64">
        <f t="shared" si="11"/>
        <v>11976</v>
      </c>
      <c r="T28" s="31">
        <v>0</v>
      </c>
      <c r="U28" s="32"/>
      <c r="V28" s="31">
        <v>5544608</v>
      </c>
      <c r="W28" s="64">
        <f t="shared" si="12"/>
        <v>13031</v>
      </c>
      <c r="X28" s="33">
        <f t="shared" si="1"/>
        <v>47417</v>
      </c>
      <c r="Y28" s="46">
        <f t="shared" si="2"/>
        <v>12315</v>
      </c>
      <c r="Z28" s="31">
        <f t="shared" si="3"/>
        <v>7671.5816944000007</v>
      </c>
      <c r="AA28" s="31">
        <f t="shared" si="13"/>
        <v>26538.1256608</v>
      </c>
    </row>
    <row r="29" spans="1:27" ht="16.5" thickBot="1" x14ac:dyDescent="0.25">
      <c r="A29" s="6">
        <v>43491</v>
      </c>
      <c r="B29" s="64">
        <v>337</v>
      </c>
      <c r="C29" s="64">
        <v>15078</v>
      </c>
      <c r="D29" s="64">
        <f t="shared" si="4"/>
        <v>1280</v>
      </c>
      <c r="E29" s="31">
        <v>15635013</v>
      </c>
      <c r="F29" s="64">
        <f t="shared" si="5"/>
        <v>14923</v>
      </c>
      <c r="G29" s="31">
        <v>40555449</v>
      </c>
      <c r="H29" s="64">
        <f t="shared" si="6"/>
        <v>33491</v>
      </c>
      <c r="I29" s="33">
        <f t="shared" si="0"/>
        <v>48414</v>
      </c>
      <c r="J29" s="31">
        <v>3418910</v>
      </c>
      <c r="K29" s="64">
        <f t="shared" si="7"/>
        <v>3519</v>
      </c>
      <c r="L29" s="90">
        <v>3563653</v>
      </c>
      <c r="M29" s="64">
        <f t="shared" si="8"/>
        <v>4605</v>
      </c>
      <c r="N29" s="31">
        <v>2289059</v>
      </c>
      <c r="O29" s="64">
        <f t="shared" si="9"/>
        <v>6662</v>
      </c>
      <c r="P29" s="90">
        <v>4614708</v>
      </c>
      <c r="Q29" s="64">
        <f t="shared" si="10"/>
        <v>1961</v>
      </c>
      <c r="R29" s="31">
        <v>9153728</v>
      </c>
      <c r="S29" s="64">
        <f t="shared" si="11"/>
        <v>8220</v>
      </c>
      <c r="T29" s="31">
        <v>0</v>
      </c>
      <c r="U29" s="32"/>
      <c r="V29" s="31">
        <v>5554236</v>
      </c>
      <c r="W29" s="64">
        <f t="shared" si="12"/>
        <v>9628</v>
      </c>
      <c r="X29" s="33">
        <f t="shared" si="1"/>
        <v>34595</v>
      </c>
      <c r="Y29" s="46">
        <f t="shared" si="2"/>
        <v>13819</v>
      </c>
      <c r="Z29" s="31">
        <f t="shared" si="3"/>
        <v>5580.3153536000009</v>
      </c>
      <c r="AA29" s="31">
        <f t="shared" si="13"/>
        <v>26681.093504000004</v>
      </c>
    </row>
    <row r="30" spans="1:27" ht="16.5" thickBot="1" x14ac:dyDescent="0.25">
      <c r="A30" s="6">
        <v>43492</v>
      </c>
      <c r="B30" s="64">
        <v>360</v>
      </c>
      <c r="C30" s="64">
        <v>15086</v>
      </c>
      <c r="D30" s="64">
        <f t="shared" si="4"/>
        <v>1280</v>
      </c>
      <c r="E30" s="31">
        <v>15649358</v>
      </c>
      <c r="F30" s="64">
        <f t="shared" si="5"/>
        <v>14345</v>
      </c>
      <c r="G30" s="31">
        <v>40605894</v>
      </c>
      <c r="H30" s="64">
        <f t="shared" si="6"/>
        <v>50445</v>
      </c>
      <c r="I30" s="33">
        <f t="shared" si="0"/>
        <v>64790</v>
      </c>
      <c r="J30" s="31">
        <v>3424339</v>
      </c>
      <c r="K30" s="64">
        <f t="shared" si="7"/>
        <v>5429</v>
      </c>
      <c r="L30" s="90">
        <v>3571349</v>
      </c>
      <c r="M30" s="64">
        <f t="shared" si="8"/>
        <v>7696</v>
      </c>
      <c r="N30" s="31">
        <v>2294040</v>
      </c>
      <c r="O30" s="64">
        <f t="shared" si="9"/>
        <v>9962</v>
      </c>
      <c r="P30" s="90">
        <v>4617828</v>
      </c>
      <c r="Q30" s="64">
        <f t="shared" si="10"/>
        <v>3120</v>
      </c>
      <c r="R30" s="31">
        <v>9166618</v>
      </c>
      <c r="S30" s="64">
        <f t="shared" si="11"/>
        <v>12890</v>
      </c>
      <c r="T30" s="31">
        <v>0</v>
      </c>
      <c r="U30" s="32"/>
      <c r="V30" s="31">
        <v>5568324</v>
      </c>
      <c r="W30" s="64">
        <f t="shared" si="12"/>
        <v>14088</v>
      </c>
      <c r="X30" s="33">
        <f t="shared" si="1"/>
        <v>53185</v>
      </c>
      <c r="Y30" s="46">
        <f t="shared" si="2"/>
        <v>11605</v>
      </c>
      <c r="Z30" s="31">
        <f t="shared" si="3"/>
        <v>8441.8256416000004</v>
      </c>
      <c r="AA30" s="31">
        <f t="shared" si="13"/>
        <v>28216.536649600002</v>
      </c>
    </row>
    <row r="31" spans="1:27" ht="16.5" thickBot="1" x14ac:dyDescent="0.25">
      <c r="A31" s="6">
        <v>43493</v>
      </c>
      <c r="B31" s="64">
        <v>365</v>
      </c>
      <c r="C31" s="64">
        <v>15094</v>
      </c>
      <c r="D31" s="64">
        <f t="shared" si="4"/>
        <v>1280</v>
      </c>
      <c r="E31" s="31">
        <v>15663399</v>
      </c>
      <c r="F31" s="64">
        <f t="shared" si="5"/>
        <v>14041</v>
      </c>
      <c r="G31" s="31">
        <v>40646278</v>
      </c>
      <c r="H31" s="64">
        <f t="shared" si="6"/>
        <v>40384</v>
      </c>
      <c r="I31" s="33">
        <f t="shared" si="0"/>
        <v>54425</v>
      </c>
      <c r="J31" s="31">
        <v>3428732</v>
      </c>
      <c r="K31" s="64">
        <f t="shared" si="7"/>
        <v>4393</v>
      </c>
      <c r="L31" s="90">
        <v>3577503</v>
      </c>
      <c r="M31" s="64">
        <f t="shared" si="8"/>
        <v>6154</v>
      </c>
      <c r="N31" s="31">
        <v>2297898</v>
      </c>
      <c r="O31" s="64">
        <f t="shared" si="9"/>
        <v>7716</v>
      </c>
      <c r="P31" s="90">
        <v>4620432</v>
      </c>
      <c r="Q31" s="64">
        <f t="shared" si="10"/>
        <v>2604</v>
      </c>
      <c r="R31" s="31">
        <v>9176858</v>
      </c>
      <c r="S31" s="64">
        <f t="shared" si="11"/>
        <v>10240</v>
      </c>
      <c r="T31" s="31">
        <v>0</v>
      </c>
      <c r="U31" s="32"/>
      <c r="V31" s="31">
        <v>5579561</v>
      </c>
      <c r="W31" s="64">
        <f t="shared" si="12"/>
        <v>11237</v>
      </c>
      <c r="X31" s="33">
        <f t="shared" si="1"/>
        <v>42344</v>
      </c>
      <c r="Y31" s="46">
        <f t="shared" si="2"/>
        <v>12081</v>
      </c>
      <c r="Z31" s="31">
        <f t="shared" si="3"/>
        <v>6706.8001104000004</v>
      </c>
      <c r="AA31" s="31">
        <f t="shared" si="13"/>
        <v>28400.522800000002</v>
      </c>
    </row>
    <row r="32" spans="1:27" ht="16.5" thickBot="1" x14ac:dyDescent="0.25">
      <c r="A32" s="6">
        <v>43494</v>
      </c>
      <c r="B32" s="64">
        <v>360</v>
      </c>
      <c r="C32" s="64">
        <v>15102</v>
      </c>
      <c r="D32" s="64">
        <f t="shared" si="4"/>
        <v>1280</v>
      </c>
      <c r="E32" s="31">
        <v>15674357</v>
      </c>
      <c r="F32" s="64">
        <f t="shared" si="5"/>
        <v>10958</v>
      </c>
      <c r="G32" s="31">
        <v>40678248</v>
      </c>
      <c r="H32" s="64">
        <f t="shared" si="6"/>
        <v>31970</v>
      </c>
      <c r="I32" s="33">
        <f>F32+H32</f>
        <v>42928</v>
      </c>
      <c r="J32" s="31">
        <v>3432180</v>
      </c>
      <c r="K32" s="64">
        <f t="shared" si="7"/>
        <v>3448</v>
      </c>
      <c r="L32" s="90">
        <v>3582197</v>
      </c>
      <c r="M32" s="64">
        <f t="shared" si="8"/>
        <v>4694</v>
      </c>
      <c r="N32" s="31">
        <v>2300966</v>
      </c>
      <c r="O32" s="64">
        <f t="shared" si="9"/>
        <v>6136</v>
      </c>
      <c r="P32" s="90">
        <v>4622388</v>
      </c>
      <c r="Q32" s="64">
        <f t="shared" si="10"/>
        <v>1956</v>
      </c>
      <c r="R32" s="31">
        <v>9184973</v>
      </c>
      <c r="S32" s="64">
        <f t="shared" si="11"/>
        <v>8115</v>
      </c>
      <c r="T32" s="31">
        <v>0</v>
      </c>
      <c r="U32" s="32"/>
      <c r="V32" s="31">
        <v>5588526</v>
      </c>
      <c r="W32" s="64">
        <f t="shared" si="12"/>
        <v>8965</v>
      </c>
      <c r="X32" s="33">
        <f>K32+M32+O32+Q32+S32+U32+W32</f>
        <v>33314</v>
      </c>
      <c r="Y32" s="46">
        <f>I32-X32</f>
        <v>9614</v>
      </c>
      <c r="Z32" s="31">
        <f t="shared" si="3"/>
        <v>5317.0382719999998</v>
      </c>
      <c r="AA32" s="31">
        <f t="shared" si="13"/>
        <v>26045.979377600001</v>
      </c>
    </row>
    <row r="33" spans="1:27" ht="16.5" thickBot="1" x14ac:dyDescent="0.25">
      <c r="A33" s="6">
        <v>43495</v>
      </c>
      <c r="B33" s="64">
        <v>331</v>
      </c>
      <c r="C33" s="64">
        <v>15105</v>
      </c>
      <c r="D33" s="64">
        <f t="shared" si="4"/>
        <v>480</v>
      </c>
      <c r="E33" s="31">
        <v>15693789</v>
      </c>
      <c r="F33" s="64">
        <f t="shared" si="5"/>
        <v>19432</v>
      </c>
      <c r="G33" s="31">
        <v>40737330</v>
      </c>
      <c r="H33" s="64">
        <f t="shared" si="6"/>
        <v>59082</v>
      </c>
      <c r="I33" s="33">
        <f>F33+H33</f>
        <v>78514</v>
      </c>
      <c r="J33" s="31">
        <v>3440159</v>
      </c>
      <c r="K33" s="64">
        <f t="shared" si="7"/>
        <v>7979</v>
      </c>
      <c r="L33" s="90">
        <v>3590930</v>
      </c>
      <c r="M33" s="64">
        <f t="shared" si="8"/>
        <v>8733</v>
      </c>
      <c r="N33" s="31">
        <v>2306213</v>
      </c>
      <c r="O33" s="64">
        <f t="shared" si="9"/>
        <v>10494</v>
      </c>
      <c r="P33" s="90">
        <v>4625972</v>
      </c>
      <c r="Q33" s="64">
        <f t="shared" si="10"/>
        <v>3584</v>
      </c>
      <c r="R33" s="31">
        <v>9199373</v>
      </c>
      <c r="S33" s="64">
        <f t="shared" si="11"/>
        <v>14400</v>
      </c>
      <c r="T33" s="31">
        <v>0</v>
      </c>
      <c r="U33" s="32"/>
      <c r="V33" s="31">
        <v>5604609</v>
      </c>
      <c r="W33" s="64">
        <f t="shared" si="12"/>
        <v>16083</v>
      </c>
      <c r="X33" s="33">
        <f>K33+M33+O33+Q33+S33+U33+W33</f>
        <v>61273</v>
      </c>
      <c r="Y33" s="46">
        <f>I33-X33</f>
        <v>17241</v>
      </c>
      <c r="Z33" s="31">
        <f t="shared" si="3"/>
        <v>9436.7313456000011</v>
      </c>
      <c r="AA33" s="31">
        <f t="shared" si="13"/>
        <v>29902.395369599999</v>
      </c>
    </row>
    <row r="34" spans="1:27" ht="16.5" thickBot="1" x14ac:dyDescent="0.25">
      <c r="A34" s="6">
        <v>43496</v>
      </c>
      <c r="B34" s="64">
        <v>358</v>
      </c>
      <c r="C34" s="64">
        <v>15109</v>
      </c>
      <c r="D34" s="64">
        <f t="shared" si="4"/>
        <v>640</v>
      </c>
      <c r="E34" s="31">
        <v>15699168</v>
      </c>
      <c r="F34" s="64">
        <f t="shared" si="5"/>
        <v>5379</v>
      </c>
      <c r="G34" s="31">
        <v>40755325</v>
      </c>
      <c r="H34" s="64">
        <f t="shared" si="6"/>
        <v>17995</v>
      </c>
      <c r="I34" s="33"/>
      <c r="J34" s="31">
        <v>3442128</v>
      </c>
      <c r="K34" s="64">
        <f t="shared" si="7"/>
        <v>1969</v>
      </c>
      <c r="L34" s="90">
        <v>3593012</v>
      </c>
      <c r="M34" s="64">
        <f t="shared" si="8"/>
        <v>2082</v>
      </c>
      <c r="N34" s="31">
        <v>2307818</v>
      </c>
      <c r="O34" s="64">
        <f t="shared" si="9"/>
        <v>3210</v>
      </c>
      <c r="P34" s="90">
        <v>4627087</v>
      </c>
      <c r="Q34" s="64">
        <f t="shared" si="10"/>
        <v>1115</v>
      </c>
      <c r="R34" s="31">
        <v>9203835</v>
      </c>
      <c r="S34" s="64">
        <f t="shared" si="11"/>
        <v>4462</v>
      </c>
      <c r="T34" s="31"/>
      <c r="U34" s="32"/>
      <c r="V34" s="31">
        <v>5609684</v>
      </c>
      <c r="W34" s="64">
        <f t="shared" si="12"/>
        <v>5075</v>
      </c>
      <c r="X34" s="33"/>
      <c r="Y34" s="46"/>
      <c r="Z34" s="31"/>
      <c r="AA34" s="31"/>
    </row>
    <row r="35" spans="1:27" ht="16.5" thickBot="1" x14ac:dyDescent="0.25">
      <c r="A35" s="6" t="s">
        <v>28</v>
      </c>
      <c r="B35" s="64"/>
      <c r="C35" s="64"/>
      <c r="D35" s="64">
        <f>SUM(D3:D34)</f>
        <v>38240</v>
      </c>
      <c r="E35" s="35"/>
      <c r="F35" s="36">
        <f>SUM(F3:F34)</f>
        <v>439235</v>
      </c>
      <c r="G35" s="37"/>
      <c r="H35" s="36">
        <f>SUM(H3:H34)</f>
        <v>1387679</v>
      </c>
      <c r="I35" s="33">
        <f>F35+H35</f>
        <v>1826914</v>
      </c>
      <c r="J35" s="35"/>
      <c r="K35" s="36">
        <f>SUM(K3:K34)</f>
        <v>159360</v>
      </c>
      <c r="L35" s="34"/>
      <c r="M35" s="36">
        <f>SUM(M3:M34)</f>
        <v>191708</v>
      </c>
      <c r="N35" s="34"/>
      <c r="O35" s="36">
        <f>SUM(O3:O34)</f>
        <v>242460</v>
      </c>
      <c r="P35" s="34"/>
      <c r="Q35" s="36">
        <f>SUM(Q3:Q34)</f>
        <v>89443</v>
      </c>
      <c r="R35" s="34"/>
      <c r="S35" s="36">
        <f>SUM(S3:T34)</f>
        <v>343940</v>
      </c>
      <c r="T35" s="34"/>
      <c r="U35" s="36"/>
      <c r="V35" s="34"/>
      <c r="W35" s="36">
        <f>SUM(W3:W34)</f>
        <v>386049</v>
      </c>
      <c r="X35" s="36">
        <f>SUM(X4:X31)</f>
        <v>1300460</v>
      </c>
      <c r="Y35" s="47">
        <f>SUM(Y4:Y31)</f>
        <v>381638</v>
      </c>
      <c r="Z35" s="36">
        <f>SUM(Z5:Z31)</f>
        <v>198492.62675840003</v>
      </c>
      <c r="AA35" s="36"/>
    </row>
    <row r="37" spans="1:27" ht="15" x14ac:dyDescent="0.2">
      <c r="A37" s="30"/>
      <c r="B37" s="65"/>
      <c r="C37" s="65" t="s">
        <v>13</v>
      </c>
      <c r="D37" s="65" t="s">
        <v>13</v>
      </c>
      <c r="E37" s="30" t="s">
        <v>13</v>
      </c>
      <c r="G37" s="30" t="s">
        <v>13</v>
      </c>
      <c r="M37" s="30" t="s">
        <v>13</v>
      </c>
      <c r="N37" s="30" t="s">
        <v>13</v>
      </c>
      <c r="P37" s="30" t="s">
        <v>13</v>
      </c>
      <c r="T37" s="30" t="s">
        <v>13</v>
      </c>
      <c r="V37" s="30" t="s">
        <v>13</v>
      </c>
      <c r="Z37" s="30"/>
      <c r="AA37" s="30"/>
    </row>
    <row r="38" spans="1:27" x14ac:dyDescent="0.25">
      <c r="V38" s="30" t="s">
        <v>13</v>
      </c>
      <c r="Y38" s="39"/>
    </row>
    <row r="39" spans="1:27" x14ac:dyDescent="0.25">
      <c r="U39" s="30" t="s">
        <v>13</v>
      </c>
      <c r="Y39" s="39"/>
    </row>
    <row r="40" spans="1:27" x14ac:dyDescent="0.25">
      <c r="Y40" s="39"/>
    </row>
    <row r="41" spans="1:27" x14ac:dyDescent="0.25">
      <c r="Y41" s="39"/>
    </row>
    <row r="52" spans="1:27" ht="15" x14ac:dyDescent="0.2">
      <c r="A52" s="30"/>
      <c r="B52" s="65"/>
      <c r="C52" s="65"/>
      <c r="D52" s="65"/>
      <c r="Z52" s="30"/>
      <c r="AA52" s="30"/>
    </row>
  </sheetData>
  <mergeCells count="1">
    <mergeCell ref="A1:AA1"/>
  </mergeCells>
  <phoneticPr fontId="0" type="noConversion"/>
  <pageMargins left="0.75" right="0.75" top="1" bottom="1" header="0.5" footer="0.5"/>
  <pageSetup paperSize="9" scale="2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view="pageBreakPreview" topLeftCell="A7" zoomScale="55" zoomScaleNormal="55" zoomScaleSheetLayoutView="55" workbookViewId="0">
      <selection activeCell="C34" sqref="C34"/>
    </sheetView>
  </sheetViews>
  <sheetFormatPr defaultRowHeight="23.25" x14ac:dyDescent="0.35"/>
  <cols>
    <col min="1" max="1" width="37.140625" style="19" customWidth="1"/>
    <col min="2" max="2" width="37.140625" customWidth="1"/>
    <col min="3" max="3" width="37.140625" style="73" customWidth="1"/>
    <col min="4" max="5" width="8.5703125" bestFit="1" customWidth="1"/>
    <col min="7" max="7" width="8.5703125" bestFit="1" customWidth="1"/>
  </cols>
  <sheetData>
    <row r="1" spans="1:9" ht="33" customHeight="1" thickBot="1" x14ac:dyDescent="0.25">
      <c r="A1" s="131" t="s">
        <v>130</v>
      </c>
      <c r="B1" s="131"/>
      <c r="C1" s="131"/>
    </row>
    <row r="2" spans="1:9" ht="24" thickBot="1" x14ac:dyDescent="0.4">
      <c r="A2" s="40" t="s">
        <v>0</v>
      </c>
      <c r="B2" s="41" t="s">
        <v>48</v>
      </c>
      <c r="C2" s="42" t="s">
        <v>31</v>
      </c>
    </row>
    <row r="3" spans="1:9" ht="24" thickBot="1" x14ac:dyDescent="0.4">
      <c r="A3" s="40" t="s">
        <v>12</v>
      </c>
      <c r="B3" s="43">
        <v>14997495</v>
      </c>
      <c r="C3" s="44"/>
    </row>
    <row r="4" spans="1:9" ht="24" thickBot="1" x14ac:dyDescent="0.4">
      <c r="A4" s="40">
        <v>43466</v>
      </c>
      <c r="B4" s="43">
        <v>15003311</v>
      </c>
      <c r="C4" s="72">
        <f>IF((B4-B3)&lt;0,"0",(B4-B3))</f>
        <v>5816</v>
      </c>
    </row>
    <row r="5" spans="1:9" ht="24" thickBot="1" x14ac:dyDescent="0.4">
      <c r="A5" s="40">
        <v>43467</v>
      </c>
      <c r="B5" s="43">
        <v>15006954</v>
      </c>
      <c r="C5" s="72">
        <f t="shared" ref="C5:C34" si="0">IF((B5-B4)&lt;0,"0",(B5-B4))</f>
        <v>3643</v>
      </c>
    </row>
    <row r="6" spans="1:9" ht="24" thickBot="1" x14ac:dyDescent="0.4">
      <c r="A6" s="40">
        <v>43468</v>
      </c>
      <c r="B6" s="43">
        <v>15010184</v>
      </c>
      <c r="C6" s="72">
        <f t="shared" si="0"/>
        <v>3230</v>
      </c>
    </row>
    <row r="7" spans="1:9" ht="24" thickBot="1" x14ac:dyDescent="0.4">
      <c r="A7" s="40">
        <v>43469</v>
      </c>
      <c r="B7" s="43">
        <v>15014441</v>
      </c>
      <c r="C7" s="72">
        <f t="shared" si="0"/>
        <v>4257</v>
      </c>
    </row>
    <row r="8" spans="1:9" ht="24" thickBot="1" x14ac:dyDescent="0.4">
      <c r="A8" s="40">
        <v>43470</v>
      </c>
      <c r="B8" s="43">
        <v>15018447</v>
      </c>
      <c r="C8" s="72">
        <f t="shared" si="0"/>
        <v>4006</v>
      </c>
    </row>
    <row r="9" spans="1:9" ht="24" thickBot="1" x14ac:dyDescent="0.4">
      <c r="A9" s="40">
        <v>43471</v>
      </c>
      <c r="B9" s="43">
        <v>15022092</v>
      </c>
      <c r="C9" s="72">
        <f t="shared" si="0"/>
        <v>3645</v>
      </c>
    </row>
    <row r="10" spans="1:9" ht="24" thickBot="1" x14ac:dyDescent="0.4">
      <c r="A10" s="40">
        <v>43472</v>
      </c>
      <c r="B10" s="43">
        <v>15025671</v>
      </c>
      <c r="C10" s="72">
        <f t="shared" si="0"/>
        <v>3579</v>
      </c>
    </row>
    <row r="11" spans="1:9" ht="24" thickBot="1" x14ac:dyDescent="0.4">
      <c r="A11" s="40">
        <v>43473</v>
      </c>
      <c r="B11" s="43">
        <v>15031419</v>
      </c>
      <c r="C11" s="72">
        <f t="shared" si="0"/>
        <v>5748</v>
      </c>
    </row>
    <row r="12" spans="1:9" ht="24" thickBot="1" x14ac:dyDescent="0.4">
      <c r="A12" s="40">
        <v>43474</v>
      </c>
      <c r="B12" s="43">
        <v>15036554</v>
      </c>
      <c r="C12" s="72">
        <f t="shared" si="0"/>
        <v>5135</v>
      </c>
    </row>
    <row r="13" spans="1:9" ht="24" thickBot="1" x14ac:dyDescent="0.4">
      <c r="A13" s="40">
        <v>43475</v>
      </c>
      <c r="B13" s="43">
        <v>15041262</v>
      </c>
      <c r="C13" s="72">
        <f t="shared" si="0"/>
        <v>4708</v>
      </c>
    </row>
    <row r="14" spans="1:9" ht="24" thickBot="1" x14ac:dyDescent="0.4">
      <c r="A14" s="40">
        <v>43476</v>
      </c>
      <c r="B14" s="43">
        <v>15047125</v>
      </c>
      <c r="C14" s="72">
        <f t="shared" si="0"/>
        <v>5863</v>
      </c>
    </row>
    <row r="15" spans="1:9" ht="24" thickBot="1" x14ac:dyDescent="0.4">
      <c r="A15" s="40">
        <v>43477</v>
      </c>
      <c r="B15" s="43">
        <v>15051531</v>
      </c>
      <c r="C15" s="72">
        <f t="shared" si="0"/>
        <v>4406</v>
      </c>
    </row>
    <row r="16" spans="1:9" ht="24" thickBot="1" x14ac:dyDescent="0.4">
      <c r="A16" s="40">
        <v>43478</v>
      </c>
      <c r="B16" s="43">
        <v>15055757</v>
      </c>
      <c r="C16" s="72">
        <f t="shared" si="0"/>
        <v>4226</v>
      </c>
      <c r="I16" t="s">
        <v>13</v>
      </c>
    </row>
    <row r="17" spans="1:9" ht="26.25" customHeight="1" thickBot="1" x14ac:dyDescent="0.4">
      <c r="A17" s="40">
        <v>43479</v>
      </c>
      <c r="B17" s="43">
        <v>15058710</v>
      </c>
      <c r="C17" s="72">
        <f t="shared" si="0"/>
        <v>2953</v>
      </c>
    </row>
    <row r="18" spans="1:9" ht="25.5" customHeight="1" thickBot="1" x14ac:dyDescent="0.4">
      <c r="A18" s="40">
        <v>43480</v>
      </c>
      <c r="B18" s="43">
        <v>15062678</v>
      </c>
      <c r="C18" s="72">
        <f t="shared" si="0"/>
        <v>3968</v>
      </c>
    </row>
    <row r="19" spans="1:9" ht="24" thickBot="1" x14ac:dyDescent="0.4">
      <c r="A19" s="40">
        <v>43481</v>
      </c>
      <c r="B19" s="43">
        <v>15066894</v>
      </c>
      <c r="C19" s="72">
        <f t="shared" si="0"/>
        <v>4216</v>
      </c>
    </row>
    <row r="20" spans="1:9" ht="24" thickBot="1" x14ac:dyDescent="0.4">
      <c r="A20" s="40">
        <v>43482</v>
      </c>
      <c r="B20" s="43">
        <v>15071254</v>
      </c>
      <c r="C20" s="72">
        <f t="shared" si="0"/>
        <v>4360</v>
      </c>
    </row>
    <row r="21" spans="1:9" ht="24" thickBot="1" x14ac:dyDescent="0.4">
      <c r="A21" s="40">
        <v>43483</v>
      </c>
      <c r="B21" s="43">
        <v>15075043</v>
      </c>
      <c r="C21" s="72">
        <f t="shared" si="0"/>
        <v>3789</v>
      </c>
    </row>
    <row r="22" spans="1:9" ht="24" thickBot="1" x14ac:dyDescent="0.4">
      <c r="A22" s="40">
        <v>43484</v>
      </c>
      <c r="B22" s="43">
        <v>15079085</v>
      </c>
      <c r="C22" s="72">
        <f t="shared" si="0"/>
        <v>4042</v>
      </c>
    </row>
    <row r="23" spans="1:9" ht="24" thickBot="1" x14ac:dyDescent="0.4">
      <c r="A23" s="40">
        <v>43485</v>
      </c>
      <c r="B23" s="43">
        <v>15082965</v>
      </c>
      <c r="C23" s="72">
        <f t="shared" si="0"/>
        <v>3880</v>
      </c>
    </row>
    <row r="24" spans="1:9" ht="24" thickBot="1" x14ac:dyDescent="0.4">
      <c r="A24" s="40">
        <v>43486</v>
      </c>
      <c r="B24" s="43">
        <v>15087200</v>
      </c>
      <c r="C24" s="72">
        <f t="shared" si="0"/>
        <v>4235</v>
      </c>
      <c r="F24" t="s">
        <v>13</v>
      </c>
    </row>
    <row r="25" spans="1:9" ht="24" thickBot="1" x14ac:dyDescent="0.4">
      <c r="A25" s="40">
        <v>43487</v>
      </c>
      <c r="B25" s="43">
        <v>15091054</v>
      </c>
      <c r="C25" s="72">
        <f t="shared" si="0"/>
        <v>3854</v>
      </c>
      <c r="E25" t="s">
        <v>13</v>
      </c>
    </row>
    <row r="26" spans="1:9" ht="24" thickBot="1" x14ac:dyDescent="0.4">
      <c r="A26" s="40">
        <v>43488</v>
      </c>
      <c r="B26" s="43">
        <v>15094548</v>
      </c>
      <c r="C26" s="72">
        <f t="shared" si="0"/>
        <v>3494</v>
      </c>
    </row>
    <row r="27" spans="1:9" ht="24" thickBot="1" x14ac:dyDescent="0.4">
      <c r="A27" s="40">
        <v>43489</v>
      </c>
      <c r="B27" s="43">
        <v>15097848</v>
      </c>
      <c r="C27" s="72">
        <f t="shared" si="0"/>
        <v>3300</v>
      </c>
    </row>
    <row r="28" spans="1:9" ht="24" thickBot="1" x14ac:dyDescent="0.4">
      <c r="A28" s="40">
        <v>43490</v>
      </c>
      <c r="B28" s="43">
        <v>15101268</v>
      </c>
      <c r="C28" s="72">
        <f t="shared" si="0"/>
        <v>3420</v>
      </c>
    </row>
    <row r="29" spans="1:9" ht="24" thickBot="1" x14ac:dyDescent="0.4">
      <c r="A29" s="40">
        <v>43491</v>
      </c>
      <c r="B29" s="43">
        <v>15106450</v>
      </c>
      <c r="C29" s="72">
        <f t="shared" si="0"/>
        <v>5182</v>
      </c>
      <c r="I29" t="s">
        <v>13</v>
      </c>
    </row>
    <row r="30" spans="1:9" ht="24" thickBot="1" x14ac:dyDescent="0.4">
      <c r="A30" s="40">
        <v>43492</v>
      </c>
      <c r="B30" s="43">
        <v>15109863</v>
      </c>
      <c r="C30" s="72">
        <f t="shared" si="0"/>
        <v>3413</v>
      </c>
    </row>
    <row r="31" spans="1:9" ht="24" thickBot="1" x14ac:dyDescent="0.4">
      <c r="A31" s="40">
        <v>43493</v>
      </c>
      <c r="B31" s="43">
        <v>15112896</v>
      </c>
      <c r="C31" s="72">
        <f t="shared" si="0"/>
        <v>3033</v>
      </c>
    </row>
    <row r="32" spans="1:9" ht="24" thickBot="1" x14ac:dyDescent="0.4">
      <c r="A32" s="40">
        <v>43494</v>
      </c>
      <c r="B32" s="43">
        <v>15117051</v>
      </c>
      <c r="C32" s="72">
        <f t="shared" si="0"/>
        <v>4155</v>
      </c>
    </row>
    <row r="33" spans="1:3" ht="24" thickBot="1" x14ac:dyDescent="0.4">
      <c r="A33" s="40">
        <v>43495</v>
      </c>
      <c r="B33" s="43">
        <v>15122547</v>
      </c>
      <c r="C33" s="72">
        <f t="shared" si="0"/>
        <v>5496</v>
      </c>
    </row>
    <row r="34" spans="1:3" ht="24" thickBot="1" x14ac:dyDescent="0.4">
      <c r="A34" s="40">
        <v>43496</v>
      </c>
      <c r="B34" s="43">
        <v>15124717</v>
      </c>
      <c r="C34" s="72">
        <f t="shared" si="0"/>
        <v>2170</v>
      </c>
    </row>
    <row r="35" spans="1:3" ht="24" thickBot="1" x14ac:dyDescent="0.4">
      <c r="A35" s="132" t="s">
        <v>28</v>
      </c>
      <c r="B35" s="133"/>
      <c r="C35" s="45">
        <f>SUM(C4:C34)</f>
        <v>127222</v>
      </c>
    </row>
  </sheetData>
  <mergeCells count="2">
    <mergeCell ref="A1:C1"/>
    <mergeCell ref="A35:B35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9"/>
  <sheetViews>
    <sheetView zoomScale="55" zoomScaleNormal="55" workbookViewId="0">
      <selection activeCell="A38" sqref="A38"/>
    </sheetView>
  </sheetViews>
  <sheetFormatPr defaultRowHeight="12.75" x14ac:dyDescent="0.2"/>
  <cols>
    <col min="1" max="1" width="20.85546875" bestFit="1" customWidth="1"/>
    <col min="2" max="2" width="12.5703125" bestFit="1" customWidth="1"/>
    <col min="3" max="3" width="17" style="61" bestFit="1" customWidth="1"/>
    <col min="4" max="4" width="15.140625" bestFit="1" customWidth="1"/>
    <col min="5" max="5" width="12.5703125" bestFit="1" customWidth="1"/>
    <col min="6" max="6" width="17" style="61" bestFit="1" customWidth="1"/>
    <col min="7" max="7" width="15.140625" customWidth="1"/>
    <col min="8" max="8" width="17.7109375" customWidth="1"/>
    <col min="9" max="9" width="12.85546875" style="61" bestFit="1" customWidth="1"/>
    <col min="10" max="10" width="11.42578125" bestFit="1" customWidth="1"/>
    <col min="11" max="11" width="15.7109375" bestFit="1" customWidth="1"/>
    <col min="12" max="12" width="12.85546875" style="61" bestFit="1" customWidth="1"/>
    <col min="13" max="13" width="12.7109375" bestFit="1" customWidth="1"/>
    <col min="14" max="14" width="11.28515625" bestFit="1" customWidth="1"/>
    <col min="15" max="15" width="12.85546875" style="61" bestFit="1" customWidth="1"/>
    <col min="16" max="16" width="15.140625" bestFit="1" customWidth="1"/>
    <col min="17" max="17" width="13.85546875" bestFit="1" customWidth="1"/>
    <col min="18" max="18" width="16.28515625" style="6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68" t="s">
        <v>2</v>
      </c>
      <c r="D1" s="49" t="s">
        <v>3</v>
      </c>
      <c r="E1" s="3" t="s">
        <v>4</v>
      </c>
      <c r="F1" s="68" t="s">
        <v>2</v>
      </c>
      <c r="G1" s="49" t="s">
        <v>3</v>
      </c>
      <c r="H1" s="3" t="s">
        <v>5</v>
      </c>
      <c r="I1" s="68" t="s">
        <v>6</v>
      </c>
      <c r="J1" s="49" t="s">
        <v>3</v>
      </c>
      <c r="K1" s="3" t="s">
        <v>7</v>
      </c>
      <c r="L1" s="68" t="s">
        <v>6</v>
      </c>
      <c r="M1" s="49" t="s">
        <v>3</v>
      </c>
      <c r="N1" s="4" t="s">
        <v>8</v>
      </c>
      <c r="O1" s="68" t="s">
        <v>6</v>
      </c>
      <c r="P1" s="49" t="s">
        <v>3</v>
      </c>
      <c r="Q1" s="4" t="s">
        <v>9</v>
      </c>
      <c r="R1" s="68" t="s">
        <v>6</v>
      </c>
      <c r="S1" s="49" t="s">
        <v>3</v>
      </c>
      <c r="T1" s="5" t="s">
        <v>10</v>
      </c>
      <c r="U1" s="52" t="s">
        <v>11</v>
      </c>
    </row>
    <row r="2" spans="1:25" ht="16.5" thickBot="1" x14ac:dyDescent="0.25">
      <c r="A2" s="6" t="s">
        <v>12</v>
      </c>
      <c r="B2" s="1">
        <v>13683.788</v>
      </c>
      <c r="C2" s="74"/>
      <c r="D2" s="50">
        <f>C2*1.9*1000</f>
        <v>0</v>
      </c>
      <c r="E2" s="1">
        <v>2042.056</v>
      </c>
      <c r="F2" s="74"/>
      <c r="G2" s="50">
        <f>F2*1.9*1000</f>
        <v>0</v>
      </c>
      <c r="H2" s="1">
        <v>830.11099999999999</v>
      </c>
      <c r="I2" s="74"/>
      <c r="J2" s="50">
        <f>I2*1.9*1000</f>
        <v>0</v>
      </c>
      <c r="K2" s="7">
        <v>12636.4</v>
      </c>
      <c r="L2" s="74"/>
      <c r="M2" s="50">
        <f>L2*1.9*1000</f>
        <v>0</v>
      </c>
      <c r="N2" s="7">
        <v>1642.1510000000001</v>
      </c>
      <c r="O2" s="74"/>
      <c r="P2" s="50">
        <f>O2*1.9*1000</f>
        <v>0</v>
      </c>
      <c r="Q2" s="7">
        <v>3821.78</v>
      </c>
      <c r="R2" s="74"/>
      <c r="S2" s="50">
        <v>0</v>
      </c>
      <c r="T2" s="8">
        <f>C2+F2+I2+L2+O2+R2</f>
        <v>0</v>
      </c>
      <c r="U2" s="53"/>
    </row>
    <row r="3" spans="1:25" ht="21" thickBot="1" x14ac:dyDescent="0.25">
      <c r="A3" s="9">
        <v>43101</v>
      </c>
      <c r="B3" s="1">
        <v>13687.7</v>
      </c>
      <c r="C3" s="70">
        <f>IF((B3-B2)&lt;0,"0",(B3-B2))</f>
        <v>3.9120000000002619</v>
      </c>
      <c r="D3" s="50">
        <f>C3*1.9*1000</f>
        <v>7432.8000000004977</v>
      </c>
      <c r="E3" s="1">
        <v>2042.7</v>
      </c>
      <c r="F3" s="70">
        <f>IF((E3-E2)&lt;0,"0",(E3-E2))</f>
        <v>0.64400000000000546</v>
      </c>
      <c r="G3" s="50">
        <f>F3*1.9*1000</f>
        <v>1223.6000000000101</v>
      </c>
      <c r="H3" s="1">
        <v>830.11099999999999</v>
      </c>
      <c r="I3" s="70">
        <f>IF((H3-H2)&lt;0,"0",(H3-H2))</f>
        <v>0</v>
      </c>
      <c r="J3" s="50">
        <f>I3*1.9*1000</f>
        <v>0</v>
      </c>
      <c r="K3" s="7">
        <v>12636.8</v>
      </c>
      <c r="L3" s="70">
        <f>IF((K3-K2)&lt;0,"0",(K3-K2))</f>
        <v>0.3999999999996362</v>
      </c>
      <c r="M3" s="50">
        <f>L3*1.9*1000</f>
        <v>759.99999999930878</v>
      </c>
      <c r="N3" s="7">
        <v>1643.307</v>
      </c>
      <c r="O3" s="70">
        <f>IF((N3-N2)&lt;0,"0",(N3-N2))</f>
        <v>1.1559999999999491</v>
      </c>
      <c r="P3" s="50">
        <f>O3*1.9*1000</f>
        <v>2196.3999999999032</v>
      </c>
      <c r="Q3" s="7">
        <v>3821.9</v>
      </c>
      <c r="R3" s="70">
        <f>IF((Q3-Q2)&lt;0,"0",(Q3-Q2))</f>
        <v>0.11999999999989086</v>
      </c>
      <c r="S3" s="50">
        <f>R3*1.9*1000</f>
        <v>227.99999999979261</v>
      </c>
      <c r="T3" s="8">
        <f>C3+F3+I3+L3+O3+R3</f>
        <v>6.2319999999997435</v>
      </c>
      <c r="U3" s="54">
        <f>T3*1.9*1000</f>
        <v>11840.799999999512</v>
      </c>
    </row>
    <row r="4" spans="1:25" ht="21" thickBot="1" x14ac:dyDescent="0.25">
      <c r="A4" s="9">
        <v>43102</v>
      </c>
      <c r="B4" s="1">
        <v>13691.471</v>
      </c>
      <c r="C4" s="70">
        <f t="shared" ref="C4:C33" si="0">IF((B4-B3)&lt;0,"0",(B4-B3))</f>
        <v>3.7709999999988213</v>
      </c>
      <c r="D4" s="50">
        <f t="shared" ref="D4:D31" si="1">C4*1.9*1000</f>
        <v>7164.8999999977605</v>
      </c>
      <c r="E4" s="1">
        <v>2043.2840000000001</v>
      </c>
      <c r="F4" s="70">
        <f t="shared" ref="F4:F33" si="2">IF((E4-E3)&lt;0,"0",(E4-E3))</f>
        <v>0.58400000000006003</v>
      </c>
      <c r="G4" s="50">
        <f t="shared" ref="G4:G31" si="3">F4*1.9*1000</f>
        <v>1109.6000000001141</v>
      </c>
      <c r="H4" s="1">
        <v>830.11099999999999</v>
      </c>
      <c r="I4" s="70">
        <f t="shared" ref="I4:I33" si="4">IF((H4-H3)&lt;0,"0",(H4-H3))</f>
        <v>0</v>
      </c>
      <c r="J4" s="50">
        <f t="shared" ref="J4:J31" si="5">I4*1.9*1000</f>
        <v>0</v>
      </c>
      <c r="K4" s="7">
        <v>12637.08</v>
      </c>
      <c r="L4" s="70">
        <f t="shared" ref="L4:L33" si="6">IF((K4-K3)&lt;0,"0",(K4-K3))</f>
        <v>0.28000000000065484</v>
      </c>
      <c r="M4" s="50">
        <f t="shared" ref="M4:M31" si="7">L4*1.9*1000</f>
        <v>532.00000000124419</v>
      </c>
      <c r="N4" s="7">
        <v>1644.4159999999999</v>
      </c>
      <c r="O4" s="70">
        <f t="shared" ref="O4:O33" si="8">IF((N4-N3)&lt;0,"0",(N4-N3))</f>
        <v>1.1089999999999236</v>
      </c>
      <c r="P4" s="50">
        <f t="shared" ref="P4:P31" si="9">O4*1.9*1000</f>
        <v>2107.0999999998548</v>
      </c>
      <c r="Q4" s="7">
        <v>3821.89</v>
      </c>
      <c r="R4" s="70" t="str">
        <f t="shared" ref="R4:R33" si="10">IF((Q4-Q3)&lt;0,"0",(Q4-Q3))</f>
        <v>0</v>
      </c>
      <c r="S4" s="50">
        <f t="shared" ref="S4:S31" si="11">R4*1.9*1000</f>
        <v>0</v>
      </c>
      <c r="T4" s="8">
        <f t="shared" ref="T4:T31" si="12">C4+F4+I4+L4+O4+R4</f>
        <v>5.7439999999994598</v>
      </c>
      <c r="U4" s="54">
        <f t="shared" ref="U4:U31" si="13">T4*1.9*1000</f>
        <v>10913.599999998974</v>
      </c>
    </row>
    <row r="5" spans="1:25" ht="21" thickBot="1" x14ac:dyDescent="0.25">
      <c r="A5" s="9">
        <v>43103</v>
      </c>
      <c r="B5" s="1">
        <v>13694.815000000001</v>
      </c>
      <c r="C5" s="70">
        <f t="shared" si="0"/>
        <v>3.3440000000009604</v>
      </c>
      <c r="D5" s="50">
        <f t="shared" si="1"/>
        <v>6353.6000000018248</v>
      </c>
      <c r="E5" s="1">
        <v>2043.883</v>
      </c>
      <c r="F5" s="70">
        <f t="shared" si="2"/>
        <v>0.5989999999999327</v>
      </c>
      <c r="G5" s="50">
        <f t="shared" si="3"/>
        <v>1138.0999999998719</v>
      </c>
      <c r="H5" s="1">
        <v>830.11099999999999</v>
      </c>
      <c r="I5" s="70">
        <f t="shared" si="4"/>
        <v>0</v>
      </c>
      <c r="J5" s="50">
        <f t="shared" si="5"/>
        <v>0</v>
      </c>
      <c r="K5" s="7">
        <v>12637.69</v>
      </c>
      <c r="L5" s="70">
        <f t="shared" si="6"/>
        <v>0.61000000000058208</v>
      </c>
      <c r="M5" s="50">
        <f t="shared" si="7"/>
        <v>1159.0000000011057</v>
      </c>
      <c r="N5" s="7">
        <v>1645.069</v>
      </c>
      <c r="O5" s="70">
        <f t="shared" si="8"/>
        <v>0.65300000000002001</v>
      </c>
      <c r="P5" s="50">
        <f t="shared" si="9"/>
        <v>1240.7000000000378</v>
      </c>
      <c r="Q5" s="7">
        <v>3821.94</v>
      </c>
      <c r="R5" s="70">
        <f t="shared" si="10"/>
        <v>5.0000000000181899E-2</v>
      </c>
      <c r="S5" s="50">
        <f t="shared" si="11"/>
        <v>95.000000000345594</v>
      </c>
      <c r="T5" s="8">
        <f t="shared" si="12"/>
        <v>5.2560000000016771</v>
      </c>
      <c r="U5" s="54">
        <f t="shared" si="13"/>
        <v>9986.4000000031865</v>
      </c>
    </row>
    <row r="6" spans="1:25" ht="21" thickBot="1" x14ac:dyDescent="0.25">
      <c r="A6" s="9">
        <v>43104</v>
      </c>
      <c r="B6" s="1">
        <v>13698.343000000001</v>
      </c>
      <c r="C6" s="70">
        <f t="shared" si="0"/>
        <v>3.5280000000002474</v>
      </c>
      <c r="D6" s="50">
        <f t="shared" si="1"/>
        <v>6703.20000000047</v>
      </c>
      <c r="E6" s="1">
        <v>2044.297</v>
      </c>
      <c r="F6" s="70">
        <f t="shared" si="2"/>
        <v>0.41399999999998727</v>
      </c>
      <c r="G6" s="50">
        <f t="shared" si="3"/>
        <v>786.59999999997581</v>
      </c>
      <c r="H6" s="1">
        <v>830.11099999999999</v>
      </c>
      <c r="I6" s="70">
        <f t="shared" si="4"/>
        <v>0</v>
      </c>
      <c r="J6" s="50">
        <f t="shared" si="5"/>
        <v>0</v>
      </c>
      <c r="K6" s="7">
        <v>12637.77</v>
      </c>
      <c r="L6" s="70">
        <f t="shared" si="6"/>
        <v>7.999999999992724E-2</v>
      </c>
      <c r="M6" s="50">
        <f t="shared" si="7"/>
        <v>151.99999999986176</v>
      </c>
      <c r="N6" s="7">
        <v>1646.019</v>
      </c>
      <c r="O6" s="70">
        <f t="shared" si="8"/>
        <v>0.95000000000004547</v>
      </c>
      <c r="P6" s="50">
        <f t="shared" si="9"/>
        <v>1805.0000000000864</v>
      </c>
      <c r="Q6" s="7">
        <v>3821.94</v>
      </c>
      <c r="R6" s="70">
        <f t="shared" si="10"/>
        <v>0</v>
      </c>
      <c r="S6" s="50">
        <f t="shared" si="11"/>
        <v>0</v>
      </c>
      <c r="T6" s="8">
        <f t="shared" si="12"/>
        <v>4.9720000000002074</v>
      </c>
      <c r="U6" s="54">
        <f t="shared" si="13"/>
        <v>9446.800000000394</v>
      </c>
    </row>
    <row r="7" spans="1:25" ht="21" thickBot="1" x14ac:dyDescent="0.25">
      <c r="A7" s="9">
        <v>43105</v>
      </c>
      <c r="B7" s="1">
        <v>13702.206</v>
      </c>
      <c r="C7" s="70">
        <f t="shared" si="0"/>
        <v>3.8629999999993743</v>
      </c>
      <c r="D7" s="50">
        <f t="shared" si="1"/>
        <v>7339.6999999988102</v>
      </c>
      <c r="E7" s="1">
        <v>2044.8720000000001</v>
      </c>
      <c r="F7" s="70">
        <f t="shared" si="2"/>
        <v>0.57500000000004547</v>
      </c>
      <c r="G7" s="50">
        <f t="shared" si="3"/>
        <v>1092.5000000000864</v>
      </c>
      <c r="H7" s="1">
        <v>830.12400000000002</v>
      </c>
      <c r="I7" s="70">
        <f t="shared" si="4"/>
        <v>1.3000000000033651E-2</v>
      </c>
      <c r="J7" s="50">
        <f t="shared" si="5"/>
        <v>24.700000000063934</v>
      </c>
      <c r="K7" s="7">
        <v>12637.96</v>
      </c>
      <c r="L7" s="70">
        <f t="shared" si="6"/>
        <v>0.18999999999869033</v>
      </c>
      <c r="M7" s="50">
        <f t="shared" si="7"/>
        <v>360.99999999751157</v>
      </c>
      <c r="N7" s="7">
        <v>1647.0150000000001</v>
      </c>
      <c r="O7" s="70">
        <f t="shared" si="8"/>
        <v>0.99600000000009459</v>
      </c>
      <c r="P7" s="50">
        <f t="shared" si="9"/>
        <v>1892.4000000001797</v>
      </c>
      <c r="Q7" s="7">
        <v>3821.94</v>
      </c>
      <c r="R7" s="70">
        <f t="shared" si="10"/>
        <v>0</v>
      </c>
      <c r="S7" s="50">
        <f t="shared" si="11"/>
        <v>0</v>
      </c>
      <c r="T7" s="8">
        <f t="shared" si="12"/>
        <v>5.6369999999982383</v>
      </c>
      <c r="U7" s="54">
        <f t="shared" si="13"/>
        <v>10710.299999996652</v>
      </c>
    </row>
    <row r="8" spans="1:25" ht="21" thickBot="1" x14ac:dyDescent="0.25">
      <c r="A8" s="9">
        <v>43106</v>
      </c>
      <c r="B8" s="1">
        <v>13705.778</v>
      </c>
      <c r="C8" s="70">
        <f t="shared" si="0"/>
        <v>3.5720000000001164</v>
      </c>
      <c r="D8" s="50">
        <f t="shared" si="1"/>
        <v>6786.8000000002203</v>
      </c>
      <c r="E8" s="1">
        <v>2045.4010000000001</v>
      </c>
      <c r="F8" s="70">
        <f t="shared" si="2"/>
        <v>0.52899999999999636</v>
      </c>
      <c r="G8" s="50">
        <f t="shared" si="3"/>
        <v>1005.099999999993</v>
      </c>
      <c r="H8" s="1">
        <v>830.12400000000002</v>
      </c>
      <c r="I8" s="70">
        <f t="shared" si="4"/>
        <v>0</v>
      </c>
      <c r="J8" s="50">
        <f t="shared" si="5"/>
        <v>0</v>
      </c>
      <c r="K8" s="7">
        <v>12637.96</v>
      </c>
      <c r="L8" s="70">
        <f t="shared" si="6"/>
        <v>0</v>
      </c>
      <c r="M8" s="50">
        <f t="shared" si="7"/>
        <v>0</v>
      </c>
      <c r="N8" s="7">
        <v>1648.0170000000001</v>
      </c>
      <c r="O8" s="70">
        <f t="shared" si="8"/>
        <v>1.0019999999999527</v>
      </c>
      <c r="P8" s="50">
        <f t="shared" si="9"/>
        <v>1903.7999999999099</v>
      </c>
      <c r="Q8" s="7">
        <v>3821.94</v>
      </c>
      <c r="R8" s="70">
        <f t="shared" si="10"/>
        <v>0</v>
      </c>
      <c r="S8" s="50">
        <f t="shared" si="11"/>
        <v>0</v>
      </c>
      <c r="T8" s="8">
        <f t="shared" si="12"/>
        <v>5.1030000000000655</v>
      </c>
      <c r="U8" s="54">
        <f t="shared" si="13"/>
        <v>9695.7000000001244</v>
      </c>
    </row>
    <row r="9" spans="1:25" ht="21" thickBot="1" x14ac:dyDescent="0.25">
      <c r="A9" s="9">
        <v>43107</v>
      </c>
      <c r="B9" s="1">
        <v>13709.545</v>
      </c>
      <c r="C9" s="70">
        <f t="shared" si="0"/>
        <v>3.7669999999998254</v>
      </c>
      <c r="D9" s="50">
        <f t="shared" si="1"/>
        <v>7157.2999999996682</v>
      </c>
      <c r="E9" s="1">
        <v>2045.828</v>
      </c>
      <c r="F9" s="70">
        <f t="shared" si="2"/>
        <v>0.42699999999990723</v>
      </c>
      <c r="G9" s="50">
        <f t="shared" si="3"/>
        <v>811.29999999982374</v>
      </c>
      <c r="H9" s="1">
        <v>830.12400000000002</v>
      </c>
      <c r="I9" s="70">
        <f t="shared" si="4"/>
        <v>0</v>
      </c>
      <c r="J9" s="50">
        <f t="shared" si="5"/>
        <v>0</v>
      </c>
      <c r="K9" s="7">
        <v>12638.06</v>
      </c>
      <c r="L9" s="70">
        <f t="shared" si="6"/>
        <v>0.1000000000003638</v>
      </c>
      <c r="M9" s="50">
        <f t="shared" si="7"/>
        <v>190.00000000069119</v>
      </c>
      <c r="N9" s="7">
        <v>1648.7149999999999</v>
      </c>
      <c r="O9" s="70">
        <f t="shared" si="8"/>
        <v>0.69799999999986539</v>
      </c>
      <c r="P9" s="50">
        <f t="shared" si="9"/>
        <v>1326.1999999997443</v>
      </c>
      <c r="Q9" s="7">
        <v>3821.94</v>
      </c>
      <c r="R9" s="70">
        <f t="shared" si="10"/>
        <v>0</v>
      </c>
      <c r="S9" s="50">
        <f t="shared" si="11"/>
        <v>0</v>
      </c>
      <c r="T9" s="8">
        <f t="shared" si="12"/>
        <v>4.9919999999999618</v>
      </c>
      <c r="U9" s="54">
        <f t="shared" si="13"/>
        <v>9484.7999999999265</v>
      </c>
    </row>
    <row r="10" spans="1:25" ht="21" thickBot="1" x14ac:dyDescent="0.25">
      <c r="A10" s="9">
        <v>43108</v>
      </c>
      <c r="B10" s="1">
        <v>13712.86</v>
      </c>
      <c r="C10" s="70">
        <f t="shared" si="0"/>
        <v>3.3150000000005093</v>
      </c>
      <c r="D10" s="50">
        <f t="shared" si="1"/>
        <v>6298.5000000009668</v>
      </c>
      <c r="E10" s="1">
        <v>2046.47</v>
      </c>
      <c r="F10" s="70">
        <f t="shared" si="2"/>
        <v>0.64200000000005275</v>
      </c>
      <c r="G10" s="50">
        <f t="shared" si="3"/>
        <v>1219.8000000001002</v>
      </c>
      <c r="H10" s="1">
        <v>830.12400000000002</v>
      </c>
      <c r="I10" s="70">
        <f t="shared" si="4"/>
        <v>0</v>
      </c>
      <c r="J10" s="50">
        <f t="shared" si="5"/>
        <v>0</v>
      </c>
      <c r="K10" s="7">
        <v>12638.06</v>
      </c>
      <c r="L10" s="70">
        <f t="shared" si="6"/>
        <v>0</v>
      </c>
      <c r="M10" s="50">
        <f t="shared" si="7"/>
        <v>0</v>
      </c>
      <c r="N10" s="7">
        <v>1649.5820000000001</v>
      </c>
      <c r="O10" s="70">
        <f t="shared" si="8"/>
        <v>0.86700000000018917</v>
      </c>
      <c r="P10" s="50">
        <f t="shared" si="9"/>
        <v>1647.3000000003592</v>
      </c>
      <c r="Q10" s="7">
        <v>3821.94</v>
      </c>
      <c r="R10" s="70">
        <f t="shared" si="10"/>
        <v>0</v>
      </c>
      <c r="S10" s="50">
        <f t="shared" si="11"/>
        <v>0</v>
      </c>
      <c r="T10" s="8">
        <f t="shared" si="12"/>
        <v>4.8240000000007512</v>
      </c>
      <c r="U10" s="54">
        <f t="shared" si="13"/>
        <v>9165.6000000014283</v>
      </c>
    </row>
    <row r="11" spans="1:25" ht="21" thickBot="1" x14ac:dyDescent="0.25">
      <c r="A11" s="9">
        <v>43109</v>
      </c>
      <c r="B11" s="1">
        <v>13715.26</v>
      </c>
      <c r="C11" s="70">
        <f t="shared" si="0"/>
        <v>2.3999999999996362</v>
      </c>
      <c r="D11" s="50">
        <f t="shared" si="1"/>
        <v>4559.9999999993088</v>
      </c>
      <c r="E11" s="1">
        <v>2046.9949999999999</v>
      </c>
      <c r="F11" s="70">
        <f t="shared" si="2"/>
        <v>0.52499999999986358</v>
      </c>
      <c r="G11" s="50">
        <f t="shared" si="3"/>
        <v>997.49999999974068</v>
      </c>
      <c r="H11" s="1">
        <v>830.14300000000003</v>
      </c>
      <c r="I11" s="70">
        <f t="shared" si="4"/>
        <v>1.9000000000005457E-2</v>
      </c>
      <c r="J11" s="50">
        <f t="shared" si="5"/>
        <v>36.100000000010368</v>
      </c>
      <c r="K11" s="7">
        <v>12638.09</v>
      </c>
      <c r="L11" s="70">
        <f t="shared" si="6"/>
        <v>3.0000000000654836E-2</v>
      </c>
      <c r="M11" s="50">
        <f t="shared" si="7"/>
        <v>57.000000001244189</v>
      </c>
      <c r="N11" s="7">
        <v>1650.2750000000001</v>
      </c>
      <c r="O11" s="70">
        <f t="shared" si="8"/>
        <v>0.69299999999998363</v>
      </c>
      <c r="P11" s="50">
        <f t="shared" si="9"/>
        <v>1316.6999999999689</v>
      </c>
      <c r="Q11" s="7">
        <v>3821.94</v>
      </c>
      <c r="R11" s="70">
        <f t="shared" si="10"/>
        <v>0</v>
      </c>
      <c r="S11" s="50">
        <f t="shared" si="11"/>
        <v>0</v>
      </c>
      <c r="T11" s="8">
        <f t="shared" si="12"/>
        <v>3.6670000000001437</v>
      </c>
      <c r="U11" s="54">
        <f t="shared" si="13"/>
        <v>6967.3000000002721</v>
      </c>
    </row>
    <row r="12" spans="1:25" ht="21" thickBot="1" x14ac:dyDescent="0.25">
      <c r="A12" s="9">
        <v>43110</v>
      </c>
      <c r="B12" s="1">
        <v>13717.826999999999</v>
      </c>
      <c r="C12" s="70">
        <f t="shared" si="0"/>
        <v>2.5669999999990978</v>
      </c>
      <c r="D12" s="50">
        <f t="shared" si="1"/>
        <v>4877.2999999982858</v>
      </c>
      <c r="E12" s="1">
        <v>2047.7139999999999</v>
      </c>
      <c r="F12" s="70">
        <f t="shared" si="2"/>
        <v>0.71900000000005093</v>
      </c>
      <c r="G12" s="50">
        <f t="shared" si="3"/>
        <v>1366.1000000000968</v>
      </c>
      <c r="H12" s="1">
        <v>830.14300000000003</v>
      </c>
      <c r="I12" s="70">
        <f t="shared" si="4"/>
        <v>0</v>
      </c>
      <c r="J12" s="50">
        <f t="shared" si="5"/>
        <v>0</v>
      </c>
      <c r="K12" s="7">
        <v>12638.23</v>
      </c>
      <c r="L12" s="70">
        <f t="shared" si="6"/>
        <v>0.13999999999941792</v>
      </c>
      <c r="M12" s="50">
        <f t="shared" si="7"/>
        <v>265.99999999889405</v>
      </c>
      <c r="N12" s="7">
        <v>1650.7449999999999</v>
      </c>
      <c r="O12" s="70">
        <f t="shared" si="8"/>
        <v>0.46999999999979991</v>
      </c>
      <c r="P12" s="50">
        <f t="shared" si="9"/>
        <v>892.99999999961972</v>
      </c>
      <c r="Q12" s="7">
        <v>3821.94</v>
      </c>
      <c r="R12" s="70">
        <f t="shared" si="10"/>
        <v>0</v>
      </c>
      <c r="S12" s="50">
        <f t="shared" si="11"/>
        <v>0</v>
      </c>
      <c r="T12" s="8">
        <f t="shared" si="12"/>
        <v>3.8959999999983665</v>
      </c>
      <c r="U12" s="54">
        <f t="shared" si="13"/>
        <v>7402.3999999968955</v>
      </c>
    </row>
    <row r="13" spans="1:25" ht="21" thickBot="1" x14ac:dyDescent="0.25">
      <c r="A13" s="9">
        <v>43111</v>
      </c>
      <c r="B13" s="1">
        <v>13721</v>
      </c>
      <c r="C13" s="70">
        <f t="shared" si="0"/>
        <v>3.1730000000006839</v>
      </c>
      <c r="D13" s="50">
        <f t="shared" si="1"/>
        <v>6028.7000000012995</v>
      </c>
      <c r="E13" s="1">
        <v>2048.2199999999998</v>
      </c>
      <c r="F13" s="70">
        <f t="shared" si="2"/>
        <v>0.50599999999985812</v>
      </c>
      <c r="G13" s="50">
        <f t="shared" si="3"/>
        <v>961.39999999973031</v>
      </c>
      <c r="H13" s="1">
        <v>830.17100000000005</v>
      </c>
      <c r="I13" s="70">
        <f t="shared" si="4"/>
        <v>2.8000000000020009E-2</v>
      </c>
      <c r="J13" s="50">
        <f t="shared" si="5"/>
        <v>53.200000000038017</v>
      </c>
      <c r="K13" s="7">
        <v>12638.29</v>
      </c>
      <c r="L13" s="70">
        <f t="shared" si="6"/>
        <v>6.0000000001309672E-2</v>
      </c>
      <c r="M13" s="50">
        <f t="shared" si="7"/>
        <v>114.00000000248838</v>
      </c>
      <c r="N13" s="7">
        <v>1651.751</v>
      </c>
      <c r="O13" s="70">
        <f t="shared" si="8"/>
        <v>1.0060000000000855</v>
      </c>
      <c r="P13" s="50">
        <f t="shared" si="9"/>
        <v>1911.4000000001622</v>
      </c>
      <c r="Q13" s="7">
        <v>3821.94</v>
      </c>
      <c r="R13" s="70">
        <f t="shared" si="10"/>
        <v>0</v>
      </c>
      <c r="S13" s="50">
        <f t="shared" si="11"/>
        <v>0</v>
      </c>
      <c r="T13" s="8">
        <f t="shared" si="12"/>
        <v>4.7730000000019572</v>
      </c>
      <c r="U13" s="54">
        <f t="shared" si="13"/>
        <v>9068.7000000037169</v>
      </c>
    </row>
    <row r="14" spans="1:25" ht="21" thickBot="1" x14ac:dyDescent="0.25">
      <c r="A14" s="9">
        <v>43112</v>
      </c>
      <c r="B14" s="1">
        <v>13723</v>
      </c>
      <c r="C14" s="70">
        <f t="shared" si="0"/>
        <v>2</v>
      </c>
      <c r="D14" s="50">
        <f t="shared" si="1"/>
        <v>3800</v>
      </c>
      <c r="E14" s="1">
        <v>2048.6</v>
      </c>
      <c r="F14" s="70">
        <f t="shared" si="2"/>
        <v>0.38000000000010914</v>
      </c>
      <c r="G14" s="50">
        <f t="shared" si="3"/>
        <v>722.00000000020736</v>
      </c>
      <c r="H14" s="1">
        <v>830.17100000000005</v>
      </c>
      <c r="I14" s="70">
        <f t="shared" si="4"/>
        <v>0</v>
      </c>
      <c r="J14" s="50">
        <f t="shared" si="5"/>
        <v>0</v>
      </c>
      <c r="K14" s="7">
        <v>12638.35</v>
      </c>
      <c r="L14" s="70">
        <f t="shared" si="6"/>
        <v>5.9999999999490683E-2</v>
      </c>
      <c r="M14" s="50">
        <f t="shared" si="7"/>
        <v>113.9999999990323</v>
      </c>
      <c r="N14" s="7">
        <v>1652.9</v>
      </c>
      <c r="O14" s="70">
        <f t="shared" si="8"/>
        <v>1.1490000000001146</v>
      </c>
      <c r="P14" s="50">
        <f t="shared" si="9"/>
        <v>2183.1000000002177</v>
      </c>
      <c r="Q14" s="7">
        <v>3821.94</v>
      </c>
      <c r="R14" s="70">
        <f t="shared" si="10"/>
        <v>0</v>
      </c>
      <c r="S14" s="50">
        <f t="shared" si="11"/>
        <v>0</v>
      </c>
      <c r="T14" s="8">
        <f t="shared" si="12"/>
        <v>3.5889999999997144</v>
      </c>
      <c r="U14" s="54">
        <f t="shared" si="13"/>
        <v>6819.0999999994574</v>
      </c>
    </row>
    <row r="15" spans="1:25" ht="21" thickBot="1" x14ac:dyDescent="0.25">
      <c r="A15" s="9">
        <v>43113</v>
      </c>
      <c r="B15" s="1">
        <v>13726.6</v>
      </c>
      <c r="C15" s="70">
        <f t="shared" si="0"/>
        <v>3.6000000000003638</v>
      </c>
      <c r="D15" s="50">
        <f t="shared" si="1"/>
        <v>6840.0000000006912</v>
      </c>
      <c r="E15" s="1">
        <v>2049</v>
      </c>
      <c r="F15" s="70">
        <f t="shared" si="2"/>
        <v>0.40000000000009095</v>
      </c>
      <c r="G15" s="50">
        <f t="shared" si="3"/>
        <v>760.0000000001728</v>
      </c>
      <c r="H15" s="1">
        <v>830.17100000000005</v>
      </c>
      <c r="I15" s="70">
        <f t="shared" si="4"/>
        <v>0</v>
      </c>
      <c r="J15" s="50">
        <f t="shared" si="5"/>
        <v>0</v>
      </c>
      <c r="K15" s="7">
        <v>12638.94</v>
      </c>
      <c r="L15" s="70">
        <f t="shared" si="6"/>
        <v>0.59000000000014552</v>
      </c>
      <c r="M15" s="50">
        <f t="shared" si="7"/>
        <v>1121.0000000002765</v>
      </c>
      <c r="N15" s="7">
        <v>1653.7</v>
      </c>
      <c r="O15" s="70">
        <f t="shared" si="8"/>
        <v>0.79999999999995453</v>
      </c>
      <c r="P15" s="50">
        <f t="shared" si="9"/>
        <v>1519.9999999999134</v>
      </c>
      <c r="Q15" s="7">
        <v>3821.94</v>
      </c>
      <c r="R15" s="70">
        <f t="shared" si="10"/>
        <v>0</v>
      </c>
      <c r="S15" s="50">
        <f t="shared" si="11"/>
        <v>0</v>
      </c>
      <c r="T15" s="8">
        <f t="shared" si="12"/>
        <v>5.3900000000005548</v>
      </c>
      <c r="U15" s="54">
        <f t="shared" si="13"/>
        <v>10241.000000001053</v>
      </c>
      <c r="W15" t="s">
        <v>13</v>
      </c>
    </row>
    <row r="16" spans="1:25" ht="21" thickBot="1" x14ac:dyDescent="0.25">
      <c r="A16" s="9">
        <v>43114</v>
      </c>
      <c r="B16" s="1">
        <v>13729.8</v>
      </c>
      <c r="C16" s="70">
        <f t="shared" si="0"/>
        <v>3.1999999999989086</v>
      </c>
      <c r="D16" s="50">
        <f t="shared" si="1"/>
        <v>6079.9999999979264</v>
      </c>
      <c r="E16" s="1">
        <v>2049.7399999999998</v>
      </c>
      <c r="F16" s="70">
        <f t="shared" si="2"/>
        <v>0.73999999999978172</v>
      </c>
      <c r="G16" s="50">
        <f t="shared" si="3"/>
        <v>1405.999999999585</v>
      </c>
      <c r="H16" s="1">
        <v>830.17100000000005</v>
      </c>
      <c r="I16" s="70">
        <f t="shared" si="4"/>
        <v>0</v>
      </c>
      <c r="J16" s="50">
        <f t="shared" si="5"/>
        <v>0</v>
      </c>
      <c r="K16" s="7">
        <v>12638.94</v>
      </c>
      <c r="L16" s="70">
        <f t="shared" si="6"/>
        <v>0</v>
      </c>
      <c r="M16" s="50">
        <f t="shared" si="7"/>
        <v>0</v>
      </c>
      <c r="N16" s="7">
        <v>1654.16</v>
      </c>
      <c r="O16" s="70">
        <f t="shared" si="8"/>
        <v>0.46000000000003638</v>
      </c>
      <c r="P16" s="50">
        <f t="shared" si="9"/>
        <v>874.00000000006901</v>
      </c>
      <c r="Q16" s="7">
        <v>3821.94</v>
      </c>
      <c r="R16" s="70">
        <f t="shared" si="10"/>
        <v>0</v>
      </c>
      <c r="S16" s="50">
        <f t="shared" si="11"/>
        <v>0</v>
      </c>
      <c r="T16" s="8">
        <f t="shared" si="12"/>
        <v>4.3999999999987267</v>
      </c>
      <c r="U16" s="54">
        <f t="shared" si="13"/>
        <v>8359.9999999975807</v>
      </c>
      <c r="Y16" t="s">
        <v>13</v>
      </c>
    </row>
    <row r="17" spans="1:24" ht="21" thickBot="1" x14ac:dyDescent="0.25">
      <c r="A17" s="9">
        <v>43115</v>
      </c>
      <c r="B17" s="1">
        <v>13731</v>
      </c>
      <c r="C17" s="70">
        <f t="shared" si="0"/>
        <v>1.2000000000007276</v>
      </c>
      <c r="D17" s="50">
        <f t="shared" si="1"/>
        <v>2280.0000000013824</v>
      </c>
      <c r="E17" s="1">
        <v>2050.511</v>
      </c>
      <c r="F17" s="70">
        <f t="shared" si="2"/>
        <v>0.77100000000018554</v>
      </c>
      <c r="G17" s="50">
        <f t="shared" si="3"/>
        <v>1464.9000000003525</v>
      </c>
      <c r="H17" s="1">
        <v>830.28200000000004</v>
      </c>
      <c r="I17" s="70">
        <f t="shared" si="4"/>
        <v>0.11099999999999</v>
      </c>
      <c r="J17" s="50">
        <f t="shared" si="5"/>
        <v>210.89999999998099</v>
      </c>
      <c r="K17" s="7">
        <v>12638.94</v>
      </c>
      <c r="L17" s="70">
        <f t="shared" si="6"/>
        <v>0</v>
      </c>
      <c r="M17" s="50">
        <f t="shared" si="7"/>
        <v>0</v>
      </c>
      <c r="N17" s="7">
        <v>1656.174</v>
      </c>
      <c r="O17" s="70">
        <f t="shared" si="8"/>
        <v>2.0139999999998963</v>
      </c>
      <c r="P17" s="50">
        <f t="shared" si="9"/>
        <v>3826.599999999803</v>
      </c>
      <c r="Q17" s="7">
        <v>3821.94</v>
      </c>
      <c r="R17" s="70">
        <f t="shared" si="10"/>
        <v>0</v>
      </c>
      <c r="S17" s="50">
        <f t="shared" si="11"/>
        <v>0</v>
      </c>
      <c r="T17" s="8">
        <f t="shared" si="12"/>
        <v>4.0960000000007994</v>
      </c>
      <c r="U17" s="54">
        <f t="shared" si="13"/>
        <v>7782.4000000015185</v>
      </c>
    </row>
    <row r="18" spans="1:24" ht="21" thickBot="1" x14ac:dyDescent="0.25">
      <c r="A18" s="9">
        <v>43116</v>
      </c>
      <c r="B18" s="1">
        <v>13735.023999999999</v>
      </c>
      <c r="C18" s="70">
        <f t="shared" si="0"/>
        <v>4.0239999999994325</v>
      </c>
      <c r="D18" s="50">
        <f t="shared" si="1"/>
        <v>7645.5999999989217</v>
      </c>
      <c r="E18" s="1">
        <v>2051.14</v>
      </c>
      <c r="F18" s="70">
        <f t="shared" si="2"/>
        <v>0.62899999999990541</v>
      </c>
      <c r="G18" s="50">
        <f t="shared" si="3"/>
        <v>1195.0999999998203</v>
      </c>
      <c r="H18" s="1">
        <v>830.28200000000004</v>
      </c>
      <c r="I18" s="70">
        <f t="shared" si="4"/>
        <v>0</v>
      </c>
      <c r="J18" s="50">
        <f t="shared" si="5"/>
        <v>0</v>
      </c>
      <c r="K18" s="7">
        <v>12638.71</v>
      </c>
      <c r="L18" s="70" t="str">
        <f t="shared" si="6"/>
        <v>0</v>
      </c>
      <c r="M18" s="50">
        <f t="shared" si="7"/>
        <v>0</v>
      </c>
      <c r="N18" s="7">
        <v>1657.6379999999999</v>
      </c>
      <c r="O18" s="70">
        <f t="shared" si="8"/>
        <v>1.4639999999999418</v>
      </c>
      <c r="P18" s="50">
        <f t="shared" si="9"/>
        <v>2781.5999999998894</v>
      </c>
      <c r="Q18" s="7">
        <v>3821.94</v>
      </c>
      <c r="R18" s="70">
        <f t="shared" si="10"/>
        <v>0</v>
      </c>
      <c r="S18" s="50">
        <f t="shared" si="11"/>
        <v>0</v>
      </c>
      <c r="T18" s="8">
        <f t="shared" si="12"/>
        <v>6.1169999999992797</v>
      </c>
      <c r="U18" s="54">
        <f t="shared" si="13"/>
        <v>11622.299999998631</v>
      </c>
    </row>
    <row r="19" spans="1:24" ht="21" thickBot="1" x14ac:dyDescent="0.25">
      <c r="A19" s="9">
        <v>43117</v>
      </c>
      <c r="B19" s="1">
        <v>13738.36</v>
      </c>
      <c r="C19" s="70">
        <f t="shared" si="0"/>
        <v>3.3360000000011496</v>
      </c>
      <c r="D19" s="50">
        <f t="shared" si="1"/>
        <v>6338.4000000021842</v>
      </c>
      <c r="E19" s="1">
        <v>2051.6689999999999</v>
      </c>
      <c r="F19" s="70">
        <f t="shared" si="2"/>
        <v>0.52899999999999636</v>
      </c>
      <c r="G19" s="50">
        <f t="shared" si="3"/>
        <v>1005.099999999993</v>
      </c>
      <c r="H19" s="1">
        <v>830.3</v>
      </c>
      <c r="I19" s="70">
        <f t="shared" si="4"/>
        <v>1.7999999999915417E-2</v>
      </c>
      <c r="J19" s="50">
        <f t="shared" si="5"/>
        <v>34.199999999839292</v>
      </c>
      <c r="K19" s="7">
        <v>12638.71</v>
      </c>
      <c r="L19" s="70">
        <f t="shared" si="6"/>
        <v>0</v>
      </c>
      <c r="M19" s="50">
        <f t="shared" si="7"/>
        <v>0</v>
      </c>
      <c r="N19" s="7">
        <v>1658.538</v>
      </c>
      <c r="O19" s="70">
        <f t="shared" si="8"/>
        <v>0.90000000000009095</v>
      </c>
      <c r="P19" s="50">
        <f t="shared" si="9"/>
        <v>1710.0000000001728</v>
      </c>
      <c r="Q19" s="7">
        <v>3821.94</v>
      </c>
      <c r="R19" s="70">
        <f t="shared" si="10"/>
        <v>0</v>
      </c>
      <c r="S19" s="50">
        <f t="shared" si="11"/>
        <v>0</v>
      </c>
      <c r="T19" s="8">
        <f t="shared" si="12"/>
        <v>4.7830000000011523</v>
      </c>
      <c r="U19" s="54">
        <f t="shared" si="13"/>
        <v>9087.700000002189</v>
      </c>
    </row>
    <row r="20" spans="1:24" ht="21" thickBot="1" x14ac:dyDescent="0.25">
      <c r="A20" s="9">
        <v>43118</v>
      </c>
      <c r="B20" s="1">
        <v>13741.833000000001</v>
      </c>
      <c r="C20" s="70">
        <f t="shared" si="0"/>
        <v>3.4729999999999563</v>
      </c>
      <c r="D20" s="50">
        <f t="shared" si="1"/>
        <v>6598.6999999999161</v>
      </c>
      <c r="E20" s="1">
        <v>2052.0120000000002</v>
      </c>
      <c r="F20" s="70">
        <f t="shared" si="2"/>
        <v>0.34300000000030195</v>
      </c>
      <c r="G20" s="50">
        <f t="shared" si="3"/>
        <v>651.70000000057371</v>
      </c>
      <c r="H20" s="1">
        <v>830.3</v>
      </c>
      <c r="I20" s="70">
        <f t="shared" si="4"/>
        <v>0</v>
      </c>
      <c r="J20" s="50">
        <f t="shared" si="5"/>
        <v>0</v>
      </c>
      <c r="K20" s="7">
        <v>12638.71</v>
      </c>
      <c r="L20" s="70">
        <f t="shared" si="6"/>
        <v>0</v>
      </c>
      <c r="M20" s="50">
        <f t="shared" si="7"/>
        <v>0</v>
      </c>
      <c r="N20" s="7">
        <v>1659.998</v>
      </c>
      <c r="O20" s="70">
        <f t="shared" si="8"/>
        <v>1.4600000000000364</v>
      </c>
      <c r="P20" s="50">
        <f t="shared" si="9"/>
        <v>2774.0000000000687</v>
      </c>
      <c r="Q20" s="7">
        <v>3821.94</v>
      </c>
      <c r="R20" s="70">
        <f t="shared" si="10"/>
        <v>0</v>
      </c>
      <c r="S20" s="50">
        <f t="shared" si="11"/>
        <v>0</v>
      </c>
      <c r="T20" s="8">
        <f t="shared" si="12"/>
        <v>5.2760000000002947</v>
      </c>
      <c r="U20" s="54">
        <f t="shared" si="13"/>
        <v>10024.40000000056</v>
      </c>
      <c r="X20" t="s">
        <v>13</v>
      </c>
    </row>
    <row r="21" spans="1:24" ht="21" thickBot="1" x14ac:dyDescent="0.25">
      <c r="A21" s="9">
        <v>43119</v>
      </c>
      <c r="B21" s="1">
        <v>13744.953</v>
      </c>
      <c r="C21" s="70">
        <f t="shared" si="0"/>
        <v>3.1199999999989814</v>
      </c>
      <c r="D21" s="50">
        <f t="shared" si="1"/>
        <v>5927.9999999980646</v>
      </c>
      <c r="E21" s="1">
        <v>2052.5210000000002</v>
      </c>
      <c r="F21" s="70">
        <f t="shared" si="2"/>
        <v>0.50900000000001455</v>
      </c>
      <c r="G21" s="50">
        <f t="shared" si="3"/>
        <v>967.10000000002765</v>
      </c>
      <c r="H21" s="1">
        <v>830.31899999999996</v>
      </c>
      <c r="I21" s="70">
        <f t="shared" si="4"/>
        <v>1.9000000000005457E-2</v>
      </c>
      <c r="J21" s="50">
        <f t="shared" si="5"/>
        <v>36.100000000010368</v>
      </c>
      <c r="K21" s="7">
        <v>12638.71</v>
      </c>
      <c r="L21" s="70">
        <f t="shared" si="6"/>
        <v>0</v>
      </c>
      <c r="M21" s="50">
        <f t="shared" si="7"/>
        <v>0</v>
      </c>
      <c r="N21" s="7">
        <v>1661.172</v>
      </c>
      <c r="O21" s="70">
        <f t="shared" si="8"/>
        <v>1.1739999999999782</v>
      </c>
      <c r="P21" s="50">
        <f t="shared" si="9"/>
        <v>2230.5999999999585</v>
      </c>
      <c r="Q21" s="7">
        <v>3821.94</v>
      </c>
      <c r="R21" s="70">
        <f t="shared" si="10"/>
        <v>0</v>
      </c>
      <c r="S21" s="50">
        <f t="shared" si="11"/>
        <v>0</v>
      </c>
      <c r="T21" s="8">
        <f t="shared" si="12"/>
        <v>4.8219999999989795</v>
      </c>
      <c r="U21" s="54">
        <f t="shared" si="13"/>
        <v>9161.799999998062</v>
      </c>
    </row>
    <row r="22" spans="1:24" ht="21" thickBot="1" x14ac:dyDescent="0.25">
      <c r="A22" s="9">
        <v>43120</v>
      </c>
      <c r="B22" s="1">
        <v>13747.946</v>
      </c>
      <c r="C22" s="70">
        <f t="shared" si="0"/>
        <v>2.9930000000003929</v>
      </c>
      <c r="D22" s="50">
        <f t="shared" si="1"/>
        <v>5686.7000000007465</v>
      </c>
      <c r="E22" s="1">
        <v>2053.2399999999998</v>
      </c>
      <c r="F22" s="70">
        <f t="shared" si="2"/>
        <v>0.71899999999959618</v>
      </c>
      <c r="G22" s="50">
        <f t="shared" si="3"/>
        <v>1366.0999999992328</v>
      </c>
      <c r="H22" s="1">
        <v>830.31899999999996</v>
      </c>
      <c r="I22" s="70">
        <f t="shared" si="4"/>
        <v>0</v>
      </c>
      <c r="J22" s="50">
        <f t="shared" si="5"/>
        <v>0</v>
      </c>
      <c r="K22" s="7">
        <v>12638.87</v>
      </c>
      <c r="L22" s="70">
        <f t="shared" si="6"/>
        <v>0.16000000000167347</v>
      </c>
      <c r="M22" s="50">
        <f t="shared" si="7"/>
        <v>304.00000000317954</v>
      </c>
      <c r="N22" s="7">
        <v>1662.107</v>
      </c>
      <c r="O22" s="70">
        <f t="shared" si="8"/>
        <v>0.93499999999994543</v>
      </c>
      <c r="P22" s="50">
        <f t="shared" si="9"/>
        <v>1776.4999999998963</v>
      </c>
      <c r="Q22" s="7">
        <v>3821.94</v>
      </c>
      <c r="R22" s="70">
        <f t="shared" si="10"/>
        <v>0</v>
      </c>
      <c r="S22" s="50">
        <f t="shared" si="11"/>
        <v>0</v>
      </c>
      <c r="T22" s="8">
        <f t="shared" si="12"/>
        <v>4.807000000001608</v>
      </c>
      <c r="U22" s="54">
        <f t="shared" si="13"/>
        <v>9133.3000000030552</v>
      </c>
    </row>
    <row r="23" spans="1:24" ht="21" thickBot="1" x14ac:dyDescent="0.25">
      <c r="A23" s="9">
        <v>43121</v>
      </c>
      <c r="B23" s="1">
        <v>13751.271000000001</v>
      </c>
      <c r="C23" s="70">
        <f t="shared" si="0"/>
        <v>3.3250000000007276</v>
      </c>
      <c r="D23" s="50">
        <f t="shared" si="1"/>
        <v>6317.5000000013815</v>
      </c>
      <c r="E23" s="1">
        <v>2053.9679999999998</v>
      </c>
      <c r="F23" s="70">
        <f t="shared" si="2"/>
        <v>0.72800000000006548</v>
      </c>
      <c r="G23" s="50">
        <f t="shared" si="3"/>
        <v>1383.2000000001244</v>
      </c>
      <c r="H23" s="1">
        <v>830.31899999999996</v>
      </c>
      <c r="I23" s="70">
        <f t="shared" si="4"/>
        <v>0</v>
      </c>
      <c r="J23" s="50">
        <f t="shared" si="5"/>
        <v>0</v>
      </c>
      <c r="K23" s="7">
        <v>12639.14</v>
      </c>
      <c r="L23" s="70">
        <f t="shared" si="6"/>
        <v>0.26999999999861757</v>
      </c>
      <c r="M23" s="50">
        <f t="shared" si="7"/>
        <v>512.99999999737338</v>
      </c>
      <c r="N23" s="7">
        <v>1663.3879999999999</v>
      </c>
      <c r="O23" s="70">
        <f t="shared" si="8"/>
        <v>1.2809999999999491</v>
      </c>
      <c r="P23" s="50">
        <f t="shared" si="9"/>
        <v>2433.8999999999032</v>
      </c>
      <c r="Q23" s="7">
        <v>3821.96</v>
      </c>
      <c r="R23" s="70">
        <f t="shared" si="10"/>
        <v>1.999999999998181E-2</v>
      </c>
      <c r="S23" s="50">
        <f t="shared" si="11"/>
        <v>37.999999999965439</v>
      </c>
      <c r="T23" s="8">
        <f t="shared" si="12"/>
        <v>5.6239999999993415</v>
      </c>
      <c r="U23" s="54">
        <f t="shared" si="13"/>
        <v>10685.599999998749</v>
      </c>
    </row>
    <row r="24" spans="1:24" ht="21" thickBot="1" x14ac:dyDescent="0.25">
      <c r="A24" s="9">
        <v>43122</v>
      </c>
      <c r="B24" s="1">
        <v>13754.519</v>
      </c>
      <c r="C24" s="70">
        <f t="shared" si="0"/>
        <v>3.2479999999995925</v>
      </c>
      <c r="D24" s="50">
        <f t="shared" si="1"/>
        <v>6171.1999999992249</v>
      </c>
      <c r="E24" s="1">
        <v>2054.8009999999999</v>
      </c>
      <c r="F24" s="70">
        <f t="shared" si="2"/>
        <v>0.83300000000008367</v>
      </c>
      <c r="G24" s="50">
        <f t="shared" si="3"/>
        <v>1582.700000000159</v>
      </c>
      <c r="H24" s="1">
        <v>830.31899999999996</v>
      </c>
      <c r="I24" s="70">
        <f t="shared" si="4"/>
        <v>0</v>
      </c>
      <c r="J24" s="50">
        <f t="shared" si="5"/>
        <v>0</v>
      </c>
      <c r="K24" s="7">
        <v>12639.97</v>
      </c>
      <c r="L24" s="70">
        <f t="shared" si="6"/>
        <v>0.82999999999992724</v>
      </c>
      <c r="M24" s="50">
        <f t="shared" si="7"/>
        <v>1576.9999999998615</v>
      </c>
      <c r="N24" s="7">
        <v>1664.682</v>
      </c>
      <c r="O24" s="70">
        <f t="shared" si="8"/>
        <v>1.2940000000000964</v>
      </c>
      <c r="P24" s="50">
        <f t="shared" si="9"/>
        <v>2458.6000000001832</v>
      </c>
      <c r="Q24" s="7">
        <v>3821.96</v>
      </c>
      <c r="R24" s="70">
        <f t="shared" si="10"/>
        <v>0</v>
      </c>
      <c r="S24" s="50">
        <f t="shared" si="11"/>
        <v>0</v>
      </c>
      <c r="T24" s="8">
        <f t="shared" si="12"/>
        <v>6.2049999999996999</v>
      </c>
      <c r="U24" s="54">
        <f t="shared" si="13"/>
        <v>11789.499999999429</v>
      </c>
    </row>
    <row r="25" spans="1:24" ht="21" thickBot="1" x14ac:dyDescent="0.25">
      <c r="A25" s="9">
        <v>43123</v>
      </c>
      <c r="B25" s="1">
        <v>13757.26</v>
      </c>
      <c r="C25" s="70">
        <f t="shared" si="0"/>
        <v>2.7409999999999854</v>
      </c>
      <c r="D25" s="50">
        <f t="shared" si="1"/>
        <v>5207.8999999999724</v>
      </c>
      <c r="E25" s="1">
        <v>2055.4</v>
      </c>
      <c r="F25" s="70">
        <f t="shared" si="2"/>
        <v>0.59900000000016007</v>
      </c>
      <c r="G25" s="50">
        <f t="shared" si="3"/>
        <v>1138.1000000003041</v>
      </c>
      <c r="H25" s="1">
        <v>830.61199999999997</v>
      </c>
      <c r="I25" s="70">
        <f t="shared" si="4"/>
        <v>0.29300000000000637</v>
      </c>
      <c r="J25" s="50">
        <f t="shared" si="5"/>
        <v>556.7000000000121</v>
      </c>
      <c r="K25" s="7">
        <v>12639.982</v>
      </c>
      <c r="L25" s="70">
        <f t="shared" si="6"/>
        <v>1.2000000000625732E-2</v>
      </c>
      <c r="M25" s="50">
        <f t="shared" si="7"/>
        <v>22.800000001188891</v>
      </c>
      <c r="N25" s="7">
        <v>1665.982</v>
      </c>
      <c r="O25" s="70">
        <f t="shared" si="8"/>
        <v>1.2999999999999545</v>
      </c>
      <c r="P25" s="50">
        <f t="shared" si="9"/>
        <v>2469.9999999999136</v>
      </c>
      <c r="Q25" s="7">
        <v>3821.96</v>
      </c>
      <c r="R25" s="70">
        <f t="shared" si="10"/>
        <v>0</v>
      </c>
      <c r="S25" s="50">
        <f t="shared" si="11"/>
        <v>0</v>
      </c>
      <c r="T25" s="8">
        <f t="shared" si="12"/>
        <v>4.9450000000007321</v>
      </c>
      <c r="U25" s="54">
        <f t="shared" si="13"/>
        <v>9395.5000000013915</v>
      </c>
    </row>
    <row r="26" spans="1:24" ht="21" thickBot="1" x14ac:dyDescent="0.25">
      <c r="A26" s="9">
        <v>43124</v>
      </c>
      <c r="B26" s="1">
        <v>13760.6</v>
      </c>
      <c r="C26" s="70">
        <f t="shared" si="0"/>
        <v>3.3400000000001455</v>
      </c>
      <c r="D26" s="50">
        <f t="shared" si="1"/>
        <v>6346.0000000002765</v>
      </c>
      <c r="E26" s="1">
        <v>2055.83</v>
      </c>
      <c r="F26" s="70">
        <f t="shared" si="2"/>
        <v>0.42999999999983629</v>
      </c>
      <c r="G26" s="50">
        <f t="shared" si="3"/>
        <v>816.99999999968884</v>
      </c>
      <c r="H26" s="1">
        <v>832.10199999999998</v>
      </c>
      <c r="I26" s="70">
        <f t="shared" si="4"/>
        <v>1.4900000000000091</v>
      </c>
      <c r="J26" s="50">
        <f t="shared" si="5"/>
        <v>2831.0000000000173</v>
      </c>
      <c r="K26" s="7">
        <v>12640.8</v>
      </c>
      <c r="L26" s="70">
        <f t="shared" si="6"/>
        <v>0.81799999999930151</v>
      </c>
      <c r="M26" s="50">
        <f t="shared" si="7"/>
        <v>1554.1999999986729</v>
      </c>
      <c r="N26" s="7">
        <v>16666.66</v>
      </c>
      <c r="O26" s="70">
        <f t="shared" si="8"/>
        <v>15000.678</v>
      </c>
      <c r="P26" s="50">
        <f t="shared" si="9"/>
        <v>28501288.199999999</v>
      </c>
      <c r="Q26" s="7">
        <v>3821.96</v>
      </c>
      <c r="R26" s="70">
        <f t="shared" si="10"/>
        <v>0</v>
      </c>
      <c r="S26" s="50">
        <f t="shared" si="11"/>
        <v>0</v>
      </c>
      <c r="T26" s="8">
        <f t="shared" si="12"/>
        <v>15006.755999999999</v>
      </c>
      <c r="U26" s="54">
        <f t="shared" si="13"/>
        <v>28512836.399999995</v>
      </c>
      <c r="V26" t="s">
        <v>13</v>
      </c>
    </row>
    <row r="27" spans="1:24" ht="21" thickBot="1" x14ac:dyDescent="0.25">
      <c r="A27" s="9">
        <v>43125</v>
      </c>
      <c r="B27" s="1">
        <v>13764.5</v>
      </c>
      <c r="C27" s="70">
        <f t="shared" si="0"/>
        <v>3.8999999999996362</v>
      </c>
      <c r="D27" s="50">
        <f t="shared" si="1"/>
        <v>7409.9999999993079</v>
      </c>
      <c r="E27" s="1">
        <v>2056.3000000000002</v>
      </c>
      <c r="F27" s="70">
        <f t="shared" si="2"/>
        <v>0.47000000000025466</v>
      </c>
      <c r="G27" s="50">
        <f t="shared" si="3"/>
        <v>893.00000000048385</v>
      </c>
      <c r="H27" s="1">
        <v>833.63699999999994</v>
      </c>
      <c r="I27" s="70">
        <f t="shared" si="4"/>
        <v>1.5349999999999682</v>
      </c>
      <c r="J27" s="50">
        <f t="shared" si="5"/>
        <v>2916.4999999999391</v>
      </c>
      <c r="K27" s="7">
        <v>12641.28</v>
      </c>
      <c r="L27" s="70">
        <f t="shared" si="6"/>
        <v>0.48000000000138243</v>
      </c>
      <c r="M27" s="50">
        <f t="shared" si="7"/>
        <v>912.00000000262662</v>
      </c>
      <c r="N27" s="7">
        <v>1668.327</v>
      </c>
      <c r="O27" s="70" t="str">
        <f t="shared" si="8"/>
        <v>0</v>
      </c>
      <c r="P27" s="50">
        <f t="shared" si="9"/>
        <v>0</v>
      </c>
      <c r="Q27" s="7">
        <v>3821.96</v>
      </c>
      <c r="R27" s="70">
        <f t="shared" si="10"/>
        <v>0</v>
      </c>
      <c r="S27" s="50">
        <f t="shared" si="11"/>
        <v>0</v>
      </c>
      <c r="T27" s="8">
        <f t="shared" si="12"/>
        <v>6.3850000000012415</v>
      </c>
      <c r="U27" s="54">
        <f t="shared" si="13"/>
        <v>12131.500000002357</v>
      </c>
      <c r="V27" t="s">
        <v>13</v>
      </c>
    </row>
    <row r="28" spans="1:24" ht="21" thickBot="1" x14ac:dyDescent="0.25">
      <c r="A28" s="9">
        <v>43126</v>
      </c>
      <c r="B28" s="1">
        <v>13765.5</v>
      </c>
      <c r="C28" s="70">
        <f t="shared" si="0"/>
        <v>1</v>
      </c>
      <c r="D28" s="50">
        <f t="shared" si="1"/>
        <v>1900</v>
      </c>
      <c r="E28" s="1">
        <v>2056.3000000000002</v>
      </c>
      <c r="F28" s="70">
        <f t="shared" si="2"/>
        <v>0</v>
      </c>
      <c r="G28" s="50">
        <f t="shared" si="3"/>
        <v>0</v>
      </c>
      <c r="H28" s="1">
        <v>833.63699999999994</v>
      </c>
      <c r="I28" s="70">
        <f t="shared" si="4"/>
        <v>0</v>
      </c>
      <c r="J28" s="50">
        <f t="shared" si="5"/>
        <v>0</v>
      </c>
      <c r="K28" s="7">
        <v>12641.28</v>
      </c>
      <c r="L28" s="70">
        <f t="shared" si="6"/>
        <v>0</v>
      </c>
      <c r="M28" s="50">
        <f t="shared" si="7"/>
        <v>0</v>
      </c>
      <c r="N28" s="7">
        <v>1668.327</v>
      </c>
      <c r="O28" s="70">
        <f t="shared" si="8"/>
        <v>0</v>
      </c>
      <c r="P28" s="50">
        <f t="shared" si="9"/>
        <v>0</v>
      </c>
      <c r="Q28" s="7">
        <v>3821.96</v>
      </c>
      <c r="R28" s="70">
        <f t="shared" si="10"/>
        <v>0</v>
      </c>
      <c r="S28" s="50">
        <f t="shared" si="11"/>
        <v>0</v>
      </c>
      <c r="T28" s="8">
        <f t="shared" si="12"/>
        <v>1</v>
      </c>
      <c r="U28" s="54">
        <f t="shared" si="13"/>
        <v>1900</v>
      </c>
    </row>
    <row r="29" spans="1:24" ht="21" thickBot="1" x14ac:dyDescent="0.25">
      <c r="A29" s="9">
        <v>43127</v>
      </c>
      <c r="B29" s="1">
        <v>13767.9</v>
      </c>
      <c r="C29" s="70">
        <f t="shared" si="0"/>
        <v>2.3999999999996362</v>
      </c>
      <c r="D29" s="50">
        <f t="shared" si="1"/>
        <v>4559.9999999993088</v>
      </c>
      <c r="E29" s="1">
        <v>2056.6550000000002</v>
      </c>
      <c r="F29" s="70">
        <f t="shared" si="2"/>
        <v>0.35500000000001819</v>
      </c>
      <c r="G29" s="50">
        <f t="shared" si="3"/>
        <v>674.50000000003456</v>
      </c>
      <c r="H29" s="1">
        <v>834.95600000000002</v>
      </c>
      <c r="I29" s="70">
        <f t="shared" si="4"/>
        <v>1.3190000000000737</v>
      </c>
      <c r="J29" s="50">
        <f t="shared" si="5"/>
        <v>2506.10000000014</v>
      </c>
      <c r="K29" s="7">
        <v>12642.02</v>
      </c>
      <c r="L29" s="70">
        <f t="shared" si="6"/>
        <v>0.73999999999978172</v>
      </c>
      <c r="M29" s="50">
        <f t="shared" si="7"/>
        <v>1405.999999999585</v>
      </c>
      <c r="N29" s="7">
        <v>1669.615</v>
      </c>
      <c r="O29" s="70">
        <f t="shared" si="8"/>
        <v>1.2880000000000109</v>
      </c>
      <c r="P29" s="50">
        <f t="shared" si="9"/>
        <v>2447.2000000000203</v>
      </c>
      <c r="Q29" s="7">
        <v>3822.71</v>
      </c>
      <c r="R29" s="70">
        <f t="shared" si="10"/>
        <v>0.75</v>
      </c>
      <c r="S29" s="50">
        <f t="shared" si="11"/>
        <v>1424.9999999999998</v>
      </c>
      <c r="T29" s="8">
        <f t="shared" si="12"/>
        <v>6.8519999999995207</v>
      </c>
      <c r="U29" s="54">
        <f t="shared" si="13"/>
        <v>13018.79999999909</v>
      </c>
    </row>
    <row r="30" spans="1:24" ht="21" thickBot="1" x14ac:dyDescent="0.25">
      <c r="A30" s="9">
        <v>43128</v>
      </c>
      <c r="B30" s="1">
        <v>13774.929</v>
      </c>
      <c r="C30" s="70">
        <f t="shared" si="0"/>
        <v>7.0290000000004511</v>
      </c>
      <c r="D30" s="50">
        <f t="shared" si="1"/>
        <v>13355.100000000857</v>
      </c>
      <c r="E30" s="1">
        <v>2058.0830000000001</v>
      </c>
      <c r="F30" s="70">
        <f t="shared" si="2"/>
        <v>1.4279999999998836</v>
      </c>
      <c r="G30" s="50">
        <f t="shared" si="3"/>
        <v>2713.1999999997788</v>
      </c>
      <c r="H30" s="1">
        <v>838.11599999999999</v>
      </c>
      <c r="I30" s="70">
        <f t="shared" si="4"/>
        <v>3.1599999999999682</v>
      </c>
      <c r="J30" s="50">
        <f t="shared" si="5"/>
        <v>6003.9999999999391</v>
      </c>
      <c r="K30" s="7">
        <v>12644.1</v>
      </c>
      <c r="L30" s="70">
        <f t="shared" si="6"/>
        <v>2.0799999999999272</v>
      </c>
      <c r="M30" s="50">
        <f t="shared" si="7"/>
        <v>3951.9999999998613</v>
      </c>
      <c r="N30" s="7">
        <v>1671.896</v>
      </c>
      <c r="O30" s="70">
        <f t="shared" si="8"/>
        <v>2.2809999999999491</v>
      </c>
      <c r="P30" s="50">
        <f t="shared" si="9"/>
        <v>4333.8999999999032</v>
      </c>
      <c r="Q30" s="7">
        <v>3824.03</v>
      </c>
      <c r="R30" s="70">
        <f t="shared" si="10"/>
        <v>1.3200000000001637</v>
      </c>
      <c r="S30" s="50">
        <f t="shared" si="11"/>
        <v>2508.000000000311</v>
      </c>
      <c r="T30" s="8">
        <f t="shared" si="12"/>
        <v>17.298000000000343</v>
      </c>
      <c r="U30" s="54">
        <f t="shared" si="13"/>
        <v>32866.200000000652</v>
      </c>
    </row>
    <row r="31" spans="1:24" ht="21" thickBot="1" x14ac:dyDescent="0.25">
      <c r="A31" s="9">
        <v>43129</v>
      </c>
      <c r="B31" s="1">
        <v>13778.588</v>
      </c>
      <c r="C31" s="70">
        <f t="shared" si="0"/>
        <v>3.6589999999996508</v>
      </c>
      <c r="D31" s="50">
        <f t="shared" si="1"/>
        <v>6952.0999999993364</v>
      </c>
      <c r="E31" s="1">
        <v>2058.6999999999998</v>
      </c>
      <c r="F31" s="70">
        <f t="shared" si="2"/>
        <v>0.61699999999973443</v>
      </c>
      <c r="G31" s="50">
        <f t="shared" si="3"/>
        <v>1172.2999999994954</v>
      </c>
      <c r="H31" s="1">
        <v>839.63</v>
      </c>
      <c r="I31" s="70">
        <f t="shared" si="4"/>
        <v>1.51400000000001</v>
      </c>
      <c r="J31" s="50">
        <f t="shared" si="5"/>
        <v>2876.600000000019</v>
      </c>
      <c r="K31" s="7">
        <v>12645.17</v>
      </c>
      <c r="L31" s="70">
        <f t="shared" si="6"/>
        <v>1.069999999999709</v>
      </c>
      <c r="M31" s="50">
        <f t="shared" si="7"/>
        <v>2032.999999999447</v>
      </c>
      <c r="N31" s="7">
        <v>1672.866</v>
      </c>
      <c r="O31" s="70">
        <f t="shared" si="8"/>
        <v>0.97000000000002728</v>
      </c>
      <c r="P31" s="50">
        <f t="shared" si="9"/>
        <v>1843.0000000000516</v>
      </c>
      <c r="Q31" s="7">
        <v>3824.47</v>
      </c>
      <c r="R31" s="70">
        <f t="shared" si="10"/>
        <v>0.43999999999959982</v>
      </c>
      <c r="S31" s="50">
        <f t="shared" si="11"/>
        <v>835.99999999923955</v>
      </c>
      <c r="T31" s="8">
        <f t="shared" si="12"/>
        <v>8.2699999999987313</v>
      </c>
      <c r="U31" s="54">
        <f t="shared" si="13"/>
        <v>15712.999999997588</v>
      </c>
    </row>
    <row r="32" spans="1:24" ht="21" thickBot="1" x14ac:dyDescent="0.25">
      <c r="A32" s="9">
        <v>43130</v>
      </c>
      <c r="B32" s="1"/>
      <c r="C32" s="70" t="str">
        <f t="shared" si="0"/>
        <v>0</v>
      </c>
      <c r="D32" s="50">
        <f>C32*1.9*1000</f>
        <v>0</v>
      </c>
      <c r="E32" s="1"/>
      <c r="F32" s="70" t="str">
        <f t="shared" si="2"/>
        <v>0</v>
      </c>
      <c r="G32" s="50">
        <f>F32*1.9*1000</f>
        <v>0</v>
      </c>
      <c r="H32" s="1"/>
      <c r="I32" s="70" t="str">
        <f t="shared" si="4"/>
        <v>0</v>
      </c>
      <c r="J32" s="50">
        <f>I32*1.9*1000</f>
        <v>0</v>
      </c>
      <c r="K32" s="7"/>
      <c r="L32" s="70" t="str">
        <f t="shared" si="6"/>
        <v>0</v>
      </c>
      <c r="M32" s="50">
        <f>L32*1.9*1000</f>
        <v>0</v>
      </c>
      <c r="N32" s="7"/>
      <c r="O32" s="70" t="str">
        <f t="shared" si="8"/>
        <v>0</v>
      </c>
      <c r="P32" s="50">
        <f>O32*1.9*1000</f>
        <v>0</v>
      </c>
      <c r="Q32" s="7"/>
      <c r="R32" s="70" t="str">
        <f t="shared" si="10"/>
        <v>0</v>
      </c>
      <c r="S32" s="50">
        <f>R32*1.9*1000</f>
        <v>0</v>
      </c>
      <c r="T32" s="8">
        <f>C32+F32+I32+L32+O32+R32</f>
        <v>0</v>
      </c>
      <c r="U32" s="54">
        <f>T32*1.9*1000</f>
        <v>0</v>
      </c>
    </row>
    <row r="33" spans="1:21" ht="21" thickBot="1" x14ac:dyDescent="0.25">
      <c r="A33" s="9">
        <v>43131</v>
      </c>
      <c r="B33" s="1"/>
      <c r="C33" s="70">
        <f t="shared" si="0"/>
        <v>0</v>
      </c>
      <c r="D33" s="50">
        <f>C33*1.9*1000</f>
        <v>0</v>
      </c>
      <c r="E33" s="1"/>
      <c r="F33" s="70">
        <f t="shared" si="2"/>
        <v>0</v>
      </c>
      <c r="G33" s="50">
        <f>F33*1.9*1000</f>
        <v>0</v>
      </c>
      <c r="H33" s="1"/>
      <c r="I33" s="70">
        <f t="shared" si="4"/>
        <v>0</v>
      </c>
      <c r="J33" s="50">
        <f>I33*1.9*1000</f>
        <v>0</v>
      </c>
      <c r="K33" s="7"/>
      <c r="L33" s="70">
        <f t="shared" si="6"/>
        <v>0</v>
      </c>
      <c r="M33" s="50">
        <f>L33*1.9*1000</f>
        <v>0</v>
      </c>
      <c r="N33" s="7"/>
      <c r="O33" s="70">
        <f t="shared" si="8"/>
        <v>0</v>
      </c>
      <c r="P33" s="50">
        <f>O33*1.9*1000</f>
        <v>0</v>
      </c>
      <c r="Q33" s="7"/>
      <c r="R33" s="70">
        <f t="shared" si="10"/>
        <v>0</v>
      </c>
      <c r="S33" s="50">
        <f>R33*1.9*1000</f>
        <v>0</v>
      </c>
      <c r="T33" s="8">
        <f>C33+F33+I33+L33+O33+R33</f>
        <v>0</v>
      </c>
      <c r="U33" s="54">
        <f>T33*1.9*1000</f>
        <v>0</v>
      </c>
    </row>
    <row r="34" spans="1:21" ht="16.5" thickBot="1" x14ac:dyDescent="0.3">
      <c r="A34" s="10"/>
      <c r="B34" s="1"/>
      <c r="C34" s="71">
        <f>SUM(C3:C33)</f>
        <v>94.799999999999272</v>
      </c>
      <c r="D34" s="51">
        <f>SUM(D3:D33)</f>
        <v>180119.99999999854</v>
      </c>
      <c r="E34" s="1"/>
      <c r="F34" s="71">
        <f>SUM(F3:F33)</f>
        <v>16.643999999999778</v>
      </c>
      <c r="G34" s="51">
        <f>SUM(G2:G33)</f>
        <v>31623.599999999577</v>
      </c>
      <c r="H34" s="1"/>
      <c r="I34" s="71">
        <f>SUM(I3:I33)</f>
        <v>9.5190000000000055</v>
      </c>
      <c r="J34" s="51">
        <f>SUM(J2:J33)</f>
        <v>18086.100000000009</v>
      </c>
      <c r="K34" s="7"/>
      <c r="L34" s="71">
        <f>SUM(L3:L33)</f>
        <v>9.000000000001819</v>
      </c>
      <c r="M34" s="51">
        <f>SUM(M2:M33)</f>
        <v>17100.000000003456</v>
      </c>
      <c r="N34" s="7"/>
      <c r="O34" s="71">
        <f>SUM(O3:O33)</f>
        <v>15029.048000000001</v>
      </c>
      <c r="P34" s="51">
        <f>SUM(P2:P33)</f>
        <v>28555191.199999996</v>
      </c>
      <c r="Q34" s="7"/>
      <c r="R34" s="71">
        <f>SUM(R3:R33)</f>
        <v>2.6999999999998181</v>
      </c>
      <c r="S34" s="51">
        <f>SUM(S2:S33)</f>
        <v>5129.9999999996544</v>
      </c>
      <c r="T34" s="12">
        <f>SUM(T2:T33)</f>
        <v>15161.711000000001</v>
      </c>
      <c r="U34" s="55">
        <f>SUM(U3:U33)</f>
        <v>28807250.899999999</v>
      </c>
    </row>
    <row r="39" spans="1:21" x14ac:dyDescent="0.2">
      <c r="R39" s="61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70" zoomScaleNormal="70" workbookViewId="0">
      <selection sqref="A1:K35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8" max="8" width="13.7109375" bestFit="1" customWidth="1"/>
    <col min="9" max="10" width="9.5703125" bestFit="1" customWidth="1"/>
    <col min="11" max="11" width="14.5703125" bestFit="1" customWidth="1"/>
  </cols>
  <sheetData>
    <row r="1" spans="1:11" ht="15.75" thickBot="1" x14ac:dyDescent="0.25">
      <c r="A1" s="134" t="s">
        <v>131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</row>
    <row r="2" spans="1:11" ht="13.5" thickBot="1" x14ac:dyDescent="0.25">
      <c r="A2" s="92"/>
      <c r="B2" s="93" t="s">
        <v>83</v>
      </c>
      <c r="C2" s="94">
        <f>K8+K9+K14</f>
        <v>355097</v>
      </c>
      <c r="D2" s="94">
        <f>C2*1.15</f>
        <v>408361.55</v>
      </c>
      <c r="E2" s="95"/>
      <c r="F2" s="92"/>
      <c r="G2" s="92"/>
      <c r="H2" s="96" t="s">
        <v>84</v>
      </c>
      <c r="I2" s="97"/>
      <c r="J2" s="97"/>
      <c r="K2" s="97"/>
    </row>
    <row r="3" spans="1:11" ht="13.5" thickBot="1" x14ac:dyDescent="0.25">
      <c r="A3" s="92"/>
      <c r="B3" s="92"/>
      <c r="C3" s="92"/>
      <c r="D3" s="92"/>
      <c r="E3" s="92"/>
      <c r="F3" s="92"/>
      <c r="G3" s="92"/>
      <c r="H3" s="98" t="s">
        <v>85</v>
      </c>
      <c r="I3" s="99">
        <f>[1]ELECT.!B3</f>
        <v>15259933</v>
      </c>
      <c r="J3" s="99">
        <f>[1]ELECT.!B34</f>
        <v>15693789</v>
      </c>
      <c r="K3" s="85">
        <f>J3-I3</f>
        <v>433856</v>
      </c>
    </row>
    <row r="4" spans="1:11" ht="13.5" thickBot="1" x14ac:dyDescent="0.25">
      <c r="A4" s="92"/>
      <c r="B4" s="100" t="s">
        <v>86</v>
      </c>
      <c r="C4" s="101" t="s">
        <v>87</v>
      </c>
      <c r="D4" s="101" t="s">
        <v>88</v>
      </c>
      <c r="E4" s="101"/>
      <c r="F4" s="92"/>
      <c r="G4" s="92"/>
      <c r="H4" s="98" t="s">
        <v>89</v>
      </c>
      <c r="I4" s="99">
        <f>[1]ELECT.!D3</f>
        <v>39367646</v>
      </c>
      <c r="J4" s="99">
        <f>[1]ELECT.!D34</f>
        <v>40737330</v>
      </c>
      <c r="K4" s="85">
        <f>J4-I4</f>
        <v>1369684</v>
      </c>
    </row>
    <row r="5" spans="1:11" ht="13.5" thickBot="1" x14ac:dyDescent="0.25">
      <c r="A5" s="92"/>
      <c r="B5" s="98" t="s">
        <v>33</v>
      </c>
      <c r="C5" s="102">
        <f>(K10+K12)*0.842284+K26</f>
        <v>965313.49698400008</v>
      </c>
      <c r="D5" s="103">
        <f>C5*1.15</f>
        <v>1110110.5215316</v>
      </c>
      <c r="E5" s="104"/>
      <c r="F5" s="92"/>
      <c r="G5" s="92"/>
      <c r="H5" s="98" t="s">
        <v>28</v>
      </c>
      <c r="I5" s="105"/>
      <c r="J5" s="105"/>
      <c r="K5" s="106">
        <f>K3+K4</f>
        <v>1803540</v>
      </c>
    </row>
    <row r="6" spans="1:11" ht="13.5" thickBot="1" x14ac:dyDescent="0.25">
      <c r="A6" s="92"/>
      <c r="B6" s="98" t="s">
        <v>90</v>
      </c>
      <c r="C6" s="103">
        <f>(K10+K12+K26)*0.1488</f>
        <v>169487.06879999998</v>
      </c>
      <c r="D6" s="103">
        <f t="shared" ref="D6:D11" si="0">C6*1.15</f>
        <v>194910.12911999997</v>
      </c>
      <c r="E6" s="104"/>
      <c r="F6" s="92"/>
      <c r="G6" s="92"/>
      <c r="H6" s="98" t="s">
        <v>91</v>
      </c>
      <c r="I6" s="107">
        <f>[1]ELECT.!G3</f>
        <v>3282768</v>
      </c>
      <c r="J6" s="105">
        <f>[1]ELECT.!G34</f>
        <v>3440159</v>
      </c>
      <c r="K6" s="85">
        <f>J6-I6</f>
        <v>157391</v>
      </c>
    </row>
    <row r="7" spans="1:11" ht="13.5" thickBot="1" x14ac:dyDescent="0.25">
      <c r="A7" s="92"/>
      <c r="B7" s="98" t="s">
        <v>92</v>
      </c>
      <c r="C7" s="102">
        <f>(K6+K7)-(C8+C9+C10+C11+K26)</f>
        <v>271491</v>
      </c>
      <c r="D7" s="103">
        <f t="shared" si="0"/>
        <v>312214.64999999997</v>
      </c>
      <c r="E7" s="104"/>
      <c r="F7" s="92"/>
      <c r="G7" s="92"/>
      <c r="H7" s="98" t="s">
        <v>93</v>
      </c>
      <c r="I7" s="107">
        <f>[1]ELECT.!I3</f>
        <v>3401304</v>
      </c>
      <c r="J7" s="105">
        <f>[1]ELECT.!I34</f>
        <v>3590930</v>
      </c>
      <c r="K7" s="85">
        <f>J7-I7</f>
        <v>189626</v>
      </c>
    </row>
    <row r="8" spans="1:11" ht="13.5" thickBot="1" x14ac:dyDescent="0.25">
      <c r="A8" s="92"/>
      <c r="B8" s="98" t="s">
        <v>94</v>
      </c>
      <c r="C8" s="102">
        <f>K21+K22+K23+K24</f>
        <v>33355</v>
      </c>
      <c r="D8" s="103">
        <f t="shared" si="0"/>
        <v>38358.25</v>
      </c>
      <c r="E8" s="104"/>
      <c r="F8" s="92"/>
      <c r="G8" s="92"/>
      <c r="H8" s="98" t="s">
        <v>95</v>
      </c>
      <c r="I8" s="107">
        <f>[1]ELECT.!K3</f>
        <v>2186588</v>
      </c>
      <c r="J8" s="105">
        <f>[1]ELECT.!K34</f>
        <v>2306213</v>
      </c>
      <c r="K8" s="85">
        <f>(J8-I8)*2</f>
        <v>239250</v>
      </c>
    </row>
    <row r="9" spans="1:11" ht="13.5" thickBot="1" x14ac:dyDescent="0.25">
      <c r="A9" s="92"/>
      <c r="B9" s="98" t="s">
        <v>96</v>
      </c>
      <c r="C9" s="102">
        <f>K25</f>
        <v>87</v>
      </c>
      <c r="D9" s="103">
        <f t="shared" si="0"/>
        <v>100.05</v>
      </c>
      <c r="E9" s="104"/>
      <c r="F9" s="92"/>
      <c r="G9" s="92"/>
      <c r="H9" s="98" t="s">
        <v>97</v>
      </c>
      <c r="I9" s="107">
        <f>[1]ELECT.!M3</f>
        <v>4537644</v>
      </c>
      <c r="J9" s="105">
        <f>[1]ELECT.!M34</f>
        <v>4625972</v>
      </c>
      <c r="K9" s="85">
        <f>J9-I9</f>
        <v>88328</v>
      </c>
    </row>
    <row r="10" spans="1:11" ht="13.5" thickBot="1" x14ac:dyDescent="0.25">
      <c r="A10" s="92"/>
      <c r="B10" s="98" t="s">
        <v>98</v>
      </c>
      <c r="C10" s="102">
        <f>K17+K18</f>
        <v>121</v>
      </c>
      <c r="D10" s="103">
        <f t="shared" si="0"/>
        <v>139.14999999999998</v>
      </c>
      <c r="E10" s="104"/>
      <c r="F10" s="92"/>
      <c r="G10" s="92"/>
      <c r="H10" s="98" t="s">
        <v>99</v>
      </c>
      <c r="I10" s="107">
        <f>[1]ELECT.!O3</f>
        <v>8859895</v>
      </c>
      <c r="J10" s="105">
        <f>[1]ELECT.!O34</f>
        <v>9199373</v>
      </c>
      <c r="K10" s="85">
        <f>J10-I10</f>
        <v>339478</v>
      </c>
    </row>
    <row r="11" spans="1:11" ht="13.5" thickBot="1" x14ac:dyDescent="0.25">
      <c r="A11" s="92"/>
      <c r="B11" s="98" t="s">
        <v>100</v>
      </c>
      <c r="C11" s="102">
        <f>K19+K20</f>
        <v>4363</v>
      </c>
      <c r="D11" s="103">
        <f t="shared" si="0"/>
        <v>5017.45</v>
      </c>
      <c r="E11" s="104"/>
      <c r="F11" s="92"/>
      <c r="G11" s="92"/>
      <c r="H11" s="98" t="s">
        <v>101</v>
      </c>
      <c r="I11" s="107">
        <v>0</v>
      </c>
      <c r="J11" s="105">
        <v>0</v>
      </c>
      <c r="K11" s="85">
        <f>J11-I11</f>
        <v>0</v>
      </c>
    </row>
    <row r="12" spans="1:11" ht="13.5" thickBot="1" x14ac:dyDescent="0.25">
      <c r="A12" s="92"/>
      <c r="B12" s="92"/>
      <c r="C12" s="108"/>
      <c r="D12" s="108"/>
      <c r="E12" s="108"/>
      <c r="F12" s="92"/>
      <c r="G12" s="92"/>
      <c r="H12" s="98" t="s">
        <v>102</v>
      </c>
      <c r="I12" s="107">
        <f>[1]ELECT.!S3</f>
        <v>5223635</v>
      </c>
      <c r="J12" s="105">
        <f>[1]ELECT.!S34</f>
        <v>5604609</v>
      </c>
      <c r="K12" s="85">
        <f>(J12-I12)*2</f>
        <v>761948</v>
      </c>
    </row>
    <row r="13" spans="1:11" ht="13.5" thickBot="1" x14ac:dyDescent="0.25">
      <c r="A13" s="92"/>
      <c r="B13" s="109" t="s">
        <v>103</v>
      </c>
      <c r="C13" s="110" t="s">
        <v>104</v>
      </c>
      <c r="D13" s="110" t="s">
        <v>88</v>
      </c>
      <c r="E13" s="110"/>
      <c r="F13" s="92"/>
      <c r="G13" s="92"/>
      <c r="H13" s="98" t="s">
        <v>105</v>
      </c>
      <c r="I13" s="111"/>
      <c r="J13" s="112"/>
      <c r="K13" s="113">
        <f>SUM(K6:K12)</f>
        <v>1776021</v>
      </c>
    </row>
    <row r="14" spans="1:11" ht="13.5" thickBot="1" x14ac:dyDescent="0.25">
      <c r="A14" s="92"/>
      <c r="B14" s="98" t="s">
        <v>48</v>
      </c>
      <c r="C14" s="102">
        <f>K29</f>
        <v>31220</v>
      </c>
      <c r="D14" s="114">
        <f>C14*9.12</f>
        <v>284726.39999999997</v>
      </c>
      <c r="E14" s="115"/>
      <c r="F14" s="92"/>
      <c r="G14" s="92"/>
      <c r="H14" s="98" t="s">
        <v>106</v>
      </c>
      <c r="I14" s="111"/>
      <c r="J14" s="112"/>
      <c r="K14" s="86">
        <f>K5-K13</f>
        <v>27519</v>
      </c>
    </row>
    <row r="15" spans="1:11" ht="13.5" thickBot="1" x14ac:dyDescent="0.25">
      <c r="A15" s="92"/>
      <c r="B15" s="98" t="s">
        <v>107</v>
      </c>
      <c r="C15" s="116">
        <f>K30</f>
        <v>143.91</v>
      </c>
      <c r="D15" s="114">
        <f t="shared" ref="D15:D22" si="1">C15*9.12</f>
        <v>1312.4591999999998</v>
      </c>
      <c r="E15" s="115"/>
      <c r="F15" s="92"/>
      <c r="G15" s="92"/>
      <c r="H15" s="92"/>
      <c r="I15" s="92"/>
      <c r="J15" s="92"/>
      <c r="K15" s="92"/>
    </row>
    <row r="16" spans="1:11" ht="13.5" thickBot="1" x14ac:dyDescent="0.25">
      <c r="A16" s="92"/>
      <c r="B16" s="98" t="s">
        <v>90</v>
      </c>
      <c r="C16" s="116">
        <f>(C14-C15-C18-C19-C20-C21)*0.1318</f>
        <v>3515.9086619999998</v>
      </c>
      <c r="D16" s="114">
        <f t="shared" si="1"/>
        <v>32065.086997439994</v>
      </c>
      <c r="E16" s="115"/>
      <c r="F16" s="92"/>
      <c r="G16" s="92"/>
      <c r="H16" s="92"/>
      <c r="I16" s="92"/>
      <c r="J16" s="92"/>
      <c r="K16" s="92"/>
    </row>
    <row r="17" spans="1:11" ht="13.5" thickBot="1" x14ac:dyDescent="0.25">
      <c r="A17" s="92"/>
      <c r="B17" s="98" t="s">
        <v>94</v>
      </c>
      <c r="C17" s="116">
        <v>1420</v>
      </c>
      <c r="D17" s="114">
        <f t="shared" si="1"/>
        <v>12950.4</v>
      </c>
      <c r="E17" s="115"/>
      <c r="F17" s="92"/>
      <c r="G17" s="92"/>
      <c r="H17" s="117" t="s">
        <v>20</v>
      </c>
      <c r="I17" s="118">
        <f>'[1]Mall, Citadel, Rotana'!J3</f>
        <v>303515</v>
      </c>
      <c r="J17" s="118">
        <f>'[1]Mall, Citadel, Rotana'!J34</f>
        <v>303515</v>
      </c>
      <c r="K17" s="119">
        <f>J17-I17</f>
        <v>0</v>
      </c>
    </row>
    <row r="18" spans="1:11" ht="13.5" thickBot="1" x14ac:dyDescent="0.25">
      <c r="A18" s="92"/>
      <c r="B18" s="98" t="s">
        <v>100</v>
      </c>
      <c r="C18" s="116">
        <v>200</v>
      </c>
      <c r="D18" s="114">
        <f t="shared" si="1"/>
        <v>1823.9999999999998</v>
      </c>
      <c r="E18" s="115"/>
      <c r="F18" s="92"/>
      <c r="G18" s="92"/>
      <c r="H18" s="117" t="s">
        <v>21</v>
      </c>
      <c r="I18" s="118">
        <f>'[1]Mall, Citadel, Rotana'!L3</f>
        <v>21668</v>
      </c>
      <c r="J18" s="118">
        <f>'[1]Mall, Citadel, Rotana'!L34</f>
        <v>21789</v>
      </c>
      <c r="K18" s="119">
        <f>J18-I18</f>
        <v>121</v>
      </c>
    </row>
    <row r="19" spans="1:11" ht="15.75" thickBot="1" x14ac:dyDescent="0.25">
      <c r="A19" s="92"/>
      <c r="B19" s="98" t="s">
        <v>96</v>
      </c>
      <c r="C19" s="116">
        <v>600</v>
      </c>
      <c r="D19" s="114">
        <f t="shared" si="1"/>
        <v>5471.9999999999991</v>
      </c>
      <c r="E19" s="135" t="s">
        <v>108</v>
      </c>
      <c r="F19" s="136"/>
      <c r="G19" s="92"/>
      <c r="H19" s="117" t="s">
        <v>109</v>
      </c>
      <c r="I19" s="118">
        <f>'[1]Mall, Citadel, Rotana'!P3</f>
        <v>963408</v>
      </c>
      <c r="J19" s="118">
        <f>'[1]Mall, Citadel, Rotana'!P34</f>
        <v>967771</v>
      </c>
      <c r="K19" s="119">
        <f>J19-I19</f>
        <v>4363</v>
      </c>
    </row>
    <row r="20" spans="1:11" ht="13.5" thickBot="1" x14ac:dyDescent="0.25">
      <c r="A20" s="92"/>
      <c r="B20" s="98" t="s">
        <v>98</v>
      </c>
      <c r="C20" s="116">
        <v>600</v>
      </c>
      <c r="D20" s="114">
        <f t="shared" si="1"/>
        <v>5471.9999999999991</v>
      </c>
      <c r="E20" s="115"/>
      <c r="F20" s="92"/>
      <c r="G20" s="92"/>
      <c r="H20" s="117" t="s">
        <v>110</v>
      </c>
      <c r="I20" s="118">
        <f>'[1]Mall, Citadel, Rotana'!R3</f>
        <v>55047</v>
      </c>
      <c r="J20" s="118">
        <f>'[1]Mall, Citadel, Rotana'!R34</f>
        <v>55047</v>
      </c>
      <c r="K20" s="119">
        <f>J20-I20</f>
        <v>0</v>
      </c>
    </row>
    <row r="21" spans="1:11" ht="13.5" thickBot="1" x14ac:dyDescent="0.25">
      <c r="A21" s="92"/>
      <c r="B21" s="98" t="s">
        <v>83</v>
      </c>
      <c r="C21" s="116">
        <v>3000</v>
      </c>
      <c r="D21" s="114">
        <f t="shared" si="1"/>
        <v>27359.999999999996</v>
      </c>
      <c r="E21" s="115"/>
      <c r="F21" s="92"/>
      <c r="G21" s="92"/>
      <c r="H21" s="117" t="s">
        <v>14</v>
      </c>
      <c r="I21" s="118">
        <f>'[1]Mall, Citadel, Rotana'!B3</f>
        <v>41222</v>
      </c>
      <c r="J21" s="118">
        <f>'[1]Mall, Citadel, Rotana'!B34</f>
        <v>41378</v>
      </c>
      <c r="K21" s="119">
        <f>(J21-I21)*120</f>
        <v>18720</v>
      </c>
    </row>
    <row r="22" spans="1:11" ht="13.5" thickBot="1" x14ac:dyDescent="0.25">
      <c r="A22" s="92"/>
      <c r="B22" s="98" t="s">
        <v>111</v>
      </c>
      <c r="C22" s="114">
        <f>C14-(C15+C16+C17+C18+C19+C20+C21)</f>
        <v>21740.181338000002</v>
      </c>
      <c r="D22" s="114">
        <f t="shared" si="1"/>
        <v>198270.45380255999</v>
      </c>
      <c r="E22" s="115"/>
      <c r="F22" s="92"/>
      <c r="G22" s="92"/>
      <c r="H22" s="117" t="s">
        <v>16</v>
      </c>
      <c r="I22" s="118">
        <f>'[1]Mall, Citadel, Rotana'!D3</f>
        <v>37066</v>
      </c>
      <c r="J22" s="118">
        <f>'[1]Mall, Citadel, Rotana'!D34</f>
        <v>37163</v>
      </c>
      <c r="K22" s="119">
        <f>(J22-I22)*120</f>
        <v>11640</v>
      </c>
    </row>
    <row r="23" spans="1:11" x14ac:dyDescent="0.2">
      <c r="A23" s="92"/>
      <c r="B23" s="92"/>
      <c r="C23" s="108"/>
      <c r="D23" s="120"/>
      <c r="E23" s="115"/>
      <c r="F23" s="92"/>
      <c r="G23" s="92"/>
      <c r="H23" s="117" t="s">
        <v>18</v>
      </c>
      <c r="I23" s="118">
        <f>'[1]Mall, Citadel, Rotana'!F3</f>
        <v>17159</v>
      </c>
      <c r="J23" s="118">
        <f>'[1]Mall, Citadel, Rotana'!F34</f>
        <v>17288</v>
      </c>
      <c r="K23" s="87">
        <f>(J23-I23)*20</f>
        <v>2580</v>
      </c>
    </row>
    <row r="24" spans="1:11" x14ac:dyDescent="0.2">
      <c r="A24" s="92"/>
      <c r="B24" s="109" t="s">
        <v>112</v>
      </c>
      <c r="C24" s="108"/>
      <c r="D24" s="108"/>
      <c r="E24" s="108"/>
      <c r="F24" s="92"/>
      <c r="G24" s="92"/>
      <c r="H24" s="117" t="s">
        <v>19</v>
      </c>
      <c r="I24" s="118">
        <f>'[1]Mall, Citadel, Rotana'!H3</f>
        <v>213152</v>
      </c>
      <c r="J24" s="118">
        <f>'[1]Mall, Citadel, Rotana'!H34</f>
        <v>213567</v>
      </c>
      <c r="K24" s="87">
        <f>J24-I24</f>
        <v>415</v>
      </c>
    </row>
    <row r="25" spans="1:11" ht="13.5" thickBot="1" x14ac:dyDescent="0.25">
      <c r="A25" s="92"/>
      <c r="B25" s="92"/>
      <c r="C25" s="110" t="s">
        <v>104</v>
      </c>
      <c r="D25" s="110" t="s">
        <v>113</v>
      </c>
      <c r="E25" s="110"/>
      <c r="F25" s="92"/>
      <c r="G25" s="92"/>
      <c r="H25" s="117" t="s">
        <v>114</v>
      </c>
      <c r="I25" s="118">
        <f>'[1]Mall, Citadel, Rotana'!N3</f>
        <v>167792</v>
      </c>
      <c r="J25" s="118">
        <f>'[1]Mall, Citadel, Rotana'!N34</f>
        <v>167879</v>
      </c>
      <c r="K25" s="119">
        <f>J25-I25</f>
        <v>87</v>
      </c>
    </row>
    <row r="26" spans="1:11" ht="13.5" thickBot="1" x14ac:dyDescent="0.25">
      <c r="A26" s="92"/>
      <c r="B26" s="98" t="s">
        <v>48</v>
      </c>
      <c r="C26" s="121">
        <f>K35</f>
        <v>125052</v>
      </c>
      <c r="D26" s="102">
        <f>C26*2.25</f>
        <v>281367</v>
      </c>
      <c r="E26" s="122"/>
      <c r="F26" s="92"/>
      <c r="G26" s="92"/>
      <c r="H26" s="117" t="s">
        <v>115</v>
      </c>
      <c r="I26" s="118">
        <v>14870</v>
      </c>
      <c r="J26" s="118">
        <v>15105</v>
      </c>
      <c r="K26" s="119">
        <f>(J26-I26)*160</f>
        <v>37600</v>
      </c>
    </row>
    <row r="27" spans="1:11" ht="13.5" thickBot="1" x14ac:dyDescent="0.25">
      <c r="A27" s="92"/>
      <c r="B27" s="93" t="s">
        <v>116</v>
      </c>
      <c r="C27" s="121">
        <f>C26</f>
        <v>125052</v>
      </c>
      <c r="D27" s="102">
        <f>C27*2.25</f>
        <v>281367</v>
      </c>
      <c r="E27" s="122"/>
      <c r="F27" s="92"/>
      <c r="G27" s="92"/>
      <c r="H27" s="109"/>
      <c r="I27" s="123"/>
      <c r="J27" s="92"/>
      <c r="K27" s="92"/>
    </row>
    <row r="28" spans="1:11" x14ac:dyDescent="0.2">
      <c r="A28" s="92"/>
      <c r="B28" s="92"/>
      <c r="C28" s="92"/>
      <c r="D28" s="92"/>
      <c r="E28" s="92"/>
      <c r="F28" s="92"/>
      <c r="G28" s="92"/>
      <c r="H28" s="109" t="s">
        <v>103</v>
      </c>
      <c r="I28" s="123"/>
      <c r="J28" s="92"/>
      <c r="K28" s="92"/>
    </row>
    <row r="29" spans="1:11" x14ac:dyDescent="0.2">
      <c r="A29" s="92"/>
      <c r="B29" s="92"/>
      <c r="C29" s="92"/>
      <c r="D29" s="92"/>
      <c r="E29" s="92"/>
      <c r="F29" s="92"/>
      <c r="G29" s="92" t="s">
        <v>13</v>
      </c>
      <c r="H29" s="117" t="s">
        <v>30</v>
      </c>
      <c r="I29" s="118">
        <f>[1]Water!B3</f>
        <v>339105</v>
      </c>
      <c r="J29" s="118">
        <f>[1]Water!B34</f>
        <v>342227</v>
      </c>
      <c r="K29" s="119">
        <f>(J29-I29)*10</f>
        <v>31220</v>
      </c>
    </row>
    <row r="30" spans="1:11" x14ac:dyDescent="0.2">
      <c r="A30" s="92"/>
      <c r="B30" s="92"/>
      <c r="C30" s="92"/>
      <c r="D30" s="92"/>
      <c r="E30" s="92"/>
      <c r="F30" s="92"/>
      <c r="G30" s="92"/>
      <c r="H30" s="117" t="s">
        <v>117</v>
      </c>
      <c r="I30" s="118">
        <f>[1]Water!H3</f>
        <v>590400</v>
      </c>
      <c r="J30" s="118">
        <f>[1]Water!H34</f>
        <v>595730</v>
      </c>
      <c r="K30" s="119">
        <f>(J30-I30)*0.027</f>
        <v>143.91</v>
      </c>
    </row>
    <row r="31" spans="1:11" x14ac:dyDescent="0.2">
      <c r="A31" s="92"/>
      <c r="B31" s="92"/>
      <c r="C31" s="92"/>
      <c r="D31" s="92"/>
      <c r="E31" s="92"/>
      <c r="F31" s="92"/>
      <c r="G31" s="92"/>
      <c r="H31" s="117" t="s">
        <v>118</v>
      </c>
      <c r="I31" s="118">
        <f>[1]Water!D3</f>
        <v>91386700</v>
      </c>
      <c r="J31" s="118">
        <f>[1]Water!D34</f>
        <v>91973500</v>
      </c>
      <c r="K31" s="119">
        <f>(J31-I31)*0.027</f>
        <v>15843.6</v>
      </c>
    </row>
    <row r="32" spans="1:11" x14ac:dyDescent="0.2">
      <c r="A32" s="92"/>
      <c r="B32" s="92"/>
      <c r="C32" s="92"/>
      <c r="D32" s="92"/>
      <c r="E32" s="92"/>
      <c r="F32" s="92"/>
      <c r="G32" s="92"/>
      <c r="H32" s="117" t="s">
        <v>119</v>
      </c>
      <c r="I32" s="118">
        <f>[1]Water!F3</f>
        <v>91599400</v>
      </c>
      <c r="J32" s="118">
        <f>[1]Water!F34</f>
        <v>92026300</v>
      </c>
      <c r="K32" s="119">
        <f>(J32-I32)*0.027</f>
        <v>11526.3</v>
      </c>
    </row>
    <row r="33" spans="1:11" x14ac:dyDescent="0.2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</row>
    <row r="34" spans="1:11" x14ac:dyDescent="0.2">
      <c r="A34" s="48"/>
      <c r="B34" s="48"/>
      <c r="C34" s="48"/>
      <c r="D34" s="48"/>
      <c r="E34" s="48"/>
      <c r="F34" s="48"/>
      <c r="G34" s="48"/>
      <c r="H34" s="48" t="s">
        <v>112</v>
      </c>
      <c r="I34" s="48"/>
      <c r="J34" s="48"/>
      <c r="K34" s="48"/>
    </row>
    <row r="35" spans="1:11" x14ac:dyDescent="0.2">
      <c r="A35" s="48"/>
      <c r="B35" s="48"/>
      <c r="C35" s="48"/>
      <c r="D35" s="48"/>
      <c r="E35" s="48"/>
      <c r="F35" s="48"/>
      <c r="G35" s="124"/>
      <c r="H35" s="125" t="s">
        <v>48</v>
      </c>
      <c r="I35" s="126">
        <f>[1]Gas!B3</f>
        <v>14997495</v>
      </c>
      <c r="J35" s="126">
        <f>[1]Gas!B34</f>
        <v>15122547</v>
      </c>
      <c r="K35" s="127">
        <f>J35-I35</f>
        <v>125052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Gas!Print_Area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2018-07-02T08:24:59Z</cp:lastPrinted>
  <dcterms:created xsi:type="dcterms:W3CDTF">2017-07-31T14:40:49Z</dcterms:created>
  <dcterms:modified xsi:type="dcterms:W3CDTF">2020-01-31T07:41:13Z</dcterms:modified>
</cp:coreProperties>
</file>