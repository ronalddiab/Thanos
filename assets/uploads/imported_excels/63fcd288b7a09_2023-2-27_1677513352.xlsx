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586" documentId="8_{9B439D3B-B023-4087-B27B-CB56FE35C246}" xr6:coauthVersionLast="47" xr6:coauthVersionMax="47" xr10:uidLastSave="{D2077D6C-AF35-447C-808C-6E70E85E836B}"/>
  <bookViews>
    <workbookView xWindow="-108" yWindow="-108" windowWidth="23256" windowHeight="12456" tabRatio="193" firstSheet="1" xr2:uid="{00000000-000D-0000-FFFF-FFFF00000000}"/>
  </bookViews>
  <sheets>
    <sheet name="Bali Jimbaran_HEP_Daily (Total)" sheetId="6" r:id="rId1"/>
    <sheet name="Localize Daily Bali Jimbaran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2" i="6"/>
  <c r="M4" i="6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V7" i="3"/>
  <c r="AC7" i="3"/>
  <c r="M3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AF43" i="3"/>
  <c r="AG43" i="3"/>
  <c r="AI43" i="3"/>
  <c r="AH8" i="3"/>
  <c r="I3" i="6" s="1"/>
  <c r="AH9" i="3"/>
  <c r="I4" i="6" s="1"/>
  <c r="AH10" i="3"/>
  <c r="I5" i="6" s="1"/>
  <c r="AH11" i="3"/>
  <c r="I6" i="6" s="1"/>
  <c r="AH12" i="3"/>
  <c r="I7" i="6" s="1"/>
  <c r="AH13" i="3"/>
  <c r="I8" i="6" s="1"/>
  <c r="AH14" i="3"/>
  <c r="I9" i="6" s="1"/>
  <c r="AH15" i="3"/>
  <c r="I10" i="6" s="1"/>
  <c r="AH16" i="3"/>
  <c r="I11" i="6" s="1"/>
  <c r="AH17" i="3"/>
  <c r="I12" i="6" s="1"/>
  <c r="AH18" i="3"/>
  <c r="I13" i="6" s="1"/>
  <c r="AH19" i="3"/>
  <c r="I14" i="6" s="1"/>
  <c r="AH20" i="3"/>
  <c r="I15" i="6" s="1"/>
  <c r="AH21" i="3"/>
  <c r="I16" i="6" s="1"/>
  <c r="AH22" i="3"/>
  <c r="I17" i="6" s="1"/>
  <c r="AH23" i="3"/>
  <c r="I18" i="6" s="1"/>
  <c r="AH24" i="3"/>
  <c r="I19" i="6" s="1"/>
  <c r="AH25" i="3"/>
  <c r="I20" i="6" s="1"/>
  <c r="AH26" i="3"/>
  <c r="I21" i="6" s="1"/>
  <c r="AH27" i="3"/>
  <c r="I22" i="6" s="1"/>
  <c r="AH28" i="3"/>
  <c r="I23" i="6" s="1"/>
  <c r="AH29" i="3"/>
  <c r="I24" i="6" s="1"/>
  <c r="AH30" i="3"/>
  <c r="I25" i="6" s="1"/>
  <c r="AH31" i="3"/>
  <c r="I26" i="6" s="1"/>
  <c r="AH32" i="3"/>
  <c r="I27" i="6" s="1"/>
  <c r="AH33" i="3"/>
  <c r="I28" i="6" s="1"/>
  <c r="AH34" i="3"/>
  <c r="I29" i="6" s="1"/>
  <c r="AH35" i="3"/>
  <c r="I30" i="6" s="1"/>
  <c r="AH36" i="3"/>
  <c r="I31" i="6" s="1"/>
  <c r="AH37" i="3"/>
  <c r="I32" i="6" s="1"/>
  <c r="AH7" i="3"/>
  <c r="W43" i="3"/>
  <c r="X43" i="3"/>
  <c r="Y43" i="3"/>
  <c r="Z43" i="3"/>
  <c r="AA43" i="3"/>
  <c r="AB43" i="3"/>
  <c r="AD43" i="3"/>
  <c r="AC8" i="3"/>
  <c r="G3" i="6" s="1"/>
  <c r="AC9" i="3"/>
  <c r="G4" i="6" s="1"/>
  <c r="AC10" i="3"/>
  <c r="G5" i="6" s="1"/>
  <c r="AC11" i="3"/>
  <c r="G6" i="6" s="1"/>
  <c r="AC12" i="3"/>
  <c r="G7" i="6" s="1"/>
  <c r="AC13" i="3"/>
  <c r="G8" i="6" s="1"/>
  <c r="AC14" i="3"/>
  <c r="G9" i="6" s="1"/>
  <c r="AC15" i="3"/>
  <c r="G10" i="6" s="1"/>
  <c r="AC16" i="3"/>
  <c r="G11" i="6" s="1"/>
  <c r="AC17" i="3"/>
  <c r="G12" i="6" s="1"/>
  <c r="AC18" i="3"/>
  <c r="G13" i="6" s="1"/>
  <c r="AC19" i="3"/>
  <c r="G14" i="6" s="1"/>
  <c r="AC20" i="3"/>
  <c r="G15" i="6" s="1"/>
  <c r="AC21" i="3"/>
  <c r="G16" i="6" s="1"/>
  <c r="AC22" i="3"/>
  <c r="G17" i="6" s="1"/>
  <c r="AC23" i="3"/>
  <c r="G18" i="6" s="1"/>
  <c r="AC24" i="3"/>
  <c r="G19" i="6" s="1"/>
  <c r="AC25" i="3"/>
  <c r="G20" i="6" s="1"/>
  <c r="AC26" i="3"/>
  <c r="G21" i="6" s="1"/>
  <c r="AC27" i="3"/>
  <c r="G22" i="6" s="1"/>
  <c r="AC28" i="3"/>
  <c r="G23" i="6" s="1"/>
  <c r="AC29" i="3"/>
  <c r="G24" i="6" s="1"/>
  <c r="AC30" i="3"/>
  <c r="G25" i="6" s="1"/>
  <c r="AC31" i="3"/>
  <c r="G26" i="6" s="1"/>
  <c r="AC32" i="3"/>
  <c r="G27" i="6" s="1"/>
  <c r="AC33" i="3"/>
  <c r="G28" i="6" s="1"/>
  <c r="AC34" i="3"/>
  <c r="G29" i="6" s="1"/>
  <c r="AC35" i="3"/>
  <c r="G30" i="6" s="1"/>
  <c r="AC36" i="3"/>
  <c r="G31" i="6" s="1"/>
  <c r="AC37" i="3"/>
  <c r="G32" i="6" s="1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R43" i="3"/>
  <c r="S43" i="3"/>
  <c r="T43" i="3"/>
  <c r="U43" i="3"/>
  <c r="C43" i="3"/>
  <c r="D43" i="3"/>
  <c r="E43" i="3"/>
  <c r="F43" i="3"/>
  <c r="G43" i="3"/>
  <c r="H43" i="3"/>
  <c r="J43" i="3"/>
  <c r="K43" i="3"/>
  <c r="L43" i="3"/>
  <c r="M43" i="3"/>
  <c r="P7" i="3"/>
  <c r="E2" i="6" s="1"/>
  <c r="P8" i="3"/>
  <c r="E3" i="6" s="1"/>
  <c r="P9" i="3"/>
  <c r="E4" i="6" s="1"/>
  <c r="P10" i="3"/>
  <c r="E5" i="6" s="1"/>
  <c r="P11" i="3"/>
  <c r="E6" i="6" s="1"/>
  <c r="P12" i="3"/>
  <c r="E7" i="6" s="1"/>
  <c r="P13" i="3"/>
  <c r="E8" i="6" s="1"/>
  <c r="P14" i="3"/>
  <c r="E9" i="6" s="1"/>
  <c r="P15" i="3"/>
  <c r="E10" i="6" s="1"/>
  <c r="P16" i="3"/>
  <c r="E11" i="6" s="1"/>
  <c r="P17" i="3"/>
  <c r="E12" i="6" s="1"/>
  <c r="P18" i="3"/>
  <c r="E13" i="6" s="1"/>
  <c r="P19" i="3"/>
  <c r="E14" i="6" s="1"/>
  <c r="P20" i="3"/>
  <c r="E15" i="6" s="1"/>
  <c r="P21" i="3"/>
  <c r="E16" i="6" s="1"/>
  <c r="P22" i="3"/>
  <c r="E17" i="6" s="1"/>
  <c r="P23" i="3"/>
  <c r="E18" i="6" s="1"/>
  <c r="P24" i="3"/>
  <c r="E19" i="6" s="1"/>
  <c r="P25" i="3"/>
  <c r="E20" i="6" s="1"/>
  <c r="P26" i="3"/>
  <c r="E21" i="6" s="1"/>
  <c r="P27" i="3"/>
  <c r="E22" i="6" s="1"/>
  <c r="P28" i="3"/>
  <c r="E23" i="6" s="1"/>
  <c r="P29" i="3"/>
  <c r="E24" i="6" s="1"/>
  <c r="P30" i="3"/>
  <c r="E25" i="6" s="1"/>
  <c r="P31" i="3"/>
  <c r="E26" i="6" s="1"/>
  <c r="P32" i="3"/>
  <c r="E27" i="6" s="1"/>
  <c r="P33" i="3"/>
  <c r="E28" i="6" s="1"/>
  <c r="P34" i="3"/>
  <c r="E29" i="6" s="1"/>
  <c r="P35" i="3"/>
  <c r="E30" i="6" s="1"/>
  <c r="P36" i="3"/>
  <c r="E31" i="6" s="1"/>
  <c r="P37" i="3"/>
  <c r="E32" i="6" s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7" i="3"/>
  <c r="I43" i="3" s="1"/>
  <c r="AE43" i="3"/>
  <c r="V43" i="3" l="1"/>
  <c r="AH43" i="3"/>
  <c r="I2" i="6"/>
  <c r="AC43" i="3"/>
  <c r="G2" i="6"/>
  <c r="Q43" i="3"/>
  <c r="K2" i="6"/>
  <c r="AI45" i="3"/>
  <c r="AD45" i="3"/>
  <c r="O7" i="3"/>
  <c r="N43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P43" i="3"/>
  <c r="V45" i="3"/>
  <c r="O43" i="3" l="1"/>
  <c r="P4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Z6" authorId="0" shapeId="0" xr:uid="{80E98F6A-02C2-4F4E-B2B1-ED1F3E5E6471}">
      <text>
        <r>
          <rPr>
            <sz val="10"/>
            <rFont val="Arial"/>
            <family val="2"/>
          </rPr>
          <t xml:space="preserve">Dinna Wiji Safitri:
Additional </t>
        </r>
      </text>
    </comment>
    <comment ref="AA6" authorId="0" shapeId="0" xr:uid="{56658B7B-0D5E-47FF-B178-780AC3EDA65C}">
      <text>
        <r>
          <rPr>
            <sz val="10"/>
            <rFont val="Arial"/>
            <family val="2"/>
          </rPr>
          <t>Dinna Wiji Safitri:
Additional</t>
        </r>
      </text>
    </comment>
    <comment ref="AE6" authorId="0" shapeId="0" xr:uid="{38E189E6-0FB4-4D8F-B6CC-DCEACAACAF2B}">
      <text>
        <r>
          <rPr>
            <sz val="10"/>
            <rFont val="Arial"/>
            <family val="2"/>
          </rPr>
          <t>Dinna Wiji Safitri:
Additional</t>
        </r>
      </text>
    </comment>
    <comment ref="AF6" authorId="0" shapeId="0" xr:uid="{1637FCFD-FF35-4560-8E51-B5041CD80FE2}">
      <text>
        <r>
          <rPr>
            <sz val="10"/>
            <rFont val="Arial"/>
            <family val="2"/>
          </rPr>
          <t>Dinna Wiji Safitri:
additional</t>
        </r>
      </text>
    </comment>
    <comment ref="AG6" authorId="0" shapeId="0" xr:uid="{47FC5B04-D697-4E8D-A891-1BEC2C548324}">
      <text>
        <r>
          <rPr>
            <sz val="10"/>
            <rFont val="Arial"/>
            <family val="2"/>
          </rPr>
          <t>Dinna Wiji Safitri:
additional</t>
        </r>
      </text>
    </comment>
  </commentList>
</comments>
</file>

<file path=xl/sharedStrings.xml><?xml version="1.0" encoding="utf-8"?>
<sst xmlns="http://schemas.openxmlformats.org/spreadsheetml/2006/main" count="94" uniqueCount="54">
  <si>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</si>
  <si>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</si>
  <si>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</si>
  <si>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</si>
  <si>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</si>
  <si>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</si>
  <si>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</si>
  <si>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</si>
  <si>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</si>
  <si>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</si>
  <si>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</si>
  <si>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</si>
  <si>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</si>
  <si>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Total Guests</t>
  </si>
  <si>
    <t>Bali Jimbaran</t>
  </si>
  <si>
    <t>Four Seasons Resort Bali at Jimbaran Bay</t>
  </si>
  <si>
    <t>JANUARY 2022</t>
  </si>
  <si>
    <t>Date</t>
  </si>
  <si>
    <t>Room Nights</t>
  </si>
  <si>
    <t>Food Covers</t>
  </si>
  <si>
    <t xml:space="preserve">ELECTRICITY Resort &amp; Sundara 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</si>
  <si>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</si>
  <si>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</si>
  <si>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</si>
  <si>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</si>
  <si>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</si>
  <si>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</si>
  <si>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</si>
  <si>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</si>
  <si>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</si>
  <si>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</si>
  <si>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</si>
  <si>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</si>
  <si>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</si>
  <si>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</si>
  <si>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</si>
  <si>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</si>
  <si>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</si>
  <si>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</si>
  <si>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</si>
  <si>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</si>
  <si>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</si>
  <si>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LPG Bulk (m3)</t>
  </si>
  <si>
    <t>50 Kg IVD &amp; TW (tube)</t>
  </si>
  <si>
    <t>Sundara 50 kg (tube)</t>
  </si>
  <si>
    <t>Jala 50 kg (tube)</t>
  </si>
  <si>
    <t>Canteen and Comissary 50Kg (tube)</t>
  </si>
  <si>
    <t>12 Kg (tube)</t>
  </si>
  <si>
    <t>Total kg</t>
  </si>
  <si>
    <t>Gasoline</t>
  </si>
  <si>
    <t>Steam (liters)</t>
  </si>
  <si>
    <t>Onsite Generators (liters)</t>
  </si>
  <si>
    <t>Total liters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</si>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</sst>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_-;\-* #,##0.0_-;_-* &quot;-&quot;??_-;_-@_-"/>
    <numFmt numFmtId="166" formatCode="_(* #,##0_);_(* \(#,##0\);_(* &quot;-&quot;??_);_(@_)"/>
    <numFmt numFmtId="167" formatCode="_-* #,##0.00_-;\-* #,##0.00_-;_-* &quot;-&quot;??_-;_-@_-"/>
    <numFmt numFmtId="168" formatCode="_-* #,##0.000_-;\-* #,##0.000_-;_-* &quot;-&quot;??_-;_-@_-"/>
    <numFmt numFmtId="169" formatCode="0.0%"/>
  </numFmts>
  <fonts count="25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2" applyNumberFormat="1" applyFont="1"/>
    <xf numFmtId="43" fontId="4" fillId="0" borderId="0" xfId="2" applyFont="1"/>
    <xf numFmtId="9" fontId="4" fillId="0" borderId="0" xfId="4" applyFont="1"/>
    <xf numFmtId="164" fontId="4" fillId="0" borderId="0" xfId="2" applyNumberFormat="1" applyFont="1"/>
    <xf numFmtId="165" fontId="0" fillId="0" borderId="0" xfId="2" applyNumberFormat="1" applyFont="1"/>
    <xf numFmtId="9" fontId="0" fillId="0" borderId="0" xfId="0" applyNumberFormat="1"/>
    <xf numFmtId="0" fontId="5" fillId="2" borderId="0" xfId="0" applyFont="1" applyFill="1"/>
    <xf numFmtId="164" fontId="5" fillId="2" borderId="0" xfId="2" applyNumberFormat="1" applyFont="1" applyFill="1" applyBorder="1" applyAlignment="1"/>
    <xf numFmtId="43" fontId="6" fillId="2" borderId="0" xfId="2" applyFont="1" applyFill="1" applyBorder="1" applyAlignment="1"/>
    <xf numFmtId="164" fontId="6" fillId="2" borderId="0" xfId="2" applyNumberFormat="1" applyFont="1" applyFill="1" applyBorder="1" applyAlignment="1"/>
    <xf numFmtId="165" fontId="5" fillId="2" borderId="0" xfId="2" applyNumberFormat="1" applyFont="1" applyFill="1" applyBorder="1" applyAlignment="1"/>
    <xf numFmtId="0" fontId="6" fillId="2" borderId="0" xfId="0" applyFont="1" applyFill="1"/>
    <xf numFmtId="0" fontId="4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164" fontId="0" fillId="2" borderId="0" xfId="2" applyNumberFormat="1" applyFont="1" applyFill="1" applyBorder="1" applyAlignment="1">
      <alignment horizontal="right"/>
    </xf>
    <xf numFmtId="164" fontId="0" fillId="0" borderId="1" xfId="2" applyNumberFormat="1" applyFont="1" applyBorder="1"/>
    <xf numFmtId="164" fontId="0" fillId="2" borderId="0" xfId="2" applyNumberFormat="1" applyFont="1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7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5" fontId="0" fillId="2" borderId="0" xfId="2" applyNumberFormat="1" applyFont="1" applyFill="1" applyBorder="1"/>
    <xf numFmtId="0" fontId="0" fillId="2" borderId="8" xfId="0" applyFill="1" applyBorder="1"/>
    <xf numFmtId="167" fontId="0" fillId="2" borderId="0" xfId="0" applyNumberFormat="1" applyFill="1"/>
    <xf numFmtId="165" fontId="0" fillId="0" borderId="0" xfId="2" applyNumberFormat="1" applyFont="1" applyBorder="1"/>
    <xf numFmtId="164" fontId="0" fillId="0" borderId="0" xfId="2" applyNumberFormat="1" applyFont="1" applyBorder="1"/>
    <xf numFmtId="0" fontId="0" fillId="2" borderId="9" xfId="0" applyFill="1" applyBorder="1"/>
    <xf numFmtId="164" fontId="0" fillId="2" borderId="0" xfId="0" applyNumberFormat="1" applyFill="1"/>
    <xf numFmtId="164" fontId="0" fillId="0" borderId="0" xfId="0" applyNumberFormat="1"/>
    <xf numFmtId="43" fontId="12" fillId="0" borderId="0" xfId="2" applyFont="1" applyBorder="1"/>
    <xf numFmtId="164" fontId="12" fillId="0" borderId="0" xfId="2" applyNumberFormat="1" applyFont="1" applyBorder="1"/>
    <xf numFmtId="43" fontId="13" fillId="0" borderId="0" xfId="2" applyFont="1" applyBorder="1"/>
    <xf numFmtId="164" fontId="13" fillId="0" borderId="0" xfId="2" applyNumberFormat="1" applyFont="1" applyBorder="1"/>
    <xf numFmtId="167" fontId="12" fillId="0" borderId="0" xfId="0" applyNumberFormat="1" applyFont="1"/>
    <xf numFmtId="165" fontId="12" fillId="0" borderId="0" xfId="2" applyNumberFormat="1" applyFont="1" applyBorder="1"/>
    <xf numFmtId="43" fontId="0" fillId="0" borderId="0" xfId="0" applyNumberFormat="1"/>
    <xf numFmtId="164" fontId="12" fillId="2" borderId="0" xfId="0" applyNumberFormat="1" applyFont="1" applyFill="1"/>
    <xf numFmtId="164" fontId="12" fillId="0" borderId="0" xfId="0" applyNumberFormat="1" applyFont="1"/>
    <xf numFmtId="0" fontId="12" fillId="0" borderId="0" xfId="0" applyFont="1"/>
    <xf numFmtId="164" fontId="14" fillId="2" borderId="0" xfId="2" applyNumberFormat="1" applyFont="1" applyFill="1" applyBorder="1"/>
    <xf numFmtId="164" fontId="14" fillId="0" borderId="0" xfId="2" applyNumberFormat="1" applyFont="1" applyBorder="1"/>
    <xf numFmtId="3" fontId="14" fillId="0" borderId="0" xfId="0" applyNumberFormat="1" applyFont="1"/>
    <xf numFmtId="168" fontId="14" fillId="0" borderId="0" xfId="2" applyNumberFormat="1" applyFont="1"/>
    <xf numFmtId="10" fontId="14" fillId="0" borderId="0" xfId="4" applyNumberFormat="1" applyFont="1"/>
    <xf numFmtId="44" fontId="14" fillId="0" borderId="0" xfId="3" applyFont="1" applyBorder="1"/>
    <xf numFmtId="164" fontId="15" fillId="0" borderId="0" xfId="2" applyNumberFormat="1" applyFont="1" applyBorder="1"/>
    <xf numFmtId="165" fontId="14" fillId="0" borderId="0" xfId="2" applyNumberFormat="1" applyFont="1" applyBorder="1"/>
    <xf numFmtId="169" fontId="14" fillId="0" borderId="0" xfId="4" applyNumberFormat="1" applyFont="1" applyBorder="1"/>
    <xf numFmtId="164" fontId="16" fillId="0" borderId="0" xfId="2" applyNumberFormat="1" applyFont="1" applyBorder="1"/>
    <xf numFmtId="0" fontId="11" fillId="2" borderId="0" xfId="0" applyFont="1" applyFill="1"/>
    <xf numFmtId="164" fontId="11" fillId="0" borderId="0" xfId="2" applyNumberFormat="1" applyFont="1"/>
    <xf numFmtId="0" fontId="11" fillId="0" borderId="0" xfId="0" applyFont="1"/>
    <xf numFmtId="164" fontId="17" fillId="0" borderId="0" xfId="2" applyNumberFormat="1" applyFont="1"/>
    <xf numFmtId="9" fontId="17" fillId="0" borderId="0" xfId="4" applyFont="1"/>
    <xf numFmtId="165" fontId="11" fillId="0" borderId="0" xfId="2" applyNumberFormat="1" applyFont="1"/>
    <xf numFmtId="43" fontId="11" fillId="0" borderId="0" xfId="2" applyFont="1"/>
    <xf numFmtId="9" fontId="11" fillId="0" borderId="0" xfId="4" applyFont="1"/>
    <xf numFmtId="43" fontId="17" fillId="0" borderId="0" xfId="2" applyFont="1"/>
    <xf numFmtId="0" fontId="9" fillId="11" borderId="11" xfId="0" applyFont="1" applyFill="1" applyBorder="1" applyAlignment="1">
      <alignment horizontal="center" vertical="center" shrinkToFit="1"/>
    </xf>
    <xf numFmtId="164" fontId="10" fillId="2" borderId="11" xfId="2" applyNumberFormat="1" applyFont="1" applyFill="1" applyBorder="1" applyProtection="1">
      <protection locked="0"/>
    </xf>
    <xf numFmtId="164" fontId="0" fillId="0" borderId="11" xfId="2" applyNumberFormat="1" applyFont="1" applyBorder="1"/>
    <xf numFmtId="166" fontId="0" fillId="0" borderId="11" xfId="2" applyNumberFormat="1" applyFont="1" applyBorder="1"/>
    <xf numFmtId="167" fontId="0" fillId="0" borderId="11" xfId="0" applyNumberFormat="1" applyBorder="1"/>
    <xf numFmtId="164" fontId="3" fillId="0" borderId="11" xfId="2" applyNumberFormat="1" applyFont="1" applyBorder="1"/>
    <xf numFmtId="43" fontId="3" fillId="0" borderId="11" xfId="2" applyFont="1" applyBorder="1"/>
    <xf numFmtId="0" fontId="0" fillId="0" borderId="11" xfId="0" applyBorder="1"/>
    <xf numFmtId="165" fontId="0" fillId="0" borderId="4" xfId="2" applyNumberFormat="1" applyFont="1" applyBorder="1"/>
    <xf numFmtId="0" fontId="7" fillId="0" borderId="11" xfId="0" applyFont="1" applyBorder="1" applyAlignment="1">
      <alignment horizontal="center" vertical="center" wrapText="1"/>
    </xf>
    <xf numFmtId="164" fontId="4" fillId="0" borderId="11" xfId="2" applyNumberFormat="1" applyFont="1" applyBorder="1"/>
    <xf numFmtId="43" fontId="0" fillId="0" borderId="11" xfId="2" applyFont="1" applyBorder="1"/>
    <xf numFmtId="164" fontId="7" fillId="0" borderId="11" xfId="2" applyNumberFormat="1" applyFont="1" applyBorder="1"/>
    <xf numFmtId="164" fontId="0" fillId="0" borderId="11" xfId="0" applyNumberFormat="1" applyBorder="1"/>
    <xf numFmtId="43" fontId="4" fillId="0" borderId="11" xfId="2" applyFont="1" applyBorder="1"/>
    <xf numFmtId="164" fontId="6" fillId="0" borderId="11" xfId="2" applyNumberFormat="1" applyFont="1" applyBorder="1" applyAlignment="1">
      <alignment horizontal="center" vertical="center" wrapText="1"/>
    </xf>
    <xf numFmtId="164" fontId="7" fillId="0" borderId="11" xfId="2" applyNumberFormat="1" applyFont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wrapText="1"/>
    </xf>
    <xf numFmtId="0" fontId="1" fillId="2" borderId="0" xfId="0" applyFont="1" applyFill="1"/>
    <xf numFmtId="0" fontId="1" fillId="6" borderId="11" xfId="0" applyFont="1" applyFill="1" applyBorder="1" applyAlignment="1">
      <alignment vertical="center"/>
    </xf>
    <xf numFmtId="0" fontId="1" fillId="6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0" borderId="11" xfId="2" applyNumberFormat="1" applyFont="1" applyBorder="1" applyAlignment="1">
      <alignment horizontal="center" vertical="center" wrapText="1"/>
    </xf>
    <xf numFmtId="43" fontId="6" fillId="0" borderId="11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1" fillId="0" borderId="12" xfId="2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 vertical="center" wrapText="1"/>
    </xf>
    <xf numFmtId="164" fontId="23" fillId="0" borderId="12" xfId="2" applyNumberFormat="1" applyFont="1" applyBorder="1" applyAlignment="1">
      <alignment horizontal="right" vertical="center" wrapText="1"/>
    </xf>
    <xf numFmtId="164" fontId="23" fillId="0" borderId="12" xfId="0" applyNumberFormat="1" applyFont="1" applyBorder="1" applyAlignment="1">
      <alignment horizontal="center" vertical="center" wrapText="1"/>
    </xf>
    <xf numFmtId="164" fontId="23" fillId="0" borderId="12" xfId="2" applyNumberFormat="1" applyFont="1" applyBorder="1" applyAlignment="1">
      <alignment horizontal="center" vertical="center" wrapText="1"/>
    </xf>
    <xf numFmtId="164" fontId="22" fillId="0" borderId="12" xfId="2" applyNumberFormat="1" applyFont="1" applyBorder="1" applyAlignment="1">
      <alignment horizontal="center" vertical="center" wrapText="1"/>
    </xf>
    <xf numFmtId="165" fontId="23" fillId="0" borderId="2" xfId="2" applyNumberFormat="1" applyFont="1" applyBorder="1" applyAlignment="1">
      <alignment horizontal="center" vertical="center" wrapText="1"/>
    </xf>
    <xf numFmtId="164" fontId="23" fillId="0" borderId="11" xfId="2" applyNumberFormat="1" applyFont="1" applyBorder="1" applyAlignment="1">
      <alignment horizontal="right"/>
    </xf>
    <xf numFmtId="166" fontId="23" fillId="0" borderId="11" xfId="2" applyNumberFormat="1" applyFont="1" applyBorder="1" applyAlignment="1"/>
    <xf numFmtId="164" fontId="23" fillId="0" borderId="11" xfId="2" applyNumberFormat="1" applyFont="1" applyBorder="1"/>
    <xf numFmtId="165" fontId="23" fillId="0" borderId="4" xfId="2" applyNumberFormat="1" applyFont="1" applyBorder="1"/>
    <xf numFmtId="166" fontId="23" fillId="0" borderId="11" xfId="0" applyNumberFormat="1" applyFont="1" applyBorder="1"/>
    <xf numFmtId="166" fontId="23" fillId="0" borderId="12" xfId="0" applyNumberFormat="1" applyFont="1" applyBorder="1" applyAlignment="1">
      <alignment horizontal="right" vertical="center" wrapText="1"/>
    </xf>
    <xf numFmtId="166" fontId="23" fillId="0" borderId="12" xfId="0" applyNumberFormat="1" applyFont="1" applyBorder="1" applyAlignment="1">
      <alignment vertical="center" wrapText="1"/>
    </xf>
    <xf numFmtId="166" fontId="23" fillId="0" borderId="11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 vertical="center"/>
    </xf>
    <xf numFmtId="166" fontId="23" fillId="0" borderId="12" xfId="2" applyNumberFormat="1" applyFont="1" applyBorder="1" applyAlignment="1">
      <alignment horizontal="center" vertical="center" wrapText="1"/>
    </xf>
    <xf numFmtId="166" fontId="22" fillId="0" borderId="11" xfId="2" applyNumberFormat="1" applyFont="1" applyBorder="1"/>
    <xf numFmtId="166" fontId="22" fillId="0" borderId="12" xfId="2" applyNumberFormat="1" applyFont="1" applyBorder="1" applyAlignment="1">
      <alignment horizontal="right" vertical="center" wrapText="1"/>
    </xf>
    <xf numFmtId="166" fontId="22" fillId="0" borderId="11" xfId="2" applyNumberFormat="1" applyFont="1" applyBorder="1" applyAlignment="1">
      <alignment horizontal="right"/>
    </xf>
    <xf numFmtId="166" fontId="23" fillId="0" borderId="12" xfId="0" applyNumberFormat="1" applyFont="1" applyBorder="1" applyAlignment="1">
      <alignment horizontal="center" vertical="center" wrapText="1"/>
    </xf>
    <xf numFmtId="166" fontId="23" fillId="0" borderId="11" xfId="2" applyNumberFormat="1" applyFont="1" applyBorder="1" applyAlignment="1">
      <alignment horizontal="right"/>
    </xf>
    <xf numFmtId="0" fontId="18" fillId="14" borderId="12" xfId="0" applyFont="1" applyFill="1" applyBorder="1" applyAlignment="1">
      <alignment horizontal="center" vertical="center" wrapText="1"/>
    </xf>
    <xf numFmtId="166" fontId="23" fillId="2" borderId="11" xfId="2" applyNumberFormat="1" applyFont="1" applyFill="1" applyBorder="1" applyAlignment="1" applyProtection="1">
      <alignment horizontal="right"/>
      <protection locked="0"/>
    </xf>
    <xf numFmtId="165" fontId="18" fillId="14" borderId="12" xfId="2" applyNumberFormat="1" applyFont="1" applyFill="1" applyBorder="1" applyAlignment="1">
      <alignment horizontal="center" vertical="center" wrapText="1"/>
    </xf>
    <xf numFmtId="166" fontId="23" fillId="0" borderId="2" xfId="2" applyNumberFormat="1" applyFont="1" applyBorder="1" applyAlignment="1">
      <alignment horizontal="right" vertical="center" wrapText="1"/>
    </xf>
    <xf numFmtId="166" fontId="23" fillId="0" borderId="4" xfId="2" applyNumberFormat="1" applyFont="1" applyBorder="1" applyAlignment="1">
      <alignment horizontal="right"/>
    </xf>
    <xf numFmtId="164" fontId="23" fillId="0" borderId="2" xfId="2" applyNumberFormat="1" applyFont="1" applyBorder="1" applyAlignment="1">
      <alignment horizontal="right" vertical="center" wrapText="1"/>
    </xf>
    <xf numFmtId="164" fontId="23" fillId="0" borderId="4" xfId="2" applyNumberFormat="1" applyFont="1" applyBorder="1" applyAlignment="1">
      <alignment horizontal="right"/>
    </xf>
    <xf numFmtId="166" fontId="23" fillId="0" borderId="3" xfId="0" applyNumberFormat="1" applyFont="1" applyBorder="1" applyAlignment="1">
      <alignment horizontal="right" vertical="center" wrapText="1"/>
    </xf>
    <xf numFmtId="166" fontId="23" fillId="0" borderId="1" xfId="2" applyNumberFormat="1" applyFont="1" applyBorder="1" applyAlignment="1">
      <alignment horizontal="right"/>
    </xf>
    <xf numFmtId="164" fontId="24" fillId="12" borderId="11" xfId="2" applyNumberFormat="1" applyFont="1" applyFill="1" applyBorder="1"/>
    <xf numFmtId="164" fontId="24" fillId="10" borderId="11" xfId="2" applyNumberFormat="1" applyFont="1" applyFill="1" applyBorder="1"/>
    <xf numFmtId="164" fontId="24" fillId="13" borderId="11" xfId="2" applyNumberFormat="1" applyFont="1" applyFill="1" applyBorder="1"/>
    <xf numFmtId="164" fontId="6" fillId="13" borderId="11" xfId="2" applyNumberFormat="1" applyFont="1" applyFill="1" applyBorder="1"/>
    <xf numFmtId="164" fontId="24" fillId="6" borderId="11" xfId="2" applyNumberFormat="1" applyFont="1" applyFill="1" applyBorder="1"/>
    <xf numFmtId="164" fontId="7" fillId="6" borderId="11" xfId="0" applyNumberFormat="1" applyFont="1" applyFill="1" applyBorder="1"/>
    <xf numFmtId="164" fontId="24" fillId="14" borderId="11" xfId="2" applyNumberFormat="1" applyFont="1" applyFill="1" applyBorder="1"/>
    <xf numFmtId="164" fontId="24" fillId="7" borderId="11" xfId="2" applyNumberFormat="1" applyFont="1" applyFill="1" applyBorder="1"/>
    <xf numFmtId="165" fontId="0" fillId="0" borderId="11" xfId="2" applyNumberFormat="1" applyFont="1" applyBorder="1"/>
    <xf numFmtId="164" fontId="24" fillId="15" borderId="11" xfId="2" applyNumberFormat="1" applyFont="1" applyFill="1" applyBorder="1"/>
    <xf numFmtId="164" fontId="0" fillId="2" borderId="10" xfId="0" applyNumberFormat="1" applyFill="1" applyBorder="1"/>
    <xf numFmtId="0" fontId="0" fillId="2" borderId="13" xfId="0" applyFill="1" applyBorder="1"/>
    <xf numFmtId="164" fontId="0" fillId="2" borderId="14" xfId="2" applyNumberFormat="1" applyFont="1" applyFill="1" applyBorder="1"/>
    <xf numFmtId="164" fontId="0" fillId="2" borderId="15" xfId="2" applyNumberFormat="1" applyFont="1" applyFill="1" applyBorder="1"/>
    <xf numFmtId="0" fontId="0" fillId="2" borderId="15" xfId="0" applyFill="1" applyBorder="1"/>
    <xf numFmtId="43" fontId="4" fillId="2" borderId="15" xfId="2" applyFont="1" applyFill="1" applyBorder="1"/>
    <xf numFmtId="164" fontId="4" fillId="2" borderId="15" xfId="2" applyNumberFormat="1" applyFont="1" applyFill="1" applyBorder="1"/>
    <xf numFmtId="0" fontId="0" fillId="2" borderId="16" xfId="0" applyFill="1" applyBorder="1"/>
    <xf numFmtId="43" fontId="0" fillId="2" borderId="15" xfId="0" applyNumberFormat="1" applyFill="1" applyBorder="1"/>
    <xf numFmtId="164" fontId="0" fillId="2" borderId="15" xfId="0" applyNumberFormat="1" applyFill="1" applyBorder="1"/>
    <xf numFmtId="165" fontId="0" fillId="0" borderId="15" xfId="2" applyNumberFormat="1" applyFont="1" applyBorder="1"/>
    <xf numFmtId="164" fontId="0" fillId="0" borderId="15" xfId="2" applyNumberFormat="1" applyFont="1" applyBorder="1"/>
    <xf numFmtId="166" fontId="23" fillId="0" borderId="12" xfId="2" applyNumberFormat="1" applyFont="1" applyBorder="1" applyAlignment="1">
      <alignment horizontal="right" vertical="center" wrapText="1"/>
    </xf>
    <xf numFmtId="166" fontId="23" fillId="0" borderId="12" xfId="2" applyNumberFormat="1" applyFont="1" applyBorder="1" applyAlignment="1">
      <alignment vertical="center" wrapText="1"/>
    </xf>
    <xf numFmtId="166" fontId="23" fillId="0" borderId="11" xfId="2" applyNumberFormat="1" applyFont="1" applyBorder="1"/>
    <xf numFmtId="164" fontId="21" fillId="2" borderId="11" xfId="2" applyNumberFormat="1" applyFont="1" applyFill="1" applyBorder="1" applyAlignment="1" applyProtection="1">
      <alignment horizontal="right"/>
      <protection locked="0"/>
    </xf>
    <xf numFmtId="0" fontId="21" fillId="0" borderId="11" xfId="0" applyFont="1" applyBorder="1" applyAlignment="1">
      <alignment horizontal="right"/>
    </xf>
    <xf numFmtId="49" fontId="6" fillId="3" borderId="11" xfId="0" applyNumberFormat="1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43" fontId="1" fillId="0" borderId="12" xfId="2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5" fontId="7" fillId="15" borderId="11" xfId="2" applyNumberFormat="1" applyFont="1" applyFill="1" applyBorder="1" applyAlignment="1">
      <alignment horizontal="center" vertical="center"/>
    </xf>
    <xf numFmtId="164" fontId="6" fillId="0" borderId="11" xfId="2" applyNumberFormat="1" applyFont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1000000}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95A2-7450-4107-B53E-80A8BB3F815E}">
  <dimension ref="A1:N32"/>
  <sheetViews>
    <sheetView tabSelected="1" workbookViewId="0">
      <selection activeCell="L2" sqref="L2:L32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4.42578125" customWidth="1"/>
    <col min="8" max="8" width="14.28515625" customWidth="1"/>
    <col min="9" max="9" width="11.28515625" customWidth="1"/>
    <col min="10" max="10" width="14" customWidth="1"/>
    <col min="11" max="11" width="18.5703125" customWidth="1"/>
    <col min="12" max="12" width="23.42578125" customWidth="1"/>
  </cols>
  <sheetData>
    <row r="1" spans="1:14" ht="30.75">
      <c r="A1" s="91" t="s">
        <v>0</v>
      </c>
      <c r="B1" s="91" t="s">
        <v>1</v>
      </c>
      <c r="C1" s="92" t="s">
        <v>2</v>
      </c>
      <c r="D1" s="91" t="s">
        <v>3</v>
      </c>
      <c r="E1" s="93" t="s">
        <v>4</v>
      </c>
      <c r="F1" s="94" t="s">
        <v>5</v>
      </c>
      <c r="G1" s="93" t="s">
        <v>6</v>
      </c>
      <c r="H1" s="94" t="s">
        <v>7</v>
      </c>
      <c r="I1" s="93" t="s">
        <v>8</v>
      </c>
      <c r="J1" s="94" t="s">
        <v>9</v>
      </c>
      <c r="K1" s="93" t="s">
        <v>10</v>
      </c>
      <c r="L1" s="95" t="s">
        <v>11</v>
      </c>
      <c r="M1" s="93" t="s">
        <v>12</v>
      </c>
      <c r="N1" s="93" t="s">
        <v>13</v>
      </c>
    </row>
    <row r="2" spans="1:14" ht="15">
      <c r="A2" s="96" t="s">
        <v>14</v>
      </c>
      <c r="B2" s="97">
        <v>1</v>
      </c>
      <c r="C2" s="98">
        <v>1</v>
      </c>
      <c r="D2" s="97">
        <v>2022</v>
      </c>
      <c r="E2" s="99">
        <f>'Localize Daily Bali Jimbaran'!P7</f>
        <v>16180.000000000262</v>
      </c>
      <c r="F2" s="100">
        <f>'Localize Daily Bali Jimbaran'!O7/'Localize Daily Bali Jimbaran'!P7</f>
        <v>1128.6033003708251</v>
      </c>
      <c r="G2" s="99">
        <f>'Localize Daily Bali Jimbaran'!AC7</f>
        <v>207.26220000000001</v>
      </c>
      <c r="H2" s="100">
        <f>'Localize Daily Bali Jimbaran'!AD7/'Localize Daily Bali Jimbaran'!AC7</f>
        <v>8228.6083424763419</v>
      </c>
      <c r="I2" s="99">
        <f>'Localize Daily Bali Jimbaran'!AH7</f>
        <v>242.08000000000175</v>
      </c>
      <c r="J2" s="101">
        <f>'Localize Daily Bali Jimbaran'!AI7/'Localize Daily Bali Jimbaran'!AH7</f>
        <v>12000</v>
      </c>
      <c r="K2" s="99">
        <f>'Localize Daily Bali Jimbaran'!Q7</f>
        <v>791</v>
      </c>
      <c r="L2" s="100">
        <f>'Localize Daily Bali Jimbaran'!V7/'Localize Daily Bali Jimbaran'!Q7</f>
        <v>8397.6910745891291</v>
      </c>
      <c r="M2" s="99">
        <f>'Localize Daily Bali Jimbaran'!C7</f>
        <v>25</v>
      </c>
      <c r="N2" s="99">
        <v>82</v>
      </c>
    </row>
    <row r="3" spans="1:14" ht="15">
      <c r="A3" s="96" t="s">
        <v>14</v>
      </c>
      <c r="B3" s="97">
        <v>2</v>
      </c>
      <c r="C3" s="98">
        <v>1</v>
      </c>
      <c r="D3" s="97">
        <v>2022</v>
      </c>
      <c r="E3" s="99">
        <f>'Localize Daily Bali Jimbaran'!P8</f>
        <v>15360.000000000211</v>
      </c>
      <c r="F3" s="100">
        <f>'Localize Daily Bali Jimbaran'!O8/'Localize Daily Bali Jimbaran'!P8</f>
        <v>1126.1410156250001</v>
      </c>
      <c r="G3" s="99">
        <f>'Localize Daily Bali Jimbaran'!AC8</f>
        <v>116.24463999999998</v>
      </c>
      <c r="H3" s="100">
        <f>'Localize Daily Bali Jimbaran'!AD8/'Localize Daily Bali Jimbaran'!AC8</f>
        <v>29615.641302687163</v>
      </c>
      <c r="I3" s="99">
        <f>'Localize Daily Bali Jimbaran'!AH8</f>
        <v>370.97000000000116</v>
      </c>
      <c r="J3" s="101">
        <f>'Localize Daily Bali Jimbaran'!AI8/'Localize Daily Bali Jimbaran'!AH8</f>
        <v>12000</v>
      </c>
      <c r="K3" s="99">
        <f>'Localize Daily Bali Jimbaran'!Q8</f>
        <v>733</v>
      </c>
      <c r="L3" s="100">
        <f>'Localize Daily Bali Jimbaran'!V8/'Localize Daily Bali Jimbaran'!Q8</f>
        <v>8739.9572442019107</v>
      </c>
      <c r="M3" s="99">
        <f>'Localize Daily Bali Jimbaran'!C8</f>
        <v>15</v>
      </c>
      <c r="N3" s="99">
        <v>52</v>
      </c>
    </row>
    <row r="4" spans="1:14" ht="15">
      <c r="A4" s="96" t="s">
        <v>14</v>
      </c>
      <c r="B4" s="97">
        <v>3</v>
      </c>
      <c r="C4" s="98">
        <v>1</v>
      </c>
      <c r="D4" s="97">
        <v>2022</v>
      </c>
      <c r="E4" s="99">
        <f>'Localize Daily Bali Jimbaran'!P9</f>
        <v>14579.999999999556</v>
      </c>
      <c r="F4" s="100">
        <f>'Localize Daily Bali Jimbaran'!O9/'Localize Daily Bali Jimbaran'!P9</f>
        <v>1130.9751440329219</v>
      </c>
      <c r="G4" s="99">
        <f>'Localize Daily Bali Jimbaran'!AC9</f>
        <v>133.32335999997653</v>
      </c>
      <c r="H4" s="100">
        <f>'Localize Daily Bali Jimbaran'!AD9/'Localize Daily Bali Jimbaran'!AC9</f>
        <v>15652.247498113084</v>
      </c>
      <c r="I4" s="99">
        <f>'Localize Daily Bali Jimbaran'!AH9</f>
        <v>347.19999999999709</v>
      </c>
      <c r="J4" s="101">
        <f>'Localize Daily Bali Jimbaran'!AI9/'Localize Daily Bali Jimbaran'!AH9</f>
        <v>12000</v>
      </c>
      <c r="K4" s="99">
        <f>'Localize Daily Bali Jimbaran'!Q9</f>
        <v>772</v>
      </c>
      <c r="L4" s="100">
        <f>'Localize Daily Bali Jimbaran'!V9/'Localize Daily Bali Jimbaran'!Q9</f>
        <v>8521.5613471502602</v>
      </c>
      <c r="M4" s="99">
        <f>'Localize Daily Bali Jimbaran'!C9</f>
        <v>8</v>
      </c>
      <c r="N4" s="99">
        <v>38</v>
      </c>
    </row>
    <row r="5" spans="1:14" ht="15">
      <c r="A5" s="96" t="s">
        <v>14</v>
      </c>
      <c r="B5" s="97">
        <v>4</v>
      </c>
      <c r="C5" s="98">
        <v>1</v>
      </c>
      <c r="D5" s="97">
        <v>2022</v>
      </c>
      <c r="E5" s="99">
        <f>'Localize Daily Bali Jimbaran'!P10</f>
        <v>14220.000000000169</v>
      </c>
      <c r="F5" s="100">
        <f>'Localize Daily Bali Jimbaran'!O10/'Localize Daily Bali Jimbaran'!P10</f>
        <v>1137.0271308016909</v>
      </c>
      <c r="G5" s="99">
        <f>'Localize Daily Bali Jimbaran'!AC10</f>
        <v>129.73843999999994</v>
      </c>
      <c r="H5" s="100">
        <f>'Localize Daily Bali Jimbaran'!AD10/'Localize Daily Bali Jimbaran'!AC10</f>
        <v>15907.010548300103</v>
      </c>
      <c r="I5" s="99">
        <f>'Localize Daily Bali Jimbaran'!AH10</f>
        <v>281.7899999999936</v>
      </c>
      <c r="J5" s="101">
        <f>'Localize Daily Bali Jimbaran'!AI10/'Localize Daily Bali Jimbaran'!AH10</f>
        <v>12000</v>
      </c>
      <c r="K5" s="99">
        <f>'Localize Daily Bali Jimbaran'!Q10</f>
        <v>779</v>
      </c>
      <c r="L5" s="100">
        <f>'Localize Daily Bali Jimbaran'!V10/'Localize Daily Bali Jimbaran'!Q10</f>
        <v>8504.6854172015392</v>
      </c>
      <c r="M5" s="99">
        <f>'Localize Daily Bali Jimbaran'!C10</f>
        <v>8</v>
      </c>
      <c r="N5" s="99">
        <v>31</v>
      </c>
    </row>
    <row r="6" spans="1:14" ht="15">
      <c r="A6" s="96" t="s">
        <v>14</v>
      </c>
      <c r="B6" s="97">
        <v>5</v>
      </c>
      <c r="C6" s="98">
        <v>1</v>
      </c>
      <c r="D6" s="97">
        <v>2022</v>
      </c>
      <c r="E6" s="99">
        <f>'Localize Daily Bali Jimbaran'!P11</f>
        <v>14780.000000000287</v>
      </c>
      <c r="F6" s="100">
        <f>'Localize Daily Bali Jimbaran'!O11/'Localize Daily Bali Jimbaran'!P11</f>
        <v>1135.2933694181268</v>
      </c>
      <c r="G6" s="99">
        <f>'Localize Daily Bali Jimbaran'!AC11</f>
        <v>106.61772000000002</v>
      </c>
      <c r="H6" s="100">
        <f>'Localize Daily Bali Jimbaran'!AD11/'Localize Daily Bali Jimbaran'!AC11</f>
        <v>15899.856579187774</v>
      </c>
      <c r="I6" s="99">
        <f>'Localize Daily Bali Jimbaran'!AH11</f>
        <v>716.51000000000931</v>
      </c>
      <c r="J6" s="101">
        <f>'Localize Daily Bali Jimbaran'!AI11/'Localize Daily Bali Jimbaran'!AH11</f>
        <v>12000</v>
      </c>
      <c r="K6" s="99">
        <f>'Localize Daily Bali Jimbaran'!Q11</f>
        <v>790</v>
      </c>
      <c r="L6" s="100">
        <f>'Localize Daily Bali Jimbaran'!V11/'Localize Daily Bali Jimbaran'!Q11</f>
        <v>8419.0288354430377</v>
      </c>
      <c r="M6" s="99">
        <f>'Localize Daily Bali Jimbaran'!C11</f>
        <v>12</v>
      </c>
      <c r="N6" s="99">
        <v>33</v>
      </c>
    </row>
    <row r="7" spans="1:14" ht="15">
      <c r="A7" s="96" t="s">
        <v>14</v>
      </c>
      <c r="B7" s="97">
        <v>6</v>
      </c>
      <c r="C7" s="98">
        <v>1</v>
      </c>
      <c r="D7" s="97">
        <v>2022</v>
      </c>
      <c r="E7" s="99">
        <f>'Localize Daily Bali Jimbaran'!P12</f>
        <v>15020.00000000018</v>
      </c>
      <c r="F7" s="100">
        <f>'Localize Daily Bali Jimbaran'!O12/'Localize Daily Bali Jimbaran'!P12</f>
        <v>1120.6008655126491</v>
      </c>
      <c r="G7" s="99">
        <f>'Localize Daily Bali Jimbaran'!AC12</f>
        <v>191.55643999999995</v>
      </c>
      <c r="H7" s="100">
        <f>'Localize Daily Bali Jimbaran'!AD12/'Localize Daily Bali Jimbaran'!AC12</f>
        <v>7618.6927132285373</v>
      </c>
      <c r="I7" s="99">
        <f>'Localize Daily Bali Jimbaran'!AH12</f>
        <v>337.72000000000116</v>
      </c>
      <c r="J7" s="101">
        <f>'Localize Daily Bali Jimbaran'!AI12/'Localize Daily Bali Jimbaran'!AH12</f>
        <v>12000</v>
      </c>
      <c r="K7" s="99">
        <f>'Localize Daily Bali Jimbaran'!Q12</f>
        <v>790</v>
      </c>
      <c r="L7" s="100">
        <f>'Localize Daily Bali Jimbaran'!V12/'Localize Daily Bali Jimbaran'!Q12</f>
        <v>8419.0288354430377</v>
      </c>
      <c r="M7" s="99">
        <f>'Localize Daily Bali Jimbaran'!C12</f>
        <v>8</v>
      </c>
      <c r="N7" s="99">
        <v>21</v>
      </c>
    </row>
    <row r="8" spans="1:14" ht="15">
      <c r="A8" s="96" t="s">
        <v>14</v>
      </c>
      <c r="B8" s="97">
        <v>7</v>
      </c>
      <c r="C8" s="98">
        <v>1</v>
      </c>
      <c r="D8" s="97">
        <v>2022</v>
      </c>
      <c r="E8" s="99">
        <f>'Localize Daily Bali Jimbaran'!P13</f>
        <v>14459.999999999751</v>
      </c>
      <c r="F8" s="100">
        <f>'Localize Daily Bali Jimbaran'!O13/'Localize Daily Bali Jimbaran'!P13</f>
        <v>1133.1977593361044</v>
      </c>
      <c r="G8" s="99">
        <f>'Localize Daily Bali Jimbaran'!AC13</f>
        <v>107.06423999999993</v>
      </c>
      <c r="H8" s="100">
        <f>'Localize Daily Bali Jimbaran'!AD13/'Localize Daily Bali Jimbaran'!AC13</f>
        <v>30828.257741333626</v>
      </c>
      <c r="I8" s="99">
        <f>'Localize Daily Bali Jimbaran'!AH13</f>
        <v>139.20000000001164</v>
      </c>
      <c r="J8" s="101">
        <f>'Localize Daily Bali Jimbaran'!AI13/'Localize Daily Bali Jimbaran'!AH13</f>
        <v>12000</v>
      </c>
      <c r="K8" s="99">
        <f>'Localize Daily Bali Jimbaran'!Q13</f>
        <v>795</v>
      </c>
      <c r="L8" s="100">
        <f>'Localize Daily Bali Jimbaran'!V13/'Localize Daily Bali Jimbaran'!Q13</f>
        <v>8395.988905660377</v>
      </c>
      <c r="M8" s="99">
        <f>'Localize Daily Bali Jimbaran'!C13</f>
        <v>9</v>
      </c>
      <c r="N8" s="99">
        <v>32</v>
      </c>
    </row>
    <row r="9" spans="1:14" ht="15">
      <c r="A9" s="96" t="s">
        <v>14</v>
      </c>
      <c r="B9" s="97">
        <v>8</v>
      </c>
      <c r="C9" s="98">
        <v>1</v>
      </c>
      <c r="D9" s="97">
        <v>2022</v>
      </c>
      <c r="E9" s="99">
        <f>'Localize Daily Bali Jimbaran'!P14</f>
        <v>14279.999999999773</v>
      </c>
      <c r="F9" s="100">
        <f>'Localize Daily Bali Jimbaran'!O14/'Localize Daily Bali Jimbaran'!P14</f>
        <v>1124.2710084033617</v>
      </c>
      <c r="G9" s="99">
        <f>'Localize Daily Bali Jimbaran'!AC14</f>
        <v>98.440880000000135</v>
      </c>
      <c r="H9" s="100">
        <f>'Localize Daily Bali Jimbaran'!AD14/'Localize Daily Bali Jimbaran'!AC14</f>
        <v>15896.522127798939</v>
      </c>
      <c r="I9" s="99">
        <f>'Localize Daily Bali Jimbaran'!AH14</f>
        <v>237.75999999999476</v>
      </c>
      <c r="J9" s="101">
        <f>'Localize Daily Bali Jimbaran'!AI14/'Localize Daily Bali Jimbaran'!AH14</f>
        <v>12000</v>
      </c>
      <c r="K9" s="99">
        <f>'Localize Daily Bali Jimbaran'!Q14</f>
        <v>788</v>
      </c>
      <c r="L9" s="100">
        <f>'Localize Daily Bali Jimbaran'!V14/'Localize Daily Bali Jimbaran'!Q14</f>
        <v>8445.0967512690349</v>
      </c>
      <c r="M9" s="99">
        <f>'Localize Daily Bali Jimbaran'!C14</f>
        <v>9</v>
      </c>
      <c r="N9" s="99">
        <v>33</v>
      </c>
    </row>
    <row r="10" spans="1:14" ht="15">
      <c r="A10" s="96" t="s">
        <v>14</v>
      </c>
      <c r="B10" s="97">
        <v>9</v>
      </c>
      <c r="C10" s="98">
        <v>1</v>
      </c>
      <c r="D10" s="97">
        <v>2022</v>
      </c>
      <c r="E10" s="99">
        <f>'Localize Daily Bali Jimbaran'!P15</f>
        <v>13800.00000000004</v>
      </c>
      <c r="F10" s="100">
        <f>'Localize Daily Bali Jimbaran'!O15/'Localize Daily Bali Jimbaran'!P15</f>
        <v>1126.5983913043492</v>
      </c>
      <c r="G10" s="99">
        <f>'Localize Daily Bali Jimbaran'!AC15</f>
        <v>107.74555999999991</v>
      </c>
      <c r="H10" s="100">
        <f>'Localize Daily Bali Jimbaran'!AD15/'Localize Daily Bali Jimbaran'!AC15</f>
        <v>15900.276785419279</v>
      </c>
      <c r="I10" s="99">
        <f>'Localize Daily Bali Jimbaran'!AH15</f>
        <v>326.52999999999884</v>
      </c>
      <c r="J10" s="101">
        <f>'Localize Daily Bali Jimbaran'!AI15/'Localize Daily Bali Jimbaran'!AH15</f>
        <v>12000</v>
      </c>
      <c r="K10" s="99">
        <f>'Localize Daily Bali Jimbaran'!Q15</f>
        <v>790</v>
      </c>
      <c r="L10" s="100">
        <f>'Localize Daily Bali Jimbaran'!V15/'Localize Daily Bali Jimbaran'!Q15</f>
        <v>8452.4840759493673</v>
      </c>
      <c r="M10" s="99">
        <f>'Localize Daily Bali Jimbaran'!C15</f>
        <v>4</v>
      </c>
      <c r="N10" s="99">
        <v>16</v>
      </c>
    </row>
    <row r="11" spans="1:14" ht="15">
      <c r="A11" s="96" t="s">
        <v>14</v>
      </c>
      <c r="B11" s="97">
        <v>10</v>
      </c>
      <c r="C11" s="98">
        <v>1</v>
      </c>
      <c r="D11" s="97">
        <v>2022</v>
      </c>
      <c r="E11" s="99">
        <f>'Localize Daily Bali Jimbaran'!P16</f>
        <v>13659.999999999911</v>
      </c>
      <c r="F11" s="100">
        <f>'Localize Daily Bali Jimbaran'!O16/'Localize Daily Bali Jimbaran'!P16</f>
        <v>1126.012664714493</v>
      </c>
      <c r="G11" s="99">
        <f>'Localize Daily Bali Jimbaran'!AC16</f>
        <v>95.379600000011848</v>
      </c>
      <c r="H11" s="100">
        <f>'Localize Daily Bali Jimbaran'!AD16/'Localize Daily Bali Jimbaran'!AC16</f>
        <v>15875.27376084595</v>
      </c>
      <c r="I11" s="99">
        <f>'Localize Daily Bali Jimbaran'!AH16</f>
        <v>331.76000000000931</v>
      </c>
      <c r="J11" s="101">
        <f>'Localize Daily Bali Jimbaran'!AI16/'Localize Daily Bali Jimbaran'!AH16</f>
        <v>12000</v>
      </c>
      <c r="K11" s="99">
        <f>'Localize Daily Bali Jimbaran'!Q16</f>
        <v>776</v>
      </c>
      <c r="L11" s="100">
        <f>'Localize Daily Bali Jimbaran'!V16/'Localize Daily Bali Jimbaran'!Q16</f>
        <v>8519.1789948453606</v>
      </c>
      <c r="M11" s="99">
        <f>'Localize Daily Bali Jimbaran'!C16</f>
        <v>4</v>
      </c>
      <c r="N11" s="99">
        <v>16</v>
      </c>
    </row>
    <row r="12" spans="1:14" ht="15">
      <c r="A12" s="96" t="s">
        <v>14</v>
      </c>
      <c r="B12" s="97">
        <v>11</v>
      </c>
      <c r="C12" s="98">
        <v>1</v>
      </c>
      <c r="D12" s="97">
        <v>2022</v>
      </c>
      <c r="E12" s="99">
        <f>'Localize Daily Bali Jimbaran'!P17</f>
        <v>12760.000000000531</v>
      </c>
      <c r="F12" s="100">
        <f>'Localize Daily Bali Jimbaran'!O17/'Localize Daily Bali Jimbaran'!P17</f>
        <v>1122.6361598746028</v>
      </c>
      <c r="G12" s="99">
        <f>'Localize Daily Bali Jimbaran'!AC17</f>
        <v>220.15179999999987</v>
      </c>
      <c r="H12" s="100">
        <f>'Localize Daily Bali Jimbaran'!AD17/'Localize Daily Bali Jimbaran'!AC17</f>
        <v>8680.1002399253557</v>
      </c>
      <c r="I12" s="99">
        <f>'Localize Daily Bali Jimbaran'!AH17</f>
        <v>265.94999999999709</v>
      </c>
      <c r="J12" s="101">
        <f>'Localize Daily Bali Jimbaran'!AI17/'Localize Daily Bali Jimbaran'!AH17</f>
        <v>12000</v>
      </c>
      <c r="K12" s="99">
        <f>'Localize Daily Bali Jimbaran'!Q17</f>
        <v>604</v>
      </c>
      <c r="L12" s="100">
        <f>'Localize Daily Bali Jimbaran'!V17/'Localize Daily Bali Jimbaran'!Q17</f>
        <v>5237.0145033112585</v>
      </c>
      <c r="M12" s="99">
        <f>'Localize Daily Bali Jimbaran'!C17</f>
        <v>5</v>
      </c>
      <c r="N12" s="99">
        <v>19</v>
      </c>
    </row>
    <row r="13" spans="1:14" ht="15">
      <c r="A13" s="96" t="s">
        <v>14</v>
      </c>
      <c r="B13" s="97">
        <v>12</v>
      </c>
      <c r="C13" s="98">
        <v>1</v>
      </c>
      <c r="D13" s="97">
        <v>2022</v>
      </c>
      <c r="E13" s="99">
        <f>'Localize Daily Bali Jimbaran'!P18</f>
        <v>13299.999999999329</v>
      </c>
      <c r="F13" s="100">
        <f>'Localize Daily Bali Jimbaran'!O18/'Localize Daily Bali Jimbaran'!P18</f>
        <v>1122.2247969924888</v>
      </c>
      <c r="G13" s="99">
        <f>'Localize Daily Bali Jimbaran'!AC18</f>
        <v>97.474160000000097</v>
      </c>
      <c r="H13" s="100">
        <f>'Localize Daily Bali Jimbaran'!AD18/'Localize Daily Bali Jimbaran'!AC18</f>
        <v>32249.142853859918</v>
      </c>
      <c r="I13" s="99">
        <f>'Localize Daily Bali Jimbaran'!AH18</f>
        <v>179.95999999999185</v>
      </c>
      <c r="J13" s="101">
        <f>'Localize Daily Bali Jimbaran'!AI18/'Localize Daily Bali Jimbaran'!AH18</f>
        <v>12000</v>
      </c>
      <c r="K13" s="99">
        <f>'Localize Daily Bali Jimbaran'!Q18</f>
        <v>818</v>
      </c>
      <c r="L13" s="100">
        <f>'Localize Daily Bali Jimbaran'!V18/'Localize Daily Bali Jimbaran'!Q18</f>
        <v>11573.105476772615</v>
      </c>
      <c r="M13" s="99">
        <f>'Localize Daily Bali Jimbaran'!C18</f>
        <v>3</v>
      </c>
      <c r="N13" s="99">
        <v>15</v>
      </c>
    </row>
    <row r="14" spans="1:14" ht="15">
      <c r="A14" s="96" t="s">
        <v>14</v>
      </c>
      <c r="B14" s="97">
        <v>13</v>
      </c>
      <c r="C14" s="98">
        <v>1</v>
      </c>
      <c r="D14" s="97">
        <v>2022</v>
      </c>
      <c r="E14" s="99">
        <f>'Localize Daily Bali Jimbaran'!P19</f>
        <v>14400.000000000346</v>
      </c>
      <c r="F14" s="100">
        <f>'Localize Daily Bali Jimbaran'!O19/'Localize Daily Bali Jimbaran'!P19</f>
        <v>1129.2879166666621</v>
      </c>
      <c r="G14" s="99">
        <f>'Localize Daily Bali Jimbaran'!AC19</f>
        <v>92.724560000028077</v>
      </c>
      <c r="H14" s="100">
        <f>'Localize Daily Bali Jimbaran'!AD19/'Localize Daily Bali Jimbaran'!AC19</f>
        <v>15935.235013031672</v>
      </c>
      <c r="I14" s="99">
        <f>'Localize Daily Bali Jimbaran'!AH19</f>
        <v>0</v>
      </c>
      <c r="J14" s="101" t="e">
        <f>'Localize Daily Bali Jimbaran'!AI19/'Localize Daily Bali Jimbaran'!AH19</f>
        <v>#DIV/0!</v>
      </c>
      <c r="K14" s="99">
        <f>'Localize Daily Bali Jimbaran'!Q19</f>
        <v>596</v>
      </c>
      <c r="L14" s="100">
        <f>'Localize Daily Bali Jimbaran'!V19/'Localize Daily Bali Jimbaran'!Q19</f>
        <v>9677.9787248322154</v>
      </c>
      <c r="M14" s="99">
        <f>'Localize Daily Bali Jimbaran'!C19</f>
        <v>2</v>
      </c>
      <c r="N14" s="99">
        <v>10</v>
      </c>
    </row>
    <row r="15" spans="1:14" ht="15">
      <c r="A15" s="96" t="s">
        <v>14</v>
      </c>
      <c r="B15" s="97">
        <v>14</v>
      </c>
      <c r="C15" s="98">
        <v>1</v>
      </c>
      <c r="D15" s="97">
        <v>2022</v>
      </c>
      <c r="E15" s="99">
        <f>'Localize Daily Bali Jimbaran'!P20</f>
        <v>16700.000000000273</v>
      </c>
      <c r="F15" s="100">
        <f>'Localize Daily Bali Jimbaran'!O20/'Localize Daily Bali Jimbaran'!P20</f>
        <v>1143.6995928143701</v>
      </c>
      <c r="G15" s="99">
        <f>'Localize Daily Bali Jimbaran'!AC20</f>
        <v>95.822680000000005</v>
      </c>
      <c r="H15" s="100">
        <f>'Localize Daily Bali Jimbaran'!AD20/'Localize Daily Bali Jimbaran'!AC20</f>
        <v>15895.33416514754</v>
      </c>
      <c r="I15" s="99">
        <f>'Localize Daily Bali Jimbaran'!AH20</f>
        <v>547.6200000000099</v>
      </c>
      <c r="J15" s="101">
        <f>'Localize Daily Bali Jimbaran'!AI20/'Localize Daily Bali Jimbaran'!AH20</f>
        <v>12000</v>
      </c>
      <c r="K15" s="99">
        <f>'Localize Daily Bali Jimbaran'!Q20</f>
        <v>700</v>
      </c>
      <c r="L15" s="100">
        <f>'Localize Daily Bali Jimbaran'!V20/'Localize Daily Bali Jimbaran'!Q20</f>
        <v>8134.8982571428578</v>
      </c>
      <c r="M15" s="99">
        <f>'Localize Daily Bali Jimbaran'!C20</f>
        <v>31</v>
      </c>
      <c r="N15" s="99">
        <v>68</v>
      </c>
    </row>
    <row r="16" spans="1:14" ht="15">
      <c r="A16" s="96" t="s">
        <v>14</v>
      </c>
      <c r="B16" s="97">
        <v>15</v>
      </c>
      <c r="C16" s="98">
        <v>1</v>
      </c>
      <c r="D16" s="97">
        <v>2022</v>
      </c>
      <c r="E16" s="99">
        <f>'Localize Daily Bali Jimbaran'!P21</f>
        <v>15799.999999999927</v>
      </c>
      <c r="F16" s="100">
        <f>'Localize Daily Bali Jimbaran'!O21/'Localize Daily Bali Jimbaran'!P21</f>
        <v>1109.8579367088598</v>
      </c>
      <c r="G16" s="99">
        <f>'Localize Daily Bali Jimbaran'!AC21</f>
        <v>98.440879999999908</v>
      </c>
      <c r="H16" s="100">
        <f>'Localize Daily Bali Jimbaran'!AD21/'Localize Daily Bali Jimbaran'!AC21</f>
        <v>15896.522127798939</v>
      </c>
      <c r="I16" s="99">
        <f>'Localize Daily Bali Jimbaran'!AH21</f>
        <v>171.79999999998836</v>
      </c>
      <c r="J16" s="101">
        <f>'Localize Daily Bali Jimbaran'!AI21/'Localize Daily Bali Jimbaran'!AH21</f>
        <v>12000</v>
      </c>
      <c r="K16" s="99">
        <f>'Localize Daily Bali Jimbaran'!Q21</f>
        <v>694</v>
      </c>
      <c r="L16" s="100">
        <f>'Localize Daily Bali Jimbaran'!V21/'Localize Daily Bali Jimbaran'!Q21</f>
        <v>9078.1067146974074</v>
      </c>
      <c r="M16" s="99">
        <f>'Localize Daily Bali Jimbaran'!C21</f>
        <v>1</v>
      </c>
      <c r="N16" s="99">
        <v>3</v>
      </c>
    </row>
    <row r="17" spans="1:14" ht="15">
      <c r="A17" s="96" t="s">
        <v>14</v>
      </c>
      <c r="B17" s="97">
        <v>16</v>
      </c>
      <c r="C17" s="98">
        <v>1</v>
      </c>
      <c r="D17" s="97">
        <v>2022</v>
      </c>
      <c r="E17" s="99">
        <f>'Localize Daily Bali Jimbaran'!P22</f>
        <v>13419.999999999363</v>
      </c>
      <c r="F17" s="100">
        <f>'Localize Daily Bali Jimbaran'!O22/'Localize Daily Bali Jimbaran'!P22</f>
        <v>1124.5390909090966</v>
      </c>
      <c r="G17" s="99">
        <f>'Localize Daily Bali Jimbaran'!AC22</f>
        <v>211.37076000000005</v>
      </c>
      <c r="H17" s="100">
        <f>'Localize Daily Bali Jimbaran'!AD22/'Localize Daily Bali Jimbaran'!AC22</f>
        <v>8378.5000082319821</v>
      </c>
      <c r="I17" s="99">
        <f>'Localize Daily Bali Jimbaran'!AH22</f>
        <v>246.80000000000291</v>
      </c>
      <c r="J17" s="101">
        <f>'Localize Daily Bali Jimbaran'!AI22/'Localize Daily Bali Jimbaran'!AH22</f>
        <v>12000</v>
      </c>
      <c r="K17" s="99">
        <f>'Localize Daily Bali Jimbaran'!Q22</f>
        <v>804</v>
      </c>
      <c r="L17" s="100">
        <f>'Localize Daily Bali Jimbaran'!V22/'Localize Daily Bali Jimbaran'!Q22</f>
        <v>8568.9116417910445</v>
      </c>
      <c r="M17" s="99" t="str">
        <f>'Localize Daily Bali Jimbaran'!C22</f>
        <v xml:space="preserve"> -   </v>
      </c>
      <c r="N17" s="99">
        <v>2</v>
      </c>
    </row>
    <row r="18" spans="1:14" ht="15">
      <c r="A18" s="96" t="s">
        <v>14</v>
      </c>
      <c r="B18" s="97">
        <v>17</v>
      </c>
      <c r="C18" s="98">
        <v>1</v>
      </c>
      <c r="D18" s="97">
        <v>2022</v>
      </c>
      <c r="E18" s="99">
        <f>'Localize Daily Bali Jimbaran'!P23</f>
        <v>13260.000000000331</v>
      </c>
      <c r="F18" s="100">
        <f>'Localize Daily Bali Jimbaran'!O23/'Localize Daily Bali Jimbaran'!P23</f>
        <v>1129.5157466063315</v>
      </c>
      <c r="G18" s="99">
        <f>'Localize Daily Bali Jimbaran'!AC23</f>
        <v>93.446159999999878</v>
      </c>
      <c r="H18" s="100">
        <f>'Localize Daily Bali Jimbaran'!AD23/'Localize Daily Bali Jimbaran'!AC23</f>
        <v>32952.149027846644</v>
      </c>
      <c r="I18" s="99">
        <f>'Localize Daily Bali Jimbaran'!AH23</f>
        <v>268.19999999999709</v>
      </c>
      <c r="J18" s="101">
        <f>'Localize Daily Bali Jimbaran'!AI23/'Localize Daily Bali Jimbaran'!AH23</f>
        <v>12000</v>
      </c>
      <c r="K18" s="99">
        <f>'Localize Daily Bali Jimbaran'!Q23</f>
        <v>744</v>
      </c>
      <c r="L18" s="100">
        <f>'Localize Daily Bali Jimbaran'!V23/'Localize Daily Bali Jimbaran'!Q23</f>
        <v>8574.4787903225824</v>
      </c>
      <c r="M18" s="99" t="str">
        <f>'Localize Daily Bali Jimbaran'!C23</f>
        <v xml:space="preserve"> -   </v>
      </c>
      <c r="N18" s="99">
        <v>2</v>
      </c>
    </row>
    <row r="19" spans="1:14" ht="15">
      <c r="A19" s="96" t="s">
        <v>14</v>
      </c>
      <c r="B19" s="97">
        <v>18</v>
      </c>
      <c r="C19" s="98">
        <v>1</v>
      </c>
      <c r="D19" s="97">
        <v>2022</v>
      </c>
      <c r="E19" s="99">
        <f>'Localize Daily Bali Jimbaran'!P24</f>
        <v>12499.999999999802</v>
      </c>
      <c r="F19" s="100">
        <f>'Localize Daily Bali Jimbaran'!O24/'Localize Daily Bali Jimbaran'!P24</f>
        <v>1122.7855200000035</v>
      </c>
      <c r="G19" s="99">
        <f>'Localize Daily Bali Jimbaran'!AC24</f>
        <v>108.37392799999994</v>
      </c>
      <c r="H19" s="100">
        <f>'Localize Daily Bali Jimbaran'!AD24/'Localize Daily Bali Jimbaran'!AC24</f>
        <v>15900.507106469371</v>
      </c>
      <c r="I19" s="99">
        <f>'Localize Daily Bali Jimbaran'!AH24</f>
        <v>235.9600000000064</v>
      </c>
      <c r="J19" s="101">
        <f>'Localize Daily Bali Jimbaran'!AI24/'Localize Daily Bali Jimbaran'!AH24</f>
        <v>12000</v>
      </c>
      <c r="K19" s="99">
        <f>'Localize Daily Bali Jimbaran'!Q24</f>
        <v>779</v>
      </c>
      <c r="L19" s="100">
        <f>'Localize Daily Bali Jimbaran'!V24/'Localize Daily Bali Jimbaran'!Q24</f>
        <v>8352.0109884467274</v>
      </c>
      <c r="M19" s="99" t="str">
        <f>'Localize Daily Bali Jimbaran'!C24</f>
        <v xml:space="preserve"> -   </v>
      </c>
      <c r="N19" s="99">
        <v>4</v>
      </c>
    </row>
    <row r="20" spans="1:14" ht="15">
      <c r="A20" s="96" t="s">
        <v>14</v>
      </c>
      <c r="B20" s="97">
        <v>19</v>
      </c>
      <c r="C20" s="98">
        <v>1</v>
      </c>
      <c r="D20" s="97">
        <v>2022</v>
      </c>
      <c r="E20" s="99">
        <f>'Localize Daily Bali Jimbaran'!P25</f>
        <v>13380.000000000109</v>
      </c>
      <c r="F20" s="100">
        <f>'Localize Daily Bali Jimbaran'!O25/'Localize Daily Bali Jimbaran'!P25</f>
        <v>1127.1268161434975</v>
      </c>
      <c r="G20" s="99">
        <f>'Localize Daily Bali Jimbaran'!AC25</f>
        <v>104.45871200000025</v>
      </c>
      <c r="H20" s="100">
        <f>'Localize Daily Bali Jimbaran'!AD25/'Localize Daily Bali Jimbaran'!AC25</f>
        <v>15899.026873699151</v>
      </c>
      <c r="I20" s="99">
        <f>'Localize Daily Bali Jimbaran'!AH25</f>
        <v>212.88999999999942</v>
      </c>
      <c r="J20" s="101">
        <f>'Localize Daily Bali Jimbaran'!AI25/'Localize Daily Bali Jimbaran'!AH25</f>
        <v>12000</v>
      </c>
      <c r="K20" s="99">
        <f>'Localize Daily Bali Jimbaran'!Q25</f>
        <v>815</v>
      </c>
      <c r="L20" s="100">
        <f>'Localize Daily Bali Jimbaran'!V25/'Localize Daily Bali Jimbaran'!Q25</f>
        <v>9490.3148957055218</v>
      </c>
      <c r="M20" s="99">
        <f>'Localize Daily Bali Jimbaran'!C25</f>
        <v>3</v>
      </c>
      <c r="N20" s="99">
        <v>14</v>
      </c>
    </row>
    <row r="21" spans="1:14" ht="15">
      <c r="A21" s="96" t="s">
        <v>14</v>
      </c>
      <c r="B21" s="97">
        <v>20</v>
      </c>
      <c r="C21" s="98">
        <v>1</v>
      </c>
      <c r="D21" s="97">
        <v>2022</v>
      </c>
      <c r="E21" s="99">
        <f>'Localize Daily Bali Jimbaran'!P26</f>
        <v>13340.000000000458</v>
      </c>
      <c r="F21" s="100">
        <f>'Localize Daily Bali Jimbaran'!O26/'Localize Daily Bali Jimbaran'!P26</f>
        <v>1121.9655922038951</v>
      </c>
      <c r="G21" s="99">
        <f>'Localize Daily Bali Jimbaran'!AC26</f>
        <v>117.61072000000003</v>
      </c>
      <c r="H21" s="100">
        <f>'Localize Daily Bali Jimbaran'!AD26/'Localize Daily Bali Jimbaran'!AC26</f>
        <v>15867.217518947253</v>
      </c>
      <c r="I21" s="99">
        <f>'Localize Daily Bali Jimbaran'!AH26</f>
        <v>100.43000000000757</v>
      </c>
      <c r="J21" s="101">
        <f>'Localize Daily Bali Jimbaran'!AI26/'Localize Daily Bali Jimbaran'!AH26</f>
        <v>12000</v>
      </c>
      <c r="K21" s="99">
        <f>'Localize Daily Bali Jimbaran'!Q26</f>
        <v>768</v>
      </c>
      <c r="L21" s="100">
        <f>'Localize Daily Bali Jimbaran'!V26/'Localize Daily Bali Jimbaran'!Q26</f>
        <v>8541.1753125000014</v>
      </c>
      <c r="M21" s="99">
        <f>'Localize Daily Bali Jimbaran'!C26</f>
        <v>3</v>
      </c>
      <c r="N21" s="99">
        <v>12</v>
      </c>
    </row>
    <row r="22" spans="1:14" ht="15">
      <c r="A22" s="96" t="s">
        <v>14</v>
      </c>
      <c r="B22" s="97">
        <v>21</v>
      </c>
      <c r="C22" s="98">
        <v>1</v>
      </c>
      <c r="D22" s="97">
        <v>2022</v>
      </c>
      <c r="E22" s="99">
        <f>'Localize Daily Bali Jimbaran'!P27</f>
        <v>13299.999999999585</v>
      </c>
      <c r="F22" s="100">
        <f>'Localize Daily Bali Jimbaran'!O27/'Localize Daily Bali Jimbaran'!P27</f>
        <v>1127.6762706766942</v>
      </c>
      <c r="G22" s="99">
        <f>'Localize Daily Bali Jimbaran'!AC27</f>
        <v>90.227199999999897</v>
      </c>
      <c r="H22" s="100">
        <f>'Localize Daily Bali Jimbaran'!AD27/'Localize Daily Bali Jimbaran'!AC27</f>
        <v>15940</v>
      </c>
      <c r="I22" s="99">
        <f>'Localize Daily Bali Jimbaran'!AH27</f>
        <v>332.66000000000349</v>
      </c>
      <c r="J22" s="101">
        <f>'Localize Daily Bali Jimbaran'!AI27/'Localize Daily Bali Jimbaran'!AH27</f>
        <v>12000</v>
      </c>
      <c r="K22" s="99">
        <f>'Localize Daily Bali Jimbaran'!Q27</f>
        <v>782</v>
      </c>
      <c r="L22" s="100">
        <f>'Localize Daily Bali Jimbaran'!V27/'Localize Daily Bali Jimbaran'!Q27</f>
        <v>8456.5055498721231</v>
      </c>
      <c r="M22" s="99">
        <f>'Localize Daily Bali Jimbaran'!C27</f>
        <v>3</v>
      </c>
      <c r="N22" s="99">
        <v>9</v>
      </c>
    </row>
    <row r="23" spans="1:14" ht="15">
      <c r="A23" s="96" t="s">
        <v>14</v>
      </c>
      <c r="B23" s="97">
        <v>22</v>
      </c>
      <c r="C23" s="98">
        <v>1</v>
      </c>
      <c r="D23" s="97">
        <v>2022</v>
      </c>
      <c r="E23" s="99">
        <f>'Localize Daily Bali Jimbaran'!P28</f>
        <v>13899.999999999834</v>
      </c>
      <c r="F23" s="100">
        <f>'Localize Daily Bali Jimbaran'!O28/'Localize Daily Bali Jimbaran'!P28</f>
        <v>1122.219194244602</v>
      </c>
      <c r="G23" s="99">
        <f>'Localize Daily Bali Jimbaran'!AC28</f>
        <v>187.72639999999981</v>
      </c>
      <c r="H23" s="100">
        <f>'Localize Daily Bali Jimbaran'!AD28/'Localize Daily Bali Jimbaran'!AC28</f>
        <v>7426.1202260310665</v>
      </c>
      <c r="I23" s="99">
        <f>'Localize Daily Bali Jimbaran'!AH28</f>
        <v>135.92999999999302</v>
      </c>
      <c r="J23" s="101">
        <f>'Localize Daily Bali Jimbaran'!AI28/'Localize Daily Bali Jimbaran'!AH28</f>
        <v>12000</v>
      </c>
      <c r="K23" s="99">
        <f>'Localize Daily Bali Jimbaran'!Q28</f>
        <v>727</v>
      </c>
      <c r="L23" s="100">
        <f>'Localize Daily Bali Jimbaran'!V28/'Localize Daily Bali Jimbaran'!Q28</f>
        <v>9281.8012929848701</v>
      </c>
      <c r="M23" s="99">
        <f>'Localize Daily Bali Jimbaran'!C28</f>
        <v>6</v>
      </c>
      <c r="N23" s="99">
        <v>17</v>
      </c>
    </row>
    <row r="24" spans="1:14" ht="15">
      <c r="A24" s="96" t="s">
        <v>14</v>
      </c>
      <c r="B24" s="97">
        <v>23</v>
      </c>
      <c r="C24" s="98">
        <v>1</v>
      </c>
      <c r="D24" s="97">
        <v>2022</v>
      </c>
      <c r="E24" s="99">
        <f>'Localize Daily Bali Jimbaran'!P29</f>
        <v>13880.00000000008</v>
      </c>
      <c r="F24" s="100">
        <f>'Localize Daily Bali Jimbaran'!O29/'Localize Daily Bali Jimbaran'!P29</f>
        <v>1128.3136599423665</v>
      </c>
      <c r="G24" s="99">
        <f>'Localize Daily Bali Jimbaran'!AC29</f>
        <v>105.89268000000023</v>
      </c>
      <c r="H24" s="100">
        <f>'Localize Daily Bali Jimbaran'!AD29/'Localize Daily Bali Jimbaran'!AC29</f>
        <v>30952.557997398842</v>
      </c>
      <c r="I24" s="99">
        <f>'Localize Daily Bali Jimbaran'!AH29</f>
        <v>73.910000000003492</v>
      </c>
      <c r="J24" s="101">
        <f>'Localize Daily Bali Jimbaran'!AI29/'Localize Daily Bali Jimbaran'!AH29</f>
        <v>12000</v>
      </c>
      <c r="K24" s="99">
        <f>'Localize Daily Bali Jimbaran'!Q29</f>
        <v>745</v>
      </c>
      <c r="L24" s="100">
        <f>'Localize Daily Bali Jimbaran'!V29/'Localize Daily Bali Jimbaran'!Q29</f>
        <v>8161.3785771812081</v>
      </c>
      <c r="M24" s="99">
        <f>'Localize Daily Bali Jimbaran'!C29</f>
        <v>5</v>
      </c>
      <c r="N24" s="99">
        <v>16</v>
      </c>
    </row>
    <row r="25" spans="1:14" ht="15">
      <c r="A25" s="96" t="s">
        <v>14</v>
      </c>
      <c r="B25" s="97">
        <v>24</v>
      </c>
      <c r="C25" s="98">
        <v>1</v>
      </c>
      <c r="D25" s="97">
        <v>2022</v>
      </c>
      <c r="E25" s="99">
        <f>'Localize Daily Bali Jimbaran'!P30</f>
        <v>13639.999999999902</v>
      </c>
      <c r="F25" s="100">
        <f>'Localize Daily Bali Jimbaran'!O30/'Localize Daily Bali Jimbaran'!P30</f>
        <v>1126.1449706744838</v>
      </c>
      <c r="G25" s="99">
        <f>'Localize Daily Bali Jimbaran'!AC30</f>
        <v>100.37775999999982</v>
      </c>
      <c r="H25" s="100">
        <f>'Localize Daily Bali Jimbaran'!AD30/'Localize Daily Bali Jimbaran'!AC30</f>
        <v>15940</v>
      </c>
      <c r="I25" s="99">
        <f>'Localize Daily Bali Jimbaran'!AH30</f>
        <v>159.69999999999709</v>
      </c>
      <c r="J25" s="101">
        <f>'Localize Daily Bali Jimbaran'!AI30/'Localize Daily Bali Jimbaran'!AH30</f>
        <v>12000</v>
      </c>
      <c r="K25" s="99">
        <f>'Localize Daily Bali Jimbaran'!Q30</f>
        <v>780</v>
      </c>
      <c r="L25" s="100">
        <f>'Localize Daily Bali Jimbaran'!V30/'Localize Daily Bali Jimbaran'!Q30</f>
        <v>8482.9369230769244</v>
      </c>
      <c r="M25" s="99">
        <f>'Localize Daily Bali Jimbaran'!C30</f>
        <v>2</v>
      </c>
      <c r="N25" s="99">
        <v>7</v>
      </c>
    </row>
    <row r="26" spans="1:14" ht="15">
      <c r="A26" s="96" t="s">
        <v>14</v>
      </c>
      <c r="B26" s="97">
        <v>25</v>
      </c>
      <c r="C26" s="98">
        <v>1</v>
      </c>
      <c r="D26" s="97">
        <v>2022</v>
      </c>
      <c r="E26" s="99">
        <f>'Localize Daily Bali Jimbaran'!P31</f>
        <v>14340.000000000487</v>
      </c>
      <c r="F26" s="100">
        <f>'Localize Daily Bali Jimbaran'!O31/'Localize Daily Bali Jimbaran'!P31</f>
        <v>1127.5122594142256</v>
      </c>
      <c r="G26" s="99">
        <f>'Localize Daily Bali Jimbaran'!AC31</f>
        <v>94.614279999999951</v>
      </c>
      <c r="H26" s="100">
        <f>'Localize Daily Bali Jimbaran'!AD31/'Localize Daily Bali Jimbaran'!AC31</f>
        <v>15894.763699517664</v>
      </c>
      <c r="I26" s="99">
        <f>'Localize Daily Bali Jimbaran'!AH31</f>
        <v>97.570000000006985</v>
      </c>
      <c r="J26" s="101">
        <f>'Localize Daily Bali Jimbaran'!AI31/'Localize Daily Bali Jimbaran'!AH31</f>
        <v>12000</v>
      </c>
      <c r="K26" s="99">
        <f>'Localize Daily Bali Jimbaran'!Q31</f>
        <v>772</v>
      </c>
      <c r="L26" s="100">
        <f>'Localize Daily Bali Jimbaran'!V31/'Localize Daily Bali Jimbaran'!Q31</f>
        <v>8384.6202072538872</v>
      </c>
      <c r="M26" s="99">
        <f>'Localize Daily Bali Jimbaran'!C31</f>
        <v>3</v>
      </c>
      <c r="N26" s="99">
        <v>13</v>
      </c>
    </row>
    <row r="27" spans="1:14" ht="15">
      <c r="A27" s="96" t="s">
        <v>14</v>
      </c>
      <c r="B27" s="97">
        <v>26</v>
      </c>
      <c r="C27" s="98">
        <v>1</v>
      </c>
      <c r="D27" s="97">
        <v>2022</v>
      </c>
      <c r="E27" s="99">
        <f>'Localize Daily Bali Jimbaran'!P32</f>
        <v>14619.999999999975</v>
      </c>
      <c r="F27" s="100">
        <f>'Localize Daily Bali Jimbaran'!O32/'Localize Daily Bali Jimbaran'!P32</f>
        <v>1125.0469493844037</v>
      </c>
      <c r="G27" s="99">
        <f>'Localize Daily Bali Jimbaran'!AC32</f>
        <v>92.475999999999999</v>
      </c>
      <c r="H27" s="100">
        <f>'Localize Daily Bali Jimbaran'!AD32/'Localize Daily Bali Jimbaran'!AC32</f>
        <v>15847.435442709459</v>
      </c>
      <c r="I27" s="99">
        <f>'Localize Daily Bali Jimbaran'!AH32</f>
        <v>489.38000000000466</v>
      </c>
      <c r="J27" s="101">
        <f>'Localize Daily Bali Jimbaran'!AI32/'Localize Daily Bali Jimbaran'!AH32</f>
        <v>12000</v>
      </c>
      <c r="K27" s="99">
        <f>'Localize Daily Bali Jimbaran'!Q32</f>
        <v>615</v>
      </c>
      <c r="L27" s="100">
        <f>'Localize Daily Bali Jimbaran'!V32/'Localize Daily Bali Jimbaran'!Q32</f>
        <v>7763.9317073170732</v>
      </c>
      <c r="M27" s="99">
        <f>'Localize Daily Bali Jimbaran'!C32</f>
        <v>4</v>
      </c>
      <c r="N27" s="99">
        <v>11</v>
      </c>
    </row>
    <row r="28" spans="1:14" ht="15">
      <c r="A28" s="96" t="s">
        <v>14</v>
      </c>
      <c r="B28" s="97">
        <v>27</v>
      </c>
      <c r="C28" s="98">
        <v>1</v>
      </c>
      <c r="D28" s="97">
        <v>2022</v>
      </c>
      <c r="E28" s="99">
        <f>'Localize Daily Bali Jimbaran'!P33</f>
        <v>13740.000000000095</v>
      </c>
      <c r="F28" s="100">
        <f>'Localize Daily Bali Jimbaran'!O33/'Localize Daily Bali Jimbaran'!P33</f>
        <v>1126.99497816594</v>
      </c>
      <c r="G28" s="99">
        <f>'Localize Daily Bali Jimbaran'!AC33</f>
        <v>75.565279999999959</v>
      </c>
      <c r="H28" s="100">
        <f>'Localize Daily Bali Jimbaran'!AD33/'Localize Daily Bali Jimbaran'!AC33</f>
        <v>15940</v>
      </c>
      <c r="I28" s="99">
        <f>'Localize Daily Bali Jimbaran'!AH33</f>
        <v>98.25</v>
      </c>
      <c r="J28" s="101">
        <f>'Localize Daily Bali Jimbaran'!AI33/'Localize Daily Bali Jimbaran'!AH33</f>
        <v>12000</v>
      </c>
      <c r="K28" s="99">
        <f>'Localize Daily Bali Jimbaran'!Q33</f>
        <v>762</v>
      </c>
      <c r="L28" s="100">
        <f>'Localize Daily Bali Jimbaran'!V33/'Localize Daily Bali Jimbaran'!Q33</f>
        <v>8536.29779527559</v>
      </c>
      <c r="M28" s="99">
        <f>'Localize Daily Bali Jimbaran'!C33</f>
        <v>7</v>
      </c>
      <c r="N28" s="99">
        <v>16</v>
      </c>
    </row>
    <row r="29" spans="1:14" ht="15">
      <c r="A29" s="96" t="s">
        <v>14</v>
      </c>
      <c r="B29" s="97">
        <v>28</v>
      </c>
      <c r="C29" s="98">
        <v>1</v>
      </c>
      <c r="D29" s="97">
        <v>2022</v>
      </c>
      <c r="E29" s="99">
        <f>'Localize Daily Bali Jimbaran'!P34</f>
        <v>13780.000000000058</v>
      </c>
      <c r="F29" s="100">
        <f>'Localize Daily Bali Jimbaran'!O34/'Localize Daily Bali Jimbaran'!P34</f>
        <v>1127.4818577648773</v>
      </c>
      <c r="G29" s="99">
        <f>'Localize Daily Bali Jimbaran'!AC34</f>
        <v>190.86824000000016</v>
      </c>
      <c r="H29" s="100">
        <f>'Localize Daily Bali Jimbaran'!AD34/'Localize Daily Bali Jimbaran'!AC34</f>
        <v>7566.2653231360091</v>
      </c>
      <c r="I29" s="99">
        <f>'Localize Daily Bali Jimbaran'!AH34</f>
        <v>259.09999999999127</v>
      </c>
      <c r="J29" s="101">
        <f>'Localize Daily Bali Jimbaran'!AI34/'Localize Daily Bali Jimbaran'!AH34</f>
        <v>12000</v>
      </c>
      <c r="K29" s="99">
        <f>'Localize Daily Bali Jimbaran'!Q34</f>
        <v>801</v>
      </c>
      <c r="L29" s="100">
        <f>'Localize Daily Bali Jimbaran'!V34/'Localize Daily Bali Jimbaran'!Q34</f>
        <v>8385.218576779027</v>
      </c>
      <c r="M29" s="99">
        <f>'Localize Daily Bali Jimbaran'!C34</f>
        <v>5</v>
      </c>
      <c r="N29" s="99">
        <v>12</v>
      </c>
    </row>
    <row r="30" spans="1:14" ht="15">
      <c r="A30" s="96" t="s">
        <v>14</v>
      </c>
      <c r="B30" s="97">
        <v>29</v>
      </c>
      <c r="C30" s="98">
        <v>1</v>
      </c>
      <c r="D30" s="97">
        <v>2022</v>
      </c>
      <c r="E30" s="99">
        <f>'Localize Daily Bali Jimbaran'!P35</f>
        <v>14119.999999999378</v>
      </c>
      <c r="F30" s="100">
        <f>'Localize Daily Bali Jimbaran'!O35/'Localize Daily Bali Jimbaran'!P35</f>
        <v>1126.7408498583595</v>
      </c>
      <c r="G30" s="99">
        <f>'Localize Daily Bali Jimbaran'!AC35</f>
        <v>77.0521999999999</v>
      </c>
      <c r="H30" s="100">
        <f>'Localize Daily Bali Jimbaran'!AD35/'Localize Daily Bali Jimbaran'!AC35</f>
        <v>36571.727582080748</v>
      </c>
      <c r="I30" s="99">
        <f>'Localize Daily Bali Jimbaran'!AH35</f>
        <v>167</v>
      </c>
      <c r="J30" s="101">
        <f>'Localize Daily Bali Jimbaran'!AI35/'Localize Daily Bali Jimbaran'!AH35</f>
        <v>12000</v>
      </c>
      <c r="K30" s="99">
        <f>'Localize Daily Bali Jimbaran'!Q35</f>
        <v>789</v>
      </c>
      <c r="L30" s="100">
        <f>'Localize Daily Bali Jimbaran'!V35/'Localize Daily Bali Jimbaran'!Q35</f>
        <v>8440.4206844106466</v>
      </c>
      <c r="M30" s="99">
        <f>'Localize Daily Bali Jimbaran'!C35</f>
        <v>3</v>
      </c>
      <c r="N30" s="99">
        <v>8</v>
      </c>
    </row>
    <row r="31" spans="1:14" ht="15">
      <c r="A31" s="96" t="s">
        <v>14</v>
      </c>
      <c r="B31" s="97">
        <v>30</v>
      </c>
      <c r="C31" s="98">
        <v>1</v>
      </c>
      <c r="D31" s="97">
        <v>2022</v>
      </c>
      <c r="E31" s="99">
        <f>'Localize Daily Bali Jimbaran'!P36</f>
        <v>13520.000000000126</v>
      </c>
      <c r="F31" s="100">
        <f>'Localize Daily Bali Jimbaran'!O36/'Localize Daily Bali Jimbaran'!P36</f>
        <v>1124.6486982248496</v>
      </c>
      <c r="G31" s="99">
        <f>'Localize Daily Bali Jimbaran'!AC36</f>
        <v>79.150199999999899</v>
      </c>
      <c r="H31" s="100">
        <f>'Localize Daily Bali Jimbaran'!AD36/'Localize Daily Bali Jimbaran'!AC36</f>
        <v>15940</v>
      </c>
      <c r="I31" s="99">
        <f>'Localize Daily Bali Jimbaran'!AH36</f>
        <v>156.27000000000407</v>
      </c>
      <c r="J31" s="101">
        <f>'Localize Daily Bali Jimbaran'!AI36/'Localize Daily Bali Jimbaran'!AH36</f>
        <v>12000</v>
      </c>
      <c r="K31" s="99">
        <f>'Localize Daily Bali Jimbaran'!Q36</f>
        <v>682</v>
      </c>
      <c r="L31" s="100">
        <f>'Localize Daily Bali Jimbaran'!V36/'Localize Daily Bali Jimbaran'!Q36</f>
        <v>9096.0314369501466</v>
      </c>
      <c r="M31" s="99">
        <f>'Localize Daily Bali Jimbaran'!C36</f>
        <v>3</v>
      </c>
      <c r="N31" s="99">
        <v>7</v>
      </c>
    </row>
    <row r="32" spans="1:14" ht="15">
      <c r="A32" s="96" t="s">
        <v>14</v>
      </c>
      <c r="B32" s="97">
        <v>31</v>
      </c>
      <c r="C32" s="98">
        <v>1</v>
      </c>
      <c r="D32" s="97">
        <v>2022</v>
      </c>
      <c r="E32" s="99">
        <f>'Localize Daily Bali Jimbaran'!P37</f>
        <v>13200.000000000215</v>
      </c>
      <c r="F32" s="100">
        <f>'Localize Daily Bali Jimbaran'!O37/'Localize Daily Bali Jimbaran'!P37</f>
        <v>1130.7264999999993</v>
      </c>
      <c r="G32" s="99">
        <f>'Localize Daily Bali Jimbaran'!AC37</f>
        <v>88.612559999999917</v>
      </c>
      <c r="H32" s="100">
        <f>'Localize Daily Bali Jimbaran'!AD37/'Localize Daily Bali Jimbaran'!AC37</f>
        <v>15891.699849321585</v>
      </c>
      <c r="I32" s="99">
        <f>'Localize Daily Bali Jimbaran'!AH37</f>
        <v>218.13999999999942</v>
      </c>
      <c r="J32" s="101">
        <f>'Localize Daily Bali Jimbaran'!AI37/'Localize Daily Bali Jimbaran'!AH37</f>
        <v>12000</v>
      </c>
      <c r="K32" s="99">
        <f>'Localize Daily Bali Jimbaran'!Q37</f>
        <v>703</v>
      </c>
      <c r="L32" s="100">
        <f>'Localize Daily Bali Jimbaran'!V37/'Localize Daily Bali Jimbaran'!Q37</f>
        <v>8909.9833001422467</v>
      </c>
      <c r="M32" s="99">
        <f>'Localize Daily Bali Jimbaran'!C37</f>
        <v>6</v>
      </c>
      <c r="N32" s="99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9BBF-E98F-47D3-9937-B8F5E209DAB8}">
  <dimension ref="A1:AJ109"/>
  <sheetViews>
    <sheetView topLeftCell="O1" workbookViewId="0">
      <selection activeCell="L2" sqref="L2"/>
    </sheetView>
  </sheetViews>
  <sheetFormatPr defaultRowHeight="15.75"/>
  <cols>
    <col min="1" max="1" width="3.7109375" style="2" customWidth="1"/>
    <col min="2" max="2" width="8.7109375" style="2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4" bestFit="1" customWidth="1"/>
    <col min="14" max="14" width="20.42578125" style="6" customWidth="1"/>
    <col min="15" max="15" width="18.85546875" customWidth="1"/>
    <col min="16" max="16" width="15.140625" style="6" customWidth="1"/>
    <col min="17" max="17" width="21.4257812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15.85546875" bestFit="1" customWidth="1"/>
    <col min="24" max="24" width="18.140625" style="3" customWidth="1"/>
    <col min="25" max="27" width="14.85546875" customWidth="1"/>
    <col min="28" max="28" width="14.7109375" customWidth="1"/>
    <col min="29" max="29" width="10.7109375" bestFit="1" customWidth="1"/>
    <col min="30" max="30" width="16.5703125" style="3" customWidth="1"/>
    <col min="31" max="31" width="13.28515625" style="7" bestFit="1" customWidth="1"/>
    <col min="32" max="33" width="13.28515625" style="7" customWidth="1"/>
    <col min="34" max="34" width="15.5703125" style="7" customWidth="1"/>
    <col min="35" max="35" width="20.7109375" bestFit="1" customWidth="1"/>
    <col min="36" max="36" width="2.28515625" style="2" customWidth="1"/>
  </cols>
  <sheetData>
    <row r="1" spans="1:36">
      <c r="N1" s="5"/>
      <c r="S1" s="8"/>
    </row>
    <row r="2" spans="1:36" s="9" customFormat="1" ht="18.75">
      <c r="B2" s="9" t="s">
        <v>15</v>
      </c>
      <c r="C2" s="10"/>
      <c r="E2" s="10"/>
      <c r="F2" s="10"/>
      <c r="H2" s="10"/>
      <c r="L2" s="10"/>
      <c r="M2" s="11"/>
      <c r="N2" s="12"/>
      <c r="P2" s="12"/>
      <c r="X2" s="10"/>
      <c r="AD2" s="10"/>
      <c r="AE2" s="13"/>
      <c r="AF2" s="13"/>
      <c r="AG2" s="13"/>
      <c r="AH2" s="13"/>
    </row>
    <row r="3" spans="1:36" s="15" customFormat="1">
      <c r="A3" s="14"/>
      <c r="B3" s="160" t="s">
        <v>16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4"/>
    </row>
    <row r="4" spans="1:36" s="83" customFormat="1" ht="15.75" customHeight="1">
      <c r="A4" s="16"/>
      <c r="B4" s="161" t="s">
        <v>17</v>
      </c>
      <c r="C4" s="162" t="s">
        <v>18</v>
      </c>
      <c r="D4" s="163" t="s">
        <v>19</v>
      </c>
      <c r="E4" s="164" t="s">
        <v>20</v>
      </c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 t="s">
        <v>21</v>
      </c>
      <c r="R4" s="165"/>
      <c r="S4" s="165"/>
      <c r="T4" s="165"/>
      <c r="U4" s="165"/>
      <c r="V4" s="165"/>
      <c r="W4" s="166" t="s">
        <v>22</v>
      </c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7"/>
    </row>
    <row r="5" spans="1:36" s="1" customFormat="1" ht="27" customHeight="1">
      <c r="A5" s="83"/>
      <c r="B5" s="161"/>
      <c r="C5" s="162"/>
      <c r="D5" s="163"/>
      <c r="E5" s="167" t="s">
        <v>23</v>
      </c>
      <c r="F5" s="167"/>
      <c r="G5" s="167"/>
      <c r="H5" s="167"/>
      <c r="I5" s="167"/>
      <c r="J5" s="168" t="s">
        <v>24</v>
      </c>
      <c r="K5" s="168"/>
      <c r="L5" s="168"/>
      <c r="M5" s="168"/>
      <c r="N5" s="168"/>
      <c r="O5" s="169" t="s">
        <v>25</v>
      </c>
      <c r="P5" s="171" t="s">
        <v>26</v>
      </c>
      <c r="Q5" s="84"/>
      <c r="R5" s="85" t="s">
        <v>27</v>
      </c>
      <c r="S5" s="84"/>
      <c r="T5" s="85" t="s">
        <v>27</v>
      </c>
      <c r="U5" s="85"/>
      <c r="V5" s="85" t="s">
        <v>28</v>
      </c>
      <c r="W5" s="166" t="s">
        <v>29</v>
      </c>
      <c r="X5" s="166"/>
      <c r="Y5" s="166"/>
      <c r="Z5" s="166"/>
      <c r="AA5" s="166"/>
      <c r="AB5" s="166"/>
      <c r="AC5" s="166"/>
      <c r="AD5" s="166"/>
      <c r="AE5" s="170" t="s">
        <v>30</v>
      </c>
      <c r="AF5" s="170"/>
      <c r="AG5" s="170"/>
      <c r="AH5" s="170"/>
      <c r="AI5" s="170"/>
      <c r="AJ5" s="83"/>
    </row>
    <row r="6" spans="1:36" s="1" customFormat="1" ht="58.5" customHeight="1">
      <c r="A6" s="86"/>
      <c r="B6" s="161"/>
      <c r="C6" s="162"/>
      <c r="D6" s="163"/>
      <c r="E6" s="73" t="s">
        <v>31</v>
      </c>
      <c r="F6" s="73" t="s">
        <v>32</v>
      </c>
      <c r="G6" s="80" t="s">
        <v>33</v>
      </c>
      <c r="H6" s="87" t="s">
        <v>32</v>
      </c>
      <c r="I6" s="73" t="s">
        <v>34</v>
      </c>
      <c r="J6" s="73" t="s">
        <v>31</v>
      </c>
      <c r="K6" s="82" t="s">
        <v>32</v>
      </c>
      <c r="L6" s="80" t="s">
        <v>33</v>
      </c>
      <c r="M6" s="88" t="s">
        <v>32</v>
      </c>
      <c r="N6" s="79" t="s">
        <v>35</v>
      </c>
      <c r="O6" s="169"/>
      <c r="P6" s="171"/>
      <c r="Q6" s="73" t="s">
        <v>36</v>
      </c>
      <c r="R6" s="73" t="s">
        <v>37</v>
      </c>
      <c r="S6" s="73" t="s">
        <v>38</v>
      </c>
      <c r="T6" s="82" t="s">
        <v>39</v>
      </c>
      <c r="U6" s="82" t="s">
        <v>40</v>
      </c>
      <c r="V6" s="82" t="s">
        <v>41</v>
      </c>
      <c r="W6" s="89" t="s">
        <v>42</v>
      </c>
      <c r="X6" s="90" t="s">
        <v>43</v>
      </c>
      <c r="Y6" s="89" t="s">
        <v>44</v>
      </c>
      <c r="Z6" s="124" t="s">
        <v>45</v>
      </c>
      <c r="AA6" s="124" t="s">
        <v>46</v>
      </c>
      <c r="AB6" s="89" t="s">
        <v>47</v>
      </c>
      <c r="AC6" s="89" t="s">
        <v>48</v>
      </c>
      <c r="AD6" s="90" t="s">
        <v>41</v>
      </c>
      <c r="AE6" s="126" t="s">
        <v>49</v>
      </c>
      <c r="AF6" s="126" t="s">
        <v>50</v>
      </c>
      <c r="AG6" s="126" t="s">
        <v>51</v>
      </c>
      <c r="AH6" s="126" t="s">
        <v>52</v>
      </c>
      <c r="AI6" s="89" t="s">
        <v>41</v>
      </c>
      <c r="AJ6" s="86"/>
    </row>
    <row r="7" spans="1:36" ht="15">
      <c r="A7" s="18"/>
      <c r="B7" s="81">
        <v>1</v>
      </c>
      <c r="C7" s="102">
        <v>25</v>
      </c>
      <c r="D7" s="103">
        <v>263</v>
      </c>
      <c r="E7" s="155">
        <v>11600.000000000364</v>
      </c>
      <c r="F7" s="155">
        <v>12015048.000000376</v>
      </c>
      <c r="G7" s="115">
        <v>2439.9999999999409</v>
      </c>
      <c r="H7" s="156">
        <v>3790954.7999999085</v>
      </c>
      <c r="I7" s="105">
        <f>F7+H7</f>
        <v>15806002.800000284</v>
      </c>
      <c r="J7" s="114">
        <v>1679.99999999995</v>
      </c>
      <c r="K7" s="114">
        <v>1740110.3999999482</v>
      </c>
      <c r="L7" s="118">
        <v>460.00000000000796</v>
      </c>
      <c r="M7" s="120">
        <v>714688.20000001241</v>
      </c>
      <c r="N7" s="107">
        <f>K7+M7</f>
        <v>2454798.5999999605</v>
      </c>
      <c r="O7" s="105">
        <f>I7+N7</f>
        <v>18260801.400000244</v>
      </c>
      <c r="P7" s="107">
        <f>E7+G7+J7+L7</f>
        <v>16180.000000000262</v>
      </c>
      <c r="Q7" s="122">
        <f>R7+T7</f>
        <v>791</v>
      </c>
      <c r="R7" s="114">
        <v>218</v>
      </c>
      <c r="S7" s="114">
        <v>3917569</v>
      </c>
      <c r="T7" s="114">
        <v>573</v>
      </c>
      <c r="U7" s="114">
        <v>2725004.64</v>
      </c>
      <c r="V7" s="114">
        <f>S7+U7</f>
        <v>6642573.6400000006</v>
      </c>
      <c r="W7" s="114">
        <v>0</v>
      </c>
      <c r="X7" s="106">
        <v>0</v>
      </c>
      <c r="Y7" s="109">
        <v>95.262200000000007</v>
      </c>
      <c r="Z7" s="109">
        <v>100</v>
      </c>
      <c r="AA7" s="109">
        <v>0</v>
      </c>
      <c r="AB7" s="111">
        <v>12</v>
      </c>
      <c r="AC7" s="122">
        <f>W7+X7+Y7+Z7+AA7+AB7</f>
        <v>207.26220000000001</v>
      </c>
      <c r="AD7" s="104">
        <v>1705479.4680000001</v>
      </c>
      <c r="AE7" s="108"/>
      <c r="AF7" s="127">
        <v>242.08000000000175</v>
      </c>
      <c r="AG7" s="129">
        <v>0</v>
      </c>
      <c r="AH7" s="129">
        <f>AF7+AG7</f>
        <v>242.08000000000175</v>
      </c>
      <c r="AI7" s="131">
        <v>2904960.000000021</v>
      </c>
      <c r="AJ7" s="18"/>
    </row>
    <row r="8" spans="1:36" ht="15">
      <c r="A8" s="19"/>
      <c r="B8" s="64">
        <v>2</v>
      </c>
      <c r="C8" s="158">
        <v>15</v>
      </c>
      <c r="D8" s="158">
        <v>240</v>
      </c>
      <c r="E8" s="123">
        <v>10880.000000000109</v>
      </c>
      <c r="F8" s="123">
        <v>11269286.400000112</v>
      </c>
      <c r="G8" s="110">
        <v>2200.0000000000455</v>
      </c>
      <c r="H8" s="110">
        <v>3418074.0000000708</v>
      </c>
      <c r="I8" s="105">
        <f>F8+H8</f>
        <v>14687360.400000183</v>
      </c>
      <c r="J8" s="157">
        <v>1800.0000000000682</v>
      </c>
      <c r="K8" s="157">
        <v>1864404.0000000705</v>
      </c>
      <c r="L8" s="119">
        <v>479.99999999998977</v>
      </c>
      <c r="M8" s="121">
        <v>745761.59999998414</v>
      </c>
      <c r="N8" s="107">
        <f>K8+M8</f>
        <v>2610165.6000000546</v>
      </c>
      <c r="O8" s="105">
        <f>I8+N8</f>
        <v>17297526.000000238</v>
      </c>
      <c r="P8" s="107">
        <f>E8+G8+J8+L8</f>
        <v>15360.000000000211</v>
      </c>
      <c r="Q8" s="122">
        <f>R8+T8</f>
        <v>733</v>
      </c>
      <c r="R8" s="123">
        <v>221</v>
      </c>
      <c r="S8" s="123">
        <v>3971480.5</v>
      </c>
      <c r="T8" s="116">
        <v>512</v>
      </c>
      <c r="U8" s="116">
        <v>2434908.1600000001</v>
      </c>
      <c r="V8" s="114">
        <f>S8+U8</f>
        <v>6406388.6600000001</v>
      </c>
      <c r="W8" s="125">
        <v>0</v>
      </c>
      <c r="X8" s="111">
        <v>0</v>
      </c>
      <c r="Y8" s="109">
        <v>104.24463999999998</v>
      </c>
      <c r="Z8" s="111"/>
      <c r="AA8" s="111">
        <v>0</v>
      </c>
      <c r="AB8" s="111">
        <v>12</v>
      </c>
      <c r="AC8" s="122">
        <f>W8+X8+Y8+Z8+AA8+AB8</f>
        <v>116.24463999999998</v>
      </c>
      <c r="AD8" s="109">
        <v>3442659.5615999997</v>
      </c>
      <c r="AE8" s="112"/>
      <c r="AF8" s="128">
        <v>370.97000000000116</v>
      </c>
      <c r="AG8" s="130">
        <v>0</v>
      </c>
      <c r="AH8" s="129">
        <f>AF8+AG8</f>
        <v>370.97000000000116</v>
      </c>
      <c r="AI8" s="132">
        <v>4451640.000000014</v>
      </c>
      <c r="AJ8" s="21"/>
    </row>
    <row r="9" spans="1:36" ht="15">
      <c r="A9" s="19"/>
      <c r="B9" s="81">
        <v>3</v>
      </c>
      <c r="C9" s="158">
        <v>8</v>
      </c>
      <c r="D9" s="158">
        <v>125</v>
      </c>
      <c r="E9" s="123">
        <v>10359.999999999673</v>
      </c>
      <c r="F9" s="123">
        <v>10730680.79999966</v>
      </c>
      <c r="G9" s="110">
        <v>2199.9999999999318</v>
      </c>
      <c r="H9" s="110">
        <v>3418073.9999998943</v>
      </c>
      <c r="I9" s="105">
        <f>F9+H9</f>
        <v>14148754.799999554</v>
      </c>
      <c r="J9" s="157">
        <v>1539.9999999999636</v>
      </c>
      <c r="K9" s="157">
        <v>1595101.1999999622</v>
      </c>
      <c r="L9" s="119">
        <v>479.99999999998977</v>
      </c>
      <c r="M9" s="121">
        <v>745761.59999998414</v>
      </c>
      <c r="N9" s="107">
        <f>K9+M9</f>
        <v>2340862.7999999463</v>
      </c>
      <c r="O9" s="105">
        <f>I9+N9</f>
        <v>16489617.5999995</v>
      </c>
      <c r="P9" s="107">
        <f>E9+G9+J9+L9</f>
        <v>14579.999999999556</v>
      </c>
      <c r="Q9" s="122">
        <f>R9+T9</f>
        <v>772</v>
      </c>
      <c r="R9" s="123">
        <v>220</v>
      </c>
      <c r="S9" s="123">
        <v>3953510</v>
      </c>
      <c r="T9" s="116">
        <v>552</v>
      </c>
      <c r="U9" s="116">
        <v>2625135.3600000003</v>
      </c>
      <c r="V9" s="114">
        <f>S9+U9</f>
        <v>6578645.3600000003</v>
      </c>
      <c r="W9" s="125">
        <v>21.751199999976553</v>
      </c>
      <c r="X9" s="111">
        <v>0</v>
      </c>
      <c r="Y9" s="109">
        <v>99.572159999999982</v>
      </c>
      <c r="Z9" s="111"/>
      <c r="AA9" s="111">
        <v>0</v>
      </c>
      <c r="AB9" s="111">
        <v>12</v>
      </c>
      <c r="AC9" s="122">
        <f>W9+X9+Y9+Z9+AA9+AB9</f>
        <v>133.32335999997653</v>
      </c>
      <c r="AD9" s="109">
        <v>2086810.2279996627</v>
      </c>
      <c r="AE9" s="112"/>
      <c r="AF9" s="128">
        <v>347.19999999999709</v>
      </c>
      <c r="AG9" s="130">
        <v>0</v>
      </c>
      <c r="AH9" s="129">
        <f>AF9+AG9</f>
        <v>347.19999999999709</v>
      </c>
      <c r="AI9" s="132">
        <v>4166399.9999999651</v>
      </c>
      <c r="AJ9" s="21"/>
    </row>
    <row r="10" spans="1:36" ht="15">
      <c r="A10" s="19"/>
      <c r="B10" s="64">
        <v>4</v>
      </c>
      <c r="C10" s="158">
        <v>8</v>
      </c>
      <c r="D10" s="158">
        <v>107</v>
      </c>
      <c r="E10" s="123">
        <v>9920.0000000000728</v>
      </c>
      <c r="F10" s="123">
        <v>10274937.600000076</v>
      </c>
      <c r="G10" s="110">
        <v>2400.0000000000909</v>
      </c>
      <c r="H10" s="110">
        <v>3728808.0000001416</v>
      </c>
      <c r="I10" s="105">
        <f>F10+H10</f>
        <v>14003745.600000218</v>
      </c>
      <c r="J10" s="157">
        <v>1519.9999999999818</v>
      </c>
      <c r="K10" s="157">
        <v>1574385.5999999812</v>
      </c>
      <c r="L10" s="119">
        <v>380.00000000002387</v>
      </c>
      <c r="M10" s="121">
        <v>590394.60000003711</v>
      </c>
      <c r="N10" s="107">
        <f>K10+M10</f>
        <v>2164780.2000000183</v>
      </c>
      <c r="O10" s="105">
        <f>I10+N10</f>
        <v>16168525.800000235</v>
      </c>
      <c r="P10" s="107">
        <f>E10+G10+J10+L10</f>
        <v>14220.000000000169</v>
      </c>
      <c r="Q10" s="122">
        <f>R10+T10</f>
        <v>779</v>
      </c>
      <c r="R10" s="123">
        <v>221</v>
      </c>
      <c r="S10" s="123">
        <v>3971480.5</v>
      </c>
      <c r="T10" s="116">
        <v>558</v>
      </c>
      <c r="U10" s="116">
        <v>2653669.44</v>
      </c>
      <c r="V10" s="114">
        <f>S10+U10</f>
        <v>6625149.9399999995</v>
      </c>
      <c r="W10" s="125">
        <v>0</v>
      </c>
      <c r="X10" s="111">
        <v>0</v>
      </c>
      <c r="Y10" s="109">
        <v>117.73843999999994</v>
      </c>
      <c r="Z10" s="111"/>
      <c r="AA10" s="111">
        <v>0</v>
      </c>
      <c r="AB10" s="111">
        <v>12</v>
      </c>
      <c r="AC10" s="122">
        <f>W10+X10+Y10+Z10+AA10+AB10</f>
        <v>129.73843999999994</v>
      </c>
      <c r="AD10" s="109">
        <v>2063750.733599999</v>
      </c>
      <c r="AE10" s="112"/>
      <c r="AF10" s="128">
        <v>281.7899999999936</v>
      </c>
      <c r="AG10" s="130">
        <v>0</v>
      </c>
      <c r="AH10" s="129">
        <f>AF10+AG10</f>
        <v>281.7899999999936</v>
      </c>
      <c r="AI10" s="132">
        <v>3381479.9999999232</v>
      </c>
      <c r="AJ10" s="21"/>
    </row>
    <row r="11" spans="1:36" ht="15">
      <c r="A11" s="19"/>
      <c r="B11" s="81">
        <v>5</v>
      </c>
      <c r="C11" s="158">
        <v>12</v>
      </c>
      <c r="D11" s="158">
        <v>112</v>
      </c>
      <c r="E11" s="123">
        <v>10560.0000000004</v>
      </c>
      <c r="F11" s="123">
        <v>10937836.800000414</v>
      </c>
      <c r="G11" s="110">
        <v>2479.9999999999045</v>
      </c>
      <c r="H11" s="110">
        <v>3853101.599999852</v>
      </c>
      <c r="I11" s="105">
        <f>F11+H11</f>
        <v>14790938.400000267</v>
      </c>
      <c r="J11" s="157">
        <v>1379.9999999999955</v>
      </c>
      <c r="K11" s="157">
        <v>1429376.3999999953</v>
      </c>
      <c r="L11" s="119">
        <v>359.99999999998522</v>
      </c>
      <c r="M11" s="121">
        <v>559321.19999997702</v>
      </c>
      <c r="N11" s="107">
        <f>K11+M11</f>
        <v>1988697.5999999722</v>
      </c>
      <c r="O11" s="105">
        <f>I11+N11</f>
        <v>16779636.000000238</v>
      </c>
      <c r="P11" s="107">
        <f>E11+G11+J11+L11</f>
        <v>14780.000000000287</v>
      </c>
      <c r="Q11" s="122">
        <f>R11+T11</f>
        <v>790</v>
      </c>
      <c r="R11" s="123">
        <v>219</v>
      </c>
      <c r="S11" s="123">
        <v>3935539.5</v>
      </c>
      <c r="T11" s="116">
        <v>571</v>
      </c>
      <c r="U11" s="116">
        <v>2715493.2800000003</v>
      </c>
      <c r="V11" s="114">
        <f>S11+U11</f>
        <v>6651032.7800000003</v>
      </c>
      <c r="W11" s="125">
        <v>0</v>
      </c>
      <c r="X11" s="111">
        <v>0</v>
      </c>
      <c r="Y11" s="109">
        <v>94.61772000000002</v>
      </c>
      <c r="Z11" s="111"/>
      <c r="AA11" s="111">
        <v>0</v>
      </c>
      <c r="AB11" s="111">
        <v>12</v>
      </c>
      <c r="AC11" s="122">
        <f>W11+X11+Y11+Z11+AA11+AB11</f>
        <v>106.61772000000002</v>
      </c>
      <c r="AD11" s="109">
        <v>1695206.4568000003</v>
      </c>
      <c r="AE11" s="112"/>
      <c r="AF11" s="128">
        <v>716.51000000000931</v>
      </c>
      <c r="AG11" s="130">
        <v>0</v>
      </c>
      <c r="AH11" s="129">
        <f>AF11+AG11</f>
        <v>716.51000000000931</v>
      </c>
      <c r="AI11" s="132">
        <v>8598120.0000001118</v>
      </c>
      <c r="AJ11" s="21"/>
    </row>
    <row r="12" spans="1:36" ht="15">
      <c r="A12" s="19"/>
      <c r="B12" s="64">
        <v>6</v>
      </c>
      <c r="C12" s="158">
        <v>8</v>
      </c>
      <c r="D12" s="158">
        <v>189</v>
      </c>
      <c r="E12" s="123">
        <v>10880.000000000109</v>
      </c>
      <c r="F12" s="123">
        <v>11269286.400000112</v>
      </c>
      <c r="G12" s="110">
        <v>2120.0000000000045</v>
      </c>
      <c r="H12" s="110">
        <v>3293780.4000000074</v>
      </c>
      <c r="I12" s="105">
        <f>F12+H12</f>
        <v>14563066.80000012</v>
      </c>
      <c r="J12" s="157">
        <v>1680.0000000000637</v>
      </c>
      <c r="K12" s="157">
        <v>1740110.4000000658</v>
      </c>
      <c r="L12" s="119">
        <v>340.00000000000341</v>
      </c>
      <c r="M12" s="121">
        <v>528247.80000000529</v>
      </c>
      <c r="N12" s="107">
        <f>K12+M12</f>
        <v>2268358.200000071</v>
      </c>
      <c r="O12" s="105">
        <f>I12+N12</f>
        <v>16831425.00000019</v>
      </c>
      <c r="P12" s="107">
        <f>E12+G12+J12+L12</f>
        <v>15020.00000000018</v>
      </c>
      <c r="Q12" s="122">
        <f>R12+T12</f>
        <v>790</v>
      </c>
      <c r="R12" s="123">
        <v>219</v>
      </c>
      <c r="S12" s="123">
        <v>3935539.5</v>
      </c>
      <c r="T12" s="116">
        <v>571</v>
      </c>
      <c r="U12" s="116">
        <v>2715493.2800000003</v>
      </c>
      <c r="V12" s="114">
        <f>S12+U12</f>
        <v>6651032.7800000003</v>
      </c>
      <c r="W12" s="125">
        <v>0</v>
      </c>
      <c r="X12" s="111">
        <v>0</v>
      </c>
      <c r="Y12" s="109">
        <v>91.556439999999952</v>
      </c>
      <c r="Z12" s="111">
        <v>100</v>
      </c>
      <c r="AA12" s="111">
        <v>0</v>
      </c>
      <c r="AB12" s="111">
        <v>0</v>
      </c>
      <c r="AC12" s="122">
        <f>W12+X12+Y12+Z12+AA12+AB12</f>
        <v>191.55643999999995</v>
      </c>
      <c r="AD12" s="109">
        <v>1459409.6535999991</v>
      </c>
      <c r="AE12" s="112"/>
      <c r="AF12" s="128">
        <v>337.72000000000116</v>
      </c>
      <c r="AG12" s="130">
        <v>0</v>
      </c>
      <c r="AH12" s="129">
        <f>AF12+AG12</f>
        <v>337.72000000000116</v>
      </c>
      <c r="AI12" s="132">
        <v>4052640.000000014</v>
      </c>
      <c r="AJ12" s="21"/>
    </row>
    <row r="13" spans="1:36" ht="15">
      <c r="A13" s="19"/>
      <c r="B13" s="81">
        <v>7</v>
      </c>
      <c r="C13" s="158">
        <v>9</v>
      </c>
      <c r="D13" s="158">
        <v>115</v>
      </c>
      <c r="E13" s="123">
        <v>10279.999999999745</v>
      </c>
      <c r="F13" s="123">
        <v>10647818.399999736</v>
      </c>
      <c r="G13" s="110">
        <v>2160.0000000000819</v>
      </c>
      <c r="H13" s="110">
        <v>3355927.2000001273</v>
      </c>
      <c r="I13" s="105">
        <f>F13+H13</f>
        <v>14003745.599999864</v>
      </c>
      <c r="J13" s="157">
        <v>1459.9999999999227</v>
      </c>
      <c r="K13" s="157">
        <v>1512238.79999992</v>
      </c>
      <c r="L13" s="119">
        <v>560.00000000000227</v>
      </c>
      <c r="M13" s="121">
        <v>870055.20000000356</v>
      </c>
      <c r="N13" s="107">
        <f>K13+M13</f>
        <v>2382293.9999999236</v>
      </c>
      <c r="O13" s="105">
        <f>I13+N13</f>
        <v>16386039.599999787</v>
      </c>
      <c r="P13" s="107">
        <f>E13+G13+J13+L13</f>
        <v>14459.999999999751</v>
      </c>
      <c r="Q13" s="122">
        <f>R13+T13</f>
        <v>795</v>
      </c>
      <c r="R13" s="123">
        <v>219</v>
      </c>
      <c r="S13" s="123">
        <v>3935539.5</v>
      </c>
      <c r="T13" s="116">
        <v>576</v>
      </c>
      <c r="U13" s="116">
        <v>2739271.6800000002</v>
      </c>
      <c r="V13" s="114">
        <f>S13+U13</f>
        <v>6674811.1799999997</v>
      </c>
      <c r="W13" s="125">
        <v>0</v>
      </c>
      <c r="X13" s="111">
        <v>0</v>
      </c>
      <c r="Y13" s="109">
        <v>107.06423999999993</v>
      </c>
      <c r="Z13" s="111"/>
      <c r="AA13" s="111">
        <v>0</v>
      </c>
      <c r="AB13" s="111">
        <v>0</v>
      </c>
      <c r="AC13" s="122">
        <f>W13+X13+Y13+Z13+AA13+AB13</f>
        <v>107.06423999999993</v>
      </c>
      <c r="AD13" s="109">
        <v>3300603.9855999989</v>
      </c>
      <c r="AE13" s="112"/>
      <c r="AF13" s="128">
        <v>88.5</v>
      </c>
      <c r="AG13" s="130">
        <v>50.700000000011642</v>
      </c>
      <c r="AH13" s="129">
        <f>AF13+AG13</f>
        <v>139.20000000001164</v>
      </c>
      <c r="AI13" s="132">
        <v>1670400.0000001397</v>
      </c>
      <c r="AJ13" s="21"/>
    </row>
    <row r="14" spans="1:36" ht="15">
      <c r="A14" s="19"/>
      <c r="B14" s="64">
        <v>8</v>
      </c>
      <c r="C14" s="158">
        <v>9</v>
      </c>
      <c r="D14" s="158">
        <v>175</v>
      </c>
      <c r="E14" s="123">
        <v>10199.999999999818</v>
      </c>
      <c r="F14" s="123">
        <v>10564955.999999812</v>
      </c>
      <c r="G14" s="110">
        <v>2039.9999999999636</v>
      </c>
      <c r="H14" s="110">
        <v>3169486.7999999435</v>
      </c>
      <c r="I14" s="105">
        <f>F14+H14</f>
        <v>13734442.799999755</v>
      </c>
      <c r="J14" s="157">
        <v>1639.9999999999864</v>
      </c>
      <c r="K14" s="157">
        <v>1698679.1999999858</v>
      </c>
      <c r="L14" s="119">
        <v>400.00000000000568</v>
      </c>
      <c r="M14" s="121">
        <v>621468.00000000885</v>
      </c>
      <c r="N14" s="107">
        <f>K14+M14</f>
        <v>2320147.1999999946</v>
      </c>
      <c r="O14" s="105">
        <f>I14+N14</f>
        <v>16054589.99999975</v>
      </c>
      <c r="P14" s="107">
        <f>E14+G14+J14+L14</f>
        <v>14279.999999999773</v>
      </c>
      <c r="Q14" s="122">
        <f>R14+T14</f>
        <v>788</v>
      </c>
      <c r="R14" s="123">
        <v>220</v>
      </c>
      <c r="S14" s="123">
        <v>3953510</v>
      </c>
      <c r="T14" s="116">
        <v>568</v>
      </c>
      <c r="U14" s="116">
        <v>2701226.24</v>
      </c>
      <c r="V14" s="114">
        <f>S14+U14</f>
        <v>6654736.2400000002</v>
      </c>
      <c r="W14" s="125">
        <v>0</v>
      </c>
      <c r="X14" s="111">
        <v>0</v>
      </c>
      <c r="Y14" s="109">
        <v>86.440880000000135</v>
      </c>
      <c r="Z14" s="111"/>
      <c r="AA14" s="111">
        <v>0</v>
      </c>
      <c r="AB14" s="111">
        <v>12</v>
      </c>
      <c r="AC14" s="122">
        <f>W14+X14+Y14+Z14+AA14+AB14</f>
        <v>98.440880000000135</v>
      </c>
      <c r="AD14" s="109">
        <v>1564867.6272000021</v>
      </c>
      <c r="AE14" s="112"/>
      <c r="AF14" s="128">
        <v>237.75999999999476</v>
      </c>
      <c r="AG14" s="130">
        <v>0</v>
      </c>
      <c r="AH14" s="129">
        <f>AF14+AG14</f>
        <v>237.75999999999476</v>
      </c>
      <c r="AI14" s="132">
        <v>2853119.9999999371</v>
      </c>
      <c r="AJ14" s="21"/>
    </row>
    <row r="15" spans="1:36" ht="15">
      <c r="A15" s="19"/>
      <c r="B15" s="81">
        <v>9</v>
      </c>
      <c r="C15" s="158">
        <v>4</v>
      </c>
      <c r="D15" s="158">
        <v>131</v>
      </c>
      <c r="E15" s="123">
        <v>10039.999999999964</v>
      </c>
      <c r="F15" s="123">
        <v>10399231.199999962</v>
      </c>
      <c r="G15" s="110">
        <v>2080.0000000000409</v>
      </c>
      <c r="H15" s="110">
        <v>3231633.6000000639</v>
      </c>
      <c r="I15" s="105">
        <f>F15+H15</f>
        <v>13630864.800000027</v>
      </c>
      <c r="J15" s="157">
        <v>1340.0000000000318</v>
      </c>
      <c r="K15" s="157">
        <v>1387945.200000033</v>
      </c>
      <c r="L15" s="119">
        <v>340.00000000000341</v>
      </c>
      <c r="M15" s="121">
        <v>528247.80000000529</v>
      </c>
      <c r="N15" s="107">
        <f>K15+M15</f>
        <v>1916193.0000000382</v>
      </c>
      <c r="O15" s="105">
        <f>I15+N15</f>
        <v>15547057.800000064</v>
      </c>
      <c r="P15" s="107">
        <f>E15+G15+J15+L15</f>
        <v>13800.00000000004</v>
      </c>
      <c r="Q15" s="122">
        <f>R15+T15</f>
        <v>790</v>
      </c>
      <c r="R15" s="123">
        <v>221</v>
      </c>
      <c r="S15" s="123">
        <v>3971480.5</v>
      </c>
      <c r="T15" s="116">
        <v>569</v>
      </c>
      <c r="U15" s="116">
        <v>2705981.9200000004</v>
      </c>
      <c r="V15" s="114">
        <f>S15+U15</f>
        <v>6677462.4199999999</v>
      </c>
      <c r="W15" s="125">
        <v>0</v>
      </c>
      <c r="X15" s="111">
        <v>0</v>
      </c>
      <c r="Y15" s="109">
        <v>95.745559999999912</v>
      </c>
      <c r="Z15" s="111"/>
      <c r="AA15" s="111">
        <v>0</v>
      </c>
      <c r="AB15" s="111">
        <v>12</v>
      </c>
      <c r="AC15" s="122">
        <f>W15+X15+Y15+Z15+AA15+AB15</f>
        <v>107.74555999999991</v>
      </c>
      <c r="AD15" s="109">
        <v>1713184.2263999986</v>
      </c>
      <c r="AE15" s="112"/>
      <c r="AF15" s="128">
        <v>326.52999999999884</v>
      </c>
      <c r="AG15" s="130">
        <v>0</v>
      </c>
      <c r="AH15" s="129">
        <f>AF15+AG15</f>
        <v>326.52999999999884</v>
      </c>
      <c r="AI15" s="132">
        <v>3918359.999999986</v>
      </c>
      <c r="AJ15" s="21"/>
    </row>
    <row r="16" spans="1:36" ht="15">
      <c r="A16" s="19"/>
      <c r="B16" s="64">
        <v>10</v>
      </c>
      <c r="C16" s="158">
        <v>4</v>
      </c>
      <c r="D16" s="158">
        <v>70</v>
      </c>
      <c r="E16" s="123">
        <v>10039.999999999964</v>
      </c>
      <c r="F16" s="123">
        <v>10399231.199999962</v>
      </c>
      <c r="G16" s="110">
        <v>2039.9999999999636</v>
      </c>
      <c r="H16" s="110">
        <v>3169486.7999999435</v>
      </c>
      <c r="I16" s="105">
        <f>F16+H16</f>
        <v>13568717.999999905</v>
      </c>
      <c r="J16" s="157">
        <v>1240.0000000000091</v>
      </c>
      <c r="K16" s="157">
        <v>1284367.2000000095</v>
      </c>
      <c r="L16" s="119">
        <v>339.99999999997499</v>
      </c>
      <c r="M16" s="121">
        <v>528247.79999996116</v>
      </c>
      <c r="N16" s="107">
        <f>K16+M16</f>
        <v>1812614.9999999707</v>
      </c>
      <c r="O16" s="105">
        <f>I16+N16</f>
        <v>15381332.999999875</v>
      </c>
      <c r="P16" s="107">
        <f>E16+G16+J16+L16</f>
        <v>13659.999999999911</v>
      </c>
      <c r="Q16" s="122">
        <f>R16+T16</f>
        <v>776</v>
      </c>
      <c r="R16" s="123">
        <v>221</v>
      </c>
      <c r="S16" s="123">
        <v>3971480.5</v>
      </c>
      <c r="T16" s="116">
        <v>555</v>
      </c>
      <c r="U16" s="116">
        <v>2639402.4000000004</v>
      </c>
      <c r="V16" s="114">
        <f>S16+U16</f>
        <v>6610882.9000000004</v>
      </c>
      <c r="W16" s="125">
        <v>1.208400000011723</v>
      </c>
      <c r="X16" s="111">
        <v>0</v>
      </c>
      <c r="Y16" s="109">
        <v>82.171200000000127</v>
      </c>
      <c r="Z16" s="111"/>
      <c r="AA16" s="111">
        <v>0</v>
      </c>
      <c r="AB16" s="111">
        <v>12</v>
      </c>
      <c r="AC16" s="122">
        <f>W16+X16+Y16+Z16+AA16+AB16</f>
        <v>95.379600000011848</v>
      </c>
      <c r="AD16" s="109">
        <v>1514177.2612001705</v>
      </c>
      <c r="AE16" s="112"/>
      <c r="AF16" s="128">
        <v>331.76000000000931</v>
      </c>
      <c r="AG16" s="130">
        <v>0</v>
      </c>
      <c r="AH16" s="129">
        <f>AF16+AG16</f>
        <v>331.76000000000931</v>
      </c>
      <c r="AI16" s="132">
        <v>3981120.0000001118</v>
      </c>
      <c r="AJ16" s="21"/>
    </row>
    <row r="17" spans="1:36" ht="15">
      <c r="A17" s="19"/>
      <c r="B17" s="81">
        <v>11</v>
      </c>
      <c r="C17" s="158">
        <v>5</v>
      </c>
      <c r="D17" s="158">
        <v>60</v>
      </c>
      <c r="E17" s="123">
        <v>9360.0000000005821</v>
      </c>
      <c r="F17" s="123">
        <v>9694900.8000006024</v>
      </c>
      <c r="G17" s="110">
        <v>1799.9999999999545</v>
      </c>
      <c r="H17" s="110">
        <v>2796605.9999999297</v>
      </c>
      <c r="I17" s="105">
        <f>F17+H17</f>
        <v>12491506.800000532</v>
      </c>
      <c r="J17" s="157">
        <v>1259.9999999999909</v>
      </c>
      <c r="K17" s="157">
        <v>1305082.7999999905</v>
      </c>
      <c r="L17" s="119">
        <v>340.00000000000341</v>
      </c>
      <c r="M17" s="121">
        <v>528247.80000000529</v>
      </c>
      <c r="N17" s="107">
        <f>K17+M17</f>
        <v>1833330.5999999959</v>
      </c>
      <c r="O17" s="105">
        <f>I17+N17</f>
        <v>14324837.400000528</v>
      </c>
      <c r="P17" s="107">
        <f>E17+G17+J17+L17</f>
        <v>12760.000000000531</v>
      </c>
      <c r="Q17" s="122">
        <f>R17+T17</f>
        <v>604</v>
      </c>
      <c r="R17" s="123">
        <v>22</v>
      </c>
      <c r="S17" s="123">
        <v>395351</v>
      </c>
      <c r="T17" s="116">
        <v>582</v>
      </c>
      <c r="U17" s="116">
        <v>2767805.7600000002</v>
      </c>
      <c r="V17" s="114">
        <f>S17+U17</f>
        <v>3163156.7600000002</v>
      </c>
      <c r="W17" s="125">
        <v>0</v>
      </c>
      <c r="X17" s="111">
        <v>0</v>
      </c>
      <c r="Y17" s="109">
        <v>108.15179999999985</v>
      </c>
      <c r="Z17" s="111">
        <v>100</v>
      </c>
      <c r="AA17" s="111">
        <v>0</v>
      </c>
      <c r="AB17" s="111">
        <v>12</v>
      </c>
      <c r="AC17" s="122">
        <f>W17+X17+Y17+Z17+AA17+AB17</f>
        <v>220.15179999999987</v>
      </c>
      <c r="AD17" s="109">
        <v>1910939.6919999977</v>
      </c>
      <c r="AE17" s="112"/>
      <c r="AF17" s="128">
        <v>265.94999999999709</v>
      </c>
      <c r="AG17" s="130">
        <v>0</v>
      </c>
      <c r="AH17" s="129">
        <f>AF17+AG17</f>
        <v>265.94999999999709</v>
      </c>
      <c r="AI17" s="132">
        <v>3191399.9999999651</v>
      </c>
      <c r="AJ17" s="21"/>
    </row>
    <row r="18" spans="1:36" ht="15">
      <c r="A18" s="19"/>
      <c r="B18" s="64">
        <v>12</v>
      </c>
      <c r="C18" s="158">
        <v>3</v>
      </c>
      <c r="D18" s="158">
        <v>39</v>
      </c>
      <c r="E18" s="123">
        <v>9839.999999999236</v>
      </c>
      <c r="F18" s="123">
        <v>10192075.199999208</v>
      </c>
      <c r="G18" s="110">
        <v>1920.0000000000728</v>
      </c>
      <c r="H18" s="110">
        <v>2983046.4000001131</v>
      </c>
      <c r="I18" s="105">
        <f>F18+H18</f>
        <v>13175121.59999932</v>
      </c>
      <c r="J18" s="157">
        <v>1240.0000000000091</v>
      </c>
      <c r="K18" s="157">
        <v>1284367.2000000095</v>
      </c>
      <c r="L18" s="119">
        <v>300.00000000001137</v>
      </c>
      <c r="M18" s="121">
        <v>466101.0000000177</v>
      </c>
      <c r="N18" s="107">
        <f>K18+M18</f>
        <v>1750468.2000000272</v>
      </c>
      <c r="O18" s="105">
        <f>I18+N18</f>
        <v>14925589.799999347</v>
      </c>
      <c r="P18" s="107">
        <f>E18+G18+J18+L18</f>
        <v>13299.999999999329</v>
      </c>
      <c r="Q18" s="122">
        <f>R18+T18</f>
        <v>818</v>
      </c>
      <c r="R18" s="123">
        <v>422</v>
      </c>
      <c r="S18" s="123">
        <v>7583551</v>
      </c>
      <c r="T18" s="116">
        <v>396</v>
      </c>
      <c r="U18" s="116">
        <v>1883249.28</v>
      </c>
      <c r="V18" s="114">
        <f>S18+U18</f>
        <v>9466800.2799999993</v>
      </c>
      <c r="W18" s="125">
        <v>0</v>
      </c>
      <c r="X18" s="111">
        <v>0</v>
      </c>
      <c r="Y18" s="109">
        <v>85.474160000000097</v>
      </c>
      <c r="Z18" s="111"/>
      <c r="AA18" s="111">
        <v>0</v>
      </c>
      <c r="AB18" s="111">
        <v>12</v>
      </c>
      <c r="AC18" s="122">
        <f>W18+X18+Y18+Z18+AA18+AB18</f>
        <v>97.474160000000097</v>
      </c>
      <c r="AD18" s="109">
        <v>3143458.1104000015</v>
      </c>
      <c r="AE18" s="112"/>
      <c r="AF18" s="128">
        <v>179.95999999999185</v>
      </c>
      <c r="AG18" s="130">
        <v>0</v>
      </c>
      <c r="AH18" s="129">
        <f>AF18+AG18</f>
        <v>179.95999999999185</v>
      </c>
      <c r="AI18" s="132">
        <v>2159519.9999999022</v>
      </c>
      <c r="AJ18" s="21"/>
    </row>
    <row r="19" spans="1:36" ht="15">
      <c r="A19" s="19"/>
      <c r="B19" s="81">
        <v>13</v>
      </c>
      <c r="C19" s="158">
        <v>2</v>
      </c>
      <c r="D19" s="158">
        <v>73</v>
      </c>
      <c r="E19" s="123">
        <v>10600.000000000364</v>
      </c>
      <c r="F19" s="123">
        <v>10979268.000000376</v>
      </c>
      <c r="G19" s="110">
        <v>2199.9999999999318</v>
      </c>
      <c r="H19" s="110">
        <v>3418073.9999998943</v>
      </c>
      <c r="I19" s="105">
        <f>F19+H19</f>
        <v>14397342.00000027</v>
      </c>
      <c r="J19" s="157">
        <v>1200.0000000000455</v>
      </c>
      <c r="K19" s="157">
        <v>1242936.000000047</v>
      </c>
      <c r="L19" s="119">
        <v>400.00000000000568</v>
      </c>
      <c r="M19" s="121">
        <v>621468.00000000885</v>
      </c>
      <c r="N19" s="107">
        <f>K19+M19</f>
        <v>1864404.0000000559</v>
      </c>
      <c r="O19" s="105">
        <f>I19+N19</f>
        <v>16261746.000000326</v>
      </c>
      <c r="P19" s="107">
        <f>E19+G19+J19+L19</f>
        <v>14400.000000000346</v>
      </c>
      <c r="Q19" s="122">
        <f>R19+T19</f>
        <v>596</v>
      </c>
      <c r="R19" s="123">
        <v>222</v>
      </c>
      <c r="S19" s="123">
        <v>3989451</v>
      </c>
      <c r="T19" s="116">
        <v>374</v>
      </c>
      <c r="U19" s="116">
        <v>1778624.32</v>
      </c>
      <c r="V19" s="114">
        <f>S19+U19</f>
        <v>5768075.3200000003</v>
      </c>
      <c r="W19" s="125">
        <v>0.2819600000281352</v>
      </c>
      <c r="X19" s="111">
        <v>0</v>
      </c>
      <c r="Y19" s="109">
        <v>92.442599999999942</v>
      </c>
      <c r="Z19" s="111"/>
      <c r="AA19" s="111">
        <v>0</v>
      </c>
      <c r="AB19" s="111">
        <v>0</v>
      </c>
      <c r="AC19" s="122">
        <f>W19+X19+Y19+Z19+AA19+AB19</f>
        <v>92.724560000028077</v>
      </c>
      <c r="AD19" s="109">
        <v>1477587.6550804034</v>
      </c>
      <c r="AE19" s="112"/>
      <c r="AF19" s="128">
        <v>0</v>
      </c>
      <c r="AG19" s="130">
        <v>0</v>
      </c>
      <c r="AH19" s="129">
        <f>AF19+AG19</f>
        <v>0</v>
      </c>
      <c r="AI19" s="132">
        <v>0</v>
      </c>
      <c r="AJ19" s="21"/>
    </row>
    <row r="20" spans="1:36" ht="15">
      <c r="A20" s="19"/>
      <c r="B20" s="64">
        <v>14</v>
      </c>
      <c r="C20" s="158">
        <v>31</v>
      </c>
      <c r="D20" s="158">
        <v>143</v>
      </c>
      <c r="E20" s="123">
        <v>11720.000000000255</v>
      </c>
      <c r="F20" s="123">
        <v>12139341.600000264</v>
      </c>
      <c r="G20" s="110">
        <v>3080.0000000000409</v>
      </c>
      <c r="H20" s="110">
        <v>4785303.6000000639</v>
      </c>
      <c r="I20" s="105">
        <f>F20+H20</f>
        <v>16924645.200000327</v>
      </c>
      <c r="J20" s="157">
        <v>1500</v>
      </c>
      <c r="K20" s="157">
        <v>1553670</v>
      </c>
      <c r="L20" s="119">
        <v>399.99999999997726</v>
      </c>
      <c r="M20" s="121">
        <v>621467.99999996473</v>
      </c>
      <c r="N20" s="107">
        <f>K20+M20</f>
        <v>2175137.9999999646</v>
      </c>
      <c r="O20" s="105">
        <f>I20+N20</f>
        <v>19099783.200000294</v>
      </c>
      <c r="P20" s="107">
        <f>E20+G20+J20+L20</f>
        <v>16700.000000000273</v>
      </c>
      <c r="Q20" s="122">
        <f>R20+T20</f>
        <v>700</v>
      </c>
      <c r="R20" s="123">
        <v>179</v>
      </c>
      <c r="S20" s="123">
        <v>3216719.5</v>
      </c>
      <c r="T20" s="116">
        <v>521</v>
      </c>
      <c r="U20" s="116">
        <v>2477709.2800000003</v>
      </c>
      <c r="V20" s="114">
        <f>S20+U20</f>
        <v>5694428.7800000003</v>
      </c>
      <c r="W20" s="125">
        <v>0</v>
      </c>
      <c r="X20" s="111">
        <v>0</v>
      </c>
      <c r="Y20" s="109">
        <v>83.822680000000005</v>
      </c>
      <c r="Z20" s="111"/>
      <c r="AA20" s="111">
        <v>0</v>
      </c>
      <c r="AB20" s="111">
        <v>12</v>
      </c>
      <c r="AC20" s="122">
        <f>W20+X20+Y20+Z20+AA20+AB20</f>
        <v>95.822680000000005</v>
      </c>
      <c r="AD20" s="109">
        <v>1523133.5192</v>
      </c>
      <c r="AE20" s="112"/>
      <c r="AF20" s="128">
        <v>499.1200000000099</v>
      </c>
      <c r="AG20" s="130">
        <v>48.5</v>
      </c>
      <c r="AH20" s="129">
        <f>AF20+AG20</f>
        <v>547.6200000000099</v>
      </c>
      <c r="AI20" s="132">
        <v>6571440.0000001192</v>
      </c>
      <c r="AJ20" s="21"/>
    </row>
    <row r="21" spans="1:36" ht="15">
      <c r="A21" s="19"/>
      <c r="B21" s="81">
        <v>15</v>
      </c>
      <c r="C21" s="159">
        <v>1</v>
      </c>
      <c r="D21" s="159">
        <v>98</v>
      </c>
      <c r="E21" s="116">
        <v>11960.000000000036</v>
      </c>
      <c r="F21" s="116">
        <v>12387928.800000038</v>
      </c>
      <c r="G21" s="113">
        <v>1919.9999999999591</v>
      </c>
      <c r="H21" s="113">
        <v>2983046.3999999366</v>
      </c>
      <c r="I21" s="105">
        <f>F21+H21</f>
        <v>15370975.199999975</v>
      </c>
      <c r="J21" s="113">
        <v>1579.9999999999272</v>
      </c>
      <c r="K21" s="113">
        <v>1636532.3999999247</v>
      </c>
      <c r="L21" s="113">
        <v>340.00000000000341</v>
      </c>
      <c r="M21" s="116">
        <v>528247.80000000529</v>
      </c>
      <c r="N21" s="107">
        <f>K21+M21</f>
        <v>2164780.1999999299</v>
      </c>
      <c r="O21" s="105">
        <f>I21+N21</f>
        <v>17535755.399999905</v>
      </c>
      <c r="P21" s="107">
        <f>E21+G21+J21+L21</f>
        <v>15799.999999999927</v>
      </c>
      <c r="Q21" s="122">
        <f>R21+T21</f>
        <v>694</v>
      </c>
      <c r="R21" s="123">
        <v>227</v>
      </c>
      <c r="S21" s="123">
        <v>4079303.5</v>
      </c>
      <c r="T21" s="116">
        <v>467</v>
      </c>
      <c r="U21" s="116">
        <v>2220902.56</v>
      </c>
      <c r="V21" s="114">
        <f>S21+U21</f>
        <v>6300206.0600000005</v>
      </c>
      <c r="W21" s="125">
        <v>0</v>
      </c>
      <c r="X21" s="111">
        <v>0</v>
      </c>
      <c r="Y21" s="109">
        <v>86.440879999999908</v>
      </c>
      <c r="Z21" s="111"/>
      <c r="AA21" s="111">
        <v>0</v>
      </c>
      <c r="AB21" s="111">
        <v>12</v>
      </c>
      <c r="AC21" s="122">
        <f>W21+X21+Y21+Z21+AA21+AB21</f>
        <v>98.440879999999908</v>
      </c>
      <c r="AD21" s="109">
        <v>1564867.6271999986</v>
      </c>
      <c r="AE21" s="112"/>
      <c r="AF21" s="128">
        <v>171.79999999998836</v>
      </c>
      <c r="AG21" s="130">
        <v>0</v>
      </c>
      <c r="AH21" s="129">
        <f>AF21+AG21</f>
        <v>171.79999999998836</v>
      </c>
      <c r="AI21" s="132">
        <v>2061599.9999998603</v>
      </c>
      <c r="AJ21" s="21"/>
    </row>
    <row r="22" spans="1:36" ht="15">
      <c r="A22" s="19"/>
      <c r="B22" s="64">
        <v>16</v>
      </c>
      <c r="C22" s="159" t="s">
        <v>53</v>
      </c>
      <c r="D22" s="159">
        <v>77</v>
      </c>
      <c r="E22" s="116">
        <v>9799.9999999992724</v>
      </c>
      <c r="F22" s="116">
        <v>10150643.999999246</v>
      </c>
      <c r="G22" s="113">
        <v>1960.0000000000364</v>
      </c>
      <c r="H22" s="113">
        <v>3045193.2000000565</v>
      </c>
      <c r="I22" s="105">
        <f>F22+H22</f>
        <v>13195837.199999303</v>
      </c>
      <c r="J22" s="113">
        <v>1320.00000000005</v>
      </c>
      <c r="K22" s="113">
        <v>1367229.6000000518</v>
      </c>
      <c r="L22" s="113">
        <v>340.00000000000341</v>
      </c>
      <c r="M22" s="116">
        <v>528247.80000000529</v>
      </c>
      <c r="N22" s="107">
        <f>K22+M22</f>
        <v>1895477.4000000572</v>
      </c>
      <c r="O22" s="105">
        <f>I22+N22</f>
        <v>15091314.599999361</v>
      </c>
      <c r="P22" s="107">
        <f>E22+G22+J22+L22</f>
        <v>13419.999999999363</v>
      </c>
      <c r="Q22" s="122">
        <f>R22+T22</f>
        <v>804</v>
      </c>
      <c r="R22" s="123">
        <v>232</v>
      </c>
      <c r="S22" s="123">
        <v>4169156</v>
      </c>
      <c r="T22" s="116">
        <v>572</v>
      </c>
      <c r="U22" s="116">
        <v>2720248.96</v>
      </c>
      <c r="V22" s="114">
        <f>S22+U22</f>
        <v>6889404.96</v>
      </c>
      <c r="W22" s="125">
        <v>0</v>
      </c>
      <c r="X22" s="111">
        <v>0</v>
      </c>
      <c r="Y22" s="109">
        <v>99.370760000000047</v>
      </c>
      <c r="Z22" s="111">
        <v>100</v>
      </c>
      <c r="AA22" s="111">
        <v>0</v>
      </c>
      <c r="AB22" s="111">
        <v>12</v>
      </c>
      <c r="AC22" s="122">
        <f>W22+X22+Y22+Z22+AA22+AB22</f>
        <v>211.37076000000005</v>
      </c>
      <c r="AD22" s="109">
        <v>1770969.9144000008</v>
      </c>
      <c r="AE22" s="112"/>
      <c r="AF22" s="128">
        <v>246.80000000000291</v>
      </c>
      <c r="AG22" s="130">
        <v>0</v>
      </c>
      <c r="AH22" s="129">
        <f>AF22+AG22</f>
        <v>246.80000000000291</v>
      </c>
      <c r="AI22" s="132">
        <v>2961600.0000000349</v>
      </c>
      <c r="AJ22" s="21"/>
    </row>
    <row r="23" spans="1:36" ht="15">
      <c r="A23" s="19"/>
      <c r="B23" s="81">
        <v>17</v>
      </c>
      <c r="C23" s="159" t="s">
        <v>53</v>
      </c>
      <c r="D23" s="159">
        <v>31</v>
      </c>
      <c r="E23" s="116">
        <v>9640.0000000003274</v>
      </c>
      <c r="F23" s="116">
        <v>9984919.2000003383</v>
      </c>
      <c r="G23" s="113">
        <v>2039.9999999999636</v>
      </c>
      <c r="H23" s="113">
        <v>3169486.7999999435</v>
      </c>
      <c r="I23" s="105">
        <f>F23+H23</f>
        <v>13154406.000000281</v>
      </c>
      <c r="J23" s="113">
        <v>1220.0000000000273</v>
      </c>
      <c r="K23" s="113">
        <v>1263651.6000000283</v>
      </c>
      <c r="L23" s="113">
        <v>360.00000000001364</v>
      </c>
      <c r="M23" s="116">
        <v>559321.20000002126</v>
      </c>
      <c r="N23" s="107">
        <f>K23+M23</f>
        <v>1822972.8000000496</v>
      </c>
      <c r="O23" s="105">
        <f>I23+N23</f>
        <v>14977378.80000033</v>
      </c>
      <c r="P23" s="107">
        <f>E23+G23+J23+L23</f>
        <v>13260.000000000331</v>
      </c>
      <c r="Q23" s="122">
        <f>R23+T23</f>
        <v>744</v>
      </c>
      <c r="R23" s="123">
        <v>215</v>
      </c>
      <c r="S23" s="123">
        <v>3863657.5</v>
      </c>
      <c r="T23" s="116">
        <v>529</v>
      </c>
      <c r="U23" s="116">
        <v>2515754.7200000002</v>
      </c>
      <c r="V23" s="114">
        <f>S23+U23</f>
        <v>6379412.2200000007</v>
      </c>
      <c r="W23" s="125">
        <v>0</v>
      </c>
      <c r="X23" s="111">
        <v>0</v>
      </c>
      <c r="Y23" s="109">
        <v>81.446159999999878</v>
      </c>
      <c r="Z23" s="111"/>
      <c r="AA23" s="111">
        <v>0</v>
      </c>
      <c r="AB23" s="111">
        <v>12</v>
      </c>
      <c r="AC23" s="122">
        <f>W23+X23+Y23+Z23+AA23+AB23</f>
        <v>93.446159999999878</v>
      </c>
      <c r="AD23" s="109">
        <v>3079251.790399998</v>
      </c>
      <c r="AE23" s="112"/>
      <c r="AF23" s="128">
        <v>268.19999999999709</v>
      </c>
      <c r="AG23" s="130">
        <v>0</v>
      </c>
      <c r="AH23" s="129">
        <f>AF23+AG23</f>
        <v>268.19999999999709</v>
      </c>
      <c r="AI23" s="132">
        <v>3218399.9999999651</v>
      </c>
      <c r="AJ23" s="21"/>
    </row>
    <row r="24" spans="1:36" ht="15">
      <c r="A24" s="19"/>
      <c r="B24" s="64">
        <v>18</v>
      </c>
      <c r="C24" s="159" t="s">
        <v>53</v>
      </c>
      <c r="D24" s="159">
        <v>32</v>
      </c>
      <c r="E24" s="116">
        <v>9239.9999999997817</v>
      </c>
      <c r="F24" s="116">
        <v>9570607.1999997739</v>
      </c>
      <c r="G24" s="113">
        <v>1800.0000000000682</v>
      </c>
      <c r="H24" s="113">
        <v>2796606.0000001062</v>
      </c>
      <c r="I24" s="105">
        <f>F24+H24</f>
        <v>12367213.19999988</v>
      </c>
      <c r="J24" s="113">
        <v>1159.9999999999682</v>
      </c>
      <c r="K24" s="117">
        <v>1201504.799999967</v>
      </c>
      <c r="L24" s="113">
        <v>299.99999999998295</v>
      </c>
      <c r="M24" s="116">
        <v>466100.99999997352</v>
      </c>
      <c r="N24" s="107">
        <f>K24+M24</f>
        <v>1667605.7999999404</v>
      </c>
      <c r="O24" s="105">
        <f>I24+N24</f>
        <v>14034818.999999821</v>
      </c>
      <c r="P24" s="107">
        <f>E24+G24+J24+L24</f>
        <v>12499.999999999802</v>
      </c>
      <c r="Q24" s="122">
        <f>R24+T24</f>
        <v>779</v>
      </c>
      <c r="R24" s="123">
        <v>212</v>
      </c>
      <c r="S24" s="123">
        <v>3809746</v>
      </c>
      <c r="T24" s="116">
        <v>567</v>
      </c>
      <c r="U24" s="116">
        <v>2696470.56</v>
      </c>
      <c r="V24" s="114">
        <f>S24+U24</f>
        <v>6506216.5600000005</v>
      </c>
      <c r="W24" s="125">
        <v>0</v>
      </c>
      <c r="X24" s="111">
        <v>0</v>
      </c>
      <c r="Y24" s="109">
        <v>96.373927999999935</v>
      </c>
      <c r="Z24" s="111"/>
      <c r="AA24" s="111">
        <v>0</v>
      </c>
      <c r="AB24" s="111">
        <v>12</v>
      </c>
      <c r="AC24" s="122">
        <f>W24+X24+Y24+Z24+AA24+AB24</f>
        <v>108.37392799999994</v>
      </c>
      <c r="AD24" s="109">
        <v>1723200.412319999</v>
      </c>
      <c r="AE24" s="112"/>
      <c r="AF24" s="128">
        <v>235.9600000000064</v>
      </c>
      <c r="AG24" s="130">
        <v>0</v>
      </c>
      <c r="AH24" s="129">
        <f>AF24+AG24</f>
        <v>235.9600000000064</v>
      </c>
      <c r="AI24" s="132">
        <v>2831520.0000000768</v>
      </c>
      <c r="AJ24" s="21"/>
    </row>
    <row r="25" spans="1:36" ht="15">
      <c r="A25" s="19"/>
      <c r="B25" s="81">
        <v>19</v>
      </c>
      <c r="C25" s="159">
        <v>3</v>
      </c>
      <c r="D25" s="159">
        <v>44</v>
      </c>
      <c r="E25" s="116">
        <v>9880.0000000001091</v>
      </c>
      <c r="F25" s="116">
        <v>10233506.400000112</v>
      </c>
      <c r="G25" s="113">
        <v>2000</v>
      </c>
      <c r="H25" s="113">
        <v>3107340</v>
      </c>
      <c r="I25" s="105">
        <f>F25+H25</f>
        <v>13340846.400000112</v>
      </c>
      <c r="J25" s="113">
        <v>1139.9999999999864</v>
      </c>
      <c r="K25" s="113">
        <v>1180789.1999999858</v>
      </c>
      <c r="L25" s="113">
        <v>360.00000000001364</v>
      </c>
      <c r="M25" s="116">
        <v>559321.20000002126</v>
      </c>
      <c r="N25" s="107">
        <f>K25+M25</f>
        <v>1740110.4000000069</v>
      </c>
      <c r="O25" s="105">
        <f>I25+N25</f>
        <v>15080956.80000012</v>
      </c>
      <c r="P25" s="107">
        <f>E25+G25+J25+L25</f>
        <v>13380.000000000109</v>
      </c>
      <c r="Q25" s="122">
        <f>R25+T25</f>
        <v>815</v>
      </c>
      <c r="R25" s="123">
        <v>292</v>
      </c>
      <c r="S25" s="123">
        <v>5247386</v>
      </c>
      <c r="T25" s="116">
        <v>523</v>
      </c>
      <c r="U25" s="116">
        <v>2487220.64</v>
      </c>
      <c r="V25" s="114">
        <f>S25+U25</f>
        <v>7734606.6400000006</v>
      </c>
      <c r="W25" s="125">
        <v>0</v>
      </c>
      <c r="X25" s="111">
        <v>0</v>
      </c>
      <c r="Y25" s="109">
        <v>92.458712000000247</v>
      </c>
      <c r="Z25" s="111"/>
      <c r="AA25" s="111">
        <v>0</v>
      </c>
      <c r="AB25" s="111">
        <v>12</v>
      </c>
      <c r="AC25" s="122">
        <f>W25+X25+Y25+Z25+AA25+AB25</f>
        <v>104.45871200000025</v>
      </c>
      <c r="AD25" s="109">
        <v>1660791.8692800039</v>
      </c>
      <c r="AE25" s="112"/>
      <c r="AF25" s="128">
        <v>161.7899999999936</v>
      </c>
      <c r="AG25" s="130">
        <v>51.100000000005821</v>
      </c>
      <c r="AH25" s="129">
        <f>AF25+AG25</f>
        <v>212.88999999999942</v>
      </c>
      <c r="AI25" s="132">
        <v>2554679.999999993</v>
      </c>
      <c r="AJ25" s="21"/>
    </row>
    <row r="26" spans="1:36" ht="15">
      <c r="A26" s="19"/>
      <c r="B26" s="64">
        <v>20</v>
      </c>
      <c r="C26" s="159">
        <v>3</v>
      </c>
      <c r="D26" s="159">
        <v>56</v>
      </c>
      <c r="E26" s="116">
        <v>9520.0000000004366</v>
      </c>
      <c r="F26" s="116">
        <v>9860625.6000004523</v>
      </c>
      <c r="G26" s="113">
        <v>1879.9999999999955</v>
      </c>
      <c r="H26" s="113">
        <v>2920899.5999999931</v>
      </c>
      <c r="I26" s="105">
        <f>F26+H26</f>
        <v>12781525.200000446</v>
      </c>
      <c r="J26" s="113">
        <v>1600.0000000000227</v>
      </c>
      <c r="K26" s="113">
        <v>1657248.0000000235</v>
      </c>
      <c r="L26" s="113">
        <v>340.00000000000341</v>
      </c>
      <c r="M26" s="116">
        <v>528247.80000000529</v>
      </c>
      <c r="N26" s="107">
        <f>K26+M26</f>
        <v>2185495.8000000287</v>
      </c>
      <c r="O26" s="105">
        <f>I26+N26</f>
        <v>14967021.000000475</v>
      </c>
      <c r="P26" s="107">
        <f>E26+G26+J26+L26</f>
        <v>13340.000000000458</v>
      </c>
      <c r="Q26" s="122">
        <f>R26+T26</f>
        <v>768</v>
      </c>
      <c r="R26" s="123">
        <v>220</v>
      </c>
      <c r="S26" s="123">
        <v>3953510</v>
      </c>
      <c r="T26" s="116">
        <v>548</v>
      </c>
      <c r="U26" s="116">
        <v>2606112.64</v>
      </c>
      <c r="V26" s="114">
        <f>S26+U26</f>
        <v>6559622.6400000006</v>
      </c>
      <c r="W26" s="125">
        <v>0</v>
      </c>
      <c r="X26" s="111">
        <v>0</v>
      </c>
      <c r="Y26" s="109">
        <v>93.610720000000029</v>
      </c>
      <c r="Z26" s="111"/>
      <c r="AA26" s="111">
        <v>0</v>
      </c>
      <c r="AB26" s="111">
        <v>24</v>
      </c>
      <c r="AC26" s="122">
        <f>W26+X26+Y26+Z26+AA26+AB26</f>
        <v>117.61072000000003</v>
      </c>
      <c r="AD26" s="109">
        <v>1866154.8768000004</v>
      </c>
      <c r="AE26" s="112"/>
      <c r="AF26" s="128">
        <v>100.43000000000757</v>
      </c>
      <c r="AG26" s="130">
        <v>0</v>
      </c>
      <c r="AH26" s="129">
        <f>AF26+AG26</f>
        <v>100.43000000000757</v>
      </c>
      <c r="AI26" s="132">
        <v>1205160.0000000908</v>
      </c>
      <c r="AJ26" s="21"/>
    </row>
    <row r="27" spans="1:36" ht="15">
      <c r="A27" s="19"/>
      <c r="B27" s="81">
        <v>21</v>
      </c>
      <c r="C27" s="158">
        <v>3</v>
      </c>
      <c r="D27" s="158">
        <v>100</v>
      </c>
      <c r="E27" s="123">
        <v>9399.9999999996362</v>
      </c>
      <c r="F27" s="123">
        <v>9736331.9999996237</v>
      </c>
      <c r="G27" s="110">
        <v>1879.9999999999955</v>
      </c>
      <c r="H27" s="110">
        <v>2920899.5999999931</v>
      </c>
      <c r="I27" s="105">
        <f>F27+H27</f>
        <v>12657231.599999618</v>
      </c>
      <c r="J27" s="157">
        <v>1539.9999999999636</v>
      </c>
      <c r="K27" s="157">
        <v>1595101.1999999622</v>
      </c>
      <c r="L27" s="119">
        <v>479.99999999998977</v>
      </c>
      <c r="M27" s="121">
        <v>745761.59999998414</v>
      </c>
      <c r="N27" s="107">
        <f>K27+M27</f>
        <v>2340862.7999999463</v>
      </c>
      <c r="O27" s="105">
        <f>I27+N27</f>
        <v>14998094.399999565</v>
      </c>
      <c r="P27" s="107">
        <f>E27+G27+J27+L27</f>
        <v>13299.999999999585</v>
      </c>
      <c r="Q27" s="122">
        <f>R27+T27</f>
        <v>782</v>
      </c>
      <c r="R27" s="123">
        <v>219</v>
      </c>
      <c r="S27" s="123">
        <v>3935539.5</v>
      </c>
      <c r="T27" s="116">
        <v>563</v>
      </c>
      <c r="U27" s="116">
        <v>2677447.8400000003</v>
      </c>
      <c r="V27" s="114">
        <f>S27+U27</f>
        <v>6612987.3399999999</v>
      </c>
      <c r="W27" s="125">
        <v>0</v>
      </c>
      <c r="X27" s="111">
        <v>0</v>
      </c>
      <c r="Y27" s="109">
        <v>90.227199999999897</v>
      </c>
      <c r="Z27" s="111"/>
      <c r="AA27" s="111">
        <v>0</v>
      </c>
      <c r="AB27" s="111">
        <v>0</v>
      </c>
      <c r="AC27" s="122">
        <f>W27+X27+Y27+Z27+AA27+AB27</f>
        <v>90.227199999999897</v>
      </c>
      <c r="AD27" s="109">
        <v>1438221.5679999983</v>
      </c>
      <c r="AE27" s="112"/>
      <c r="AF27" s="128">
        <v>332.66000000000349</v>
      </c>
      <c r="AG27" s="130">
        <v>0</v>
      </c>
      <c r="AH27" s="129">
        <f>AF27+AG27</f>
        <v>332.66000000000349</v>
      </c>
      <c r="AI27" s="132">
        <v>3991920.0000000419</v>
      </c>
      <c r="AJ27" s="21"/>
    </row>
    <row r="28" spans="1:36" ht="15">
      <c r="A28" s="19"/>
      <c r="B28" s="64">
        <v>22</v>
      </c>
      <c r="C28" s="158">
        <v>6</v>
      </c>
      <c r="D28" s="158">
        <v>111</v>
      </c>
      <c r="E28" s="123">
        <v>10079.999999999927</v>
      </c>
      <c r="F28" s="123">
        <v>10440662.399999924</v>
      </c>
      <c r="G28" s="110">
        <v>1839.9999999999181</v>
      </c>
      <c r="H28" s="110">
        <v>2858752.7999998732</v>
      </c>
      <c r="I28" s="105">
        <f>F28+H28</f>
        <v>13299415.199999798</v>
      </c>
      <c r="J28" s="157">
        <v>1500</v>
      </c>
      <c r="K28" s="157">
        <v>1553670</v>
      </c>
      <c r="L28" s="119">
        <v>479.99999999998977</v>
      </c>
      <c r="M28" s="121">
        <v>745761.59999998414</v>
      </c>
      <c r="N28" s="107">
        <f>K28+M28</f>
        <v>2299431.5999999843</v>
      </c>
      <c r="O28" s="105">
        <f>I28+N28</f>
        <v>15598846.799999783</v>
      </c>
      <c r="P28" s="107">
        <f>E28+G28+J28+L28</f>
        <v>13899.999999999834</v>
      </c>
      <c r="Q28" s="122">
        <f>R28+T28</f>
        <v>727</v>
      </c>
      <c r="R28" s="123">
        <v>249</v>
      </c>
      <c r="S28" s="123">
        <v>4474654.5</v>
      </c>
      <c r="T28" s="116">
        <v>478</v>
      </c>
      <c r="U28" s="116">
        <v>2273215.04</v>
      </c>
      <c r="V28" s="114">
        <f>S28+U28</f>
        <v>6747869.54</v>
      </c>
      <c r="W28" s="125">
        <v>0</v>
      </c>
      <c r="X28" s="111">
        <v>0</v>
      </c>
      <c r="Y28" s="109">
        <v>75.726399999999813</v>
      </c>
      <c r="Z28" s="111">
        <v>100</v>
      </c>
      <c r="AA28" s="111">
        <v>0</v>
      </c>
      <c r="AB28" s="111">
        <v>12</v>
      </c>
      <c r="AC28" s="122">
        <f>W28+X28+Y28+Z28+AA28+AB28</f>
        <v>187.72639999999981</v>
      </c>
      <c r="AD28" s="109">
        <v>1394078.8159999971</v>
      </c>
      <c r="AE28" s="112"/>
      <c r="AF28" s="128">
        <v>135.92999999999302</v>
      </c>
      <c r="AG28" s="130">
        <v>0</v>
      </c>
      <c r="AH28" s="129">
        <f>AF28+AG28</f>
        <v>135.92999999999302</v>
      </c>
      <c r="AI28" s="132">
        <v>1631159.9999999162</v>
      </c>
      <c r="AJ28" s="21"/>
    </row>
    <row r="29" spans="1:36" ht="15">
      <c r="A29" s="19"/>
      <c r="B29" s="81">
        <v>23</v>
      </c>
      <c r="C29" s="158">
        <v>5</v>
      </c>
      <c r="D29" s="158">
        <v>86</v>
      </c>
      <c r="E29" s="123">
        <v>10000</v>
      </c>
      <c r="F29" s="123">
        <v>10357800</v>
      </c>
      <c r="G29" s="110">
        <v>2160.0000000000819</v>
      </c>
      <c r="H29" s="110">
        <v>3355927.2000001273</v>
      </c>
      <c r="I29" s="105">
        <f>F29+H29</f>
        <v>13713727.200000128</v>
      </c>
      <c r="J29" s="157">
        <v>1399.9999999999773</v>
      </c>
      <c r="K29" s="157">
        <v>1450091.9999999765</v>
      </c>
      <c r="L29" s="119">
        <v>320.0000000000216</v>
      </c>
      <c r="M29" s="121">
        <v>497174.40000003361</v>
      </c>
      <c r="N29" s="107">
        <f>K29+M29</f>
        <v>1947266.4000000102</v>
      </c>
      <c r="O29" s="105">
        <f>I29+N29</f>
        <v>15660993.600000137</v>
      </c>
      <c r="P29" s="107">
        <f>E29+G29+J29+L29</f>
        <v>13880.00000000008</v>
      </c>
      <c r="Q29" s="122">
        <f>R29+T29</f>
        <v>745</v>
      </c>
      <c r="R29" s="123">
        <v>192</v>
      </c>
      <c r="S29" s="123">
        <v>3450336</v>
      </c>
      <c r="T29" s="116">
        <v>553</v>
      </c>
      <c r="U29" s="116">
        <v>2629891.04</v>
      </c>
      <c r="V29" s="114">
        <f>S29+U29</f>
        <v>6080227.04</v>
      </c>
      <c r="W29" s="125">
        <v>0</v>
      </c>
      <c r="X29" s="111">
        <v>0</v>
      </c>
      <c r="Y29" s="109">
        <v>93.892680000000226</v>
      </c>
      <c r="Z29" s="111"/>
      <c r="AA29" s="111">
        <v>0</v>
      </c>
      <c r="AB29" s="111">
        <v>12</v>
      </c>
      <c r="AC29" s="122">
        <f>W29+X29+Y29+Z29+AA29+AB29</f>
        <v>105.89268000000023</v>
      </c>
      <c r="AD29" s="109">
        <v>3277649.3192000035</v>
      </c>
      <c r="AE29" s="112"/>
      <c r="AF29" s="128">
        <v>73.910000000003492</v>
      </c>
      <c r="AG29" s="130">
        <v>0</v>
      </c>
      <c r="AH29" s="129">
        <f>AF29+AG29</f>
        <v>73.910000000003492</v>
      </c>
      <c r="AI29" s="132">
        <v>886920.00000004191</v>
      </c>
      <c r="AJ29" s="21"/>
    </row>
    <row r="30" spans="1:36" ht="15">
      <c r="A30" s="19"/>
      <c r="B30" s="64">
        <v>24</v>
      </c>
      <c r="C30" s="158">
        <v>2</v>
      </c>
      <c r="D30" s="158">
        <v>43</v>
      </c>
      <c r="E30" s="123">
        <v>10079.999999999927</v>
      </c>
      <c r="F30" s="123">
        <v>10440662.399999924</v>
      </c>
      <c r="G30" s="110">
        <v>2079.9999999999272</v>
      </c>
      <c r="H30" s="110">
        <v>3231633.5999998869</v>
      </c>
      <c r="I30" s="105">
        <f>F30+H30</f>
        <v>13672295.99999981</v>
      </c>
      <c r="J30" s="157">
        <v>1180.0000000000637</v>
      </c>
      <c r="K30" s="157">
        <v>1222220.4000000658</v>
      </c>
      <c r="L30" s="119">
        <v>299.99999999998295</v>
      </c>
      <c r="M30" s="121">
        <v>466100.99999997352</v>
      </c>
      <c r="N30" s="107">
        <f>K30+M30</f>
        <v>1688321.4000000393</v>
      </c>
      <c r="O30" s="105">
        <f>I30+N30</f>
        <v>15360617.399999849</v>
      </c>
      <c r="P30" s="107">
        <f>E30+G30+J30+L30</f>
        <v>13639.999999999902</v>
      </c>
      <c r="Q30" s="122">
        <f>R30+T30</f>
        <v>780</v>
      </c>
      <c r="R30" s="123">
        <v>220</v>
      </c>
      <c r="S30" s="123">
        <v>3953510</v>
      </c>
      <c r="T30" s="116">
        <v>560</v>
      </c>
      <c r="U30" s="116">
        <v>2663180.8000000003</v>
      </c>
      <c r="V30" s="114">
        <f>S30+U30</f>
        <v>6616690.8000000007</v>
      </c>
      <c r="W30" s="125">
        <v>0</v>
      </c>
      <c r="X30" s="111">
        <v>0</v>
      </c>
      <c r="Y30" s="109">
        <v>100.37775999999982</v>
      </c>
      <c r="Z30" s="111"/>
      <c r="AA30" s="111">
        <v>0</v>
      </c>
      <c r="AB30" s="111">
        <v>0</v>
      </c>
      <c r="AC30" s="122">
        <f>W30+X30+Y30+Z30+AA30+AB30</f>
        <v>100.37775999999982</v>
      </c>
      <c r="AD30" s="109">
        <v>1600021.4943999972</v>
      </c>
      <c r="AE30" s="112"/>
      <c r="AF30" s="128">
        <v>159.69999999999709</v>
      </c>
      <c r="AG30" s="130">
        <v>0</v>
      </c>
      <c r="AH30" s="129">
        <f>AF30+AG30</f>
        <v>159.69999999999709</v>
      </c>
      <c r="AI30" s="132">
        <v>1916399.9999999651</v>
      </c>
      <c r="AJ30" s="21"/>
    </row>
    <row r="31" spans="1:36" ht="15">
      <c r="A31" s="19"/>
      <c r="B31" s="81">
        <v>25</v>
      </c>
      <c r="C31" s="158">
        <v>3</v>
      </c>
      <c r="D31" s="158">
        <v>31</v>
      </c>
      <c r="E31" s="123">
        <v>10480.000000000473</v>
      </c>
      <c r="F31" s="123">
        <v>10854974.40000049</v>
      </c>
      <c r="G31" s="110">
        <v>2160.0000000000819</v>
      </c>
      <c r="H31" s="110">
        <v>3355927.2000001273</v>
      </c>
      <c r="I31" s="105">
        <f>F31+H31</f>
        <v>14210901.600000618</v>
      </c>
      <c r="J31" s="157">
        <v>1319.9999999999363</v>
      </c>
      <c r="K31" s="157">
        <v>1367229.599999934</v>
      </c>
      <c r="L31" s="119">
        <v>379.99999999999545</v>
      </c>
      <c r="M31" s="121">
        <v>590394.59999999299</v>
      </c>
      <c r="N31" s="107">
        <f>K31+M31</f>
        <v>1957624.1999999271</v>
      </c>
      <c r="O31" s="105">
        <f>I31+N31</f>
        <v>16168525.800000545</v>
      </c>
      <c r="P31" s="107">
        <f>E31+G31+J31+L31</f>
        <v>14340.000000000487</v>
      </c>
      <c r="Q31" s="122">
        <f>R31+T31</f>
        <v>772</v>
      </c>
      <c r="R31" s="123">
        <v>212</v>
      </c>
      <c r="S31" s="123">
        <v>3809746</v>
      </c>
      <c r="T31" s="116">
        <v>560</v>
      </c>
      <c r="U31" s="116">
        <v>2663180.8000000003</v>
      </c>
      <c r="V31" s="114">
        <f>S31+U31</f>
        <v>6472926.8000000007</v>
      </c>
      <c r="W31" s="125">
        <v>0</v>
      </c>
      <c r="X31" s="111">
        <v>0</v>
      </c>
      <c r="Y31" s="109">
        <v>82.614279999999951</v>
      </c>
      <c r="Z31" s="111"/>
      <c r="AA31" s="111">
        <v>0</v>
      </c>
      <c r="AB31" s="111">
        <v>12</v>
      </c>
      <c r="AC31" s="122">
        <f>W31+X31+Y31+Z31+AA31+AB31</f>
        <v>94.614279999999951</v>
      </c>
      <c r="AD31" s="109">
        <v>1503871.6231999993</v>
      </c>
      <c r="AE31" s="112"/>
      <c r="AF31" s="128">
        <v>97.570000000006985</v>
      </c>
      <c r="AG31" s="130">
        <v>0</v>
      </c>
      <c r="AH31" s="129">
        <f>AF31+AG31</f>
        <v>97.570000000006985</v>
      </c>
      <c r="AI31" s="132">
        <v>1170840.0000000838</v>
      </c>
      <c r="AJ31" s="21"/>
    </row>
    <row r="32" spans="1:36" ht="15">
      <c r="A32" s="19"/>
      <c r="B32" s="64">
        <v>26</v>
      </c>
      <c r="C32" s="158">
        <v>4</v>
      </c>
      <c r="D32" s="158">
        <v>32</v>
      </c>
      <c r="E32" s="123">
        <v>10960.000000000036</v>
      </c>
      <c r="F32" s="123">
        <v>11352148.800000038</v>
      </c>
      <c r="G32" s="110">
        <v>2199.9999999999318</v>
      </c>
      <c r="H32" s="110">
        <v>3418073.9999998943</v>
      </c>
      <c r="I32" s="105">
        <f>F32+H32</f>
        <v>14770222.799999932</v>
      </c>
      <c r="J32" s="157">
        <v>1139.9999999999864</v>
      </c>
      <c r="K32" s="157">
        <v>1180789.1999999858</v>
      </c>
      <c r="L32" s="119">
        <v>320.0000000000216</v>
      </c>
      <c r="M32" s="121">
        <v>497174.40000003361</v>
      </c>
      <c r="N32" s="107">
        <f>K32+M32</f>
        <v>1677963.6000000194</v>
      </c>
      <c r="O32" s="105">
        <f>I32+N32</f>
        <v>16448186.399999952</v>
      </c>
      <c r="P32" s="107">
        <f>E32+G32+J32+L32</f>
        <v>14619.999999999975</v>
      </c>
      <c r="Q32" s="122">
        <f>R32+T32</f>
        <v>615</v>
      </c>
      <c r="R32" s="123">
        <v>140</v>
      </c>
      <c r="S32" s="123">
        <v>2515870</v>
      </c>
      <c r="T32" s="116">
        <v>475</v>
      </c>
      <c r="U32" s="116">
        <v>2258948</v>
      </c>
      <c r="V32" s="114">
        <f>S32+U32</f>
        <v>4774818</v>
      </c>
      <c r="W32" s="125">
        <v>0</v>
      </c>
      <c r="X32" s="111">
        <v>0</v>
      </c>
      <c r="Y32" s="109">
        <v>68.475999999999999</v>
      </c>
      <c r="Z32" s="111"/>
      <c r="AA32" s="111">
        <v>0</v>
      </c>
      <c r="AB32" s="111">
        <v>24</v>
      </c>
      <c r="AC32" s="122">
        <f>W32+X32+Y32+Z32+AA32+AB32</f>
        <v>92.475999999999999</v>
      </c>
      <c r="AD32" s="109">
        <v>1465507.44</v>
      </c>
      <c r="AE32" s="112"/>
      <c r="AF32" s="128">
        <v>387.77999999999884</v>
      </c>
      <c r="AG32" s="130">
        <v>101.60000000000582</v>
      </c>
      <c r="AH32" s="129">
        <f>AF32+AG32</f>
        <v>489.38000000000466</v>
      </c>
      <c r="AI32" s="132">
        <v>5872560.0000000559</v>
      </c>
      <c r="AJ32" s="21"/>
    </row>
    <row r="33" spans="1:36" ht="15">
      <c r="A33" s="19"/>
      <c r="B33" s="81">
        <v>27</v>
      </c>
      <c r="C33" s="158">
        <v>7</v>
      </c>
      <c r="D33" s="158">
        <v>40</v>
      </c>
      <c r="E33" s="123">
        <v>10039.999999999964</v>
      </c>
      <c r="F33" s="123">
        <v>10399231.199999962</v>
      </c>
      <c r="G33" s="110">
        <v>2080.0000000000409</v>
      </c>
      <c r="H33" s="110">
        <v>3231633.6000000639</v>
      </c>
      <c r="I33" s="105">
        <f>F33+H33</f>
        <v>13630864.800000027</v>
      </c>
      <c r="J33" s="157">
        <v>1280.0000000000864</v>
      </c>
      <c r="K33" s="157">
        <v>1325798.4000000895</v>
      </c>
      <c r="L33" s="119">
        <v>340.00000000000341</v>
      </c>
      <c r="M33" s="121">
        <v>528247.80000000529</v>
      </c>
      <c r="N33" s="107">
        <f>K33+M33</f>
        <v>1854046.2000000947</v>
      </c>
      <c r="O33" s="105">
        <f>I33+N33</f>
        <v>15484911.000000121</v>
      </c>
      <c r="P33" s="107">
        <f>E33+G33+J33+L33</f>
        <v>13740.000000000095</v>
      </c>
      <c r="Q33" s="122">
        <f>R33+T33</f>
        <v>762</v>
      </c>
      <c r="R33" s="123">
        <v>218</v>
      </c>
      <c r="S33" s="123">
        <v>3917569</v>
      </c>
      <c r="T33" s="116">
        <v>544</v>
      </c>
      <c r="U33" s="116">
        <v>2587089.9199999999</v>
      </c>
      <c r="V33" s="114">
        <f>S33+U33</f>
        <v>6504658.9199999999</v>
      </c>
      <c r="W33" s="125">
        <v>0</v>
      </c>
      <c r="X33" s="111">
        <v>0</v>
      </c>
      <c r="Y33" s="109">
        <v>75.565279999999959</v>
      </c>
      <c r="Z33" s="111"/>
      <c r="AA33" s="111">
        <v>0</v>
      </c>
      <c r="AB33" s="111">
        <v>0</v>
      </c>
      <c r="AC33" s="122">
        <f>W33+X33+Y33+Z33+AA33+AB33</f>
        <v>75.565279999999959</v>
      </c>
      <c r="AD33" s="109">
        <v>1204510.5631999993</v>
      </c>
      <c r="AE33" s="112"/>
      <c r="AF33" s="128">
        <v>98.25</v>
      </c>
      <c r="AG33" s="130">
        <v>0</v>
      </c>
      <c r="AH33" s="129">
        <f>AF33+AG33</f>
        <v>98.25</v>
      </c>
      <c r="AI33" s="132">
        <v>1179000</v>
      </c>
      <c r="AJ33" s="21"/>
    </row>
    <row r="34" spans="1:36" ht="15">
      <c r="A34" s="19"/>
      <c r="B34" s="64">
        <v>28</v>
      </c>
      <c r="C34" s="158">
        <v>5</v>
      </c>
      <c r="D34" s="158">
        <v>107</v>
      </c>
      <c r="E34" s="123">
        <v>9960.0000000000364</v>
      </c>
      <c r="F34" s="123">
        <v>10316368.800000038</v>
      </c>
      <c r="G34" s="110">
        <v>1960.0000000000364</v>
      </c>
      <c r="H34" s="110">
        <v>3045193.2000000565</v>
      </c>
      <c r="I34" s="105">
        <f>F34+H34</f>
        <v>13361562.000000095</v>
      </c>
      <c r="J34" s="157">
        <v>1379.9999999999955</v>
      </c>
      <c r="K34" s="157">
        <v>1429376.3999999953</v>
      </c>
      <c r="L34" s="119">
        <v>479.99999999998977</v>
      </c>
      <c r="M34" s="121">
        <v>745761.59999998414</v>
      </c>
      <c r="N34" s="107">
        <f>K34+M34</f>
        <v>2175137.9999999795</v>
      </c>
      <c r="O34" s="105">
        <f>I34+N34</f>
        <v>15536700.000000075</v>
      </c>
      <c r="P34" s="107">
        <f>E34+G34+J34+L34</f>
        <v>13780.000000000058</v>
      </c>
      <c r="Q34" s="122">
        <f>R34+T34</f>
        <v>801</v>
      </c>
      <c r="R34" s="123">
        <v>220</v>
      </c>
      <c r="S34" s="123">
        <v>3953510</v>
      </c>
      <c r="T34" s="116">
        <v>581</v>
      </c>
      <c r="U34" s="116">
        <v>2763050.08</v>
      </c>
      <c r="V34" s="114">
        <f>S34+U34</f>
        <v>6716560.0800000001</v>
      </c>
      <c r="W34" s="125">
        <v>0</v>
      </c>
      <c r="X34" s="111">
        <v>0</v>
      </c>
      <c r="Y34" s="109">
        <v>78.868240000000156</v>
      </c>
      <c r="Z34" s="111">
        <v>100</v>
      </c>
      <c r="AA34" s="111">
        <v>0</v>
      </c>
      <c r="AB34" s="111">
        <v>12</v>
      </c>
      <c r="AC34" s="122">
        <f>W34+X34+Y34+Z34+AA34+AB34</f>
        <v>190.86824000000016</v>
      </c>
      <c r="AD34" s="109">
        <v>1444159.7456000026</v>
      </c>
      <c r="AE34" s="112"/>
      <c r="AF34" s="128">
        <v>259.09999999999127</v>
      </c>
      <c r="AG34" s="130">
        <v>0</v>
      </c>
      <c r="AH34" s="129">
        <f>AF34+AG34</f>
        <v>259.09999999999127</v>
      </c>
      <c r="AI34" s="132">
        <v>3109199.9999998952</v>
      </c>
      <c r="AJ34" s="21"/>
    </row>
    <row r="35" spans="1:36" ht="15">
      <c r="A35" s="19"/>
      <c r="B35" s="81">
        <v>29</v>
      </c>
      <c r="C35" s="158">
        <v>3</v>
      </c>
      <c r="D35" s="158">
        <v>66</v>
      </c>
      <c r="E35" s="123">
        <v>10599.999999999454</v>
      </c>
      <c r="F35" s="123">
        <v>10979267.999999434</v>
      </c>
      <c r="G35" s="110">
        <v>2159.9999999999682</v>
      </c>
      <c r="H35" s="110">
        <v>3355927.1999999508</v>
      </c>
      <c r="I35" s="105">
        <f>F35+H35</f>
        <v>14335195.199999385</v>
      </c>
      <c r="J35" s="157">
        <v>1039.9999999999636</v>
      </c>
      <c r="K35" s="157">
        <v>1077211.1999999622</v>
      </c>
      <c r="L35" s="119">
        <v>319.99999999999318</v>
      </c>
      <c r="M35" s="121">
        <v>497174.39999998943</v>
      </c>
      <c r="N35" s="107">
        <f>K35+M35</f>
        <v>1574385.5999999517</v>
      </c>
      <c r="O35" s="105">
        <f>I35+N35</f>
        <v>15909580.799999336</v>
      </c>
      <c r="P35" s="107">
        <f>E35+G35+J35+L35</f>
        <v>14119.999999999378</v>
      </c>
      <c r="Q35" s="122">
        <f>R35+T35</f>
        <v>789</v>
      </c>
      <c r="R35" s="123">
        <v>220</v>
      </c>
      <c r="S35" s="123">
        <v>3953510</v>
      </c>
      <c r="T35" s="116">
        <v>569</v>
      </c>
      <c r="U35" s="116">
        <v>2705981.9200000004</v>
      </c>
      <c r="V35" s="114">
        <f>S35+U35</f>
        <v>6659491.9199999999</v>
      </c>
      <c r="W35" s="125">
        <v>0</v>
      </c>
      <c r="X35" s="111">
        <v>0</v>
      </c>
      <c r="Y35" s="109">
        <v>65.0521999999999</v>
      </c>
      <c r="Z35" s="111"/>
      <c r="AA35" s="111">
        <v>0</v>
      </c>
      <c r="AB35" s="111">
        <v>12</v>
      </c>
      <c r="AC35" s="122">
        <f>W35+X35+Y35+Z35+AA35+AB35</f>
        <v>77.0521999999999</v>
      </c>
      <c r="AD35" s="109">
        <v>2817932.0679999986</v>
      </c>
      <c r="AE35" s="112"/>
      <c r="AF35" s="128">
        <v>167</v>
      </c>
      <c r="AG35" s="130">
        <v>0</v>
      </c>
      <c r="AH35" s="129">
        <f>AF35+AG35</f>
        <v>167</v>
      </c>
      <c r="AI35" s="132">
        <v>2004000</v>
      </c>
      <c r="AJ35" s="21"/>
    </row>
    <row r="36" spans="1:36" ht="15">
      <c r="A36" s="19"/>
      <c r="B36" s="64">
        <v>30</v>
      </c>
      <c r="C36" s="158">
        <v>3</v>
      </c>
      <c r="D36" s="158">
        <v>62</v>
      </c>
      <c r="E36" s="123">
        <v>9880.0000000001091</v>
      </c>
      <c r="F36" s="123">
        <v>10233506.400000112</v>
      </c>
      <c r="G36" s="110">
        <v>2039.9999999999636</v>
      </c>
      <c r="H36" s="110">
        <v>3169486.7999999435</v>
      </c>
      <c r="I36" s="105">
        <f>F36+H36</f>
        <v>13402993.200000055</v>
      </c>
      <c r="J36" s="157">
        <v>1320.00000000005</v>
      </c>
      <c r="K36" s="157">
        <v>1367229.6000000518</v>
      </c>
      <c r="L36" s="119">
        <v>280.00000000000114</v>
      </c>
      <c r="M36" s="121">
        <v>435027.60000000178</v>
      </c>
      <c r="N36" s="107">
        <f>K36+M36</f>
        <v>1802257.2000000535</v>
      </c>
      <c r="O36" s="105">
        <f>I36+N36</f>
        <v>15205250.400000108</v>
      </c>
      <c r="P36" s="107">
        <f>E36+G36+J36+L36</f>
        <v>13520.000000000126</v>
      </c>
      <c r="Q36" s="122">
        <f>R36+T36</f>
        <v>682</v>
      </c>
      <c r="R36" s="123">
        <v>224</v>
      </c>
      <c r="S36" s="123">
        <v>4025392</v>
      </c>
      <c r="T36" s="116">
        <v>458</v>
      </c>
      <c r="U36" s="116">
        <v>2178101.44</v>
      </c>
      <c r="V36" s="114">
        <f>S36+U36</f>
        <v>6203493.4399999995</v>
      </c>
      <c r="W36" s="125">
        <v>0</v>
      </c>
      <c r="X36" s="111">
        <v>0</v>
      </c>
      <c r="Y36" s="109">
        <v>79.150199999999899</v>
      </c>
      <c r="Z36" s="111"/>
      <c r="AA36" s="111">
        <v>0</v>
      </c>
      <c r="AB36" s="111">
        <v>0</v>
      </c>
      <c r="AC36" s="122">
        <f>W36+X36+Y36+Z36+AA36+AB36</f>
        <v>79.150199999999899</v>
      </c>
      <c r="AD36" s="109">
        <v>1261654.1879999985</v>
      </c>
      <c r="AE36" s="112"/>
      <c r="AF36" s="128">
        <v>149.8700000000099</v>
      </c>
      <c r="AG36" s="130">
        <v>6.3999999999941792</v>
      </c>
      <c r="AH36" s="129">
        <f>AF36+AG36</f>
        <v>156.27000000000407</v>
      </c>
      <c r="AI36" s="132">
        <v>1875240.0000000489</v>
      </c>
      <c r="AJ36" s="21"/>
    </row>
    <row r="37" spans="1:36" ht="15">
      <c r="A37" s="19"/>
      <c r="B37" s="81">
        <v>31</v>
      </c>
      <c r="C37" s="158">
        <v>6</v>
      </c>
      <c r="D37" s="158">
        <v>77</v>
      </c>
      <c r="E37" s="123">
        <v>9720.0000000002547</v>
      </c>
      <c r="F37" s="123">
        <v>10067781.600000264</v>
      </c>
      <c r="G37" s="110">
        <v>2120.0000000000045</v>
      </c>
      <c r="H37" s="110">
        <v>3293780.4000000074</v>
      </c>
      <c r="I37" s="105">
        <f>F37+H37</f>
        <v>13361562.000000272</v>
      </c>
      <c r="J37" s="157">
        <v>1059.9999999999454</v>
      </c>
      <c r="K37" s="157">
        <v>1097926.7999999435</v>
      </c>
      <c r="L37" s="119">
        <v>300.00000000001137</v>
      </c>
      <c r="M37" s="121">
        <v>466101.0000000177</v>
      </c>
      <c r="N37" s="107">
        <f>K37+M37</f>
        <v>1564027.7999999612</v>
      </c>
      <c r="O37" s="105">
        <f>I37+N37</f>
        <v>14925589.800000234</v>
      </c>
      <c r="P37" s="107">
        <f>E37+G37+J37+L37</f>
        <v>13200.000000000215</v>
      </c>
      <c r="Q37" s="122">
        <f>R37+T37</f>
        <v>703</v>
      </c>
      <c r="R37" s="123">
        <v>221</v>
      </c>
      <c r="S37" s="123">
        <v>3971480.5</v>
      </c>
      <c r="T37" s="116">
        <v>482</v>
      </c>
      <c r="U37" s="116">
        <v>2292237.7600000002</v>
      </c>
      <c r="V37" s="114">
        <f>S37+U37</f>
        <v>6263718.2599999998</v>
      </c>
      <c r="W37" s="125">
        <v>0</v>
      </c>
      <c r="X37" s="111">
        <v>0</v>
      </c>
      <c r="Y37" s="109">
        <v>76.612559999999917</v>
      </c>
      <c r="Z37" s="111">
        <v>0</v>
      </c>
      <c r="AA37" s="111">
        <v>0</v>
      </c>
      <c r="AB37" s="111">
        <v>12</v>
      </c>
      <c r="AC37" s="122">
        <f>W37+X37+Y37+Z37+AA37+AB37</f>
        <v>88.612559999999917</v>
      </c>
      <c r="AD37" s="109">
        <v>1408204.2063999986</v>
      </c>
      <c r="AE37" s="112"/>
      <c r="AF37" s="128">
        <v>218.13999999999942</v>
      </c>
      <c r="AG37" s="130">
        <v>0</v>
      </c>
      <c r="AH37" s="129">
        <f>AF37+AG37</f>
        <v>218.13999999999942</v>
      </c>
      <c r="AI37" s="132">
        <v>2617679.999999993</v>
      </c>
      <c r="AJ37" s="21"/>
    </row>
    <row r="38" spans="1:36">
      <c r="A38" s="19"/>
      <c r="B38" s="64"/>
      <c r="C38" s="65"/>
      <c r="D38" s="65"/>
      <c r="E38" s="66"/>
      <c r="F38" s="66"/>
      <c r="G38" s="67"/>
      <c r="H38" s="66"/>
      <c r="I38" s="68"/>
      <c r="J38" s="66"/>
      <c r="K38" s="66"/>
      <c r="L38" s="69"/>
      <c r="M38" s="70"/>
      <c r="N38" s="74"/>
      <c r="O38" s="75"/>
      <c r="P38" s="74"/>
      <c r="Q38" s="76"/>
      <c r="R38" s="66"/>
      <c r="S38" s="66"/>
      <c r="T38" s="77"/>
      <c r="U38" s="77"/>
      <c r="V38" s="77"/>
      <c r="W38" s="65"/>
      <c r="X38" s="66"/>
      <c r="Y38" s="66"/>
      <c r="Z38" s="66"/>
      <c r="AA38" s="66"/>
      <c r="AB38" s="66"/>
      <c r="AC38" s="66"/>
      <c r="AD38" s="66"/>
      <c r="AE38" s="72"/>
      <c r="AF38" s="72"/>
      <c r="AG38" s="72"/>
      <c r="AH38" s="72"/>
      <c r="AI38" s="20"/>
      <c r="AJ38" s="21"/>
    </row>
    <row r="39" spans="1:36">
      <c r="A39" s="19"/>
      <c r="B39" s="64"/>
      <c r="C39" s="67"/>
      <c r="D39" s="66"/>
      <c r="E39" s="66"/>
      <c r="F39" s="66"/>
      <c r="G39" s="71"/>
      <c r="H39" s="66"/>
      <c r="I39" s="71"/>
      <c r="J39" s="71"/>
      <c r="K39" s="71"/>
      <c r="L39" s="66"/>
      <c r="M39" s="78"/>
      <c r="N39" s="74"/>
      <c r="O39" s="75"/>
      <c r="P39" s="74"/>
      <c r="Q39" s="76"/>
      <c r="R39" s="66"/>
      <c r="S39" s="66"/>
      <c r="T39" s="77"/>
      <c r="U39" s="77"/>
      <c r="V39" s="71"/>
      <c r="W39" s="71"/>
      <c r="X39" s="66"/>
      <c r="Y39" s="71"/>
      <c r="Z39" s="71"/>
      <c r="AA39" s="71"/>
      <c r="AB39" s="71"/>
      <c r="AC39" s="71"/>
      <c r="AD39" s="66"/>
      <c r="AE39" s="72"/>
      <c r="AF39" s="72"/>
      <c r="AG39" s="72"/>
      <c r="AH39" s="72"/>
      <c r="AI39" s="20"/>
      <c r="AJ39" s="21"/>
    </row>
    <row r="40" spans="1:36" s="2" customFormat="1" ht="15.75" customHeight="1">
      <c r="B40" s="22"/>
      <c r="C40" s="23"/>
      <c r="D40" s="23"/>
      <c r="E40" s="24"/>
      <c r="F40" s="21"/>
      <c r="H40" s="21"/>
      <c r="L40" s="21"/>
      <c r="M40" s="25"/>
      <c r="N40" s="26"/>
      <c r="P40" s="26"/>
      <c r="Q40" s="28"/>
      <c r="X40" s="21"/>
      <c r="AE40" s="27"/>
      <c r="AF40" s="27"/>
      <c r="AG40" s="27"/>
      <c r="AH40" s="27"/>
    </row>
    <row r="41" spans="1:36" s="2" customFormat="1" ht="15.75" customHeight="1">
      <c r="B41" s="22"/>
      <c r="C41" s="23"/>
      <c r="D41" s="23"/>
      <c r="E41" s="24"/>
      <c r="F41" s="21"/>
      <c r="H41" s="21"/>
      <c r="L41" s="21"/>
      <c r="M41" s="25"/>
      <c r="N41" s="26"/>
      <c r="P41" s="26"/>
      <c r="Q41" s="28"/>
      <c r="X41" s="21"/>
      <c r="AD41" s="21"/>
      <c r="AE41" s="30"/>
      <c r="AF41" s="30"/>
      <c r="AG41" s="30"/>
      <c r="AH41" s="30"/>
      <c r="AI41" s="31"/>
    </row>
    <row r="42" spans="1:36" s="2" customFormat="1">
      <c r="B42" s="32"/>
      <c r="C42" s="144"/>
      <c r="D42" s="144"/>
      <c r="E42" s="145"/>
      <c r="F42" s="146"/>
      <c r="G42" s="147"/>
      <c r="H42" s="146"/>
      <c r="I42" s="147"/>
      <c r="J42" s="147"/>
      <c r="K42" s="147"/>
      <c r="L42" s="146"/>
      <c r="M42" s="148"/>
      <c r="N42" s="149"/>
      <c r="O42" s="147"/>
      <c r="P42" s="149"/>
      <c r="Q42" s="150"/>
      <c r="R42" s="151"/>
      <c r="S42" s="147"/>
      <c r="T42" s="147"/>
      <c r="U42" s="147"/>
      <c r="V42" s="147"/>
      <c r="W42" s="152"/>
      <c r="X42" s="146"/>
      <c r="Y42" s="152"/>
      <c r="Z42" s="152"/>
      <c r="AA42" s="152"/>
      <c r="AB42" s="152"/>
      <c r="AC42" s="152"/>
      <c r="AD42" s="146"/>
      <c r="AE42" s="153"/>
      <c r="AF42" s="153"/>
      <c r="AG42" s="153"/>
      <c r="AH42" s="153"/>
      <c r="AI42" s="154"/>
    </row>
    <row r="43" spans="1:36">
      <c r="A43" s="33"/>
      <c r="B43" s="143"/>
      <c r="C43" s="133">
        <f>SUM(C7:C37)</f>
        <v>197</v>
      </c>
      <c r="D43" s="133">
        <f>SUM(D7:D37)</f>
        <v>2935</v>
      </c>
      <c r="E43" s="134">
        <f>SUM(E7:E37)</f>
        <v>317520.00000000047</v>
      </c>
      <c r="F43" s="134">
        <f>SUM(F7:F37)</f>
        <v>328880865.60000038</v>
      </c>
      <c r="G43" s="134">
        <f>SUM(G7:G37)</f>
        <v>65439.999999999935</v>
      </c>
      <c r="H43" s="134">
        <f>SUM(H7:H37)</f>
        <v>101672164.79999991</v>
      </c>
      <c r="I43" s="134">
        <f>SUM(I7:I37)</f>
        <v>430553030.40000039</v>
      </c>
      <c r="J43" s="134">
        <f>SUM(J7:J37)</f>
        <v>42659.999999999956</v>
      </c>
      <c r="K43" s="134">
        <f>SUM(K7:K37)</f>
        <v>44186374.799999975</v>
      </c>
      <c r="L43" s="134">
        <f>SUM(L7:L37)</f>
        <v>11620.000000000005</v>
      </c>
      <c r="M43" s="134">
        <f>SUM(M7:M37)</f>
        <v>18053645.40000001</v>
      </c>
      <c r="N43" s="134">
        <f>SUM(N7:N37)</f>
        <v>62240020.199999958</v>
      </c>
      <c r="O43" s="135">
        <f>SUM(O7:O37)</f>
        <v>492793050.60000044</v>
      </c>
      <c r="P43" s="136">
        <f>SUM(P7:P37)</f>
        <v>437240.00000000029</v>
      </c>
      <c r="Q43" s="137">
        <f>SUM(Q7:Q37)</f>
        <v>23284</v>
      </c>
      <c r="R43" s="134">
        <f>SUM(R7:R37)</f>
        <v>6777</v>
      </c>
      <c r="S43" s="134">
        <f>SUM(S7:S37)</f>
        <v>121786078.5</v>
      </c>
      <c r="T43" s="134">
        <f>SUM(T7:T37)</f>
        <v>16507</v>
      </c>
      <c r="U43" s="134">
        <f>SUM(U7:U37)</f>
        <v>78502009.760000005</v>
      </c>
      <c r="V43" s="138">
        <f>SUM(V7:V37)</f>
        <v>200288088.25999999</v>
      </c>
      <c r="W43" s="139">
        <f>SUM(W7:W37)</f>
        <v>23.24156000001641</v>
      </c>
      <c r="X43" s="134">
        <f>SUM(X7:X37)</f>
        <v>0</v>
      </c>
      <c r="Y43" s="134">
        <f>SUM(Y7:Y37)</f>
        <v>2780.5686800000003</v>
      </c>
      <c r="Z43" s="134">
        <f>SUM(Z7:Z37)</f>
        <v>600</v>
      </c>
      <c r="AA43" s="134">
        <f>SUM(AA7:AA37)</f>
        <v>0</v>
      </c>
      <c r="AB43" s="134">
        <f>SUM(AB7:AB37)</f>
        <v>312</v>
      </c>
      <c r="AC43" s="140">
        <f>SUM(AC7:AC37)</f>
        <v>3715.8102400000166</v>
      </c>
      <c r="AD43" s="140">
        <f>SUM(AD7:AD37)</f>
        <v>59082315.701080218</v>
      </c>
      <c r="AE43" s="141">
        <f>SUM(AE8:AE39)</f>
        <v>0</v>
      </c>
      <c r="AF43" s="134">
        <f>SUM(AF7:AF37)</f>
        <v>7490.7400000000052</v>
      </c>
      <c r="AG43" s="134">
        <f>SUM(AG7:AG37)</f>
        <v>258.30000000001746</v>
      </c>
      <c r="AH43" s="142">
        <f>SUM(AH7:AH37)</f>
        <v>7749.0400000000227</v>
      </c>
      <c r="AI43" s="142">
        <f>SUM(AI7:AI37)</f>
        <v>92988480.000000283</v>
      </c>
      <c r="AJ43" s="33"/>
    </row>
    <row r="44" spans="1:36">
      <c r="A44" s="33"/>
      <c r="B44" s="33"/>
      <c r="C44" s="31"/>
      <c r="D44" s="34"/>
      <c r="E44" s="31"/>
      <c r="F44" s="31"/>
      <c r="G44" s="34"/>
      <c r="H44" s="31"/>
      <c r="I44" s="35"/>
      <c r="J44" s="35"/>
      <c r="K44" s="35"/>
      <c r="L44" s="36"/>
      <c r="M44" s="37"/>
      <c r="N44" s="38"/>
      <c r="O44" s="39"/>
      <c r="P44" s="38"/>
      <c r="Q44" s="34"/>
      <c r="R44" s="34"/>
      <c r="S44" s="34"/>
      <c r="T44" s="41"/>
      <c r="U44" s="34"/>
      <c r="V44" s="34"/>
      <c r="W44" s="29"/>
      <c r="X44" s="21"/>
      <c r="Y44" s="29"/>
      <c r="Z44" s="29"/>
      <c r="AA44" s="29"/>
      <c r="AB44" s="29"/>
      <c r="AC44" s="21"/>
      <c r="AD44" s="31"/>
      <c r="AE44" s="30"/>
      <c r="AF44" s="30"/>
      <c r="AG44" s="30"/>
      <c r="AH44" s="30"/>
      <c r="AI44" s="34"/>
      <c r="AJ44" s="33"/>
    </row>
    <row r="45" spans="1:36" s="44" customFormat="1">
      <c r="A45" s="42"/>
      <c r="B45" s="42"/>
      <c r="C45" s="36"/>
      <c r="D45" s="43"/>
      <c r="E45" s="36"/>
      <c r="F45" s="36"/>
      <c r="G45" s="36"/>
      <c r="H45" s="36"/>
      <c r="I45" s="35"/>
      <c r="J45" s="35"/>
      <c r="K45" s="35"/>
      <c r="L45" s="36"/>
      <c r="M45" s="38"/>
      <c r="N45" s="38"/>
      <c r="O45" s="39"/>
      <c r="P45" s="38">
        <f>O43/P43</f>
        <v>1127.0539076937155</v>
      </c>
      <c r="Q45" s="43"/>
      <c r="R45" s="43"/>
      <c r="S45" s="43"/>
      <c r="T45" s="36"/>
      <c r="U45" s="36"/>
      <c r="V45" s="43">
        <f>V43/Q43</f>
        <v>8601.9622169730283</v>
      </c>
      <c r="W45" s="43"/>
      <c r="X45" s="36"/>
      <c r="Y45" s="43"/>
      <c r="Z45" s="43"/>
      <c r="AA45" s="43"/>
      <c r="AB45" s="43"/>
      <c r="AC45" s="36"/>
      <c r="AD45" s="36">
        <f>AD43/AC43</f>
        <v>15900.251058320986</v>
      </c>
      <c r="AE45" s="40"/>
      <c r="AF45" s="40"/>
      <c r="AG45" s="40"/>
      <c r="AH45" s="40"/>
      <c r="AI45" s="43">
        <f>AI43/AH43</f>
        <v>12000.000000000002</v>
      </c>
      <c r="AJ45" s="42"/>
    </row>
    <row r="46" spans="1:36" s="46" customFormat="1">
      <c r="A46" s="45"/>
      <c r="B46" s="45"/>
      <c r="E46" s="47"/>
      <c r="F46" s="48"/>
      <c r="G46" s="47"/>
      <c r="I46" s="47"/>
      <c r="J46" s="47"/>
      <c r="K46" s="47"/>
      <c r="L46" s="47"/>
      <c r="M46" s="47"/>
      <c r="N46" s="49"/>
      <c r="O46" s="50"/>
      <c r="P46" s="51"/>
      <c r="T46" s="53"/>
      <c r="U46" s="54"/>
      <c r="AE46" s="52"/>
      <c r="AF46" s="52"/>
      <c r="AG46" s="52"/>
      <c r="AH46" s="52"/>
      <c r="AJ46" s="45"/>
    </row>
    <row r="47" spans="1:36" s="57" customFormat="1">
      <c r="A47" s="55"/>
      <c r="B47" s="55"/>
      <c r="C47" s="56"/>
      <c r="E47" s="56"/>
      <c r="F47" s="56"/>
      <c r="H47" s="56"/>
      <c r="L47" s="56"/>
      <c r="M47" s="58"/>
      <c r="N47" s="59"/>
      <c r="P47" s="58"/>
      <c r="Q47" s="61"/>
      <c r="R47" s="61"/>
      <c r="S47" s="62"/>
      <c r="X47" s="56"/>
      <c r="AD47" s="56"/>
      <c r="AE47" s="60"/>
      <c r="AF47" s="60"/>
      <c r="AG47" s="60"/>
      <c r="AH47" s="60"/>
      <c r="AJ47" s="55"/>
    </row>
    <row r="48" spans="1:36" s="57" customFormat="1">
      <c r="A48" s="55"/>
      <c r="B48" s="55"/>
      <c r="C48" s="56"/>
      <c r="E48" s="56"/>
      <c r="F48" s="56"/>
      <c r="H48" s="56"/>
      <c r="L48" s="56"/>
      <c r="M48" s="58"/>
      <c r="N48" s="59"/>
      <c r="P48" s="58"/>
      <c r="X48" s="56"/>
      <c r="AD48" s="56"/>
      <c r="AE48" s="60"/>
      <c r="AF48" s="60"/>
      <c r="AG48" s="60"/>
      <c r="AH48" s="60"/>
      <c r="AJ48" s="55"/>
    </row>
    <row r="49" spans="1:36" s="57" customFormat="1">
      <c r="A49" s="55"/>
      <c r="B49" s="55"/>
      <c r="C49" s="56"/>
      <c r="E49" s="56"/>
      <c r="F49" s="56"/>
      <c r="H49" s="56"/>
      <c r="L49" s="56"/>
      <c r="M49" s="58"/>
      <c r="N49" s="59"/>
      <c r="P49" s="58"/>
      <c r="X49" s="56"/>
      <c r="AD49" s="56"/>
      <c r="AE49" s="60"/>
      <c r="AF49" s="60"/>
      <c r="AG49" s="60"/>
      <c r="AH49" s="60"/>
      <c r="AJ49" s="55"/>
    </row>
    <row r="50" spans="1:36" s="57" customFormat="1">
      <c r="A50" s="55"/>
      <c r="B50" s="55"/>
      <c r="C50" s="56"/>
      <c r="E50" s="56"/>
      <c r="F50" s="56"/>
      <c r="H50" s="56"/>
      <c r="L50" s="58"/>
      <c r="M50" s="58"/>
      <c r="N50" s="58"/>
      <c r="P50" s="58"/>
      <c r="X50" s="56"/>
      <c r="AD50" s="56"/>
      <c r="AE50" s="60"/>
      <c r="AF50" s="60"/>
      <c r="AG50" s="60"/>
      <c r="AH50" s="60"/>
      <c r="AJ50" s="55"/>
    </row>
    <row r="51" spans="1:36" s="57" customFormat="1">
      <c r="A51" s="55"/>
      <c r="B51" s="55"/>
      <c r="C51" s="56"/>
      <c r="E51" s="56"/>
      <c r="F51" s="56"/>
      <c r="H51" s="56"/>
      <c r="L51" s="56"/>
      <c r="M51" s="63"/>
      <c r="N51" s="58"/>
      <c r="P51" s="58"/>
      <c r="X51" s="56"/>
      <c r="AD51" s="56"/>
      <c r="AE51" s="60"/>
      <c r="AF51" s="60"/>
      <c r="AG51" s="60"/>
      <c r="AH51" s="60"/>
      <c r="AJ51" s="55"/>
    </row>
    <row r="52" spans="1:36" s="57" customFormat="1">
      <c r="A52" s="55"/>
      <c r="B52" s="55"/>
      <c r="C52" s="56"/>
      <c r="E52" s="56"/>
      <c r="F52" s="56"/>
      <c r="H52" s="56"/>
      <c r="L52" s="56"/>
      <c r="M52" s="63"/>
      <c r="N52" s="58"/>
      <c r="P52" s="58"/>
      <c r="X52" s="56"/>
      <c r="AD52" s="56"/>
      <c r="AE52" s="60"/>
      <c r="AF52" s="60"/>
      <c r="AG52" s="60"/>
      <c r="AH52" s="60"/>
      <c r="AJ52" s="55"/>
    </row>
    <row r="53" spans="1:36" s="57" customFormat="1">
      <c r="A53" s="55"/>
      <c r="B53" s="55"/>
      <c r="C53" s="56"/>
      <c r="E53" s="56"/>
      <c r="F53" s="56"/>
      <c r="H53" s="56"/>
      <c r="L53" s="56"/>
      <c r="M53" s="63"/>
      <c r="N53" s="58"/>
      <c r="P53" s="58"/>
      <c r="X53" s="56"/>
      <c r="AD53" s="56"/>
      <c r="AE53" s="60"/>
      <c r="AF53" s="60"/>
      <c r="AG53" s="60"/>
      <c r="AH53" s="60"/>
      <c r="AJ53" s="55"/>
    </row>
    <row r="54" spans="1:36" s="57" customFormat="1">
      <c r="A54" s="55"/>
      <c r="B54" s="55"/>
      <c r="C54" s="56"/>
      <c r="E54" s="56"/>
      <c r="F54" s="56"/>
      <c r="H54" s="56"/>
      <c r="L54" s="56"/>
      <c r="M54" s="63"/>
      <c r="N54" s="58"/>
      <c r="P54" s="58"/>
      <c r="X54" s="56"/>
      <c r="AD54" s="56"/>
      <c r="AE54" s="60"/>
      <c r="AF54" s="60"/>
      <c r="AG54" s="60"/>
      <c r="AH54" s="60"/>
      <c r="AJ54" s="55"/>
    </row>
    <row r="55" spans="1:36" s="57" customFormat="1">
      <c r="A55" s="55"/>
      <c r="B55" s="55"/>
      <c r="C55" s="56"/>
      <c r="E55" s="56"/>
      <c r="F55" s="56"/>
      <c r="H55" s="56"/>
      <c r="L55" s="56"/>
      <c r="M55" s="63"/>
      <c r="N55" s="58"/>
      <c r="P55" s="58"/>
      <c r="X55" s="56"/>
      <c r="AD55" s="56"/>
      <c r="AE55" s="60"/>
      <c r="AF55" s="60"/>
      <c r="AG55" s="60"/>
      <c r="AH55" s="60"/>
      <c r="AJ55" s="55"/>
    </row>
    <row r="56" spans="1:36" s="57" customFormat="1">
      <c r="A56" s="55"/>
      <c r="B56" s="55"/>
      <c r="C56" s="56"/>
      <c r="E56" s="56"/>
      <c r="F56" s="56"/>
      <c r="H56" s="56"/>
      <c r="L56" s="56"/>
      <c r="M56" s="63"/>
      <c r="N56" s="58"/>
      <c r="P56" s="58"/>
      <c r="X56" s="56"/>
      <c r="AD56" s="56"/>
      <c r="AE56" s="60"/>
      <c r="AF56" s="60"/>
      <c r="AG56" s="60"/>
      <c r="AH56" s="60"/>
      <c r="AJ56" s="55"/>
    </row>
    <row r="57" spans="1:36" s="57" customFormat="1">
      <c r="A57" s="55"/>
      <c r="B57" s="55"/>
      <c r="C57" s="56"/>
      <c r="E57" s="56"/>
      <c r="F57" s="56"/>
      <c r="H57" s="56"/>
      <c r="L57" s="56"/>
      <c r="M57" s="63"/>
      <c r="N57" s="58"/>
      <c r="P57" s="58"/>
      <c r="X57" s="56"/>
      <c r="AD57" s="56"/>
      <c r="AE57" s="60"/>
      <c r="AF57" s="60"/>
      <c r="AG57" s="60"/>
      <c r="AH57" s="60"/>
      <c r="AJ57" s="55"/>
    </row>
    <row r="58" spans="1:36" s="57" customFormat="1">
      <c r="A58" s="55"/>
      <c r="B58" s="55"/>
      <c r="C58" s="56"/>
      <c r="E58" s="56"/>
      <c r="F58" s="56"/>
      <c r="H58" s="56"/>
      <c r="L58" s="56"/>
      <c r="M58" s="63"/>
      <c r="N58" s="58"/>
      <c r="P58" s="58"/>
      <c r="X58" s="56"/>
      <c r="AD58" s="56"/>
      <c r="AE58" s="60"/>
      <c r="AF58" s="60"/>
      <c r="AG58" s="60"/>
      <c r="AH58" s="60"/>
      <c r="AJ58" s="55"/>
    </row>
    <row r="59" spans="1:36" s="57" customFormat="1">
      <c r="A59" s="55"/>
      <c r="B59" s="55"/>
      <c r="C59" s="56"/>
      <c r="E59" s="56"/>
      <c r="F59" s="56"/>
      <c r="H59" s="56"/>
      <c r="L59" s="56"/>
      <c r="M59" s="63"/>
      <c r="N59" s="58"/>
      <c r="P59" s="58"/>
      <c r="X59" s="56"/>
      <c r="AD59" s="56"/>
      <c r="AE59" s="60"/>
      <c r="AF59" s="60"/>
      <c r="AG59" s="60"/>
      <c r="AH59" s="60"/>
      <c r="AJ59" s="55"/>
    </row>
    <row r="60" spans="1:36" s="57" customFormat="1">
      <c r="A60" s="55"/>
      <c r="B60" s="55"/>
      <c r="C60" s="56"/>
      <c r="E60" s="56"/>
      <c r="F60" s="56"/>
      <c r="H60" s="56"/>
      <c r="L60" s="56"/>
      <c r="M60" s="63"/>
      <c r="N60" s="58"/>
      <c r="P60" s="58"/>
      <c r="X60" s="56"/>
      <c r="AD60" s="56"/>
      <c r="AE60" s="60"/>
      <c r="AF60" s="60"/>
      <c r="AG60" s="60"/>
      <c r="AH60" s="60"/>
      <c r="AJ60" s="55"/>
    </row>
    <row r="61" spans="1:36" s="57" customFormat="1">
      <c r="A61" s="55"/>
      <c r="B61" s="55"/>
      <c r="C61" s="56"/>
      <c r="E61" s="56"/>
      <c r="F61" s="56"/>
      <c r="H61" s="56"/>
      <c r="L61" s="56"/>
      <c r="M61" s="63"/>
      <c r="N61" s="58"/>
      <c r="P61" s="58"/>
      <c r="X61" s="56"/>
      <c r="AD61" s="56"/>
      <c r="AE61" s="60"/>
      <c r="AF61" s="60"/>
      <c r="AG61" s="60"/>
      <c r="AH61" s="60"/>
      <c r="AJ61" s="55"/>
    </row>
    <row r="62" spans="1:36" s="57" customFormat="1">
      <c r="A62" s="55"/>
      <c r="B62" s="55"/>
      <c r="C62" s="56"/>
      <c r="E62" s="56"/>
      <c r="F62" s="56"/>
      <c r="H62" s="56"/>
      <c r="L62" s="56"/>
      <c r="M62" s="63"/>
      <c r="N62" s="58"/>
      <c r="P62" s="58"/>
      <c r="X62" s="56"/>
      <c r="AD62" s="56"/>
      <c r="AE62" s="60"/>
      <c r="AF62" s="60"/>
      <c r="AG62" s="60"/>
      <c r="AH62" s="60"/>
      <c r="AJ62" s="55"/>
    </row>
    <row r="63" spans="1:36" s="57" customFormat="1">
      <c r="A63" s="55"/>
      <c r="B63" s="55"/>
      <c r="C63" s="56"/>
      <c r="E63" s="56"/>
      <c r="F63" s="56"/>
      <c r="H63" s="56"/>
      <c r="L63" s="56"/>
      <c r="M63" s="63"/>
      <c r="N63" s="58"/>
      <c r="P63" s="58"/>
      <c r="X63" s="56"/>
      <c r="AD63" s="56"/>
      <c r="AE63" s="60"/>
      <c r="AF63" s="60"/>
      <c r="AG63" s="60"/>
      <c r="AH63" s="60"/>
      <c r="AJ63" s="55"/>
    </row>
    <row r="64" spans="1:36" s="57" customFormat="1">
      <c r="A64" s="55"/>
      <c r="B64" s="55"/>
      <c r="C64" s="56"/>
      <c r="E64" s="56"/>
      <c r="F64" s="56"/>
      <c r="H64" s="56"/>
      <c r="L64" s="56"/>
      <c r="M64" s="63"/>
      <c r="N64" s="58"/>
      <c r="P64" s="58"/>
      <c r="X64" s="56"/>
      <c r="AD64" s="56"/>
      <c r="AE64" s="60"/>
      <c r="AF64" s="60"/>
      <c r="AG64" s="60"/>
      <c r="AH64" s="60"/>
      <c r="AJ64" s="55"/>
    </row>
    <row r="65" spans="1:36" s="57" customFormat="1">
      <c r="A65" s="55"/>
      <c r="B65" s="55"/>
      <c r="C65" s="56"/>
      <c r="E65" s="56"/>
      <c r="F65" s="56"/>
      <c r="H65" s="56"/>
      <c r="L65" s="56"/>
      <c r="M65" s="63"/>
      <c r="N65" s="58"/>
      <c r="P65" s="58"/>
      <c r="X65" s="56"/>
      <c r="AD65" s="56"/>
      <c r="AE65" s="60"/>
      <c r="AF65" s="60"/>
      <c r="AG65" s="60"/>
      <c r="AH65" s="60"/>
      <c r="AJ65" s="55"/>
    </row>
    <row r="66" spans="1:36" s="57" customFormat="1">
      <c r="A66" s="55"/>
      <c r="B66" s="55"/>
      <c r="C66" s="56"/>
      <c r="E66" s="56"/>
      <c r="F66" s="56"/>
      <c r="H66" s="56"/>
      <c r="L66" s="56"/>
      <c r="M66" s="63"/>
      <c r="N66" s="58"/>
      <c r="P66" s="58"/>
      <c r="X66" s="56"/>
      <c r="AD66" s="56"/>
      <c r="AE66" s="60"/>
      <c r="AF66" s="60"/>
      <c r="AG66" s="60"/>
      <c r="AH66" s="60"/>
      <c r="AJ66" s="55"/>
    </row>
    <row r="67" spans="1:36" s="57" customFormat="1">
      <c r="A67" s="55"/>
      <c r="B67" s="55"/>
      <c r="C67" s="56"/>
      <c r="E67" s="56"/>
      <c r="F67" s="56"/>
      <c r="H67" s="56"/>
      <c r="L67" s="56"/>
      <c r="M67" s="63"/>
      <c r="N67" s="58"/>
      <c r="P67" s="58"/>
      <c r="X67" s="56"/>
      <c r="AD67" s="56"/>
      <c r="AE67" s="60"/>
      <c r="AF67" s="60"/>
      <c r="AG67" s="60"/>
      <c r="AH67" s="60"/>
      <c r="AJ67" s="55"/>
    </row>
    <row r="68" spans="1:36" s="57" customFormat="1">
      <c r="A68" s="55"/>
      <c r="B68" s="55"/>
      <c r="C68" s="56"/>
      <c r="E68" s="56"/>
      <c r="F68" s="56"/>
      <c r="H68" s="56"/>
      <c r="L68" s="56"/>
      <c r="M68" s="63"/>
      <c r="N68" s="58"/>
      <c r="P68" s="58"/>
      <c r="X68" s="56"/>
      <c r="AD68" s="56"/>
      <c r="AE68" s="60"/>
      <c r="AF68" s="60"/>
      <c r="AG68" s="60"/>
      <c r="AH68" s="60"/>
      <c r="AJ68" s="55"/>
    </row>
    <row r="69" spans="1:36" s="57" customFormat="1">
      <c r="A69" s="55"/>
      <c r="B69" s="55"/>
      <c r="C69" s="56"/>
      <c r="E69" s="56"/>
      <c r="F69" s="56"/>
      <c r="H69" s="56"/>
      <c r="L69" s="56"/>
      <c r="M69" s="63"/>
      <c r="N69" s="58"/>
      <c r="P69" s="58"/>
      <c r="X69" s="56"/>
      <c r="AD69" s="56"/>
      <c r="AE69" s="60"/>
      <c r="AF69" s="60"/>
      <c r="AG69" s="60"/>
      <c r="AH69" s="60"/>
      <c r="AJ69" s="55"/>
    </row>
    <row r="70" spans="1:36" s="57" customFormat="1">
      <c r="A70" s="55"/>
      <c r="B70" s="55"/>
      <c r="C70" s="56"/>
      <c r="E70" s="56"/>
      <c r="F70" s="56"/>
      <c r="H70" s="56"/>
      <c r="L70" s="56"/>
      <c r="M70" s="63"/>
      <c r="N70" s="58"/>
      <c r="P70" s="58"/>
      <c r="X70" s="56"/>
      <c r="AD70" s="56"/>
      <c r="AE70" s="60"/>
      <c r="AF70" s="60"/>
      <c r="AG70" s="60"/>
      <c r="AH70" s="60"/>
      <c r="AJ70" s="55"/>
    </row>
    <row r="71" spans="1:36" s="57" customFormat="1">
      <c r="A71" s="55"/>
      <c r="B71" s="55"/>
      <c r="C71" s="56"/>
      <c r="E71" s="56"/>
      <c r="F71" s="56"/>
      <c r="H71" s="56"/>
      <c r="L71" s="56"/>
      <c r="M71" s="63"/>
      <c r="N71" s="58"/>
      <c r="P71" s="58"/>
      <c r="X71" s="56"/>
      <c r="AD71" s="56"/>
      <c r="AE71" s="60"/>
      <c r="AF71" s="60"/>
      <c r="AG71" s="60"/>
      <c r="AH71" s="60"/>
      <c r="AJ71" s="55"/>
    </row>
    <row r="72" spans="1:36" s="57" customFormat="1">
      <c r="A72" s="55"/>
      <c r="B72" s="55"/>
      <c r="C72" s="56"/>
      <c r="E72" s="56"/>
      <c r="F72" s="56"/>
      <c r="H72" s="56"/>
      <c r="L72" s="56"/>
      <c r="M72" s="63"/>
      <c r="N72" s="58"/>
      <c r="P72" s="58"/>
      <c r="X72" s="56"/>
      <c r="AD72" s="56"/>
      <c r="AE72" s="60"/>
      <c r="AF72" s="60"/>
      <c r="AG72" s="60"/>
      <c r="AH72" s="60"/>
      <c r="AJ72" s="55"/>
    </row>
    <row r="73" spans="1:36" s="57" customFormat="1">
      <c r="A73" s="55"/>
      <c r="B73" s="55"/>
      <c r="C73" s="56"/>
      <c r="E73" s="56"/>
      <c r="F73" s="56"/>
      <c r="H73" s="56"/>
      <c r="L73" s="56"/>
      <c r="M73" s="63"/>
      <c r="N73" s="58"/>
      <c r="P73" s="58"/>
      <c r="X73" s="56"/>
      <c r="AD73" s="56"/>
      <c r="AE73" s="60"/>
      <c r="AF73" s="60"/>
      <c r="AG73" s="60"/>
      <c r="AH73" s="60"/>
      <c r="AJ73" s="55"/>
    </row>
    <row r="74" spans="1:36" s="57" customFormat="1">
      <c r="A74" s="55"/>
      <c r="B74" s="55"/>
      <c r="C74" s="56"/>
      <c r="E74" s="56"/>
      <c r="F74" s="56"/>
      <c r="H74" s="56"/>
      <c r="L74" s="56"/>
      <c r="M74" s="63"/>
      <c r="N74" s="58"/>
      <c r="P74" s="58"/>
      <c r="X74" s="56"/>
      <c r="AD74" s="56"/>
      <c r="AE74" s="60"/>
      <c r="AF74" s="60"/>
      <c r="AG74" s="60"/>
      <c r="AH74" s="60"/>
      <c r="AJ74" s="55"/>
    </row>
    <row r="75" spans="1:36" s="57" customFormat="1">
      <c r="A75" s="55"/>
      <c r="B75" s="55"/>
      <c r="C75" s="56"/>
      <c r="E75" s="56"/>
      <c r="F75" s="56"/>
      <c r="H75" s="56"/>
      <c r="L75" s="56"/>
      <c r="M75" s="63"/>
      <c r="N75" s="58"/>
      <c r="P75" s="58"/>
      <c r="X75" s="56"/>
      <c r="AD75" s="56"/>
      <c r="AE75" s="60"/>
      <c r="AF75" s="60"/>
      <c r="AG75" s="60"/>
      <c r="AH75" s="60"/>
      <c r="AJ75" s="55"/>
    </row>
    <row r="76" spans="1:36" s="57" customFormat="1">
      <c r="A76" s="55"/>
      <c r="B76" s="55"/>
      <c r="C76" s="56"/>
      <c r="E76" s="56"/>
      <c r="F76" s="56"/>
      <c r="H76" s="56"/>
      <c r="L76" s="56"/>
      <c r="M76" s="63"/>
      <c r="N76" s="58"/>
      <c r="P76" s="58"/>
      <c r="X76" s="56"/>
      <c r="AD76" s="56"/>
      <c r="AE76" s="60"/>
      <c r="AF76" s="60"/>
      <c r="AG76" s="60"/>
      <c r="AH76" s="60"/>
      <c r="AJ76" s="55"/>
    </row>
    <row r="77" spans="1:36" s="57" customFormat="1">
      <c r="A77" s="55"/>
      <c r="B77" s="55"/>
      <c r="C77" s="56"/>
      <c r="E77" s="56"/>
      <c r="F77" s="56"/>
      <c r="H77" s="56"/>
      <c r="L77" s="56"/>
      <c r="M77" s="63"/>
      <c r="N77" s="58"/>
      <c r="P77" s="58"/>
      <c r="X77" s="56"/>
      <c r="AD77" s="56"/>
      <c r="AE77" s="60"/>
      <c r="AF77" s="60"/>
      <c r="AG77" s="60"/>
      <c r="AH77" s="60"/>
      <c r="AJ77" s="55"/>
    </row>
    <row r="78" spans="1:36" s="57" customFormat="1">
      <c r="A78" s="55"/>
      <c r="B78" s="55"/>
      <c r="C78" s="56"/>
      <c r="E78" s="56"/>
      <c r="F78" s="56"/>
      <c r="H78" s="56"/>
      <c r="L78" s="56"/>
      <c r="M78" s="63"/>
      <c r="N78" s="58"/>
      <c r="P78" s="58"/>
      <c r="X78" s="56"/>
      <c r="AD78" s="56"/>
      <c r="AE78" s="60"/>
      <c r="AF78" s="60"/>
      <c r="AG78" s="60"/>
      <c r="AH78" s="60"/>
      <c r="AJ78" s="55"/>
    </row>
    <row r="79" spans="1:36" s="57" customFormat="1">
      <c r="A79" s="55"/>
      <c r="B79" s="55"/>
      <c r="C79" s="56"/>
      <c r="E79" s="56"/>
      <c r="F79" s="56"/>
      <c r="H79" s="56"/>
      <c r="L79" s="56"/>
      <c r="M79" s="63"/>
      <c r="N79" s="58"/>
      <c r="P79" s="58"/>
      <c r="X79" s="56"/>
      <c r="AD79" s="56"/>
      <c r="AE79" s="60"/>
      <c r="AF79" s="60"/>
      <c r="AG79" s="60"/>
      <c r="AH79" s="60"/>
      <c r="AJ79" s="55"/>
    </row>
    <row r="80" spans="1:36" s="57" customFormat="1">
      <c r="A80" s="55"/>
      <c r="B80" s="55"/>
      <c r="C80" s="56"/>
      <c r="E80" s="56"/>
      <c r="F80" s="56"/>
      <c r="H80" s="56"/>
      <c r="L80" s="56"/>
      <c r="M80" s="63"/>
      <c r="N80" s="58"/>
      <c r="P80" s="58"/>
      <c r="X80" s="56"/>
      <c r="AD80" s="56"/>
      <c r="AE80" s="60"/>
      <c r="AF80" s="60"/>
      <c r="AG80" s="60"/>
      <c r="AH80" s="60"/>
      <c r="AJ80" s="55"/>
    </row>
    <row r="81" spans="1:36" s="57" customFormat="1">
      <c r="A81" s="55"/>
      <c r="B81" s="55"/>
      <c r="C81" s="56"/>
      <c r="E81" s="56"/>
      <c r="F81" s="56"/>
      <c r="H81" s="56"/>
      <c r="L81" s="56"/>
      <c r="M81" s="63"/>
      <c r="N81" s="58"/>
      <c r="P81" s="58"/>
      <c r="X81" s="56"/>
      <c r="AD81" s="56"/>
      <c r="AE81" s="60"/>
      <c r="AF81" s="60"/>
      <c r="AG81" s="60"/>
      <c r="AH81" s="60"/>
      <c r="AJ81" s="55"/>
    </row>
    <row r="82" spans="1:36" s="57" customFormat="1">
      <c r="A82" s="55"/>
      <c r="B82" s="55"/>
      <c r="C82" s="56"/>
      <c r="E82" s="56"/>
      <c r="F82" s="56"/>
      <c r="H82" s="56"/>
      <c r="L82" s="56"/>
      <c r="M82" s="63"/>
      <c r="N82" s="58"/>
      <c r="P82" s="58"/>
      <c r="X82" s="56"/>
      <c r="AD82" s="56"/>
      <c r="AE82" s="60"/>
      <c r="AF82" s="60"/>
      <c r="AG82" s="60"/>
      <c r="AH82" s="60"/>
      <c r="AJ82" s="55"/>
    </row>
    <row r="83" spans="1:36" s="57" customFormat="1">
      <c r="A83" s="55"/>
      <c r="B83" s="55"/>
      <c r="C83" s="56"/>
      <c r="E83" s="56"/>
      <c r="F83" s="56"/>
      <c r="H83" s="56"/>
      <c r="L83" s="56"/>
      <c r="M83" s="63"/>
      <c r="N83" s="58"/>
      <c r="P83" s="58"/>
      <c r="X83" s="56"/>
      <c r="AD83" s="56"/>
      <c r="AE83" s="60"/>
      <c r="AF83" s="60"/>
      <c r="AG83" s="60"/>
      <c r="AH83" s="60"/>
      <c r="AJ83" s="55"/>
    </row>
    <row r="84" spans="1:36" s="57" customFormat="1">
      <c r="A84" s="55"/>
      <c r="B84" s="55"/>
      <c r="C84" s="56"/>
      <c r="E84" s="56"/>
      <c r="F84" s="56"/>
      <c r="H84" s="56"/>
      <c r="L84" s="56"/>
      <c r="M84" s="63"/>
      <c r="N84" s="58"/>
      <c r="P84" s="58"/>
      <c r="X84" s="56"/>
      <c r="AD84" s="56"/>
      <c r="AE84" s="60"/>
      <c r="AF84" s="60"/>
      <c r="AG84" s="60"/>
      <c r="AH84" s="60"/>
      <c r="AJ84" s="55"/>
    </row>
    <row r="85" spans="1:36" s="57" customFormat="1">
      <c r="A85" s="55"/>
      <c r="B85" s="55"/>
      <c r="C85" s="56"/>
      <c r="E85" s="56"/>
      <c r="F85" s="56"/>
      <c r="H85" s="56"/>
      <c r="L85" s="56"/>
      <c r="M85" s="63"/>
      <c r="N85" s="58"/>
      <c r="P85" s="58"/>
      <c r="X85" s="56"/>
      <c r="AD85" s="56"/>
      <c r="AE85" s="60"/>
      <c r="AF85" s="60"/>
      <c r="AG85" s="60"/>
      <c r="AH85" s="60"/>
      <c r="AJ85" s="55"/>
    </row>
    <row r="86" spans="1:36" s="57" customFormat="1">
      <c r="A86" s="55"/>
      <c r="B86" s="55"/>
      <c r="C86" s="56"/>
      <c r="E86" s="56"/>
      <c r="F86" s="56"/>
      <c r="H86" s="56"/>
      <c r="L86" s="56"/>
      <c r="M86" s="63"/>
      <c r="N86" s="58"/>
      <c r="P86" s="58"/>
      <c r="X86" s="56"/>
      <c r="AD86" s="56"/>
      <c r="AE86" s="60"/>
      <c r="AF86" s="60"/>
      <c r="AG86" s="60"/>
      <c r="AH86" s="60"/>
      <c r="AJ86" s="55"/>
    </row>
    <row r="87" spans="1:36" s="57" customFormat="1">
      <c r="A87" s="55"/>
      <c r="B87" s="55"/>
      <c r="C87" s="56"/>
      <c r="E87" s="56"/>
      <c r="F87" s="56"/>
      <c r="H87" s="56"/>
      <c r="L87" s="56"/>
      <c r="M87" s="63"/>
      <c r="N87" s="58"/>
      <c r="P87" s="58"/>
      <c r="X87" s="56"/>
      <c r="AD87" s="56"/>
      <c r="AE87" s="60"/>
      <c r="AF87" s="60"/>
      <c r="AG87" s="60"/>
      <c r="AH87" s="60"/>
      <c r="AJ87" s="55"/>
    </row>
    <row r="88" spans="1:36" s="57" customFormat="1">
      <c r="A88" s="55"/>
      <c r="B88" s="55"/>
      <c r="C88" s="56"/>
      <c r="E88" s="56"/>
      <c r="F88" s="56"/>
      <c r="H88" s="56"/>
      <c r="L88" s="56"/>
      <c r="M88" s="63"/>
      <c r="N88" s="58"/>
      <c r="P88" s="58"/>
      <c r="X88" s="56"/>
      <c r="AD88" s="56"/>
      <c r="AE88" s="60"/>
      <c r="AF88" s="60"/>
      <c r="AG88" s="60"/>
      <c r="AH88" s="60"/>
      <c r="AJ88" s="55"/>
    </row>
    <row r="89" spans="1:36" s="57" customFormat="1">
      <c r="A89" s="55"/>
      <c r="B89" s="55"/>
      <c r="C89" s="56"/>
      <c r="E89" s="56"/>
      <c r="F89" s="56"/>
      <c r="H89" s="56"/>
      <c r="L89" s="56"/>
      <c r="M89" s="63"/>
      <c r="N89" s="58"/>
      <c r="P89" s="58"/>
      <c r="X89" s="56"/>
      <c r="AD89" s="56"/>
      <c r="AE89" s="60"/>
      <c r="AF89" s="60"/>
      <c r="AG89" s="60"/>
      <c r="AH89" s="60"/>
      <c r="AJ89" s="55"/>
    </row>
    <row r="90" spans="1:36" s="57" customFormat="1">
      <c r="A90" s="55"/>
      <c r="B90" s="55"/>
      <c r="C90" s="56"/>
      <c r="E90" s="56"/>
      <c r="F90" s="56"/>
      <c r="H90" s="56"/>
      <c r="L90" s="56"/>
      <c r="M90" s="63"/>
      <c r="N90" s="58"/>
      <c r="P90" s="58"/>
      <c r="X90" s="56"/>
      <c r="AD90" s="56"/>
      <c r="AE90" s="60"/>
      <c r="AF90" s="60"/>
      <c r="AG90" s="60"/>
      <c r="AH90" s="60"/>
      <c r="AJ90" s="55"/>
    </row>
    <row r="91" spans="1:36" s="57" customFormat="1">
      <c r="A91" s="55"/>
      <c r="B91" s="55"/>
      <c r="C91" s="56"/>
      <c r="E91" s="56"/>
      <c r="F91" s="56"/>
      <c r="H91" s="56"/>
      <c r="L91" s="56"/>
      <c r="M91" s="63"/>
      <c r="N91" s="58"/>
      <c r="P91" s="58"/>
      <c r="X91" s="56"/>
      <c r="AD91" s="56"/>
      <c r="AE91" s="60"/>
      <c r="AF91" s="60"/>
      <c r="AG91" s="60"/>
      <c r="AH91" s="60"/>
      <c r="AJ91" s="55"/>
    </row>
    <row r="92" spans="1:36" s="57" customFormat="1">
      <c r="A92" s="55"/>
      <c r="B92" s="55"/>
      <c r="C92" s="56"/>
      <c r="E92" s="56"/>
      <c r="F92" s="56"/>
      <c r="H92" s="56"/>
      <c r="L92" s="56"/>
      <c r="M92" s="63"/>
      <c r="N92" s="58"/>
      <c r="P92" s="58"/>
      <c r="X92" s="56"/>
      <c r="AD92" s="56"/>
      <c r="AE92" s="60"/>
      <c r="AF92" s="60"/>
      <c r="AG92" s="60"/>
      <c r="AH92" s="60"/>
      <c r="AJ92" s="55"/>
    </row>
    <row r="93" spans="1:36" s="57" customFormat="1">
      <c r="A93" s="55"/>
      <c r="B93" s="55"/>
      <c r="C93" s="56"/>
      <c r="E93" s="56"/>
      <c r="F93" s="56"/>
      <c r="H93" s="56"/>
      <c r="L93" s="56"/>
      <c r="M93" s="63"/>
      <c r="N93" s="58"/>
      <c r="P93" s="58"/>
      <c r="X93" s="56"/>
      <c r="AD93" s="56"/>
      <c r="AE93" s="60"/>
      <c r="AF93" s="60"/>
      <c r="AG93" s="60"/>
      <c r="AH93" s="60"/>
      <c r="AJ93" s="55"/>
    </row>
    <row r="94" spans="1:36" s="57" customFormat="1">
      <c r="A94" s="55"/>
      <c r="B94" s="55"/>
      <c r="C94" s="56"/>
      <c r="E94" s="56"/>
      <c r="F94" s="56"/>
      <c r="H94" s="56"/>
      <c r="L94" s="56"/>
      <c r="M94" s="63"/>
      <c r="N94" s="58"/>
      <c r="P94" s="58"/>
      <c r="X94" s="56"/>
      <c r="AD94" s="56"/>
      <c r="AE94" s="60"/>
      <c r="AF94" s="60"/>
      <c r="AG94" s="60"/>
      <c r="AH94" s="60"/>
      <c r="AJ94" s="55"/>
    </row>
    <row r="95" spans="1:36" s="57" customFormat="1">
      <c r="A95" s="55"/>
      <c r="B95" s="55"/>
      <c r="C95" s="56"/>
      <c r="E95" s="56"/>
      <c r="F95" s="56"/>
      <c r="H95" s="56"/>
      <c r="L95" s="56"/>
      <c r="M95" s="63"/>
      <c r="N95" s="58"/>
      <c r="P95" s="58"/>
      <c r="X95" s="56"/>
      <c r="AD95" s="56"/>
      <c r="AE95" s="60"/>
      <c r="AF95" s="60"/>
      <c r="AG95" s="60"/>
      <c r="AH95" s="60"/>
      <c r="AJ95" s="55"/>
    </row>
    <row r="96" spans="1:36" s="57" customFormat="1">
      <c r="A96" s="55"/>
      <c r="B96" s="55"/>
      <c r="C96" s="56"/>
      <c r="E96" s="56"/>
      <c r="F96" s="56"/>
      <c r="H96" s="56"/>
      <c r="L96" s="56"/>
      <c r="M96" s="63"/>
      <c r="N96" s="58"/>
      <c r="P96" s="58"/>
      <c r="X96" s="56"/>
      <c r="AD96" s="56"/>
      <c r="AE96" s="60"/>
      <c r="AF96" s="60"/>
      <c r="AG96" s="60"/>
      <c r="AH96" s="60"/>
      <c r="AJ96" s="55"/>
    </row>
    <row r="97" spans="1:36" s="57" customFormat="1">
      <c r="A97" s="55"/>
      <c r="B97" s="55"/>
      <c r="C97" s="56"/>
      <c r="E97" s="56"/>
      <c r="F97" s="56"/>
      <c r="H97" s="56"/>
      <c r="L97" s="56"/>
      <c r="M97" s="63"/>
      <c r="N97" s="58"/>
      <c r="P97" s="58"/>
      <c r="X97" s="56"/>
      <c r="AD97" s="56"/>
      <c r="AE97" s="60"/>
      <c r="AF97" s="60"/>
      <c r="AG97" s="60"/>
      <c r="AH97" s="60"/>
      <c r="AJ97" s="55"/>
    </row>
    <row r="98" spans="1:36" s="57" customFormat="1">
      <c r="A98" s="55"/>
      <c r="B98" s="55"/>
      <c r="C98" s="56"/>
      <c r="E98" s="56"/>
      <c r="F98" s="56"/>
      <c r="H98" s="56"/>
      <c r="L98" s="56"/>
      <c r="M98" s="63"/>
      <c r="N98" s="58"/>
      <c r="P98" s="58"/>
      <c r="X98" s="56"/>
      <c r="AD98" s="56"/>
      <c r="AE98" s="60"/>
      <c r="AF98" s="60"/>
      <c r="AG98" s="60"/>
      <c r="AH98" s="60"/>
      <c r="AJ98" s="55"/>
    </row>
    <row r="99" spans="1:36" s="57" customFormat="1">
      <c r="A99" s="55"/>
      <c r="B99" s="55"/>
      <c r="C99" s="56"/>
      <c r="E99" s="56"/>
      <c r="F99" s="56"/>
      <c r="H99" s="56"/>
      <c r="L99" s="56"/>
      <c r="M99" s="63"/>
      <c r="N99" s="58"/>
      <c r="P99" s="58"/>
      <c r="X99" s="56"/>
      <c r="AD99" s="56"/>
      <c r="AE99" s="60"/>
      <c r="AF99" s="60"/>
      <c r="AG99" s="60"/>
      <c r="AH99" s="60"/>
      <c r="AJ99" s="55"/>
    </row>
    <row r="100" spans="1:36" s="57" customFormat="1">
      <c r="A100" s="55"/>
      <c r="B100" s="55"/>
      <c r="C100" s="56"/>
      <c r="E100" s="56"/>
      <c r="F100" s="56"/>
      <c r="H100" s="56"/>
      <c r="L100" s="56"/>
      <c r="M100" s="63"/>
      <c r="N100" s="58"/>
      <c r="P100" s="58"/>
      <c r="X100" s="56"/>
      <c r="AD100" s="56"/>
      <c r="AE100" s="60"/>
      <c r="AF100" s="60"/>
      <c r="AG100" s="60"/>
      <c r="AH100" s="60"/>
      <c r="AJ100" s="55"/>
    </row>
    <row r="101" spans="1:36" s="57" customFormat="1">
      <c r="A101" s="55"/>
      <c r="B101" s="55"/>
      <c r="C101" s="56"/>
      <c r="E101" s="56"/>
      <c r="F101" s="56"/>
      <c r="H101" s="56"/>
      <c r="L101" s="56"/>
      <c r="M101" s="63"/>
      <c r="N101" s="58"/>
      <c r="P101" s="58"/>
      <c r="X101" s="56"/>
      <c r="AD101" s="56"/>
      <c r="AE101" s="60"/>
      <c r="AF101" s="60"/>
      <c r="AG101" s="60"/>
      <c r="AH101" s="60"/>
      <c r="AJ101" s="55"/>
    </row>
    <row r="102" spans="1:36" s="57" customFormat="1">
      <c r="A102" s="55"/>
      <c r="B102" s="55"/>
      <c r="C102" s="56"/>
      <c r="E102" s="56"/>
      <c r="F102" s="56"/>
      <c r="H102" s="56"/>
      <c r="L102" s="56"/>
      <c r="M102" s="63"/>
      <c r="N102" s="58"/>
      <c r="P102" s="58"/>
      <c r="X102" s="56"/>
      <c r="AD102" s="56"/>
      <c r="AE102" s="60"/>
      <c r="AF102" s="60"/>
      <c r="AG102" s="60"/>
      <c r="AH102" s="60"/>
      <c r="AJ102" s="55"/>
    </row>
    <row r="103" spans="1:36" s="57" customFormat="1">
      <c r="A103" s="55"/>
      <c r="B103" s="55"/>
      <c r="C103" s="56"/>
      <c r="E103" s="56"/>
      <c r="F103" s="56"/>
      <c r="H103" s="56"/>
      <c r="L103" s="56"/>
      <c r="M103" s="63"/>
      <c r="N103" s="58"/>
      <c r="P103" s="58"/>
      <c r="X103" s="56"/>
      <c r="AD103" s="56"/>
      <c r="AE103" s="60"/>
      <c r="AF103" s="60"/>
      <c r="AG103" s="60"/>
      <c r="AH103" s="60"/>
      <c r="AJ103" s="55"/>
    </row>
    <row r="104" spans="1:36" s="57" customFormat="1">
      <c r="A104" s="55"/>
      <c r="B104" s="55"/>
      <c r="C104" s="56"/>
      <c r="E104" s="56"/>
      <c r="F104" s="56"/>
      <c r="H104" s="56"/>
      <c r="L104" s="56"/>
      <c r="M104" s="63"/>
      <c r="N104" s="58"/>
      <c r="P104" s="58"/>
      <c r="X104" s="56"/>
      <c r="AD104" s="56"/>
      <c r="AE104" s="60"/>
      <c r="AF104" s="60"/>
      <c r="AG104" s="60"/>
      <c r="AH104" s="60"/>
      <c r="AJ104" s="55"/>
    </row>
    <row r="105" spans="1:36" s="57" customFormat="1">
      <c r="A105" s="55"/>
      <c r="B105" s="55"/>
      <c r="C105" s="56"/>
      <c r="E105" s="56"/>
      <c r="F105" s="56"/>
      <c r="H105" s="56"/>
      <c r="L105" s="56"/>
      <c r="M105" s="63"/>
      <c r="N105" s="58"/>
      <c r="P105" s="58"/>
      <c r="X105" s="56"/>
      <c r="AD105" s="56"/>
      <c r="AE105" s="60"/>
      <c r="AF105" s="60"/>
      <c r="AG105" s="60"/>
      <c r="AH105" s="60"/>
      <c r="AJ105" s="55"/>
    </row>
    <row r="106" spans="1:36" s="57" customFormat="1">
      <c r="A106" s="55"/>
      <c r="B106" s="55"/>
      <c r="C106" s="56"/>
      <c r="E106" s="56"/>
      <c r="F106" s="56"/>
      <c r="H106" s="56"/>
      <c r="L106" s="56"/>
      <c r="M106" s="63"/>
      <c r="N106" s="58"/>
      <c r="P106" s="58"/>
      <c r="X106" s="56"/>
      <c r="AD106" s="56"/>
      <c r="AE106" s="60"/>
      <c r="AF106" s="60"/>
      <c r="AG106" s="60"/>
      <c r="AH106" s="60"/>
      <c r="AJ106" s="55"/>
    </row>
    <row r="107" spans="1:36" s="57" customFormat="1">
      <c r="A107" s="55"/>
      <c r="B107" s="55"/>
      <c r="C107" s="56"/>
      <c r="E107" s="56"/>
      <c r="F107" s="56"/>
      <c r="H107" s="56"/>
      <c r="L107" s="56"/>
      <c r="M107" s="63"/>
      <c r="N107" s="58"/>
      <c r="P107" s="58"/>
      <c r="X107" s="56"/>
      <c r="AD107" s="56"/>
      <c r="AE107" s="60"/>
      <c r="AF107" s="60"/>
      <c r="AG107" s="60"/>
      <c r="AH107" s="60"/>
      <c r="AJ107" s="55"/>
    </row>
    <row r="108" spans="1:36" s="57" customFormat="1">
      <c r="A108" s="55"/>
      <c r="B108" s="55"/>
      <c r="C108" s="56"/>
      <c r="E108" s="56"/>
      <c r="F108" s="56"/>
      <c r="H108" s="56"/>
      <c r="L108" s="56"/>
      <c r="M108" s="63"/>
      <c r="N108" s="58"/>
      <c r="P108" s="58"/>
      <c r="X108" s="56"/>
      <c r="AD108" s="56"/>
      <c r="AE108" s="60"/>
      <c r="AF108" s="60"/>
      <c r="AG108" s="60"/>
      <c r="AH108" s="60"/>
      <c r="AJ108" s="55"/>
    </row>
    <row r="109" spans="1:36" s="57" customFormat="1">
      <c r="A109" s="55"/>
      <c r="B109" s="55"/>
      <c r="C109" s="56"/>
      <c r="E109" s="56"/>
      <c r="F109" s="56"/>
      <c r="H109" s="56"/>
      <c r="L109" s="56"/>
      <c r="M109" s="63"/>
      <c r="N109" s="58"/>
      <c r="P109" s="58"/>
      <c r="X109" s="56"/>
      <c r="AD109" s="56"/>
      <c r="AE109" s="60"/>
      <c r="AF109" s="60"/>
      <c r="AG109" s="60"/>
      <c r="AH109" s="60"/>
      <c r="AJ109" s="55"/>
    </row>
  </sheetData>
  <mergeCells count="13">
    <mergeCell ref="B3:AI3"/>
    <mergeCell ref="B4:B6"/>
    <mergeCell ref="C4:C6"/>
    <mergeCell ref="D4:D6"/>
    <mergeCell ref="E4:P4"/>
    <mergeCell ref="Q4:V4"/>
    <mergeCell ref="W4:AI4"/>
    <mergeCell ref="E5:I5"/>
    <mergeCell ref="J5:N5"/>
    <mergeCell ref="O5:O6"/>
    <mergeCell ref="W5:AD5"/>
    <mergeCell ref="AE5:AI5"/>
    <mergeCell ref="P5:P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  <SharedWithUsers xmlns="a2b08d59-ce98-408b-b7f1-7ea559ce0d50">
      <UserInfo>
        <DisplayName>Ida Bagus Supardana</DisplayName>
        <AccountId>12</AccountId>
        <AccountType/>
      </UserInfo>
      <UserInfo>
        <DisplayName>Dinna Wiji Safitri</DisplayName>
        <AccountId>18</AccountId>
        <AccountType/>
      </UserInfo>
      <UserInfo>
        <DisplayName>Tjokorda Gde Sparsa Krisyana Krisyana</DisplayName>
        <AccountId>13</AccountId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796CB-679E-4EAD-AECD-0FF804E1A2B3}"/>
</file>

<file path=customXml/itemProps2.xml><?xml version="1.0" encoding="utf-8"?>
<ds:datastoreItem xmlns:ds="http://schemas.openxmlformats.org/officeDocument/2006/customXml" ds:itemID="{43461A88-000F-432F-8543-DF7BA2817261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Tjokorda Gde Sparsa Krisyana Krisyana</cp:lastModifiedBy>
  <cp:revision/>
  <dcterms:created xsi:type="dcterms:W3CDTF">2016-09-19T10:41:46Z</dcterms:created>
  <dcterms:modified xsi:type="dcterms:W3CDTF">2023-02-27T15:43:18Z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