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1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AF3" i="1"/>
  <c r="AF7" i="1" s="1"/>
  <c r="AF8" i="1" s="1"/>
  <c r="AF11" i="1" s="1"/>
  <c r="AF12" i="1" s="1"/>
  <c r="AF13" i="1" s="1"/>
  <c r="AF14" i="1" s="1"/>
  <c r="AF15" i="1" s="1"/>
  <c r="AF16" i="1" s="1"/>
  <c r="AF17" i="1" s="1"/>
  <c r="AD11" i="1"/>
  <c r="AD12" i="1" s="1"/>
  <c r="AD13" i="1" s="1"/>
  <c r="AD14" i="1" s="1"/>
  <c r="AD15" i="1" s="1"/>
  <c r="AD16" i="1" s="1"/>
  <c r="AD17" i="1" s="1"/>
  <c r="AD18" i="1" s="1"/>
  <c r="AD19" i="1" s="1"/>
  <c r="AD20" i="1" s="1"/>
  <c r="AB3" i="1"/>
  <c r="AB4" i="1" s="1"/>
  <c r="AB5" i="1" s="1"/>
  <c r="AB6" i="1" s="1"/>
  <c r="AB7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Z11" i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Q5" i="1"/>
  <c r="Q7" i="1" s="1"/>
  <c r="Q8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" i="1"/>
  <c r="N11" i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S2" i="1"/>
  <c r="P2" i="1"/>
  <c r="M2" i="1"/>
  <c r="J2" i="1"/>
  <c r="G2" i="1"/>
  <c r="H11" i="3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J2" i="3"/>
  <c r="K2" i="3" s="1"/>
  <c r="T11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R3" i="2"/>
  <c r="R4" i="2"/>
  <c r="R5" i="2"/>
  <c r="R6" i="2" s="1"/>
  <c r="R7" i="2" s="1"/>
  <c r="R8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1" i="2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11" i="2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F11" i="2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C6" i="4"/>
  <c r="C7" i="4" s="1"/>
  <c r="C9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I2" i="4"/>
  <c r="AD21" i="1" l="1"/>
  <c r="AE20" i="1"/>
  <c r="AF18" i="1"/>
  <c r="AG17" i="1"/>
  <c r="T2" i="1"/>
  <c r="U2" i="1" s="1"/>
  <c r="D2" i="1"/>
  <c r="Z2" i="4"/>
  <c r="X2" i="4"/>
  <c r="Y2" i="4" s="1"/>
  <c r="AF19" i="1" l="1"/>
  <c r="AG18" i="1"/>
  <c r="AD22" i="1"/>
  <c r="AD23" i="1" s="1"/>
  <c r="AD24" i="1" s="1"/>
  <c r="AD25" i="1" s="1"/>
  <c r="AD26" i="1" s="1"/>
  <c r="AD27" i="1" s="1"/>
  <c r="AD28" i="1" s="1"/>
  <c r="AD29" i="1" s="1"/>
  <c r="AD30" i="1" s="1"/>
  <c r="AE21" i="1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AF20" i="1" l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G19" i="1"/>
  <c r="I12" i="4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R9" i="2" l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30" i="2" s="1"/>
  <c r="J11" i="2"/>
  <c r="J12" i="2" s="1"/>
  <c r="J18" i="2" s="1"/>
  <c r="J20" i="2" s="1"/>
  <c r="J24" i="2" s="1"/>
  <c r="J30" i="2" s="1"/>
  <c r="E20" i="2" l="1"/>
  <c r="C20" i="2"/>
  <c r="G20" i="2"/>
  <c r="I20" i="2"/>
  <c r="O20" i="2"/>
  <c r="Q20" i="2"/>
  <c r="U20" i="2"/>
  <c r="M20" i="2"/>
  <c r="S20" i="2"/>
  <c r="AE13" i="1" l="1"/>
  <c r="AG12" i="1"/>
  <c r="AE11" i="1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O31" i="1"/>
  <c r="K31" i="2"/>
  <c r="U31" i="4"/>
  <c r="T31" i="4"/>
  <c r="AE14" i="1" l="1"/>
  <c r="E7" i="3"/>
  <c r="K9" i="4"/>
  <c r="E8" i="3" l="1"/>
  <c r="K10" i="4"/>
  <c r="E9" i="3" l="1"/>
  <c r="K11" i="4"/>
  <c r="L26" i="1"/>
  <c r="E10" i="3" l="1"/>
  <c r="AE12" i="1"/>
  <c r="AE15" i="1"/>
  <c r="AE16" i="1"/>
  <c r="AE17" i="1"/>
  <c r="AE18" i="1"/>
  <c r="AE19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6" i="1"/>
  <c r="AG15" i="1"/>
  <c r="AG14" i="1"/>
  <c r="AG13" i="1"/>
  <c r="AG11" i="1"/>
  <c r="AG10" i="1"/>
  <c r="AG9" i="1"/>
  <c r="AG8" i="1"/>
  <c r="AG7" i="1"/>
  <c r="AG6" i="1"/>
  <c r="AG5" i="1"/>
  <c r="AG4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O10" i="1"/>
  <c r="E28" i="3" l="1"/>
  <c r="K30" i="4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Y3" i="1"/>
  <c r="AA4" i="1"/>
  <c r="E30" i="3" l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Y7" i="1" l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Y5" i="1"/>
  <c r="Y6" i="1"/>
  <c r="AA31" i="1" l="1"/>
  <c r="Y31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16" i="3" l="1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C31" i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31" i="1" l="1"/>
  <c r="J31" i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Q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F31" i="1"/>
  <c r="I31" i="2"/>
  <c r="K31" i="4"/>
  <c r="S31" i="1"/>
  <c r="L31" i="1"/>
  <c r="P31" i="1"/>
  <c r="O31" i="4"/>
  <c r="S31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I29" i="9" s="1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30" i="5" l="1"/>
  <c r="C29" i="5"/>
  <c r="G28" i="9" s="1"/>
  <c r="G29" i="9" l="1"/>
  <c r="C31" i="5"/>
</calcChain>
</file>

<file path=xl/sharedStrings.xml><?xml version="1.0" encoding="utf-8"?>
<sst xmlns="http://schemas.openxmlformats.org/spreadsheetml/2006/main" count="436" uniqueCount="149">
  <si>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</si>
  <si>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</si>
  <si>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</si>
  <si>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</si>
  <si>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</si>
  <si>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</si>
  <si>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</si>
  <si>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</si>
  <si>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</si>
  <si>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</si>
  <si>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</si>
  <si>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</si>
  <si>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</si>
  <si>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</si>
  <si>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</si>
  <si>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</si>
  <si>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</si>
  <si>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</si>
  <si>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</si>
  <si>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</si>
  <si>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</si>
  <si>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</si>
  <si>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</si>
  <si>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</si>
  <si>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</si>
  <si>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</si>
  <si>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</si>
  <si>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</si>
  <si>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</si>
  <si>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</si>
  <si>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</si>
  <si>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</si>
  <si>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</si>
  <si>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</si>
  <si>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</si>
  <si>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</si>
  <si>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</si>
  <si>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</si>
  <si>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</si>
  <si>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</si>
  <si>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</si>
  <si>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</si>
  <si>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</si>
  <si>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</si>
  <si>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</si>
  <si>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</si>
  <si>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</si>
  <si>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</si>
  <si>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</si>
  <si>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</si>
  <si>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</si>
  <si>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</si>
  <si>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</si>
  <si>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</si>
  <si>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</si>
  <si>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</si>
  <si>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</si>
  <si>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</si>
  <si>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</si>
  <si>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</si>
  <si>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</si>
  <si>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</si>
  <si>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</si>
  <si>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</si>
  <si>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</si>
  <si>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</si>
  <si>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</si>
  <si>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</si>
  <si>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</si>
  <si>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</si>
  <si>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</si>
  <si>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</si>
  <si>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</si>
  <si>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</si>
  <si>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</si>
  <si>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</si>
  <si>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</si>
  <si>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</si>
  <si>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</si>
  <si>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</si>
  <si>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</si>
  <si>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</si>
  <si>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</si>
  <si>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</si>
  <si>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</si>
  <si>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</si>
  <si>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</si>
  <si>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</si>
  <si>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</si>
  <si>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</si>
  <si>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</si>
  <si>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</si>
  <si>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</si>
  <si>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</si>
  <si>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</si>
  <si>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</si>
  <si>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</si>
  <si>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</si>
  <si>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</si>
  <si>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</si>
  <si>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</si>
  <si>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</si>
  <si>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</si>
  <si>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</si>
  <si>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</si>
  <si>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</si>
  <si>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</si>
  <si>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</si>
  <si>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</si>
  <si>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</si>
  <si>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</si>
  <si>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</si>
  <si>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</si>
  <si>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</si>
  <si>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</si>
  <si>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</si>
  <si>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</si>
  <si>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</si>
  <si>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</si>
  <si>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</si>
  <si>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</si>
  <si>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</si>
  <si>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</si>
  <si>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</si>
  <si>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</si>
  <si>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</si>
  <si>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</si>
  <si>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</si>
  <si>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</si>
  <si>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</si>
  <si>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</si>
  <si>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</si>
  <si>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</si>
  <si>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</si>
  <si>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</si>
  <si>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</si>
  <si>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</si>
  <si>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</si>
  <si>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</si>
  <si>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</si>
  <si>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</si>
  <si>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</si>
  <si>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</si>
  <si>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</si>
  <si>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</si>
  <si>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</si>
  <si>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</si>
  <si>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</si>
  <si>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February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</si>
</sst>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42" fillId="17" borderId="1" xfId="0" applyFont="1" applyFill="1" applyBorder="1" applyAlignment="1">
      <alignment horizontal="center"/>
    </xf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9"/>
  <sheetViews>
    <sheetView zoomScale="85" zoomScaleNormal="85" workbookViewId="0">
      <pane ySplit="1" topLeftCell="A2" activePane="bottomLeft" state="frozen"/>
      <selection pane="bottomLeft" activeCell="E8" sqref="E8:K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2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37785.874111999998</v>
      </c>
      <c r="F2" s="141">
        <v>1.27</v>
      </c>
      <c r="G2" s="38">
        <f>Gas!C3*0.9147</f>
        <v>4556.1206999999995</v>
      </c>
      <c r="H2" s="142">
        <v>3.65</v>
      </c>
      <c r="I2" s="143">
        <f>Submetering!H2+Submetering!AD2+Submetering!AE2</f>
        <v>646.00000000000011</v>
      </c>
      <c r="J2" s="144">
        <v>10.029999999999999</v>
      </c>
      <c r="K2" s="38">
        <f>ELECT.!B3</f>
        <v>235</v>
      </c>
    </row>
    <row r="3" spans="1:14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51787.768983999995</v>
      </c>
      <c r="F3" s="141">
        <v>1.27</v>
      </c>
      <c r="G3" s="38">
        <f>Gas!C4*0.9147</f>
        <v>3151.1414999999997</v>
      </c>
      <c r="H3" s="142">
        <v>3.65</v>
      </c>
      <c r="I3" s="144">
        <f>Submetering!H3+Submetering!AD3+Submetering!AE3</f>
        <v>616</v>
      </c>
      <c r="J3" s="144">
        <v>10.029999999999999</v>
      </c>
      <c r="K3" s="38">
        <f>ELECT.!B4</f>
        <v>190</v>
      </c>
    </row>
    <row r="4" spans="1:14" x14ac:dyDescent="0.2">
      <c r="A4" s="49" t="s">
        <v>53</v>
      </c>
      <c r="B4" s="54">
        <f t="shared" ref="B4:B29" si="0">B3+1</f>
        <v>3</v>
      </c>
      <c r="C4" s="54">
        <v>2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30046.785071999999</v>
      </c>
      <c r="F4" s="141">
        <v>1.27</v>
      </c>
      <c r="G4" s="38">
        <f>Gas!C5*0.9147</f>
        <v>3087.1124999999997</v>
      </c>
      <c r="H4" s="142">
        <v>3.65</v>
      </c>
      <c r="I4" s="144">
        <f>Submetering!H4+Submetering!AD4+Submetering!AE4</f>
        <v>616</v>
      </c>
      <c r="J4" s="144">
        <v>10.029999999999999</v>
      </c>
      <c r="K4" s="38">
        <f>ELECT.!B5</f>
        <v>182</v>
      </c>
    </row>
    <row r="5" spans="1:14" x14ac:dyDescent="0.2">
      <c r="A5" s="49" t="s">
        <v>53</v>
      </c>
      <c r="B5" s="54">
        <f t="shared" si="0"/>
        <v>4</v>
      </c>
      <c r="C5" s="54">
        <v>2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48904.452404000003</v>
      </c>
      <c r="F5" s="141">
        <v>1.27</v>
      </c>
      <c r="G5" s="38">
        <f>Gas!C6*0.9147</f>
        <v>2825.5083</v>
      </c>
      <c r="H5" s="142">
        <v>3.65</v>
      </c>
      <c r="I5" s="144">
        <f>Submetering!H5+Submetering!AD5+Submetering!AE5</f>
        <v>546</v>
      </c>
      <c r="J5" s="144">
        <v>10.029999999999999</v>
      </c>
      <c r="K5" s="38">
        <f>ELECT.!B6</f>
        <v>178</v>
      </c>
    </row>
    <row r="6" spans="1:14" x14ac:dyDescent="0.2">
      <c r="A6" s="49" t="s">
        <v>53</v>
      </c>
      <c r="B6" s="54">
        <f t="shared" si="0"/>
        <v>5</v>
      </c>
      <c r="C6" s="54">
        <v>2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41927.921951999997</v>
      </c>
      <c r="F6" s="141">
        <v>1.27</v>
      </c>
      <c r="G6" s="38">
        <f>Gas!C7*0.9147</f>
        <v>2716.6589999999997</v>
      </c>
      <c r="H6" s="142">
        <v>3.65</v>
      </c>
      <c r="I6" s="144">
        <f>Submetering!H6+Submetering!AD6+Submetering!AE6</f>
        <v>646</v>
      </c>
      <c r="J6" s="144">
        <v>10.029999999999999</v>
      </c>
      <c r="K6" s="38">
        <f>ELECT.!B7</f>
        <v>211</v>
      </c>
    </row>
    <row r="7" spans="1:14" x14ac:dyDescent="0.2">
      <c r="A7" s="49" t="s">
        <v>53</v>
      </c>
      <c r="B7" s="54">
        <f t="shared" si="0"/>
        <v>6</v>
      </c>
      <c r="C7" s="54">
        <v>2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54278.328976000004</v>
      </c>
      <c r="F7" s="141">
        <v>1.27</v>
      </c>
      <c r="G7" s="38">
        <f>Gas!C8*0.9147</f>
        <v>2430.3579</v>
      </c>
      <c r="H7" s="142">
        <v>3.65</v>
      </c>
      <c r="I7" s="144">
        <f>Submetering!H7+Submetering!AD7+Submetering!AE7</f>
        <v>646</v>
      </c>
      <c r="J7" s="144">
        <v>10.029999999999999</v>
      </c>
      <c r="K7" s="38">
        <f>ELECT.!B8</f>
        <v>216</v>
      </c>
    </row>
    <row r="8" spans="1:14" x14ac:dyDescent="0.2">
      <c r="A8" s="49" t="s">
        <v>53</v>
      </c>
      <c r="B8" s="54">
        <f t="shared" si="0"/>
        <v>7</v>
      </c>
      <c r="C8" s="54">
        <v>2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33188.190587999998</v>
      </c>
      <c r="F8" s="141">
        <v>1.27</v>
      </c>
      <c r="G8" s="38">
        <f>Gas!C9*0.9147</f>
        <v>2282.1765</v>
      </c>
      <c r="H8" s="142">
        <v>3.65</v>
      </c>
      <c r="I8" s="144">
        <f>Submetering!H8+Submetering!AD8+Submetering!AE8</f>
        <v>606</v>
      </c>
      <c r="J8" s="144">
        <v>10.029999999999999</v>
      </c>
      <c r="K8" s="38">
        <f>ELECT.!B9</f>
        <v>264</v>
      </c>
    </row>
    <row r="9" spans="1:14" x14ac:dyDescent="0.2">
      <c r="A9" s="49" t="s">
        <v>53</v>
      </c>
      <c r="B9" s="54">
        <f t="shared" si="0"/>
        <v>8</v>
      </c>
      <c r="C9" s="54">
        <v>2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53966.054032</v>
      </c>
      <c r="F9" s="141">
        <v>1.27</v>
      </c>
      <c r="G9" s="38">
        <f>Gas!C10*0.9147</f>
        <v>3176.7530999999999</v>
      </c>
      <c r="H9" s="142">
        <v>3.65</v>
      </c>
      <c r="I9" s="144">
        <f>Submetering!H9+Submetering!AD9+Submetering!AE9</f>
        <v>696</v>
      </c>
      <c r="J9" s="144">
        <v>10.029999999999999</v>
      </c>
      <c r="K9" s="38">
        <f>ELECT.!B10</f>
        <v>242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2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1">
        <v>1.27</v>
      </c>
      <c r="G10" s="38">
        <f>Gas!C11*0.9147</f>
        <v>0</v>
      </c>
      <c r="H10" s="142">
        <v>3.65</v>
      </c>
      <c r="I10" s="144">
        <f>Submetering!H10+Submetering!AD10+Submetering!AE10</f>
        <v>-194</v>
      </c>
      <c r="J10" s="144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2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1">
        <v>1.27</v>
      </c>
      <c r="G11" s="38">
        <f>Gas!C12*0.9147</f>
        <v>0</v>
      </c>
      <c r="H11" s="142">
        <v>3.65</v>
      </c>
      <c r="I11" s="144">
        <f>Submetering!H11+Submetering!AD11+Submetering!AE11</f>
        <v>-194</v>
      </c>
      <c r="J11" s="144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2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1">
        <v>1.27</v>
      </c>
      <c r="G12" s="38">
        <f>Gas!C13*0.9147</f>
        <v>0</v>
      </c>
      <c r="H12" s="142">
        <v>3.65</v>
      </c>
      <c r="I12" s="144">
        <f>Submetering!H12+Submetering!AD12+Submetering!AE12</f>
        <v>-194</v>
      </c>
      <c r="J12" s="144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2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1">
        <v>1.27</v>
      </c>
      <c r="G13" s="38">
        <f>Gas!C14*0.9147</f>
        <v>0</v>
      </c>
      <c r="H13" s="142">
        <v>3.65</v>
      </c>
      <c r="I13" s="144">
        <f>Submetering!H13+Submetering!AD13+Submetering!AE13</f>
        <v>-194</v>
      </c>
      <c r="J13" s="144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2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1">
        <v>1.27</v>
      </c>
      <c r="G14" s="38">
        <f>Gas!C15*0.9147</f>
        <v>0</v>
      </c>
      <c r="H14" s="142">
        <v>3.65</v>
      </c>
      <c r="I14" s="144">
        <f>Submetering!H14+Submetering!AD14+Submetering!AE14</f>
        <v>-194</v>
      </c>
      <c r="J14" s="144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2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1">
        <v>1.27</v>
      </c>
      <c r="G15" s="38">
        <f>Gas!C16*0.9147</f>
        <v>0</v>
      </c>
      <c r="H15" s="142">
        <v>3.65</v>
      </c>
      <c r="I15" s="144">
        <f>Submetering!H15+Submetering!AD15+Submetering!AE15</f>
        <v>-194</v>
      </c>
      <c r="J15" s="144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2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1">
        <v>1.27</v>
      </c>
      <c r="G16" s="38">
        <f>Gas!C17*0.9147</f>
        <v>0</v>
      </c>
      <c r="H16" s="142">
        <v>3.65</v>
      </c>
      <c r="I16" s="144">
        <f>Submetering!H16+Submetering!AD16+Submetering!AE16</f>
        <v>-194</v>
      </c>
      <c r="J16" s="144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2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1">
        <v>1.27</v>
      </c>
      <c r="G17" s="38">
        <f>Gas!C18*0.9147</f>
        <v>0</v>
      </c>
      <c r="H17" s="142">
        <v>3.65</v>
      </c>
      <c r="I17" s="144">
        <f>Submetering!H17+Submetering!AD17+Submetering!AE17</f>
        <v>-194</v>
      </c>
      <c r="J17" s="144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2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1">
        <v>1.27</v>
      </c>
      <c r="G18" s="38">
        <f>Gas!C19*0.9147</f>
        <v>0</v>
      </c>
      <c r="H18" s="142">
        <v>3.65</v>
      </c>
      <c r="I18" s="144">
        <f>Submetering!H18+Submetering!AD18+Submetering!AE18</f>
        <v>-194</v>
      </c>
      <c r="J18" s="144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2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1">
        <v>1.27</v>
      </c>
      <c r="G19" s="38">
        <f>Gas!C20*0.9147</f>
        <v>0</v>
      </c>
      <c r="H19" s="142">
        <v>3.65</v>
      </c>
      <c r="I19" s="144">
        <f>Submetering!H19+Submetering!AD19+Submetering!AE19</f>
        <v>-194</v>
      </c>
      <c r="J19" s="144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2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1">
        <v>1.27</v>
      </c>
      <c r="G20" s="38">
        <f>Gas!C21*0.9147</f>
        <v>0</v>
      </c>
      <c r="H20" s="142">
        <v>3.65</v>
      </c>
      <c r="I20" s="144">
        <f>Submetering!H20+Submetering!AD20+Submetering!AE20</f>
        <v>-194</v>
      </c>
      <c r="J20" s="144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2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1">
        <v>1.27</v>
      </c>
      <c r="G21" s="38">
        <f>Gas!C22*0.9147</f>
        <v>0</v>
      </c>
      <c r="H21" s="142">
        <v>3.65</v>
      </c>
      <c r="I21" s="144">
        <f>Submetering!H21+Submetering!AD21+Submetering!AE21</f>
        <v>-194</v>
      </c>
      <c r="J21" s="144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2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1">
        <v>1.27</v>
      </c>
      <c r="G22" s="38">
        <f>Gas!C23*0.9147</f>
        <v>0</v>
      </c>
      <c r="H22" s="142">
        <v>3.65</v>
      </c>
      <c r="I22" s="144">
        <f>Submetering!H22+Submetering!AD22+Submetering!AE22</f>
        <v>-194</v>
      </c>
      <c r="J22" s="144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2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1">
        <v>1.27</v>
      </c>
      <c r="G23" s="38">
        <f>Gas!C24*0.9147</f>
        <v>0</v>
      </c>
      <c r="H23" s="142">
        <v>3.65</v>
      </c>
      <c r="I23" s="144">
        <f>Submetering!H23+Submetering!AD23+Submetering!AE23</f>
        <v>-194</v>
      </c>
      <c r="J23" s="144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2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1">
        <v>1.27</v>
      </c>
      <c r="G24" s="38">
        <f>Gas!C25*0.9147</f>
        <v>0</v>
      </c>
      <c r="H24" s="142">
        <v>3.65</v>
      </c>
      <c r="I24" s="144">
        <f>Submetering!H24+Submetering!AD24+Submetering!AE24</f>
        <v>-194</v>
      </c>
      <c r="J24" s="144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2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1">
        <v>1.27</v>
      </c>
      <c r="G25" s="38">
        <f>Gas!C26*0.9147</f>
        <v>0</v>
      </c>
      <c r="H25" s="142">
        <v>3.65</v>
      </c>
      <c r="I25" s="144">
        <f>Submetering!H25+Submetering!AD25+Submetering!AE25</f>
        <v>-194</v>
      </c>
      <c r="J25" s="144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1">
        <v>1.27</v>
      </c>
      <c r="G26" s="38">
        <f>Gas!C27*0.9147</f>
        <v>0</v>
      </c>
      <c r="H26" s="142">
        <v>3.65</v>
      </c>
      <c r="I26" s="144">
        <f>Submetering!H26+Submetering!AD26+Submetering!AE26</f>
        <v>-194</v>
      </c>
      <c r="J26" s="144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2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1">
        <v>1.27</v>
      </c>
      <c r="G27" s="38">
        <f>Gas!C28*0.9147</f>
        <v>0</v>
      </c>
      <c r="H27" s="142">
        <v>3.65</v>
      </c>
      <c r="I27" s="144">
        <f>Submetering!H27+Submetering!AD27+Submetering!AE27</f>
        <v>-194</v>
      </c>
      <c r="J27" s="144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2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1">
        <v>1.27</v>
      </c>
      <c r="G28" s="38">
        <f>Gas!C29*0.9147</f>
        <v>0</v>
      </c>
      <c r="H28" s="142">
        <v>3.65</v>
      </c>
      <c r="I28" s="144">
        <f>Submetering!H28+Submetering!AD28+Submetering!AE28</f>
        <v>-194</v>
      </c>
      <c r="J28" s="144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2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1">
        <v>1.27</v>
      </c>
      <c r="G29" s="38">
        <f>Gas!C30*0.9147</f>
        <v>0</v>
      </c>
      <c r="H29" s="142">
        <v>3.65</v>
      </c>
      <c r="I29" s="144">
        <f>Submetering!H29+Submetering!AD29+Submetering!AE29</f>
        <v>-194</v>
      </c>
      <c r="J29" s="144">
        <v>10.029999999999999</v>
      </c>
      <c r="K29" s="38">
        <f>ELECT.!B30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29"/>
  <sheetViews>
    <sheetView tabSelected="1" zoomScale="85" zoomScaleNormal="85" workbookViewId="0">
      <selection activeCell="D16" sqref="D16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2</v>
      </c>
      <c r="D2" s="54">
        <v>2022</v>
      </c>
      <c r="E2" s="38">
        <f>Water!C3</f>
        <v>840</v>
      </c>
      <c r="F2" s="38">
        <f>Water!E3</f>
        <v>490</v>
      </c>
      <c r="G2" s="38">
        <f>Water!G3</f>
        <v>237.6</v>
      </c>
      <c r="H2" s="38">
        <f>Water!I3</f>
        <v>5.5350000000000001</v>
      </c>
      <c r="I2" s="38">
        <f>ELECT.!F3</f>
        <v>8271</v>
      </c>
      <c r="J2" s="38">
        <f>ELECT.!H3</f>
        <v>32113</v>
      </c>
      <c r="K2" s="38">
        <f>ELECT.!K3</f>
        <v>8148</v>
      </c>
      <c r="L2" s="38">
        <f>ELECT.!M3</f>
        <v>3565</v>
      </c>
      <c r="M2" s="38">
        <f>ELECT.!O3</f>
        <v>4586</v>
      </c>
      <c r="N2" s="38">
        <f>ELECT.!Q3</f>
        <v>2093</v>
      </c>
      <c r="O2" s="38">
        <f>ELECT.!S3</f>
        <v>7900</v>
      </c>
      <c r="P2" s="38">
        <f>ELECT.!W3*2</f>
        <v>17168</v>
      </c>
      <c r="Q2" s="38">
        <f>ELECT.!D3</f>
        <v>0</v>
      </c>
      <c r="R2" s="39">
        <f>BTU!C3</f>
        <v>2.0149999999994179</v>
      </c>
      <c r="S2" s="39">
        <f>BTU!F3</f>
        <v>0.46300000000064756</v>
      </c>
      <c r="T2" s="39">
        <f>BTU!I3</f>
        <v>5</v>
      </c>
      <c r="U2" s="39">
        <f>BTU!O3</f>
        <v>1.1079999999997199</v>
      </c>
      <c r="V2" s="39">
        <f>BTU!L3</f>
        <v>0</v>
      </c>
      <c r="W2" s="39">
        <f>BTU!R3</f>
        <v>0</v>
      </c>
      <c r="X2" s="36">
        <f>ELECT.!B3</f>
        <v>235</v>
      </c>
      <c r="Y2" s="36">
        <f>I2+J2-(K2+L2+M2+N2+O2+P2)</f>
        <v>-3076</v>
      </c>
      <c r="Z2">
        <f>'Mall, Citadel, Rotana'!C3+'Mall, Citadel, Rotana'!E3+'Mall, Citadel, Rotana'!G3+'Mall, Citadel, Rotana'!I3</f>
        <v>1375</v>
      </c>
      <c r="AA2">
        <f>'Mall, Citadel, Rotana'!K3+'Mall, Citadel, Rotana'!M3</f>
        <v>640</v>
      </c>
      <c r="AB2">
        <f>'Mall, Citadel, Rotana'!O3</f>
        <v>116</v>
      </c>
      <c r="AC2">
        <f>'Mall, Citadel, Rotana'!Q3+'Mall, Citadel, Rotana'!S3</f>
        <v>124</v>
      </c>
      <c r="AD2" s="36">
        <f>(E2-H2-194)*0.1318</f>
        <v>84.413287000000011</v>
      </c>
      <c r="AE2" s="36">
        <f>E2-H2-AD2-194</f>
        <v>556.05171300000006</v>
      </c>
    </row>
    <row r="3" spans="1:31" x14ac:dyDescent="0.2">
      <c r="A3" s="49" t="s">
        <v>53</v>
      </c>
      <c r="B3" s="54">
        <f>B2+1</f>
        <v>2</v>
      </c>
      <c r="C3" s="54">
        <v>2</v>
      </c>
      <c r="D3" s="54">
        <v>2022</v>
      </c>
      <c r="E3" s="38">
        <f>Water!C4</f>
        <v>810</v>
      </c>
      <c r="F3" s="38">
        <f>Water!E4</f>
        <v>500</v>
      </c>
      <c r="G3" s="38">
        <f>Water!G4</f>
        <v>251.1</v>
      </c>
      <c r="H3" s="38">
        <f>Water!I4</f>
        <v>5.67</v>
      </c>
      <c r="I3" s="38">
        <f>ELECT.!F4</f>
        <v>10599</v>
      </c>
      <c r="J3" s="38">
        <f>ELECT.!H4</f>
        <v>43604</v>
      </c>
      <c r="K3" s="38">
        <f>ELECT.!K4</f>
        <v>10828</v>
      </c>
      <c r="L3" s="38">
        <f>ELECT.!M4</f>
        <v>4874</v>
      </c>
      <c r="M3" s="38">
        <f>ELECT.!O4</f>
        <v>5576</v>
      </c>
      <c r="N3" s="38">
        <f>ELECT.!Q4</f>
        <v>3201</v>
      </c>
      <c r="O3" s="38">
        <f>ELECT.!S4</f>
        <v>11280</v>
      </c>
      <c r="P3" s="38">
        <f>ELECT.!W4*2</f>
        <v>22446</v>
      </c>
      <c r="Q3" s="38">
        <f>ELECT.!D4</f>
        <v>0</v>
      </c>
      <c r="R3" s="39">
        <f>BTU!C4</f>
        <v>1.8060000000004948</v>
      </c>
      <c r="S3" s="39">
        <f>BTU!F4</f>
        <v>0.45199999999931606</v>
      </c>
      <c r="T3" s="39">
        <f>BTU!I4</f>
        <v>4</v>
      </c>
      <c r="U3" s="39">
        <f>BTU!O4</f>
        <v>0.96500000000014552</v>
      </c>
      <c r="V3" s="39">
        <f>BTU!L4</f>
        <v>0</v>
      </c>
      <c r="W3" s="39" t="str">
        <f>BTU!R4</f>
        <v>0</v>
      </c>
      <c r="X3" s="36">
        <f>ELECT.!B4</f>
        <v>190</v>
      </c>
      <c r="Y3" s="36">
        <f t="shared" ref="Y3:Y29" si="0">I3+J3-(K3+L3+M3+N3+O3+P3)</f>
        <v>-4002</v>
      </c>
      <c r="Z3">
        <f>'Mall, Citadel, Rotana'!C4+'Mall, Citadel, Rotana'!E4+'Mall, Citadel, Rotana'!G4+'Mall, Citadel, Rotana'!I4</f>
        <v>1355</v>
      </c>
      <c r="AA3">
        <f>'Mall, Citadel, Rotana'!K4+'Mall, Citadel, Rotana'!M4</f>
        <v>480</v>
      </c>
      <c r="AB3">
        <f>'Mall, Citadel, Rotana'!O4</f>
        <v>121</v>
      </c>
      <c r="AC3">
        <f>'Mall, Citadel, Rotana'!Q4+'Mall, Citadel, Rotana'!S4</f>
        <v>0</v>
      </c>
      <c r="AD3" s="36">
        <f t="shared" ref="AD3:AD29" si="1">(E3-H3-194)*0.1318</f>
        <v>80.441494000000006</v>
      </c>
      <c r="AE3" s="36">
        <f t="shared" ref="AE3:AE29" si="2">E3-H3-AD3-194</f>
        <v>529.88850600000001</v>
      </c>
    </row>
    <row r="4" spans="1:31" x14ac:dyDescent="0.2">
      <c r="A4" s="49" t="s">
        <v>53</v>
      </c>
      <c r="B4" s="54">
        <f t="shared" ref="B4:B29" si="3">B3+1</f>
        <v>3</v>
      </c>
      <c r="C4" s="54">
        <v>2</v>
      </c>
      <c r="D4" s="54">
        <v>2022</v>
      </c>
      <c r="E4" s="38">
        <f>Water!C5</f>
        <v>810</v>
      </c>
      <c r="F4" s="38">
        <f>Water!E5</f>
        <v>500</v>
      </c>
      <c r="G4" s="38">
        <f>Water!G5</f>
        <v>251.1</v>
      </c>
      <c r="H4" s="38">
        <f>Water!I5</f>
        <v>5.67</v>
      </c>
      <c r="I4" s="38">
        <f>ELECT.!F5</f>
        <v>4081</v>
      </c>
      <c r="J4" s="38">
        <f>ELECT.!H5</f>
        <v>28056</v>
      </c>
      <c r="K4" s="38">
        <f>ELECT.!K5</f>
        <v>6740</v>
      </c>
      <c r="L4" s="38">
        <f>ELECT.!M5</f>
        <v>3075</v>
      </c>
      <c r="M4" s="38">
        <f>ELECT.!O5</f>
        <v>916</v>
      </c>
      <c r="N4" s="38">
        <f>ELECT.!Q5</f>
        <v>4661</v>
      </c>
      <c r="O4" s="38">
        <f>ELECT.!S5</f>
        <v>6428</v>
      </c>
      <c r="P4" s="38">
        <f>ELECT.!W5*2</f>
        <v>12880</v>
      </c>
      <c r="Q4" s="38">
        <f>ELECT.!D5</f>
        <v>0</v>
      </c>
      <c r="R4" s="39">
        <f>BTU!C5</f>
        <v>2.1430000000000291</v>
      </c>
      <c r="S4" s="39">
        <f>BTU!F5</f>
        <v>0.51200000000062573</v>
      </c>
      <c r="T4" s="39">
        <f>BTU!I5</f>
        <v>4</v>
      </c>
      <c r="U4" s="39">
        <f>BTU!O5</f>
        <v>1.0090000000000146</v>
      </c>
      <c r="V4" s="39">
        <f>BTU!L5</f>
        <v>0</v>
      </c>
      <c r="W4" s="39">
        <f>BTU!R5</f>
        <v>0</v>
      </c>
      <c r="X4" s="36">
        <f>ELECT.!B5</f>
        <v>182</v>
      </c>
      <c r="Y4" s="36">
        <f t="shared" si="0"/>
        <v>-2563</v>
      </c>
      <c r="Z4">
        <f>'Mall, Citadel, Rotana'!C5+'Mall, Citadel, Rotana'!E5+'Mall, Citadel, Rotana'!G5+'Mall, Citadel, Rotana'!I5</f>
        <v>1375</v>
      </c>
      <c r="AA4">
        <f>'Mall, Citadel, Rotana'!K5+'Mall, Citadel, Rotana'!M5</f>
        <v>320</v>
      </c>
      <c r="AB4">
        <f>'Mall, Citadel, Rotana'!O5</f>
        <v>123</v>
      </c>
      <c r="AC4">
        <f>'Mall, Citadel, Rotana'!Q5+'Mall, Citadel, Rotana'!S5</f>
        <v>0</v>
      </c>
      <c r="AD4" s="36">
        <f t="shared" si="1"/>
        <v>80.441494000000006</v>
      </c>
      <c r="AE4" s="36">
        <f t="shared" si="2"/>
        <v>529.88850600000001</v>
      </c>
    </row>
    <row r="5" spans="1:31" x14ac:dyDescent="0.2">
      <c r="A5" s="49" t="s">
        <v>53</v>
      </c>
      <c r="B5" s="54">
        <f t="shared" si="3"/>
        <v>4</v>
      </c>
      <c r="C5" s="54">
        <v>2</v>
      </c>
      <c r="D5" s="54">
        <v>2022</v>
      </c>
      <c r="E5" s="38">
        <f>Water!C6</f>
        <v>740</v>
      </c>
      <c r="F5" s="38">
        <f>Water!E6</f>
        <v>460</v>
      </c>
      <c r="G5" s="38">
        <f>Water!G6</f>
        <v>210.6</v>
      </c>
      <c r="H5" s="38">
        <f>Water!I6</f>
        <v>4.9409999999999998</v>
      </c>
      <c r="I5" s="38">
        <f>ELECT.!F6</f>
        <v>9426</v>
      </c>
      <c r="J5" s="38">
        <f>ELECT.!H6</f>
        <v>41809</v>
      </c>
      <c r="K5" s="38">
        <f>ELECT.!K6</f>
        <v>9766</v>
      </c>
      <c r="L5" s="38">
        <f>ELECT.!M6</f>
        <v>4577</v>
      </c>
      <c r="M5" s="38">
        <f>ELECT.!O6</f>
        <v>4678</v>
      </c>
      <c r="N5" s="38">
        <f>ELECT.!Q6</f>
        <v>3766</v>
      </c>
      <c r="O5" s="38">
        <f>ELECT.!S6</f>
        <v>10787</v>
      </c>
      <c r="P5" s="38">
        <f>ELECT.!W6*2</f>
        <v>22744</v>
      </c>
      <c r="Q5" s="38">
        <f>ELECT.!D6</f>
        <v>0</v>
      </c>
      <c r="R5" s="39">
        <f>BTU!C6</f>
        <v>1.7319999999999709</v>
      </c>
      <c r="S5" s="39">
        <f>BTU!F6</f>
        <v>0.33399999999983265</v>
      </c>
      <c r="T5" s="39">
        <f>BTU!I6</f>
        <v>5</v>
      </c>
      <c r="U5" s="39">
        <f>BTU!O6</f>
        <v>0.97199999999975262</v>
      </c>
      <c r="V5" s="39">
        <f>BTU!L6</f>
        <v>0</v>
      </c>
      <c r="W5" s="39">
        <f>BTU!R6</f>
        <v>0</v>
      </c>
      <c r="X5" s="36">
        <f>ELECT.!B6</f>
        <v>178</v>
      </c>
      <c r="Y5" s="36">
        <f t="shared" si="0"/>
        <v>-5083</v>
      </c>
      <c r="Z5">
        <f>'Mall, Citadel, Rotana'!C6+'Mall, Citadel, Rotana'!E6+'Mall, Citadel, Rotana'!G6+'Mall, Citadel, Rotana'!I6</f>
        <v>1214</v>
      </c>
      <c r="AA5">
        <f>'Mall, Citadel, Rotana'!K6+'Mall, Citadel, Rotana'!M6</f>
        <v>640</v>
      </c>
      <c r="AB5">
        <f>'Mall, Citadel, Rotana'!O6</f>
        <v>66</v>
      </c>
      <c r="AC5">
        <f>'Mall, Citadel, Rotana'!Q6+'Mall, Citadel, Rotana'!S6</f>
        <v>0</v>
      </c>
      <c r="AD5" s="36">
        <f t="shared" si="1"/>
        <v>71.31157619999999</v>
      </c>
      <c r="AE5" s="36">
        <f t="shared" si="2"/>
        <v>469.74742379999998</v>
      </c>
    </row>
    <row r="6" spans="1:31" x14ac:dyDescent="0.2">
      <c r="A6" s="49" t="s">
        <v>53</v>
      </c>
      <c r="B6" s="54">
        <f t="shared" si="3"/>
        <v>5</v>
      </c>
      <c r="C6" s="54">
        <v>2</v>
      </c>
      <c r="D6" s="54">
        <v>2022</v>
      </c>
      <c r="E6" s="38">
        <f>Water!C7</f>
        <v>840</v>
      </c>
      <c r="F6" s="38">
        <f>Water!E7</f>
        <v>470</v>
      </c>
      <c r="G6" s="38">
        <f>Water!G7</f>
        <v>202.5</v>
      </c>
      <c r="H6" s="38">
        <f>Water!I7</f>
        <v>5.5889999999999995</v>
      </c>
      <c r="I6" s="38">
        <f>ELECT.!F7</f>
        <v>8692</v>
      </c>
      <c r="J6" s="38">
        <f>ELECT.!H7</f>
        <v>35635</v>
      </c>
      <c r="K6" s="38">
        <f>ELECT.!K7</f>
        <v>8378</v>
      </c>
      <c r="L6" s="38">
        <f>ELECT.!M7</f>
        <v>4004</v>
      </c>
      <c r="M6" s="38">
        <f>ELECT.!O7</f>
        <v>4592</v>
      </c>
      <c r="N6" s="38">
        <f>ELECT.!Q7</f>
        <v>2389</v>
      </c>
      <c r="O6" s="38">
        <f>ELECT.!S7</f>
        <v>9320</v>
      </c>
      <c r="P6" s="38">
        <f>ELECT.!W7*2</f>
        <v>14708</v>
      </c>
      <c r="Q6" s="38">
        <f>ELECT.!D7</f>
        <v>0</v>
      </c>
      <c r="R6" s="39">
        <f>BTU!C7</f>
        <v>1.9120000000002619</v>
      </c>
      <c r="S6" s="39">
        <f>BTU!F7</f>
        <v>0.37899999999990541</v>
      </c>
      <c r="T6" s="39">
        <f>BTU!I7</f>
        <v>4</v>
      </c>
      <c r="U6" s="39">
        <f>BTU!O7</f>
        <v>0.96600000000034925</v>
      </c>
      <c r="V6" s="39">
        <f>BTU!L7</f>
        <v>0</v>
      </c>
      <c r="W6" s="39">
        <f>BTU!R7</f>
        <v>0</v>
      </c>
      <c r="X6" s="36">
        <f>ELECT.!B7</f>
        <v>211</v>
      </c>
      <c r="Y6" s="36">
        <f t="shared" si="0"/>
        <v>936</v>
      </c>
      <c r="Z6">
        <f>'Mall, Citadel, Rotana'!C7+'Mall, Citadel, Rotana'!E7+'Mall, Citadel, Rotana'!G7+'Mall, Citadel, Rotana'!I7</f>
        <v>1213</v>
      </c>
      <c r="AA6">
        <f>'Mall, Citadel, Rotana'!K7+'Mall, Citadel, Rotana'!M7</f>
        <v>640</v>
      </c>
      <c r="AB6">
        <f>'Mall, Citadel, Rotana'!O7</f>
        <v>69</v>
      </c>
      <c r="AC6">
        <f>'Mall, Citadel, Rotana'!Q7+'Mall, Citadel, Rotana'!S7</f>
        <v>0</v>
      </c>
      <c r="AD6" s="36">
        <f t="shared" si="1"/>
        <v>84.406169799999986</v>
      </c>
      <c r="AE6" s="36">
        <f t="shared" si="2"/>
        <v>556.00483020000001</v>
      </c>
    </row>
    <row r="7" spans="1:31" x14ac:dyDescent="0.2">
      <c r="A7" s="49" t="s">
        <v>53</v>
      </c>
      <c r="B7" s="54">
        <f t="shared" si="3"/>
        <v>6</v>
      </c>
      <c r="C7" s="54">
        <v>2</v>
      </c>
      <c r="D7" s="54">
        <v>2022</v>
      </c>
      <c r="E7" s="38">
        <f>Water!C8</f>
        <v>840</v>
      </c>
      <c r="F7" s="38">
        <f>Water!E8</f>
        <v>520</v>
      </c>
      <c r="G7" s="38">
        <f>Water!G8</f>
        <v>207.9</v>
      </c>
      <c r="H7" s="38">
        <f>Water!I8</f>
        <v>6.2910000000000004</v>
      </c>
      <c r="I7" s="38">
        <f>ELECT.!F8</f>
        <v>10721</v>
      </c>
      <c r="J7" s="38">
        <f>ELECT.!H8</f>
        <v>45688</v>
      </c>
      <c r="K7" s="38">
        <f>ELECT.!K8</f>
        <v>11202</v>
      </c>
      <c r="L7" s="38">
        <f>ELECT.!M8</f>
        <v>5327</v>
      </c>
      <c r="M7" s="38">
        <f>ELECT.!O8</f>
        <v>5726</v>
      </c>
      <c r="N7" s="38">
        <f>ELECT.!Q8</f>
        <v>2944</v>
      </c>
      <c r="O7" s="38">
        <f>ELECT.!S8</f>
        <v>12254</v>
      </c>
      <c r="P7" s="38">
        <f>ELECT.!W8*2</f>
        <v>26510</v>
      </c>
      <c r="Q7" s="38">
        <f>ELECT.!D8</f>
        <v>0</v>
      </c>
      <c r="R7" s="39">
        <f>BTU!C8</f>
        <v>2.1759999999994761</v>
      </c>
      <c r="S7" s="39">
        <f>BTU!F8</f>
        <v>0.48999999999978172</v>
      </c>
      <c r="T7" s="39">
        <f>BTU!I8</f>
        <v>4</v>
      </c>
      <c r="U7" s="39">
        <f>BTU!O8</f>
        <v>1.0339999999996508</v>
      </c>
      <c r="V7" s="39">
        <f>BTU!L8</f>
        <v>0</v>
      </c>
      <c r="W7" s="39">
        <f>BTU!R8</f>
        <v>0</v>
      </c>
      <c r="X7" s="36">
        <f>ELECT.!B8</f>
        <v>216</v>
      </c>
      <c r="Y7" s="36">
        <f t="shared" si="0"/>
        <v>-7554</v>
      </c>
      <c r="Z7">
        <f>'Mall, Citadel, Rotana'!C8+'Mall, Citadel, Rotana'!E8+'Mall, Citadel, Rotana'!G8+'Mall, Citadel, Rotana'!I8</f>
        <v>1054</v>
      </c>
      <c r="AA7">
        <f>'Mall, Citadel, Rotana'!K8+'Mall, Citadel, Rotana'!M8</f>
        <v>640</v>
      </c>
      <c r="AB7">
        <f>'Mall, Citadel, Rotana'!O8</f>
        <v>54</v>
      </c>
      <c r="AC7">
        <f>'Mall, Citadel, Rotana'!Q8+'Mall, Citadel, Rotana'!S8</f>
        <v>0</v>
      </c>
      <c r="AD7" s="36">
        <f t="shared" si="1"/>
        <v>84.313646199999994</v>
      </c>
      <c r="AE7" s="36">
        <f t="shared" si="2"/>
        <v>555.39535379999995</v>
      </c>
    </row>
    <row r="8" spans="1:31" x14ac:dyDescent="0.2">
      <c r="A8" s="49" t="s">
        <v>53</v>
      </c>
      <c r="B8" s="54">
        <f t="shared" si="3"/>
        <v>7</v>
      </c>
      <c r="C8" s="54">
        <v>2</v>
      </c>
      <c r="D8" s="54">
        <v>2022</v>
      </c>
      <c r="E8" s="38">
        <f>Water!C9</f>
        <v>800</v>
      </c>
      <c r="F8" s="38">
        <f>Water!E9</f>
        <v>440</v>
      </c>
      <c r="G8" s="38">
        <f>Water!G9</f>
        <v>245.7</v>
      </c>
      <c r="H8" s="38">
        <f>Water!I9</f>
        <v>5.67</v>
      </c>
      <c r="I8" s="38">
        <f>ELECT.!F9</f>
        <v>7528</v>
      </c>
      <c r="J8" s="38">
        <f>ELECT.!H9</f>
        <v>27902</v>
      </c>
      <c r="K8" s="38">
        <f>ELECT.!K9</f>
        <v>7052</v>
      </c>
      <c r="L8" s="38">
        <f>ELECT.!M9</f>
        <v>2706</v>
      </c>
      <c r="M8" s="38">
        <f>ELECT.!O9</f>
        <v>4216</v>
      </c>
      <c r="N8" s="38">
        <f>ELECT.!Q9</f>
        <v>1895</v>
      </c>
      <c r="O8" s="38">
        <f>ELECT.!S9</f>
        <v>6567</v>
      </c>
      <c r="P8" s="38">
        <f>ELECT.!W9*2</f>
        <v>8690</v>
      </c>
      <c r="Q8" s="38">
        <f>ELECT.!D9</f>
        <v>0</v>
      </c>
      <c r="R8" s="39">
        <f>BTU!C9</f>
        <v>2.8099999999976717</v>
      </c>
      <c r="S8" s="39">
        <f>BTU!F9</f>
        <v>0.69500000000061846</v>
      </c>
      <c r="T8" s="39">
        <f>BTU!I9</f>
        <v>6</v>
      </c>
      <c r="U8" s="39">
        <f>BTU!O9</f>
        <v>1.1000000000003638</v>
      </c>
      <c r="V8" s="39">
        <f>BTU!L9</f>
        <v>0</v>
      </c>
      <c r="W8" s="39">
        <f>BTU!R9</f>
        <v>0</v>
      </c>
      <c r="X8" s="36">
        <f>ELECT.!B9</f>
        <v>264</v>
      </c>
      <c r="Y8" s="36">
        <f t="shared" si="0"/>
        <v>4304</v>
      </c>
      <c r="Z8">
        <f>'Mall, Citadel, Rotana'!C9+'Mall, Citadel, Rotana'!E9+'Mall, Citadel, Rotana'!G9+'Mall, Citadel, Rotana'!I9</f>
        <v>1054</v>
      </c>
      <c r="AA8">
        <f>'Mall, Citadel, Rotana'!K9+'Mall, Citadel, Rotana'!M9</f>
        <v>640</v>
      </c>
      <c r="AB8">
        <f>'Mall, Citadel, Rotana'!O9</f>
        <v>66</v>
      </c>
      <c r="AC8">
        <f>'Mall, Citadel, Rotana'!Q9+'Mall, Citadel, Rotana'!S9</f>
        <v>0</v>
      </c>
      <c r="AD8" s="36">
        <f t="shared" si="1"/>
        <v>79.123494000000008</v>
      </c>
      <c r="AE8" s="36">
        <f t="shared" si="2"/>
        <v>521.20650599999999</v>
      </c>
    </row>
    <row r="9" spans="1:31" x14ac:dyDescent="0.2">
      <c r="A9" s="49" t="s">
        <v>53</v>
      </c>
      <c r="B9" s="54">
        <f t="shared" si="3"/>
        <v>8</v>
      </c>
      <c r="C9" s="54">
        <v>2</v>
      </c>
      <c r="D9" s="54">
        <v>2022</v>
      </c>
      <c r="E9" s="38">
        <f>Water!C10</f>
        <v>890</v>
      </c>
      <c r="F9" s="38">
        <f>Water!E10</f>
        <v>470</v>
      </c>
      <c r="G9" s="38">
        <f>Water!G10</f>
        <v>332.1</v>
      </c>
      <c r="H9" s="38">
        <f>Water!I10</f>
        <v>6.0750000000000002</v>
      </c>
      <c r="I9" s="38">
        <f>ELECT.!F10</f>
        <v>12461</v>
      </c>
      <c r="J9" s="38">
        <f>ELECT.!H10</f>
        <v>44188</v>
      </c>
      <c r="K9" s="38">
        <f>ELECT.!K10</f>
        <v>11164</v>
      </c>
      <c r="L9" s="38">
        <f>ELECT.!M10</f>
        <v>5818</v>
      </c>
      <c r="M9" s="38">
        <f>ELECT.!O10</f>
        <v>6484</v>
      </c>
      <c r="N9" s="38">
        <f>ELECT.!Q10</f>
        <v>3080</v>
      </c>
      <c r="O9" s="38">
        <f>ELECT.!S10</f>
        <v>11182</v>
      </c>
      <c r="P9" s="38">
        <f>ELECT.!W10*2</f>
        <v>29066</v>
      </c>
      <c r="Q9" s="38">
        <f>ELECT.!D10</f>
        <v>320</v>
      </c>
      <c r="R9" s="39">
        <f>BTU!C10</f>
        <v>1.6290000000008149</v>
      </c>
      <c r="S9" s="39">
        <f>BTU!F10</f>
        <v>0.3499999999994543</v>
      </c>
      <c r="T9" s="39">
        <f>BTU!I10</f>
        <v>3</v>
      </c>
      <c r="U9" s="39">
        <f>BTU!O10</f>
        <v>0.59699999999975262</v>
      </c>
      <c r="V9" s="39">
        <f>BTU!L10</f>
        <v>0</v>
      </c>
      <c r="W9" s="39">
        <f>BTU!R10</f>
        <v>0</v>
      </c>
      <c r="X9" s="36">
        <f>ELECT.!B10</f>
        <v>242</v>
      </c>
      <c r="Y9" s="36">
        <f t="shared" si="0"/>
        <v>-10145</v>
      </c>
      <c r="Z9">
        <f>'Mall, Citadel, Rotana'!C10+'Mall, Citadel, Rotana'!E10+'Mall, Citadel, Rotana'!G10+'Mall, Citadel, Rotana'!I10</f>
        <v>2294</v>
      </c>
      <c r="AA9">
        <f>'Mall, Citadel, Rotana'!K10+'Mall, Citadel, Rotana'!M10</f>
        <v>-160</v>
      </c>
      <c r="AB9">
        <f>'Mall, Citadel, Rotana'!O10</f>
        <v>257</v>
      </c>
      <c r="AC9">
        <f>'Mall, Citadel, Rotana'!Q10+'Mall, Citadel, Rotana'!S10</f>
        <v>0</v>
      </c>
      <c r="AD9" s="36">
        <f t="shared" si="1"/>
        <v>90.932114999999996</v>
      </c>
      <c r="AE9" s="36">
        <f t="shared" si="2"/>
        <v>598.992885</v>
      </c>
    </row>
    <row r="10" spans="1:31" x14ac:dyDescent="0.2">
      <c r="A10" s="49" t="s">
        <v>53</v>
      </c>
      <c r="B10" s="54">
        <f t="shared" si="3"/>
        <v>9</v>
      </c>
      <c r="C10" s="54">
        <v>2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2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2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2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2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2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2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2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2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2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2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2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2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2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2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2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2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2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2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2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U10" sqref="U10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44592</v>
      </c>
      <c r="B2" s="33">
        <v>46565</v>
      </c>
      <c r="C2" s="15"/>
      <c r="D2" s="33">
        <v>40256</v>
      </c>
      <c r="E2" s="15"/>
      <c r="F2" s="33">
        <v>21274</v>
      </c>
      <c r="G2" s="15"/>
      <c r="H2" s="33">
        <v>253571</v>
      </c>
      <c r="I2" s="15"/>
      <c r="J2" s="33">
        <v>303517</v>
      </c>
      <c r="K2" s="15">
        <v>0</v>
      </c>
      <c r="L2" s="33">
        <v>25813</v>
      </c>
      <c r="M2" s="15"/>
      <c r="N2" s="33">
        <v>222148</v>
      </c>
      <c r="O2" s="15"/>
      <c r="P2" s="169">
        <v>139521</v>
      </c>
      <c r="Q2" s="15"/>
      <c r="R2" s="1">
        <v>55047</v>
      </c>
      <c r="S2" s="15">
        <v>0</v>
      </c>
      <c r="T2" s="33">
        <v>3918</v>
      </c>
      <c r="U2" s="15"/>
    </row>
    <row r="3" spans="1:24" ht="13.5" thickBot="1" x14ac:dyDescent="0.25">
      <c r="A3" s="9">
        <v>44593</v>
      </c>
      <c r="B3" s="33">
        <v>46570</v>
      </c>
      <c r="C3" s="15">
        <f>(B3-B2)*800/5</f>
        <v>800</v>
      </c>
      <c r="D3" s="33">
        <v>40259</v>
      </c>
      <c r="E3" s="15">
        <f>(D3-D2)*800/5</f>
        <v>480</v>
      </c>
      <c r="F3" s="33">
        <v>21278</v>
      </c>
      <c r="G3" s="15">
        <f>(F3-F2)*100/5</f>
        <v>80</v>
      </c>
      <c r="H3" s="33">
        <v>253586</v>
      </c>
      <c r="I3" s="15">
        <f>(H3-H2)</f>
        <v>15</v>
      </c>
      <c r="J3" s="33">
        <v>303517</v>
      </c>
      <c r="K3" s="15">
        <v>0</v>
      </c>
      <c r="L3" s="33">
        <v>25817</v>
      </c>
      <c r="M3" s="15">
        <f>(L3-L2)*800/5</f>
        <v>640</v>
      </c>
      <c r="N3" s="33">
        <v>222264</v>
      </c>
      <c r="O3" s="15">
        <f>N3-N2</f>
        <v>116</v>
      </c>
      <c r="P3" s="33">
        <v>139625</v>
      </c>
      <c r="Q3" s="15">
        <v>124</v>
      </c>
      <c r="R3" s="1">
        <f t="shared" ref="R3:R30" si="0">R2</f>
        <v>55047</v>
      </c>
      <c r="S3" s="15">
        <v>0</v>
      </c>
      <c r="T3" s="33">
        <v>3919</v>
      </c>
      <c r="U3" s="15">
        <f>(T3-T2)*800/5</f>
        <v>160</v>
      </c>
    </row>
    <row r="4" spans="1:24" ht="13.5" thickBot="1" x14ac:dyDescent="0.25">
      <c r="A4" s="9">
        <v>44594</v>
      </c>
      <c r="B4" s="33">
        <v>46575</v>
      </c>
      <c r="C4" s="15">
        <f t="shared" ref="C4:C30" si="1">(B4-B3)*800/5</f>
        <v>800</v>
      </c>
      <c r="D4" s="33">
        <v>40262</v>
      </c>
      <c r="E4" s="15">
        <f t="shared" ref="E4:E30" si="2">(D4-D3)*800/5</f>
        <v>480</v>
      </c>
      <c r="F4" s="33">
        <v>21281</v>
      </c>
      <c r="G4" s="15">
        <f t="shared" ref="G4:G30" si="3">(F4-F3)*100/5</f>
        <v>60</v>
      </c>
      <c r="H4" s="33">
        <v>253601</v>
      </c>
      <c r="I4" s="15">
        <f t="shared" ref="I4:I30" si="4">(H4-H3)</f>
        <v>15</v>
      </c>
      <c r="J4" s="33">
        <v>303517</v>
      </c>
      <c r="K4" s="15">
        <v>0</v>
      </c>
      <c r="L4" s="33">
        <v>25820</v>
      </c>
      <c r="M4" s="15">
        <f t="shared" ref="M4:M30" si="5">(L4-L3)*800/5</f>
        <v>480</v>
      </c>
      <c r="N4" s="33">
        <v>222385</v>
      </c>
      <c r="O4" s="15">
        <f t="shared" ref="O4:O30" si="6">N4-N3</f>
        <v>121</v>
      </c>
      <c r="P4" s="33">
        <v>139625</v>
      </c>
      <c r="Q4" s="15">
        <f t="shared" ref="Q4:Q30" si="7">P4-P3</f>
        <v>0</v>
      </c>
      <c r="R4" s="1">
        <f t="shared" si="0"/>
        <v>55047</v>
      </c>
      <c r="S4" s="15">
        <f t="shared" ref="S4:S30" si="8">R4-R3</f>
        <v>0</v>
      </c>
      <c r="T4" s="33">
        <v>3920</v>
      </c>
      <c r="U4" s="15">
        <f t="shared" ref="U4:U30" si="9">(T4-T3)*800/5</f>
        <v>160</v>
      </c>
    </row>
    <row r="5" spans="1:24" ht="13.5" thickBot="1" x14ac:dyDescent="0.25">
      <c r="A5" s="9">
        <v>44595</v>
      </c>
      <c r="B5" s="33">
        <v>46580</v>
      </c>
      <c r="C5" s="15">
        <f t="shared" si="1"/>
        <v>800</v>
      </c>
      <c r="D5" s="33">
        <v>40265</v>
      </c>
      <c r="E5" s="15">
        <f t="shared" si="2"/>
        <v>480</v>
      </c>
      <c r="F5" s="33">
        <v>21285</v>
      </c>
      <c r="G5" s="15">
        <f t="shared" si="3"/>
        <v>80</v>
      </c>
      <c r="H5" s="33">
        <v>253616</v>
      </c>
      <c r="I5" s="15">
        <f t="shared" si="4"/>
        <v>15</v>
      </c>
      <c r="J5" s="33">
        <v>303517</v>
      </c>
      <c r="K5" s="15">
        <v>0</v>
      </c>
      <c r="L5" s="33">
        <v>25822</v>
      </c>
      <c r="M5" s="15">
        <f t="shared" si="5"/>
        <v>320</v>
      </c>
      <c r="N5" s="33">
        <v>222508</v>
      </c>
      <c r="O5" s="15">
        <f t="shared" si="6"/>
        <v>123</v>
      </c>
      <c r="P5" s="33">
        <f t="shared" ref="P5:P30" si="10">P4</f>
        <v>139625</v>
      </c>
      <c r="Q5" s="15">
        <f t="shared" si="7"/>
        <v>0</v>
      </c>
      <c r="R5" s="1">
        <f t="shared" si="0"/>
        <v>55047</v>
      </c>
      <c r="S5" s="15">
        <f t="shared" si="8"/>
        <v>0</v>
      </c>
      <c r="T5" s="33">
        <v>3921</v>
      </c>
      <c r="U5" s="15">
        <f t="shared" si="9"/>
        <v>160</v>
      </c>
    </row>
    <row r="6" spans="1:24" ht="13.5" thickBot="1" x14ac:dyDescent="0.25">
      <c r="A6" s="9">
        <v>44596</v>
      </c>
      <c r="B6" s="33">
        <v>46584</v>
      </c>
      <c r="C6" s="15">
        <f t="shared" si="1"/>
        <v>640</v>
      </c>
      <c r="D6" s="33">
        <v>40268</v>
      </c>
      <c r="E6" s="15">
        <f t="shared" si="2"/>
        <v>480</v>
      </c>
      <c r="F6" s="33">
        <v>21289</v>
      </c>
      <c r="G6" s="15">
        <f t="shared" si="3"/>
        <v>80</v>
      </c>
      <c r="H6" s="33">
        <v>253630</v>
      </c>
      <c r="I6" s="15">
        <f t="shared" si="4"/>
        <v>14</v>
      </c>
      <c r="J6" s="33">
        <v>303517</v>
      </c>
      <c r="K6" s="15">
        <v>0</v>
      </c>
      <c r="L6" s="33">
        <v>25826</v>
      </c>
      <c r="M6" s="15">
        <f t="shared" si="5"/>
        <v>640</v>
      </c>
      <c r="N6" s="33">
        <v>222574</v>
      </c>
      <c r="O6" s="15">
        <f t="shared" si="6"/>
        <v>66</v>
      </c>
      <c r="P6" s="33">
        <f t="shared" si="10"/>
        <v>139625</v>
      </c>
      <c r="Q6" s="15">
        <f t="shared" si="7"/>
        <v>0</v>
      </c>
      <c r="R6" s="1">
        <f t="shared" si="0"/>
        <v>55047</v>
      </c>
      <c r="S6" s="15">
        <v>0</v>
      </c>
      <c r="T6" s="33">
        <v>3922</v>
      </c>
      <c r="U6" s="15">
        <f t="shared" si="9"/>
        <v>160</v>
      </c>
    </row>
    <row r="7" spans="1:24" ht="13.5" thickBot="1" x14ac:dyDescent="0.25">
      <c r="A7" s="9">
        <v>44597</v>
      </c>
      <c r="B7" s="33">
        <v>46588</v>
      </c>
      <c r="C7" s="15">
        <f t="shared" si="1"/>
        <v>640</v>
      </c>
      <c r="D7" s="33">
        <v>40271</v>
      </c>
      <c r="E7" s="15">
        <f t="shared" si="2"/>
        <v>480</v>
      </c>
      <c r="F7" s="33">
        <v>21293</v>
      </c>
      <c r="G7" s="15">
        <f t="shared" si="3"/>
        <v>80</v>
      </c>
      <c r="H7" s="33">
        <v>253643</v>
      </c>
      <c r="I7" s="15">
        <f t="shared" si="4"/>
        <v>13</v>
      </c>
      <c r="J7" s="33">
        <v>303517</v>
      </c>
      <c r="K7" s="15">
        <v>0</v>
      </c>
      <c r="L7" s="33">
        <v>25830</v>
      </c>
      <c r="M7" s="15">
        <f t="shared" si="5"/>
        <v>640</v>
      </c>
      <c r="N7" s="33">
        <v>222643</v>
      </c>
      <c r="O7" s="15">
        <f t="shared" si="6"/>
        <v>69</v>
      </c>
      <c r="P7" s="33">
        <f t="shared" si="10"/>
        <v>139625</v>
      </c>
      <c r="Q7" s="15">
        <v>0</v>
      </c>
      <c r="R7" s="1">
        <f t="shared" si="0"/>
        <v>55047</v>
      </c>
      <c r="S7" s="15">
        <v>0</v>
      </c>
      <c r="T7" s="33">
        <v>3923</v>
      </c>
      <c r="U7" s="15">
        <f t="shared" si="9"/>
        <v>160</v>
      </c>
    </row>
    <row r="8" spans="1:24" ht="13.5" thickBot="1" x14ac:dyDescent="0.25">
      <c r="A8" s="9">
        <v>44598</v>
      </c>
      <c r="B8" s="33">
        <v>46591</v>
      </c>
      <c r="C8" s="15">
        <f t="shared" si="1"/>
        <v>480</v>
      </c>
      <c r="D8" s="33">
        <v>40274</v>
      </c>
      <c r="E8" s="15">
        <f t="shared" si="2"/>
        <v>480</v>
      </c>
      <c r="F8" s="33">
        <v>21297</v>
      </c>
      <c r="G8" s="15">
        <f t="shared" si="3"/>
        <v>80</v>
      </c>
      <c r="H8" s="33">
        <v>253657</v>
      </c>
      <c r="I8" s="15">
        <f t="shared" si="4"/>
        <v>14</v>
      </c>
      <c r="J8" s="33">
        <v>303517</v>
      </c>
      <c r="K8" s="15">
        <v>0</v>
      </c>
      <c r="L8" s="33">
        <v>25834</v>
      </c>
      <c r="M8" s="15">
        <f t="shared" si="5"/>
        <v>640</v>
      </c>
      <c r="N8" s="33">
        <v>222697</v>
      </c>
      <c r="O8" s="15">
        <f t="shared" si="6"/>
        <v>54</v>
      </c>
      <c r="P8" s="33">
        <f t="shared" si="10"/>
        <v>139625</v>
      </c>
      <c r="Q8" s="15">
        <f t="shared" si="7"/>
        <v>0</v>
      </c>
      <c r="R8" s="1">
        <f t="shared" si="0"/>
        <v>55047</v>
      </c>
      <c r="S8" s="15">
        <f>R8-R7</f>
        <v>0</v>
      </c>
      <c r="T8" s="33">
        <v>3924</v>
      </c>
      <c r="U8" s="15">
        <f t="shared" si="9"/>
        <v>160</v>
      </c>
    </row>
    <row r="9" spans="1:24" ht="13.5" thickBot="1" x14ac:dyDescent="0.25">
      <c r="A9" s="9">
        <v>44599</v>
      </c>
      <c r="B9" s="33">
        <v>46594</v>
      </c>
      <c r="C9" s="15">
        <f t="shared" si="1"/>
        <v>480</v>
      </c>
      <c r="D9" s="33">
        <v>40277</v>
      </c>
      <c r="E9" s="15">
        <f t="shared" si="2"/>
        <v>480</v>
      </c>
      <c r="F9" s="33">
        <v>21301</v>
      </c>
      <c r="G9" s="15">
        <f t="shared" si="3"/>
        <v>80</v>
      </c>
      <c r="H9" s="33">
        <v>253671</v>
      </c>
      <c r="I9" s="15">
        <f t="shared" si="4"/>
        <v>14</v>
      </c>
      <c r="J9" s="33">
        <v>303517</v>
      </c>
      <c r="K9" s="15">
        <v>0</v>
      </c>
      <c r="L9" s="33">
        <v>25838</v>
      </c>
      <c r="M9" s="15">
        <f t="shared" si="5"/>
        <v>640</v>
      </c>
      <c r="N9" s="33">
        <v>222763</v>
      </c>
      <c r="O9" s="15">
        <f t="shared" si="6"/>
        <v>66</v>
      </c>
      <c r="P9" s="33">
        <f t="shared" si="10"/>
        <v>139625</v>
      </c>
      <c r="Q9" s="15">
        <f>P9-P8</f>
        <v>0</v>
      </c>
      <c r="R9" s="1">
        <f t="shared" si="0"/>
        <v>55047</v>
      </c>
      <c r="S9" s="15">
        <f>R9-R8</f>
        <v>0</v>
      </c>
      <c r="T9" s="33">
        <v>3925</v>
      </c>
      <c r="U9" s="15">
        <f t="shared" si="9"/>
        <v>160</v>
      </c>
    </row>
    <row r="10" spans="1:24" ht="13.5" thickBot="1" x14ac:dyDescent="0.25">
      <c r="A10" s="9">
        <v>44600</v>
      </c>
      <c r="B10" s="33">
        <v>46603</v>
      </c>
      <c r="C10" s="15">
        <f t="shared" si="1"/>
        <v>1440</v>
      </c>
      <c r="D10" s="33">
        <v>40282</v>
      </c>
      <c r="E10" s="15">
        <f t="shared" si="2"/>
        <v>800</v>
      </c>
      <c r="F10" s="33">
        <v>21303</v>
      </c>
      <c r="G10" s="15">
        <f t="shared" si="3"/>
        <v>40</v>
      </c>
      <c r="H10" s="33">
        <v>253685</v>
      </c>
      <c r="I10" s="15">
        <f t="shared" si="4"/>
        <v>14</v>
      </c>
      <c r="J10" s="33">
        <v>303517</v>
      </c>
      <c r="K10" s="15">
        <v>0</v>
      </c>
      <c r="L10" s="33">
        <v>25837</v>
      </c>
      <c r="M10" s="15">
        <f t="shared" si="5"/>
        <v>-160</v>
      </c>
      <c r="N10" s="33">
        <v>223020</v>
      </c>
      <c r="O10" s="15">
        <f t="shared" si="6"/>
        <v>257</v>
      </c>
      <c r="P10" s="33">
        <f t="shared" si="10"/>
        <v>139625</v>
      </c>
      <c r="Q10" s="15">
        <f>P10-P9</f>
        <v>0</v>
      </c>
      <c r="R10" s="1">
        <f t="shared" si="0"/>
        <v>55047</v>
      </c>
      <c r="S10" s="15">
        <f>R10-R9</f>
        <v>0</v>
      </c>
      <c r="T10" s="33">
        <v>3926</v>
      </c>
      <c r="U10" s="15">
        <f t="shared" si="9"/>
        <v>160</v>
      </c>
    </row>
    <row r="11" spans="1:24" ht="13.5" thickBot="1" x14ac:dyDescent="0.25">
      <c r="A11" s="9">
        <v>44601</v>
      </c>
      <c r="B11" s="33">
        <f t="shared" ref="B10:B30" si="11">B10</f>
        <v>46603</v>
      </c>
      <c r="C11" s="15">
        <f t="shared" si="1"/>
        <v>0</v>
      </c>
      <c r="D11" s="33">
        <f t="shared" ref="D10:D30" si="12">D10</f>
        <v>40282</v>
      </c>
      <c r="E11" s="15">
        <f t="shared" si="2"/>
        <v>0</v>
      </c>
      <c r="F11" s="33">
        <f t="shared" ref="F10:F30" si="13">F10</f>
        <v>21303</v>
      </c>
      <c r="G11" s="15">
        <f t="shared" si="3"/>
        <v>0</v>
      </c>
      <c r="H11" s="33">
        <f t="shared" ref="H10:H30" si="14">H10</f>
        <v>253685</v>
      </c>
      <c r="I11" s="15">
        <f t="shared" si="4"/>
        <v>0</v>
      </c>
      <c r="J11" s="33">
        <f t="shared" ref="J10:J30" si="15">J10</f>
        <v>303517</v>
      </c>
      <c r="K11" s="15">
        <v>0</v>
      </c>
      <c r="L11" s="33">
        <f t="shared" ref="L10:L30" si="16">L10</f>
        <v>25837</v>
      </c>
      <c r="M11" s="15">
        <f t="shared" si="5"/>
        <v>0</v>
      </c>
      <c r="N11" s="33">
        <f t="shared" ref="N10:N30" si="17">N10</f>
        <v>223020</v>
      </c>
      <c r="O11" s="15">
        <f t="shared" si="6"/>
        <v>0</v>
      </c>
      <c r="P11" s="33">
        <f t="shared" si="10"/>
        <v>139625</v>
      </c>
      <c r="Q11" s="15">
        <f t="shared" si="7"/>
        <v>0</v>
      </c>
      <c r="R11" s="1">
        <f t="shared" si="0"/>
        <v>55047</v>
      </c>
      <c r="S11" s="15">
        <f t="shared" si="8"/>
        <v>0</v>
      </c>
      <c r="T11" s="33">
        <f t="shared" ref="T10:T30" si="18">T10</f>
        <v>3926</v>
      </c>
      <c r="U11" s="15">
        <f t="shared" si="9"/>
        <v>0</v>
      </c>
    </row>
    <row r="12" spans="1:24" ht="13.5" thickBot="1" x14ac:dyDescent="0.25">
      <c r="A12" s="9">
        <v>44602</v>
      </c>
      <c r="B12" s="33">
        <f t="shared" si="11"/>
        <v>46603</v>
      </c>
      <c r="C12" s="15">
        <f t="shared" si="1"/>
        <v>0</v>
      </c>
      <c r="D12" s="33">
        <f t="shared" si="12"/>
        <v>40282</v>
      </c>
      <c r="E12" s="15">
        <f t="shared" si="2"/>
        <v>0</v>
      </c>
      <c r="F12" s="33">
        <f t="shared" si="13"/>
        <v>21303</v>
      </c>
      <c r="G12" s="15">
        <f t="shared" si="3"/>
        <v>0</v>
      </c>
      <c r="H12" s="33">
        <f t="shared" si="14"/>
        <v>253685</v>
      </c>
      <c r="I12" s="15">
        <f t="shared" si="4"/>
        <v>0</v>
      </c>
      <c r="J12" s="33">
        <f t="shared" si="15"/>
        <v>303517</v>
      </c>
      <c r="K12" s="15">
        <v>0</v>
      </c>
      <c r="L12" s="33">
        <f t="shared" si="16"/>
        <v>25837</v>
      </c>
      <c r="M12" s="15">
        <f t="shared" si="5"/>
        <v>0</v>
      </c>
      <c r="N12" s="33">
        <f t="shared" si="17"/>
        <v>223020</v>
      </c>
      <c r="O12" s="15">
        <f t="shared" si="6"/>
        <v>0</v>
      </c>
      <c r="P12" s="33">
        <f t="shared" si="10"/>
        <v>139625</v>
      </c>
      <c r="Q12" s="15">
        <f t="shared" si="7"/>
        <v>0</v>
      </c>
      <c r="R12" s="1">
        <f t="shared" si="0"/>
        <v>55047</v>
      </c>
      <c r="S12" s="15">
        <f t="shared" si="8"/>
        <v>0</v>
      </c>
      <c r="T12" s="33">
        <f t="shared" si="18"/>
        <v>3926</v>
      </c>
      <c r="U12" s="15">
        <f t="shared" si="9"/>
        <v>0</v>
      </c>
    </row>
    <row r="13" spans="1:24" ht="13.5" thickBot="1" x14ac:dyDescent="0.25">
      <c r="A13" s="9">
        <v>44603</v>
      </c>
      <c r="B13" s="33">
        <f t="shared" si="11"/>
        <v>46603</v>
      </c>
      <c r="C13" s="15">
        <f t="shared" si="1"/>
        <v>0</v>
      </c>
      <c r="D13" s="33">
        <f t="shared" si="12"/>
        <v>40282</v>
      </c>
      <c r="E13" s="15">
        <f t="shared" si="2"/>
        <v>0</v>
      </c>
      <c r="F13" s="33">
        <f t="shared" si="13"/>
        <v>21303</v>
      </c>
      <c r="G13" s="15">
        <f t="shared" si="3"/>
        <v>0</v>
      </c>
      <c r="H13" s="33">
        <f t="shared" si="14"/>
        <v>253685</v>
      </c>
      <c r="I13" s="15">
        <f t="shared" si="4"/>
        <v>0</v>
      </c>
      <c r="J13" s="33">
        <v>303517</v>
      </c>
      <c r="K13" s="15">
        <v>0</v>
      </c>
      <c r="L13" s="33">
        <f t="shared" si="16"/>
        <v>25837</v>
      </c>
      <c r="M13" s="15">
        <f t="shared" si="5"/>
        <v>0</v>
      </c>
      <c r="N13" s="33">
        <f t="shared" si="17"/>
        <v>223020</v>
      </c>
      <c r="O13" s="15">
        <f t="shared" si="6"/>
        <v>0</v>
      </c>
      <c r="P13" s="33">
        <f t="shared" si="10"/>
        <v>139625</v>
      </c>
      <c r="Q13" s="15">
        <f t="shared" si="7"/>
        <v>0</v>
      </c>
      <c r="R13" s="1">
        <v>55047</v>
      </c>
      <c r="S13" s="15">
        <f t="shared" si="8"/>
        <v>0</v>
      </c>
      <c r="T13" s="33">
        <f t="shared" si="18"/>
        <v>3926</v>
      </c>
      <c r="U13" s="15">
        <f t="shared" si="9"/>
        <v>0</v>
      </c>
    </row>
    <row r="14" spans="1:24" ht="13.5" thickBot="1" x14ac:dyDescent="0.25">
      <c r="A14" s="9">
        <v>44604</v>
      </c>
      <c r="B14" s="33">
        <f t="shared" si="11"/>
        <v>46603</v>
      </c>
      <c r="C14" s="15">
        <f t="shared" si="1"/>
        <v>0</v>
      </c>
      <c r="D14" s="33">
        <f t="shared" si="12"/>
        <v>40282</v>
      </c>
      <c r="E14" s="15">
        <f t="shared" si="2"/>
        <v>0</v>
      </c>
      <c r="F14" s="33">
        <f t="shared" si="13"/>
        <v>21303</v>
      </c>
      <c r="G14" s="15">
        <f t="shared" si="3"/>
        <v>0</v>
      </c>
      <c r="H14" s="33">
        <f t="shared" si="14"/>
        <v>253685</v>
      </c>
      <c r="I14" s="15">
        <f t="shared" si="4"/>
        <v>0</v>
      </c>
      <c r="J14" s="33">
        <v>303517</v>
      </c>
      <c r="K14" s="15">
        <v>0</v>
      </c>
      <c r="L14" s="33">
        <f t="shared" si="16"/>
        <v>25837</v>
      </c>
      <c r="M14" s="15">
        <f t="shared" si="5"/>
        <v>0</v>
      </c>
      <c r="N14" s="33">
        <f t="shared" si="17"/>
        <v>223020</v>
      </c>
      <c r="O14" s="15">
        <f t="shared" si="6"/>
        <v>0</v>
      </c>
      <c r="P14" s="33">
        <f t="shared" si="10"/>
        <v>139625</v>
      </c>
      <c r="Q14" s="15">
        <f t="shared" si="7"/>
        <v>0</v>
      </c>
      <c r="R14" s="1">
        <f t="shared" si="0"/>
        <v>55047</v>
      </c>
      <c r="S14" s="15">
        <v>0</v>
      </c>
      <c r="T14" s="33">
        <f t="shared" si="18"/>
        <v>3926</v>
      </c>
      <c r="U14" s="15">
        <f t="shared" si="9"/>
        <v>0</v>
      </c>
    </row>
    <row r="15" spans="1:24" ht="13.5" thickBot="1" x14ac:dyDescent="0.25">
      <c r="A15" s="9">
        <v>44605</v>
      </c>
      <c r="B15" s="33">
        <f t="shared" si="11"/>
        <v>46603</v>
      </c>
      <c r="C15" s="15">
        <f t="shared" si="1"/>
        <v>0</v>
      </c>
      <c r="D15" s="33">
        <f t="shared" si="12"/>
        <v>40282</v>
      </c>
      <c r="E15" s="15">
        <f t="shared" si="2"/>
        <v>0</v>
      </c>
      <c r="F15" s="33">
        <f t="shared" si="13"/>
        <v>21303</v>
      </c>
      <c r="G15" s="15">
        <f t="shared" ref="G15" si="19">(F15-F14)*100/5</f>
        <v>0</v>
      </c>
      <c r="H15" s="33">
        <f t="shared" si="14"/>
        <v>253685</v>
      </c>
      <c r="I15" s="15">
        <f t="shared" ref="I15" si="20">(H15-H14)</f>
        <v>0</v>
      </c>
      <c r="J15" s="33">
        <v>303517</v>
      </c>
      <c r="K15" s="15">
        <v>0</v>
      </c>
      <c r="L15" s="33">
        <f t="shared" si="16"/>
        <v>25837</v>
      </c>
      <c r="M15" s="15">
        <f t="shared" ref="M15" si="21">(L15-L14)*800/5</f>
        <v>0</v>
      </c>
      <c r="N15" s="33">
        <f t="shared" si="17"/>
        <v>223020</v>
      </c>
      <c r="O15" s="15">
        <f t="shared" ref="O15" si="22">N15-N14</f>
        <v>0</v>
      </c>
      <c r="P15" s="33">
        <f t="shared" si="10"/>
        <v>139625</v>
      </c>
      <c r="Q15" s="15">
        <f t="shared" ref="Q15" si="23">P15-P14</f>
        <v>0</v>
      </c>
      <c r="R15" s="1">
        <v>55047</v>
      </c>
      <c r="S15" s="15">
        <v>0</v>
      </c>
      <c r="T15" s="33">
        <f t="shared" si="18"/>
        <v>3926</v>
      </c>
      <c r="U15" s="15">
        <f t="shared" ref="U15" si="24">(T15-T14)*800/5</f>
        <v>0</v>
      </c>
      <c r="X15" t="s">
        <v>12</v>
      </c>
    </row>
    <row r="16" spans="1:24" ht="13.5" thickBot="1" x14ac:dyDescent="0.25">
      <c r="A16" s="9">
        <v>44606</v>
      </c>
      <c r="B16" s="33">
        <f t="shared" si="11"/>
        <v>46603</v>
      </c>
      <c r="C16" s="15">
        <f t="shared" si="1"/>
        <v>0</v>
      </c>
      <c r="D16" s="33">
        <f t="shared" si="12"/>
        <v>40282</v>
      </c>
      <c r="E16" s="15">
        <f t="shared" si="2"/>
        <v>0</v>
      </c>
      <c r="F16" s="33">
        <f t="shared" si="13"/>
        <v>21303</v>
      </c>
      <c r="G16" s="15">
        <f t="shared" si="3"/>
        <v>0</v>
      </c>
      <c r="H16" s="33">
        <f t="shared" si="14"/>
        <v>253685</v>
      </c>
      <c r="I16" s="15">
        <f t="shared" si="4"/>
        <v>0</v>
      </c>
      <c r="J16" s="33">
        <v>305317</v>
      </c>
      <c r="K16" s="15">
        <v>0</v>
      </c>
      <c r="L16" s="33">
        <f t="shared" si="16"/>
        <v>25837</v>
      </c>
      <c r="M16" s="15">
        <f t="shared" si="5"/>
        <v>0</v>
      </c>
      <c r="N16" s="33">
        <f t="shared" si="17"/>
        <v>223020</v>
      </c>
      <c r="O16" s="15">
        <f t="shared" si="6"/>
        <v>0</v>
      </c>
      <c r="P16" s="33">
        <f t="shared" si="10"/>
        <v>139625</v>
      </c>
      <c r="Q16" s="15">
        <f t="shared" si="7"/>
        <v>0</v>
      </c>
      <c r="R16" s="1">
        <f t="shared" si="0"/>
        <v>55047</v>
      </c>
      <c r="S16" s="15">
        <f t="shared" si="8"/>
        <v>0</v>
      </c>
      <c r="T16" s="33">
        <f t="shared" si="18"/>
        <v>3926</v>
      </c>
      <c r="U16" s="15">
        <f t="shared" si="9"/>
        <v>0</v>
      </c>
      <c r="W16" t="s">
        <v>12</v>
      </c>
    </row>
    <row r="17" spans="1:23" ht="13.5" thickBot="1" x14ac:dyDescent="0.25">
      <c r="A17" s="9">
        <v>44607</v>
      </c>
      <c r="B17" s="33">
        <f t="shared" si="11"/>
        <v>46603</v>
      </c>
      <c r="C17" s="15">
        <f t="shared" si="1"/>
        <v>0</v>
      </c>
      <c r="D17" s="33">
        <f t="shared" si="12"/>
        <v>40282</v>
      </c>
      <c r="E17" s="15">
        <f t="shared" si="2"/>
        <v>0</v>
      </c>
      <c r="F17" s="33">
        <f t="shared" si="13"/>
        <v>21303</v>
      </c>
      <c r="G17" s="15">
        <f t="shared" si="3"/>
        <v>0</v>
      </c>
      <c r="H17" s="33">
        <f t="shared" si="14"/>
        <v>253685</v>
      </c>
      <c r="I17" s="15">
        <f t="shared" si="4"/>
        <v>0</v>
      </c>
      <c r="J17" s="33">
        <v>303517</v>
      </c>
      <c r="K17" s="15">
        <v>0</v>
      </c>
      <c r="L17" s="33">
        <f t="shared" si="16"/>
        <v>25837</v>
      </c>
      <c r="M17" s="15">
        <f t="shared" si="5"/>
        <v>0</v>
      </c>
      <c r="N17" s="33">
        <f t="shared" si="17"/>
        <v>223020</v>
      </c>
      <c r="O17" s="15">
        <f t="shared" si="6"/>
        <v>0</v>
      </c>
      <c r="P17" s="33">
        <f t="shared" si="10"/>
        <v>139625</v>
      </c>
      <c r="Q17" s="15">
        <f t="shared" si="7"/>
        <v>0</v>
      </c>
      <c r="R17" s="1">
        <f t="shared" si="0"/>
        <v>55047</v>
      </c>
      <c r="S17" s="15">
        <f>S16</f>
        <v>0</v>
      </c>
      <c r="T17" s="33">
        <f t="shared" si="18"/>
        <v>3926</v>
      </c>
      <c r="U17" s="15">
        <f t="shared" si="9"/>
        <v>0</v>
      </c>
    </row>
    <row r="18" spans="1:23" ht="13.5" thickBot="1" x14ac:dyDescent="0.25">
      <c r="A18" s="9">
        <v>44608</v>
      </c>
      <c r="B18" s="33">
        <f t="shared" si="11"/>
        <v>46603</v>
      </c>
      <c r="C18" s="15">
        <f t="shared" si="1"/>
        <v>0</v>
      </c>
      <c r="D18" s="33">
        <f t="shared" si="12"/>
        <v>40282</v>
      </c>
      <c r="E18" s="15">
        <f t="shared" si="2"/>
        <v>0</v>
      </c>
      <c r="F18" s="33">
        <f t="shared" si="13"/>
        <v>21303</v>
      </c>
      <c r="G18" s="15">
        <f t="shared" si="3"/>
        <v>0</v>
      </c>
      <c r="H18" s="33">
        <f t="shared" si="14"/>
        <v>253685</v>
      </c>
      <c r="I18" s="15">
        <f t="shared" si="4"/>
        <v>0</v>
      </c>
      <c r="J18" s="33">
        <f t="shared" si="15"/>
        <v>303517</v>
      </c>
      <c r="K18" s="15">
        <v>0</v>
      </c>
      <c r="L18" s="33">
        <f t="shared" si="16"/>
        <v>25837</v>
      </c>
      <c r="M18" s="15">
        <f t="shared" si="5"/>
        <v>0</v>
      </c>
      <c r="N18" s="33">
        <f t="shared" si="17"/>
        <v>223020</v>
      </c>
      <c r="O18" s="15">
        <f t="shared" si="6"/>
        <v>0</v>
      </c>
      <c r="P18" s="33">
        <f t="shared" si="10"/>
        <v>139625</v>
      </c>
      <c r="Q18" s="15">
        <f t="shared" si="7"/>
        <v>0</v>
      </c>
      <c r="R18" s="1">
        <f t="shared" si="0"/>
        <v>55047</v>
      </c>
      <c r="S18" s="15">
        <f t="shared" si="8"/>
        <v>0</v>
      </c>
      <c r="T18" s="33">
        <f t="shared" si="18"/>
        <v>3926</v>
      </c>
      <c r="U18" s="15">
        <f t="shared" si="9"/>
        <v>0</v>
      </c>
    </row>
    <row r="19" spans="1:23" ht="13.5" thickBot="1" x14ac:dyDescent="0.25">
      <c r="A19" s="9">
        <v>44609</v>
      </c>
      <c r="B19" s="33">
        <f t="shared" si="11"/>
        <v>46603</v>
      </c>
      <c r="C19" s="15">
        <f t="shared" si="1"/>
        <v>0</v>
      </c>
      <c r="D19" s="33">
        <f t="shared" si="12"/>
        <v>40282</v>
      </c>
      <c r="E19" s="15">
        <f t="shared" si="2"/>
        <v>0</v>
      </c>
      <c r="F19" s="33">
        <f t="shared" si="13"/>
        <v>21303</v>
      </c>
      <c r="G19" s="15">
        <f t="shared" si="3"/>
        <v>0</v>
      </c>
      <c r="H19" s="33">
        <f t="shared" si="14"/>
        <v>253685</v>
      </c>
      <c r="I19" s="15">
        <f t="shared" si="4"/>
        <v>0</v>
      </c>
      <c r="J19" s="33">
        <v>303517</v>
      </c>
      <c r="K19" s="15">
        <v>0</v>
      </c>
      <c r="L19" s="33">
        <f t="shared" si="16"/>
        <v>25837</v>
      </c>
      <c r="M19" s="15">
        <f t="shared" si="5"/>
        <v>0</v>
      </c>
      <c r="N19" s="33">
        <f t="shared" si="17"/>
        <v>223020</v>
      </c>
      <c r="O19" s="15">
        <f t="shared" si="6"/>
        <v>0</v>
      </c>
      <c r="P19" s="33">
        <f t="shared" si="10"/>
        <v>139625</v>
      </c>
      <c r="Q19" s="15">
        <f t="shared" si="7"/>
        <v>0</v>
      </c>
      <c r="R19" s="1">
        <f t="shared" si="0"/>
        <v>55047</v>
      </c>
      <c r="S19" s="15">
        <f t="shared" si="8"/>
        <v>0</v>
      </c>
      <c r="T19" s="33">
        <f t="shared" si="18"/>
        <v>3926</v>
      </c>
      <c r="U19" s="15">
        <f t="shared" si="9"/>
        <v>0</v>
      </c>
      <c r="W19" t="s">
        <v>12</v>
      </c>
    </row>
    <row r="20" spans="1:23" ht="13.5" thickBot="1" x14ac:dyDescent="0.25">
      <c r="A20" s="9">
        <v>44610</v>
      </c>
      <c r="B20" s="33">
        <f t="shared" si="11"/>
        <v>46603</v>
      </c>
      <c r="C20" s="15">
        <f t="shared" si="1"/>
        <v>0</v>
      </c>
      <c r="D20" s="33">
        <f t="shared" si="12"/>
        <v>40282</v>
      </c>
      <c r="E20" s="15">
        <f t="shared" si="2"/>
        <v>0</v>
      </c>
      <c r="F20" s="33">
        <f t="shared" si="13"/>
        <v>21303</v>
      </c>
      <c r="G20" s="15">
        <f t="shared" si="3"/>
        <v>0</v>
      </c>
      <c r="H20" s="33">
        <f t="shared" si="14"/>
        <v>253685</v>
      </c>
      <c r="I20" s="15">
        <f t="shared" si="4"/>
        <v>0</v>
      </c>
      <c r="J20" s="33">
        <f t="shared" si="15"/>
        <v>303517</v>
      </c>
      <c r="K20" s="15">
        <v>0</v>
      </c>
      <c r="L20" s="33">
        <f t="shared" si="16"/>
        <v>25837</v>
      </c>
      <c r="M20" s="15">
        <f t="shared" si="5"/>
        <v>0</v>
      </c>
      <c r="N20" s="33">
        <f t="shared" si="17"/>
        <v>223020</v>
      </c>
      <c r="O20" s="15">
        <f t="shared" si="6"/>
        <v>0</v>
      </c>
      <c r="P20" s="33">
        <f t="shared" si="10"/>
        <v>139625</v>
      </c>
      <c r="Q20" s="15">
        <f>P20-P19</f>
        <v>0</v>
      </c>
      <c r="R20" s="1">
        <f t="shared" si="0"/>
        <v>55047</v>
      </c>
      <c r="S20" s="15">
        <f t="shared" si="8"/>
        <v>0</v>
      </c>
      <c r="T20" s="33">
        <f t="shared" si="18"/>
        <v>3926</v>
      </c>
      <c r="U20" s="15">
        <f t="shared" si="9"/>
        <v>0</v>
      </c>
    </row>
    <row r="21" spans="1:23" ht="13.5" thickBot="1" x14ac:dyDescent="0.25">
      <c r="A21" s="9">
        <v>44611</v>
      </c>
      <c r="B21" s="33">
        <f t="shared" si="11"/>
        <v>46603</v>
      </c>
      <c r="C21" s="15">
        <f t="shared" si="1"/>
        <v>0</v>
      </c>
      <c r="D21" s="33">
        <f t="shared" si="12"/>
        <v>40282</v>
      </c>
      <c r="E21" s="15">
        <f t="shared" si="2"/>
        <v>0</v>
      </c>
      <c r="F21" s="33">
        <f t="shared" si="13"/>
        <v>21303</v>
      </c>
      <c r="G21" s="15">
        <f t="shared" si="3"/>
        <v>0</v>
      </c>
      <c r="H21" s="33">
        <f t="shared" si="14"/>
        <v>253685</v>
      </c>
      <c r="I21" s="15">
        <f t="shared" si="4"/>
        <v>0</v>
      </c>
      <c r="J21" s="33">
        <v>303517</v>
      </c>
      <c r="K21" s="15">
        <v>0</v>
      </c>
      <c r="L21" s="33">
        <f t="shared" si="16"/>
        <v>25837</v>
      </c>
      <c r="M21" s="15">
        <f t="shared" si="5"/>
        <v>0</v>
      </c>
      <c r="N21" s="33">
        <f t="shared" si="17"/>
        <v>223020</v>
      </c>
      <c r="O21" s="15">
        <f t="shared" si="6"/>
        <v>0</v>
      </c>
      <c r="P21" s="33">
        <f t="shared" si="10"/>
        <v>139625</v>
      </c>
      <c r="Q21" s="15">
        <f t="shared" si="7"/>
        <v>0</v>
      </c>
      <c r="R21" s="1">
        <f t="shared" si="0"/>
        <v>55047</v>
      </c>
      <c r="S21" s="15">
        <f t="shared" si="8"/>
        <v>0</v>
      </c>
      <c r="T21" s="33">
        <f t="shared" si="18"/>
        <v>3926</v>
      </c>
      <c r="U21" s="15">
        <f t="shared" si="9"/>
        <v>0</v>
      </c>
    </row>
    <row r="22" spans="1:23" ht="13.5" thickBot="1" x14ac:dyDescent="0.25">
      <c r="A22" s="9">
        <v>44612</v>
      </c>
      <c r="B22" s="33">
        <f t="shared" si="11"/>
        <v>46603</v>
      </c>
      <c r="C22" s="15">
        <f t="shared" si="1"/>
        <v>0</v>
      </c>
      <c r="D22" s="33">
        <f t="shared" si="12"/>
        <v>40282</v>
      </c>
      <c r="E22" s="15">
        <f t="shared" si="2"/>
        <v>0</v>
      </c>
      <c r="F22" s="33">
        <f t="shared" si="13"/>
        <v>21303</v>
      </c>
      <c r="G22" s="15">
        <f t="shared" si="3"/>
        <v>0</v>
      </c>
      <c r="H22" s="33">
        <f t="shared" si="14"/>
        <v>253685</v>
      </c>
      <c r="I22" s="15">
        <f t="shared" si="4"/>
        <v>0</v>
      </c>
      <c r="J22" s="33">
        <v>303517</v>
      </c>
      <c r="K22" s="15">
        <v>0</v>
      </c>
      <c r="L22" s="33">
        <f t="shared" si="16"/>
        <v>25837</v>
      </c>
      <c r="M22" s="15">
        <f t="shared" si="5"/>
        <v>0</v>
      </c>
      <c r="N22" s="33">
        <f t="shared" si="17"/>
        <v>223020</v>
      </c>
      <c r="O22" s="15">
        <f t="shared" si="6"/>
        <v>0</v>
      </c>
      <c r="P22" s="33">
        <f t="shared" si="10"/>
        <v>139625</v>
      </c>
      <c r="Q22" s="15">
        <f>P22-P21</f>
        <v>0</v>
      </c>
      <c r="R22" s="1">
        <f t="shared" si="0"/>
        <v>55047</v>
      </c>
      <c r="S22" s="15">
        <f t="shared" si="8"/>
        <v>0</v>
      </c>
      <c r="T22" s="33">
        <f t="shared" si="18"/>
        <v>3926</v>
      </c>
      <c r="U22" s="15">
        <f t="shared" si="9"/>
        <v>0</v>
      </c>
    </row>
    <row r="23" spans="1:23" ht="13.5" thickBot="1" x14ac:dyDescent="0.25">
      <c r="A23" s="9">
        <v>44613</v>
      </c>
      <c r="B23" s="33">
        <f t="shared" si="11"/>
        <v>46603</v>
      </c>
      <c r="C23" s="15">
        <f t="shared" si="1"/>
        <v>0</v>
      </c>
      <c r="D23" s="33">
        <f t="shared" si="12"/>
        <v>40282</v>
      </c>
      <c r="E23" s="15">
        <f t="shared" si="2"/>
        <v>0</v>
      </c>
      <c r="F23" s="33">
        <f t="shared" si="13"/>
        <v>21303</v>
      </c>
      <c r="G23" s="15">
        <f t="shared" si="3"/>
        <v>0</v>
      </c>
      <c r="H23" s="33">
        <f t="shared" si="14"/>
        <v>253685</v>
      </c>
      <c r="I23" s="15">
        <f t="shared" si="4"/>
        <v>0</v>
      </c>
      <c r="J23" s="33">
        <v>303517</v>
      </c>
      <c r="K23" s="15">
        <v>0</v>
      </c>
      <c r="L23" s="33">
        <f t="shared" si="16"/>
        <v>25837</v>
      </c>
      <c r="M23" s="15">
        <f t="shared" si="5"/>
        <v>0</v>
      </c>
      <c r="N23" s="33">
        <f t="shared" si="17"/>
        <v>223020</v>
      </c>
      <c r="O23" s="15">
        <f t="shared" si="6"/>
        <v>0</v>
      </c>
      <c r="P23" s="33">
        <f t="shared" si="10"/>
        <v>139625</v>
      </c>
      <c r="Q23" s="15">
        <f t="shared" si="7"/>
        <v>0</v>
      </c>
      <c r="R23" s="1">
        <f t="shared" si="0"/>
        <v>55047</v>
      </c>
      <c r="S23" s="15">
        <f t="shared" si="8"/>
        <v>0</v>
      </c>
      <c r="T23" s="33">
        <f t="shared" si="18"/>
        <v>3926</v>
      </c>
      <c r="U23" s="15">
        <f t="shared" si="9"/>
        <v>0</v>
      </c>
    </row>
    <row r="24" spans="1:23" s="133" customFormat="1" ht="13.5" thickBot="1" x14ac:dyDescent="0.25">
      <c r="A24" s="9">
        <v>44614</v>
      </c>
      <c r="B24" s="33">
        <f t="shared" si="11"/>
        <v>46603</v>
      </c>
      <c r="C24" s="15">
        <f t="shared" si="1"/>
        <v>0</v>
      </c>
      <c r="D24" s="33">
        <f t="shared" si="12"/>
        <v>40282</v>
      </c>
      <c r="E24" s="15">
        <f t="shared" si="2"/>
        <v>0</v>
      </c>
      <c r="F24" s="33">
        <f t="shared" si="13"/>
        <v>21303</v>
      </c>
      <c r="G24" s="15">
        <f t="shared" si="3"/>
        <v>0</v>
      </c>
      <c r="H24" s="33">
        <f t="shared" si="14"/>
        <v>253685</v>
      </c>
      <c r="I24" s="15">
        <f t="shared" si="4"/>
        <v>0</v>
      </c>
      <c r="J24" s="33">
        <f t="shared" si="15"/>
        <v>303517</v>
      </c>
      <c r="K24" s="15">
        <v>0</v>
      </c>
      <c r="L24" s="33">
        <f t="shared" si="16"/>
        <v>25837</v>
      </c>
      <c r="M24" s="15">
        <f t="shared" si="5"/>
        <v>0</v>
      </c>
      <c r="N24" s="33">
        <f t="shared" si="17"/>
        <v>223020</v>
      </c>
      <c r="O24" s="15">
        <f t="shared" si="6"/>
        <v>0</v>
      </c>
      <c r="P24" s="33">
        <f t="shared" si="10"/>
        <v>139625</v>
      </c>
      <c r="Q24" s="15">
        <f t="shared" si="7"/>
        <v>0</v>
      </c>
      <c r="R24" s="1">
        <f t="shared" si="0"/>
        <v>55047</v>
      </c>
      <c r="S24" s="15">
        <f t="shared" si="8"/>
        <v>0</v>
      </c>
      <c r="T24" s="33">
        <f t="shared" si="18"/>
        <v>3926</v>
      </c>
      <c r="U24" s="15">
        <f t="shared" si="9"/>
        <v>0</v>
      </c>
    </row>
    <row r="25" spans="1:23" ht="13.5" thickBot="1" x14ac:dyDescent="0.25">
      <c r="A25" s="9">
        <v>44615</v>
      </c>
      <c r="B25" s="33">
        <f t="shared" si="11"/>
        <v>46603</v>
      </c>
      <c r="C25" s="15">
        <f t="shared" si="1"/>
        <v>0</v>
      </c>
      <c r="D25" s="33">
        <f t="shared" si="12"/>
        <v>40282</v>
      </c>
      <c r="E25" s="15">
        <f t="shared" si="2"/>
        <v>0</v>
      </c>
      <c r="F25" s="33">
        <f t="shared" si="13"/>
        <v>21303</v>
      </c>
      <c r="G25" s="15">
        <f t="shared" si="3"/>
        <v>0</v>
      </c>
      <c r="H25" s="33">
        <f t="shared" si="14"/>
        <v>253685</v>
      </c>
      <c r="I25" s="15">
        <f t="shared" si="4"/>
        <v>0</v>
      </c>
      <c r="J25" s="33">
        <v>303517</v>
      </c>
      <c r="K25" s="15">
        <v>0</v>
      </c>
      <c r="L25" s="33">
        <f t="shared" si="16"/>
        <v>25837</v>
      </c>
      <c r="M25" s="15">
        <f t="shared" si="5"/>
        <v>0</v>
      </c>
      <c r="N25" s="33">
        <f t="shared" si="17"/>
        <v>223020</v>
      </c>
      <c r="O25" s="15">
        <f t="shared" si="6"/>
        <v>0</v>
      </c>
      <c r="P25" s="33">
        <f t="shared" si="10"/>
        <v>139625</v>
      </c>
      <c r="Q25" s="15">
        <f t="shared" si="7"/>
        <v>0</v>
      </c>
      <c r="R25" s="1">
        <v>55047</v>
      </c>
      <c r="S25" s="15">
        <f t="shared" si="8"/>
        <v>0</v>
      </c>
      <c r="T25" s="33">
        <f t="shared" si="18"/>
        <v>3926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44616</v>
      </c>
      <c r="B26" s="33">
        <f t="shared" si="11"/>
        <v>46603</v>
      </c>
      <c r="C26" s="15">
        <f t="shared" si="1"/>
        <v>0</v>
      </c>
      <c r="D26" s="33">
        <f t="shared" si="12"/>
        <v>40282</v>
      </c>
      <c r="E26" s="15">
        <f t="shared" si="2"/>
        <v>0</v>
      </c>
      <c r="F26" s="33">
        <f t="shared" si="13"/>
        <v>21303</v>
      </c>
      <c r="G26" s="15">
        <f t="shared" si="3"/>
        <v>0</v>
      </c>
      <c r="H26" s="33">
        <f t="shared" si="14"/>
        <v>253685</v>
      </c>
      <c r="I26" s="15">
        <f t="shared" si="4"/>
        <v>0</v>
      </c>
      <c r="J26" s="33">
        <v>303517</v>
      </c>
      <c r="K26" s="15">
        <v>0</v>
      </c>
      <c r="L26" s="33">
        <f t="shared" si="16"/>
        <v>25837</v>
      </c>
      <c r="M26" s="15">
        <f t="shared" si="5"/>
        <v>0</v>
      </c>
      <c r="N26" s="33">
        <f t="shared" si="17"/>
        <v>223020</v>
      </c>
      <c r="O26" s="15">
        <f t="shared" si="6"/>
        <v>0</v>
      </c>
      <c r="P26" s="33">
        <f t="shared" si="10"/>
        <v>139625</v>
      </c>
      <c r="Q26" s="15">
        <f t="shared" si="7"/>
        <v>0</v>
      </c>
      <c r="R26" s="1">
        <f t="shared" si="0"/>
        <v>55047</v>
      </c>
      <c r="S26" s="15">
        <f t="shared" si="8"/>
        <v>0</v>
      </c>
      <c r="T26" s="33">
        <f t="shared" si="18"/>
        <v>3926</v>
      </c>
      <c r="U26" s="15">
        <f t="shared" si="9"/>
        <v>0</v>
      </c>
      <c r="W26" t="s">
        <v>12</v>
      </c>
    </row>
    <row r="27" spans="1:23" ht="13.5" thickBot="1" x14ac:dyDescent="0.25">
      <c r="A27" s="9">
        <v>44617</v>
      </c>
      <c r="B27" s="33">
        <f t="shared" si="11"/>
        <v>46603</v>
      </c>
      <c r="C27" s="15">
        <f t="shared" si="1"/>
        <v>0</v>
      </c>
      <c r="D27" s="33">
        <f t="shared" si="12"/>
        <v>40282</v>
      </c>
      <c r="E27" s="15">
        <f t="shared" si="2"/>
        <v>0</v>
      </c>
      <c r="F27" s="33">
        <f t="shared" si="13"/>
        <v>21303</v>
      </c>
      <c r="G27" s="15">
        <f t="shared" si="3"/>
        <v>0</v>
      </c>
      <c r="H27" s="33">
        <f t="shared" si="14"/>
        <v>253685</v>
      </c>
      <c r="I27" s="15">
        <f t="shared" si="4"/>
        <v>0</v>
      </c>
      <c r="J27" s="33">
        <v>303517</v>
      </c>
      <c r="K27" s="15">
        <v>0</v>
      </c>
      <c r="L27" s="33">
        <f t="shared" si="16"/>
        <v>25837</v>
      </c>
      <c r="M27" s="15">
        <f t="shared" si="5"/>
        <v>0</v>
      </c>
      <c r="N27" s="33">
        <f t="shared" si="17"/>
        <v>223020</v>
      </c>
      <c r="O27" s="15">
        <f t="shared" si="6"/>
        <v>0</v>
      </c>
      <c r="P27" s="33">
        <f t="shared" si="10"/>
        <v>139625</v>
      </c>
      <c r="Q27" s="15">
        <f t="shared" si="7"/>
        <v>0</v>
      </c>
      <c r="R27" s="1">
        <f t="shared" si="0"/>
        <v>55047</v>
      </c>
      <c r="S27" s="15">
        <f t="shared" si="8"/>
        <v>0</v>
      </c>
      <c r="T27" s="33">
        <f t="shared" si="18"/>
        <v>3926</v>
      </c>
      <c r="U27" s="15">
        <f t="shared" si="9"/>
        <v>0</v>
      </c>
    </row>
    <row r="28" spans="1:23" ht="13.5" thickBot="1" x14ac:dyDescent="0.25">
      <c r="A28" s="9">
        <v>44618</v>
      </c>
      <c r="B28" s="33">
        <f t="shared" si="11"/>
        <v>46603</v>
      </c>
      <c r="C28" s="15">
        <f t="shared" si="1"/>
        <v>0</v>
      </c>
      <c r="D28" s="33">
        <f t="shared" si="12"/>
        <v>40282</v>
      </c>
      <c r="E28" s="15">
        <f t="shared" si="2"/>
        <v>0</v>
      </c>
      <c r="F28" s="33">
        <f t="shared" si="13"/>
        <v>21303</v>
      </c>
      <c r="G28" s="15">
        <f t="shared" si="3"/>
        <v>0</v>
      </c>
      <c r="H28" s="33">
        <f t="shared" si="14"/>
        <v>253685</v>
      </c>
      <c r="I28" s="15">
        <f t="shared" si="4"/>
        <v>0</v>
      </c>
      <c r="J28" s="33">
        <v>303517</v>
      </c>
      <c r="K28" s="15">
        <v>0</v>
      </c>
      <c r="L28" s="33">
        <f t="shared" si="16"/>
        <v>25837</v>
      </c>
      <c r="M28" s="15">
        <f t="shared" si="5"/>
        <v>0</v>
      </c>
      <c r="N28" s="33">
        <f t="shared" si="17"/>
        <v>223020</v>
      </c>
      <c r="O28" s="15">
        <f t="shared" si="6"/>
        <v>0</v>
      </c>
      <c r="P28" s="33">
        <f t="shared" si="10"/>
        <v>139625</v>
      </c>
      <c r="Q28" s="16">
        <f t="shared" si="7"/>
        <v>0</v>
      </c>
      <c r="R28" s="1">
        <v>55047</v>
      </c>
      <c r="S28" s="16">
        <f t="shared" si="8"/>
        <v>0</v>
      </c>
      <c r="T28" s="33">
        <f t="shared" si="18"/>
        <v>3926</v>
      </c>
      <c r="U28" s="15">
        <f t="shared" si="9"/>
        <v>0</v>
      </c>
    </row>
    <row r="29" spans="1:23" ht="13.5" thickBot="1" x14ac:dyDescent="0.25">
      <c r="A29" s="9">
        <v>44619</v>
      </c>
      <c r="B29" s="33">
        <f t="shared" si="11"/>
        <v>46603</v>
      </c>
      <c r="C29" s="15">
        <f t="shared" si="1"/>
        <v>0</v>
      </c>
      <c r="D29" s="33">
        <f t="shared" si="12"/>
        <v>40282</v>
      </c>
      <c r="E29" s="15">
        <f t="shared" si="2"/>
        <v>0</v>
      </c>
      <c r="F29" s="33">
        <f t="shared" si="13"/>
        <v>21303</v>
      </c>
      <c r="G29" s="15">
        <f t="shared" si="3"/>
        <v>0</v>
      </c>
      <c r="H29" s="33">
        <f t="shared" si="14"/>
        <v>253685</v>
      </c>
      <c r="I29" s="15">
        <f t="shared" si="4"/>
        <v>0</v>
      </c>
      <c r="J29" s="33">
        <v>303517</v>
      </c>
      <c r="K29" s="15">
        <v>0</v>
      </c>
      <c r="L29" s="33">
        <f t="shared" si="16"/>
        <v>25837</v>
      </c>
      <c r="M29" s="15">
        <f t="shared" si="5"/>
        <v>0</v>
      </c>
      <c r="N29" s="33">
        <f t="shared" si="17"/>
        <v>223020</v>
      </c>
      <c r="O29" s="15">
        <f t="shared" si="6"/>
        <v>0</v>
      </c>
      <c r="P29" s="33">
        <f t="shared" si="10"/>
        <v>139625</v>
      </c>
      <c r="Q29" s="15">
        <f t="shared" si="7"/>
        <v>0</v>
      </c>
      <c r="R29" s="1">
        <v>55047</v>
      </c>
      <c r="S29" s="15">
        <f t="shared" si="8"/>
        <v>0</v>
      </c>
      <c r="T29" s="33">
        <f t="shared" si="18"/>
        <v>3926</v>
      </c>
      <c r="U29" s="15">
        <f t="shared" si="9"/>
        <v>0</v>
      </c>
    </row>
    <row r="30" spans="1:23" ht="13.5" thickBot="1" x14ac:dyDescent="0.25">
      <c r="A30" s="9">
        <v>44620</v>
      </c>
      <c r="B30" s="33">
        <f t="shared" si="11"/>
        <v>46603</v>
      </c>
      <c r="C30" s="15">
        <f t="shared" si="1"/>
        <v>0</v>
      </c>
      <c r="D30" s="33">
        <f t="shared" si="12"/>
        <v>40282</v>
      </c>
      <c r="E30" s="15">
        <f t="shared" si="2"/>
        <v>0</v>
      </c>
      <c r="F30" s="33">
        <f t="shared" si="13"/>
        <v>21303</v>
      </c>
      <c r="G30" s="15">
        <f t="shared" si="3"/>
        <v>0</v>
      </c>
      <c r="H30" s="33">
        <f t="shared" si="14"/>
        <v>253685</v>
      </c>
      <c r="I30" s="15">
        <f t="shared" si="4"/>
        <v>0</v>
      </c>
      <c r="J30" s="33">
        <f t="shared" si="15"/>
        <v>303517</v>
      </c>
      <c r="K30" s="15">
        <v>0</v>
      </c>
      <c r="L30" s="33">
        <f t="shared" si="16"/>
        <v>25837</v>
      </c>
      <c r="M30" s="15">
        <f t="shared" si="5"/>
        <v>0</v>
      </c>
      <c r="N30" s="33">
        <f t="shared" si="17"/>
        <v>223020</v>
      </c>
      <c r="O30" s="15">
        <f t="shared" si="6"/>
        <v>0</v>
      </c>
      <c r="P30" s="33">
        <f t="shared" si="10"/>
        <v>139625</v>
      </c>
      <c r="Q30" s="15">
        <f t="shared" si="7"/>
        <v>0</v>
      </c>
      <c r="R30" s="1">
        <f t="shared" si="0"/>
        <v>55047</v>
      </c>
      <c r="S30" s="15">
        <f t="shared" si="8"/>
        <v>0</v>
      </c>
      <c r="T30" s="33">
        <f t="shared" si="18"/>
        <v>3926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5280</v>
      </c>
      <c r="D31" s="12"/>
      <c r="E31" s="10">
        <f>SUM(E4:E30)</f>
        <v>3680</v>
      </c>
      <c r="F31" s="12"/>
      <c r="G31" s="10">
        <f>SUM(G4:G30)</f>
        <v>500</v>
      </c>
      <c r="H31" s="12"/>
      <c r="I31" s="10">
        <f>SUM(I4:I30)</f>
        <v>99</v>
      </c>
      <c r="J31" s="12"/>
      <c r="K31" s="10">
        <f>SUM(K4:K30)</f>
        <v>0</v>
      </c>
      <c r="L31" s="12"/>
      <c r="M31" s="10">
        <f>SUM(M4:M30)</f>
        <v>3200</v>
      </c>
      <c r="N31" s="34"/>
      <c r="O31" s="10">
        <f>SUM(O4:O30)</f>
        <v>756</v>
      </c>
      <c r="P31" s="12"/>
      <c r="Q31" s="10">
        <f>SUM(Q4:Q30)</f>
        <v>0</v>
      </c>
      <c r="R31" s="1"/>
      <c r="S31" s="10">
        <f>SUM(S4:S30)</f>
        <v>0</v>
      </c>
      <c r="T31" s="1"/>
      <c r="U31" s="10">
        <f>SUM(U4:U30)</f>
        <v>1120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zoomScaleNormal="100" zoomScaleSheetLayoutView="110" workbookViewId="0">
      <pane ySplit="1" topLeftCell="A2" activePane="bottomLeft" state="frozen"/>
      <selection pane="bottomLeft" activeCell="B10" sqref="B10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44592</v>
      </c>
      <c r="B2" s="40">
        <v>0</v>
      </c>
      <c r="C2" s="147">
        <v>19316</v>
      </c>
      <c r="D2" s="40"/>
      <c r="E2" s="148">
        <v>29669331</v>
      </c>
      <c r="F2" s="40"/>
      <c r="G2" s="149">
        <v>94599632</v>
      </c>
      <c r="H2" s="40"/>
      <c r="I2" s="20">
        <f>F2+H2</f>
        <v>0</v>
      </c>
      <c r="J2" s="148">
        <v>9386002</v>
      </c>
      <c r="K2" s="40"/>
      <c r="L2" s="151">
        <v>9394543</v>
      </c>
      <c r="M2" s="40"/>
      <c r="N2" s="148">
        <v>6292205</v>
      </c>
      <c r="O2" s="40"/>
      <c r="P2" s="151">
        <v>5860545</v>
      </c>
      <c r="Q2" s="40"/>
      <c r="R2" s="148">
        <v>20049932</v>
      </c>
      <c r="S2" s="40"/>
      <c r="T2" s="148">
        <v>0</v>
      </c>
      <c r="U2" s="10"/>
      <c r="V2" s="148">
        <v>7942252</v>
      </c>
      <c r="W2" s="40"/>
      <c r="X2" s="20">
        <f t="shared" ref="X2" si="0">K2+M2+O2+Q2+S2+U2+W2</f>
        <v>0</v>
      </c>
      <c r="Y2" s="153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44593</v>
      </c>
      <c r="B3" s="40">
        <v>235</v>
      </c>
      <c r="C3" s="147">
        <v>19316</v>
      </c>
      <c r="D3" s="40">
        <f>IF((C3-C2)&lt;0,"0",(C3-C2))*160</f>
        <v>0</v>
      </c>
      <c r="E3" s="148">
        <v>29677602</v>
      </c>
      <c r="F3" s="40">
        <f>IF((E3-E2)&lt;0,"0",(E3-E2))</f>
        <v>8271</v>
      </c>
      <c r="G3" s="149">
        <v>94631745</v>
      </c>
      <c r="H3" s="40">
        <f>IF((G3-G2)&lt;0,"0",(G3-G2))</f>
        <v>32113</v>
      </c>
      <c r="I3" s="20">
        <f>F3+H3</f>
        <v>40384</v>
      </c>
      <c r="J3" s="148">
        <v>9390076</v>
      </c>
      <c r="K3" s="40">
        <f>(IF((J3-J2)&lt;L88,"0",(J3-J2)))*2</f>
        <v>8148</v>
      </c>
      <c r="L3" s="151">
        <v>9398108</v>
      </c>
      <c r="M3" s="40">
        <f>IF((L3-L2)&lt;0,"0",(L3-L2))</f>
        <v>3565</v>
      </c>
      <c r="N3" s="148">
        <v>6294498</v>
      </c>
      <c r="O3" s="40">
        <f>(IF((N3-N2)&lt;P88,"0",(N3-N2)))*2</f>
        <v>4586</v>
      </c>
      <c r="P3" s="151">
        <v>5862638</v>
      </c>
      <c r="Q3" s="40">
        <f>IF((P3-P2)&lt;0,"0",(P3-P2))</f>
        <v>2093</v>
      </c>
      <c r="R3" s="148">
        <v>20057832</v>
      </c>
      <c r="S3" s="40">
        <f>IF((R3-R2)&lt;0,"0",(R3-R2))</f>
        <v>7900</v>
      </c>
      <c r="T3" s="148">
        <v>0</v>
      </c>
      <c r="U3" s="152"/>
      <c r="V3" s="148">
        <v>7950836</v>
      </c>
      <c r="W3" s="40">
        <f>IF((V3-V2)&lt;0,"0",(V3-V2))</f>
        <v>8584</v>
      </c>
      <c r="X3" s="20">
        <f>K3+M3+O3+Q3+S3+U3+W3</f>
        <v>34876</v>
      </c>
      <c r="Y3" s="153">
        <f>I3-X3</f>
        <v>5508</v>
      </c>
      <c r="Z3" s="3">
        <f>(0.93352*(W3+S3)+0.5568*(Q3+O3))*0.26</f>
        <v>4967.8228288000009</v>
      </c>
      <c r="AA3" s="3">
        <f>SUM(Z1:Z3)</f>
        <v>4967.8228288000009</v>
      </c>
    </row>
    <row r="4" spans="1:27" ht="16.5" thickBot="1" x14ac:dyDescent="0.3">
      <c r="A4" s="9">
        <v>44594</v>
      </c>
      <c r="B4" s="40">
        <v>190</v>
      </c>
      <c r="C4" s="147">
        <v>19316</v>
      </c>
      <c r="D4" s="40">
        <f t="shared" ref="D4:D30" si="3">IF((C4-C3)&lt;0,"0",(C4-C3))*160</f>
        <v>0</v>
      </c>
      <c r="E4" s="148">
        <v>29688201</v>
      </c>
      <c r="F4" s="40">
        <f t="shared" ref="F4:F30" si="4">IF((E4-E3)&lt;0,"0",(E4-E3))</f>
        <v>10599</v>
      </c>
      <c r="G4" s="149">
        <v>94675349</v>
      </c>
      <c r="H4" s="40">
        <f t="shared" ref="H4:H30" si="5">IF((G4-G3)&lt;0,"0",(G4-G3))</f>
        <v>43604</v>
      </c>
      <c r="I4" s="150">
        <f t="shared" ref="I4:I30" si="6">F4+H4</f>
        <v>54203</v>
      </c>
      <c r="J4" s="148">
        <v>9395490</v>
      </c>
      <c r="K4" s="40">
        <f>(IF((J4-J3)&lt;L90,"0",(J4-J3)))*2</f>
        <v>10828</v>
      </c>
      <c r="L4" s="151">
        <v>9402982</v>
      </c>
      <c r="M4" s="40">
        <f t="shared" ref="M4:M30" si="7">IF((L4-L3)&lt;0,"0",(L4-L3))</f>
        <v>4874</v>
      </c>
      <c r="N4" s="148">
        <v>6297286</v>
      </c>
      <c r="O4" s="40">
        <f>(IF((N4-N3)&lt;P90,"0",(N4-N3)))*2</f>
        <v>5576</v>
      </c>
      <c r="P4" s="151">
        <v>5865839</v>
      </c>
      <c r="Q4" s="40">
        <f t="shared" ref="Q4:Q30" si="8">IF((P4-P3)&lt;0,"0",(P4-P3))</f>
        <v>3201</v>
      </c>
      <c r="R4" s="148">
        <v>20069112</v>
      </c>
      <c r="S4" s="40">
        <f t="shared" ref="S4:S30" si="9">IF((R4-R3)&lt;0,"0",(R4-R3))</f>
        <v>11280</v>
      </c>
      <c r="T4" s="148">
        <v>0</v>
      </c>
      <c r="U4" s="152"/>
      <c r="V4" s="148">
        <v>7962059</v>
      </c>
      <c r="W4" s="40">
        <f t="shared" ref="W4:W30" si="10">IF((V4-V3)&lt;0,"0",(V4-V3))</f>
        <v>11223</v>
      </c>
      <c r="X4" s="20">
        <f t="shared" ref="X4:X30" si="11">K4+M4+O4+Q4+S4+U4+W4</f>
        <v>46982</v>
      </c>
      <c r="Y4" s="153">
        <f t="shared" ref="Y4:Y30" si="12">I4-X4</f>
        <v>7221</v>
      </c>
      <c r="Z4" s="3">
        <f t="shared" ref="Z4:Z30" si="13">(0.93352*(W4+S4)+0.5568*(Q4+O4))*0.26</f>
        <v>6732.4488816000003</v>
      </c>
      <c r="AA4" s="3">
        <f>SUM(Z2:Z4)</f>
        <v>11700.2717104</v>
      </c>
    </row>
    <row r="5" spans="1:27" ht="16.5" thickBot="1" x14ac:dyDescent="0.3">
      <c r="A5" s="9">
        <v>44595</v>
      </c>
      <c r="B5" s="40">
        <v>182</v>
      </c>
      <c r="C5" s="147">
        <v>19316</v>
      </c>
      <c r="D5" s="40">
        <f t="shared" si="3"/>
        <v>0</v>
      </c>
      <c r="E5" s="148">
        <v>29692282</v>
      </c>
      <c r="F5" s="40">
        <f t="shared" si="4"/>
        <v>4081</v>
      </c>
      <c r="G5" s="149">
        <v>94703405</v>
      </c>
      <c r="H5" s="40">
        <f t="shared" si="5"/>
        <v>28056</v>
      </c>
      <c r="I5" s="150">
        <f t="shared" si="6"/>
        <v>32137</v>
      </c>
      <c r="J5" s="148">
        <v>9398860</v>
      </c>
      <c r="K5" s="40">
        <f t="shared" ref="K5:K30" si="14">(IF((J5-J4)&lt;0,"0",(J5-J4)))*2</f>
        <v>6740</v>
      </c>
      <c r="L5" s="151">
        <v>9406057</v>
      </c>
      <c r="M5" s="40">
        <f t="shared" si="7"/>
        <v>3075</v>
      </c>
      <c r="N5" s="148">
        <v>6297744</v>
      </c>
      <c r="O5" s="40">
        <f t="shared" ref="O5:O30" si="15">(IF((N5-N4)&lt;0,"0",(N5-N4)))*2</f>
        <v>916</v>
      </c>
      <c r="P5" s="151">
        <v>5870500</v>
      </c>
      <c r="Q5" s="40">
        <f t="shared" si="8"/>
        <v>4661</v>
      </c>
      <c r="R5" s="148">
        <v>20075540</v>
      </c>
      <c r="S5" s="40">
        <f t="shared" si="9"/>
        <v>6428</v>
      </c>
      <c r="T5" s="148">
        <v>0</v>
      </c>
      <c r="U5" s="152"/>
      <c r="V5" s="148">
        <v>7968499</v>
      </c>
      <c r="W5" s="40">
        <f t="shared" si="10"/>
        <v>6440</v>
      </c>
      <c r="X5" s="20">
        <f t="shared" si="11"/>
        <v>28260</v>
      </c>
      <c r="Y5" s="153">
        <f t="shared" si="12"/>
        <v>3877</v>
      </c>
      <c r="Z5" s="3">
        <f t="shared" si="13"/>
        <v>3930.6303296000001</v>
      </c>
      <c r="AA5" s="3">
        <f>SUM(Z3:Z5)</f>
        <v>15630.902040000001</v>
      </c>
    </row>
    <row r="6" spans="1:27" ht="16.5" thickBot="1" x14ac:dyDescent="0.3">
      <c r="A6" s="9">
        <v>44596</v>
      </c>
      <c r="B6" s="40">
        <v>178</v>
      </c>
      <c r="C6" s="147">
        <f t="shared" ref="C6:C30" si="16">C5</f>
        <v>19316</v>
      </c>
      <c r="D6" s="40">
        <f t="shared" si="3"/>
        <v>0</v>
      </c>
      <c r="E6" s="148">
        <v>29701708</v>
      </c>
      <c r="F6" s="40">
        <f t="shared" si="4"/>
        <v>9426</v>
      </c>
      <c r="G6" s="149">
        <v>94745214</v>
      </c>
      <c r="H6" s="40">
        <f t="shared" si="5"/>
        <v>41809</v>
      </c>
      <c r="I6" s="150">
        <f t="shared" si="6"/>
        <v>51235</v>
      </c>
      <c r="J6" s="148">
        <v>9403743</v>
      </c>
      <c r="K6" s="40">
        <f t="shared" si="14"/>
        <v>9766</v>
      </c>
      <c r="L6" s="151">
        <v>9410634</v>
      </c>
      <c r="M6" s="40">
        <f t="shared" si="7"/>
        <v>4577</v>
      </c>
      <c r="N6" s="148">
        <v>6300083</v>
      </c>
      <c r="O6" s="40">
        <f t="shared" si="15"/>
        <v>4678</v>
      </c>
      <c r="P6" s="151">
        <v>5874266</v>
      </c>
      <c r="Q6" s="40">
        <f t="shared" si="8"/>
        <v>3766</v>
      </c>
      <c r="R6" s="148">
        <v>20086327</v>
      </c>
      <c r="S6" s="40">
        <f t="shared" si="9"/>
        <v>10787</v>
      </c>
      <c r="T6" s="148">
        <v>0</v>
      </c>
      <c r="U6" s="152"/>
      <c r="V6" s="148">
        <v>7979871</v>
      </c>
      <c r="W6" s="40">
        <f t="shared" si="10"/>
        <v>11372</v>
      </c>
      <c r="X6" s="20">
        <f t="shared" si="11"/>
        <v>44946</v>
      </c>
      <c r="Y6" s="153">
        <f t="shared" si="12"/>
        <v>6289</v>
      </c>
      <c r="Z6" s="3">
        <f t="shared" si="13"/>
        <v>6600.7471088000002</v>
      </c>
      <c r="AA6" s="3">
        <f>SUM(Z4:Z6)</f>
        <v>17263.82632</v>
      </c>
    </row>
    <row r="7" spans="1:27" ht="16.5" thickBot="1" x14ac:dyDescent="0.3">
      <c r="A7" s="9">
        <v>44597</v>
      </c>
      <c r="B7" s="40">
        <v>211</v>
      </c>
      <c r="C7" s="147">
        <f t="shared" si="16"/>
        <v>19316</v>
      </c>
      <c r="D7" s="40">
        <f t="shared" si="3"/>
        <v>0</v>
      </c>
      <c r="E7" s="148">
        <v>29710400</v>
      </c>
      <c r="F7" s="40">
        <f t="shared" si="4"/>
        <v>8692</v>
      </c>
      <c r="G7" s="149">
        <v>94780849</v>
      </c>
      <c r="H7" s="40">
        <f t="shared" si="5"/>
        <v>35635</v>
      </c>
      <c r="I7" s="150">
        <f t="shared" si="6"/>
        <v>44327</v>
      </c>
      <c r="J7" s="148">
        <v>9407932</v>
      </c>
      <c r="K7" s="40">
        <f t="shared" si="14"/>
        <v>8378</v>
      </c>
      <c r="L7" s="151">
        <v>9414638</v>
      </c>
      <c r="M7" s="40">
        <f t="shared" si="7"/>
        <v>4004</v>
      </c>
      <c r="N7" s="148">
        <v>6302379</v>
      </c>
      <c r="O7" s="40">
        <f t="shared" si="15"/>
        <v>4592</v>
      </c>
      <c r="P7" s="151">
        <v>5876655</v>
      </c>
      <c r="Q7" s="40">
        <f t="shared" si="8"/>
        <v>2389</v>
      </c>
      <c r="R7" s="148">
        <v>20095647</v>
      </c>
      <c r="S7" s="40">
        <f t="shared" si="9"/>
        <v>9320</v>
      </c>
      <c r="T7" s="148">
        <v>0</v>
      </c>
      <c r="U7" s="152"/>
      <c r="V7" s="148">
        <v>7987225</v>
      </c>
      <c r="W7" s="40">
        <f t="shared" si="10"/>
        <v>7354</v>
      </c>
      <c r="X7" s="20">
        <f t="shared" si="11"/>
        <v>36037</v>
      </c>
      <c r="Y7" s="153">
        <f t="shared" si="12"/>
        <v>8290</v>
      </c>
      <c r="Z7" s="3">
        <f t="shared" si="13"/>
        <v>5057.6586527999998</v>
      </c>
      <c r="AA7" s="3">
        <f t="shared" ref="AA7:AA30" si="17">SUM(Z4:Z7)</f>
        <v>22321.484972800001</v>
      </c>
    </row>
    <row r="8" spans="1:27" ht="16.5" thickBot="1" x14ac:dyDescent="0.3">
      <c r="A8" s="9">
        <v>44598</v>
      </c>
      <c r="B8" s="40">
        <v>216</v>
      </c>
      <c r="C8" s="147">
        <v>19316</v>
      </c>
      <c r="D8" s="40">
        <f t="shared" si="3"/>
        <v>0</v>
      </c>
      <c r="E8" s="148">
        <v>29721121</v>
      </c>
      <c r="F8" s="40">
        <f t="shared" si="4"/>
        <v>10721</v>
      </c>
      <c r="G8" s="149">
        <v>94826537</v>
      </c>
      <c r="H8" s="40">
        <f t="shared" si="5"/>
        <v>45688</v>
      </c>
      <c r="I8" s="150">
        <f t="shared" si="6"/>
        <v>56409</v>
      </c>
      <c r="J8" s="148">
        <v>9413533</v>
      </c>
      <c r="K8" s="40">
        <f t="shared" si="14"/>
        <v>11202</v>
      </c>
      <c r="L8" s="151">
        <v>9419965</v>
      </c>
      <c r="M8" s="40">
        <f t="shared" si="7"/>
        <v>5327</v>
      </c>
      <c r="N8" s="148">
        <v>6305242</v>
      </c>
      <c r="O8" s="40">
        <f t="shared" si="15"/>
        <v>5726</v>
      </c>
      <c r="P8" s="151">
        <v>5879599</v>
      </c>
      <c r="Q8" s="40">
        <f t="shared" si="8"/>
        <v>2944</v>
      </c>
      <c r="R8" s="148">
        <v>20107901</v>
      </c>
      <c r="S8" s="40">
        <f t="shared" si="9"/>
        <v>12254</v>
      </c>
      <c r="T8" s="148">
        <v>0</v>
      </c>
      <c r="U8" s="152"/>
      <c r="V8" s="148">
        <v>8000480</v>
      </c>
      <c r="W8" s="40">
        <f t="shared" si="10"/>
        <v>13255</v>
      </c>
      <c r="X8" s="20">
        <f t="shared" si="11"/>
        <v>50708</v>
      </c>
      <c r="Y8" s="153">
        <f t="shared" si="12"/>
        <v>5701</v>
      </c>
      <c r="Z8" s="3">
        <f t="shared" si="13"/>
        <v>7446.5605968</v>
      </c>
      <c r="AA8" s="3">
        <f t="shared" si="17"/>
        <v>23035.596687999998</v>
      </c>
    </row>
    <row r="9" spans="1:27" ht="16.5" thickBot="1" x14ac:dyDescent="0.3">
      <c r="A9" s="9">
        <v>44599</v>
      </c>
      <c r="B9" s="40">
        <v>264</v>
      </c>
      <c r="C9" s="147">
        <f t="shared" si="16"/>
        <v>19316</v>
      </c>
      <c r="D9" s="40">
        <f t="shared" si="3"/>
        <v>0</v>
      </c>
      <c r="E9" s="148">
        <v>29728649</v>
      </c>
      <c r="F9" s="40">
        <f t="shared" si="4"/>
        <v>7528</v>
      </c>
      <c r="G9" s="149">
        <v>94854439</v>
      </c>
      <c r="H9" s="40">
        <f t="shared" si="5"/>
        <v>27902</v>
      </c>
      <c r="I9" s="150">
        <f t="shared" si="6"/>
        <v>35430</v>
      </c>
      <c r="J9" s="148">
        <v>9417059</v>
      </c>
      <c r="K9" s="40">
        <f t="shared" si="14"/>
        <v>7052</v>
      </c>
      <c r="L9" s="151">
        <v>9422671</v>
      </c>
      <c r="M9" s="40">
        <f t="shared" si="7"/>
        <v>2706</v>
      </c>
      <c r="N9" s="148">
        <v>6307350</v>
      </c>
      <c r="O9" s="40">
        <f t="shared" si="15"/>
        <v>4216</v>
      </c>
      <c r="P9" s="151">
        <v>5881494</v>
      </c>
      <c r="Q9" s="40">
        <f t="shared" si="8"/>
        <v>1895</v>
      </c>
      <c r="R9" s="148">
        <v>20114468</v>
      </c>
      <c r="S9" s="40">
        <f t="shared" si="9"/>
        <v>6567</v>
      </c>
      <c r="T9" s="148">
        <v>0</v>
      </c>
      <c r="U9" s="152"/>
      <c r="V9" s="148">
        <v>8004825</v>
      </c>
      <c r="W9" s="40">
        <f t="shared" si="10"/>
        <v>4345</v>
      </c>
      <c r="X9" s="20">
        <f t="shared" si="11"/>
        <v>26781</v>
      </c>
      <c r="Y9" s="153">
        <f t="shared" si="12"/>
        <v>8649</v>
      </c>
      <c r="Z9" s="3">
        <f t="shared" si="13"/>
        <v>3533.1855104000001</v>
      </c>
      <c r="AA9" s="3">
        <f t="shared" si="17"/>
        <v>22638.1518688</v>
      </c>
    </row>
    <row r="10" spans="1:27" ht="16.5" thickBot="1" x14ac:dyDescent="0.3">
      <c r="A10" s="9">
        <v>44600</v>
      </c>
      <c r="B10" s="40">
        <v>242</v>
      </c>
      <c r="C10" s="147">
        <v>19318</v>
      </c>
      <c r="D10" s="40">
        <f t="shared" si="3"/>
        <v>320</v>
      </c>
      <c r="E10" s="148">
        <v>29741110</v>
      </c>
      <c r="F10" s="40">
        <f t="shared" si="4"/>
        <v>12461</v>
      </c>
      <c r="G10" s="149">
        <v>94898627</v>
      </c>
      <c r="H10" s="40">
        <f t="shared" si="5"/>
        <v>44188</v>
      </c>
      <c r="I10" s="150">
        <f t="shared" si="6"/>
        <v>56649</v>
      </c>
      <c r="J10" s="148">
        <v>9422641</v>
      </c>
      <c r="K10" s="40">
        <f t="shared" si="14"/>
        <v>11164</v>
      </c>
      <c r="L10" s="151">
        <v>9428489</v>
      </c>
      <c r="M10" s="40">
        <f t="shared" si="7"/>
        <v>5818</v>
      </c>
      <c r="N10" s="148">
        <v>6310592</v>
      </c>
      <c r="O10" s="40">
        <f t="shared" si="15"/>
        <v>6484</v>
      </c>
      <c r="P10" s="151">
        <v>5884574</v>
      </c>
      <c r="Q10" s="40">
        <f t="shared" si="8"/>
        <v>3080</v>
      </c>
      <c r="R10" s="148">
        <v>20125650</v>
      </c>
      <c r="S10" s="40">
        <f t="shared" si="9"/>
        <v>11182</v>
      </c>
      <c r="T10" s="148">
        <v>0</v>
      </c>
      <c r="U10" s="152"/>
      <c r="V10" s="148">
        <v>8019358</v>
      </c>
      <c r="W10" s="40">
        <f t="shared" si="10"/>
        <v>14533</v>
      </c>
      <c r="X10" s="20">
        <f t="shared" si="11"/>
        <v>52261</v>
      </c>
      <c r="Y10" s="153">
        <f t="shared" si="12"/>
        <v>4388</v>
      </c>
      <c r="Z10" s="3">
        <f t="shared" si="13"/>
        <v>7625.9825200000005</v>
      </c>
      <c r="AA10" s="3">
        <f t="shared" si="17"/>
        <v>23663.387279999999</v>
      </c>
    </row>
    <row r="11" spans="1:27" ht="15.75" customHeight="1" thickBot="1" x14ac:dyDescent="0.3">
      <c r="A11" s="9">
        <v>44601</v>
      </c>
      <c r="B11" s="40">
        <v>0</v>
      </c>
      <c r="C11" s="147">
        <f t="shared" si="16"/>
        <v>19318</v>
      </c>
      <c r="D11" s="40">
        <f t="shared" si="3"/>
        <v>0</v>
      </c>
      <c r="E11" s="148">
        <f t="shared" ref="E10:E30" si="18">E10</f>
        <v>29741110</v>
      </c>
      <c r="F11" s="40">
        <f t="shared" si="4"/>
        <v>0</v>
      </c>
      <c r="G11" s="149">
        <f t="shared" ref="G10:G30" si="19">G10</f>
        <v>94898627</v>
      </c>
      <c r="H11" s="40">
        <f t="shared" si="5"/>
        <v>0</v>
      </c>
      <c r="I11" s="150">
        <f t="shared" si="6"/>
        <v>0</v>
      </c>
      <c r="J11" s="148">
        <f t="shared" ref="J10:J30" si="20">J10</f>
        <v>9422641</v>
      </c>
      <c r="K11" s="40">
        <f t="shared" si="14"/>
        <v>0</v>
      </c>
      <c r="L11" s="151">
        <f t="shared" ref="L10:L30" si="21">L10</f>
        <v>9428489</v>
      </c>
      <c r="M11" s="40">
        <f t="shared" si="7"/>
        <v>0</v>
      </c>
      <c r="N11" s="148">
        <f t="shared" ref="N10:N30" si="22">N10</f>
        <v>6310592</v>
      </c>
      <c r="O11" s="40">
        <f t="shared" si="15"/>
        <v>0</v>
      </c>
      <c r="P11" s="151">
        <f t="shared" ref="P10:P30" si="23">P10</f>
        <v>5884574</v>
      </c>
      <c r="Q11" s="40">
        <f t="shared" si="8"/>
        <v>0</v>
      </c>
      <c r="R11" s="148">
        <f t="shared" ref="R10:R30" si="24">R10</f>
        <v>20125650</v>
      </c>
      <c r="S11" s="40">
        <f t="shared" si="9"/>
        <v>0</v>
      </c>
      <c r="T11" s="148">
        <v>0</v>
      </c>
      <c r="U11" s="152"/>
      <c r="V11" s="148">
        <f t="shared" ref="V10:V30" si="25">V10</f>
        <v>8019358</v>
      </c>
      <c r="W11" s="40">
        <f t="shared" si="10"/>
        <v>0</v>
      </c>
      <c r="X11" s="20">
        <f t="shared" si="11"/>
        <v>0</v>
      </c>
      <c r="Y11" s="153">
        <f t="shared" si="12"/>
        <v>0</v>
      </c>
      <c r="Z11" s="3">
        <f t="shared" si="13"/>
        <v>0</v>
      </c>
      <c r="AA11" s="3">
        <f t="shared" si="17"/>
        <v>18605.728627200002</v>
      </c>
    </row>
    <row r="12" spans="1:27" ht="16.5" thickBot="1" x14ac:dyDescent="0.3">
      <c r="A12" s="9">
        <v>44602</v>
      </c>
      <c r="B12" s="40">
        <v>0</v>
      </c>
      <c r="C12" s="147">
        <f t="shared" si="16"/>
        <v>19318</v>
      </c>
      <c r="D12" s="40">
        <f t="shared" si="3"/>
        <v>0</v>
      </c>
      <c r="E12" s="148">
        <f t="shared" si="18"/>
        <v>29741110</v>
      </c>
      <c r="F12" s="40">
        <f t="shared" si="4"/>
        <v>0</v>
      </c>
      <c r="G12" s="149">
        <f t="shared" si="19"/>
        <v>94898627</v>
      </c>
      <c r="H12" s="40">
        <f t="shared" si="5"/>
        <v>0</v>
      </c>
      <c r="I12" s="150">
        <f t="shared" si="6"/>
        <v>0</v>
      </c>
      <c r="J12" s="148">
        <f t="shared" si="20"/>
        <v>9422641</v>
      </c>
      <c r="K12" s="40">
        <f t="shared" si="14"/>
        <v>0</v>
      </c>
      <c r="L12" s="151">
        <f t="shared" si="21"/>
        <v>9428489</v>
      </c>
      <c r="M12" s="40">
        <f t="shared" si="7"/>
        <v>0</v>
      </c>
      <c r="N12" s="148">
        <f t="shared" si="22"/>
        <v>6310592</v>
      </c>
      <c r="O12" s="40">
        <f t="shared" si="15"/>
        <v>0</v>
      </c>
      <c r="P12" s="151">
        <f t="shared" si="23"/>
        <v>5884574</v>
      </c>
      <c r="Q12" s="40">
        <f t="shared" si="8"/>
        <v>0</v>
      </c>
      <c r="R12" s="148">
        <f t="shared" si="24"/>
        <v>20125650</v>
      </c>
      <c r="S12" s="40">
        <f t="shared" si="9"/>
        <v>0</v>
      </c>
      <c r="T12" s="148">
        <v>0</v>
      </c>
      <c r="U12" s="152"/>
      <c r="V12" s="148">
        <f t="shared" si="25"/>
        <v>8019358</v>
      </c>
      <c r="W12" s="40">
        <f t="shared" si="10"/>
        <v>0</v>
      </c>
      <c r="X12" s="20">
        <f t="shared" si="11"/>
        <v>0</v>
      </c>
      <c r="Y12" s="153">
        <f t="shared" si="12"/>
        <v>0</v>
      </c>
      <c r="Z12" s="3">
        <f t="shared" si="13"/>
        <v>0</v>
      </c>
      <c r="AA12" s="3">
        <f t="shared" si="17"/>
        <v>11159.1680304</v>
      </c>
    </row>
    <row r="13" spans="1:27" ht="16.5" thickBot="1" x14ac:dyDescent="0.3">
      <c r="A13" s="9">
        <v>44603</v>
      </c>
      <c r="B13" s="40">
        <v>0</v>
      </c>
      <c r="C13" s="147">
        <f t="shared" si="16"/>
        <v>19318</v>
      </c>
      <c r="D13" s="40">
        <f t="shared" ref="D13" si="26">IF((C13-C12)&lt;0,"0",(C13-C12))*160</f>
        <v>0</v>
      </c>
      <c r="E13" s="148">
        <f t="shared" si="18"/>
        <v>29741110</v>
      </c>
      <c r="F13" s="40">
        <f t="shared" ref="F13" si="27">IF((E13-E12)&lt;0,"0",(E13-E12))</f>
        <v>0</v>
      </c>
      <c r="G13" s="149">
        <f t="shared" si="19"/>
        <v>94898627</v>
      </c>
      <c r="H13" s="40">
        <f t="shared" ref="H13" si="28">IF((G13-G12)&lt;0,"0",(G13-G12))</f>
        <v>0</v>
      </c>
      <c r="I13" s="150">
        <f t="shared" ref="I13" si="29">F13+H13</f>
        <v>0</v>
      </c>
      <c r="J13" s="148">
        <f t="shared" si="20"/>
        <v>9422641</v>
      </c>
      <c r="K13" s="40">
        <f t="shared" ref="K13" si="30">(IF((J13-J12)&lt;0,"0",(J13-J12)))*2</f>
        <v>0</v>
      </c>
      <c r="L13" s="151">
        <f t="shared" si="21"/>
        <v>9428489</v>
      </c>
      <c r="M13" s="40">
        <f t="shared" ref="M13" si="31">IF((L13-L12)&lt;0,"0",(L13-L12))</f>
        <v>0</v>
      </c>
      <c r="N13" s="148">
        <f t="shared" si="22"/>
        <v>6310592</v>
      </c>
      <c r="O13" s="40">
        <f t="shared" ref="O13" si="32">(IF((N13-N12)&lt;0,"0",(N13-N12)))*2</f>
        <v>0</v>
      </c>
      <c r="P13" s="151">
        <f t="shared" si="23"/>
        <v>5884574</v>
      </c>
      <c r="Q13" s="40">
        <f t="shared" ref="Q13" si="33">IF((P13-P12)&lt;0,"0",(P13-P12))</f>
        <v>0</v>
      </c>
      <c r="R13" s="148">
        <f t="shared" si="24"/>
        <v>20125650</v>
      </c>
      <c r="S13" s="40">
        <f t="shared" ref="S13" si="34">IF((R13-R12)&lt;0,"0",(R13-R12))</f>
        <v>0</v>
      </c>
      <c r="T13" s="148">
        <v>0</v>
      </c>
      <c r="U13" s="152"/>
      <c r="V13" s="148">
        <f t="shared" si="25"/>
        <v>8019358</v>
      </c>
      <c r="W13" s="40">
        <f t="shared" ref="W13" si="35">IF((V13-V12)&lt;0,"0",(V13-V12))</f>
        <v>0</v>
      </c>
      <c r="X13" s="20">
        <f t="shared" ref="X13" si="36">K13+M13+O13+Q13+S13+U13+W13</f>
        <v>0</v>
      </c>
      <c r="Y13" s="153">
        <f t="shared" ref="Y13" si="37">I13-X13</f>
        <v>0</v>
      </c>
      <c r="Z13" s="3">
        <f t="shared" ref="Z13" si="38">(0.93352*(W13+S13)+0.5568*(Q13+O13))*0.26</f>
        <v>0</v>
      </c>
      <c r="AA13" s="3">
        <f t="shared" si="17"/>
        <v>7625.9825200000005</v>
      </c>
    </row>
    <row r="14" spans="1:27" ht="16.5" thickBot="1" x14ac:dyDescent="0.3">
      <c r="A14" s="9">
        <v>44604</v>
      </c>
      <c r="B14" s="40">
        <v>0</v>
      </c>
      <c r="C14" s="147">
        <f t="shared" si="16"/>
        <v>19318</v>
      </c>
      <c r="D14" s="40">
        <f t="shared" si="3"/>
        <v>0</v>
      </c>
      <c r="E14" s="148">
        <f t="shared" si="18"/>
        <v>29741110</v>
      </c>
      <c r="F14" s="40">
        <f t="shared" si="4"/>
        <v>0</v>
      </c>
      <c r="G14" s="149">
        <f t="shared" si="19"/>
        <v>94898627</v>
      </c>
      <c r="H14" s="40">
        <f t="shared" si="5"/>
        <v>0</v>
      </c>
      <c r="I14" s="150">
        <f t="shared" si="6"/>
        <v>0</v>
      </c>
      <c r="J14" s="148">
        <f t="shared" si="20"/>
        <v>9422641</v>
      </c>
      <c r="K14" s="40">
        <f t="shared" si="14"/>
        <v>0</v>
      </c>
      <c r="L14" s="151">
        <f t="shared" si="21"/>
        <v>9428489</v>
      </c>
      <c r="M14" s="40">
        <f t="shared" si="7"/>
        <v>0</v>
      </c>
      <c r="N14" s="148">
        <f t="shared" si="22"/>
        <v>6310592</v>
      </c>
      <c r="O14" s="40">
        <f t="shared" si="15"/>
        <v>0</v>
      </c>
      <c r="P14" s="151">
        <f t="shared" si="23"/>
        <v>5884574</v>
      </c>
      <c r="Q14" s="40">
        <f t="shared" si="8"/>
        <v>0</v>
      </c>
      <c r="R14" s="148">
        <f t="shared" si="24"/>
        <v>20125650</v>
      </c>
      <c r="S14" s="40">
        <f>IF((R14-R13)&lt;0,"0",(R14-R13))</f>
        <v>0</v>
      </c>
      <c r="T14" s="148">
        <v>0</v>
      </c>
      <c r="U14" s="152"/>
      <c r="V14" s="148">
        <f t="shared" si="25"/>
        <v>8019358</v>
      </c>
      <c r="W14" s="40">
        <f t="shared" si="10"/>
        <v>0</v>
      </c>
      <c r="X14" s="20">
        <f t="shared" si="11"/>
        <v>0</v>
      </c>
      <c r="Y14" s="153">
        <f t="shared" si="12"/>
        <v>0</v>
      </c>
      <c r="Z14" s="3">
        <f t="shared" si="13"/>
        <v>0</v>
      </c>
      <c r="AA14" s="3">
        <f t="shared" si="17"/>
        <v>0</v>
      </c>
    </row>
    <row r="15" spans="1:27" ht="16.5" thickBot="1" x14ac:dyDescent="0.3">
      <c r="A15" s="9">
        <v>44605</v>
      </c>
      <c r="B15" s="40">
        <v>0</v>
      </c>
      <c r="C15" s="147">
        <f t="shared" si="16"/>
        <v>19318</v>
      </c>
      <c r="D15" s="40">
        <f t="shared" si="3"/>
        <v>0</v>
      </c>
      <c r="E15" s="148">
        <f t="shared" si="18"/>
        <v>29741110</v>
      </c>
      <c r="F15" s="40">
        <f t="shared" si="4"/>
        <v>0</v>
      </c>
      <c r="G15" s="149">
        <f t="shared" si="19"/>
        <v>94898627</v>
      </c>
      <c r="H15" s="40">
        <f t="shared" si="5"/>
        <v>0</v>
      </c>
      <c r="I15" s="150">
        <f t="shared" si="6"/>
        <v>0</v>
      </c>
      <c r="J15" s="148">
        <f t="shared" si="20"/>
        <v>9422641</v>
      </c>
      <c r="K15" s="40">
        <f t="shared" si="14"/>
        <v>0</v>
      </c>
      <c r="L15" s="151">
        <f t="shared" si="21"/>
        <v>9428489</v>
      </c>
      <c r="M15" s="40">
        <f t="shared" si="7"/>
        <v>0</v>
      </c>
      <c r="N15" s="148">
        <f t="shared" si="22"/>
        <v>6310592</v>
      </c>
      <c r="O15" s="40">
        <f t="shared" si="15"/>
        <v>0</v>
      </c>
      <c r="P15" s="151">
        <f t="shared" si="23"/>
        <v>5884574</v>
      </c>
      <c r="Q15" s="40">
        <f t="shared" si="8"/>
        <v>0</v>
      </c>
      <c r="R15" s="148">
        <f t="shared" si="24"/>
        <v>20125650</v>
      </c>
      <c r="S15" s="40">
        <f>IF((R15-R14)&lt;0,"0",(R15-R14))</f>
        <v>0</v>
      </c>
      <c r="T15" s="148">
        <v>0</v>
      </c>
      <c r="U15" s="152"/>
      <c r="V15" s="148">
        <f t="shared" si="25"/>
        <v>8019358</v>
      </c>
      <c r="W15" s="40">
        <f t="shared" si="10"/>
        <v>0</v>
      </c>
      <c r="X15" s="20">
        <f t="shared" si="11"/>
        <v>0</v>
      </c>
      <c r="Y15" s="153">
        <f t="shared" si="12"/>
        <v>0</v>
      </c>
      <c r="Z15" s="3">
        <f t="shared" si="13"/>
        <v>0</v>
      </c>
      <c r="AA15" s="3">
        <f t="shared" si="17"/>
        <v>0</v>
      </c>
    </row>
    <row r="16" spans="1:27" ht="16.5" thickBot="1" x14ac:dyDescent="0.3">
      <c r="A16" s="9">
        <v>44606</v>
      </c>
      <c r="B16" s="40">
        <v>0</v>
      </c>
      <c r="C16" s="147">
        <f t="shared" si="16"/>
        <v>19318</v>
      </c>
      <c r="D16" s="40">
        <f t="shared" si="3"/>
        <v>0</v>
      </c>
      <c r="E16" s="148">
        <f t="shared" si="18"/>
        <v>29741110</v>
      </c>
      <c r="F16" s="40">
        <f t="shared" si="4"/>
        <v>0</v>
      </c>
      <c r="G16" s="149">
        <f t="shared" si="19"/>
        <v>94898627</v>
      </c>
      <c r="H16" s="40">
        <f t="shared" si="5"/>
        <v>0</v>
      </c>
      <c r="I16" s="150">
        <f t="shared" si="6"/>
        <v>0</v>
      </c>
      <c r="J16" s="148">
        <f t="shared" si="20"/>
        <v>9422641</v>
      </c>
      <c r="K16" s="40">
        <f t="shared" si="14"/>
        <v>0</v>
      </c>
      <c r="L16" s="151">
        <f t="shared" si="21"/>
        <v>9428489</v>
      </c>
      <c r="M16" s="40">
        <f t="shared" si="7"/>
        <v>0</v>
      </c>
      <c r="N16" s="148">
        <f t="shared" si="22"/>
        <v>6310592</v>
      </c>
      <c r="O16" s="40">
        <f t="shared" si="15"/>
        <v>0</v>
      </c>
      <c r="P16" s="151">
        <f t="shared" si="23"/>
        <v>5884574</v>
      </c>
      <c r="Q16" s="40">
        <f t="shared" si="8"/>
        <v>0</v>
      </c>
      <c r="R16" s="148">
        <f t="shared" si="24"/>
        <v>20125650</v>
      </c>
      <c r="S16" s="40">
        <f t="shared" si="9"/>
        <v>0</v>
      </c>
      <c r="T16" s="148">
        <v>0</v>
      </c>
      <c r="U16" s="152"/>
      <c r="V16" s="148">
        <f t="shared" si="25"/>
        <v>8019358</v>
      </c>
      <c r="W16" s="40">
        <f t="shared" si="10"/>
        <v>0</v>
      </c>
      <c r="X16" s="20">
        <f t="shared" si="11"/>
        <v>0</v>
      </c>
      <c r="Y16" s="153">
        <f t="shared" si="12"/>
        <v>0</v>
      </c>
      <c r="Z16" s="3">
        <f t="shared" si="13"/>
        <v>0</v>
      </c>
      <c r="AA16" s="3">
        <f t="shared" si="17"/>
        <v>0</v>
      </c>
    </row>
    <row r="17" spans="1:27" s="132" customFormat="1" ht="16.5" thickBot="1" x14ac:dyDescent="0.3">
      <c r="A17" s="9">
        <v>44607</v>
      </c>
      <c r="B17" s="40">
        <v>0</v>
      </c>
      <c r="C17" s="147">
        <f t="shared" si="16"/>
        <v>19318</v>
      </c>
      <c r="D17" s="40">
        <f t="shared" si="3"/>
        <v>0</v>
      </c>
      <c r="E17" s="148">
        <f t="shared" si="18"/>
        <v>29741110</v>
      </c>
      <c r="F17" s="40">
        <f t="shared" si="4"/>
        <v>0</v>
      </c>
      <c r="G17" s="149">
        <f t="shared" si="19"/>
        <v>94898627</v>
      </c>
      <c r="H17" s="40">
        <f t="shared" si="5"/>
        <v>0</v>
      </c>
      <c r="I17" s="154">
        <f t="shared" si="6"/>
        <v>0</v>
      </c>
      <c r="J17" s="148">
        <f t="shared" si="20"/>
        <v>9422641</v>
      </c>
      <c r="K17" s="131">
        <f t="shared" si="14"/>
        <v>0</v>
      </c>
      <c r="L17" s="151">
        <f t="shared" si="21"/>
        <v>9428489</v>
      </c>
      <c r="M17" s="131">
        <f t="shared" si="7"/>
        <v>0</v>
      </c>
      <c r="N17" s="148">
        <f t="shared" si="22"/>
        <v>6310592</v>
      </c>
      <c r="O17" s="131">
        <f t="shared" si="15"/>
        <v>0</v>
      </c>
      <c r="P17" s="151">
        <f t="shared" si="23"/>
        <v>5884574</v>
      </c>
      <c r="Q17" s="131">
        <f t="shared" si="8"/>
        <v>0</v>
      </c>
      <c r="R17" s="148">
        <f t="shared" si="24"/>
        <v>20125650</v>
      </c>
      <c r="S17" s="131">
        <f t="shared" si="9"/>
        <v>0</v>
      </c>
      <c r="T17" s="155">
        <v>0</v>
      </c>
      <c r="U17" s="152"/>
      <c r="V17" s="148">
        <f t="shared" si="25"/>
        <v>8019358</v>
      </c>
      <c r="W17" s="131">
        <f t="shared" si="10"/>
        <v>0</v>
      </c>
      <c r="X17" s="20">
        <f t="shared" si="11"/>
        <v>0</v>
      </c>
      <c r="Y17" s="156">
        <f t="shared" si="12"/>
        <v>0</v>
      </c>
      <c r="Z17" s="157">
        <f t="shared" si="13"/>
        <v>0</v>
      </c>
      <c r="AA17" s="3">
        <f t="shared" si="17"/>
        <v>0</v>
      </c>
    </row>
    <row r="18" spans="1:27" s="132" customFormat="1" ht="16.5" thickBot="1" x14ac:dyDescent="0.3">
      <c r="A18" s="9">
        <v>44608</v>
      </c>
      <c r="B18" s="40">
        <v>0</v>
      </c>
      <c r="C18" s="147">
        <f t="shared" si="16"/>
        <v>19318</v>
      </c>
      <c r="D18" s="40">
        <f t="shared" si="3"/>
        <v>0</v>
      </c>
      <c r="E18" s="148">
        <f t="shared" si="18"/>
        <v>29741110</v>
      </c>
      <c r="F18" s="40">
        <f t="shared" si="4"/>
        <v>0</v>
      </c>
      <c r="G18" s="149">
        <f t="shared" si="19"/>
        <v>94898627</v>
      </c>
      <c r="H18" s="40">
        <f t="shared" si="5"/>
        <v>0</v>
      </c>
      <c r="I18" s="154">
        <f t="shared" si="6"/>
        <v>0</v>
      </c>
      <c r="J18" s="148">
        <f t="shared" si="20"/>
        <v>9422641</v>
      </c>
      <c r="K18" s="131">
        <f t="shared" si="14"/>
        <v>0</v>
      </c>
      <c r="L18" s="151">
        <f t="shared" si="21"/>
        <v>9428489</v>
      </c>
      <c r="M18" s="131">
        <f t="shared" si="7"/>
        <v>0</v>
      </c>
      <c r="N18" s="148">
        <f t="shared" si="22"/>
        <v>6310592</v>
      </c>
      <c r="O18" s="131">
        <f t="shared" si="15"/>
        <v>0</v>
      </c>
      <c r="P18" s="151">
        <f t="shared" si="23"/>
        <v>5884574</v>
      </c>
      <c r="Q18" s="131">
        <f t="shared" si="8"/>
        <v>0</v>
      </c>
      <c r="R18" s="148">
        <f t="shared" si="24"/>
        <v>20125650</v>
      </c>
      <c r="S18" s="131">
        <f t="shared" si="9"/>
        <v>0</v>
      </c>
      <c r="T18" s="155">
        <v>0</v>
      </c>
      <c r="U18" s="152"/>
      <c r="V18" s="148">
        <f t="shared" si="25"/>
        <v>8019358</v>
      </c>
      <c r="W18" s="131">
        <f t="shared" si="10"/>
        <v>0</v>
      </c>
      <c r="X18" s="20">
        <f t="shared" si="11"/>
        <v>0</v>
      </c>
      <c r="Y18" s="156">
        <f t="shared" si="12"/>
        <v>0</v>
      </c>
      <c r="Z18" s="157">
        <f t="shared" si="13"/>
        <v>0</v>
      </c>
      <c r="AA18" s="3">
        <f t="shared" si="17"/>
        <v>0</v>
      </c>
    </row>
    <row r="19" spans="1:27" s="132" customFormat="1" ht="16.5" thickBot="1" x14ac:dyDescent="0.3">
      <c r="A19" s="9">
        <v>44609</v>
      </c>
      <c r="B19" s="40">
        <v>0</v>
      </c>
      <c r="C19" s="147">
        <f t="shared" si="16"/>
        <v>19318</v>
      </c>
      <c r="D19" s="40">
        <f t="shared" si="3"/>
        <v>0</v>
      </c>
      <c r="E19" s="148">
        <f t="shared" si="18"/>
        <v>29741110</v>
      </c>
      <c r="F19" s="40">
        <f t="shared" si="4"/>
        <v>0</v>
      </c>
      <c r="G19" s="149">
        <f t="shared" si="19"/>
        <v>94898627</v>
      </c>
      <c r="H19" s="40">
        <f t="shared" si="5"/>
        <v>0</v>
      </c>
      <c r="I19" s="154">
        <f t="shared" si="6"/>
        <v>0</v>
      </c>
      <c r="J19" s="148">
        <f t="shared" si="20"/>
        <v>9422641</v>
      </c>
      <c r="K19" s="131">
        <f t="shared" si="14"/>
        <v>0</v>
      </c>
      <c r="L19" s="151">
        <f t="shared" si="21"/>
        <v>9428489</v>
      </c>
      <c r="M19" s="131">
        <f t="shared" si="7"/>
        <v>0</v>
      </c>
      <c r="N19" s="148">
        <f t="shared" si="22"/>
        <v>6310592</v>
      </c>
      <c r="O19" s="131">
        <f t="shared" si="15"/>
        <v>0</v>
      </c>
      <c r="P19" s="151">
        <f t="shared" si="23"/>
        <v>5884574</v>
      </c>
      <c r="Q19" s="131">
        <f t="shared" si="8"/>
        <v>0</v>
      </c>
      <c r="R19" s="148">
        <f t="shared" si="24"/>
        <v>20125650</v>
      </c>
      <c r="S19" s="131">
        <f t="shared" si="9"/>
        <v>0</v>
      </c>
      <c r="T19" s="155">
        <v>0</v>
      </c>
      <c r="U19" s="152"/>
      <c r="V19" s="148">
        <f t="shared" si="25"/>
        <v>8019358</v>
      </c>
      <c r="W19" s="131">
        <f t="shared" si="10"/>
        <v>0</v>
      </c>
      <c r="X19" s="20">
        <f t="shared" si="11"/>
        <v>0</v>
      </c>
      <c r="Y19" s="156">
        <f t="shared" si="12"/>
        <v>0</v>
      </c>
      <c r="Z19" s="157">
        <f t="shared" si="13"/>
        <v>0</v>
      </c>
      <c r="AA19" s="3">
        <f t="shared" si="17"/>
        <v>0</v>
      </c>
    </row>
    <row r="20" spans="1:27" s="132" customFormat="1" ht="16.5" thickBot="1" x14ac:dyDescent="0.3">
      <c r="A20" s="9">
        <v>44610</v>
      </c>
      <c r="B20" s="40">
        <v>0</v>
      </c>
      <c r="C20" s="147">
        <f t="shared" si="16"/>
        <v>19318</v>
      </c>
      <c r="D20" s="40">
        <f t="shared" si="3"/>
        <v>0</v>
      </c>
      <c r="E20" s="148">
        <f t="shared" si="18"/>
        <v>29741110</v>
      </c>
      <c r="F20" s="40">
        <f t="shared" si="4"/>
        <v>0</v>
      </c>
      <c r="G20" s="149">
        <f t="shared" si="19"/>
        <v>94898627</v>
      </c>
      <c r="H20" s="40">
        <f t="shared" si="5"/>
        <v>0</v>
      </c>
      <c r="I20" s="154">
        <f t="shared" si="6"/>
        <v>0</v>
      </c>
      <c r="J20" s="148">
        <f t="shared" si="20"/>
        <v>9422641</v>
      </c>
      <c r="K20" s="131">
        <f t="shared" si="14"/>
        <v>0</v>
      </c>
      <c r="L20" s="151">
        <f t="shared" si="21"/>
        <v>9428489</v>
      </c>
      <c r="M20" s="131">
        <f t="shared" si="7"/>
        <v>0</v>
      </c>
      <c r="N20" s="148">
        <f t="shared" si="22"/>
        <v>6310592</v>
      </c>
      <c r="O20" s="131">
        <f t="shared" si="15"/>
        <v>0</v>
      </c>
      <c r="P20" s="151">
        <f t="shared" si="23"/>
        <v>5884574</v>
      </c>
      <c r="Q20" s="131">
        <f t="shared" si="8"/>
        <v>0</v>
      </c>
      <c r="R20" s="148">
        <f t="shared" si="24"/>
        <v>20125650</v>
      </c>
      <c r="S20" s="131">
        <f t="shared" si="9"/>
        <v>0</v>
      </c>
      <c r="T20" s="155">
        <v>0</v>
      </c>
      <c r="U20" s="152"/>
      <c r="V20" s="148">
        <f t="shared" si="25"/>
        <v>8019358</v>
      </c>
      <c r="W20" s="131">
        <f t="shared" si="10"/>
        <v>0</v>
      </c>
      <c r="X20" s="20">
        <f t="shared" si="11"/>
        <v>0</v>
      </c>
      <c r="Y20" s="156">
        <f t="shared" si="12"/>
        <v>0</v>
      </c>
      <c r="Z20" s="157">
        <f t="shared" si="13"/>
        <v>0</v>
      </c>
      <c r="AA20" s="3">
        <f t="shared" si="17"/>
        <v>0</v>
      </c>
    </row>
    <row r="21" spans="1:27" s="132" customFormat="1" ht="16.5" thickBot="1" x14ac:dyDescent="0.3">
      <c r="A21" s="9">
        <v>44611</v>
      </c>
      <c r="B21" s="40">
        <v>0</v>
      </c>
      <c r="C21" s="147">
        <f t="shared" si="16"/>
        <v>19318</v>
      </c>
      <c r="D21" s="40">
        <f t="shared" si="3"/>
        <v>0</v>
      </c>
      <c r="E21" s="148">
        <f t="shared" si="18"/>
        <v>29741110</v>
      </c>
      <c r="F21" s="40">
        <f t="shared" si="4"/>
        <v>0</v>
      </c>
      <c r="G21" s="149">
        <f t="shared" si="19"/>
        <v>94898627</v>
      </c>
      <c r="H21" s="40">
        <f t="shared" si="5"/>
        <v>0</v>
      </c>
      <c r="I21" s="154">
        <f t="shared" si="6"/>
        <v>0</v>
      </c>
      <c r="J21" s="148">
        <f t="shared" si="20"/>
        <v>9422641</v>
      </c>
      <c r="K21" s="131">
        <f t="shared" si="14"/>
        <v>0</v>
      </c>
      <c r="L21" s="151">
        <f t="shared" si="21"/>
        <v>9428489</v>
      </c>
      <c r="M21" s="131">
        <f t="shared" si="7"/>
        <v>0</v>
      </c>
      <c r="N21" s="148">
        <f t="shared" si="22"/>
        <v>6310592</v>
      </c>
      <c r="O21" s="131">
        <f t="shared" si="15"/>
        <v>0</v>
      </c>
      <c r="P21" s="151">
        <f t="shared" si="23"/>
        <v>5884574</v>
      </c>
      <c r="Q21" s="131">
        <f t="shared" si="8"/>
        <v>0</v>
      </c>
      <c r="R21" s="148">
        <f t="shared" si="24"/>
        <v>20125650</v>
      </c>
      <c r="S21" s="131">
        <f t="shared" si="9"/>
        <v>0</v>
      </c>
      <c r="T21" s="155">
        <v>0</v>
      </c>
      <c r="U21" s="152"/>
      <c r="V21" s="148">
        <f t="shared" si="25"/>
        <v>8019358</v>
      </c>
      <c r="W21" s="131">
        <f t="shared" si="10"/>
        <v>0</v>
      </c>
      <c r="X21" s="20">
        <f t="shared" si="11"/>
        <v>0</v>
      </c>
      <c r="Y21" s="156">
        <f t="shared" si="12"/>
        <v>0</v>
      </c>
      <c r="Z21" s="157">
        <f t="shared" si="13"/>
        <v>0</v>
      </c>
      <c r="AA21" s="3">
        <f t="shared" si="17"/>
        <v>0</v>
      </c>
    </row>
    <row r="22" spans="1:27" ht="16.5" thickBot="1" x14ac:dyDescent="0.3">
      <c r="A22" s="9">
        <v>44612</v>
      </c>
      <c r="B22" s="40">
        <v>0</v>
      </c>
      <c r="C22" s="147">
        <f t="shared" si="16"/>
        <v>19318</v>
      </c>
      <c r="D22" s="40">
        <f t="shared" si="3"/>
        <v>0</v>
      </c>
      <c r="E22" s="148">
        <f t="shared" si="18"/>
        <v>29741110</v>
      </c>
      <c r="F22" s="40">
        <f t="shared" si="4"/>
        <v>0</v>
      </c>
      <c r="G22" s="149">
        <f t="shared" si="19"/>
        <v>94898627</v>
      </c>
      <c r="H22" s="40">
        <f t="shared" si="5"/>
        <v>0</v>
      </c>
      <c r="I22" s="150">
        <f t="shared" si="6"/>
        <v>0</v>
      </c>
      <c r="J22" s="148">
        <f t="shared" si="20"/>
        <v>9422641</v>
      </c>
      <c r="K22" s="40">
        <f t="shared" si="14"/>
        <v>0</v>
      </c>
      <c r="L22" s="151">
        <f t="shared" si="21"/>
        <v>9428489</v>
      </c>
      <c r="M22" s="40">
        <f t="shared" si="7"/>
        <v>0</v>
      </c>
      <c r="N22" s="148">
        <f t="shared" si="22"/>
        <v>6310592</v>
      </c>
      <c r="O22" s="40">
        <f t="shared" si="15"/>
        <v>0</v>
      </c>
      <c r="P22" s="151">
        <f t="shared" si="23"/>
        <v>5884574</v>
      </c>
      <c r="Q22" s="40">
        <f t="shared" si="8"/>
        <v>0</v>
      </c>
      <c r="R22" s="148">
        <f t="shared" si="24"/>
        <v>20125650</v>
      </c>
      <c r="S22" s="40">
        <f t="shared" si="9"/>
        <v>0</v>
      </c>
      <c r="T22" s="148">
        <v>0</v>
      </c>
      <c r="U22" s="152"/>
      <c r="V22" s="148">
        <f t="shared" si="25"/>
        <v>8019358</v>
      </c>
      <c r="W22" s="40">
        <f t="shared" si="10"/>
        <v>0</v>
      </c>
      <c r="X22" s="20">
        <f t="shared" si="11"/>
        <v>0</v>
      </c>
      <c r="Y22" s="153">
        <f t="shared" si="12"/>
        <v>0</v>
      </c>
      <c r="Z22" s="3">
        <f t="shared" si="13"/>
        <v>0</v>
      </c>
      <c r="AA22" s="3">
        <f t="shared" si="17"/>
        <v>0</v>
      </c>
    </row>
    <row r="23" spans="1:27" ht="16.5" thickBot="1" x14ac:dyDescent="0.3">
      <c r="A23" s="9">
        <v>44613</v>
      </c>
      <c r="B23" s="40">
        <v>0</v>
      </c>
      <c r="C23" s="147">
        <f t="shared" si="16"/>
        <v>19318</v>
      </c>
      <c r="D23" s="40">
        <f t="shared" si="3"/>
        <v>0</v>
      </c>
      <c r="E23" s="148">
        <f t="shared" si="18"/>
        <v>29741110</v>
      </c>
      <c r="F23" s="40">
        <f t="shared" si="4"/>
        <v>0</v>
      </c>
      <c r="G23" s="149">
        <f t="shared" si="19"/>
        <v>94898627</v>
      </c>
      <c r="H23" s="40">
        <f t="shared" si="5"/>
        <v>0</v>
      </c>
      <c r="I23" s="150">
        <f t="shared" si="6"/>
        <v>0</v>
      </c>
      <c r="J23" s="148">
        <f t="shared" si="20"/>
        <v>9422641</v>
      </c>
      <c r="K23" s="40">
        <f t="shared" si="14"/>
        <v>0</v>
      </c>
      <c r="L23" s="151">
        <f t="shared" si="21"/>
        <v>9428489</v>
      </c>
      <c r="M23" s="40">
        <f t="shared" si="7"/>
        <v>0</v>
      </c>
      <c r="N23" s="148">
        <f t="shared" si="22"/>
        <v>6310592</v>
      </c>
      <c r="O23" s="40">
        <f t="shared" si="15"/>
        <v>0</v>
      </c>
      <c r="P23" s="151">
        <f t="shared" si="23"/>
        <v>5884574</v>
      </c>
      <c r="Q23" s="40">
        <f t="shared" si="8"/>
        <v>0</v>
      </c>
      <c r="R23" s="148">
        <f t="shared" si="24"/>
        <v>20125650</v>
      </c>
      <c r="S23" s="40">
        <f t="shared" si="9"/>
        <v>0</v>
      </c>
      <c r="T23" s="148">
        <v>0</v>
      </c>
      <c r="U23" s="152"/>
      <c r="V23" s="148">
        <f t="shared" si="25"/>
        <v>8019358</v>
      </c>
      <c r="W23" s="40">
        <f t="shared" si="10"/>
        <v>0</v>
      </c>
      <c r="X23" s="20">
        <f t="shared" si="11"/>
        <v>0</v>
      </c>
      <c r="Y23" s="153">
        <f t="shared" si="12"/>
        <v>0</v>
      </c>
      <c r="Z23" s="3">
        <f t="shared" si="13"/>
        <v>0</v>
      </c>
      <c r="AA23" s="3">
        <f t="shared" si="17"/>
        <v>0</v>
      </c>
    </row>
    <row r="24" spans="1:27" ht="16.5" thickBot="1" x14ac:dyDescent="0.3">
      <c r="A24" s="9">
        <v>44614</v>
      </c>
      <c r="B24" s="40">
        <v>0</v>
      </c>
      <c r="C24" s="147">
        <f t="shared" si="16"/>
        <v>19318</v>
      </c>
      <c r="D24" s="40">
        <f t="shared" si="3"/>
        <v>0</v>
      </c>
      <c r="E24" s="148">
        <f t="shared" si="18"/>
        <v>29741110</v>
      </c>
      <c r="F24" s="40">
        <f t="shared" si="4"/>
        <v>0</v>
      </c>
      <c r="G24" s="149">
        <f t="shared" si="19"/>
        <v>94898627</v>
      </c>
      <c r="H24" s="40">
        <f t="shared" si="5"/>
        <v>0</v>
      </c>
      <c r="I24" s="150">
        <f t="shared" si="6"/>
        <v>0</v>
      </c>
      <c r="J24" s="148">
        <f t="shared" si="20"/>
        <v>9422641</v>
      </c>
      <c r="K24" s="40">
        <f t="shared" si="14"/>
        <v>0</v>
      </c>
      <c r="L24" s="151">
        <f t="shared" si="21"/>
        <v>9428489</v>
      </c>
      <c r="M24" s="40">
        <f t="shared" si="7"/>
        <v>0</v>
      </c>
      <c r="N24" s="148">
        <f t="shared" si="22"/>
        <v>6310592</v>
      </c>
      <c r="O24" s="40">
        <f t="shared" si="15"/>
        <v>0</v>
      </c>
      <c r="P24" s="151">
        <f t="shared" si="23"/>
        <v>5884574</v>
      </c>
      <c r="Q24" s="40">
        <f t="shared" si="8"/>
        <v>0</v>
      </c>
      <c r="R24" s="148">
        <f t="shared" si="24"/>
        <v>20125650</v>
      </c>
      <c r="S24" s="40">
        <f t="shared" si="9"/>
        <v>0</v>
      </c>
      <c r="T24" s="148">
        <v>0</v>
      </c>
      <c r="U24" s="152"/>
      <c r="V24" s="148">
        <f t="shared" si="25"/>
        <v>8019358</v>
      </c>
      <c r="W24" s="40">
        <f t="shared" si="10"/>
        <v>0</v>
      </c>
      <c r="X24" s="20">
        <f t="shared" si="11"/>
        <v>0</v>
      </c>
      <c r="Y24" s="153">
        <f t="shared" si="12"/>
        <v>0</v>
      </c>
      <c r="Z24" s="3">
        <f t="shared" si="13"/>
        <v>0</v>
      </c>
      <c r="AA24" s="3">
        <f t="shared" si="17"/>
        <v>0</v>
      </c>
    </row>
    <row r="25" spans="1:27" ht="16.5" thickBot="1" x14ac:dyDescent="0.3">
      <c r="A25" s="9">
        <v>44615</v>
      </c>
      <c r="B25" s="40">
        <v>0</v>
      </c>
      <c r="C25" s="147">
        <f t="shared" si="16"/>
        <v>19318</v>
      </c>
      <c r="D25" s="40">
        <f t="shared" si="3"/>
        <v>0</v>
      </c>
      <c r="E25" s="148">
        <f t="shared" si="18"/>
        <v>29741110</v>
      </c>
      <c r="F25" s="40">
        <f t="shared" si="4"/>
        <v>0</v>
      </c>
      <c r="G25" s="149">
        <f t="shared" si="19"/>
        <v>94898627</v>
      </c>
      <c r="H25" s="40">
        <f t="shared" si="5"/>
        <v>0</v>
      </c>
      <c r="I25" s="150">
        <f t="shared" si="6"/>
        <v>0</v>
      </c>
      <c r="J25" s="148">
        <f t="shared" si="20"/>
        <v>9422641</v>
      </c>
      <c r="K25" s="40">
        <f t="shared" si="14"/>
        <v>0</v>
      </c>
      <c r="L25" s="151">
        <f t="shared" si="21"/>
        <v>9428489</v>
      </c>
      <c r="M25" s="40">
        <f t="shared" si="7"/>
        <v>0</v>
      </c>
      <c r="N25" s="148">
        <f t="shared" si="22"/>
        <v>6310592</v>
      </c>
      <c r="O25" s="40">
        <f t="shared" si="15"/>
        <v>0</v>
      </c>
      <c r="P25" s="151">
        <f t="shared" si="23"/>
        <v>5884574</v>
      </c>
      <c r="Q25" s="40">
        <f t="shared" si="8"/>
        <v>0</v>
      </c>
      <c r="R25" s="148">
        <f t="shared" si="24"/>
        <v>20125650</v>
      </c>
      <c r="S25" s="40">
        <f t="shared" si="9"/>
        <v>0</v>
      </c>
      <c r="T25" s="148">
        <v>0</v>
      </c>
      <c r="U25" s="152"/>
      <c r="V25" s="148">
        <f t="shared" si="25"/>
        <v>8019358</v>
      </c>
      <c r="W25" s="40">
        <f t="shared" si="10"/>
        <v>0</v>
      </c>
      <c r="X25" s="20">
        <f t="shared" si="11"/>
        <v>0</v>
      </c>
      <c r="Y25" s="153">
        <f t="shared" si="12"/>
        <v>0</v>
      </c>
      <c r="Z25" s="3">
        <f t="shared" si="13"/>
        <v>0</v>
      </c>
      <c r="AA25" s="3">
        <f t="shared" si="17"/>
        <v>0</v>
      </c>
    </row>
    <row r="26" spans="1:27" ht="16.5" thickBot="1" x14ac:dyDescent="0.3">
      <c r="A26" s="9">
        <v>44616</v>
      </c>
      <c r="B26" s="40">
        <v>0</v>
      </c>
      <c r="C26" s="147">
        <f t="shared" si="16"/>
        <v>19318</v>
      </c>
      <c r="D26" s="40">
        <f t="shared" si="3"/>
        <v>0</v>
      </c>
      <c r="E26" s="148">
        <f t="shared" si="18"/>
        <v>29741110</v>
      </c>
      <c r="F26" s="40">
        <f t="shared" si="4"/>
        <v>0</v>
      </c>
      <c r="G26" s="149">
        <f t="shared" si="19"/>
        <v>94898627</v>
      </c>
      <c r="H26" s="40">
        <f t="shared" si="5"/>
        <v>0</v>
      </c>
      <c r="I26" s="150">
        <f t="shared" si="6"/>
        <v>0</v>
      </c>
      <c r="J26" s="148">
        <f t="shared" si="20"/>
        <v>9422641</v>
      </c>
      <c r="K26" s="40">
        <f t="shared" si="14"/>
        <v>0</v>
      </c>
      <c r="L26" s="151">
        <f t="shared" si="21"/>
        <v>9428489</v>
      </c>
      <c r="M26" s="40">
        <f t="shared" si="7"/>
        <v>0</v>
      </c>
      <c r="N26" s="148">
        <f t="shared" si="22"/>
        <v>6310592</v>
      </c>
      <c r="O26" s="40">
        <f t="shared" si="15"/>
        <v>0</v>
      </c>
      <c r="P26" s="151">
        <f t="shared" si="23"/>
        <v>5884574</v>
      </c>
      <c r="Q26" s="40">
        <f t="shared" si="8"/>
        <v>0</v>
      </c>
      <c r="R26" s="148">
        <f t="shared" si="24"/>
        <v>20125650</v>
      </c>
      <c r="S26" s="40">
        <f t="shared" si="9"/>
        <v>0</v>
      </c>
      <c r="T26" s="148">
        <v>0</v>
      </c>
      <c r="U26" s="152"/>
      <c r="V26" s="148">
        <f t="shared" si="25"/>
        <v>8019358</v>
      </c>
      <c r="W26" s="40">
        <f t="shared" si="10"/>
        <v>0</v>
      </c>
      <c r="X26" s="20">
        <f t="shared" si="11"/>
        <v>0</v>
      </c>
      <c r="Y26" s="153">
        <f t="shared" si="12"/>
        <v>0</v>
      </c>
      <c r="Z26" s="3">
        <f t="shared" si="13"/>
        <v>0</v>
      </c>
      <c r="AA26" s="3">
        <f t="shared" si="17"/>
        <v>0</v>
      </c>
    </row>
    <row r="27" spans="1:27" ht="16.5" thickBot="1" x14ac:dyDescent="0.3">
      <c r="A27" s="9">
        <v>44617</v>
      </c>
      <c r="B27" s="40">
        <v>0</v>
      </c>
      <c r="C27" s="147">
        <f t="shared" si="16"/>
        <v>19318</v>
      </c>
      <c r="D27" s="40">
        <f t="shared" si="3"/>
        <v>0</v>
      </c>
      <c r="E27" s="148">
        <f t="shared" si="18"/>
        <v>29741110</v>
      </c>
      <c r="F27" s="40">
        <f t="shared" si="4"/>
        <v>0</v>
      </c>
      <c r="G27" s="149">
        <f t="shared" si="19"/>
        <v>94898627</v>
      </c>
      <c r="H27" s="40">
        <f t="shared" si="5"/>
        <v>0</v>
      </c>
      <c r="I27" s="150">
        <f t="shared" si="6"/>
        <v>0</v>
      </c>
      <c r="J27" s="148">
        <f t="shared" si="20"/>
        <v>9422641</v>
      </c>
      <c r="K27" s="40">
        <f t="shared" si="14"/>
        <v>0</v>
      </c>
      <c r="L27" s="151">
        <f t="shared" si="21"/>
        <v>9428489</v>
      </c>
      <c r="M27" s="40">
        <f t="shared" si="7"/>
        <v>0</v>
      </c>
      <c r="N27" s="148">
        <f t="shared" si="22"/>
        <v>6310592</v>
      </c>
      <c r="O27" s="40">
        <f t="shared" si="15"/>
        <v>0</v>
      </c>
      <c r="P27" s="151">
        <f t="shared" si="23"/>
        <v>5884574</v>
      </c>
      <c r="Q27" s="40">
        <f t="shared" si="8"/>
        <v>0</v>
      </c>
      <c r="R27" s="148">
        <f t="shared" si="24"/>
        <v>20125650</v>
      </c>
      <c r="S27" s="40">
        <f t="shared" si="9"/>
        <v>0</v>
      </c>
      <c r="T27" s="148">
        <v>0</v>
      </c>
      <c r="U27" s="152"/>
      <c r="V27" s="148">
        <f t="shared" si="25"/>
        <v>8019358</v>
      </c>
      <c r="W27" s="40">
        <f t="shared" si="10"/>
        <v>0</v>
      </c>
      <c r="X27" s="20">
        <f t="shared" si="11"/>
        <v>0</v>
      </c>
      <c r="Y27" s="153">
        <f t="shared" si="12"/>
        <v>0</v>
      </c>
      <c r="Z27" s="3">
        <f t="shared" si="13"/>
        <v>0</v>
      </c>
      <c r="AA27" s="3">
        <f t="shared" si="17"/>
        <v>0</v>
      </c>
    </row>
    <row r="28" spans="1:27" ht="16.5" thickBot="1" x14ac:dyDescent="0.3">
      <c r="A28" s="9">
        <v>44618</v>
      </c>
      <c r="B28" s="40">
        <v>0</v>
      </c>
      <c r="C28" s="147">
        <f t="shared" si="16"/>
        <v>19318</v>
      </c>
      <c r="D28" s="40">
        <f t="shared" si="3"/>
        <v>0</v>
      </c>
      <c r="E28" s="148">
        <f t="shared" si="18"/>
        <v>29741110</v>
      </c>
      <c r="F28" s="40">
        <f t="shared" si="4"/>
        <v>0</v>
      </c>
      <c r="G28" s="149">
        <f t="shared" si="19"/>
        <v>94898627</v>
      </c>
      <c r="H28" s="40">
        <f t="shared" si="5"/>
        <v>0</v>
      </c>
      <c r="I28" s="150">
        <f t="shared" si="6"/>
        <v>0</v>
      </c>
      <c r="J28" s="148">
        <f t="shared" si="20"/>
        <v>9422641</v>
      </c>
      <c r="K28" s="40">
        <f t="shared" si="14"/>
        <v>0</v>
      </c>
      <c r="L28" s="151">
        <f t="shared" si="21"/>
        <v>9428489</v>
      </c>
      <c r="M28" s="40">
        <f t="shared" si="7"/>
        <v>0</v>
      </c>
      <c r="N28" s="148">
        <f t="shared" si="22"/>
        <v>6310592</v>
      </c>
      <c r="O28" s="40">
        <f t="shared" si="15"/>
        <v>0</v>
      </c>
      <c r="P28" s="151">
        <f t="shared" si="23"/>
        <v>5884574</v>
      </c>
      <c r="Q28" s="40">
        <f t="shared" si="8"/>
        <v>0</v>
      </c>
      <c r="R28" s="148">
        <f t="shared" si="24"/>
        <v>20125650</v>
      </c>
      <c r="S28" s="40">
        <f t="shared" si="9"/>
        <v>0</v>
      </c>
      <c r="T28" s="148">
        <v>0</v>
      </c>
      <c r="U28" s="152"/>
      <c r="V28" s="148">
        <f t="shared" si="25"/>
        <v>8019358</v>
      </c>
      <c r="W28" s="40">
        <f t="shared" si="10"/>
        <v>0</v>
      </c>
      <c r="X28" s="20">
        <f t="shared" si="11"/>
        <v>0</v>
      </c>
      <c r="Y28" s="153">
        <f t="shared" si="12"/>
        <v>0</v>
      </c>
      <c r="Z28" s="3">
        <f t="shared" si="13"/>
        <v>0</v>
      </c>
      <c r="AA28" s="3">
        <f t="shared" si="17"/>
        <v>0</v>
      </c>
    </row>
    <row r="29" spans="1:27" ht="16.5" thickBot="1" x14ac:dyDescent="0.3">
      <c r="A29" s="9">
        <v>44619</v>
      </c>
      <c r="B29" s="40">
        <v>0</v>
      </c>
      <c r="C29" s="147">
        <f t="shared" si="16"/>
        <v>19318</v>
      </c>
      <c r="D29" s="40">
        <f t="shared" si="3"/>
        <v>0</v>
      </c>
      <c r="E29" s="148">
        <f t="shared" si="18"/>
        <v>29741110</v>
      </c>
      <c r="F29" s="40">
        <f t="shared" si="4"/>
        <v>0</v>
      </c>
      <c r="G29" s="149">
        <f t="shared" si="19"/>
        <v>94898627</v>
      </c>
      <c r="H29" s="40">
        <f t="shared" si="5"/>
        <v>0</v>
      </c>
      <c r="I29" s="150">
        <f t="shared" si="6"/>
        <v>0</v>
      </c>
      <c r="J29" s="148">
        <f t="shared" si="20"/>
        <v>9422641</v>
      </c>
      <c r="K29" s="40">
        <f t="shared" si="14"/>
        <v>0</v>
      </c>
      <c r="L29" s="151">
        <f t="shared" si="21"/>
        <v>9428489</v>
      </c>
      <c r="M29" s="40">
        <f t="shared" si="7"/>
        <v>0</v>
      </c>
      <c r="N29" s="148">
        <f t="shared" si="22"/>
        <v>6310592</v>
      </c>
      <c r="O29" s="40">
        <f t="shared" si="15"/>
        <v>0</v>
      </c>
      <c r="P29" s="151">
        <f t="shared" si="23"/>
        <v>5884574</v>
      </c>
      <c r="Q29" s="40">
        <f t="shared" si="8"/>
        <v>0</v>
      </c>
      <c r="R29" s="148">
        <f t="shared" si="24"/>
        <v>20125650</v>
      </c>
      <c r="S29" s="40">
        <f t="shared" si="9"/>
        <v>0</v>
      </c>
      <c r="T29" s="148">
        <v>0</v>
      </c>
      <c r="U29" s="152"/>
      <c r="V29" s="148">
        <f t="shared" si="25"/>
        <v>8019358</v>
      </c>
      <c r="W29" s="40">
        <f t="shared" si="10"/>
        <v>0</v>
      </c>
      <c r="X29" s="20">
        <f t="shared" si="11"/>
        <v>0</v>
      </c>
      <c r="Y29" s="153">
        <f t="shared" si="12"/>
        <v>0</v>
      </c>
      <c r="Z29" s="3">
        <f t="shared" si="13"/>
        <v>0</v>
      </c>
      <c r="AA29" s="3">
        <f t="shared" si="17"/>
        <v>0</v>
      </c>
    </row>
    <row r="30" spans="1:27" ht="16.5" thickBot="1" x14ac:dyDescent="0.3">
      <c r="A30" s="9">
        <v>44620</v>
      </c>
      <c r="B30" s="40">
        <v>0</v>
      </c>
      <c r="C30" s="147">
        <f t="shared" si="16"/>
        <v>19318</v>
      </c>
      <c r="D30" s="40">
        <f t="shared" si="3"/>
        <v>0</v>
      </c>
      <c r="E30" s="148">
        <f t="shared" si="18"/>
        <v>29741110</v>
      </c>
      <c r="F30" s="40">
        <f t="shared" si="4"/>
        <v>0</v>
      </c>
      <c r="G30" s="149">
        <f t="shared" si="19"/>
        <v>94898627</v>
      </c>
      <c r="H30" s="40">
        <f t="shared" si="5"/>
        <v>0</v>
      </c>
      <c r="I30" s="150">
        <f t="shared" si="6"/>
        <v>0</v>
      </c>
      <c r="J30" s="148">
        <f t="shared" si="20"/>
        <v>9422641</v>
      </c>
      <c r="K30" s="40">
        <f t="shared" si="14"/>
        <v>0</v>
      </c>
      <c r="L30" s="151">
        <f t="shared" si="21"/>
        <v>9428489</v>
      </c>
      <c r="M30" s="40">
        <f t="shared" si="7"/>
        <v>0</v>
      </c>
      <c r="N30" s="148">
        <f t="shared" si="22"/>
        <v>6310592</v>
      </c>
      <c r="O30" s="40">
        <f t="shared" si="15"/>
        <v>0</v>
      </c>
      <c r="P30" s="151">
        <f t="shared" si="23"/>
        <v>5884574</v>
      </c>
      <c r="Q30" s="40">
        <f t="shared" si="8"/>
        <v>0</v>
      </c>
      <c r="R30" s="148">
        <f t="shared" si="24"/>
        <v>20125650</v>
      </c>
      <c r="S30" s="40">
        <f t="shared" si="9"/>
        <v>0</v>
      </c>
      <c r="T30" s="148">
        <v>0</v>
      </c>
      <c r="U30" s="152"/>
      <c r="V30" s="148">
        <f t="shared" si="25"/>
        <v>8019358</v>
      </c>
      <c r="W30" s="40">
        <f t="shared" si="10"/>
        <v>0</v>
      </c>
      <c r="X30" s="20">
        <f t="shared" si="11"/>
        <v>0</v>
      </c>
      <c r="Y30" s="153">
        <f t="shared" si="12"/>
        <v>0</v>
      </c>
      <c r="Z30" s="3">
        <f t="shared" si="13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9">
        <f>SUM(B3:B30)</f>
        <v>1718</v>
      </c>
      <c r="C31" s="139"/>
      <c r="D31" s="139">
        <f>SUM(D3:D30)</f>
        <v>320</v>
      </c>
      <c r="E31" s="57">
        <v>0</v>
      </c>
      <c r="F31" s="57">
        <f>SUM(F3:F30)</f>
        <v>71779</v>
      </c>
      <c r="G31" s="57">
        <v>0</v>
      </c>
      <c r="H31" s="57">
        <f>SUM(H3:H30)</f>
        <v>298995</v>
      </c>
      <c r="I31" s="57">
        <f>SUM(I6:I30)</f>
        <v>244050</v>
      </c>
      <c r="J31" s="57">
        <v>0</v>
      </c>
      <c r="K31" s="57">
        <f>SUM(K3:K30)</f>
        <v>73278</v>
      </c>
      <c r="L31" s="57">
        <v>0</v>
      </c>
      <c r="M31" s="57">
        <f>SUM(M3:M30)</f>
        <v>33946</v>
      </c>
      <c r="N31" s="57">
        <v>0</v>
      </c>
      <c r="O31" s="57">
        <f>SUM(O3:O30)</f>
        <v>36774</v>
      </c>
      <c r="P31" s="57">
        <v>0</v>
      </c>
      <c r="Q31" s="57">
        <f>SUM(Q3:Q30)</f>
        <v>24029</v>
      </c>
      <c r="R31" s="57">
        <v>0</v>
      </c>
      <c r="S31" s="57">
        <f>SUM(S3:S30)</f>
        <v>75718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77106</v>
      </c>
      <c r="X31" s="57">
        <f>SUM(X6:X30)</f>
        <v>210733</v>
      </c>
      <c r="Y31" s="57">
        <f>SUM(Y3:Y30)</f>
        <v>49923</v>
      </c>
      <c r="Z31" s="57">
        <f>SUM(Z3:Z30)</f>
        <v>45895.036428799998</v>
      </c>
      <c r="AA31" s="57">
        <f>SUM(AA3:AA30)</f>
        <v>178612.32288639998</v>
      </c>
    </row>
    <row r="34" spans="1:27" x14ac:dyDescent="0.25">
      <c r="D34" s="167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K10" sqref="K10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44592</v>
      </c>
      <c r="B2" s="3">
        <v>438386</v>
      </c>
      <c r="C2" s="40"/>
      <c r="D2" s="3">
        <v>2852</v>
      </c>
      <c r="E2" s="40"/>
      <c r="F2" s="3">
        <v>7674600</v>
      </c>
      <c r="G2" s="40"/>
      <c r="H2" s="3">
        <v>771836</v>
      </c>
      <c r="I2" s="45"/>
      <c r="J2" s="20">
        <f t="shared" ref="J2" si="0">C2+E2+G2+I2</f>
        <v>0</v>
      </c>
      <c r="K2" s="21">
        <f t="shared" ref="K2" si="1">J2*5.86</f>
        <v>0</v>
      </c>
    </row>
    <row r="3" spans="1:14" ht="16.5" thickBot="1" x14ac:dyDescent="0.3">
      <c r="A3" s="9">
        <v>44593</v>
      </c>
      <c r="B3" s="3">
        <v>438470</v>
      </c>
      <c r="C3" s="40">
        <f t="shared" ref="C3:C8" si="2">(IF((B3-B2)&lt;0,"0",(B3-B2)))*10</f>
        <v>840</v>
      </c>
      <c r="D3" s="3">
        <v>2901</v>
      </c>
      <c r="E3" s="40">
        <f>(D3-D2)*10</f>
        <v>490</v>
      </c>
      <c r="F3" s="3">
        <v>7683400</v>
      </c>
      <c r="G3" s="40">
        <f>(IF((F3-F2)&lt;0,"0",(F3-F2)))*0.027</f>
        <v>237.6</v>
      </c>
      <c r="H3" s="3">
        <v>772041</v>
      </c>
      <c r="I3" s="45">
        <f>(IF((H3-H2)&lt;0,"0",(H3-H2)))*0.027</f>
        <v>5.5350000000000001</v>
      </c>
      <c r="J3" s="20">
        <f>C3+E3+G3+I3</f>
        <v>1573.135</v>
      </c>
      <c r="K3" s="21">
        <f>J3*5.86</f>
        <v>9218.571100000001</v>
      </c>
    </row>
    <row r="4" spans="1:14" ht="16.5" thickBot="1" x14ac:dyDescent="0.3">
      <c r="A4" s="9">
        <v>44594</v>
      </c>
      <c r="B4" s="3">
        <v>438551</v>
      </c>
      <c r="C4" s="40">
        <f t="shared" si="2"/>
        <v>810</v>
      </c>
      <c r="D4" s="3">
        <v>2951</v>
      </c>
      <c r="E4" s="40">
        <f t="shared" ref="E4:E30" si="3">(D4-D3)*10</f>
        <v>500</v>
      </c>
      <c r="F4" s="3">
        <v>7692700</v>
      </c>
      <c r="G4" s="40">
        <f>(IF((F4-F3)&lt;0,"0",(F4-F3)))*0.027</f>
        <v>251.1</v>
      </c>
      <c r="H4" s="3">
        <v>772251</v>
      </c>
      <c r="I4" s="45">
        <f>(IF((H4-H3)&lt;0,"0",(H4-H3)))*0.027</f>
        <v>5.67</v>
      </c>
      <c r="J4" s="20">
        <f t="shared" ref="J4:J30" si="4">C4+E4+G4+I4</f>
        <v>1566.77</v>
      </c>
      <c r="K4" s="21">
        <f t="shared" ref="K4:K30" si="5">J4*5.86</f>
        <v>9181.2722000000012</v>
      </c>
    </row>
    <row r="5" spans="1:14" ht="16.5" thickBot="1" x14ac:dyDescent="0.3">
      <c r="A5" s="9">
        <v>44595</v>
      </c>
      <c r="B5" s="3">
        <v>438632</v>
      </c>
      <c r="C5" s="40">
        <f t="shared" si="2"/>
        <v>810</v>
      </c>
      <c r="D5" s="3">
        <v>3001</v>
      </c>
      <c r="E5" s="40">
        <f t="shared" si="3"/>
        <v>500</v>
      </c>
      <c r="F5" s="3">
        <v>7702000</v>
      </c>
      <c r="G5" s="40">
        <f t="shared" ref="G5:G30" si="6">(IF((F5-F4)&lt;0,"0",(F5-F4)))*0.027</f>
        <v>251.1</v>
      </c>
      <c r="H5" s="3">
        <v>772461</v>
      </c>
      <c r="I5" s="45">
        <f t="shared" ref="I5:I30" si="7">(IF((H5-H4)&lt;0,"0",(H5-H4)))*0.027</f>
        <v>5.67</v>
      </c>
      <c r="J5" s="20">
        <f t="shared" si="4"/>
        <v>1566.77</v>
      </c>
      <c r="K5" s="21">
        <f t="shared" si="5"/>
        <v>9181.2722000000012</v>
      </c>
    </row>
    <row r="6" spans="1:14" ht="16.5" thickBot="1" x14ac:dyDescent="0.3">
      <c r="A6" s="9">
        <v>44596</v>
      </c>
      <c r="B6" s="3">
        <v>438706</v>
      </c>
      <c r="C6" s="40">
        <f t="shared" si="2"/>
        <v>740</v>
      </c>
      <c r="D6" s="3">
        <v>3047</v>
      </c>
      <c r="E6" s="40">
        <f t="shared" si="3"/>
        <v>460</v>
      </c>
      <c r="F6" s="3">
        <v>7709800</v>
      </c>
      <c r="G6" s="40">
        <f t="shared" si="6"/>
        <v>210.6</v>
      </c>
      <c r="H6" s="3">
        <v>772644</v>
      </c>
      <c r="I6" s="45">
        <f t="shared" si="7"/>
        <v>4.9409999999999998</v>
      </c>
      <c r="J6" s="20">
        <f t="shared" si="4"/>
        <v>1415.5409999999999</v>
      </c>
      <c r="K6" s="21">
        <f t="shared" si="5"/>
        <v>8295.0702600000004</v>
      </c>
    </row>
    <row r="7" spans="1:14" ht="16.5" thickBot="1" x14ac:dyDescent="0.3">
      <c r="A7" s="9">
        <v>44597</v>
      </c>
      <c r="B7" s="3">
        <v>438790</v>
      </c>
      <c r="C7" s="40">
        <f t="shared" si="2"/>
        <v>840</v>
      </c>
      <c r="D7" s="3">
        <v>3094</v>
      </c>
      <c r="E7" s="40">
        <f t="shared" si="3"/>
        <v>470</v>
      </c>
      <c r="F7" s="3">
        <v>7717300</v>
      </c>
      <c r="G7" s="40">
        <f t="shared" si="6"/>
        <v>202.5</v>
      </c>
      <c r="H7" s="3">
        <v>772851</v>
      </c>
      <c r="I7" s="45">
        <f t="shared" si="7"/>
        <v>5.5889999999999995</v>
      </c>
      <c r="J7" s="20">
        <f t="shared" si="4"/>
        <v>1518.0889999999999</v>
      </c>
      <c r="K7" s="21">
        <f t="shared" si="5"/>
        <v>8896.0015399999993</v>
      </c>
      <c r="L7" t="s">
        <v>12</v>
      </c>
      <c r="N7" t="s">
        <v>12</v>
      </c>
    </row>
    <row r="8" spans="1:14" ht="16.5" thickBot="1" x14ac:dyDescent="0.3">
      <c r="A8" s="9">
        <v>44598</v>
      </c>
      <c r="B8" s="3">
        <v>438874</v>
      </c>
      <c r="C8" s="40">
        <f t="shared" si="2"/>
        <v>840</v>
      </c>
      <c r="D8" s="3">
        <v>3146</v>
      </c>
      <c r="E8" s="40">
        <f t="shared" si="3"/>
        <v>520</v>
      </c>
      <c r="F8" s="3">
        <v>7725000</v>
      </c>
      <c r="G8" s="40">
        <f t="shared" si="6"/>
        <v>207.9</v>
      </c>
      <c r="H8" s="3">
        <v>773084</v>
      </c>
      <c r="I8" s="45">
        <f t="shared" si="7"/>
        <v>6.2910000000000004</v>
      </c>
      <c r="J8" s="20">
        <f t="shared" si="4"/>
        <v>1574.191</v>
      </c>
      <c r="K8" s="21">
        <f t="shared" si="5"/>
        <v>9224.7592600000007</v>
      </c>
    </row>
    <row r="9" spans="1:14" ht="16.5" thickBot="1" x14ac:dyDescent="0.3">
      <c r="A9" s="9">
        <v>44599</v>
      </c>
      <c r="B9" s="3">
        <v>438954</v>
      </c>
      <c r="C9" s="40">
        <f t="shared" ref="C9:C30" si="8">(IF((B9-B8)&lt;0,"0",(B9-B8)))*10</f>
        <v>800</v>
      </c>
      <c r="D9" s="3">
        <v>3190</v>
      </c>
      <c r="E9" s="40">
        <f t="shared" si="3"/>
        <v>440</v>
      </c>
      <c r="F9" s="3">
        <v>7734100</v>
      </c>
      <c r="G9" s="40">
        <f t="shared" si="6"/>
        <v>245.7</v>
      </c>
      <c r="H9" s="3">
        <v>773294</v>
      </c>
      <c r="I9" s="45">
        <f t="shared" si="7"/>
        <v>5.67</v>
      </c>
      <c r="J9" s="20">
        <f t="shared" si="4"/>
        <v>1491.3700000000001</v>
      </c>
      <c r="K9" s="21">
        <f t="shared" si="5"/>
        <v>8739.4282000000003</v>
      </c>
    </row>
    <row r="10" spans="1:14" ht="16.5" thickBot="1" x14ac:dyDescent="0.3">
      <c r="A10" s="9">
        <v>44600</v>
      </c>
      <c r="B10" s="3">
        <v>439043</v>
      </c>
      <c r="C10" s="40">
        <f>(IF((B10-B9)&lt;0,"0",(B10-B9)))*10</f>
        <v>890</v>
      </c>
      <c r="D10" s="3">
        <v>3237</v>
      </c>
      <c r="E10" s="40">
        <f t="shared" si="3"/>
        <v>470</v>
      </c>
      <c r="F10" s="3">
        <v>7746400</v>
      </c>
      <c r="G10" s="40">
        <f t="shared" si="6"/>
        <v>332.1</v>
      </c>
      <c r="H10" s="3">
        <v>773519</v>
      </c>
      <c r="I10" s="45">
        <f t="shared" si="7"/>
        <v>6.0750000000000002</v>
      </c>
      <c r="J10" s="20">
        <f t="shared" si="4"/>
        <v>1698.175</v>
      </c>
      <c r="K10" s="21">
        <f t="shared" si="5"/>
        <v>9951.3055000000004</v>
      </c>
    </row>
    <row r="11" spans="1:14" ht="16.5" thickBot="1" x14ac:dyDescent="0.3">
      <c r="A11" s="9">
        <v>44601</v>
      </c>
      <c r="B11" s="3">
        <f t="shared" ref="B10:B30" si="9">B10</f>
        <v>439043</v>
      </c>
      <c r="C11" s="40">
        <f t="shared" si="8"/>
        <v>0</v>
      </c>
      <c r="D11" s="3">
        <f t="shared" ref="D10:D30" si="10">D10</f>
        <v>3237</v>
      </c>
      <c r="E11" s="40">
        <f t="shared" si="3"/>
        <v>0</v>
      </c>
      <c r="F11" s="3">
        <f t="shared" ref="F10:F30" si="11">F10</f>
        <v>7746400</v>
      </c>
      <c r="G11" s="40">
        <f t="shared" si="6"/>
        <v>0</v>
      </c>
      <c r="H11" s="3">
        <f t="shared" ref="H10:H30" si="12">H10</f>
        <v>773519</v>
      </c>
      <c r="I11" s="45">
        <f t="shared" si="7"/>
        <v>0</v>
      </c>
      <c r="J11" s="20">
        <f t="shared" si="4"/>
        <v>0</v>
      </c>
      <c r="K11" s="21">
        <f t="shared" si="5"/>
        <v>0</v>
      </c>
      <c r="N11" t="s">
        <v>12</v>
      </c>
    </row>
    <row r="12" spans="1:14" ht="16.5" thickBot="1" x14ac:dyDescent="0.3">
      <c r="A12" s="9">
        <v>44602</v>
      </c>
      <c r="B12" s="3">
        <f t="shared" si="9"/>
        <v>439043</v>
      </c>
      <c r="C12" s="40">
        <f t="shared" si="8"/>
        <v>0</v>
      </c>
      <c r="D12" s="3">
        <f t="shared" si="10"/>
        <v>3237</v>
      </c>
      <c r="E12" s="40">
        <f t="shared" si="3"/>
        <v>0</v>
      </c>
      <c r="F12" s="3">
        <f t="shared" si="11"/>
        <v>7746400</v>
      </c>
      <c r="G12" s="40">
        <f t="shared" si="6"/>
        <v>0</v>
      </c>
      <c r="H12" s="3">
        <f t="shared" si="12"/>
        <v>773519</v>
      </c>
      <c r="I12" s="45">
        <f t="shared" si="7"/>
        <v>0</v>
      </c>
      <c r="J12" s="20">
        <f t="shared" si="4"/>
        <v>0</v>
      </c>
      <c r="K12" s="21">
        <f t="shared" si="5"/>
        <v>0</v>
      </c>
    </row>
    <row r="13" spans="1:14" ht="16.5" thickBot="1" x14ac:dyDescent="0.3">
      <c r="A13" s="9">
        <v>44603</v>
      </c>
      <c r="B13" s="3">
        <f t="shared" si="9"/>
        <v>439043</v>
      </c>
      <c r="C13" s="40">
        <f t="shared" si="8"/>
        <v>0</v>
      </c>
      <c r="D13" s="3">
        <f t="shared" si="10"/>
        <v>3237</v>
      </c>
      <c r="E13" s="40">
        <f t="shared" si="3"/>
        <v>0</v>
      </c>
      <c r="F13" s="3">
        <f t="shared" si="11"/>
        <v>7746400</v>
      </c>
      <c r="G13" s="40">
        <f t="shared" si="6"/>
        <v>0</v>
      </c>
      <c r="H13" s="3">
        <f t="shared" si="12"/>
        <v>773519</v>
      </c>
      <c r="I13" s="45">
        <f t="shared" si="7"/>
        <v>0</v>
      </c>
      <c r="J13" s="20">
        <f t="shared" si="4"/>
        <v>0</v>
      </c>
      <c r="K13" s="21">
        <f t="shared" si="5"/>
        <v>0</v>
      </c>
    </row>
    <row r="14" spans="1:14" ht="16.5" thickBot="1" x14ac:dyDescent="0.3">
      <c r="A14" s="9">
        <v>44604</v>
      </c>
      <c r="B14" s="3">
        <f t="shared" si="9"/>
        <v>439043</v>
      </c>
      <c r="C14" s="40">
        <f t="shared" si="8"/>
        <v>0</v>
      </c>
      <c r="D14" s="3">
        <f t="shared" si="10"/>
        <v>3237</v>
      </c>
      <c r="E14" s="40">
        <f t="shared" si="3"/>
        <v>0</v>
      </c>
      <c r="F14" s="3">
        <f t="shared" si="11"/>
        <v>7746400</v>
      </c>
      <c r="G14" s="40">
        <f t="shared" si="6"/>
        <v>0</v>
      </c>
      <c r="H14" s="3">
        <f t="shared" si="12"/>
        <v>773519</v>
      </c>
      <c r="I14" s="45">
        <f t="shared" si="7"/>
        <v>0</v>
      </c>
      <c r="J14" s="20">
        <f t="shared" si="4"/>
        <v>0</v>
      </c>
      <c r="K14" s="21">
        <f t="shared" si="5"/>
        <v>0</v>
      </c>
    </row>
    <row r="15" spans="1:14" ht="16.5" thickBot="1" x14ac:dyDescent="0.3">
      <c r="A15" s="9">
        <v>44605</v>
      </c>
      <c r="B15" s="3">
        <f t="shared" si="9"/>
        <v>439043</v>
      </c>
      <c r="C15" s="40">
        <f t="shared" si="8"/>
        <v>0</v>
      </c>
      <c r="D15" s="3">
        <f t="shared" si="10"/>
        <v>3237</v>
      </c>
      <c r="E15" s="40">
        <f t="shared" si="3"/>
        <v>0</v>
      </c>
      <c r="F15" s="3">
        <f t="shared" si="11"/>
        <v>7746400</v>
      </c>
      <c r="G15" s="40">
        <f t="shared" si="6"/>
        <v>0</v>
      </c>
      <c r="H15" s="3">
        <f t="shared" si="12"/>
        <v>773519</v>
      </c>
      <c r="I15" s="45">
        <f t="shared" si="7"/>
        <v>0</v>
      </c>
      <c r="J15" s="20">
        <f t="shared" si="4"/>
        <v>0</v>
      </c>
      <c r="K15" s="21">
        <f t="shared" si="5"/>
        <v>0</v>
      </c>
    </row>
    <row r="16" spans="1:14" ht="16.5" thickBot="1" x14ac:dyDescent="0.3">
      <c r="A16" s="9">
        <v>44606</v>
      </c>
      <c r="B16" s="3">
        <f t="shared" si="9"/>
        <v>439043</v>
      </c>
      <c r="C16" s="40">
        <f t="shared" si="8"/>
        <v>0</v>
      </c>
      <c r="D16" s="3">
        <f t="shared" si="10"/>
        <v>3237</v>
      </c>
      <c r="E16" s="40">
        <f t="shared" si="3"/>
        <v>0</v>
      </c>
      <c r="F16" s="3">
        <f t="shared" si="11"/>
        <v>7746400</v>
      </c>
      <c r="G16" s="40">
        <f t="shared" si="6"/>
        <v>0</v>
      </c>
      <c r="H16" s="3">
        <f t="shared" si="12"/>
        <v>773519</v>
      </c>
      <c r="I16" s="45">
        <f t="shared" si="7"/>
        <v>0</v>
      </c>
      <c r="J16" s="20">
        <f t="shared" si="4"/>
        <v>0</v>
      </c>
      <c r="K16" s="21">
        <f t="shared" si="5"/>
        <v>0</v>
      </c>
    </row>
    <row r="17" spans="1:25" ht="16.5" thickBot="1" x14ac:dyDescent="0.3">
      <c r="A17" s="9">
        <v>44607</v>
      </c>
      <c r="B17" s="3">
        <f t="shared" si="9"/>
        <v>439043</v>
      </c>
      <c r="C17" s="40">
        <f t="shared" si="8"/>
        <v>0</v>
      </c>
      <c r="D17" s="3">
        <f t="shared" si="10"/>
        <v>3237</v>
      </c>
      <c r="E17" s="40">
        <f t="shared" si="3"/>
        <v>0</v>
      </c>
      <c r="F17" s="3">
        <f t="shared" si="11"/>
        <v>7746400</v>
      </c>
      <c r="G17" s="40">
        <f t="shared" si="6"/>
        <v>0</v>
      </c>
      <c r="H17" s="3">
        <f t="shared" si="12"/>
        <v>773519</v>
      </c>
      <c r="I17" s="45">
        <f t="shared" si="7"/>
        <v>0</v>
      </c>
      <c r="J17" s="20">
        <f t="shared" si="4"/>
        <v>0</v>
      </c>
      <c r="K17" s="21">
        <f t="shared" si="5"/>
        <v>0</v>
      </c>
      <c r="P17" t="s">
        <v>12</v>
      </c>
      <c r="R17" t="s">
        <v>12</v>
      </c>
    </row>
    <row r="18" spans="1:25" ht="16.5" thickBot="1" x14ac:dyDescent="0.3">
      <c r="A18" s="9">
        <v>44608</v>
      </c>
      <c r="B18" s="3">
        <f t="shared" si="9"/>
        <v>439043</v>
      </c>
      <c r="C18" s="40">
        <f t="shared" si="8"/>
        <v>0</v>
      </c>
      <c r="D18" s="3">
        <f t="shared" si="10"/>
        <v>3237</v>
      </c>
      <c r="E18" s="40">
        <f t="shared" si="3"/>
        <v>0</v>
      </c>
      <c r="F18" s="3">
        <f t="shared" si="11"/>
        <v>7746400</v>
      </c>
      <c r="G18" s="40">
        <f t="shared" si="6"/>
        <v>0</v>
      </c>
      <c r="H18" s="3">
        <f t="shared" si="12"/>
        <v>773519</v>
      </c>
      <c r="I18" s="45">
        <f t="shared" si="7"/>
        <v>0</v>
      </c>
      <c r="J18" s="20">
        <f t="shared" si="4"/>
        <v>0</v>
      </c>
      <c r="K18" s="21">
        <f t="shared" si="5"/>
        <v>0</v>
      </c>
      <c r="Q18" t="s">
        <v>43</v>
      </c>
    </row>
    <row r="19" spans="1:25" ht="16.5" thickBot="1" x14ac:dyDescent="0.3">
      <c r="A19" s="9">
        <v>44609</v>
      </c>
      <c r="B19" s="3">
        <f t="shared" si="9"/>
        <v>439043</v>
      </c>
      <c r="C19" s="40">
        <f t="shared" si="8"/>
        <v>0</v>
      </c>
      <c r="D19" s="3">
        <f t="shared" si="10"/>
        <v>3237</v>
      </c>
      <c r="E19" s="40">
        <f t="shared" si="3"/>
        <v>0</v>
      </c>
      <c r="F19" s="3">
        <f t="shared" si="11"/>
        <v>7746400</v>
      </c>
      <c r="G19" s="40">
        <f t="shared" si="6"/>
        <v>0</v>
      </c>
      <c r="H19" s="3">
        <f t="shared" si="12"/>
        <v>773519</v>
      </c>
      <c r="I19" s="45">
        <f t="shared" si="7"/>
        <v>0</v>
      </c>
      <c r="J19" s="20">
        <f t="shared" si="4"/>
        <v>0</v>
      </c>
      <c r="K19" s="21">
        <f t="shared" si="5"/>
        <v>0</v>
      </c>
      <c r="Q19" t="s">
        <v>12</v>
      </c>
    </row>
    <row r="20" spans="1:25" ht="16.5" thickBot="1" x14ac:dyDescent="0.3">
      <c r="A20" s="9">
        <v>44610</v>
      </c>
      <c r="B20" s="3">
        <f t="shared" si="9"/>
        <v>439043</v>
      </c>
      <c r="C20" s="40">
        <f t="shared" si="8"/>
        <v>0</v>
      </c>
      <c r="D20" s="3">
        <f t="shared" si="10"/>
        <v>3237</v>
      </c>
      <c r="E20" s="40">
        <f t="shared" si="3"/>
        <v>0</v>
      </c>
      <c r="F20" s="3">
        <f t="shared" si="11"/>
        <v>7746400</v>
      </c>
      <c r="G20" s="40">
        <f t="shared" si="6"/>
        <v>0</v>
      </c>
      <c r="H20" s="3">
        <f t="shared" si="12"/>
        <v>773519</v>
      </c>
      <c r="I20" s="45">
        <f t="shared" si="7"/>
        <v>0</v>
      </c>
      <c r="J20" s="20">
        <f t="shared" si="4"/>
        <v>0</v>
      </c>
      <c r="K20" s="21">
        <f t="shared" si="5"/>
        <v>0</v>
      </c>
    </row>
    <row r="21" spans="1:25" ht="16.5" thickBot="1" x14ac:dyDescent="0.3">
      <c r="A21" s="9">
        <v>44611</v>
      </c>
      <c r="B21" s="3">
        <f t="shared" si="9"/>
        <v>439043</v>
      </c>
      <c r="C21" s="40">
        <f t="shared" si="8"/>
        <v>0</v>
      </c>
      <c r="D21" s="3">
        <f t="shared" si="10"/>
        <v>3237</v>
      </c>
      <c r="E21" s="40">
        <f t="shared" si="3"/>
        <v>0</v>
      </c>
      <c r="F21" s="3">
        <f t="shared" si="11"/>
        <v>7746400</v>
      </c>
      <c r="G21" s="40">
        <f t="shared" si="6"/>
        <v>0</v>
      </c>
      <c r="H21" s="3">
        <f t="shared" si="12"/>
        <v>773519</v>
      </c>
      <c r="I21" s="45">
        <f t="shared" si="7"/>
        <v>0</v>
      </c>
      <c r="J21" s="20">
        <f t="shared" si="4"/>
        <v>0</v>
      </c>
      <c r="K21" s="21">
        <f t="shared" si="5"/>
        <v>0</v>
      </c>
    </row>
    <row r="22" spans="1:25" ht="16.5" thickBot="1" x14ac:dyDescent="0.3">
      <c r="A22" s="9">
        <v>44612</v>
      </c>
      <c r="B22" s="3">
        <f t="shared" si="9"/>
        <v>439043</v>
      </c>
      <c r="C22" s="40">
        <f t="shared" si="8"/>
        <v>0</v>
      </c>
      <c r="D22" s="3">
        <f t="shared" si="10"/>
        <v>3237</v>
      </c>
      <c r="E22" s="40">
        <f t="shared" si="3"/>
        <v>0</v>
      </c>
      <c r="F22" s="3">
        <f t="shared" si="11"/>
        <v>7746400</v>
      </c>
      <c r="G22" s="40">
        <f t="shared" si="6"/>
        <v>0</v>
      </c>
      <c r="H22" s="3">
        <f t="shared" si="12"/>
        <v>773519</v>
      </c>
      <c r="I22" s="45">
        <f t="shared" si="7"/>
        <v>0</v>
      </c>
      <c r="J22" s="20">
        <f t="shared" si="4"/>
        <v>0</v>
      </c>
      <c r="K22" s="21">
        <f t="shared" si="5"/>
        <v>0</v>
      </c>
      <c r="P22" t="s">
        <v>12</v>
      </c>
      <c r="S22" s="27" t="s">
        <v>12</v>
      </c>
    </row>
    <row r="23" spans="1:25" ht="16.5" thickBot="1" x14ac:dyDescent="0.3">
      <c r="A23" s="9">
        <v>44613</v>
      </c>
      <c r="B23" s="3">
        <f t="shared" si="9"/>
        <v>439043</v>
      </c>
      <c r="C23" s="40">
        <f t="shared" si="8"/>
        <v>0</v>
      </c>
      <c r="D23" s="3">
        <f t="shared" si="10"/>
        <v>3237</v>
      </c>
      <c r="E23" s="40">
        <f t="shared" si="3"/>
        <v>0</v>
      </c>
      <c r="F23" s="3">
        <f t="shared" si="11"/>
        <v>7746400</v>
      </c>
      <c r="G23" s="40">
        <f t="shared" si="6"/>
        <v>0</v>
      </c>
      <c r="H23" s="3">
        <f t="shared" si="12"/>
        <v>773519</v>
      </c>
      <c r="I23" s="45">
        <f t="shared" si="7"/>
        <v>0</v>
      </c>
      <c r="J23" s="20">
        <f t="shared" si="4"/>
        <v>0</v>
      </c>
      <c r="K23" s="21">
        <f t="shared" si="5"/>
        <v>0</v>
      </c>
      <c r="Q23" t="s">
        <v>12</v>
      </c>
    </row>
    <row r="24" spans="1:25" ht="16.5" thickBot="1" x14ac:dyDescent="0.3">
      <c r="A24" s="9">
        <v>44614</v>
      </c>
      <c r="B24" s="3">
        <f t="shared" si="9"/>
        <v>439043</v>
      </c>
      <c r="C24" s="40">
        <f t="shared" si="8"/>
        <v>0</v>
      </c>
      <c r="D24" s="3">
        <f t="shared" si="10"/>
        <v>3237</v>
      </c>
      <c r="E24" s="40">
        <f t="shared" si="3"/>
        <v>0</v>
      </c>
      <c r="F24" s="3">
        <f t="shared" si="11"/>
        <v>7746400</v>
      </c>
      <c r="G24" s="40">
        <f t="shared" si="6"/>
        <v>0</v>
      </c>
      <c r="H24" s="3">
        <f t="shared" si="12"/>
        <v>773519</v>
      </c>
      <c r="I24" s="45">
        <f t="shared" si="7"/>
        <v>0</v>
      </c>
      <c r="J24" s="20">
        <f t="shared" si="4"/>
        <v>0</v>
      </c>
      <c r="K24" s="21">
        <f t="shared" si="5"/>
        <v>0</v>
      </c>
    </row>
    <row r="25" spans="1:25" ht="17.25" customHeight="1" thickBot="1" x14ac:dyDescent="0.4">
      <c r="A25" s="9">
        <v>44615</v>
      </c>
      <c r="B25" s="3">
        <f t="shared" si="9"/>
        <v>439043</v>
      </c>
      <c r="C25" s="40">
        <f t="shared" si="8"/>
        <v>0</v>
      </c>
      <c r="D25" s="3">
        <f t="shared" si="10"/>
        <v>3237</v>
      </c>
      <c r="E25" s="40">
        <f t="shared" si="3"/>
        <v>0</v>
      </c>
      <c r="F25" s="3">
        <f t="shared" si="11"/>
        <v>7746400</v>
      </c>
      <c r="G25" s="40">
        <f t="shared" si="6"/>
        <v>0</v>
      </c>
      <c r="H25" s="3">
        <f t="shared" si="12"/>
        <v>773519</v>
      </c>
      <c r="I25" s="45">
        <f t="shared" si="7"/>
        <v>0</v>
      </c>
      <c r="J25" s="20">
        <f t="shared" si="4"/>
        <v>0</v>
      </c>
      <c r="K25" s="21">
        <f t="shared" si="5"/>
        <v>0</v>
      </c>
      <c r="Y25" s="56"/>
    </row>
    <row r="26" spans="1:25" ht="16.5" thickBot="1" x14ac:dyDescent="0.3">
      <c r="A26" s="9">
        <v>44616</v>
      </c>
      <c r="B26" s="3">
        <f t="shared" si="9"/>
        <v>439043</v>
      </c>
      <c r="C26" s="40">
        <f t="shared" si="8"/>
        <v>0</v>
      </c>
      <c r="D26" s="3">
        <f t="shared" si="10"/>
        <v>3237</v>
      </c>
      <c r="E26" s="40">
        <f t="shared" si="3"/>
        <v>0</v>
      </c>
      <c r="F26" s="3">
        <f t="shared" si="11"/>
        <v>7746400</v>
      </c>
      <c r="G26" s="40">
        <f t="shared" si="6"/>
        <v>0</v>
      </c>
      <c r="H26" s="3">
        <f t="shared" si="12"/>
        <v>773519</v>
      </c>
      <c r="I26" s="45">
        <f t="shared" si="7"/>
        <v>0</v>
      </c>
      <c r="J26" s="20">
        <f t="shared" si="4"/>
        <v>0</v>
      </c>
      <c r="K26" s="21">
        <f t="shared" si="5"/>
        <v>0</v>
      </c>
      <c r="L26" t="s">
        <v>12</v>
      </c>
    </row>
    <row r="27" spans="1:25" ht="16.5" thickBot="1" x14ac:dyDescent="0.3">
      <c r="A27" s="9">
        <v>44617</v>
      </c>
      <c r="B27" s="3">
        <f t="shared" si="9"/>
        <v>439043</v>
      </c>
      <c r="C27" s="40">
        <f t="shared" si="8"/>
        <v>0</v>
      </c>
      <c r="D27" s="3">
        <f t="shared" si="10"/>
        <v>3237</v>
      </c>
      <c r="E27" s="40">
        <f t="shared" si="3"/>
        <v>0</v>
      </c>
      <c r="F27" s="3">
        <f t="shared" si="11"/>
        <v>7746400</v>
      </c>
      <c r="G27" s="40">
        <f t="shared" si="6"/>
        <v>0</v>
      </c>
      <c r="H27" s="3">
        <f t="shared" si="12"/>
        <v>773519</v>
      </c>
      <c r="I27" s="45">
        <f t="shared" si="7"/>
        <v>0</v>
      </c>
      <c r="J27" s="20">
        <f t="shared" si="4"/>
        <v>0</v>
      </c>
      <c r="K27" s="21">
        <f t="shared" si="5"/>
        <v>0</v>
      </c>
      <c r="O27" t="s">
        <v>12</v>
      </c>
    </row>
    <row r="28" spans="1:25" ht="16.5" thickBot="1" x14ac:dyDescent="0.3">
      <c r="A28" s="9">
        <v>44618</v>
      </c>
      <c r="B28" s="3">
        <f t="shared" si="9"/>
        <v>439043</v>
      </c>
      <c r="C28" s="40">
        <f t="shared" si="8"/>
        <v>0</v>
      </c>
      <c r="D28" s="3">
        <f t="shared" si="10"/>
        <v>3237</v>
      </c>
      <c r="E28" s="40">
        <f t="shared" si="3"/>
        <v>0</v>
      </c>
      <c r="F28" s="3">
        <f t="shared" si="11"/>
        <v>7746400</v>
      </c>
      <c r="G28" s="40">
        <f t="shared" si="6"/>
        <v>0</v>
      </c>
      <c r="H28" s="3">
        <f t="shared" si="12"/>
        <v>773519</v>
      </c>
      <c r="I28" s="45">
        <f t="shared" si="7"/>
        <v>0</v>
      </c>
      <c r="J28" s="20">
        <f t="shared" si="4"/>
        <v>0</v>
      </c>
      <c r="K28" s="21">
        <f t="shared" si="5"/>
        <v>0</v>
      </c>
    </row>
    <row r="29" spans="1:25" ht="16.5" thickBot="1" x14ac:dyDescent="0.3">
      <c r="A29" s="9">
        <v>44619</v>
      </c>
      <c r="B29" s="3">
        <f t="shared" si="9"/>
        <v>439043</v>
      </c>
      <c r="C29" s="40">
        <f t="shared" si="8"/>
        <v>0</v>
      </c>
      <c r="D29" s="3">
        <f t="shared" si="10"/>
        <v>3237</v>
      </c>
      <c r="E29" s="40">
        <f t="shared" si="3"/>
        <v>0</v>
      </c>
      <c r="F29" s="3">
        <f t="shared" si="11"/>
        <v>7746400</v>
      </c>
      <c r="G29" s="40">
        <f t="shared" si="6"/>
        <v>0</v>
      </c>
      <c r="H29" s="3">
        <f t="shared" si="12"/>
        <v>773519</v>
      </c>
      <c r="I29" s="45">
        <f t="shared" si="7"/>
        <v>0</v>
      </c>
      <c r="J29" s="20">
        <f t="shared" si="4"/>
        <v>0</v>
      </c>
      <c r="K29" s="21">
        <f t="shared" si="5"/>
        <v>0</v>
      </c>
    </row>
    <row r="30" spans="1:25" ht="16.5" thickBot="1" x14ac:dyDescent="0.3">
      <c r="A30" s="9">
        <v>44620</v>
      </c>
      <c r="B30" s="3">
        <f t="shared" si="9"/>
        <v>439043</v>
      </c>
      <c r="C30" s="40">
        <f t="shared" si="8"/>
        <v>0</v>
      </c>
      <c r="D30" s="3">
        <f t="shared" si="10"/>
        <v>3237</v>
      </c>
      <c r="E30" s="40">
        <f t="shared" si="3"/>
        <v>0</v>
      </c>
      <c r="F30" s="3">
        <f t="shared" si="11"/>
        <v>7746400</v>
      </c>
      <c r="G30" s="40">
        <f t="shared" si="6"/>
        <v>0</v>
      </c>
      <c r="H30" s="3">
        <f t="shared" si="12"/>
        <v>773519</v>
      </c>
      <c r="I30" s="45">
        <f t="shared" si="7"/>
        <v>0</v>
      </c>
      <c r="J30" s="20">
        <f t="shared" si="4"/>
        <v>0</v>
      </c>
      <c r="K30" s="21">
        <f t="shared" si="5"/>
        <v>0</v>
      </c>
    </row>
    <row r="31" spans="1:25" ht="16.5" thickBot="1" x14ac:dyDescent="0.3">
      <c r="A31" s="57" t="s">
        <v>23</v>
      </c>
      <c r="B31" s="3"/>
      <c r="C31" s="57">
        <f>SUM(C4:C30)</f>
        <v>5730</v>
      </c>
      <c r="D31" s="3"/>
      <c r="E31" s="57">
        <f>SUM(E4:E30)</f>
        <v>3360</v>
      </c>
      <c r="F31" s="3"/>
      <c r="G31" s="57">
        <f>SUM(G4:G30)</f>
        <v>1701</v>
      </c>
      <c r="H31" s="3"/>
      <c r="I31" s="57">
        <f>SUM(I4:I30)</f>
        <v>39.905999999999999</v>
      </c>
      <c r="J31" s="57">
        <f>SUM(J4:J30)</f>
        <v>10830.905999999999</v>
      </c>
      <c r="K31" s="57">
        <f>SUM(K4:K30)</f>
        <v>63469.109160000007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C12" sqref="C12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44592</v>
      </c>
      <c r="B2" s="134">
        <v>17972095</v>
      </c>
      <c r="C2" s="46"/>
    </row>
    <row r="3" spans="1:9" ht="24" thickBot="1" x14ac:dyDescent="0.4">
      <c r="A3" s="9">
        <v>44593</v>
      </c>
      <c r="B3" s="134">
        <v>17977076</v>
      </c>
      <c r="C3" s="46">
        <f>IF((B3-B2)&lt;0,"0",(B3-B2))</f>
        <v>4981</v>
      </c>
    </row>
    <row r="4" spans="1:9" ht="24" thickBot="1" x14ac:dyDescent="0.4">
      <c r="A4" s="9">
        <v>44594</v>
      </c>
      <c r="B4" s="134">
        <v>17980521</v>
      </c>
      <c r="C4" s="46">
        <f t="shared" ref="C4:C30" si="0">IF((B4-B3)&lt;0,"0",(B4-B3))</f>
        <v>3445</v>
      </c>
    </row>
    <row r="5" spans="1:9" ht="24" thickBot="1" x14ac:dyDescent="0.4">
      <c r="A5" s="9">
        <v>44595</v>
      </c>
      <c r="B5" s="134">
        <v>17983896</v>
      </c>
      <c r="C5" s="46">
        <f t="shared" si="0"/>
        <v>3375</v>
      </c>
    </row>
    <row r="6" spans="1:9" ht="24" thickBot="1" x14ac:dyDescent="0.4">
      <c r="A6" s="9">
        <v>44596</v>
      </c>
      <c r="B6" s="134">
        <v>17986985</v>
      </c>
      <c r="C6" s="46">
        <f>IF((B6-B5)&lt;0,"0",(B6-B5))</f>
        <v>3089</v>
      </c>
    </row>
    <row r="7" spans="1:9" ht="24" thickBot="1" x14ac:dyDescent="0.4">
      <c r="A7" s="9">
        <v>44597</v>
      </c>
      <c r="B7" s="134">
        <v>17989955</v>
      </c>
      <c r="C7" s="46">
        <f>IF((B7-B6)&lt;0,"0",(B7-B6))</f>
        <v>2970</v>
      </c>
    </row>
    <row r="8" spans="1:9" ht="24" thickBot="1" x14ac:dyDescent="0.4">
      <c r="A8" s="9">
        <v>44598</v>
      </c>
      <c r="B8" s="134">
        <v>17992612</v>
      </c>
      <c r="C8" s="46">
        <f>IF((B8-B7)&lt;0,"0",(B8-B7))</f>
        <v>2657</v>
      </c>
    </row>
    <row r="9" spans="1:9" ht="24" thickBot="1" x14ac:dyDescent="0.4">
      <c r="A9" s="9">
        <v>44599</v>
      </c>
      <c r="B9" s="134">
        <v>17995107</v>
      </c>
      <c r="C9" s="46">
        <f>IF((B9-B8)&lt;0,"0",(B9-B8))</f>
        <v>2495</v>
      </c>
    </row>
    <row r="10" spans="1:9" ht="24" thickBot="1" x14ac:dyDescent="0.4">
      <c r="A10" s="9">
        <v>44600</v>
      </c>
      <c r="B10" s="134">
        <v>17998580</v>
      </c>
      <c r="C10" s="46">
        <f t="shared" si="0"/>
        <v>3473</v>
      </c>
    </row>
    <row r="11" spans="1:9" ht="24" thickBot="1" x14ac:dyDescent="0.4">
      <c r="A11" s="9">
        <v>44601</v>
      </c>
      <c r="B11" s="134">
        <f t="shared" ref="B10:B30" si="1">B10</f>
        <v>17998580</v>
      </c>
      <c r="C11" s="46">
        <f>IF((B11-B10)&lt;0,"0",(B11-B10))</f>
        <v>0</v>
      </c>
    </row>
    <row r="12" spans="1:9" ht="24" thickBot="1" x14ac:dyDescent="0.4">
      <c r="A12" s="9">
        <v>44602</v>
      </c>
      <c r="B12" s="134">
        <f t="shared" si="1"/>
        <v>17998580</v>
      </c>
      <c r="C12" s="46">
        <f t="shared" si="0"/>
        <v>0</v>
      </c>
    </row>
    <row r="13" spans="1:9" ht="24" thickBot="1" x14ac:dyDescent="0.4">
      <c r="A13" s="9">
        <v>44603</v>
      </c>
      <c r="B13" s="134">
        <f t="shared" si="1"/>
        <v>17998580</v>
      </c>
      <c r="C13" s="46">
        <f t="shared" si="0"/>
        <v>0</v>
      </c>
    </row>
    <row r="14" spans="1:9" ht="24" thickBot="1" x14ac:dyDescent="0.4">
      <c r="A14" s="9">
        <v>44604</v>
      </c>
      <c r="B14" s="134">
        <f t="shared" si="1"/>
        <v>17998580</v>
      </c>
      <c r="C14" s="46">
        <f t="shared" si="0"/>
        <v>0</v>
      </c>
    </row>
    <row r="15" spans="1:9" ht="24" thickBot="1" x14ac:dyDescent="0.4">
      <c r="A15" s="9">
        <v>44605</v>
      </c>
      <c r="B15" s="134">
        <f t="shared" si="1"/>
        <v>17998580</v>
      </c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44606</v>
      </c>
      <c r="B16" s="134">
        <f t="shared" si="1"/>
        <v>17998580</v>
      </c>
      <c r="C16" s="46">
        <f t="shared" si="0"/>
        <v>0</v>
      </c>
      <c r="F16" s="158"/>
    </row>
    <row r="17" spans="1:9" ht="25.5" customHeight="1" thickBot="1" x14ac:dyDescent="0.4">
      <c r="A17" s="9">
        <v>44607</v>
      </c>
      <c r="B17" s="134">
        <f t="shared" si="1"/>
        <v>17998580</v>
      </c>
      <c r="C17" s="46">
        <f t="shared" si="0"/>
        <v>0</v>
      </c>
    </row>
    <row r="18" spans="1:9" ht="24" thickBot="1" x14ac:dyDescent="0.4">
      <c r="A18" s="9">
        <v>44608</v>
      </c>
      <c r="B18" s="134">
        <f t="shared" si="1"/>
        <v>17998580</v>
      </c>
      <c r="C18" s="46">
        <f t="shared" si="0"/>
        <v>0</v>
      </c>
      <c r="I18" s="36"/>
    </row>
    <row r="19" spans="1:9" ht="24" thickBot="1" x14ac:dyDescent="0.4">
      <c r="A19" s="9">
        <v>44609</v>
      </c>
      <c r="B19" s="134">
        <f t="shared" si="1"/>
        <v>17998580</v>
      </c>
      <c r="C19" s="46">
        <f t="shared" si="0"/>
        <v>0</v>
      </c>
    </row>
    <row r="20" spans="1:9" ht="24" thickBot="1" x14ac:dyDescent="0.4">
      <c r="A20" s="9">
        <v>44610</v>
      </c>
      <c r="B20" s="134">
        <f t="shared" si="1"/>
        <v>17998580</v>
      </c>
      <c r="C20" s="46">
        <f t="shared" si="0"/>
        <v>0</v>
      </c>
    </row>
    <row r="21" spans="1:9" ht="24" thickBot="1" x14ac:dyDescent="0.4">
      <c r="A21" s="9">
        <v>44611</v>
      </c>
      <c r="B21" s="134">
        <f t="shared" si="1"/>
        <v>17998580</v>
      </c>
      <c r="C21" s="46">
        <f t="shared" si="0"/>
        <v>0</v>
      </c>
    </row>
    <row r="22" spans="1:9" ht="24" thickBot="1" x14ac:dyDescent="0.4">
      <c r="A22" s="9">
        <v>44612</v>
      </c>
      <c r="B22" s="134">
        <f t="shared" si="1"/>
        <v>17998580</v>
      </c>
      <c r="C22" s="46">
        <f t="shared" si="0"/>
        <v>0</v>
      </c>
    </row>
    <row r="23" spans="1:9" ht="24" thickBot="1" x14ac:dyDescent="0.4">
      <c r="A23" s="9">
        <v>44613</v>
      </c>
      <c r="B23" s="134">
        <f t="shared" si="1"/>
        <v>17998580</v>
      </c>
      <c r="C23" s="46">
        <f t="shared" si="0"/>
        <v>0</v>
      </c>
      <c r="F23" t="s">
        <v>12</v>
      </c>
    </row>
    <row r="24" spans="1:9" ht="24" thickBot="1" x14ac:dyDescent="0.4">
      <c r="A24" s="9">
        <v>44614</v>
      </c>
      <c r="B24" s="134">
        <f t="shared" si="1"/>
        <v>17998580</v>
      </c>
      <c r="C24" s="46">
        <f t="shared" si="0"/>
        <v>0</v>
      </c>
      <c r="E24" t="s">
        <v>12</v>
      </c>
    </row>
    <row r="25" spans="1:9" ht="24" thickBot="1" x14ac:dyDescent="0.4">
      <c r="A25" s="9">
        <v>44615</v>
      </c>
      <c r="B25" s="134">
        <f t="shared" si="1"/>
        <v>17998580</v>
      </c>
      <c r="C25" s="46">
        <f t="shared" si="0"/>
        <v>0</v>
      </c>
    </row>
    <row r="26" spans="1:9" ht="24" thickBot="1" x14ac:dyDescent="0.4">
      <c r="A26" s="9">
        <v>44616</v>
      </c>
      <c r="B26" s="134">
        <f t="shared" si="1"/>
        <v>17998580</v>
      </c>
      <c r="C26" s="46">
        <f t="shared" si="0"/>
        <v>0</v>
      </c>
    </row>
    <row r="27" spans="1:9" ht="24" thickBot="1" x14ac:dyDescent="0.4">
      <c r="A27" s="9">
        <v>44617</v>
      </c>
      <c r="B27" s="134">
        <f t="shared" si="1"/>
        <v>17998580</v>
      </c>
      <c r="C27" s="46">
        <f t="shared" si="0"/>
        <v>0</v>
      </c>
    </row>
    <row r="28" spans="1:9" ht="24" thickBot="1" x14ac:dyDescent="0.4">
      <c r="A28" s="9">
        <v>44618</v>
      </c>
      <c r="B28" s="134">
        <f t="shared" si="1"/>
        <v>17998580</v>
      </c>
      <c r="C28" s="46">
        <f t="shared" si="0"/>
        <v>0</v>
      </c>
      <c r="I28" t="s">
        <v>12</v>
      </c>
    </row>
    <row r="29" spans="1:9" ht="24" thickBot="1" x14ac:dyDescent="0.4">
      <c r="A29" s="9">
        <v>44619</v>
      </c>
      <c r="B29" s="134">
        <f t="shared" si="1"/>
        <v>17998580</v>
      </c>
      <c r="C29" s="46">
        <f t="shared" si="0"/>
        <v>0</v>
      </c>
    </row>
    <row r="30" spans="1:9" ht="24" thickBot="1" x14ac:dyDescent="0.4">
      <c r="A30" s="9">
        <v>44620</v>
      </c>
      <c r="B30" s="134">
        <f t="shared" si="1"/>
        <v>17998580</v>
      </c>
      <c r="C30" s="46">
        <f t="shared" si="0"/>
        <v>0</v>
      </c>
    </row>
    <row r="31" spans="1:9" ht="24" thickBot="1" x14ac:dyDescent="0.4">
      <c r="A31" s="170" t="s">
        <v>138</v>
      </c>
      <c r="B31" s="171"/>
      <c r="C31" s="137">
        <f>SUM(C4:C30)</f>
        <v>21504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L1" zoomScaleNormal="100" workbookViewId="0">
      <pane ySplit="1" topLeftCell="A2" activePane="bottomLeft" state="frozen"/>
      <selection pane="bottomLeft" activeCell="AD14" sqref="AD14"/>
    </sheetView>
  </sheetViews>
  <sheetFormatPr defaultRowHeight="12.75" x14ac:dyDescent="0.2"/>
  <cols>
    <col min="1" max="1" width="20.85546875" bestFit="1" customWidth="1"/>
    <col min="2" max="2" width="12.85546875" style="164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8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1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s="23" customFormat="1" ht="16.5" thickBot="1" x14ac:dyDescent="0.25">
      <c r="A2" s="9">
        <v>44592</v>
      </c>
      <c r="B2" s="162">
        <v>22847.095000000001</v>
      </c>
      <c r="C2" s="45"/>
      <c r="D2" s="29">
        <f t="shared" ref="D2" si="0">C2*1.9*1000</f>
        <v>0</v>
      </c>
      <c r="E2" s="1">
        <v>4098.9979999999996</v>
      </c>
      <c r="F2" s="45"/>
      <c r="G2" s="29">
        <f t="shared" ref="G2" si="1">F2*1.9*1000</f>
        <v>0</v>
      </c>
      <c r="H2" s="1">
        <v>4688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3401.8290000000002</v>
      </c>
      <c r="O2" s="45"/>
      <c r="P2" s="29">
        <f t="shared" ref="P2" si="4">O2*1.9*1000</f>
        <v>0</v>
      </c>
      <c r="Q2" s="7">
        <v>5291.46</v>
      </c>
      <c r="R2" s="45"/>
      <c r="S2" s="29">
        <f t="shared" ref="S2" si="5">R2*1.9*1000</f>
        <v>0</v>
      </c>
      <c r="T2" s="8">
        <f t="shared" ref="T2" si="6">C2+F2+I2+L2+O2+R2</f>
        <v>0</v>
      </c>
      <c r="U2" s="31">
        <f t="shared" ref="U2" si="7">T2*1.9*1000</f>
        <v>0</v>
      </c>
      <c r="V2"/>
      <c r="W2" s="159">
        <v>44592</v>
      </c>
      <c r="X2" s="160">
        <v>164139</v>
      </c>
      <c r="Y2" s="166"/>
      <c r="Z2" s="160">
        <v>8371</v>
      </c>
      <c r="AA2" s="166"/>
      <c r="AB2" s="160">
        <v>19.57</v>
      </c>
      <c r="AC2" s="166">
        <v>0</v>
      </c>
      <c r="AD2" s="160">
        <v>173</v>
      </c>
      <c r="AE2" s="166"/>
      <c r="AF2" s="160">
        <v>5531</v>
      </c>
      <c r="AG2" s="166"/>
    </row>
    <row r="3" spans="1:33" ht="16.5" thickBot="1" x14ac:dyDescent="0.25">
      <c r="A3" s="9">
        <v>44593</v>
      </c>
      <c r="B3" s="162">
        <v>22849.11</v>
      </c>
      <c r="C3" s="45">
        <f t="shared" ref="C3" si="8">IF((B3-B2)&lt;0,"0",(B3-B2))</f>
        <v>2.0149999999994179</v>
      </c>
      <c r="D3" s="29">
        <f t="shared" ref="D3" si="9">C3*1.9*1000</f>
        <v>3828.4999999988936</v>
      </c>
      <c r="E3" s="1">
        <v>4099.4610000000002</v>
      </c>
      <c r="F3" s="45">
        <f t="shared" ref="F3" si="10">IF((E3-E2)&lt;0,"0",(E3-E2))</f>
        <v>0.46300000000064756</v>
      </c>
      <c r="G3" s="29">
        <f t="shared" ref="G3" si="11">F3*1.9*1000</f>
        <v>879.70000000123025</v>
      </c>
      <c r="H3" s="1">
        <v>4693</v>
      </c>
      <c r="I3" s="45">
        <f t="shared" ref="I3" si="12">IF((H3-H2)&lt;0,"0",(H3-H2))</f>
        <v>5</v>
      </c>
      <c r="J3" s="29">
        <f t="shared" ref="J3" si="13">I3*1.9*1000</f>
        <v>9500</v>
      </c>
      <c r="K3" s="7">
        <v>13889.7</v>
      </c>
      <c r="L3" s="45">
        <f t="shared" ref="L3" si="14">IF((K3-K2)&lt;0,"0",(K3-K2))</f>
        <v>0</v>
      </c>
      <c r="M3" s="29">
        <f t="shared" ref="M3" si="15">L3*1.9*1000</f>
        <v>0</v>
      </c>
      <c r="N3" s="7">
        <v>3402.9369999999999</v>
      </c>
      <c r="O3" s="45">
        <f t="shared" ref="O3" si="16">IF((N3-N2)&lt;0,"0",(N3-N2))</f>
        <v>1.1079999999997199</v>
      </c>
      <c r="P3" s="29">
        <f t="shared" ref="P3" si="17">O3*1.9*1000</f>
        <v>2105.1999999994673</v>
      </c>
      <c r="Q3" s="7">
        <f>Q2</f>
        <v>5291.46</v>
      </c>
      <c r="R3" s="45">
        <f t="shared" ref="R3" si="18">IF((Q3-Q2)&lt;0,"0",(Q3-Q2))</f>
        <v>0</v>
      </c>
      <c r="S3" s="29">
        <f t="shared" ref="S3" si="19">R3*1.9*1000</f>
        <v>0</v>
      </c>
      <c r="T3" s="8">
        <f>C3+F3+I3+L3+O3+R3</f>
        <v>8.5859999999997854</v>
      </c>
      <c r="U3" s="31">
        <f t="shared" ref="U3" si="20">T3*1.9*1000</f>
        <v>16313.399999999592</v>
      </c>
      <c r="W3" s="159">
        <v>44562</v>
      </c>
      <c r="X3" s="160">
        <v>164148</v>
      </c>
      <c r="Y3" s="165">
        <f t="shared" ref="Y3" si="21">X3-X2</f>
        <v>9</v>
      </c>
      <c r="Z3" s="160">
        <v>8375</v>
      </c>
      <c r="AA3" s="165">
        <f>Z3-Z2</f>
        <v>4</v>
      </c>
      <c r="AB3" s="160">
        <f>AB2</f>
        <v>19.57</v>
      </c>
      <c r="AC3" s="166">
        <v>0</v>
      </c>
      <c r="AD3" s="160">
        <v>175</v>
      </c>
      <c r="AE3" s="165">
        <f>AD3-AD2</f>
        <v>2</v>
      </c>
      <c r="AF3" s="160">
        <f>AF2</f>
        <v>5531</v>
      </c>
      <c r="AG3" s="165">
        <v>0</v>
      </c>
    </row>
    <row r="4" spans="1:33" ht="16.5" thickBot="1" x14ac:dyDescent="0.25">
      <c r="A4" s="9">
        <v>44594</v>
      </c>
      <c r="B4" s="162">
        <v>22850.916000000001</v>
      </c>
      <c r="C4" s="45">
        <f t="shared" ref="C4:C30" si="22">IF((B4-B3)&lt;0,"0",(B4-B3))</f>
        <v>1.8060000000004948</v>
      </c>
      <c r="D4" s="29">
        <f t="shared" ref="D4:D30" si="23">C4*1.9*1000</f>
        <v>3431.4000000009396</v>
      </c>
      <c r="E4" s="1">
        <v>4099.9129999999996</v>
      </c>
      <c r="F4" s="45">
        <f t="shared" ref="F4:F30" si="24">IF((E4-E3)&lt;0,"0",(E4-E3))</f>
        <v>0.45199999999931606</v>
      </c>
      <c r="G4" s="29">
        <f t="shared" ref="G4:G30" si="25">F4*1.9*1000</f>
        <v>858.79999999870051</v>
      </c>
      <c r="H4" s="1">
        <v>4697</v>
      </c>
      <c r="I4" s="45">
        <f t="shared" ref="I4:I30" si="26">IF((H4-H3)&lt;0,"0",(H4-H3))</f>
        <v>4</v>
      </c>
      <c r="J4" s="29">
        <f t="shared" ref="J4:J30" si="27">I4*1.9*1000</f>
        <v>7600</v>
      </c>
      <c r="K4" s="7">
        <v>13889.7</v>
      </c>
      <c r="L4" s="45">
        <f t="shared" ref="L4:L30" si="28">IF((K4-K3)&lt;0,"0",(K4-K3))</f>
        <v>0</v>
      </c>
      <c r="M4" s="29">
        <f t="shared" ref="M4:M30" si="29">L4*1.9*1000</f>
        <v>0</v>
      </c>
      <c r="N4" s="7">
        <v>3403.902</v>
      </c>
      <c r="O4" s="45">
        <f t="shared" ref="O4:O30" si="30">IF((N4-N3)&lt;0,"0",(N4-N3))</f>
        <v>0.96500000000014552</v>
      </c>
      <c r="P4" s="29">
        <f t="shared" ref="P4:P30" si="31">O4*1.9*1000</f>
        <v>1833.5000000002763</v>
      </c>
      <c r="Q4" s="7">
        <v>5291.12</v>
      </c>
      <c r="R4" s="45" t="str">
        <f t="shared" ref="R4:R30" si="32">IF((Q4-Q3)&lt;0,"0",(Q4-Q3))</f>
        <v>0</v>
      </c>
      <c r="S4" s="29">
        <f t="shared" ref="S4:S30" si="33">R4*1.9*1000</f>
        <v>0</v>
      </c>
      <c r="T4" s="8">
        <f>C4+F4+I4+L4+O4+R4</f>
        <v>7.2229999999999563</v>
      </c>
      <c r="U4" s="31">
        <f t="shared" ref="U4:U30" si="34">T4*1.9*1000</f>
        <v>13723.699999999915</v>
      </c>
      <c r="W4" s="159">
        <v>44563</v>
      </c>
      <c r="X4" s="160">
        <v>164168</v>
      </c>
      <c r="Y4" s="165">
        <f>X4-X3</f>
        <v>20</v>
      </c>
      <c r="Z4" s="160">
        <v>8379</v>
      </c>
      <c r="AA4" s="165">
        <f>Z4-Z3</f>
        <v>4</v>
      </c>
      <c r="AB4" s="160">
        <f t="shared" ref="AB4:AB30" si="35">AB3</f>
        <v>19.57</v>
      </c>
      <c r="AC4" s="166">
        <f t="shared" ref="AC4:AC8" si="36">AB4-AB3</f>
        <v>0</v>
      </c>
      <c r="AD4" s="160">
        <v>177</v>
      </c>
      <c r="AE4" s="166">
        <f t="shared" ref="AE4:AE30" si="37">AD4-AD3</f>
        <v>2</v>
      </c>
      <c r="AF4" s="160">
        <v>5531</v>
      </c>
      <c r="AG4" s="166">
        <f t="shared" ref="AG4:AG30" si="38">AF4-AF3</f>
        <v>0</v>
      </c>
    </row>
    <row r="5" spans="1:33" ht="16.5" thickBot="1" x14ac:dyDescent="0.25">
      <c r="A5" s="9">
        <v>44595</v>
      </c>
      <c r="B5" s="162">
        <v>22853.059000000001</v>
      </c>
      <c r="C5" s="45">
        <f t="shared" si="22"/>
        <v>2.1430000000000291</v>
      </c>
      <c r="D5" s="29">
        <f t="shared" si="23"/>
        <v>4071.7000000000548</v>
      </c>
      <c r="E5" s="1">
        <v>4100.4250000000002</v>
      </c>
      <c r="F5" s="45">
        <f t="shared" si="24"/>
        <v>0.51200000000062573</v>
      </c>
      <c r="G5" s="29">
        <f t="shared" si="25"/>
        <v>972.80000000118878</v>
      </c>
      <c r="H5" s="1">
        <v>4701</v>
      </c>
      <c r="I5" s="45">
        <f t="shared" si="26"/>
        <v>4</v>
      </c>
      <c r="J5" s="29">
        <f t="shared" si="27"/>
        <v>7600</v>
      </c>
      <c r="K5" s="7">
        <v>13889.7</v>
      </c>
      <c r="L5" s="45">
        <f t="shared" si="28"/>
        <v>0</v>
      </c>
      <c r="M5" s="29">
        <f t="shared" si="29"/>
        <v>0</v>
      </c>
      <c r="N5" s="7">
        <v>3404.9110000000001</v>
      </c>
      <c r="O5" s="45">
        <f t="shared" si="30"/>
        <v>1.0090000000000146</v>
      </c>
      <c r="P5" s="29">
        <f t="shared" si="31"/>
        <v>1917.1000000000276</v>
      </c>
      <c r="Q5" s="7">
        <f t="shared" ref="Q5:Q30" si="39">Q4</f>
        <v>5291.12</v>
      </c>
      <c r="R5" s="45">
        <f t="shared" si="32"/>
        <v>0</v>
      </c>
      <c r="S5" s="29">
        <f t="shared" si="33"/>
        <v>0</v>
      </c>
      <c r="T5" s="8">
        <f>C5+F5+I5+L5+O5+R5</f>
        <v>7.6640000000006694</v>
      </c>
      <c r="U5" s="31">
        <f t="shared" si="34"/>
        <v>14561.60000000127</v>
      </c>
      <c r="W5" s="159">
        <v>44564</v>
      </c>
      <c r="X5" s="160">
        <v>164202</v>
      </c>
      <c r="Y5" s="166">
        <f t="shared" ref="Y5:Y30" si="40">X5-X4</f>
        <v>34</v>
      </c>
      <c r="Z5" s="160">
        <v>8384</v>
      </c>
      <c r="AA5" s="166">
        <f>Z5-Z4</f>
        <v>5</v>
      </c>
      <c r="AB5" s="160">
        <f t="shared" si="35"/>
        <v>19.57</v>
      </c>
      <c r="AC5" s="166">
        <f t="shared" si="36"/>
        <v>0</v>
      </c>
      <c r="AD5" s="160">
        <v>180</v>
      </c>
      <c r="AE5" s="166">
        <f t="shared" si="37"/>
        <v>3</v>
      </c>
      <c r="AF5" s="160">
        <v>5531</v>
      </c>
      <c r="AG5" s="166">
        <f t="shared" si="38"/>
        <v>0</v>
      </c>
    </row>
    <row r="6" spans="1:33" ht="16.5" thickBot="1" x14ac:dyDescent="0.25">
      <c r="A6" s="9">
        <v>44596</v>
      </c>
      <c r="B6" s="162">
        <v>22854.791000000001</v>
      </c>
      <c r="C6" s="45">
        <f t="shared" si="22"/>
        <v>1.7319999999999709</v>
      </c>
      <c r="D6" s="29">
        <f t="shared" si="23"/>
        <v>3290.7999999999442</v>
      </c>
      <c r="E6" s="1">
        <v>4100.759</v>
      </c>
      <c r="F6" s="45">
        <f t="shared" si="24"/>
        <v>0.33399999999983265</v>
      </c>
      <c r="G6" s="29">
        <f t="shared" si="25"/>
        <v>634.59999999968193</v>
      </c>
      <c r="H6" s="1">
        <v>4706</v>
      </c>
      <c r="I6" s="45">
        <f t="shared" si="26"/>
        <v>5</v>
      </c>
      <c r="J6" s="29">
        <f t="shared" si="27"/>
        <v>9500</v>
      </c>
      <c r="K6" s="7">
        <v>13889.7</v>
      </c>
      <c r="L6" s="45">
        <f t="shared" si="28"/>
        <v>0</v>
      </c>
      <c r="M6" s="29">
        <f t="shared" si="29"/>
        <v>0</v>
      </c>
      <c r="N6" s="7">
        <v>3405.8829999999998</v>
      </c>
      <c r="O6" s="45">
        <f t="shared" si="30"/>
        <v>0.97199999999975262</v>
      </c>
      <c r="P6" s="29">
        <f t="shared" si="31"/>
        <v>1846.79999999953</v>
      </c>
      <c r="Q6" s="7">
        <v>5291.12</v>
      </c>
      <c r="R6" s="45">
        <f t="shared" si="32"/>
        <v>0</v>
      </c>
      <c r="S6" s="29">
        <f t="shared" si="33"/>
        <v>0</v>
      </c>
      <c r="T6" s="8">
        <f t="shared" ref="T6:T30" si="41">C6+F6+I6+L6+O6+R6</f>
        <v>8.0379999999995562</v>
      </c>
      <c r="U6" s="31">
        <f t="shared" si="34"/>
        <v>15272.199999999157</v>
      </c>
      <c r="W6" s="159">
        <v>44565</v>
      </c>
      <c r="X6" s="160">
        <v>164232</v>
      </c>
      <c r="Y6" s="166">
        <f t="shared" si="40"/>
        <v>30</v>
      </c>
      <c r="Z6" s="160">
        <v>8390</v>
      </c>
      <c r="AA6" s="166">
        <f>Z6-Z5</f>
        <v>6</v>
      </c>
      <c r="AB6" s="160">
        <f t="shared" si="35"/>
        <v>19.57</v>
      </c>
      <c r="AC6" s="166">
        <f t="shared" si="36"/>
        <v>0</v>
      </c>
      <c r="AD6" s="160">
        <v>184</v>
      </c>
      <c r="AE6" s="166">
        <f t="shared" si="37"/>
        <v>4</v>
      </c>
      <c r="AF6" s="160">
        <v>5531</v>
      </c>
      <c r="AG6" s="166">
        <f t="shared" si="38"/>
        <v>0</v>
      </c>
    </row>
    <row r="7" spans="1:33" ht="16.5" thickBot="1" x14ac:dyDescent="0.25">
      <c r="A7" s="9">
        <v>44597</v>
      </c>
      <c r="B7" s="162">
        <v>22856.703000000001</v>
      </c>
      <c r="C7" s="45">
        <f t="shared" si="22"/>
        <v>1.9120000000002619</v>
      </c>
      <c r="D7" s="29">
        <f t="shared" si="23"/>
        <v>3632.8000000004972</v>
      </c>
      <c r="E7" s="1">
        <v>4101.1379999999999</v>
      </c>
      <c r="F7" s="45">
        <f t="shared" si="24"/>
        <v>0.37899999999990541</v>
      </c>
      <c r="G7" s="29">
        <f t="shared" si="25"/>
        <v>720.09999999982017</v>
      </c>
      <c r="H7" s="1">
        <v>4710</v>
      </c>
      <c r="I7" s="45">
        <f t="shared" si="26"/>
        <v>4</v>
      </c>
      <c r="J7" s="29">
        <f t="shared" si="27"/>
        <v>7600</v>
      </c>
      <c r="K7" s="7">
        <v>13889.7</v>
      </c>
      <c r="L7" s="45">
        <f t="shared" si="28"/>
        <v>0</v>
      </c>
      <c r="M7" s="29">
        <f t="shared" si="29"/>
        <v>0</v>
      </c>
      <c r="N7" s="7">
        <v>3406.8490000000002</v>
      </c>
      <c r="O7" s="45">
        <f t="shared" si="30"/>
        <v>0.96600000000034925</v>
      </c>
      <c r="P7" s="29">
        <f t="shared" si="31"/>
        <v>1835.4000000006633</v>
      </c>
      <c r="Q7" s="7">
        <f t="shared" si="39"/>
        <v>5291.12</v>
      </c>
      <c r="R7" s="45">
        <f t="shared" si="32"/>
        <v>0</v>
      </c>
      <c r="S7" s="29">
        <f t="shared" si="33"/>
        <v>0</v>
      </c>
      <c r="T7" s="8">
        <f t="shared" si="41"/>
        <v>7.2570000000005166</v>
      </c>
      <c r="U7" s="31">
        <f t="shared" si="34"/>
        <v>13788.30000000098</v>
      </c>
      <c r="W7" s="159">
        <v>44566</v>
      </c>
      <c r="X7" s="160">
        <v>164252</v>
      </c>
      <c r="Y7" s="166">
        <f t="shared" si="40"/>
        <v>20</v>
      </c>
      <c r="Z7" s="160">
        <v>8391</v>
      </c>
      <c r="AA7" s="166">
        <f t="shared" ref="AA7:AA29" si="42">Z7-Z6</f>
        <v>1</v>
      </c>
      <c r="AB7" s="160">
        <f t="shared" si="35"/>
        <v>19.57</v>
      </c>
      <c r="AC7" s="166">
        <f t="shared" si="36"/>
        <v>0</v>
      </c>
      <c r="AD7" s="160">
        <v>186</v>
      </c>
      <c r="AE7" s="166">
        <f t="shared" si="37"/>
        <v>2</v>
      </c>
      <c r="AF7" s="160">
        <f t="shared" ref="AF7:AF30" si="43">AF6</f>
        <v>5531</v>
      </c>
      <c r="AG7" s="166">
        <f t="shared" si="38"/>
        <v>0</v>
      </c>
    </row>
    <row r="8" spans="1:33" ht="16.5" thickBot="1" x14ac:dyDescent="0.25">
      <c r="A8" s="9">
        <v>44598</v>
      </c>
      <c r="B8" s="162">
        <v>22858.879000000001</v>
      </c>
      <c r="C8" s="45">
        <f t="shared" si="22"/>
        <v>2.1759999999994761</v>
      </c>
      <c r="D8" s="29">
        <f t="shared" si="23"/>
        <v>4134.3999999990046</v>
      </c>
      <c r="E8" s="1">
        <v>4101.6279999999997</v>
      </c>
      <c r="F8" s="45">
        <f t="shared" si="24"/>
        <v>0.48999999999978172</v>
      </c>
      <c r="G8" s="29">
        <f t="shared" si="25"/>
        <v>930.99999999958527</v>
      </c>
      <c r="H8" s="1">
        <v>4714</v>
      </c>
      <c r="I8" s="45">
        <f t="shared" si="26"/>
        <v>4</v>
      </c>
      <c r="J8" s="29">
        <f t="shared" si="27"/>
        <v>7600</v>
      </c>
      <c r="K8" s="7">
        <v>13889.7</v>
      </c>
      <c r="L8" s="45">
        <f t="shared" si="28"/>
        <v>0</v>
      </c>
      <c r="M8" s="29">
        <f t="shared" si="29"/>
        <v>0</v>
      </c>
      <c r="N8" s="7">
        <v>3407.8829999999998</v>
      </c>
      <c r="O8" s="45">
        <f t="shared" si="30"/>
        <v>1.0339999999996508</v>
      </c>
      <c r="P8" s="29">
        <f t="shared" si="31"/>
        <v>1964.5999999993364</v>
      </c>
      <c r="Q8" s="7">
        <f t="shared" si="39"/>
        <v>5291.12</v>
      </c>
      <c r="R8" s="45">
        <f t="shared" si="32"/>
        <v>0</v>
      </c>
      <c r="S8" s="29">
        <f t="shared" si="33"/>
        <v>0</v>
      </c>
      <c r="T8" s="8">
        <f t="shared" si="41"/>
        <v>7.6999999999989086</v>
      </c>
      <c r="U8" s="31">
        <f t="shared" si="34"/>
        <v>14629.999999997926</v>
      </c>
      <c r="W8" s="159">
        <v>44567</v>
      </c>
      <c r="X8" s="160">
        <v>164262</v>
      </c>
      <c r="Y8" s="166">
        <f t="shared" si="40"/>
        <v>10</v>
      </c>
      <c r="Z8" s="160">
        <v>8400</v>
      </c>
      <c r="AA8" s="166">
        <f t="shared" si="42"/>
        <v>9</v>
      </c>
      <c r="AB8" s="160">
        <v>20</v>
      </c>
      <c r="AC8" s="166">
        <f t="shared" si="36"/>
        <v>0.42999999999999972</v>
      </c>
      <c r="AD8" s="160">
        <v>189</v>
      </c>
      <c r="AE8" s="166">
        <f t="shared" si="37"/>
        <v>3</v>
      </c>
      <c r="AF8" s="160">
        <f t="shared" si="43"/>
        <v>5531</v>
      </c>
      <c r="AG8" s="166">
        <f t="shared" si="38"/>
        <v>0</v>
      </c>
    </row>
    <row r="9" spans="1:33" ht="16.5" thickBot="1" x14ac:dyDescent="0.25">
      <c r="A9" s="9">
        <v>44599</v>
      </c>
      <c r="B9" s="162">
        <v>22861.688999999998</v>
      </c>
      <c r="C9" s="45">
        <f t="shared" si="22"/>
        <v>2.8099999999976717</v>
      </c>
      <c r="D9" s="29">
        <f t="shared" si="23"/>
        <v>5338.9999999955762</v>
      </c>
      <c r="E9" s="1">
        <v>4102.3230000000003</v>
      </c>
      <c r="F9" s="45">
        <f t="shared" si="24"/>
        <v>0.69500000000061846</v>
      </c>
      <c r="G9" s="29">
        <f t="shared" si="25"/>
        <v>1320.5000000011751</v>
      </c>
      <c r="H9" s="1">
        <v>4720</v>
      </c>
      <c r="I9" s="45">
        <f t="shared" si="26"/>
        <v>6</v>
      </c>
      <c r="J9" s="29">
        <f t="shared" si="27"/>
        <v>11399.999999999998</v>
      </c>
      <c r="K9" s="7">
        <v>13889.7</v>
      </c>
      <c r="L9" s="45">
        <f t="shared" si="28"/>
        <v>0</v>
      </c>
      <c r="M9" s="29">
        <f t="shared" si="29"/>
        <v>0</v>
      </c>
      <c r="N9" s="7">
        <v>3408.9830000000002</v>
      </c>
      <c r="O9" s="45">
        <f t="shared" si="30"/>
        <v>1.1000000000003638</v>
      </c>
      <c r="P9" s="29">
        <f t="shared" si="31"/>
        <v>2090.0000000006912</v>
      </c>
      <c r="Q9" s="7">
        <v>5291.12</v>
      </c>
      <c r="R9" s="45">
        <f t="shared" si="32"/>
        <v>0</v>
      </c>
      <c r="S9" s="29">
        <f t="shared" si="33"/>
        <v>0</v>
      </c>
      <c r="T9" s="8">
        <f t="shared" si="41"/>
        <v>10.604999999998654</v>
      </c>
      <c r="U9" s="31">
        <f t="shared" si="34"/>
        <v>20149.499999997443</v>
      </c>
      <c r="W9" s="159">
        <v>44568</v>
      </c>
      <c r="X9" s="160">
        <v>164273</v>
      </c>
      <c r="Y9" s="166">
        <f t="shared" si="40"/>
        <v>11</v>
      </c>
      <c r="Z9" s="160">
        <v>8407</v>
      </c>
      <c r="AA9" s="166">
        <f t="shared" si="42"/>
        <v>7</v>
      </c>
      <c r="AB9" s="160">
        <f t="shared" si="35"/>
        <v>20</v>
      </c>
      <c r="AC9" s="166">
        <f>AB9-AB8</f>
        <v>0</v>
      </c>
      <c r="AD9" s="160">
        <v>191</v>
      </c>
      <c r="AE9" s="166">
        <f t="shared" si="37"/>
        <v>2</v>
      </c>
      <c r="AF9" s="160">
        <v>5539</v>
      </c>
      <c r="AG9" s="166">
        <f t="shared" si="38"/>
        <v>8</v>
      </c>
    </row>
    <row r="10" spans="1:33" ht="16.5" thickBot="1" x14ac:dyDescent="0.25">
      <c r="A10" s="9">
        <v>44600</v>
      </c>
      <c r="B10" s="162">
        <v>22863.317999999999</v>
      </c>
      <c r="C10" s="45">
        <f t="shared" si="22"/>
        <v>1.6290000000008149</v>
      </c>
      <c r="D10" s="29">
        <f t="shared" si="23"/>
        <v>3095.1000000015479</v>
      </c>
      <c r="E10" s="1">
        <v>4102.6729999999998</v>
      </c>
      <c r="F10" s="45">
        <f t="shared" si="24"/>
        <v>0.3499999999994543</v>
      </c>
      <c r="G10" s="29">
        <f t="shared" si="25"/>
        <v>664.99999999896318</v>
      </c>
      <c r="H10" s="1">
        <v>4723</v>
      </c>
      <c r="I10" s="45">
        <f t="shared" si="26"/>
        <v>3</v>
      </c>
      <c r="J10" s="29">
        <f t="shared" si="27"/>
        <v>5699.9999999999991</v>
      </c>
      <c r="K10" s="7">
        <v>13889.7</v>
      </c>
      <c r="L10" s="45">
        <f t="shared" si="28"/>
        <v>0</v>
      </c>
      <c r="M10" s="29">
        <f t="shared" si="29"/>
        <v>0</v>
      </c>
      <c r="N10" s="7">
        <v>3409.58</v>
      </c>
      <c r="O10" s="45">
        <f>IF((N10-N9)&lt;0,"0",(N10-N9))</f>
        <v>0.59699999999975262</v>
      </c>
      <c r="P10" s="29">
        <f t="shared" si="31"/>
        <v>1134.29999999953</v>
      </c>
      <c r="Q10" s="7">
        <v>5291.12</v>
      </c>
      <c r="R10" s="45">
        <f t="shared" si="32"/>
        <v>0</v>
      </c>
      <c r="S10" s="29">
        <f t="shared" si="33"/>
        <v>0</v>
      </c>
      <c r="T10" s="8">
        <f t="shared" si="41"/>
        <v>5.5760000000000218</v>
      </c>
      <c r="U10" s="31">
        <f t="shared" si="34"/>
        <v>10594.400000000041</v>
      </c>
      <c r="W10" s="159">
        <v>44569</v>
      </c>
      <c r="X10" s="160">
        <v>164313</v>
      </c>
      <c r="Y10" s="166">
        <f t="shared" si="40"/>
        <v>40</v>
      </c>
      <c r="Z10" s="160">
        <v>8416</v>
      </c>
      <c r="AA10" s="166">
        <f t="shared" si="42"/>
        <v>9</v>
      </c>
      <c r="AB10" s="160">
        <f t="shared" si="35"/>
        <v>20</v>
      </c>
      <c r="AC10" s="166">
        <f t="shared" ref="AC10:AC30" si="44">AB10-AB9</f>
        <v>0</v>
      </c>
      <c r="AD10" s="160">
        <v>195</v>
      </c>
      <c r="AE10" s="166">
        <f t="shared" si="37"/>
        <v>4</v>
      </c>
      <c r="AF10" s="160">
        <v>5549</v>
      </c>
      <c r="AG10" s="166">
        <f t="shared" si="38"/>
        <v>10</v>
      </c>
    </row>
    <row r="11" spans="1:33" ht="16.5" thickBot="1" x14ac:dyDescent="0.25">
      <c r="A11" s="9">
        <v>44601</v>
      </c>
      <c r="B11" s="162">
        <f t="shared" ref="B10:B30" si="45">B10</f>
        <v>22863.317999999999</v>
      </c>
      <c r="C11" s="45">
        <f t="shared" si="22"/>
        <v>0</v>
      </c>
      <c r="D11" s="29">
        <f t="shared" si="23"/>
        <v>0</v>
      </c>
      <c r="E11" s="1">
        <f t="shared" ref="E10:E30" si="46">E10</f>
        <v>4102.6729999999998</v>
      </c>
      <c r="F11" s="45">
        <f t="shared" si="24"/>
        <v>0</v>
      </c>
      <c r="G11" s="29">
        <f t="shared" si="25"/>
        <v>0</v>
      </c>
      <c r="H11" s="1">
        <f t="shared" ref="H10:H30" si="47">H10</f>
        <v>4723</v>
      </c>
      <c r="I11" s="45">
        <f t="shared" si="26"/>
        <v>0</v>
      </c>
      <c r="J11" s="29">
        <f t="shared" si="27"/>
        <v>0</v>
      </c>
      <c r="K11" s="7">
        <v>13889.7</v>
      </c>
      <c r="L11" s="45">
        <f t="shared" si="28"/>
        <v>0</v>
      </c>
      <c r="M11" s="29">
        <f t="shared" si="29"/>
        <v>0</v>
      </c>
      <c r="N11" s="7">
        <f t="shared" ref="N10:N30" si="48">N10</f>
        <v>3409.58</v>
      </c>
      <c r="O11" s="45">
        <f t="shared" si="30"/>
        <v>0</v>
      </c>
      <c r="P11" s="29">
        <f t="shared" si="31"/>
        <v>0</v>
      </c>
      <c r="Q11" s="7">
        <f t="shared" si="39"/>
        <v>5291.12</v>
      </c>
      <c r="R11" s="45">
        <f t="shared" si="32"/>
        <v>0</v>
      </c>
      <c r="S11" s="29">
        <f t="shared" si="33"/>
        <v>0</v>
      </c>
      <c r="T11" s="8">
        <f t="shared" si="41"/>
        <v>0</v>
      </c>
      <c r="U11" s="31">
        <f t="shared" si="34"/>
        <v>0</v>
      </c>
      <c r="W11" s="159">
        <v>44570</v>
      </c>
      <c r="X11" s="160">
        <f t="shared" ref="X10:X30" si="49">X10</f>
        <v>164313</v>
      </c>
      <c r="Y11" s="166">
        <f t="shared" si="40"/>
        <v>0</v>
      </c>
      <c r="Z11" s="160">
        <f t="shared" ref="Z10:Z30" si="50">Z10</f>
        <v>8416</v>
      </c>
      <c r="AA11" s="166">
        <f t="shared" si="42"/>
        <v>0</v>
      </c>
      <c r="AB11" s="160">
        <f t="shared" si="35"/>
        <v>20</v>
      </c>
      <c r="AC11" s="166">
        <f t="shared" si="44"/>
        <v>0</v>
      </c>
      <c r="AD11" s="160">
        <f t="shared" ref="AD10:AD30" si="51">AD10</f>
        <v>195</v>
      </c>
      <c r="AE11" s="166">
        <f t="shared" si="37"/>
        <v>0</v>
      </c>
      <c r="AF11" s="160">
        <f t="shared" si="43"/>
        <v>5549</v>
      </c>
      <c r="AG11" s="166">
        <f t="shared" si="38"/>
        <v>0</v>
      </c>
    </row>
    <row r="12" spans="1:33" ht="16.5" thickBot="1" x14ac:dyDescent="0.25">
      <c r="A12" s="9">
        <v>44602</v>
      </c>
      <c r="B12" s="162">
        <f t="shared" si="45"/>
        <v>22863.317999999999</v>
      </c>
      <c r="C12" s="45">
        <f t="shared" si="22"/>
        <v>0</v>
      </c>
      <c r="D12" s="29">
        <f t="shared" si="23"/>
        <v>0</v>
      </c>
      <c r="E12" s="1">
        <f t="shared" si="46"/>
        <v>4102.6729999999998</v>
      </c>
      <c r="F12" s="45">
        <f t="shared" si="24"/>
        <v>0</v>
      </c>
      <c r="G12" s="29">
        <f t="shared" si="25"/>
        <v>0</v>
      </c>
      <c r="H12" s="1">
        <f t="shared" si="47"/>
        <v>4723</v>
      </c>
      <c r="I12" s="45">
        <f t="shared" si="26"/>
        <v>0</v>
      </c>
      <c r="J12" s="29">
        <f t="shared" si="27"/>
        <v>0</v>
      </c>
      <c r="K12" s="7">
        <v>13889.7</v>
      </c>
      <c r="L12" s="45">
        <f t="shared" si="28"/>
        <v>0</v>
      </c>
      <c r="M12" s="29">
        <f t="shared" si="29"/>
        <v>0</v>
      </c>
      <c r="N12" s="7">
        <f t="shared" si="48"/>
        <v>3409.58</v>
      </c>
      <c r="O12" s="45">
        <f t="shared" si="30"/>
        <v>0</v>
      </c>
      <c r="P12" s="29">
        <f t="shared" si="31"/>
        <v>0</v>
      </c>
      <c r="Q12" s="7">
        <f t="shared" si="39"/>
        <v>5291.12</v>
      </c>
      <c r="R12" s="45">
        <f t="shared" si="32"/>
        <v>0</v>
      </c>
      <c r="S12" s="29">
        <f t="shared" si="33"/>
        <v>0</v>
      </c>
      <c r="T12" s="8">
        <f t="shared" si="41"/>
        <v>0</v>
      </c>
      <c r="U12" s="31">
        <f t="shared" si="34"/>
        <v>0</v>
      </c>
      <c r="W12" s="159">
        <v>44571</v>
      </c>
      <c r="X12" s="160">
        <f t="shared" si="49"/>
        <v>164313</v>
      </c>
      <c r="Y12" s="166">
        <f t="shared" si="40"/>
        <v>0</v>
      </c>
      <c r="Z12" s="160">
        <f t="shared" si="50"/>
        <v>8416</v>
      </c>
      <c r="AA12" s="166">
        <f t="shared" si="42"/>
        <v>0</v>
      </c>
      <c r="AB12" s="160">
        <f t="shared" si="35"/>
        <v>20</v>
      </c>
      <c r="AC12" s="166">
        <f t="shared" si="44"/>
        <v>0</v>
      </c>
      <c r="AD12" s="160">
        <f t="shared" si="51"/>
        <v>195</v>
      </c>
      <c r="AE12" s="166">
        <f t="shared" si="37"/>
        <v>0</v>
      </c>
      <c r="AF12" s="160">
        <f t="shared" si="43"/>
        <v>5549</v>
      </c>
      <c r="AG12" s="166">
        <f t="shared" si="38"/>
        <v>0</v>
      </c>
    </row>
    <row r="13" spans="1:33" ht="16.5" thickBot="1" x14ac:dyDescent="0.25">
      <c r="A13" s="9">
        <v>44603</v>
      </c>
      <c r="B13" s="162">
        <f t="shared" si="45"/>
        <v>22863.317999999999</v>
      </c>
      <c r="C13" s="45">
        <f t="shared" si="22"/>
        <v>0</v>
      </c>
      <c r="D13" s="29">
        <f t="shared" si="23"/>
        <v>0</v>
      </c>
      <c r="E13" s="1">
        <f t="shared" si="46"/>
        <v>4102.6729999999998</v>
      </c>
      <c r="F13" s="45">
        <f t="shared" si="24"/>
        <v>0</v>
      </c>
      <c r="G13" s="29">
        <f t="shared" si="25"/>
        <v>0</v>
      </c>
      <c r="H13" s="1">
        <f t="shared" si="47"/>
        <v>4723</v>
      </c>
      <c r="I13" s="45">
        <f t="shared" si="26"/>
        <v>0</v>
      </c>
      <c r="J13" s="29">
        <f t="shared" si="27"/>
        <v>0</v>
      </c>
      <c r="K13" s="7">
        <v>13889.7</v>
      </c>
      <c r="L13" s="45">
        <f t="shared" si="28"/>
        <v>0</v>
      </c>
      <c r="M13" s="29">
        <f t="shared" si="29"/>
        <v>0</v>
      </c>
      <c r="N13" s="7">
        <f t="shared" si="48"/>
        <v>3409.58</v>
      </c>
      <c r="O13" s="45">
        <f t="shared" si="30"/>
        <v>0</v>
      </c>
      <c r="P13" s="29">
        <f t="shared" si="31"/>
        <v>0</v>
      </c>
      <c r="Q13" s="7">
        <f t="shared" si="39"/>
        <v>5291.12</v>
      </c>
      <c r="R13" s="45">
        <f t="shared" si="32"/>
        <v>0</v>
      </c>
      <c r="S13" s="29">
        <f t="shared" si="33"/>
        <v>0</v>
      </c>
      <c r="T13" s="8">
        <f t="shared" si="41"/>
        <v>0</v>
      </c>
      <c r="U13" s="31">
        <f t="shared" si="34"/>
        <v>0</v>
      </c>
      <c r="W13" s="159">
        <v>44572</v>
      </c>
      <c r="X13" s="160">
        <f t="shared" si="49"/>
        <v>164313</v>
      </c>
      <c r="Y13" s="166">
        <f t="shared" si="40"/>
        <v>0</v>
      </c>
      <c r="Z13" s="160">
        <f t="shared" si="50"/>
        <v>8416</v>
      </c>
      <c r="AA13" s="166">
        <f t="shared" si="42"/>
        <v>0</v>
      </c>
      <c r="AB13" s="160">
        <f t="shared" si="35"/>
        <v>20</v>
      </c>
      <c r="AC13" s="166">
        <f t="shared" si="44"/>
        <v>0</v>
      </c>
      <c r="AD13" s="160">
        <f t="shared" si="51"/>
        <v>195</v>
      </c>
      <c r="AE13" s="166">
        <f t="shared" si="37"/>
        <v>0</v>
      </c>
      <c r="AF13" s="160">
        <f t="shared" si="43"/>
        <v>5549</v>
      </c>
      <c r="AG13" s="166">
        <f t="shared" si="38"/>
        <v>0</v>
      </c>
    </row>
    <row r="14" spans="1:33" ht="16.5" thickBot="1" x14ac:dyDescent="0.25">
      <c r="A14" s="9">
        <v>44604</v>
      </c>
      <c r="B14" s="162">
        <f t="shared" si="45"/>
        <v>22863.317999999999</v>
      </c>
      <c r="C14" s="45">
        <f t="shared" si="22"/>
        <v>0</v>
      </c>
      <c r="D14" s="29">
        <f t="shared" si="23"/>
        <v>0</v>
      </c>
      <c r="E14" s="1">
        <f t="shared" si="46"/>
        <v>4102.6729999999998</v>
      </c>
      <c r="F14" s="45">
        <f t="shared" si="24"/>
        <v>0</v>
      </c>
      <c r="G14" s="29">
        <f t="shared" si="25"/>
        <v>0</v>
      </c>
      <c r="H14" s="1">
        <f t="shared" si="47"/>
        <v>4723</v>
      </c>
      <c r="I14" s="45">
        <f t="shared" si="26"/>
        <v>0</v>
      </c>
      <c r="J14" s="29">
        <f t="shared" si="27"/>
        <v>0</v>
      </c>
      <c r="K14" s="7">
        <v>13889.7</v>
      </c>
      <c r="L14" s="45">
        <f t="shared" si="28"/>
        <v>0</v>
      </c>
      <c r="M14" s="29">
        <f t="shared" si="29"/>
        <v>0</v>
      </c>
      <c r="N14" s="7">
        <f t="shared" si="48"/>
        <v>3409.58</v>
      </c>
      <c r="O14" s="45">
        <f>IF((N14-N13)&lt;0,"0",(N14-N13))</f>
        <v>0</v>
      </c>
      <c r="P14" s="29">
        <f t="shared" si="31"/>
        <v>0</v>
      </c>
      <c r="Q14" s="7">
        <f t="shared" si="39"/>
        <v>5291.12</v>
      </c>
      <c r="R14" s="45">
        <f t="shared" si="32"/>
        <v>0</v>
      </c>
      <c r="S14" s="29">
        <f t="shared" si="33"/>
        <v>0</v>
      </c>
      <c r="T14" s="8">
        <f t="shared" si="41"/>
        <v>0</v>
      </c>
      <c r="U14" s="31">
        <f t="shared" si="34"/>
        <v>0</v>
      </c>
      <c r="W14" s="159">
        <v>44573</v>
      </c>
      <c r="X14" s="160">
        <f t="shared" si="49"/>
        <v>164313</v>
      </c>
      <c r="Y14" s="166">
        <f t="shared" si="40"/>
        <v>0</v>
      </c>
      <c r="Z14" s="160">
        <f t="shared" si="50"/>
        <v>8416</v>
      </c>
      <c r="AA14" s="166">
        <f t="shared" si="42"/>
        <v>0</v>
      </c>
      <c r="AB14" s="160">
        <f t="shared" si="35"/>
        <v>20</v>
      </c>
      <c r="AC14" s="166">
        <f t="shared" si="44"/>
        <v>0</v>
      </c>
      <c r="AD14" s="160">
        <f t="shared" si="51"/>
        <v>195</v>
      </c>
      <c r="AE14" s="166">
        <f t="shared" si="37"/>
        <v>0</v>
      </c>
      <c r="AF14" s="160">
        <f t="shared" si="43"/>
        <v>5549</v>
      </c>
      <c r="AG14" s="166">
        <f t="shared" si="38"/>
        <v>0</v>
      </c>
    </row>
    <row r="15" spans="1:33" ht="16.5" thickBot="1" x14ac:dyDescent="0.25">
      <c r="A15" s="9">
        <v>44605</v>
      </c>
      <c r="B15" s="162">
        <f t="shared" si="45"/>
        <v>22863.317999999999</v>
      </c>
      <c r="C15" s="45">
        <f t="shared" ref="C15" si="52">IF((B15-B14)&lt;0,"0",(B15-B14))</f>
        <v>0</v>
      </c>
      <c r="D15" s="29">
        <f t="shared" ref="D15" si="53">C15*1.9*1000</f>
        <v>0</v>
      </c>
      <c r="E15" s="1">
        <f t="shared" si="46"/>
        <v>4102.6729999999998</v>
      </c>
      <c r="F15" s="45">
        <f t="shared" ref="F15" si="54">IF((E15-E14)&lt;0,"0",(E15-E14))</f>
        <v>0</v>
      </c>
      <c r="G15" s="29">
        <f t="shared" ref="G15" si="55">F15*1.9*1000</f>
        <v>0</v>
      </c>
      <c r="H15" s="1">
        <f t="shared" si="47"/>
        <v>4723</v>
      </c>
      <c r="I15" s="45">
        <f t="shared" ref="I15" si="56">IF((H15-H14)&lt;0,"0",(H15-H14))</f>
        <v>0</v>
      </c>
      <c r="J15" s="29">
        <f t="shared" ref="J15" si="57">I15*1.9*1000</f>
        <v>0</v>
      </c>
      <c r="K15" s="7">
        <v>13889.7</v>
      </c>
      <c r="L15" s="45">
        <f t="shared" ref="L15" si="58">IF((K15-K14)&lt;0,"0",(K15-K14))</f>
        <v>0</v>
      </c>
      <c r="M15" s="29">
        <f t="shared" ref="M15" si="59">L15*1.9*1000</f>
        <v>0</v>
      </c>
      <c r="N15" s="7">
        <f t="shared" si="48"/>
        <v>3409.58</v>
      </c>
      <c r="O15" s="45">
        <f>IF((N15-N14)&lt;0,"0",(N15-N14))</f>
        <v>0</v>
      </c>
      <c r="P15" s="29">
        <f t="shared" ref="P15" si="60">O15*1.9*1000</f>
        <v>0</v>
      </c>
      <c r="Q15" s="7">
        <f t="shared" si="39"/>
        <v>5291.12</v>
      </c>
      <c r="R15" s="45">
        <f t="shared" ref="R15" si="61">IF((Q15-Q14)&lt;0,"0",(Q15-Q14))</f>
        <v>0</v>
      </c>
      <c r="S15" s="29">
        <f t="shared" ref="S15" si="62">R15*1.9*1000</f>
        <v>0</v>
      </c>
      <c r="T15" s="8">
        <f t="shared" ref="T15" si="63">C15+F15+I15+L15+O15+R15</f>
        <v>0</v>
      </c>
      <c r="U15" s="31">
        <f t="shared" ref="U15" si="64">T15*1.9*1000</f>
        <v>0</v>
      </c>
      <c r="W15" s="159">
        <v>44574</v>
      </c>
      <c r="X15" s="160">
        <f t="shared" si="49"/>
        <v>164313</v>
      </c>
      <c r="Y15" s="166">
        <f t="shared" ref="Y15" si="65">X15-X14</f>
        <v>0</v>
      </c>
      <c r="Z15" s="160">
        <f t="shared" si="50"/>
        <v>8416</v>
      </c>
      <c r="AA15" s="166">
        <f t="shared" ref="AA15" si="66">Z15-Z14</f>
        <v>0</v>
      </c>
      <c r="AB15" s="160">
        <f t="shared" si="35"/>
        <v>20</v>
      </c>
      <c r="AC15" s="166">
        <f t="shared" ref="AC15" si="67">AB15-AB14</f>
        <v>0</v>
      </c>
      <c r="AD15" s="160">
        <f t="shared" si="51"/>
        <v>195</v>
      </c>
      <c r="AE15" s="166">
        <f t="shared" si="37"/>
        <v>0</v>
      </c>
      <c r="AF15" s="160">
        <f t="shared" si="43"/>
        <v>5549</v>
      </c>
      <c r="AG15" s="166">
        <f t="shared" si="38"/>
        <v>0</v>
      </c>
    </row>
    <row r="16" spans="1:33" ht="16.5" thickBot="1" x14ac:dyDescent="0.25">
      <c r="A16" s="9">
        <v>44606</v>
      </c>
      <c r="B16" s="162">
        <f t="shared" si="45"/>
        <v>22863.317999999999</v>
      </c>
      <c r="C16" s="45">
        <f t="shared" si="22"/>
        <v>0</v>
      </c>
      <c r="D16" s="29">
        <f t="shared" si="23"/>
        <v>0</v>
      </c>
      <c r="E16" s="1">
        <f t="shared" si="46"/>
        <v>4102.6729999999998</v>
      </c>
      <c r="F16" s="45">
        <f t="shared" si="24"/>
        <v>0</v>
      </c>
      <c r="G16" s="29">
        <f t="shared" si="25"/>
        <v>0</v>
      </c>
      <c r="H16" s="1">
        <f t="shared" si="47"/>
        <v>4723</v>
      </c>
      <c r="I16" s="45">
        <f t="shared" si="26"/>
        <v>0</v>
      </c>
      <c r="J16" s="29">
        <f t="shared" si="27"/>
        <v>0</v>
      </c>
      <c r="K16" s="7">
        <v>13889.7</v>
      </c>
      <c r="L16" s="45">
        <f t="shared" si="28"/>
        <v>0</v>
      </c>
      <c r="M16" s="29">
        <f t="shared" si="29"/>
        <v>0</v>
      </c>
      <c r="N16" s="7">
        <f t="shared" si="48"/>
        <v>3409.58</v>
      </c>
      <c r="O16" s="45">
        <f t="shared" si="30"/>
        <v>0</v>
      </c>
      <c r="P16" s="29">
        <f t="shared" si="31"/>
        <v>0</v>
      </c>
      <c r="Q16" s="7">
        <f t="shared" si="39"/>
        <v>5291.12</v>
      </c>
      <c r="R16" s="45">
        <f t="shared" si="32"/>
        <v>0</v>
      </c>
      <c r="S16" s="29">
        <f t="shared" si="33"/>
        <v>0</v>
      </c>
      <c r="T16" s="8">
        <f t="shared" si="41"/>
        <v>0</v>
      </c>
      <c r="U16" s="31">
        <f t="shared" si="34"/>
        <v>0</v>
      </c>
      <c r="W16" s="159">
        <v>44575</v>
      </c>
      <c r="X16" s="160">
        <f t="shared" si="49"/>
        <v>164313</v>
      </c>
      <c r="Y16" s="166">
        <f t="shared" si="40"/>
        <v>0</v>
      </c>
      <c r="Z16" s="160">
        <f t="shared" si="50"/>
        <v>8416</v>
      </c>
      <c r="AA16" s="166">
        <f t="shared" si="42"/>
        <v>0</v>
      </c>
      <c r="AB16" s="160">
        <f t="shared" si="35"/>
        <v>20</v>
      </c>
      <c r="AC16" s="166">
        <f t="shared" si="44"/>
        <v>0</v>
      </c>
      <c r="AD16" s="160">
        <f t="shared" si="51"/>
        <v>195</v>
      </c>
      <c r="AE16" s="166">
        <f t="shared" si="37"/>
        <v>0</v>
      </c>
      <c r="AF16" s="160">
        <f t="shared" si="43"/>
        <v>5549</v>
      </c>
      <c r="AG16" s="166">
        <f t="shared" si="38"/>
        <v>0</v>
      </c>
    </row>
    <row r="17" spans="1:33" ht="16.5" thickBot="1" x14ac:dyDescent="0.25">
      <c r="A17" s="9">
        <v>44607</v>
      </c>
      <c r="B17" s="162">
        <f t="shared" si="45"/>
        <v>22863.317999999999</v>
      </c>
      <c r="C17" s="45">
        <f t="shared" si="22"/>
        <v>0</v>
      </c>
      <c r="D17" s="29">
        <f t="shared" si="23"/>
        <v>0</v>
      </c>
      <c r="E17" s="1">
        <f t="shared" si="46"/>
        <v>4102.6729999999998</v>
      </c>
      <c r="F17" s="45">
        <f t="shared" si="24"/>
        <v>0</v>
      </c>
      <c r="G17" s="29">
        <f t="shared" si="25"/>
        <v>0</v>
      </c>
      <c r="H17" s="1">
        <f t="shared" si="47"/>
        <v>4723</v>
      </c>
      <c r="I17" s="45">
        <f t="shared" si="26"/>
        <v>0</v>
      </c>
      <c r="J17" s="29">
        <f t="shared" si="27"/>
        <v>0</v>
      </c>
      <c r="K17" s="7">
        <v>13889.7</v>
      </c>
      <c r="L17" s="45">
        <f t="shared" si="28"/>
        <v>0</v>
      </c>
      <c r="M17" s="29">
        <f t="shared" si="29"/>
        <v>0</v>
      </c>
      <c r="N17" s="7">
        <f t="shared" si="48"/>
        <v>3409.58</v>
      </c>
      <c r="O17" s="45">
        <f t="shared" si="30"/>
        <v>0</v>
      </c>
      <c r="P17" s="29">
        <f t="shared" si="31"/>
        <v>0</v>
      </c>
      <c r="Q17" s="7">
        <f t="shared" si="39"/>
        <v>5291.12</v>
      </c>
      <c r="R17" s="45">
        <f t="shared" si="32"/>
        <v>0</v>
      </c>
      <c r="S17" s="29">
        <f t="shared" si="33"/>
        <v>0</v>
      </c>
      <c r="T17" s="8">
        <f t="shared" si="41"/>
        <v>0</v>
      </c>
      <c r="U17" s="31">
        <f t="shared" si="34"/>
        <v>0</v>
      </c>
      <c r="W17" s="159">
        <v>44576</v>
      </c>
      <c r="X17" s="160">
        <f t="shared" si="49"/>
        <v>164313</v>
      </c>
      <c r="Y17" s="166">
        <f t="shared" si="40"/>
        <v>0</v>
      </c>
      <c r="Z17" s="160">
        <f t="shared" si="50"/>
        <v>8416</v>
      </c>
      <c r="AA17" s="166">
        <f t="shared" si="42"/>
        <v>0</v>
      </c>
      <c r="AB17" s="160">
        <f t="shared" si="35"/>
        <v>20</v>
      </c>
      <c r="AC17" s="166">
        <f t="shared" si="44"/>
        <v>0</v>
      </c>
      <c r="AD17" s="160">
        <f t="shared" si="51"/>
        <v>195</v>
      </c>
      <c r="AE17" s="166">
        <f t="shared" si="37"/>
        <v>0</v>
      </c>
      <c r="AF17" s="160">
        <f t="shared" si="43"/>
        <v>5549</v>
      </c>
      <c r="AG17" s="166">
        <f t="shared" si="38"/>
        <v>0</v>
      </c>
    </row>
    <row r="18" spans="1:33" ht="16.5" thickBot="1" x14ac:dyDescent="0.25">
      <c r="A18" s="9">
        <v>44608</v>
      </c>
      <c r="B18" s="162">
        <f t="shared" si="45"/>
        <v>22863.317999999999</v>
      </c>
      <c r="C18" s="45">
        <f t="shared" si="22"/>
        <v>0</v>
      </c>
      <c r="D18" s="29">
        <f t="shared" si="23"/>
        <v>0</v>
      </c>
      <c r="E18" s="1">
        <f t="shared" si="46"/>
        <v>4102.6729999999998</v>
      </c>
      <c r="F18" s="45">
        <f t="shared" si="24"/>
        <v>0</v>
      </c>
      <c r="G18" s="29">
        <f t="shared" si="25"/>
        <v>0</v>
      </c>
      <c r="H18" s="1">
        <f t="shared" si="47"/>
        <v>4723</v>
      </c>
      <c r="I18" s="45">
        <f t="shared" si="26"/>
        <v>0</v>
      </c>
      <c r="J18" s="29">
        <f t="shared" si="27"/>
        <v>0</v>
      </c>
      <c r="K18" s="7">
        <v>13889.7</v>
      </c>
      <c r="L18" s="45">
        <f t="shared" si="28"/>
        <v>0</v>
      </c>
      <c r="M18" s="29">
        <f t="shared" si="29"/>
        <v>0</v>
      </c>
      <c r="N18" s="7">
        <f t="shared" si="48"/>
        <v>3409.58</v>
      </c>
      <c r="O18" s="45">
        <f t="shared" si="30"/>
        <v>0</v>
      </c>
      <c r="P18" s="29">
        <f t="shared" si="31"/>
        <v>0</v>
      </c>
      <c r="Q18" s="7">
        <f t="shared" si="39"/>
        <v>5291.12</v>
      </c>
      <c r="R18" s="45">
        <f t="shared" si="32"/>
        <v>0</v>
      </c>
      <c r="S18" s="29">
        <f t="shared" si="33"/>
        <v>0</v>
      </c>
      <c r="T18" s="8">
        <f t="shared" si="41"/>
        <v>0</v>
      </c>
      <c r="U18" s="31">
        <f t="shared" si="34"/>
        <v>0</v>
      </c>
      <c r="W18" s="159">
        <v>44577</v>
      </c>
      <c r="X18" s="160">
        <f t="shared" si="49"/>
        <v>164313</v>
      </c>
      <c r="Y18" s="166">
        <f t="shared" si="40"/>
        <v>0</v>
      </c>
      <c r="Z18" s="160">
        <f t="shared" si="50"/>
        <v>8416</v>
      </c>
      <c r="AA18" s="166">
        <f t="shared" si="42"/>
        <v>0</v>
      </c>
      <c r="AB18" s="160">
        <f t="shared" si="35"/>
        <v>20</v>
      </c>
      <c r="AC18" s="166">
        <f t="shared" si="44"/>
        <v>0</v>
      </c>
      <c r="AD18" s="160">
        <f t="shared" si="51"/>
        <v>195</v>
      </c>
      <c r="AE18" s="166">
        <f t="shared" si="37"/>
        <v>0</v>
      </c>
      <c r="AF18" s="160">
        <f t="shared" si="43"/>
        <v>5549</v>
      </c>
      <c r="AG18" s="166">
        <f t="shared" si="38"/>
        <v>0</v>
      </c>
    </row>
    <row r="19" spans="1:33" ht="16.5" thickBot="1" x14ac:dyDescent="0.25">
      <c r="A19" s="9">
        <v>44609</v>
      </c>
      <c r="B19" s="162">
        <f t="shared" si="45"/>
        <v>22863.317999999999</v>
      </c>
      <c r="C19" s="45">
        <f t="shared" si="22"/>
        <v>0</v>
      </c>
      <c r="D19" s="29">
        <f t="shared" si="23"/>
        <v>0</v>
      </c>
      <c r="E19" s="1">
        <f t="shared" si="46"/>
        <v>4102.6729999999998</v>
      </c>
      <c r="F19" s="45">
        <f t="shared" si="24"/>
        <v>0</v>
      </c>
      <c r="G19" s="29">
        <f t="shared" si="25"/>
        <v>0</v>
      </c>
      <c r="H19" s="1">
        <f t="shared" si="47"/>
        <v>4723</v>
      </c>
      <c r="I19" s="45">
        <f t="shared" si="26"/>
        <v>0</v>
      </c>
      <c r="J19" s="29">
        <f t="shared" si="27"/>
        <v>0</v>
      </c>
      <c r="K19" s="7">
        <v>13889.7</v>
      </c>
      <c r="L19" s="45">
        <f t="shared" si="28"/>
        <v>0</v>
      </c>
      <c r="M19" s="29">
        <f t="shared" si="29"/>
        <v>0</v>
      </c>
      <c r="N19" s="7">
        <f t="shared" si="48"/>
        <v>3409.58</v>
      </c>
      <c r="O19" s="45">
        <f t="shared" si="30"/>
        <v>0</v>
      </c>
      <c r="P19" s="29">
        <f t="shared" si="31"/>
        <v>0</v>
      </c>
      <c r="Q19" s="7">
        <f t="shared" si="39"/>
        <v>5291.12</v>
      </c>
      <c r="R19" s="45">
        <f t="shared" si="32"/>
        <v>0</v>
      </c>
      <c r="S19" s="29">
        <f t="shared" si="33"/>
        <v>0</v>
      </c>
      <c r="T19" s="8">
        <f t="shared" si="41"/>
        <v>0</v>
      </c>
      <c r="U19" s="31">
        <f t="shared" si="34"/>
        <v>0</v>
      </c>
      <c r="W19" s="159">
        <v>44578</v>
      </c>
      <c r="X19" s="160">
        <f t="shared" si="49"/>
        <v>164313</v>
      </c>
      <c r="Y19" s="166">
        <f t="shared" si="40"/>
        <v>0</v>
      </c>
      <c r="Z19" s="160">
        <f t="shared" si="50"/>
        <v>8416</v>
      </c>
      <c r="AA19" s="166">
        <f t="shared" si="42"/>
        <v>0</v>
      </c>
      <c r="AB19" s="160">
        <f t="shared" si="35"/>
        <v>20</v>
      </c>
      <c r="AC19" s="166">
        <f t="shared" si="44"/>
        <v>0</v>
      </c>
      <c r="AD19" s="160">
        <f t="shared" si="51"/>
        <v>195</v>
      </c>
      <c r="AE19" s="166">
        <f t="shared" si="37"/>
        <v>0</v>
      </c>
      <c r="AF19" s="160">
        <f t="shared" si="43"/>
        <v>5549</v>
      </c>
      <c r="AG19" s="166">
        <f t="shared" si="38"/>
        <v>0</v>
      </c>
    </row>
    <row r="20" spans="1:33" ht="16.5" thickBot="1" x14ac:dyDescent="0.25">
      <c r="A20" s="9">
        <v>44610</v>
      </c>
      <c r="B20" s="162">
        <f t="shared" si="45"/>
        <v>22863.317999999999</v>
      </c>
      <c r="C20" s="45">
        <f t="shared" si="22"/>
        <v>0</v>
      </c>
      <c r="D20" s="29">
        <f t="shared" si="23"/>
        <v>0</v>
      </c>
      <c r="E20" s="1">
        <f t="shared" si="46"/>
        <v>4102.6729999999998</v>
      </c>
      <c r="F20" s="45">
        <f t="shared" si="24"/>
        <v>0</v>
      </c>
      <c r="G20" s="29">
        <f t="shared" si="25"/>
        <v>0</v>
      </c>
      <c r="H20" s="1">
        <f t="shared" si="47"/>
        <v>4723</v>
      </c>
      <c r="I20" s="45">
        <f t="shared" si="26"/>
        <v>0</v>
      </c>
      <c r="J20" s="29">
        <f t="shared" si="27"/>
        <v>0</v>
      </c>
      <c r="K20" s="7">
        <v>13889.7</v>
      </c>
      <c r="L20" s="45">
        <f t="shared" si="28"/>
        <v>0</v>
      </c>
      <c r="M20" s="29">
        <f t="shared" si="29"/>
        <v>0</v>
      </c>
      <c r="N20" s="7">
        <f t="shared" si="48"/>
        <v>3409.58</v>
      </c>
      <c r="O20" s="45">
        <f t="shared" si="30"/>
        <v>0</v>
      </c>
      <c r="P20" s="29">
        <f t="shared" si="31"/>
        <v>0</v>
      </c>
      <c r="Q20" s="7">
        <f t="shared" si="39"/>
        <v>5291.12</v>
      </c>
      <c r="R20" s="45">
        <f t="shared" si="32"/>
        <v>0</v>
      </c>
      <c r="S20" s="29">
        <f t="shared" si="33"/>
        <v>0</v>
      </c>
      <c r="T20" s="8">
        <f t="shared" si="41"/>
        <v>0</v>
      </c>
      <c r="U20" s="31">
        <f t="shared" si="34"/>
        <v>0</v>
      </c>
      <c r="W20" s="159">
        <v>44579</v>
      </c>
      <c r="X20" s="160">
        <f t="shared" si="49"/>
        <v>164313</v>
      </c>
      <c r="Y20" s="166">
        <f t="shared" si="40"/>
        <v>0</v>
      </c>
      <c r="Z20" s="160">
        <f t="shared" si="50"/>
        <v>8416</v>
      </c>
      <c r="AA20" s="166">
        <f t="shared" si="42"/>
        <v>0</v>
      </c>
      <c r="AB20" s="160">
        <f t="shared" si="35"/>
        <v>20</v>
      </c>
      <c r="AC20" s="166">
        <f t="shared" si="44"/>
        <v>0</v>
      </c>
      <c r="AD20" s="160">
        <f t="shared" si="51"/>
        <v>195</v>
      </c>
      <c r="AE20" s="166">
        <f t="shared" si="37"/>
        <v>0</v>
      </c>
      <c r="AF20" s="160">
        <f t="shared" si="43"/>
        <v>5549</v>
      </c>
      <c r="AG20" s="166">
        <f t="shared" si="38"/>
        <v>0</v>
      </c>
    </row>
    <row r="21" spans="1:33" ht="16.5" thickBot="1" x14ac:dyDescent="0.25">
      <c r="A21" s="9">
        <v>44611</v>
      </c>
      <c r="B21" s="162">
        <f t="shared" si="45"/>
        <v>22863.317999999999</v>
      </c>
      <c r="C21" s="45">
        <f t="shared" si="22"/>
        <v>0</v>
      </c>
      <c r="D21" s="29">
        <f t="shared" si="23"/>
        <v>0</v>
      </c>
      <c r="E21" s="1">
        <f t="shared" si="46"/>
        <v>4102.6729999999998</v>
      </c>
      <c r="F21" s="45">
        <f t="shared" si="24"/>
        <v>0</v>
      </c>
      <c r="G21" s="29">
        <f t="shared" si="25"/>
        <v>0</v>
      </c>
      <c r="H21" s="1">
        <f t="shared" si="47"/>
        <v>4723</v>
      </c>
      <c r="I21" s="45">
        <f t="shared" si="26"/>
        <v>0</v>
      </c>
      <c r="J21" s="29">
        <f t="shared" si="27"/>
        <v>0</v>
      </c>
      <c r="K21" s="7">
        <v>13889.7</v>
      </c>
      <c r="L21" s="45">
        <f t="shared" si="28"/>
        <v>0</v>
      </c>
      <c r="M21" s="29">
        <f t="shared" si="29"/>
        <v>0</v>
      </c>
      <c r="N21" s="7">
        <f t="shared" si="48"/>
        <v>3409.58</v>
      </c>
      <c r="O21" s="45">
        <f t="shared" si="30"/>
        <v>0</v>
      </c>
      <c r="P21" s="29">
        <f t="shared" si="31"/>
        <v>0</v>
      </c>
      <c r="Q21" s="7">
        <f t="shared" si="39"/>
        <v>5291.12</v>
      </c>
      <c r="R21" s="45">
        <f t="shared" si="32"/>
        <v>0</v>
      </c>
      <c r="S21" s="29">
        <f t="shared" si="33"/>
        <v>0</v>
      </c>
      <c r="T21" s="8">
        <f t="shared" si="41"/>
        <v>0</v>
      </c>
      <c r="U21" s="31">
        <f t="shared" si="34"/>
        <v>0</v>
      </c>
      <c r="W21" s="159">
        <v>44580</v>
      </c>
      <c r="X21" s="160">
        <f t="shared" si="49"/>
        <v>164313</v>
      </c>
      <c r="Y21" s="166">
        <f t="shared" si="40"/>
        <v>0</v>
      </c>
      <c r="Z21" s="160">
        <f t="shared" si="50"/>
        <v>8416</v>
      </c>
      <c r="AA21" s="166">
        <f t="shared" si="42"/>
        <v>0</v>
      </c>
      <c r="AB21" s="160">
        <f t="shared" si="35"/>
        <v>20</v>
      </c>
      <c r="AC21" s="166">
        <f t="shared" si="44"/>
        <v>0</v>
      </c>
      <c r="AD21" s="160">
        <f t="shared" si="51"/>
        <v>195</v>
      </c>
      <c r="AE21" s="166">
        <f t="shared" si="37"/>
        <v>0</v>
      </c>
      <c r="AF21" s="160">
        <f t="shared" si="43"/>
        <v>5549</v>
      </c>
      <c r="AG21" s="166">
        <f t="shared" si="38"/>
        <v>0</v>
      </c>
    </row>
    <row r="22" spans="1:33" ht="16.5" thickBot="1" x14ac:dyDescent="0.25">
      <c r="A22" s="9">
        <v>44612</v>
      </c>
      <c r="B22" s="162">
        <f t="shared" si="45"/>
        <v>22863.317999999999</v>
      </c>
      <c r="C22" s="45">
        <f t="shared" si="22"/>
        <v>0</v>
      </c>
      <c r="D22" s="29">
        <f t="shared" si="23"/>
        <v>0</v>
      </c>
      <c r="E22" s="1">
        <f t="shared" si="46"/>
        <v>4102.6729999999998</v>
      </c>
      <c r="F22" s="45">
        <f t="shared" si="24"/>
        <v>0</v>
      </c>
      <c r="G22" s="29">
        <f t="shared" si="25"/>
        <v>0</v>
      </c>
      <c r="H22" s="1">
        <f t="shared" si="47"/>
        <v>4723</v>
      </c>
      <c r="I22" s="45">
        <f t="shared" si="26"/>
        <v>0</v>
      </c>
      <c r="J22" s="29">
        <f t="shared" si="27"/>
        <v>0</v>
      </c>
      <c r="K22" s="7">
        <v>13889.7</v>
      </c>
      <c r="L22" s="45">
        <f t="shared" si="28"/>
        <v>0</v>
      </c>
      <c r="M22" s="29">
        <f t="shared" si="29"/>
        <v>0</v>
      </c>
      <c r="N22" s="7">
        <f t="shared" si="48"/>
        <v>3409.58</v>
      </c>
      <c r="O22" s="45">
        <f t="shared" si="30"/>
        <v>0</v>
      </c>
      <c r="P22" s="29">
        <f t="shared" si="31"/>
        <v>0</v>
      </c>
      <c r="Q22" s="7">
        <f t="shared" si="39"/>
        <v>5291.12</v>
      </c>
      <c r="R22" s="45">
        <f t="shared" si="32"/>
        <v>0</v>
      </c>
      <c r="S22" s="29">
        <f t="shared" si="33"/>
        <v>0</v>
      </c>
      <c r="T22" s="8">
        <f t="shared" si="41"/>
        <v>0</v>
      </c>
      <c r="U22" s="31">
        <f t="shared" si="34"/>
        <v>0</v>
      </c>
      <c r="W22" s="159">
        <v>44581</v>
      </c>
      <c r="X22" s="160">
        <f t="shared" si="49"/>
        <v>164313</v>
      </c>
      <c r="Y22" s="166">
        <f t="shared" si="40"/>
        <v>0</v>
      </c>
      <c r="Z22" s="160">
        <f t="shared" si="50"/>
        <v>8416</v>
      </c>
      <c r="AA22" s="166">
        <f t="shared" si="42"/>
        <v>0</v>
      </c>
      <c r="AB22" s="160">
        <f t="shared" si="35"/>
        <v>20</v>
      </c>
      <c r="AC22" s="166">
        <f t="shared" si="44"/>
        <v>0</v>
      </c>
      <c r="AD22" s="160">
        <f t="shared" si="51"/>
        <v>195</v>
      </c>
      <c r="AE22" s="166">
        <f t="shared" si="37"/>
        <v>0</v>
      </c>
      <c r="AF22" s="160">
        <f t="shared" si="43"/>
        <v>5549</v>
      </c>
      <c r="AG22" s="166">
        <f t="shared" si="38"/>
        <v>0</v>
      </c>
    </row>
    <row r="23" spans="1:33" ht="16.5" thickBot="1" x14ac:dyDescent="0.25">
      <c r="A23" s="9">
        <v>44613</v>
      </c>
      <c r="B23" s="162">
        <f t="shared" si="45"/>
        <v>22863.317999999999</v>
      </c>
      <c r="C23" s="45">
        <f t="shared" si="22"/>
        <v>0</v>
      </c>
      <c r="D23" s="29">
        <f t="shared" si="23"/>
        <v>0</v>
      </c>
      <c r="E23" s="1">
        <f t="shared" si="46"/>
        <v>4102.6729999999998</v>
      </c>
      <c r="F23" s="45">
        <f t="shared" si="24"/>
        <v>0</v>
      </c>
      <c r="G23" s="29">
        <f t="shared" si="25"/>
        <v>0</v>
      </c>
      <c r="H23" s="1">
        <f t="shared" si="47"/>
        <v>4723</v>
      </c>
      <c r="I23" s="45">
        <f t="shared" si="26"/>
        <v>0</v>
      </c>
      <c r="J23" s="29">
        <f t="shared" si="27"/>
        <v>0</v>
      </c>
      <c r="K23" s="7">
        <v>13889.7</v>
      </c>
      <c r="L23" s="45">
        <f t="shared" si="28"/>
        <v>0</v>
      </c>
      <c r="M23" s="29">
        <f t="shared" si="29"/>
        <v>0</v>
      </c>
      <c r="N23" s="7">
        <f t="shared" si="48"/>
        <v>3409.58</v>
      </c>
      <c r="O23" s="45">
        <f t="shared" si="30"/>
        <v>0</v>
      </c>
      <c r="P23" s="29">
        <f t="shared" si="31"/>
        <v>0</v>
      </c>
      <c r="Q23" s="7">
        <f t="shared" si="39"/>
        <v>5291.12</v>
      </c>
      <c r="R23" s="45">
        <f t="shared" si="32"/>
        <v>0</v>
      </c>
      <c r="S23" s="29">
        <f t="shared" si="33"/>
        <v>0</v>
      </c>
      <c r="T23" s="8">
        <f t="shared" si="41"/>
        <v>0</v>
      </c>
      <c r="U23" s="31">
        <f t="shared" si="34"/>
        <v>0</v>
      </c>
      <c r="W23" s="159">
        <v>44582</v>
      </c>
      <c r="X23" s="160">
        <f t="shared" si="49"/>
        <v>164313</v>
      </c>
      <c r="Y23" s="166">
        <f t="shared" si="40"/>
        <v>0</v>
      </c>
      <c r="Z23" s="160">
        <f t="shared" si="50"/>
        <v>8416</v>
      </c>
      <c r="AA23" s="166">
        <f t="shared" si="42"/>
        <v>0</v>
      </c>
      <c r="AB23" s="160">
        <f t="shared" si="35"/>
        <v>20</v>
      </c>
      <c r="AC23" s="166">
        <f t="shared" si="44"/>
        <v>0</v>
      </c>
      <c r="AD23" s="160">
        <f t="shared" si="51"/>
        <v>195</v>
      </c>
      <c r="AE23" s="166">
        <f t="shared" si="37"/>
        <v>0</v>
      </c>
      <c r="AF23" s="160">
        <f t="shared" si="43"/>
        <v>5549</v>
      </c>
      <c r="AG23" s="166">
        <f t="shared" si="38"/>
        <v>0</v>
      </c>
    </row>
    <row r="24" spans="1:33" ht="16.5" thickBot="1" x14ac:dyDescent="0.25">
      <c r="A24" s="9">
        <v>44614</v>
      </c>
      <c r="B24" s="162">
        <f t="shared" si="45"/>
        <v>22863.317999999999</v>
      </c>
      <c r="C24" s="45">
        <f t="shared" si="22"/>
        <v>0</v>
      </c>
      <c r="D24" s="29">
        <f t="shared" si="23"/>
        <v>0</v>
      </c>
      <c r="E24" s="1">
        <f t="shared" si="46"/>
        <v>4102.6729999999998</v>
      </c>
      <c r="F24" s="45">
        <f t="shared" si="24"/>
        <v>0</v>
      </c>
      <c r="G24" s="29">
        <f t="shared" si="25"/>
        <v>0</v>
      </c>
      <c r="H24" s="1">
        <f t="shared" si="47"/>
        <v>4723</v>
      </c>
      <c r="I24" s="45">
        <f t="shared" si="26"/>
        <v>0</v>
      </c>
      <c r="J24" s="29">
        <f t="shared" si="27"/>
        <v>0</v>
      </c>
      <c r="K24" s="7">
        <v>13889.7</v>
      </c>
      <c r="L24" s="45">
        <f t="shared" si="28"/>
        <v>0</v>
      </c>
      <c r="M24" s="29">
        <f t="shared" si="29"/>
        <v>0</v>
      </c>
      <c r="N24" s="7">
        <f t="shared" si="48"/>
        <v>3409.58</v>
      </c>
      <c r="O24" s="45">
        <f t="shared" si="30"/>
        <v>0</v>
      </c>
      <c r="P24" s="29">
        <f t="shared" si="31"/>
        <v>0</v>
      </c>
      <c r="Q24" s="7">
        <f t="shared" si="39"/>
        <v>5291.12</v>
      </c>
      <c r="R24" s="45">
        <f t="shared" si="32"/>
        <v>0</v>
      </c>
      <c r="S24" s="29">
        <f t="shared" si="33"/>
        <v>0</v>
      </c>
      <c r="T24" s="8">
        <f t="shared" si="41"/>
        <v>0</v>
      </c>
      <c r="U24" s="31">
        <f t="shared" si="34"/>
        <v>0</v>
      </c>
      <c r="W24" s="159">
        <v>44583</v>
      </c>
      <c r="X24" s="160">
        <f t="shared" si="49"/>
        <v>164313</v>
      </c>
      <c r="Y24" s="166">
        <f t="shared" si="40"/>
        <v>0</v>
      </c>
      <c r="Z24" s="160">
        <f t="shared" si="50"/>
        <v>8416</v>
      </c>
      <c r="AA24" s="166">
        <f t="shared" si="42"/>
        <v>0</v>
      </c>
      <c r="AB24" s="160">
        <f t="shared" si="35"/>
        <v>20</v>
      </c>
      <c r="AC24" s="166">
        <f t="shared" si="44"/>
        <v>0</v>
      </c>
      <c r="AD24" s="160">
        <f t="shared" si="51"/>
        <v>195</v>
      </c>
      <c r="AE24" s="166">
        <f t="shared" si="37"/>
        <v>0</v>
      </c>
      <c r="AF24" s="160">
        <f t="shared" si="43"/>
        <v>5549</v>
      </c>
      <c r="AG24" s="166">
        <f t="shared" si="38"/>
        <v>0</v>
      </c>
    </row>
    <row r="25" spans="1:33" ht="16.5" thickBot="1" x14ac:dyDescent="0.25">
      <c r="A25" s="9">
        <v>44615</v>
      </c>
      <c r="B25" s="162">
        <f t="shared" si="45"/>
        <v>22863.317999999999</v>
      </c>
      <c r="C25" s="45">
        <f t="shared" si="22"/>
        <v>0</v>
      </c>
      <c r="D25" s="29">
        <f t="shared" si="23"/>
        <v>0</v>
      </c>
      <c r="E25" s="1">
        <f t="shared" si="46"/>
        <v>4102.6729999999998</v>
      </c>
      <c r="F25" s="45">
        <f t="shared" si="24"/>
        <v>0</v>
      </c>
      <c r="G25" s="29">
        <f t="shared" si="25"/>
        <v>0</v>
      </c>
      <c r="H25" s="1">
        <f t="shared" si="47"/>
        <v>4723</v>
      </c>
      <c r="I25" s="45">
        <f t="shared" si="26"/>
        <v>0</v>
      </c>
      <c r="J25" s="29">
        <f t="shared" si="27"/>
        <v>0</v>
      </c>
      <c r="K25" s="7">
        <v>13889.7</v>
      </c>
      <c r="L25" s="45">
        <f t="shared" si="28"/>
        <v>0</v>
      </c>
      <c r="M25" s="29">
        <f t="shared" si="29"/>
        <v>0</v>
      </c>
      <c r="N25" s="7">
        <f t="shared" si="48"/>
        <v>3409.58</v>
      </c>
      <c r="O25" s="45">
        <f t="shared" si="30"/>
        <v>0</v>
      </c>
      <c r="P25" s="29">
        <f t="shared" si="31"/>
        <v>0</v>
      </c>
      <c r="Q25" s="7">
        <f t="shared" si="39"/>
        <v>5291.12</v>
      </c>
      <c r="R25" s="45">
        <f t="shared" si="32"/>
        <v>0</v>
      </c>
      <c r="S25" s="29">
        <f t="shared" si="33"/>
        <v>0</v>
      </c>
      <c r="T25" s="8">
        <f t="shared" si="41"/>
        <v>0</v>
      </c>
      <c r="U25" s="31">
        <f t="shared" si="34"/>
        <v>0</v>
      </c>
      <c r="W25" s="159">
        <v>44584</v>
      </c>
      <c r="X25" s="160">
        <f t="shared" si="49"/>
        <v>164313</v>
      </c>
      <c r="Y25" s="166">
        <f t="shared" si="40"/>
        <v>0</v>
      </c>
      <c r="Z25" s="160">
        <f t="shared" si="50"/>
        <v>8416</v>
      </c>
      <c r="AA25" s="166">
        <f t="shared" si="42"/>
        <v>0</v>
      </c>
      <c r="AB25" s="160">
        <f t="shared" si="35"/>
        <v>20</v>
      </c>
      <c r="AC25" s="166">
        <f t="shared" si="44"/>
        <v>0</v>
      </c>
      <c r="AD25" s="160">
        <f t="shared" si="51"/>
        <v>195</v>
      </c>
      <c r="AE25" s="166">
        <f t="shared" si="37"/>
        <v>0</v>
      </c>
      <c r="AF25" s="160">
        <f t="shared" si="43"/>
        <v>5549</v>
      </c>
      <c r="AG25" s="166">
        <f t="shared" si="38"/>
        <v>0</v>
      </c>
    </row>
    <row r="26" spans="1:33" ht="16.5" thickBot="1" x14ac:dyDescent="0.25">
      <c r="A26" s="9">
        <v>44616</v>
      </c>
      <c r="B26" s="162">
        <f t="shared" si="45"/>
        <v>22863.317999999999</v>
      </c>
      <c r="C26" s="45">
        <f t="shared" si="22"/>
        <v>0</v>
      </c>
      <c r="D26" s="29">
        <f t="shared" si="23"/>
        <v>0</v>
      </c>
      <c r="E26" s="1">
        <f t="shared" si="46"/>
        <v>4102.6729999999998</v>
      </c>
      <c r="F26" s="45">
        <f t="shared" si="24"/>
        <v>0</v>
      </c>
      <c r="G26" s="29">
        <f t="shared" si="25"/>
        <v>0</v>
      </c>
      <c r="H26" s="1">
        <f t="shared" si="47"/>
        <v>4723</v>
      </c>
      <c r="I26" s="45">
        <f t="shared" si="26"/>
        <v>0</v>
      </c>
      <c r="J26" s="29">
        <f t="shared" si="27"/>
        <v>0</v>
      </c>
      <c r="K26" s="7">
        <v>13889.7</v>
      </c>
      <c r="L26" s="45">
        <f>IF((K26-K25)&lt;0,"0",(K26-K25))</f>
        <v>0</v>
      </c>
      <c r="M26" s="29">
        <f t="shared" si="29"/>
        <v>0</v>
      </c>
      <c r="N26" s="7">
        <f t="shared" si="48"/>
        <v>3409.58</v>
      </c>
      <c r="O26" s="45">
        <f t="shared" si="30"/>
        <v>0</v>
      </c>
      <c r="P26" s="29">
        <f t="shared" si="31"/>
        <v>0</v>
      </c>
      <c r="Q26" s="7">
        <f t="shared" si="39"/>
        <v>5291.12</v>
      </c>
      <c r="R26" s="45">
        <f t="shared" si="32"/>
        <v>0</v>
      </c>
      <c r="S26" s="29">
        <f t="shared" si="33"/>
        <v>0</v>
      </c>
      <c r="T26" s="8">
        <f t="shared" si="41"/>
        <v>0</v>
      </c>
      <c r="U26" s="31">
        <f t="shared" si="34"/>
        <v>0</v>
      </c>
      <c r="V26" t="s">
        <v>12</v>
      </c>
      <c r="W26" s="159">
        <v>44585</v>
      </c>
      <c r="X26" s="160">
        <f t="shared" si="49"/>
        <v>164313</v>
      </c>
      <c r="Y26" s="166">
        <f t="shared" si="40"/>
        <v>0</v>
      </c>
      <c r="Z26" s="160">
        <f t="shared" si="50"/>
        <v>8416</v>
      </c>
      <c r="AA26" s="166">
        <f t="shared" si="42"/>
        <v>0</v>
      </c>
      <c r="AB26" s="160">
        <f t="shared" si="35"/>
        <v>20</v>
      </c>
      <c r="AC26" s="166">
        <f t="shared" si="44"/>
        <v>0</v>
      </c>
      <c r="AD26" s="160">
        <f t="shared" si="51"/>
        <v>195</v>
      </c>
      <c r="AE26" s="166">
        <f t="shared" si="37"/>
        <v>0</v>
      </c>
      <c r="AF26" s="160">
        <f t="shared" si="43"/>
        <v>5549</v>
      </c>
      <c r="AG26" s="166">
        <f t="shared" si="38"/>
        <v>0</v>
      </c>
    </row>
    <row r="27" spans="1:33" ht="16.5" thickBot="1" x14ac:dyDescent="0.25">
      <c r="A27" s="9">
        <v>44617</v>
      </c>
      <c r="B27" s="162">
        <f t="shared" si="45"/>
        <v>22863.317999999999</v>
      </c>
      <c r="C27" s="45">
        <f t="shared" si="22"/>
        <v>0</v>
      </c>
      <c r="D27" s="29">
        <f t="shared" si="23"/>
        <v>0</v>
      </c>
      <c r="E27" s="1">
        <f t="shared" si="46"/>
        <v>4102.6729999999998</v>
      </c>
      <c r="F27" s="45">
        <f t="shared" si="24"/>
        <v>0</v>
      </c>
      <c r="G27" s="29">
        <f t="shared" si="25"/>
        <v>0</v>
      </c>
      <c r="H27" s="1">
        <f t="shared" si="47"/>
        <v>4723</v>
      </c>
      <c r="I27" s="45">
        <f t="shared" si="26"/>
        <v>0</v>
      </c>
      <c r="J27" s="29">
        <f t="shared" si="27"/>
        <v>0</v>
      </c>
      <c r="K27" s="7">
        <v>13889.7</v>
      </c>
      <c r="L27" s="45">
        <f t="shared" si="28"/>
        <v>0</v>
      </c>
      <c r="M27" s="29">
        <f t="shared" si="29"/>
        <v>0</v>
      </c>
      <c r="N27" s="7">
        <f t="shared" si="48"/>
        <v>3409.58</v>
      </c>
      <c r="O27" s="45">
        <f t="shared" si="30"/>
        <v>0</v>
      </c>
      <c r="P27" s="29">
        <f t="shared" si="31"/>
        <v>0</v>
      </c>
      <c r="Q27" s="7">
        <f t="shared" si="39"/>
        <v>5291.12</v>
      </c>
      <c r="R27" s="45">
        <f t="shared" si="32"/>
        <v>0</v>
      </c>
      <c r="S27" s="29">
        <f t="shared" si="33"/>
        <v>0</v>
      </c>
      <c r="T27" s="8">
        <f t="shared" si="41"/>
        <v>0</v>
      </c>
      <c r="U27" s="31">
        <f t="shared" si="34"/>
        <v>0</v>
      </c>
      <c r="V27" t="s">
        <v>12</v>
      </c>
      <c r="W27" s="159">
        <v>44586</v>
      </c>
      <c r="X27" s="160">
        <f t="shared" si="49"/>
        <v>164313</v>
      </c>
      <c r="Y27" s="166">
        <f t="shared" si="40"/>
        <v>0</v>
      </c>
      <c r="Z27" s="160">
        <f t="shared" si="50"/>
        <v>8416</v>
      </c>
      <c r="AA27" s="166">
        <f t="shared" si="42"/>
        <v>0</v>
      </c>
      <c r="AB27" s="160">
        <f t="shared" si="35"/>
        <v>20</v>
      </c>
      <c r="AC27" s="166">
        <f t="shared" si="44"/>
        <v>0</v>
      </c>
      <c r="AD27" s="160">
        <f t="shared" si="51"/>
        <v>195</v>
      </c>
      <c r="AE27" s="166">
        <f t="shared" si="37"/>
        <v>0</v>
      </c>
      <c r="AF27" s="160">
        <f t="shared" si="43"/>
        <v>5549</v>
      </c>
      <c r="AG27" s="166">
        <f t="shared" si="38"/>
        <v>0</v>
      </c>
    </row>
    <row r="28" spans="1:33" ht="16.5" thickBot="1" x14ac:dyDescent="0.25">
      <c r="A28" s="9">
        <v>44618</v>
      </c>
      <c r="B28" s="162">
        <f t="shared" si="45"/>
        <v>22863.317999999999</v>
      </c>
      <c r="C28" s="45">
        <f t="shared" si="22"/>
        <v>0</v>
      </c>
      <c r="D28" s="29">
        <f t="shared" si="23"/>
        <v>0</v>
      </c>
      <c r="E28" s="1">
        <f t="shared" si="46"/>
        <v>4102.6729999999998</v>
      </c>
      <c r="F28" s="45">
        <f t="shared" si="24"/>
        <v>0</v>
      </c>
      <c r="G28" s="29">
        <f t="shared" si="25"/>
        <v>0</v>
      </c>
      <c r="H28" s="1">
        <f t="shared" si="47"/>
        <v>4723</v>
      </c>
      <c r="I28" s="45">
        <f t="shared" si="26"/>
        <v>0</v>
      </c>
      <c r="J28" s="29">
        <f t="shared" si="27"/>
        <v>0</v>
      </c>
      <c r="K28" s="7">
        <v>13889.7</v>
      </c>
      <c r="L28" s="45">
        <f t="shared" si="28"/>
        <v>0</v>
      </c>
      <c r="M28" s="29">
        <f t="shared" si="29"/>
        <v>0</v>
      </c>
      <c r="N28" s="7">
        <f t="shared" si="48"/>
        <v>3409.58</v>
      </c>
      <c r="O28" s="45">
        <f t="shared" si="30"/>
        <v>0</v>
      </c>
      <c r="P28" s="29">
        <f t="shared" si="31"/>
        <v>0</v>
      </c>
      <c r="Q28" s="7">
        <f t="shared" si="39"/>
        <v>5291.12</v>
      </c>
      <c r="R28" s="45">
        <f t="shared" si="32"/>
        <v>0</v>
      </c>
      <c r="S28" s="29">
        <f t="shared" si="33"/>
        <v>0</v>
      </c>
      <c r="T28" s="8">
        <f t="shared" si="41"/>
        <v>0</v>
      </c>
      <c r="U28" s="31">
        <f t="shared" si="34"/>
        <v>0</v>
      </c>
      <c r="W28" s="159">
        <v>44587</v>
      </c>
      <c r="X28" s="160">
        <f t="shared" si="49"/>
        <v>164313</v>
      </c>
      <c r="Y28" s="166">
        <f t="shared" si="40"/>
        <v>0</v>
      </c>
      <c r="Z28" s="160">
        <f t="shared" si="50"/>
        <v>8416</v>
      </c>
      <c r="AA28" s="166">
        <f t="shared" si="42"/>
        <v>0</v>
      </c>
      <c r="AB28" s="160">
        <f t="shared" si="35"/>
        <v>20</v>
      </c>
      <c r="AC28" s="166">
        <f t="shared" si="44"/>
        <v>0</v>
      </c>
      <c r="AD28" s="160">
        <f t="shared" si="51"/>
        <v>195</v>
      </c>
      <c r="AE28" s="166">
        <f t="shared" si="37"/>
        <v>0</v>
      </c>
      <c r="AF28" s="160">
        <f t="shared" si="43"/>
        <v>5549</v>
      </c>
      <c r="AG28" s="166">
        <f t="shared" si="38"/>
        <v>0</v>
      </c>
    </row>
    <row r="29" spans="1:33" ht="16.5" thickBot="1" x14ac:dyDescent="0.25">
      <c r="A29" s="9">
        <v>44619</v>
      </c>
      <c r="B29" s="162">
        <f t="shared" si="45"/>
        <v>22863.317999999999</v>
      </c>
      <c r="C29" s="45">
        <f t="shared" si="22"/>
        <v>0</v>
      </c>
      <c r="D29" s="29">
        <f t="shared" si="23"/>
        <v>0</v>
      </c>
      <c r="E29" s="1">
        <f t="shared" si="46"/>
        <v>4102.6729999999998</v>
      </c>
      <c r="F29" s="45">
        <f t="shared" si="24"/>
        <v>0</v>
      </c>
      <c r="G29" s="29">
        <f t="shared" si="25"/>
        <v>0</v>
      </c>
      <c r="H29" s="1">
        <f t="shared" si="47"/>
        <v>4723</v>
      </c>
      <c r="I29" s="45">
        <f t="shared" si="26"/>
        <v>0</v>
      </c>
      <c r="J29" s="29">
        <f t="shared" si="27"/>
        <v>0</v>
      </c>
      <c r="K29" s="7">
        <v>13889.7</v>
      </c>
      <c r="L29" s="45">
        <f t="shared" si="28"/>
        <v>0</v>
      </c>
      <c r="M29" s="29">
        <f t="shared" si="29"/>
        <v>0</v>
      </c>
      <c r="N29" s="7">
        <f t="shared" si="48"/>
        <v>3409.58</v>
      </c>
      <c r="O29" s="45">
        <f t="shared" si="30"/>
        <v>0</v>
      </c>
      <c r="P29" s="29">
        <f t="shared" si="31"/>
        <v>0</v>
      </c>
      <c r="Q29" s="7">
        <f t="shared" si="39"/>
        <v>5291.12</v>
      </c>
      <c r="R29" s="45">
        <f t="shared" si="32"/>
        <v>0</v>
      </c>
      <c r="S29" s="29">
        <f t="shared" si="33"/>
        <v>0</v>
      </c>
      <c r="T29" s="8">
        <f t="shared" si="41"/>
        <v>0</v>
      </c>
      <c r="U29" s="31">
        <f t="shared" si="34"/>
        <v>0</v>
      </c>
      <c r="W29" s="159">
        <v>44588</v>
      </c>
      <c r="X29" s="160">
        <f t="shared" si="49"/>
        <v>164313</v>
      </c>
      <c r="Y29" s="166">
        <f t="shared" si="40"/>
        <v>0</v>
      </c>
      <c r="Z29" s="160">
        <f t="shared" si="50"/>
        <v>8416</v>
      </c>
      <c r="AA29" s="166">
        <f t="shared" si="42"/>
        <v>0</v>
      </c>
      <c r="AB29" s="160">
        <f t="shared" si="35"/>
        <v>20</v>
      </c>
      <c r="AC29" s="166">
        <f t="shared" si="44"/>
        <v>0</v>
      </c>
      <c r="AD29" s="160">
        <f t="shared" si="51"/>
        <v>195</v>
      </c>
      <c r="AE29" s="166">
        <f t="shared" si="37"/>
        <v>0</v>
      </c>
      <c r="AF29" s="160">
        <f t="shared" si="43"/>
        <v>5549</v>
      </c>
      <c r="AG29" s="166">
        <f t="shared" si="38"/>
        <v>0</v>
      </c>
    </row>
    <row r="30" spans="1:33" ht="16.5" thickBot="1" x14ac:dyDescent="0.25">
      <c r="A30" s="9">
        <v>44620</v>
      </c>
      <c r="B30" s="162">
        <f t="shared" si="45"/>
        <v>22863.317999999999</v>
      </c>
      <c r="C30" s="45">
        <f t="shared" si="22"/>
        <v>0</v>
      </c>
      <c r="D30" s="29">
        <f t="shared" si="23"/>
        <v>0</v>
      </c>
      <c r="E30" s="1">
        <f t="shared" si="46"/>
        <v>4102.6729999999998</v>
      </c>
      <c r="F30" s="45">
        <f t="shared" si="24"/>
        <v>0</v>
      </c>
      <c r="G30" s="29">
        <f t="shared" si="25"/>
        <v>0</v>
      </c>
      <c r="H30" s="1">
        <f t="shared" si="47"/>
        <v>4723</v>
      </c>
      <c r="I30" s="45">
        <f t="shared" si="26"/>
        <v>0</v>
      </c>
      <c r="J30" s="29">
        <f t="shared" si="27"/>
        <v>0</v>
      </c>
      <c r="K30" s="7">
        <v>13889.7</v>
      </c>
      <c r="L30" s="45">
        <f t="shared" si="28"/>
        <v>0</v>
      </c>
      <c r="M30" s="29">
        <f t="shared" si="29"/>
        <v>0</v>
      </c>
      <c r="N30" s="7">
        <f t="shared" si="48"/>
        <v>3409.58</v>
      </c>
      <c r="O30" s="45">
        <f t="shared" si="30"/>
        <v>0</v>
      </c>
      <c r="P30" s="29">
        <f t="shared" si="31"/>
        <v>0</v>
      </c>
      <c r="Q30" s="7">
        <f t="shared" si="39"/>
        <v>5291.12</v>
      </c>
      <c r="R30" s="45">
        <f t="shared" si="32"/>
        <v>0</v>
      </c>
      <c r="S30" s="29">
        <f t="shared" si="33"/>
        <v>0</v>
      </c>
      <c r="T30" s="8">
        <f t="shared" si="41"/>
        <v>0</v>
      </c>
      <c r="U30" s="31">
        <f t="shared" si="34"/>
        <v>0</v>
      </c>
      <c r="W30" s="159">
        <v>44589</v>
      </c>
      <c r="X30" s="160">
        <f t="shared" si="49"/>
        <v>164313</v>
      </c>
      <c r="Y30" s="166">
        <f t="shared" si="40"/>
        <v>0</v>
      </c>
      <c r="Z30" s="160">
        <f t="shared" si="50"/>
        <v>8416</v>
      </c>
      <c r="AA30" s="166">
        <f>Z30-Z29</f>
        <v>0</v>
      </c>
      <c r="AB30" s="160">
        <f t="shared" si="35"/>
        <v>20</v>
      </c>
      <c r="AC30" s="166">
        <f t="shared" si="44"/>
        <v>0</v>
      </c>
      <c r="AD30" s="160">
        <f t="shared" si="51"/>
        <v>195</v>
      </c>
      <c r="AE30" s="166">
        <f t="shared" si="37"/>
        <v>0</v>
      </c>
      <c r="AF30" s="160">
        <f t="shared" si="43"/>
        <v>5549</v>
      </c>
      <c r="AG30" s="166">
        <f t="shared" si="38"/>
        <v>0</v>
      </c>
    </row>
    <row r="31" spans="1:33" s="23" customFormat="1" ht="16.5" thickBot="1" x14ac:dyDescent="0.25">
      <c r="A31" s="6" t="s">
        <v>23</v>
      </c>
      <c r="B31" s="163"/>
      <c r="C31" s="45">
        <f>SUM(C4:C30)</f>
        <v>14.207999999998719</v>
      </c>
      <c r="D31" s="139">
        <f>SUM(D3:D30)</f>
        <v>30823.699999996457</v>
      </c>
      <c r="E31" s="139">
        <v>0</v>
      </c>
      <c r="F31" s="45">
        <f>SUM(F3:F30)</f>
        <v>3.6750000000001819</v>
      </c>
      <c r="G31" s="139">
        <f>SUM(G3:G30)</f>
        <v>6982.5000000003456</v>
      </c>
      <c r="H31" s="139"/>
      <c r="I31" s="45">
        <f>SUM(I3:I30)</f>
        <v>35</v>
      </c>
      <c r="J31" s="139">
        <f>SUM(J3:J30)</f>
        <v>66500</v>
      </c>
      <c r="K31" s="139"/>
      <c r="L31" s="45">
        <f>SUM(L3:L30)</f>
        <v>0</v>
      </c>
      <c r="M31" s="139">
        <f>SUM(M3:M30)</f>
        <v>0</v>
      </c>
      <c r="N31" s="139"/>
      <c r="O31" s="45" t="e">
        <f>IF((N31-#REF!)&lt;0,"0",(N31-#REF!))</f>
        <v>#REF!</v>
      </c>
      <c r="P31" s="139">
        <f>SUM(P3:P30)</f>
        <v>14726.899999999521</v>
      </c>
      <c r="Q31" s="139"/>
      <c r="R31" s="45">
        <f>SUM(R3:R30)</f>
        <v>0</v>
      </c>
      <c r="S31" s="139">
        <f>SUM(S3:S30)</f>
        <v>0</v>
      </c>
      <c r="T31" s="139">
        <f>SUM(T3:T30)</f>
        <v>62.648999999998068</v>
      </c>
      <c r="U31" s="139">
        <f>SUM(U3:U30)</f>
        <v>119033.09999999632</v>
      </c>
      <c r="V31"/>
      <c r="W31" s="139" t="s">
        <v>143</v>
      </c>
      <c r="X31" s="139"/>
      <c r="Y31" s="139">
        <f>SUM(Y5:Y30)</f>
        <v>145</v>
      </c>
      <c r="Z31" s="139"/>
      <c r="AA31" s="139">
        <f>SUM(AA5:AA30)</f>
        <v>37</v>
      </c>
      <c r="AB31" s="139"/>
      <c r="AC31" s="139"/>
      <c r="AD31" s="139"/>
      <c r="AE31" s="139">
        <v>0</v>
      </c>
      <c r="AF31" s="139">
        <v>0</v>
      </c>
      <c r="AG31" s="139">
        <v>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8" sqref="F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6"/>
      <c r="B2" s="97" t="s">
        <v>92</v>
      </c>
      <c r="C2" s="98" t="e">
        <f>K8+K9+K14</f>
        <v>#REF!</v>
      </c>
      <c r="D2" s="98" t="e">
        <f>C2*1.27</f>
        <v>#REF!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29669331</v>
      </c>
      <c r="J3" s="135" t="e">
        <f>ELECT.!#REF!</f>
        <v>#REF!</v>
      </c>
      <c r="K3" s="93" t="e">
        <f>J3-I3</f>
        <v>#REF!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94599632</v>
      </c>
      <c r="J4" s="135" t="e">
        <f>ELECT.!#REF!</f>
        <v>#REF!</v>
      </c>
      <c r="K4" s="93" t="e">
        <f>J4-I4</f>
        <v>#REF!</v>
      </c>
    </row>
    <row r="5" spans="1:11" ht="13.5" thickBot="1" x14ac:dyDescent="0.25">
      <c r="A5" s="96"/>
      <c r="B5" s="102" t="s">
        <v>27</v>
      </c>
      <c r="C5" s="106" t="e">
        <f>(K10+K12)*0.842284+K26</f>
        <v>#REF!</v>
      </c>
      <c r="D5" s="106" t="e">
        <f t="shared" ref="D5:D11" si="0">C5*1.27</f>
        <v>#REF!</v>
      </c>
      <c r="E5" s="107"/>
      <c r="F5" s="96"/>
      <c r="G5" s="96"/>
      <c r="H5" s="102" t="s">
        <v>23</v>
      </c>
      <c r="I5" s="108"/>
      <c r="J5" s="108"/>
      <c r="K5" s="128" t="e">
        <f>K3+K4</f>
        <v>#REF!</v>
      </c>
    </row>
    <row r="6" spans="1:11" ht="13.5" thickBot="1" x14ac:dyDescent="0.25">
      <c r="A6" s="96"/>
      <c r="B6" s="102" t="s">
        <v>99</v>
      </c>
      <c r="C6" s="106" t="e">
        <f>(K10+K12+K26)*0.1488</f>
        <v>#REF!</v>
      </c>
      <c r="D6" s="106" t="e">
        <f t="shared" si="0"/>
        <v>#REF!</v>
      </c>
      <c r="E6" s="107"/>
      <c r="F6" s="96"/>
      <c r="G6" s="96"/>
      <c r="H6" s="102" t="s">
        <v>100</v>
      </c>
      <c r="I6" s="140">
        <f>ELECT.!J2</f>
        <v>9386002</v>
      </c>
      <c r="J6" s="136" t="e">
        <f>ELECT.!#REF!</f>
        <v>#REF!</v>
      </c>
      <c r="K6" s="93" t="e">
        <f>J6-I6</f>
        <v>#REF!</v>
      </c>
    </row>
    <row r="7" spans="1:11" ht="13.5" thickBot="1" x14ac:dyDescent="0.25">
      <c r="A7" s="96"/>
      <c r="B7" s="102" t="s">
        <v>101</v>
      </c>
      <c r="C7" s="106" t="e">
        <f>(K6+K7)-(C8+C9+C10+C11+K26)</f>
        <v>#REF!</v>
      </c>
      <c r="D7" s="106" t="e">
        <f t="shared" si="0"/>
        <v>#REF!</v>
      </c>
      <c r="E7" s="107"/>
      <c r="F7" s="96"/>
      <c r="G7" s="96"/>
      <c r="H7" s="102" t="s">
        <v>102</v>
      </c>
      <c r="I7" s="140">
        <f>ELECT.!L2</f>
        <v>9394543</v>
      </c>
      <c r="J7" s="136" t="e">
        <f>ELECT.!#REF!</f>
        <v>#REF!</v>
      </c>
      <c r="K7" s="93" t="e">
        <f>J7-I7</f>
        <v>#REF!</v>
      </c>
    </row>
    <row r="8" spans="1:11" ht="13.5" thickBot="1" x14ac:dyDescent="0.25">
      <c r="A8" s="96"/>
      <c r="B8" s="102" t="s">
        <v>103</v>
      </c>
      <c r="C8" s="106" t="e">
        <f>K21+K22+K23+K24</f>
        <v>#REF!</v>
      </c>
      <c r="D8" s="106" t="e">
        <f t="shared" si="0"/>
        <v>#REF!</v>
      </c>
      <c r="E8" s="107"/>
      <c r="F8" s="96"/>
      <c r="G8" s="96"/>
      <c r="H8" s="102" t="s">
        <v>104</v>
      </c>
      <c r="I8" s="140">
        <f>ELECT.!N2</f>
        <v>6292205</v>
      </c>
      <c r="J8" s="136" t="e">
        <f>ELECT.!#REF!</f>
        <v>#REF!</v>
      </c>
      <c r="K8" s="93" t="e">
        <f>(J8-I8)*2</f>
        <v>#REF!</v>
      </c>
    </row>
    <row r="9" spans="1:11" ht="13.5" thickBot="1" x14ac:dyDescent="0.25">
      <c r="A9" s="96"/>
      <c r="B9" s="102" t="s">
        <v>137</v>
      </c>
      <c r="C9" s="106" t="e">
        <f>K25+K16+K17</f>
        <v>#REF!</v>
      </c>
      <c r="D9" s="106" t="e">
        <f t="shared" si="0"/>
        <v>#REF!</v>
      </c>
      <c r="E9" s="107"/>
      <c r="F9" s="96"/>
      <c r="G9" s="96"/>
      <c r="H9" s="102" t="s">
        <v>105</v>
      </c>
      <c r="I9" s="140">
        <f>ELECT.!P2</f>
        <v>5860545</v>
      </c>
      <c r="J9" s="136" t="e">
        <f>ELECT.!#REF!</f>
        <v>#REF!</v>
      </c>
      <c r="K9" s="93" t="e">
        <f>J9-I9</f>
        <v>#REF!</v>
      </c>
    </row>
    <row r="10" spans="1:11" ht="13.5" thickBot="1" x14ac:dyDescent="0.25">
      <c r="A10" s="96"/>
      <c r="B10" s="102" t="s">
        <v>106</v>
      </c>
      <c r="C10" s="106" t="e">
        <f>K18</f>
        <v>#REF!</v>
      </c>
      <c r="D10" s="106" t="e">
        <f t="shared" si="0"/>
        <v>#REF!</v>
      </c>
      <c r="E10" s="107"/>
      <c r="F10" s="96"/>
      <c r="G10" s="96"/>
      <c r="H10" s="102" t="s">
        <v>107</v>
      </c>
      <c r="I10" s="140">
        <f>ELECT.!R2</f>
        <v>20049932</v>
      </c>
      <c r="J10" s="136" t="e">
        <f>ELECT.!#REF!</f>
        <v>#REF!</v>
      </c>
      <c r="K10" s="93" t="e">
        <f>J10-I10</f>
        <v>#REF!</v>
      </c>
    </row>
    <row r="11" spans="1:11" ht="13.5" thickBot="1" x14ac:dyDescent="0.25">
      <c r="A11" s="96"/>
      <c r="B11" s="102" t="s">
        <v>108</v>
      </c>
      <c r="C11" s="106" t="e">
        <f>K19+K20</f>
        <v>#REF!</v>
      </c>
      <c r="D11" s="106" t="e">
        <f t="shared" si="0"/>
        <v>#REF!</v>
      </c>
      <c r="E11" s="107"/>
      <c r="F11" s="96"/>
      <c r="G11" s="96"/>
      <c r="H11" s="102" t="s">
        <v>109</v>
      </c>
      <c r="I11" s="109">
        <v>0</v>
      </c>
      <c r="J11" s="136">
        <f>ELECT.!J32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40">
        <f>ELECT.!V2</f>
        <v>7942252</v>
      </c>
      <c r="J12" s="136" t="e">
        <f>ELECT.!#REF!</f>
        <v>#REF!</v>
      </c>
      <c r="K12" s="93" t="e">
        <f>(J12-I12)*2</f>
        <v>#REF!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 t="e">
        <f>SUM(K6:K12)</f>
        <v>#REF!</v>
      </c>
    </row>
    <row r="14" spans="1:11" ht="13.5" thickBot="1" x14ac:dyDescent="0.25">
      <c r="A14" s="96"/>
      <c r="B14" s="102" t="s">
        <v>42</v>
      </c>
      <c r="C14" s="106" t="e">
        <f>K29</f>
        <v>#REF!</v>
      </c>
      <c r="D14" s="114" t="e">
        <f t="shared" ref="D14:D22" si="1">C14*10.03</f>
        <v>#REF!</v>
      </c>
      <c r="E14" s="115"/>
      <c r="F14" s="96"/>
      <c r="G14" s="96"/>
      <c r="H14" s="102" t="s">
        <v>114</v>
      </c>
      <c r="I14" s="111"/>
      <c r="J14" s="112"/>
      <c r="K14" s="94" t="e">
        <f>K5-K13</f>
        <v>#REF!</v>
      </c>
    </row>
    <row r="15" spans="1:11" ht="13.5" thickBot="1" x14ac:dyDescent="0.25">
      <c r="A15" s="96"/>
      <c r="B15" s="102" t="s">
        <v>115</v>
      </c>
      <c r="C15" s="116" t="e">
        <f>K30</f>
        <v>#REF!</v>
      </c>
      <c r="D15" s="114" t="e">
        <f t="shared" si="1"/>
        <v>#REF!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 t="e">
        <f>(C14-C15-C17-C18-C19-C20-C21)*0.1318</f>
        <v>#REF!</v>
      </c>
      <c r="D16" s="114" t="e">
        <f t="shared" si="1"/>
        <v>#REF!</v>
      </c>
      <c r="E16" s="115"/>
      <c r="F16" s="96"/>
      <c r="G16" s="96"/>
      <c r="H16" s="117" t="s">
        <v>136</v>
      </c>
      <c r="I16" s="118">
        <f>'Mall, Citadel, Rotana'!T2</f>
        <v>3918</v>
      </c>
      <c r="J16" s="118" t="e">
        <f>'Mall, Citadel, Rotana'!#REF!</f>
        <v>#REF!</v>
      </c>
      <c r="K16" s="95" t="e">
        <f>(J16-I16)*160</f>
        <v>#REF!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 t="e">
        <f>'Mall, Citadel, Rotana'!#REF!</f>
        <v>#REF!</v>
      </c>
      <c r="K17" s="95" t="e">
        <f>(J17-I17)*160</f>
        <v>#REF!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25813</v>
      </c>
      <c r="J18" s="118" t="e">
        <f>'Mall, Citadel, Rotana'!#REF!</f>
        <v>#REF!</v>
      </c>
      <c r="K18" s="95" t="e">
        <f>(J18-I18)*160</f>
        <v>#REF!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7" t="s">
        <v>116</v>
      </c>
      <c r="F19" s="178"/>
      <c r="G19" s="96"/>
      <c r="H19" s="117" t="s">
        <v>117</v>
      </c>
      <c r="I19" s="118">
        <f>'Mall, Citadel, Rotana'!P2</f>
        <v>139521</v>
      </c>
      <c r="J19" s="118" t="e">
        <f>'Mall, Citadel, Rotana'!#REF!</f>
        <v>#REF!</v>
      </c>
      <c r="K19" s="95" t="e">
        <f>J19-I19</f>
        <v>#REF!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 t="e">
        <f>'Mall, Citadel, Rotana'!#REF!</f>
        <v>#REF!</v>
      </c>
      <c r="K20" s="95" t="e">
        <f>J20-I20</f>
        <v>#REF!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46565</v>
      </c>
      <c r="J21" s="118" t="e">
        <f>'Mall, Citadel, Rotana'!#REF!</f>
        <v>#REF!</v>
      </c>
      <c r="K21" s="95" t="e">
        <f>(J21-I21)*120</f>
        <v>#REF!</v>
      </c>
    </row>
    <row r="22" spans="1:11" ht="13.5" thickBot="1" x14ac:dyDescent="0.25">
      <c r="A22" s="96"/>
      <c r="B22" s="102" t="s">
        <v>119</v>
      </c>
      <c r="C22" s="114" t="e">
        <f>C14-(C15+C16+C17+C18+C19+C20+C21)</f>
        <v>#REF!</v>
      </c>
      <c r="D22" s="114" t="e">
        <f t="shared" si="1"/>
        <v>#REF!</v>
      </c>
      <c r="E22" s="115"/>
      <c r="F22" s="96"/>
      <c r="G22" s="96"/>
      <c r="H22" s="117" t="s">
        <v>15</v>
      </c>
      <c r="I22" s="118">
        <f>'Mall, Citadel, Rotana'!D2</f>
        <v>40256</v>
      </c>
      <c r="J22" s="118" t="e">
        <f>'Mall, Citadel, Rotana'!#REF!</f>
        <v>#REF!</v>
      </c>
      <c r="K22" s="95" t="e">
        <f>(J22-I22)*160</f>
        <v>#REF!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21274</v>
      </c>
      <c r="J23" s="118" t="e">
        <f>'Mall, Citadel, Rotana'!#REF!</f>
        <v>#REF!</v>
      </c>
      <c r="K23" s="95" t="e">
        <f>(J23-I23)*20</f>
        <v>#REF!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253571</v>
      </c>
      <c r="J24" s="118" t="e">
        <f>'Mall, Citadel, Rotana'!#REF!</f>
        <v>#REF!</v>
      </c>
      <c r="K24" s="95" t="e">
        <f>J24-I24</f>
        <v>#REF!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222148</v>
      </c>
      <c r="J25" s="118" t="e">
        <f>'Mall, Citadel, Rotana'!#REF!</f>
        <v>#REF!</v>
      </c>
      <c r="K25" s="95" t="e">
        <f>J25-I25</f>
        <v>#REF!</v>
      </c>
    </row>
    <row r="26" spans="1:11" ht="13.5" thickBot="1" x14ac:dyDescent="0.25">
      <c r="A26" s="96"/>
      <c r="B26" s="102" t="s">
        <v>42</v>
      </c>
      <c r="C26" s="120" t="e">
        <f>K35</f>
        <v>#REF!</v>
      </c>
      <c r="D26" s="106" t="e">
        <f>C26*3.65</f>
        <v>#REF!</v>
      </c>
      <c r="E26" s="107"/>
      <c r="F26" s="96"/>
      <c r="G26" s="96"/>
      <c r="H26" s="117" t="s">
        <v>123</v>
      </c>
      <c r="I26" s="127">
        <f>ELECT.!C2</f>
        <v>19316</v>
      </c>
      <c r="J26" s="127" t="e">
        <f>ELECT.!#REF!</f>
        <v>#REF!</v>
      </c>
      <c r="K26" s="95" t="e">
        <f>(J26-I26)*160</f>
        <v>#REF!</v>
      </c>
    </row>
    <row r="27" spans="1:11" ht="13.5" thickBot="1" x14ac:dyDescent="0.25">
      <c r="A27" s="96"/>
      <c r="B27" s="97" t="s">
        <v>124</v>
      </c>
      <c r="C27" s="120" t="e">
        <f>C26</f>
        <v>#REF!</v>
      </c>
      <c r="D27" s="106" t="e">
        <f>C27*3.65</f>
        <v>#REF!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438386</v>
      </c>
      <c r="J29" s="118" t="e">
        <f>Water!#REF!</f>
        <v>#REF!</v>
      </c>
      <c r="K29" s="95" t="e">
        <f>(J29-I29)*10</f>
        <v>#REF!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771836</v>
      </c>
      <c r="J30" s="118" t="e">
        <f>Water!#REF!</f>
        <v>#REF!</v>
      </c>
      <c r="K30" s="95" t="e">
        <f>(J30-I30)*0.027</f>
        <v>#REF!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2852</v>
      </c>
      <c r="J31" s="118" t="e">
        <f>Water!#REF!</f>
        <v>#REF!</v>
      </c>
      <c r="K31" s="95" t="e">
        <f>(J31-I31)*0.027</f>
        <v>#REF!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7674600</v>
      </c>
      <c r="J32" s="118" t="e">
        <f>Water!#REF!</f>
        <v>#REF!</v>
      </c>
      <c r="K32" s="95" t="e">
        <f>(J32-I32)*0.027</f>
        <v>#REF!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17972095</v>
      </c>
      <c r="J35" s="138" t="e">
        <f>Gas!#REF!</f>
        <v>#REF!</v>
      </c>
      <c r="K35" s="126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selection activeCell="G62" sqref="G62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140</v>
      </c>
      <c r="F1" s="60" t="s">
        <v>141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141</v>
      </c>
      <c r="M1" s="60" t="s">
        <v>145</v>
      </c>
      <c r="N1" s="60" t="s">
        <v>91</v>
      </c>
      <c r="O1" s="61" t="s">
        <v>79</v>
      </c>
    </row>
    <row r="2" spans="2:15" ht="15" x14ac:dyDescent="0.2">
      <c r="B2" s="58"/>
      <c r="C2" s="187">
        <v>6</v>
      </c>
      <c r="D2" s="62" t="s">
        <v>80</v>
      </c>
      <c r="E2" s="63">
        <v>280262</v>
      </c>
      <c r="F2" s="63">
        <v>281385</v>
      </c>
      <c r="G2" s="64">
        <f>F2-E2</f>
        <v>1123</v>
      </c>
      <c r="H2" s="65"/>
      <c r="J2" s="187">
        <v>6</v>
      </c>
      <c r="K2" s="62" t="s">
        <v>80</v>
      </c>
      <c r="L2" s="63">
        <v>281385</v>
      </c>
      <c r="M2" s="63">
        <v>283246</v>
      </c>
      <c r="N2" s="64">
        <f>M2-L2</f>
        <v>1861</v>
      </c>
      <c r="O2" s="65"/>
    </row>
    <row r="3" spans="2:15" ht="15" x14ac:dyDescent="0.2">
      <c r="B3" s="58"/>
      <c r="C3" s="192"/>
      <c r="D3" s="62" t="s">
        <v>81</v>
      </c>
      <c r="E3" s="63">
        <v>242725</v>
      </c>
      <c r="F3" s="63">
        <v>243779</v>
      </c>
      <c r="G3" s="64">
        <f t="shared" ref="G3:G43" si="0">F3-E3</f>
        <v>1054</v>
      </c>
      <c r="H3" s="65"/>
      <c r="J3" s="192"/>
      <c r="K3" s="62" t="s">
        <v>81</v>
      </c>
      <c r="L3" s="63">
        <v>243779</v>
      </c>
      <c r="M3" s="63">
        <v>245142</v>
      </c>
      <c r="N3" s="64">
        <f t="shared" ref="N3:N60" si="1">M3-L3</f>
        <v>1363</v>
      </c>
      <c r="O3" s="65"/>
    </row>
    <row r="4" spans="2:15" ht="15" x14ac:dyDescent="0.2">
      <c r="B4" s="58"/>
      <c r="C4" s="188"/>
      <c r="D4" s="62" t="s">
        <v>82</v>
      </c>
      <c r="E4" s="63">
        <v>190541</v>
      </c>
      <c r="F4" s="63">
        <v>191088</v>
      </c>
      <c r="G4" s="64">
        <f t="shared" si="0"/>
        <v>547</v>
      </c>
      <c r="H4" s="65"/>
      <c r="J4" s="188"/>
      <c r="K4" s="62" t="s">
        <v>82</v>
      </c>
      <c r="L4" s="63">
        <v>191088</v>
      </c>
      <c r="M4" s="63">
        <v>192356</v>
      </c>
      <c r="N4" s="64">
        <f t="shared" si="1"/>
        <v>1268</v>
      </c>
      <c r="O4" s="65"/>
    </row>
    <row r="5" spans="2:15" ht="15" x14ac:dyDescent="0.2">
      <c r="B5" s="58"/>
      <c r="C5" s="187">
        <v>7</v>
      </c>
      <c r="D5" s="62" t="s">
        <v>80</v>
      </c>
      <c r="E5" s="63">
        <v>241447</v>
      </c>
      <c r="F5" s="63">
        <v>242725</v>
      </c>
      <c r="G5" s="64">
        <f t="shared" si="0"/>
        <v>1278</v>
      </c>
      <c r="H5" s="65"/>
      <c r="J5" s="187">
        <v>7</v>
      </c>
      <c r="K5" s="62" t="s">
        <v>80</v>
      </c>
      <c r="L5" s="63">
        <v>242725</v>
      </c>
      <c r="M5" s="63">
        <v>245439</v>
      </c>
      <c r="N5" s="64">
        <f t="shared" si="1"/>
        <v>2714</v>
      </c>
      <c r="O5" s="65"/>
    </row>
    <row r="6" spans="2:15" ht="15" x14ac:dyDescent="0.2">
      <c r="B6" s="58"/>
      <c r="C6" s="192"/>
      <c r="D6" s="62" t="s">
        <v>81</v>
      </c>
      <c r="E6" s="63">
        <v>153709</v>
      </c>
      <c r="F6" s="63">
        <v>153801</v>
      </c>
      <c r="G6" s="64">
        <f t="shared" si="0"/>
        <v>92</v>
      </c>
      <c r="H6" s="65"/>
      <c r="J6" s="192"/>
      <c r="K6" s="62" t="s">
        <v>81</v>
      </c>
      <c r="L6" s="63">
        <v>153801</v>
      </c>
      <c r="M6" s="63">
        <v>153827</v>
      </c>
      <c r="N6" s="64">
        <f t="shared" si="1"/>
        <v>26</v>
      </c>
      <c r="O6" s="65"/>
    </row>
    <row r="7" spans="2:15" ht="15" x14ac:dyDescent="0.2">
      <c r="B7" s="58"/>
      <c r="C7" s="188"/>
      <c r="D7" s="62" t="s">
        <v>82</v>
      </c>
      <c r="E7" s="63">
        <v>119307</v>
      </c>
      <c r="F7" s="63">
        <v>120067</v>
      </c>
      <c r="G7" s="64">
        <f t="shared" si="0"/>
        <v>760</v>
      </c>
      <c r="H7" s="65"/>
      <c r="J7" s="188"/>
      <c r="K7" s="62" t="s">
        <v>82</v>
      </c>
      <c r="L7" s="63">
        <v>120067</v>
      </c>
      <c r="M7" s="63">
        <v>121622</v>
      </c>
      <c r="N7" s="64">
        <f t="shared" si="1"/>
        <v>1555</v>
      </c>
      <c r="O7" s="65"/>
    </row>
    <row r="8" spans="2:15" ht="15" x14ac:dyDescent="0.2">
      <c r="B8" s="58"/>
      <c r="C8" s="187">
        <v>8</v>
      </c>
      <c r="D8" s="62" t="s">
        <v>80</v>
      </c>
      <c r="E8" s="63">
        <v>72845</v>
      </c>
      <c r="F8" s="63">
        <v>73064</v>
      </c>
      <c r="G8" s="64">
        <f t="shared" si="0"/>
        <v>219</v>
      </c>
      <c r="H8" s="65"/>
      <c r="J8" s="187">
        <v>8</v>
      </c>
      <c r="K8" s="62" t="s">
        <v>80</v>
      </c>
      <c r="L8" s="63">
        <v>73064</v>
      </c>
      <c r="M8" s="63">
        <v>75412</v>
      </c>
      <c r="N8" s="64">
        <f t="shared" si="1"/>
        <v>2348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8"/>
      <c r="D10" s="62" t="s">
        <v>82</v>
      </c>
      <c r="E10" s="63">
        <v>98137</v>
      </c>
      <c r="F10" s="63">
        <v>98822</v>
      </c>
      <c r="G10" s="64">
        <f t="shared" si="0"/>
        <v>685</v>
      </c>
      <c r="H10" s="65"/>
      <c r="J10" s="188"/>
      <c r="K10" s="62" t="s">
        <v>82</v>
      </c>
      <c r="L10" s="63">
        <v>98822</v>
      </c>
      <c r="M10" s="63">
        <v>99971</v>
      </c>
      <c r="N10" s="64">
        <f t="shared" si="1"/>
        <v>1149</v>
      </c>
      <c r="O10" s="65"/>
    </row>
    <row r="11" spans="2:15" ht="15" x14ac:dyDescent="0.2">
      <c r="B11" s="58"/>
      <c r="C11" s="187">
        <v>9</v>
      </c>
      <c r="D11" s="62" t="s">
        <v>80</v>
      </c>
      <c r="E11" s="63">
        <v>34639</v>
      </c>
      <c r="F11" s="63">
        <v>34694</v>
      </c>
      <c r="G11" s="64">
        <f t="shared" si="0"/>
        <v>55</v>
      </c>
      <c r="H11" s="65"/>
      <c r="J11" s="187">
        <v>9</v>
      </c>
      <c r="K11" s="62" t="s">
        <v>80</v>
      </c>
      <c r="L11" s="63">
        <v>34694</v>
      </c>
      <c r="M11" s="63">
        <v>34726</v>
      </c>
      <c r="N11" s="64">
        <f t="shared" si="1"/>
        <v>32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8"/>
      <c r="D13" s="62" t="s">
        <v>82</v>
      </c>
      <c r="E13" s="63">
        <v>28642</v>
      </c>
      <c r="F13" s="63">
        <v>28776</v>
      </c>
      <c r="G13" s="64">
        <f t="shared" si="0"/>
        <v>134</v>
      </c>
      <c r="H13" s="65"/>
      <c r="I13" s="67"/>
      <c r="J13" s="188"/>
      <c r="K13" s="62" t="s">
        <v>82</v>
      </c>
      <c r="L13" s="63">
        <v>28776</v>
      </c>
      <c r="M13" s="63">
        <v>28926</v>
      </c>
      <c r="N13" s="64">
        <f t="shared" si="1"/>
        <v>150</v>
      </c>
      <c r="O13" s="65"/>
    </row>
    <row r="14" spans="2:15" ht="15" x14ac:dyDescent="0.2">
      <c r="B14" s="58"/>
      <c r="C14" s="187">
        <v>10</v>
      </c>
      <c r="D14" s="62" t="s">
        <v>80</v>
      </c>
      <c r="E14" s="63">
        <v>197101</v>
      </c>
      <c r="F14" s="63">
        <v>198779</v>
      </c>
      <c r="G14" s="64">
        <f t="shared" si="0"/>
        <v>1678</v>
      </c>
      <c r="H14" s="65"/>
      <c r="I14" s="68"/>
      <c r="J14" s="187">
        <v>10</v>
      </c>
      <c r="K14" s="62" t="s">
        <v>80</v>
      </c>
      <c r="L14" s="63">
        <v>198779</v>
      </c>
      <c r="M14" s="63">
        <v>202553</v>
      </c>
      <c r="N14" s="64">
        <f t="shared" si="1"/>
        <v>3774</v>
      </c>
      <c r="O14" s="65"/>
    </row>
    <row r="15" spans="2:15" ht="15" x14ac:dyDescent="0.2">
      <c r="B15" s="58"/>
      <c r="C15" s="192"/>
      <c r="D15" s="62" t="s">
        <v>81</v>
      </c>
      <c r="E15" s="63">
        <v>7741</v>
      </c>
      <c r="F15" s="63">
        <v>7741</v>
      </c>
      <c r="G15" s="64">
        <f t="shared" si="0"/>
        <v>0</v>
      </c>
      <c r="H15" s="65"/>
      <c r="I15" s="68"/>
      <c r="J15" s="192"/>
      <c r="K15" s="62" t="s">
        <v>81</v>
      </c>
      <c r="L15" s="63">
        <v>7741</v>
      </c>
      <c r="M15" s="63">
        <v>7174</v>
      </c>
      <c r="N15" s="64">
        <f t="shared" si="1"/>
        <v>-567</v>
      </c>
      <c r="O15" s="65"/>
    </row>
    <row r="16" spans="2:15" ht="15" x14ac:dyDescent="0.2">
      <c r="B16" s="58"/>
      <c r="C16" s="188"/>
      <c r="D16" s="62" t="s">
        <v>82</v>
      </c>
      <c r="E16" s="63">
        <v>185938</v>
      </c>
      <c r="F16" s="63">
        <v>186735</v>
      </c>
      <c r="G16" s="64">
        <f t="shared" si="0"/>
        <v>797</v>
      </c>
      <c r="H16" s="65"/>
      <c r="I16" s="68"/>
      <c r="J16" s="188"/>
      <c r="K16" s="62" t="s">
        <v>82</v>
      </c>
      <c r="L16" s="63">
        <v>186735</v>
      </c>
      <c r="M16" s="63">
        <v>188697</v>
      </c>
      <c r="N16" s="64">
        <f t="shared" si="1"/>
        <v>1962</v>
      </c>
      <c r="O16" s="65"/>
    </row>
    <row r="17" spans="2:15" ht="15" x14ac:dyDescent="0.2">
      <c r="B17" s="58"/>
      <c r="C17" s="187">
        <v>11</v>
      </c>
      <c r="D17" s="62" t="s">
        <v>80</v>
      </c>
      <c r="E17" s="64">
        <v>64235</v>
      </c>
      <c r="F17" s="64">
        <v>64951</v>
      </c>
      <c r="G17" s="64">
        <f t="shared" si="0"/>
        <v>716</v>
      </c>
      <c r="H17" s="65"/>
      <c r="I17" s="68"/>
      <c r="J17" s="187">
        <v>11</v>
      </c>
      <c r="K17" s="62" t="s">
        <v>80</v>
      </c>
      <c r="L17" s="64">
        <v>64951</v>
      </c>
      <c r="M17" s="64">
        <v>66191</v>
      </c>
      <c r="N17" s="64">
        <f t="shared" si="1"/>
        <v>1240</v>
      </c>
      <c r="O17" s="65"/>
    </row>
    <row r="18" spans="2:15" ht="15" x14ac:dyDescent="0.2">
      <c r="B18" s="58"/>
      <c r="C18" s="192"/>
      <c r="D18" s="62" t="s">
        <v>81</v>
      </c>
      <c r="E18" s="64">
        <v>213386</v>
      </c>
      <c r="F18" s="64">
        <v>214391</v>
      </c>
      <c r="G18" s="64">
        <f t="shared" si="0"/>
        <v>1005</v>
      </c>
      <c r="H18" s="65"/>
      <c r="I18" s="68"/>
      <c r="J18" s="192"/>
      <c r="K18" s="62" t="s">
        <v>81</v>
      </c>
      <c r="L18" s="64">
        <v>214391</v>
      </c>
      <c r="M18" s="64">
        <v>215756</v>
      </c>
      <c r="N18" s="64">
        <f t="shared" si="1"/>
        <v>1365</v>
      </c>
      <c r="O18" s="65"/>
    </row>
    <row r="19" spans="2:15" ht="15" x14ac:dyDescent="0.2">
      <c r="B19" s="58"/>
      <c r="C19" s="188"/>
      <c r="D19" s="62" t="s">
        <v>82</v>
      </c>
      <c r="E19" s="63">
        <v>30683</v>
      </c>
      <c r="F19" s="63">
        <v>30758</v>
      </c>
      <c r="G19" s="64">
        <f t="shared" si="0"/>
        <v>75</v>
      </c>
      <c r="H19" s="65"/>
      <c r="I19" s="68"/>
      <c r="J19" s="188"/>
      <c r="K19" s="62" t="s">
        <v>82</v>
      </c>
      <c r="L19" s="63">
        <v>30758</v>
      </c>
      <c r="M19" s="63">
        <v>30919</v>
      </c>
      <c r="N19" s="64">
        <f t="shared" si="1"/>
        <v>161</v>
      </c>
      <c r="O19" s="65"/>
    </row>
    <row r="20" spans="2:15" ht="15" x14ac:dyDescent="0.2">
      <c r="B20" s="58"/>
      <c r="C20" s="187">
        <v>12</v>
      </c>
      <c r="D20" s="62" t="s">
        <v>80</v>
      </c>
      <c r="E20" s="145">
        <v>146008</v>
      </c>
      <c r="F20" s="145">
        <v>146144</v>
      </c>
      <c r="G20" s="64">
        <f t="shared" si="0"/>
        <v>136</v>
      </c>
      <c r="H20" s="65"/>
      <c r="I20" s="68"/>
      <c r="J20" s="187">
        <v>12</v>
      </c>
      <c r="K20" s="62" t="s">
        <v>80</v>
      </c>
      <c r="L20" s="145">
        <v>146144</v>
      </c>
      <c r="M20" s="145">
        <v>146382</v>
      </c>
      <c r="N20" s="64">
        <f t="shared" si="1"/>
        <v>238</v>
      </c>
      <c r="O20" s="65"/>
    </row>
    <row r="21" spans="2:15" ht="15" x14ac:dyDescent="0.2">
      <c r="B21" s="58"/>
      <c r="C21" s="192"/>
      <c r="D21" s="62" t="s">
        <v>81</v>
      </c>
      <c r="E21" s="63">
        <v>22414</v>
      </c>
      <c r="F21" s="63">
        <v>22438</v>
      </c>
      <c r="G21" s="64">
        <f t="shared" si="0"/>
        <v>24</v>
      </c>
      <c r="H21" s="65"/>
      <c r="I21" s="69" t="s">
        <v>12</v>
      </c>
      <c r="J21" s="192"/>
      <c r="K21" s="62" t="s">
        <v>81</v>
      </c>
      <c r="L21" s="63">
        <v>22438</v>
      </c>
      <c r="M21" s="63">
        <v>22483</v>
      </c>
      <c r="N21" s="64">
        <f t="shared" si="1"/>
        <v>45</v>
      </c>
      <c r="O21" s="65"/>
    </row>
    <row r="22" spans="2:15" ht="15" x14ac:dyDescent="0.2">
      <c r="B22" s="58"/>
      <c r="C22" s="188"/>
      <c r="D22" s="62" t="s">
        <v>82</v>
      </c>
      <c r="E22" s="63">
        <v>242715</v>
      </c>
      <c r="F22" s="63">
        <v>243056</v>
      </c>
      <c r="G22" s="64">
        <f t="shared" si="0"/>
        <v>341</v>
      </c>
      <c r="H22" s="65"/>
      <c r="I22" s="68"/>
      <c r="J22" s="188"/>
      <c r="K22" s="62" t="s">
        <v>82</v>
      </c>
      <c r="L22" s="63">
        <v>243056</v>
      </c>
      <c r="M22" s="63">
        <v>245112</v>
      </c>
      <c r="N22" s="64">
        <f t="shared" si="1"/>
        <v>2056</v>
      </c>
      <c r="O22" s="65"/>
    </row>
    <row r="23" spans="2:15" ht="15" x14ac:dyDescent="0.2">
      <c r="B23" s="58"/>
      <c r="C23" s="187">
        <v>14</v>
      </c>
      <c r="D23" s="62" t="s">
        <v>80</v>
      </c>
      <c r="E23" s="63">
        <v>116871</v>
      </c>
      <c r="F23" s="63">
        <v>117017</v>
      </c>
      <c r="G23" s="64">
        <f t="shared" si="0"/>
        <v>146</v>
      </c>
      <c r="H23" s="65"/>
      <c r="I23" s="68"/>
      <c r="J23" s="187">
        <v>14</v>
      </c>
      <c r="K23" s="62" t="s">
        <v>80</v>
      </c>
      <c r="L23" s="63">
        <v>117017</v>
      </c>
      <c r="M23" s="63">
        <v>117346</v>
      </c>
      <c r="N23" s="64">
        <f t="shared" si="1"/>
        <v>329</v>
      </c>
      <c r="O23" s="65"/>
    </row>
    <row r="24" spans="2:15" ht="15" x14ac:dyDescent="0.2">
      <c r="B24" s="58"/>
      <c r="C24" s="192"/>
      <c r="D24" s="62" t="s">
        <v>81</v>
      </c>
      <c r="E24" s="70">
        <v>23763</v>
      </c>
      <c r="F24" s="70">
        <v>23763</v>
      </c>
      <c r="G24" s="64">
        <f t="shared" si="0"/>
        <v>0</v>
      </c>
      <c r="H24" s="65"/>
      <c r="I24" s="68"/>
      <c r="J24" s="192"/>
      <c r="K24" s="62" t="s">
        <v>81</v>
      </c>
      <c r="L24" s="70">
        <v>23763</v>
      </c>
      <c r="M24" s="70">
        <v>25937</v>
      </c>
      <c r="N24" s="64">
        <f t="shared" si="1"/>
        <v>2174</v>
      </c>
      <c r="O24" s="65"/>
    </row>
    <row r="25" spans="2:15" ht="15" x14ac:dyDescent="0.2">
      <c r="B25" s="58"/>
      <c r="C25" s="188"/>
      <c r="D25" s="62" t="s">
        <v>82</v>
      </c>
      <c r="E25" s="63">
        <v>1999</v>
      </c>
      <c r="F25" s="63">
        <v>1999</v>
      </c>
      <c r="G25" s="64">
        <f t="shared" si="0"/>
        <v>0</v>
      </c>
      <c r="H25" s="65"/>
      <c r="I25" s="68"/>
      <c r="J25" s="188"/>
      <c r="K25" s="62" t="s">
        <v>82</v>
      </c>
      <c r="L25" s="63">
        <v>1999</v>
      </c>
      <c r="M25" s="63">
        <v>1767</v>
      </c>
      <c r="N25" s="64">
        <f t="shared" si="1"/>
        <v>-232</v>
      </c>
      <c r="O25" s="65"/>
    </row>
    <row r="26" spans="2:15" ht="15" x14ac:dyDescent="0.2">
      <c r="B26" s="58"/>
      <c r="C26" s="187">
        <v>15</v>
      </c>
      <c r="D26" s="62" t="s">
        <v>80</v>
      </c>
      <c r="E26" s="145">
        <v>39380</v>
      </c>
      <c r="F26" s="145">
        <v>39380</v>
      </c>
      <c r="G26" s="64">
        <f t="shared" si="0"/>
        <v>0</v>
      </c>
      <c r="H26" s="65"/>
      <c r="I26" s="69" t="s">
        <v>12</v>
      </c>
      <c r="J26" s="187">
        <v>15</v>
      </c>
      <c r="K26" s="62" t="s">
        <v>80</v>
      </c>
      <c r="L26" s="145">
        <v>39380</v>
      </c>
      <c r="M26" s="145">
        <v>39348</v>
      </c>
      <c r="N26" s="64">
        <f t="shared" si="1"/>
        <v>-32</v>
      </c>
      <c r="O26" s="65"/>
    </row>
    <row r="27" spans="2:15" ht="15" x14ac:dyDescent="0.2">
      <c r="B27" s="58"/>
      <c r="C27" s="192"/>
      <c r="D27" s="62" t="s">
        <v>81</v>
      </c>
      <c r="E27" s="63">
        <v>80522</v>
      </c>
      <c r="F27" s="63">
        <v>80886</v>
      </c>
      <c r="G27" s="64">
        <f t="shared" si="0"/>
        <v>364</v>
      </c>
      <c r="H27" s="65"/>
      <c r="I27" s="69" t="s">
        <v>12</v>
      </c>
      <c r="J27" s="192"/>
      <c r="K27" s="62" t="s">
        <v>81</v>
      </c>
      <c r="L27" s="63">
        <v>80886</v>
      </c>
      <c r="M27" s="63">
        <v>81676</v>
      </c>
      <c r="N27" s="64">
        <f t="shared" si="1"/>
        <v>790</v>
      </c>
      <c r="O27" s="65"/>
    </row>
    <row r="28" spans="2:15" ht="15" x14ac:dyDescent="0.2">
      <c r="B28" s="58"/>
      <c r="C28" s="188"/>
      <c r="D28" s="62" t="s">
        <v>82</v>
      </c>
      <c r="E28" s="63">
        <v>154238</v>
      </c>
      <c r="F28" s="63">
        <v>155292</v>
      </c>
      <c r="G28" s="64">
        <f t="shared" si="0"/>
        <v>1054</v>
      </c>
      <c r="H28" s="65"/>
      <c r="I28" s="68"/>
      <c r="J28" s="188"/>
      <c r="K28" s="62" t="s">
        <v>82</v>
      </c>
      <c r="L28" s="63">
        <v>155292</v>
      </c>
      <c r="M28" s="63">
        <v>157355</v>
      </c>
      <c r="N28" s="64">
        <f t="shared" si="1"/>
        <v>2063</v>
      </c>
      <c r="O28" s="65"/>
    </row>
    <row r="29" spans="2:15" ht="15" x14ac:dyDescent="0.2">
      <c r="B29" s="58"/>
      <c r="C29" s="187">
        <v>16</v>
      </c>
      <c r="D29" s="62" t="s">
        <v>80</v>
      </c>
      <c r="E29" s="145">
        <v>97965</v>
      </c>
      <c r="F29" s="145">
        <v>97965</v>
      </c>
      <c r="G29" s="64">
        <f t="shared" si="0"/>
        <v>0</v>
      </c>
      <c r="H29" s="66" t="s">
        <v>12</v>
      </c>
      <c r="I29" s="68"/>
      <c r="J29" s="187">
        <v>16</v>
      </c>
      <c r="K29" s="62" t="s">
        <v>80</v>
      </c>
      <c r="L29" s="145">
        <v>97965</v>
      </c>
      <c r="M29" s="145">
        <v>97792</v>
      </c>
      <c r="N29" s="64">
        <f t="shared" si="1"/>
        <v>-173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5">
        <v>59824</v>
      </c>
      <c r="F30" s="145">
        <v>60065</v>
      </c>
      <c r="G30" s="64">
        <f t="shared" si="0"/>
        <v>241</v>
      </c>
      <c r="H30" s="65"/>
      <c r="I30" s="68"/>
      <c r="J30" s="192"/>
      <c r="K30" s="62" t="s">
        <v>81</v>
      </c>
      <c r="L30" s="145">
        <v>60065</v>
      </c>
      <c r="M30" s="145">
        <v>60464</v>
      </c>
      <c r="N30" s="64">
        <f t="shared" si="1"/>
        <v>399</v>
      </c>
      <c r="O30" s="65"/>
    </row>
    <row r="31" spans="2:15" ht="15" x14ac:dyDescent="0.2">
      <c r="B31" s="58"/>
      <c r="C31" s="188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8"/>
      <c r="K31" s="62" t="s">
        <v>82</v>
      </c>
      <c r="L31" s="63">
        <v>68462</v>
      </c>
      <c r="M31" s="63">
        <v>68462</v>
      </c>
      <c r="N31" s="64">
        <f t="shared" si="1"/>
        <v>0</v>
      </c>
      <c r="O31" s="71"/>
    </row>
    <row r="32" spans="2:15" ht="15" x14ac:dyDescent="0.2">
      <c r="B32" s="58"/>
      <c r="C32" s="187">
        <v>17</v>
      </c>
      <c r="D32" s="62" t="s">
        <v>80</v>
      </c>
      <c r="E32" s="63">
        <v>32768</v>
      </c>
      <c r="F32" s="63">
        <v>33108</v>
      </c>
      <c r="G32" s="64">
        <f t="shared" si="0"/>
        <v>340</v>
      </c>
      <c r="H32" s="65"/>
      <c r="I32" s="68"/>
      <c r="J32" s="187">
        <v>17</v>
      </c>
      <c r="K32" s="62" t="s">
        <v>80</v>
      </c>
      <c r="L32" s="63">
        <v>33108</v>
      </c>
      <c r="M32" s="63">
        <v>34035</v>
      </c>
      <c r="N32" s="64">
        <f t="shared" si="1"/>
        <v>927</v>
      </c>
      <c r="O32" s="65"/>
    </row>
    <row r="33" spans="2:16" ht="15" x14ac:dyDescent="0.2">
      <c r="B33" s="58"/>
      <c r="C33" s="192"/>
      <c r="D33" s="62" t="s">
        <v>81</v>
      </c>
      <c r="E33" s="63">
        <v>64149</v>
      </c>
      <c r="F33" s="63">
        <v>64190</v>
      </c>
      <c r="G33" s="64">
        <f t="shared" si="0"/>
        <v>41</v>
      </c>
      <c r="H33" s="65"/>
      <c r="I33" s="68"/>
      <c r="J33" s="192"/>
      <c r="K33" s="62" t="s">
        <v>81</v>
      </c>
      <c r="L33" s="63">
        <v>64190</v>
      </c>
      <c r="M33" s="63">
        <v>64134</v>
      </c>
      <c r="N33" s="64">
        <f t="shared" si="1"/>
        <v>-56</v>
      </c>
      <c r="O33" s="65"/>
    </row>
    <row r="34" spans="2:16" ht="15" x14ac:dyDescent="0.2">
      <c r="B34" s="58"/>
      <c r="C34" s="188"/>
      <c r="D34" s="62" t="s">
        <v>82</v>
      </c>
      <c r="E34" s="63">
        <v>11579</v>
      </c>
      <c r="F34" s="63">
        <v>11664</v>
      </c>
      <c r="G34" s="64">
        <f t="shared" si="0"/>
        <v>85</v>
      </c>
      <c r="H34" s="71"/>
      <c r="I34" s="68"/>
      <c r="J34" s="188"/>
      <c r="K34" s="62" t="s">
        <v>82</v>
      </c>
      <c r="L34" s="63">
        <v>11664</v>
      </c>
      <c r="M34" s="63">
        <v>83366</v>
      </c>
      <c r="N34" s="64">
        <f t="shared" si="1"/>
        <v>71702</v>
      </c>
      <c r="O34" s="71"/>
    </row>
    <row r="35" spans="2:16" ht="15" x14ac:dyDescent="0.2">
      <c r="B35" s="58"/>
      <c r="C35" s="187">
        <v>18</v>
      </c>
      <c r="D35" s="62" t="s">
        <v>80</v>
      </c>
      <c r="E35" s="63">
        <v>239144</v>
      </c>
      <c r="F35" s="63">
        <v>240194</v>
      </c>
      <c r="G35" s="64">
        <f t="shared" si="0"/>
        <v>1050</v>
      </c>
      <c r="H35" s="71"/>
      <c r="I35" s="68"/>
      <c r="J35" s="187">
        <v>18</v>
      </c>
      <c r="K35" s="62" t="s">
        <v>80</v>
      </c>
      <c r="L35" s="63">
        <v>240194</v>
      </c>
      <c r="M35" s="63">
        <v>243624</v>
      </c>
      <c r="N35" s="64">
        <f t="shared" si="1"/>
        <v>3430</v>
      </c>
      <c r="O35" s="71"/>
      <c r="P35" s="158"/>
    </row>
    <row r="36" spans="2:16" ht="15" x14ac:dyDescent="0.2">
      <c r="B36" s="58"/>
      <c r="C36" s="192"/>
      <c r="D36" s="62" t="s">
        <v>81</v>
      </c>
      <c r="E36" s="70">
        <v>16836</v>
      </c>
      <c r="F36" s="70">
        <v>17660</v>
      </c>
      <c r="G36" s="64">
        <f t="shared" si="0"/>
        <v>824</v>
      </c>
      <c r="H36" s="65"/>
      <c r="I36" s="68"/>
      <c r="J36" s="192"/>
      <c r="K36" s="62" t="s">
        <v>81</v>
      </c>
      <c r="L36" s="70">
        <v>17660</v>
      </c>
      <c r="M36" s="70">
        <v>17660</v>
      </c>
      <c r="N36" s="64">
        <f t="shared" si="1"/>
        <v>0</v>
      </c>
      <c r="O36" s="65"/>
      <c r="P36" s="168"/>
    </row>
    <row r="37" spans="2:16" ht="15" x14ac:dyDescent="0.2">
      <c r="B37" s="58"/>
      <c r="C37" s="188"/>
      <c r="D37" s="62" t="s">
        <v>82</v>
      </c>
      <c r="E37" s="63">
        <v>78775</v>
      </c>
      <c r="F37" s="63">
        <v>80127</v>
      </c>
      <c r="G37" s="64">
        <f t="shared" si="0"/>
        <v>1352</v>
      </c>
      <c r="H37" s="65"/>
      <c r="I37" s="68"/>
      <c r="J37" s="188"/>
      <c r="K37" s="62" t="s">
        <v>82</v>
      </c>
      <c r="L37" s="63">
        <v>80127</v>
      </c>
      <c r="M37" s="63">
        <v>83790</v>
      </c>
      <c r="N37" s="64">
        <f t="shared" si="1"/>
        <v>3663</v>
      </c>
      <c r="O37" s="65"/>
    </row>
    <row r="38" spans="2:16" ht="15" x14ac:dyDescent="0.2">
      <c r="B38" s="58"/>
      <c r="C38" s="187">
        <v>19</v>
      </c>
      <c r="D38" s="62" t="s">
        <v>80</v>
      </c>
      <c r="E38" s="63">
        <v>21552</v>
      </c>
      <c r="F38" s="63">
        <v>21717</v>
      </c>
      <c r="G38" s="64">
        <f t="shared" si="0"/>
        <v>165</v>
      </c>
      <c r="H38" s="65"/>
      <c r="I38" s="68"/>
      <c r="J38" s="187">
        <v>19</v>
      </c>
      <c r="K38" s="62" t="s">
        <v>80</v>
      </c>
      <c r="L38" s="63">
        <v>21717</v>
      </c>
      <c r="M38" s="63">
        <v>22092</v>
      </c>
      <c r="N38" s="64">
        <f t="shared" si="1"/>
        <v>375</v>
      </c>
      <c r="O38" s="65"/>
    </row>
    <row r="39" spans="2:16" ht="15" x14ac:dyDescent="0.2">
      <c r="B39" s="58"/>
      <c r="C39" s="192"/>
      <c r="D39" s="62" t="s">
        <v>81</v>
      </c>
      <c r="E39" s="145">
        <v>83126</v>
      </c>
      <c r="F39" s="145">
        <v>83384</v>
      </c>
      <c r="G39" s="64">
        <f t="shared" si="0"/>
        <v>258</v>
      </c>
      <c r="H39" s="71"/>
      <c r="I39" s="68"/>
      <c r="J39" s="192"/>
      <c r="K39" s="62" t="s">
        <v>81</v>
      </c>
      <c r="L39" s="145">
        <v>83384</v>
      </c>
      <c r="M39" s="145">
        <v>53053</v>
      </c>
      <c r="N39" s="64">
        <f t="shared" si="1"/>
        <v>-30331</v>
      </c>
      <c r="O39" s="71"/>
    </row>
    <row r="40" spans="2:16" ht="15" x14ac:dyDescent="0.2">
      <c r="B40" s="58"/>
      <c r="C40" s="188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8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7">
        <v>20</v>
      </c>
      <c r="D41" s="62" t="s">
        <v>80</v>
      </c>
      <c r="E41" s="63">
        <v>118849</v>
      </c>
      <c r="F41" s="63">
        <v>119121</v>
      </c>
      <c r="G41" s="64">
        <f t="shared" si="0"/>
        <v>272</v>
      </c>
      <c r="H41" s="65"/>
      <c r="I41" s="68"/>
      <c r="J41" s="187">
        <v>20</v>
      </c>
      <c r="K41" s="62" t="s">
        <v>80</v>
      </c>
      <c r="L41" s="63">
        <v>119121</v>
      </c>
      <c r="M41" s="63">
        <v>119626</v>
      </c>
      <c r="N41" s="64">
        <f t="shared" si="1"/>
        <v>505</v>
      </c>
      <c r="O41" s="65"/>
    </row>
    <row r="42" spans="2:16" ht="15" x14ac:dyDescent="0.2">
      <c r="B42" s="58"/>
      <c r="C42" s="192"/>
      <c r="D42" s="62" t="s">
        <v>81</v>
      </c>
      <c r="E42" s="145">
        <v>69099</v>
      </c>
      <c r="F42" s="145">
        <v>69249</v>
      </c>
      <c r="G42" s="64">
        <f t="shared" si="0"/>
        <v>150</v>
      </c>
      <c r="H42" s="65"/>
      <c r="J42" s="192"/>
      <c r="K42" s="62" t="s">
        <v>81</v>
      </c>
      <c r="L42" s="145">
        <v>69249</v>
      </c>
      <c r="M42" s="145">
        <v>66556</v>
      </c>
      <c r="N42" s="64">
        <f t="shared" si="1"/>
        <v>-2693</v>
      </c>
      <c r="O42" s="65"/>
    </row>
    <row r="43" spans="2:16" ht="15" x14ac:dyDescent="0.2">
      <c r="B43" s="58"/>
      <c r="C43" s="188"/>
      <c r="D43" s="62" t="s">
        <v>82</v>
      </c>
      <c r="E43" s="63">
        <v>3298</v>
      </c>
      <c r="F43" s="63">
        <v>3298</v>
      </c>
      <c r="G43" s="64">
        <f t="shared" si="0"/>
        <v>0</v>
      </c>
      <c r="H43" s="65"/>
      <c r="J43" s="188"/>
      <c r="K43" s="62" t="s">
        <v>82</v>
      </c>
      <c r="L43" s="63">
        <v>3298</v>
      </c>
      <c r="M43" s="63">
        <v>3312</v>
      </c>
      <c r="N43" s="64">
        <f t="shared" si="1"/>
        <v>14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7">
        <v>21</v>
      </c>
      <c r="D45" s="76" t="s">
        <v>83</v>
      </c>
      <c r="E45" s="63">
        <v>3468</v>
      </c>
      <c r="F45" s="63">
        <v>3511</v>
      </c>
      <c r="G45" s="64">
        <f t="shared" ref="G45:G50" si="2">F45-E45</f>
        <v>43</v>
      </c>
      <c r="H45" s="66" t="s">
        <v>12</v>
      </c>
      <c r="J45" s="187">
        <v>21</v>
      </c>
      <c r="K45" s="76" t="s">
        <v>83</v>
      </c>
      <c r="L45" s="63">
        <v>3511</v>
      </c>
      <c r="M45" s="63">
        <v>3585</v>
      </c>
      <c r="N45" s="64">
        <f t="shared" si="1"/>
        <v>74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38755</v>
      </c>
      <c r="F46" s="63">
        <v>39537</v>
      </c>
      <c r="G46" s="64">
        <f t="shared" si="2"/>
        <v>782</v>
      </c>
      <c r="H46" s="65"/>
      <c r="J46" s="192"/>
      <c r="K46" s="76" t="s">
        <v>82</v>
      </c>
      <c r="L46" s="63">
        <v>39537</v>
      </c>
      <c r="M46" s="63">
        <v>41106</v>
      </c>
      <c r="N46" s="64">
        <f t="shared" si="1"/>
        <v>1569</v>
      </c>
      <c r="O46" s="65"/>
    </row>
    <row r="47" spans="2:16" ht="15" x14ac:dyDescent="0.2">
      <c r="B47" s="58"/>
      <c r="C47" s="187">
        <v>22</v>
      </c>
      <c r="D47" s="76" t="s">
        <v>83</v>
      </c>
      <c r="E47" s="77">
        <v>13941</v>
      </c>
      <c r="F47" s="77">
        <v>13941</v>
      </c>
      <c r="G47" s="64">
        <f t="shared" si="2"/>
        <v>0</v>
      </c>
      <c r="H47" s="65"/>
      <c r="I47" t="s">
        <v>12</v>
      </c>
      <c r="J47" s="187">
        <v>22</v>
      </c>
      <c r="K47" s="76" t="s">
        <v>83</v>
      </c>
      <c r="L47" s="77">
        <v>13941</v>
      </c>
      <c r="M47" s="77">
        <v>13642</v>
      </c>
      <c r="N47" s="64">
        <f t="shared" si="1"/>
        <v>-299</v>
      </c>
      <c r="O47" s="65"/>
    </row>
    <row r="48" spans="2:16" ht="15" x14ac:dyDescent="0.2">
      <c r="B48" s="58"/>
      <c r="C48" s="192"/>
      <c r="D48" s="76" t="s">
        <v>82</v>
      </c>
      <c r="E48" s="77">
        <v>19792</v>
      </c>
      <c r="F48" s="77">
        <v>19942</v>
      </c>
      <c r="G48" s="64">
        <f t="shared" si="2"/>
        <v>150</v>
      </c>
      <c r="H48" s="65"/>
      <c r="J48" s="192"/>
      <c r="K48" s="76" t="s">
        <v>82</v>
      </c>
      <c r="L48" s="77">
        <v>19942</v>
      </c>
      <c r="M48" s="77">
        <v>20213</v>
      </c>
      <c r="N48" s="64">
        <f t="shared" si="1"/>
        <v>271</v>
      </c>
      <c r="O48" s="65"/>
    </row>
    <row r="49" spans="1:15" ht="15" x14ac:dyDescent="0.2">
      <c r="B49" s="58"/>
      <c r="C49" s="187">
        <v>23</v>
      </c>
      <c r="D49" s="62" t="s">
        <v>83</v>
      </c>
      <c r="E49" s="77"/>
      <c r="F49" s="77"/>
      <c r="G49" s="64">
        <f t="shared" si="2"/>
        <v>0</v>
      </c>
      <c r="H49" s="65"/>
      <c r="J49" s="187">
        <v>23</v>
      </c>
      <c r="K49" s="62" t="s">
        <v>83</v>
      </c>
      <c r="L49" s="77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77"/>
      <c r="F50" s="77"/>
      <c r="G50" s="64">
        <f t="shared" si="2"/>
        <v>0</v>
      </c>
      <c r="H50" s="65"/>
      <c r="J50" s="192"/>
      <c r="K50" s="62" t="s">
        <v>82</v>
      </c>
      <c r="L50" s="77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5">
        <v>242334</v>
      </c>
      <c r="F52" s="145">
        <v>243404</v>
      </c>
      <c r="G52" s="64">
        <f t="shared" ref="G52:G60" si="3">F52-E52</f>
        <v>1070</v>
      </c>
      <c r="H52" s="79"/>
      <c r="J52" s="193">
        <v>24</v>
      </c>
      <c r="K52" s="62" t="s">
        <v>84</v>
      </c>
      <c r="L52" s="145">
        <v>243404</v>
      </c>
      <c r="M52" s="145">
        <v>245344</v>
      </c>
      <c r="N52" s="64">
        <f t="shared" si="1"/>
        <v>1940</v>
      </c>
      <c r="O52" s="79"/>
    </row>
    <row r="53" spans="1:15" ht="15" x14ac:dyDescent="0.2">
      <c r="B53" s="58"/>
      <c r="C53" s="194"/>
      <c r="D53" s="62" t="s">
        <v>85</v>
      </c>
      <c r="E53" s="145">
        <v>536218</v>
      </c>
      <c r="F53" s="145">
        <v>536689</v>
      </c>
      <c r="G53" s="64">
        <f t="shared" si="3"/>
        <v>471</v>
      </c>
      <c r="H53" s="71"/>
      <c r="J53" s="194"/>
      <c r="K53" s="62" t="s">
        <v>85</v>
      </c>
      <c r="L53" s="145">
        <v>536689</v>
      </c>
      <c r="M53" s="145">
        <v>237646</v>
      </c>
      <c r="N53" s="64">
        <f t="shared" si="1"/>
        <v>-299043</v>
      </c>
      <c r="O53" s="71"/>
    </row>
    <row r="54" spans="1:15" ht="15" x14ac:dyDescent="0.2">
      <c r="B54" s="58"/>
      <c r="C54" s="195"/>
      <c r="D54" s="62" t="s">
        <v>84</v>
      </c>
      <c r="E54" s="145">
        <v>34567</v>
      </c>
      <c r="F54" s="145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5">
        <v>34567</v>
      </c>
      <c r="M54" s="145">
        <v>34557</v>
      </c>
      <c r="N54" s="64">
        <f t="shared" si="1"/>
        <v>-10</v>
      </c>
      <c r="O54" s="80" t="s">
        <v>12</v>
      </c>
    </row>
    <row r="55" spans="1:15" ht="15" x14ac:dyDescent="0.2">
      <c r="B55" s="58"/>
      <c r="C55" s="187">
        <v>25</v>
      </c>
      <c r="D55" s="62" t="s">
        <v>84</v>
      </c>
      <c r="E55" s="77">
        <v>330</v>
      </c>
      <c r="F55" s="77">
        <v>330</v>
      </c>
      <c r="G55" s="64">
        <f t="shared" si="3"/>
        <v>0</v>
      </c>
      <c r="H55" s="65"/>
      <c r="J55" s="187">
        <v>25</v>
      </c>
      <c r="K55" s="62" t="s">
        <v>84</v>
      </c>
      <c r="L55" s="77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8"/>
      <c r="D56" s="62" t="s">
        <v>85</v>
      </c>
      <c r="E56" s="77">
        <v>3</v>
      </c>
      <c r="F56" s="77">
        <v>3</v>
      </c>
      <c r="G56" s="64">
        <f t="shared" si="3"/>
        <v>0</v>
      </c>
      <c r="H56" s="65"/>
      <c r="J56" s="188"/>
      <c r="K56" s="62" t="s">
        <v>85</v>
      </c>
      <c r="L56" s="77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7">
        <v>26</v>
      </c>
      <c r="D57" s="62" t="s">
        <v>84</v>
      </c>
      <c r="E57" s="63">
        <v>706781</v>
      </c>
      <c r="F57" s="63">
        <v>709819</v>
      </c>
      <c r="G57" s="64">
        <f t="shared" si="3"/>
        <v>3038</v>
      </c>
      <c r="H57" s="65"/>
      <c r="J57" s="187">
        <v>26</v>
      </c>
      <c r="K57" s="62" t="s">
        <v>84</v>
      </c>
      <c r="L57" s="63">
        <v>709819</v>
      </c>
      <c r="M57" s="63">
        <v>716183</v>
      </c>
      <c r="N57" s="64">
        <f t="shared" si="1"/>
        <v>6364</v>
      </c>
      <c r="O57" s="65"/>
    </row>
    <row r="58" spans="1:15" ht="15" x14ac:dyDescent="0.2">
      <c r="A58" s="68"/>
      <c r="B58" s="58"/>
      <c r="C58" s="188"/>
      <c r="D58" s="62" t="s">
        <v>85</v>
      </c>
      <c r="E58" s="63">
        <v>775701</v>
      </c>
      <c r="F58" s="63">
        <v>779269</v>
      </c>
      <c r="G58" s="64">
        <f t="shared" si="3"/>
        <v>3568</v>
      </c>
      <c r="H58" s="71"/>
      <c r="I58" s="68"/>
      <c r="J58" s="188"/>
      <c r="K58" s="62" t="s">
        <v>85</v>
      </c>
      <c r="L58" s="63">
        <v>779269</v>
      </c>
      <c r="M58" s="63">
        <v>786793</v>
      </c>
      <c r="N58" s="64">
        <f t="shared" si="1"/>
        <v>7524</v>
      </c>
      <c r="O58" s="71"/>
    </row>
    <row r="59" spans="1:15" ht="15" x14ac:dyDescent="0.2">
      <c r="A59" s="68"/>
      <c r="B59" s="58"/>
      <c r="C59" s="187">
        <v>27</v>
      </c>
      <c r="D59" s="62" t="s">
        <v>84</v>
      </c>
      <c r="E59" s="63">
        <v>239540</v>
      </c>
      <c r="F59" s="63">
        <v>240561</v>
      </c>
      <c r="G59" s="64">
        <f t="shared" si="3"/>
        <v>1021</v>
      </c>
      <c r="H59" s="65"/>
      <c r="I59" s="68"/>
      <c r="J59" s="187">
        <v>27</v>
      </c>
      <c r="K59" s="62" t="s">
        <v>84</v>
      </c>
      <c r="L59" s="63">
        <v>240561</v>
      </c>
      <c r="M59" s="63">
        <v>242888</v>
      </c>
      <c r="N59" s="64">
        <f t="shared" si="1"/>
        <v>2327</v>
      </c>
      <c r="O59" s="65"/>
    </row>
    <row r="60" spans="1:15" ht="15" x14ac:dyDescent="0.2">
      <c r="A60" s="68"/>
      <c r="B60" s="58"/>
      <c r="C60" s="188"/>
      <c r="D60" s="62" t="s">
        <v>85</v>
      </c>
      <c r="E60" s="63">
        <v>99246</v>
      </c>
      <c r="F60" s="63">
        <v>100967</v>
      </c>
      <c r="G60" s="64">
        <f t="shared" si="3"/>
        <v>1721</v>
      </c>
      <c r="H60" s="65"/>
      <c r="I60" s="68"/>
      <c r="J60" s="188"/>
      <c r="K60" s="62" t="s">
        <v>85</v>
      </c>
      <c r="L60" s="63">
        <v>100967</v>
      </c>
      <c r="M60" s="63">
        <v>102293</v>
      </c>
      <c r="N60" s="64">
        <f t="shared" si="1"/>
        <v>1326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7">
        <v>28</v>
      </c>
      <c r="D62" s="182" t="s">
        <v>86</v>
      </c>
      <c r="E62" s="63"/>
      <c r="F62" s="63"/>
      <c r="G62" s="64"/>
      <c r="H62" s="184" t="s">
        <v>87</v>
      </c>
      <c r="I62" s="68"/>
      <c r="J62" s="187">
        <v>28</v>
      </c>
      <c r="K62" s="182" t="s">
        <v>86</v>
      </c>
      <c r="L62" s="63"/>
      <c r="M62" s="63"/>
      <c r="N62" s="64"/>
      <c r="O62" s="184" t="s">
        <v>87</v>
      </c>
    </row>
    <row r="63" spans="1:15" ht="15" x14ac:dyDescent="0.2">
      <c r="A63" s="68"/>
      <c r="B63" s="58"/>
      <c r="C63" s="188"/>
      <c r="D63" s="183"/>
      <c r="E63" s="63"/>
      <c r="F63" s="63"/>
      <c r="G63" s="64"/>
      <c r="H63" s="185"/>
      <c r="I63" s="68"/>
      <c r="J63" s="188"/>
      <c r="K63" s="183"/>
      <c r="L63" s="63"/>
      <c r="M63" s="63"/>
      <c r="N63" s="64"/>
      <c r="O63" s="185"/>
    </row>
    <row r="64" spans="1:15" x14ac:dyDescent="0.2">
      <c r="A64" s="68"/>
      <c r="B64" s="58"/>
      <c r="C64" s="186" t="s">
        <v>88</v>
      </c>
      <c r="D64" s="186"/>
      <c r="E64" s="186"/>
      <c r="F64" s="186"/>
      <c r="G64" s="82">
        <f>SUM(G2:G63)</f>
        <v>28925</v>
      </c>
      <c r="H64" s="83"/>
      <c r="I64" s="68"/>
      <c r="J64" s="186" t="s">
        <v>88</v>
      </c>
      <c r="K64" s="186"/>
      <c r="L64" s="186"/>
      <c r="M64" s="186"/>
      <c r="N64" s="82">
        <f>SUM(N2:N63)</f>
        <v>-202363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9">
        <v>44409</v>
      </c>
      <c r="C69" s="190"/>
      <c r="D69" s="190"/>
      <c r="E69" s="191"/>
      <c r="F69" s="86"/>
      <c r="G69" s="189">
        <v>44470</v>
      </c>
      <c r="H69" s="190"/>
      <c r="I69" s="190"/>
      <c r="J69" s="191"/>
      <c r="K69" s="86"/>
      <c r="L69" s="179" t="s">
        <v>25</v>
      </c>
      <c r="M69" s="180"/>
      <c r="N69" s="180"/>
      <c r="O69" s="181"/>
    </row>
    <row r="70" spans="1:15" ht="13.5" thickBot="1" x14ac:dyDescent="0.25">
      <c r="A70" s="84"/>
      <c r="B70" s="146" t="s">
        <v>139</v>
      </c>
      <c r="C70" s="146">
        <v>30</v>
      </c>
      <c r="D70" s="146" t="s">
        <v>89</v>
      </c>
      <c r="E70" s="146" t="s">
        <v>90</v>
      </c>
      <c r="F70" s="84"/>
      <c r="G70" s="146" t="s">
        <v>139</v>
      </c>
      <c r="H70" s="146">
        <v>30</v>
      </c>
      <c r="I70" s="146" t="s">
        <v>89</v>
      </c>
      <c r="J70" s="146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92813</v>
      </c>
      <c r="D71" s="90">
        <v>56584</v>
      </c>
      <c r="E71" s="91">
        <v>78901</v>
      </c>
      <c r="F71" s="84"/>
      <c r="G71" s="88">
        <v>6</v>
      </c>
      <c r="H71" s="89">
        <v>92813</v>
      </c>
      <c r="I71" s="90">
        <v>56584</v>
      </c>
      <c r="J71" s="91">
        <v>78901</v>
      </c>
      <c r="K71" s="84"/>
      <c r="L71" s="87">
        <v>6</v>
      </c>
      <c r="M71" s="92">
        <f>H71-C71</f>
        <v>0</v>
      </c>
      <c r="N71" s="92">
        <f>I71-D71</f>
        <v>0</v>
      </c>
      <c r="O71" s="92">
        <f>J71-E71</f>
        <v>0</v>
      </c>
    </row>
    <row r="72" spans="1:15" ht="15.75" thickBot="1" x14ac:dyDescent="0.25">
      <c r="A72" s="84"/>
      <c r="B72" s="88">
        <v>7</v>
      </c>
      <c r="C72" s="89">
        <v>97400</v>
      </c>
      <c r="D72" s="90">
        <v>104249</v>
      </c>
      <c r="E72" s="91">
        <v>64322</v>
      </c>
      <c r="F72" s="84"/>
      <c r="G72" s="88">
        <v>7</v>
      </c>
      <c r="H72" s="89">
        <v>97400</v>
      </c>
      <c r="I72" s="90">
        <v>104249</v>
      </c>
      <c r="J72" s="91">
        <v>64322</v>
      </c>
      <c r="K72" s="84"/>
      <c r="L72" s="87">
        <v>7</v>
      </c>
      <c r="M72" s="92">
        <f t="shared" ref="M72:O94" si="4">H72-C72</f>
        <v>0</v>
      </c>
      <c r="N72" s="92">
        <f t="shared" si="4"/>
        <v>0</v>
      </c>
      <c r="O72" s="92">
        <f t="shared" si="4"/>
        <v>0</v>
      </c>
    </row>
    <row r="73" spans="1:15" ht="15.75" thickBot="1" x14ac:dyDescent="0.25">
      <c r="A73" s="84"/>
      <c r="B73" s="88">
        <v>8</v>
      </c>
      <c r="C73" s="89">
        <v>113302</v>
      </c>
      <c r="D73" s="90">
        <v>251904</v>
      </c>
      <c r="E73" s="91">
        <v>109334</v>
      </c>
      <c r="F73" s="84"/>
      <c r="G73" s="88">
        <v>8</v>
      </c>
      <c r="H73" s="89">
        <v>113302</v>
      </c>
      <c r="I73" s="90">
        <v>251904</v>
      </c>
      <c r="J73" s="91">
        <v>109334</v>
      </c>
      <c r="K73" s="84"/>
      <c r="L73" s="87">
        <v>8</v>
      </c>
      <c r="M73" s="92">
        <f t="shared" si="4"/>
        <v>0</v>
      </c>
      <c r="N73" s="92">
        <f t="shared" si="4"/>
        <v>0</v>
      </c>
      <c r="O73" s="92">
        <f t="shared" si="4"/>
        <v>0</v>
      </c>
    </row>
    <row r="74" spans="1:15" ht="15.75" thickBot="1" x14ac:dyDescent="0.25">
      <c r="A74" s="84"/>
      <c r="B74" s="88">
        <v>9</v>
      </c>
      <c r="C74" s="89">
        <v>68757</v>
      </c>
      <c r="D74" s="90">
        <v>152765</v>
      </c>
      <c r="E74" s="91">
        <v>155974</v>
      </c>
      <c r="F74" s="84"/>
      <c r="G74" s="88">
        <v>9</v>
      </c>
      <c r="H74" s="89">
        <v>68757</v>
      </c>
      <c r="I74" s="90">
        <v>152765</v>
      </c>
      <c r="J74" s="91">
        <v>155974</v>
      </c>
      <c r="K74" s="84"/>
      <c r="L74" s="87">
        <v>9</v>
      </c>
      <c r="M74" s="92">
        <f t="shared" si="4"/>
        <v>0</v>
      </c>
      <c r="N74" s="92">
        <f t="shared" si="4"/>
        <v>0</v>
      </c>
      <c r="O74" s="92">
        <f t="shared" si="4"/>
        <v>0</v>
      </c>
    </row>
    <row r="75" spans="1:15" ht="15.75" thickBot="1" x14ac:dyDescent="0.25">
      <c r="A75" s="84"/>
      <c r="B75" s="88">
        <v>10</v>
      </c>
      <c r="C75" s="89">
        <v>72174</v>
      </c>
      <c r="D75" s="90">
        <v>113714</v>
      </c>
      <c r="E75" s="91">
        <v>147690</v>
      </c>
      <c r="F75" s="84"/>
      <c r="G75" s="88">
        <v>10</v>
      </c>
      <c r="H75" s="89">
        <v>72174</v>
      </c>
      <c r="I75" s="90">
        <v>113714</v>
      </c>
      <c r="J75" s="91">
        <v>147690</v>
      </c>
      <c r="K75" s="84"/>
      <c r="L75" s="87">
        <v>10</v>
      </c>
      <c r="M75" s="92">
        <f t="shared" si="4"/>
        <v>0</v>
      </c>
      <c r="N75" s="92">
        <f t="shared" si="4"/>
        <v>0</v>
      </c>
      <c r="O75" s="92">
        <f t="shared" si="4"/>
        <v>0</v>
      </c>
    </row>
    <row r="76" spans="1:15" ht="15.75" thickBot="1" x14ac:dyDescent="0.25">
      <c r="A76" s="84"/>
      <c r="B76" s="88">
        <v>11</v>
      </c>
      <c r="C76" s="89">
        <v>154783</v>
      </c>
      <c r="D76" s="90">
        <v>184017</v>
      </c>
      <c r="E76" s="91">
        <v>212196</v>
      </c>
      <c r="F76" s="84"/>
      <c r="G76" s="88">
        <v>11</v>
      </c>
      <c r="H76" s="89">
        <v>154783</v>
      </c>
      <c r="I76" s="90">
        <v>184017</v>
      </c>
      <c r="J76" s="91">
        <v>212196</v>
      </c>
      <c r="K76" s="84"/>
      <c r="L76" s="87">
        <v>11</v>
      </c>
      <c r="M76" s="92">
        <f t="shared" si="4"/>
        <v>0</v>
      </c>
      <c r="N76" s="92">
        <f t="shared" si="4"/>
        <v>0</v>
      </c>
      <c r="O76" s="92">
        <f t="shared" si="4"/>
        <v>0</v>
      </c>
    </row>
    <row r="77" spans="1:15" ht="15.75" thickBot="1" x14ac:dyDescent="0.25">
      <c r="A77" s="84"/>
      <c r="B77" s="88">
        <v>12</v>
      </c>
      <c r="C77" s="89">
        <v>149996</v>
      </c>
      <c r="D77" s="90">
        <v>96553</v>
      </c>
      <c r="E77" s="91">
        <v>100449</v>
      </c>
      <c r="F77" s="84"/>
      <c r="G77" s="88">
        <v>12</v>
      </c>
      <c r="H77" s="89">
        <v>149996</v>
      </c>
      <c r="I77" s="90">
        <v>96553</v>
      </c>
      <c r="J77" s="91">
        <v>100449</v>
      </c>
      <c r="K77" s="84"/>
      <c r="L77" s="87">
        <v>12</v>
      </c>
      <c r="M77" s="92">
        <f t="shared" si="4"/>
        <v>0</v>
      </c>
      <c r="N77" s="92">
        <f>I77-D77</f>
        <v>0</v>
      </c>
      <c r="O77" s="92">
        <f t="shared" si="4"/>
        <v>0</v>
      </c>
    </row>
    <row r="78" spans="1:15" ht="15.75" thickBot="1" x14ac:dyDescent="0.25">
      <c r="A78" s="84"/>
      <c r="B78" s="88">
        <v>14</v>
      </c>
      <c r="C78" s="89">
        <v>123669</v>
      </c>
      <c r="D78" s="90">
        <v>48259</v>
      </c>
      <c r="E78" s="91">
        <v>51167</v>
      </c>
      <c r="F78" s="84"/>
      <c r="G78" s="88">
        <v>14</v>
      </c>
      <c r="H78" s="89">
        <v>123669</v>
      </c>
      <c r="I78" s="90">
        <v>48259</v>
      </c>
      <c r="J78" s="91">
        <v>51167</v>
      </c>
      <c r="K78" s="84"/>
      <c r="L78" s="87">
        <v>14</v>
      </c>
      <c r="M78" s="92">
        <f t="shared" si="4"/>
        <v>0</v>
      </c>
      <c r="N78" s="92">
        <f t="shared" si="4"/>
        <v>0</v>
      </c>
      <c r="O78" s="92">
        <f t="shared" si="4"/>
        <v>0</v>
      </c>
    </row>
    <row r="79" spans="1:15" ht="15.75" thickBot="1" x14ac:dyDescent="0.25">
      <c r="A79" s="84"/>
      <c r="B79" s="88">
        <v>15</v>
      </c>
      <c r="C79" s="89">
        <v>169635</v>
      </c>
      <c r="D79" s="90">
        <v>148519</v>
      </c>
      <c r="E79" s="91">
        <v>158828</v>
      </c>
      <c r="F79" s="84"/>
      <c r="G79" s="88">
        <v>15</v>
      </c>
      <c r="H79" s="89">
        <v>169635</v>
      </c>
      <c r="I79" s="90">
        <v>148519</v>
      </c>
      <c r="J79" s="91">
        <v>158828</v>
      </c>
      <c r="K79" s="84"/>
      <c r="L79" s="87">
        <v>15</v>
      </c>
      <c r="M79" s="92">
        <f t="shared" si="4"/>
        <v>0</v>
      </c>
      <c r="N79" s="92">
        <f t="shared" si="4"/>
        <v>0</v>
      </c>
      <c r="O79" s="92">
        <f t="shared" si="4"/>
        <v>0</v>
      </c>
    </row>
    <row r="80" spans="1:15" ht="15.75" thickBot="1" x14ac:dyDescent="0.25">
      <c r="A80" s="84"/>
      <c r="B80" s="88">
        <v>16</v>
      </c>
      <c r="C80" s="89">
        <v>122562</v>
      </c>
      <c r="D80" s="90">
        <v>147878</v>
      </c>
      <c r="E80" s="91">
        <v>216460</v>
      </c>
      <c r="F80" s="84"/>
      <c r="G80" s="88">
        <v>16</v>
      </c>
      <c r="H80" s="89">
        <v>122562</v>
      </c>
      <c r="I80" s="90">
        <v>147878</v>
      </c>
      <c r="J80" s="91">
        <v>216460</v>
      </c>
      <c r="K80" s="84"/>
      <c r="L80" s="87">
        <v>16</v>
      </c>
      <c r="M80" s="92">
        <f t="shared" si="4"/>
        <v>0</v>
      </c>
      <c r="N80" s="92">
        <f t="shared" si="4"/>
        <v>0</v>
      </c>
      <c r="O80" s="92">
        <f t="shared" si="4"/>
        <v>0</v>
      </c>
    </row>
    <row r="81" spans="1:15" ht="15.75" thickBot="1" x14ac:dyDescent="0.25">
      <c r="A81" s="84"/>
      <c r="B81" s="88">
        <v>17</v>
      </c>
      <c r="C81" s="89">
        <v>38476</v>
      </c>
      <c r="D81" s="90">
        <v>86216</v>
      </c>
      <c r="E81" s="91">
        <v>202489</v>
      </c>
      <c r="F81" s="84"/>
      <c r="G81" s="88">
        <v>17</v>
      </c>
      <c r="H81" s="89">
        <v>38476</v>
      </c>
      <c r="I81" s="90">
        <v>86216</v>
      </c>
      <c r="J81" s="91">
        <v>202489</v>
      </c>
      <c r="K81" s="84"/>
      <c r="L81" s="87">
        <v>17</v>
      </c>
      <c r="M81" s="92">
        <f t="shared" si="4"/>
        <v>0</v>
      </c>
      <c r="N81" s="92">
        <f t="shared" si="4"/>
        <v>0</v>
      </c>
      <c r="O81" s="92">
        <f t="shared" si="4"/>
        <v>0</v>
      </c>
    </row>
    <row r="82" spans="1:15" ht="15.75" thickBot="1" x14ac:dyDescent="0.25">
      <c r="A82" s="84"/>
      <c r="B82" s="88">
        <v>18</v>
      </c>
      <c r="C82" s="89">
        <v>137474</v>
      </c>
      <c r="D82" s="90">
        <v>72899</v>
      </c>
      <c r="E82" s="91">
        <v>164019</v>
      </c>
      <c r="F82" s="84"/>
      <c r="G82" s="88">
        <v>18</v>
      </c>
      <c r="H82" s="89">
        <v>137474</v>
      </c>
      <c r="I82" s="90">
        <v>72899</v>
      </c>
      <c r="J82" s="91">
        <v>164019</v>
      </c>
      <c r="K82" s="84"/>
      <c r="L82" s="87">
        <v>18</v>
      </c>
      <c r="M82" s="92">
        <f t="shared" si="4"/>
        <v>0</v>
      </c>
      <c r="N82" s="92">
        <f t="shared" si="4"/>
        <v>0</v>
      </c>
      <c r="O82" s="92">
        <f t="shared" si="4"/>
        <v>0</v>
      </c>
    </row>
    <row r="83" spans="1:15" ht="15.75" thickBot="1" x14ac:dyDescent="0.25">
      <c r="A83" s="84"/>
      <c r="B83" s="88">
        <v>19</v>
      </c>
      <c r="C83" s="89">
        <v>76648</v>
      </c>
      <c r="D83" s="90">
        <v>171894</v>
      </c>
      <c r="E83" s="91">
        <v>123189</v>
      </c>
      <c r="F83" s="84"/>
      <c r="G83" s="88">
        <v>19</v>
      </c>
      <c r="H83" s="89">
        <v>76648</v>
      </c>
      <c r="I83" s="90">
        <v>171894</v>
      </c>
      <c r="J83" s="91">
        <v>123189</v>
      </c>
      <c r="K83" s="84"/>
      <c r="L83" s="87">
        <v>19</v>
      </c>
      <c r="M83" s="92">
        <f t="shared" si="4"/>
        <v>0</v>
      </c>
      <c r="N83" s="92">
        <f t="shared" si="4"/>
        <v>0</v>
      </c>
      <c r="O83" s="92">
        <f t="shared" si="4"/>
        <v>0</v>
      </c>
    </row>
    <row r="84" spans="1:15" ht="15.75" thickBot="1" x14ac:dyDescent="0.25">
      <c r="A84" s="84"/>
      <c r="B84" s="88">
        <v>20</v>
      </c>
      <c r="C84" s="89">
        <v>144145</v>
      </c>
      <c r="D84" s="90">
        <v>174846</v>
      </c>
      <c r="E84" s="91">
        <v>88296</v>
      </c>
      <c r="F84" s="84"/>
      <c r="G84" s="88">
        <v>20</v>
      </c>
      <c r="H84" s="89">
        <v>144145</v>
      </c>
      <c r="I84" s="90">
        <v>174846</v>
      </c>
      <c r="J84" s="91">
        <v>88296</v>
      </c>
      <c r="K84" s="84"/>
      <c r="L84" s="87">
        <v>20</v>
      </c>
      <c r="M84" s="92">
        <f>H84-C84</f>
        <v>0</v>
      </c>
      <c r="N84" s="92">
        <f t="shared" si="4"/>
        <v>0</v>
      </c>
      <c r="O84" s="92">
        <f t="shared" si="4"/>
        <v>0</v>
      </c>
    </row>
    <row r="85" spans="1:15" ht="15.75" thickBot="1" x14ac:dyDescent="0.25">
      <c r="A85" s="84"/>
      <c r="B85" s="88">
        <v>21</v>
      </c>
      <c r="C85" s="89">
        <v>192087</v>
      </c>
      <c r="D85" s="90">
        <v>89374</v>
      </c>
      <c r="E85" s="91">
        <v>113214</v>
      </c>
      <c r="F85" s="84"/>
      <c r="G85" s="88">
        <v>21</v>
      </c>
      <c r="H85" s="89">
        <v>192087</v>
      </c>
      <c r="I85" s="90">
        <v>89374</v>
      </c>
      <c r="J85" s="91">
        <v>113214</v>
      </c>
      <c r="K85" s="84"/>
      <c r="L85" s="87">
        <v>21</v>
      </c>
      <c r="M85" s="92">
        <f t="shared" si="4"/>
        <v>0</v>
      </c>
      <c r="N85" s="92">
        <f t="shared" si="4"/>
        <v>0</v>
      </c>
      <c r="O85" s="92">
        <f t="shared" si="4"/>
        <v>0</v>
      </c>
    </row>
    <row r="86" spans="1:15" ht="15.75" thickBot="1" x14ac:dyDescent="0.25">
      <c r="A86" s="84"/>
      <c r="B86" s="88">
        <v>22</v>
      </c>
      <c r="C86" s="89">
        <v>137553</v>
      </c>
      <c r="D86" s="90">
        <v>94869</v>
      </c>
      <c r="E86" s="91">
        <v>120503</v>
      </c>
      <c r="F86" s="84"/>
      <c r="G86" s="88">
        <v>22</v>
      </c>
      <c r="H86" s="89">
        <v>137553</v>
      </c>
      <c r="I86" s="90">
        <v>94869</v>
      </c>
      <c r="J86" s="91">
        <v>120503</v>
      </c>
      <c r="K86" s="84"/>
      <c r="L86" s="87">
        <v>22</v>
      </c>
      <c r="M86" s="92">
        <f t="shared" si="4"/>
        <v>0</v>
      </c>
      <c r="N86" s="92">
        <f t="shared" si="4"/>
        <v>0</v>
      </c>
      <c r="O86" s="92">
        <f t="shared" si="4"/>
        <v>0</v>
      </c>
    </row>
    <row r="87" spans="1:15" ht="15.75" thickBot="1" x14ac:dyDescent="0.25">
      <c r="A87" s="84"/>
      <c r="B87" s="88">
        <v>23</v>
      </c>
      <c r="C87" s="89">
        <v>127540</v>
      </c>
      <c r="D87" s="90">
        <v>154958</v>
      </c>
      <c r="E87" s="91">
        <v>290053</v>
      </c>
      <c r="F87" s="84"/>
      <c r="G87" s="88">
        <v>23</v>
      </c>
      <c r="H87" s="89">
        <v>127540</v>
      </c>
      <c r="I87" s="90">
        <v>154958</v>
      </c>
      <c r="J87" s="91">
        <v>290053</v>
      </c>
      <c r="K87" s="84"/>
      <c r="L87" s="87">
        <v>23</v>
      </c>
      <c r="M87" s="92">
        <f t="shared" si="4"/>
        <v>0</v>
      </c>
      <c r="N87" s="92">
        <f t="shared" si="4"/>
        <v>0</v>
      </c>
      <c r="O87" s="92">
        <f t="shared" si="4"/>
        <v>0</v>
      </c>
    </row>
    <row r="88" spans="1:15" ht="15.75" thickBot="1" x14ac:dyDescent="0.25">
      <c r="A88" s="84"/>
      <c r="B88" s="88">
        <v>24</v>
      </c>
      <c r="C88" s="89">
        <v>78785</v>
      </c>
      <c r="D88" s="90">
        <v>151027</v>
      </c>
      <c r="E88" s="91">
        <v>101545</v>
      </c>
      <c r="F88" s="84"/>
      <c r="G88" s="88">
        <v>24</v>
      </c>
      <c r="H88" s="89">
        <v>78785</v>
      </c>
      <c r="I88" s="90">
        <v>151027</v>
      </c>
      <c r="J88" s="91">
        <v>101545</v>
      </c>
      <c r="K88" s="84"/>
      <c r="L88" s="87">
        <v>24</v>
      </c>
      <c r="M88" s="92">
        <f t="shared" si="4"/>
        <v>0</v>
      </c>
      <c r="N88" s="92">
        <f t="shared" si="4"/>
        <v>0</v>
      </c>
      <c r="O88" s="92">
        <f>J88-E88</f>
        <v>0</v>
      </c>
    </row>
    <row r="89" spans="1:15" ht="15.75" thickBot="1" x14ac:dyDescent="0.25">
      <c r="A89" s="84"/>
      <c r="B89" s="88">
        <v>25</v>
      </c>
      <c r="C89" s="89">
        <v>120977</v>
      </c>
      <c r="D89" s="90">
        <v>179891</v>
      </c>
      <c r="E89" s="91">
        <v>162144</v>
      </c>
      <c r="F89" s="84"/>
      <c r="G89" s="88">
        <v>25</v>
      </c>
      <c r="H89" s="89">
        <v>120977</v>
      </c>
      <c r="I89" s="90">
        <v>179891</v>
      </c>
      <c r="J89" s="91">
        <v>162144</v>
      </c>
      <c r="K89" s="84"/>
      <c r="L89" s="87">
        <v>25</v>
      </c>
      <c r="M89" s="92">
        <f t="shared" si="4"/>
        <v>0</v>
      </c>
      <c r="N89" s="92">
        <f t="shared" si="4"/>
        <v>0</v>
      </c>
      <c r="O89" s="92">
        <f>J89-E89</f>
        <v>0</v>
      </c>
    </row>
    <row r="90" spans="1:15" ht="15.75" thickBot="1" x14ac:dyDescent="0.25">
      <c r="A90" s="84"/>
      <c r="B90" s="88">
        <v>26</v>
      </c>
      <c r="C90" s="89">
        <v>113853</v>
      </c>
      <c r="D90" s="90">
        <v>51611</v>
      </c>
      <c r="E90" s="91">
        <v>54175</v>
      </c>
      <c r="F90" s="84"/>
      <c r="G90" s="88">
        <v>26</v>
      </c>
      <c r="H90" s="89">
        <v>113853</v>
      </c>
      <c r="I90" s="90">
        <v>51611</v>
      </c>
      <c r="J90" s="91">
        <v>54175</v>
      </c>
      <c r="K90" s="84"/>
      <c r="L90" s="87">
        <v>26</v>
      </c>
      <c r="M90" s="92">
        <f t="shared" si="4"/>
        <v>0</v>
      </c>
      <c r="N90" s="92">
        <f t="shared" si="4"/>
        <v>0</v>
      </c>
      <c r="O90" s="92">
        <f t="shared" si="4"/>
        <v>0</v>
      </c>
    </row>
    <row r="91" spans="1:15" ht="15.75" thickBot="1" x14ac:dyDescent="0.25">
      <c r="A91" s="84"/>
      <c r="B91" s="88">
        <v>27</v>
      </c>
      <c r="C91" s="89">
        <v>102062</v>
      </c>
      <c r="D91" s="90">
        <v>108979</v>
      </c>
      <c r="E91" s="91">
        <v>120492</v>
      </c>
      <c r="F91" s="84"/>
      <c r="G91" s="88">
        <v>27</v>
      </c>
      <c r="H91" s="89">
        <v>102062</v>
      </c>
      <c r="I91" s="90">
        <v>108979</v>
      </c>
      <c r="J91" s="91">
        <v>120492</v>
      </c>
      <c r="K91" s="84"/>
      <c r="L91" s="87">
        <v>27</v>
      </c>
      <c r="M91" s="92">
        <f t="shared" si="4"/>
        <v>0</v>
      </c>
      <c r="N91" s="92">
        <f t="shared" si="4"/>
        <v>0</v>
      </c>
      <c r="O91" s="92">
        <f t="shared" si="4"/>
        <v>0</v>
      </c>
    </row>
    <row r="92" spans="1:15" ht="15.75" thickBot="1" x14ac:dyDescent="0.25">
      <c r="A92" s="84"/>
      <c r="B92" s="88">
        <v>28</v>
      </c>
      <c r="C92" s="89">
        <v>195314</v>
      </c>
      <c r="D92" s="90">
        <v>102314</v>
      </c>
      <c r="E92" s="91">
        <v>111385</v>
      </c>
      <c r="F92" s="84"/>
      <c r="G92" s="88">
        <v>28</v>
      </c>
      <c r="H92" s="89">
        <v>195314</v>
      </c>
      <c r="I92" s="90">
        <v>102314</v>
      </c>
      <c r="J92" s="91">
        <v>111385</v>
      </c>
      <c r="K92" s="84"/>
      <c r="L92" s="87">
        <v>28</v>
      </c>
      <c r="M92" s="92">
        <f t="shared" si="4"/>
        <v>0</v>
      </c>
      <c r="N92" s="92">
        <f t="shared" si="4"/>
        <v>0</v>
      </c>
      <c r="O92" s="92">
        <f t="shared" si="4"/>
        <v>0</v>
      </c>
    </row>
    <row r="93" spans="1:15" ht="15.75" thickBot="1" x14ac:dyDescent="0.25">
      <c r="A93" s="84"/>
      <c r="B93" s="88">
        <v>29</v>
      </c>
      <c r="C93" s="89"/>
      <c r="D93" s="90">
        <v>83853</v>
      </c>
      <c r="E93" s="91">
        <v>102313</v>
      </c>
      <c r="F93" s="84"/>
      <c r="G93" s="88">
        <v>29</v>
      </c>
      <c r="H93" s="89"/>
      <c r="I93" s="90">
        <v>83853</v>
      </c>
      <c r="J93" s="91">
        <v>102313</v>
      </c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2022-02-09T00:38:12Z</dcterms:modified>
</cp:coreProperties>
</file>