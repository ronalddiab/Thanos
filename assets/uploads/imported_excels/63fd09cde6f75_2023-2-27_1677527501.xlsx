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3\"/>
    </mc:Choice>
  </mc:AlternateContent>
  <xr:revisionPtr revIDLastSave="0" documentId="13_ncr:1_{59B2F034-A3E9-4DC8-9C21-B0B66E3F8D58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N50" i="2"/>
  <c r="N49" i="2"/>
  <c r="N48" i="2"/>
  <c r="L47" i="2"/>
  <c r="N47" i="2" s="1"/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F28" i="18" l="1"/>
  <c r="F24" i="18"/>
  <c r="B23" i="18"/>
  <c r="F23" i="18" s="1"/>
  <c r="F22" i="18"/>
  <c r="F21" i="18"/>
  <c r="F20" i="18"/>
  <c r="G8" i="18"/>
  <c r="B13" i="18" s="1"/>
  <c r="F13" i="18" s="1"/>
  <c r="F25" i="18" s="1"/>
  <c r="F29" i="18" s="1"/>
  <c r="F18" i="20"/>
  <c r="F17" i="20"/>
  <c r="F16" i="20"/>
  <c r="G8" i="20"/>
  <c r="B13" i="20" s="1"/>
  <c r="F13" i="20" s="1"/>
  <c r="F19" i="11"/>
  <c r="B19" i="11"/>
  <c r="F18" i="11"/>
  <c r="F17" i="11"/>
  <c r="F16" i="11"/>
  <c r="G8" i="11"/>
  <c r="B13" i="11" s="1"/>
  <c r="F13" i="11" s="1"/>
  <c r="F20" i="11" s="1"/>
  <c r="H31" i="19"/>
  <c r="I31" i="19" s="1"/>
  <c r="H30" i="19"/>
  <c r="I30" i="19" s="1"/>
  <c r="F29" i="19"/>
  <c r="H29" i="19" s="1"/>
  <c r="I29" i="19" s="1"/>
  <c r="F28" i="19"/>
  <c r="H28" i="19" s="1"/>
  <c r="I28" i="19" s="1"/>
  <c r="D26" i="19"/>
  <c r="F26" i="19" s="1"/>
  <c r="H26" i="19" s="1"/>
  <c r="I26" i="19" s="1"/>
  <c r="I19" i="19"/>
  <c r="E19" i="19"/>
  <c r="F19" i="19" s="1"/>
  <c r="F18" i="19"/>
  <c r="E18" i="19"/>
  <c r="I18" i="19" s="1"/>
  <c r="E17" i="19"/>
  <c r="F17" i="19" s="1"/>
  <c r="H31" i="10"/>
  <c r="I31" i="10" s="1"/>
  <c r="H30" i="10"/>
  <c r="I30" i="10" s="1"/>
  <c r="E29" i="10"/>
  <c r="F29" i="10" s="1"/>
  <c r="H29" i="10" s="1"/>
  <c r="I29" i="10" s="1"/>
  <c r="H28" i="10"/>
  <c r="I28" i="10" s="1"/>
  <c r="F28" i="10"/>
  <c r="F27" i="10"/>
  <c r="H27" i="10" s="1"/>
  <c r="I27" i="10" s="1"/>
  <c r="D27" i="10"/>
  <c r="F25" i="10"/>
  <c r="D25" i="10"/>
  <c r="F19" i="10"/>
  <c r="E19" i="10"/>
  <c r="I19" i="10" s="1"/>
  <c r="E18" i="10"/>
  <c r="E20" i="10" s="1"/>
  <c r="I17" i="10"/>
  <c r="F17" i="10"/>
  <c r="E17" i="10"/>
  <c r="F3" i="21"/>
  <c r="H3" i="21"/>
  <c r="I3" i="21"/>
  <c r="F4" i="21"/>
  <c r="H4" i="21"/>
  <c r="I4" i="21"/>
  <c r="F5" i="21"/>
  <c r="H5" i="21"/>
  <c r="I5" i="21"/>
  <c r="F6" i="21"/>
  <c r="H6" i="21"/>
  <c r="I6" i="21"/>
  <c r="F7" i="21"/>
  <c r="H7" i="21"/>
  <c r="I7" i="21"/>
  <c r="F8" i="21"/>
  <c r="H8" i="21"/>
  <c r="I8" i="21"/>
  <c r="F9" i="21"/>
  <c r="H9" i="21"/>
  <c r="I9" i="21"/>
  <c r="F10" i="21"/>
  <c r="G10" i="21"/>
  <c r="H10" i="21"/>
  <c r="I10" i="21"/>
  <c r="F11" i="21"/>
  <c r="H11" i="21"/>
  <c r="I11" i="21"/>
  <c r="F12" i="21"/>
  <c r="H12" i="21"/>
  <c r="I12" i="21"/>
  <c r="F13" i="21"/>
  <c r="H13" i="21"/>
  <c r="I13" i="21"/>
  <c r="F14" i="21"/>
  <c r="G14" i="21"/>
  <c r="H14" i="21"/>
  <c r="I14" i="21"/>
  <c r="F15" i="21"/>
  <c r="H15" i="21"/>
  <c r="I15" i="21"/>
  <c r="F16" i="21"/>
  <c r="G16" i="21"/>
  <c r="H16" i="21"/>
  <c r="I16" i="21"/>
  <c r="F17" i="21"/>
  <c r="H17" i="21"/>
  <c r="I17" i="21"/>
  <c r="F18" i="21"/>
  <c r="H18" i="21"/>
  <c r="I18" i="21"/>
  <c r="F19" i="21"/>
  <c r="H19" i="21"/>
  <c r="I19" i="21"/>
  <c r="F20" i="21"/>
  <c r="H20" i="21"/>
  <c r="I20" i="21"/>
  <c r="F21" i="21"/>
  <c r="H21" i="21"/>
  <c r="I21" i="21"/>
  <c r="F22" i="21"/>
  <c r="H22" i="21"/>
  <c r="I22" i="21"/>
  <c r="F23" i="21"/>
  <c r="H23" i="21"/>
  <c r="I23" i="21"/>
  <c r="F24" i="21"/>
  <c r="G24" i="21"/>
  <c r="H24" i="21"/>
  <c r="I24" i="21"/>
  <c r="F25" i="21"/>
  <c r="H25" i="21"/>
  <c r="I25" i="21"/>
  <c r="F26" i="21"/>
  <c r="H26" i="21"/>
  <c r="I26" i="21"/>
  <c r="F27" i="21"/>
  <c r="H27" i="21"/>
  <c r="I27" i="21"/>
  <c r="F28" i="21"/>
  <c r="G28" i="21"/>
  <c r="H28" i="21"/>
  <c r="I28" i="21"/>
  <c r="F29" i="21"/>
  <c r="H29" i="21"/>
  <c r="I29" i="21"/>
  <c r="F30" i="21"/>
  <c r="H30" i="21"/>
  <c r="I30" i="21"/>
  <c r="F31" i="21"/>
  <c r="H31" i="21"/>
  <c r="I31" i="21"/>
  <c r="F32" i="21"/>
  <c r="H32" i="21"/>
  <c r="I32" i="21"/>
  <c r="E29" i="21"/>
  <c r="L11" i="2"/>
  <c r="L12" i="2"/>
  <c r="E4" i="21" s="1"/>
  <c r="L13" i="2"/>
  <c r="E5" i="21" s="1"/>
  <c r="L14" i="2"/>
  <c r="E6" i="21" s="1"/>
  <c r="L15" i="2"/>
  <c r="E7" i="21" s="1"/>
  <c r="L16" i="2"/>
  <c r="E8" i="21" s="1"/>
  <c r="L17" i="2"/>
  <c r="E9" i="21" s="1"/>
  <c r="L18" i="2"/>
  <c r="E10" i="21" s="1"/>
  <c r="L19" i="2"/>
  <c r="E11" i="21" s="1"/>
  <c r="L20" i="2"/>
  <c r="E12" i="21" s="1"/>
  <c r="L21" i="2"/>
  <c r="E13" i="21" s="1"/>
  <c r="L22" i="2"/>
  <c r="E14" i="21" s="1"/>
  <c r="L23" i="2"/>
  <c r="E15" i="21" s="1"/>
  <c r="L24" i="2"/>
  <c r="E16" i="21" s="1"/>
  <c r="L25" i="2"/>
  <c r="E17" i="21" s="1"/>
  <c r="L26" i="2"/>
  <c r="E18" i="21" s="1"/>
  <c r="L27" i="2"/>
  <c r="E19" i="21" s="1"/>
  <c r="L28" i="2"/>
  <c r="E20" i="21" s="1"/>
  <c r="L29" i="2"/>
  <c r="E21" i="21" s="1"/>
  <c r="L30" i="2"/>
  <c r="E22" i="21" s="1"/>
  <c r="L31" i="2"/>
  <c r="E23" i="21" s="1"/>
  <c r="L32" i="2"/>
  <c r="E24" i="21" s="1"/>
  <c r="L33" i="2"/>
  <c r="E25" i="21" s="1"/>
  <c r="L34" i="2"/>
  <c r="E26" i="21" s="1"/>
  <c r="L35" i="2"/>
  <c r="E27" i="21" s="1"/>
  <c r="L36" i="2"/>
  <c r="E28" i="21" s="1"/>
  <c r="L37" i="2"/>
  <c r="L38" i="2"/>
  <c r="E30" i="21" s="1"/>
  <c r="L39" i="2"/>
  <c r="E31" i="21" s="1"/>
  <c r="L40" i="2"/>
  <c r="E32" i="21" s="1"/>
  <c r="E11" i="6"/>
  <c r="E12" i="6"/>
  <c r="E13" i="6"/>
  <c r="E14" i="6"/>
  <c r="E15" i="6"/>
  <c r="E16" i="6"/>
  <c r="E17" i="6"/>
  <c r="F18" i="2" s="1"/>
  <c r="I10" i="22" s="1"/>
  <c r="E18" i="6"/>
  <c r="F19" i="2" s="1"/>
  <c r="E19" i="6"/>
  <c r="E20" i="6"/>
  <c r="E21" i="6"/>
  <c r="E22" i="6"/>
  <c r="E23" i="6"/>
  <c r="E24" i="6"/>
  <c r="E25" i="6"/>
  <c r="F26" i="2" s="1"/>
  <c r="I18" i="22" s="1"/>
  <c r="E26" i="6"/>
  <c r="F27" i="2" s="1"/>
  <c r="E27" i="6"/>
  <c r="E28" i="6"/>
  <c r="E29" i="6"/>
  <c r="E30" i="6"/>
  <c r="E31" i="6"/>
  <c r="E32" i="6"/>
  <c r="E33" i="6"/>
  <c r="F34" i="2" s="1"/>
  <c r="I26" i="22" s="1"/>
  <c r="E34" i="6"/>
  <c r="F35" i="2" s="1"/>
  <c r="E35" i="6"/>
  <c r="E36" i="6"/>
  <c r="E37" i="6"/>
  <c r="E38" i="6"/>
  <c r="E39" i="6"/>
  <c r="E40" i="6"/>
  <c r="K11" i="6"/>
  <c r="K12" i="6"/>
  <c r="N13" i="2" s="1"/>
  <c r="G5" i="21" s="1"/>
  <c r="K13" i="6"/>
  <c r="K14" i="6"/>
  <c r="N15" i="2" s="1"/>
  <c r="G7" i="21" s="1"/>
  <c r="K15" i="6"/>
  <c r="K16" i="6"/>
  <c r="K17" i="6"/>
  <c r="K18" i="6"/>
  <c r="K19" i="6"/>
  <c r="K20" i="6"/>
  <c r="K21" i="6"/>
  <c r="K22" i="6"/>
  <c r="K23" i="6"/>
  <c r="K24" i="6"/>
  <c r="K25" i="6"/>
  <c r="K26" i="6"/>
  <c r="N27" i="2" s="1"/>
  <c r="G19" i="21" s="1"/>
  <c r="K27" i="6"/>
  <c r="K28" i="6"/>
  <c r="N29" i="2" s="1"/>
  <c r="G21" i="21" s="1"/>
  <c r="K29" i="6"/>
  <c r="K30" i="6"/>
  <c r="N31" i="2" s="1"/>
  <c r="G23" i="21" s="1"/>
  <c r="K31" i="6"/>
  <c r="K32" i="6"/>
  <c r="K33" i="6"/>
  <c r="K34" i="6"/>
  <c r="N35" i="2" s="1"/>
  <c r="G27" i="21" s="1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M48" i="4"/>
  <c r="P4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4" i="4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N16" i="2"/>
  <c r="G8" i="21" s="1"/>
  <c r="N24" i="2"/>
  <c r="N32" i="2"/>
  <c r="N40" i="2"/>
  <c r="G32" i="21" s="1"/>
  <c r="N12" i="2"/>
  <c r="G4" i="21" s="1"/>
  <c r="N14" i="2"/>
  <c r="G6" i="21" s="1"/>
  <c r="N17" i="2"/>
  <c r="G9" i="21" s="1"/>
  <c r="N18" i="2"/>
  <c r="N19" i="2"/>
  <c r="G11" i="21" s="1"/>
  <c r="N20" i="2"/>
  <c r="G12" i="21" s="1"/>
  <c r="N21" i="2"/>
  <c r="G13" i="21" s="1"/>
  <c r="N22" i="2"/>
  <c r="N23" i="2"/>
  <c r="G15" i="21" s="1"/>
  <c r="N25" i="2"/>
  <c r="G17" i="21" s="1"/>
  <c r="N26" i="2"/>
  <c r="G18" i="21" s="1"/>
  <c r="N28" i="2"/>
  <c r="G20" i="21" s="1"/>
  <c r="N30" i="2"/>
  <c r="G22" i="21" s="1"/>
  <c r="N33" i="2"/>
  <c r="G25" i="21" s="1"/>
  <c r="N34" i="2"/>
  <c r="G26" i="21" s="1"/>
  <c r="N36" i="2"/>
  <c r="N37" i="2"/>
  <c r="G29" i="21" s="1"/>
  <c r="N38" i="2"/>
  <c r="G30" i="21" s="1"/>
  <c r="N39" i="2"/>
  <c r="G31" i="21" s="1"/>
  <c r="F12" i="2"/>
  <c r="I4" i="22" s="1"/>
  <c r="F13" i="2"/>
  <c r="I5" i="22" s="1"/>
  <c r="F14" i="2"/>
  <c r="I6" i="22" s="1"/>
  <c r="F15" i="2"/>
  <c r="I7" i="22" s="1"/>
  <c r="F16" i="2"/>
  <c r="I8" i="22" s="1"/>
  <c r="F17" i="2"/>
  <c r="I9" i="22" s="1"/>
  <c r="F20" i="2"/>
  <c r="I12" i="22" s="1"/>
  <c r="F21" i="2"/>
  <c r="I13" i="22" s="1"/>
  <c r="F22" i="2"/>
  <c r="I14" i="22" s="1"/>
  <c r="F23" i="2"/>
  <c r="I15" i="22" s="1"/>
  <c r="F24" i="2"/>
  <c r="I16" i="22" s="1"/>
  <c r="F25" i="2"/>
  <c r="I17" i="22" s="1"/>
  <c r="F28" i="2"/>
  <c r="I20" i="22" s="1"/>
  <c r="F29" i="2"/>
  <c r="I21" i="22" s="1"/>
  <c r="F30" i="2"/>
  <c r="I22" i="22" s="1"/>
  <c r="F31" i="2"/>
  <c r="I23" i="22" s="1"/>
  <c r="F32" i="2"/>
  <c r="I24" i="22" s="1"/>
  <c r="F33" i="2"/>
  <c r="I25" i="22" s="1"/>
  <c r="F36" i="2"/>
  <c r="I28" i="22" s="1"/>
  <c r="F37" i="2"/>
  <c r="I29" i="22" s="1"/>
  <c r="F38" i="2"/>
  <c r="I30" i="22" s="1"/>
  <c r="F39" i="2"/>
  <c r="I31" i="22" s="1"/>
  <c r="F40" i="2"/>
  <c r="I32" i="22" s="1"/>
  <c r="E3" i="21" l="1"/>
  <c r="B20" i="20"/>
  <c r="F20" i="20" s="1"/>
  <c r="F21" i="20" s="1"/>
  <c r="F21" i="11"/>
  <c r="F23" i="11" s="1"/>
  <c r="F24" i="11" s="1"/>
  <c r="E20" i="19"/>
  <c r="I17" i="19"/>
  <c r="D25" i="19"/>
  <c r="F25" i="19" s="1"/>
  <c r="D27" i="19"/>
  <c r="F27" i="19" s="1"/>
  <c r="H27" i="19" s="1"/>
  <c r="I27" i="19" s="1"/>
  <c r="F32" i="10"/>
  <c r="F18" i="10"/>
  <c r="H25" i="10"/>
  <c r="I25" i="10" s="1"/>
  <c r="I18" i="10"/>
  <c r="D26" i="10"/>
  <c r="F26" i="10" s="1"/>
  <c r="H26" i="10" s="1"/>
  <c r="I26" i="10" s="1"/>
  <c r="Q34" i="2"/>
  <c r="Q26" i="2"/>
  <c r="Q14" i="2"/>
  <c r="E4" i="22"/>
  <c r="Q12" i="2"/>
  <c r="E27" i="22"/>
  <c r="Q35" i="2"/>
  <c r="E25" i="22"/>
  <c r="Q33" i="2"/>
  <c r="Q17" i="2"/>
  <c r="E21" i="22"/>
  <c r="Q29" i="2"/>
  <c r="Q28" i="2"/>
  <c r="E16" i="22"/>
  <c r="Q24" i="2"/>
  <c r="Q36" i="2"/>
  <c r="Q20" i="2"/>
  <c r="Q27" i="2"/>
  <c r="Q19" i="2"/>
  <c r="Q18" i="2"/>
  <c r="Q25" i="2"/>
  <c r="Q40" i="2"/>
  <c r="Q32" i="2"/>
  <c r="Q16" i="2"/>
  <c r="Q39" i="2"/>
  <c r="Q31" i="2"/>
  <c r="Q23" i="2"/>
  <c r="Q15" i="2"/>
  <c r="Q38" i="2"/>
  <c r="Q30" i="2"/>
  <c r="Q22" i="2"/>
  <c r="Q37" i="2"/>
  <c r="Q21" i="2"/>
  <c r="Q13" i="2"/>
  <c r="I19" i="22"/>
  <c r="H27" i="2"/>
  <c r="I27" i="22"/>
  <c r="H35" i="2"/>
  <c r="I11" i="22"/>
  <c r="H19" i="2"/>
  <c r="H36" i="2"/>
  <c r="H28" i="2"/>
  <c r="H20" i="2"/>
  <c r="H12" i="2"/>
  <c r="H34" i="2"/>
  <c r="H26" i="2"/>
  <c r="H18" i="2"/>
  <c r="H33" i="2"/>
  <c r="H25" i="2"/>
  <c r="H17" i="2"/>
  <c r="H40" i="2"/>
  <c r="H32" i="2"/>
  <c r="H24" i="2"/>
  <c r="H16" i="2"/>
  <c r="H39" i="2"/>
  <c r="H31" i="2"/>
  <c r="H23" i="2"/>
  <c r="H15" i="2"/>
  <c r="H38" i="2"/>
  <c r="H30" i="2"/>
  <c r="H22" i="2"/>
  <c r="H14" i="2"/>
  <c r="H37" i="2"/>
  <c r="H29" i="2"/>
  <c r="H21" i="2"/>
  <c r="H13" i="2"/>
  <c r="E19" i="22"/>
  <c r="E11" i="22"/>
  <c r="E13" i="22"/>
  <c r="E12" i="22"/>
  <c r="E10" i="22"/>
  <c r="E28" i="22"/>
  <c r="E9" i="22"/>
  <c r="E5" i="22"/>
  <c r="E20" i="22"/>
  <c r="E17" i="22"/>
  <c r="E32" i="22"/>
  <c r="E24" i="22"/>
  <c r="E8" i="22"/>
  <c r="E31" i="22"/>
  <c r="E23" i="22"/>
  <c r="E15" i="22"/>
  <c r="E7" i="22"/>
  <c r="E29" i="22"/>
  <c r="E22" i="22"/>
  <c r="E6" i="22"/>
  <c r="E18" i="22"/>
  <c r="E30" i="22"/>
  <c r="E14" i="22"/>
  <c r="E26" i="22"/>
  <c r="P36" i="4"/>
  <c r="P37" i="4"/>
  <c r="P38" i="4"/>
  <c r="P39" i="4"/>
  <c r="P40" i="4"/>
  <c r="C40" i="6"/>
  <c r="O39" i="2"/>
  <c r="C39" i="6"/>
  <c r="C38" i="6"/>
  <c r="C37" i="6"/>
  <c r="C36" i="6"/>
  <c r="C35" i="6"/>
  <c r="O35" i="2"/>
  <c r="C34" i="6"/>
  <c r="O34" i="2"/>
  <c r="C33" i="6"/>
  <c r="O32" i="2"/>
  <c r="C32" i="6"/>
  <c r="C31" i="6"/>
  <c r="C30" i="6"/>
  <c r="C29" i="6"/>
  <c r="C28" i="6"/>
  <c r="C27" i="6"/>
  <c r="G21" i="4"/>
  <c r="E21" i="4"/>
  <c r="C21" i="4"/>
  <c r="C26" i="6"/>
  <c r="O24" i="2"/>
  <c r="C24" i="6"/>
  <c r="C25" i="6"/>
  <c r="C23" i="6"/>
  <c r="O23" i="2"/>
  <c r="C22" i="6"/>
  <c r="O22" i="2"/>
  <c r="C21" i="6"/>
  <c r="C20" i="6"/>
  <c r="O20" i="2"/>
  <c r="C19" i="6"/>
  <c r="C18" i="6"/>
  <c r="C17" i="6"/>
  <c r="C16" i="6"/>
  <c r="O16" i="2"/>
  <c r="N10" i="2"/>
  <c r="M10" i="2"/>
  <c r="L10" i="2"/>
  <c r="F10" i="2"/>
  <c r="H10" i="2" s="1"/>
  <c r="C15" i="6"/>
  <c r="C14" i="6"/>
  <c r="C13" i="6"/>
  <c r="C12" i="6"/>
  <c r="C11" i="6"/>
  <c r="K10" i="6"/>
  <c r="N11" i="2" s="1"/>
  <c r="G3" i="21" s="1"/>
  <c r="I10" i="6"/>
  <c r="E10" i="6"/>
  <c r="F11" i="2" s="1"/>
  <c r="C10" i="6"/>
  <c r="G4" i="4"/>
  <c r="E4" i="4"/>
  <c r="C4" i="4"/>
  <c r="G22" i="4"/>
  <c r="E22" i="4"/>
  <c r="C22" i="4"/>
  <c r="M4" i="4"/>
  <c r="M5" i="4"/>
  <c r="M6" i="4"/>
  <c r="M7" i="4"/>
  <c r="L31" i="22"/>
  <c r="L32" i="22"/>
  <c r="B31" i="22"/>
  <c r="B32" i="22"/>
  <c r="B31" i="21"/>
  <c r="B32" i="21"/>
  <c r="G17" i="4"/>
  <c r="P41" i="4"/>
  <c r="P42" i="4"/>
  <c r="L21" i="22"/>
  <c r="L22" i="22"/>
  <c r="L23" i="22"/>
  <c r="L24" i="22"/>
  <c r="L25" i="22"/>
  <c r="L26" i="22"/>
  <c r="L27" i="22"/>
  <c r="L28" i="22"/>
  <c r="L29" i="22"/>
  <c r="L30" i="22"/>
  <c r="C35" i="4"/>
  <c r="C31" i="4"/>
  <c r="G28" i="4"/>
  <c r="G29" i="4"/>
  <c r="G30" i="4"/>
  <c r="G31" i="4"/>
  <c r="G35" i="4"/>
  <c r="E28" i="4"/>
  <c r="E29" i="4"/>
  <c r="E30" i="4"/>
  <c r="E31" i="4"/>
  <c r="E35" i="4"/>
  <c r="C28" i="4"/>
  <c r="C29" i="4"/>
  <c r="C30" i="4"/>
  <c r="C33" i="4"/>
  <c r="I30" i="4"/>
  <c r="G8" i="4"/>
  <c r="G12" i="4"/>
  <c r="G15" i="4"/>
  <c r="G16" i="4"/>
  <c r="G24" i="4"/>
  <c r="G26" i="4"/>
  <c r="E8" i="4"/>
  <c r="E12" i="4"/>
  <c r="E15" i="4"/>
  <c r="E16" i="4"/>
  <c r="E17" i="4"/>
  <c r="E24" i="4"/>
  <c r="E26" i="4"/>
  <c r="C8" i="4"/>
  <c r="C12" i="4"/>
  <c r="C15" i="4"/>
  <c r="C16" i="4"/>
  <c r="C17" i="4"/>
  <c r="C24" i="4"/>
  <c r="C26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G2" i="21"/>
  <c r="O25" i="2"/>
  <c r="O31" i="2"/>
  <c r="O28" i="2"/>
  <c r="AC22" i="4"/>
  <c r="J4" i="4"/>
  <c r="K4" i="4" s="1"/>
  <c r="AC32" i="4"/>
  <c r="Z43" i="4"/>
  <c r="J9" i="4"/>
  <c r="K9" i="4" s="1"/>
  <c r="J10" i="4"/>
  <c r="K10" i="4"/>
  <c r="J11" i="4"/>
  <c r="K11" i="4" s="1"/>
  <c r="J12" i="4"/>
  <c r="K12" i="4" s="1"/>
  <c r="J13" i="4"/>
  <c r="K13" i="4" s="1"/>
  <c r="J31" i="4"/>
  <c r="K31" i="4" s="1"/>
  <c r="L30" i="4" s="1"/>
  <c r="N30" i="4" s="1"/>
  <c r="O30" i="4" s="1"/>
  <c r="AC29" i="4"/>
  <c r="J5" i="4"/>
  <c r="K5" i="4" s="1"/>
  <c r="J34" i="4"/>
  <c r="K34" i="4" s="1"/>
  <c r="J35" i="4"/>
  <c r="K35" i="4" s="1"/>
  <c r="J7" i="4"/>
  <c r="K7" i="4"/>
  <c r="J6" i="4"/>
  <c r="K6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AC33" i="4"/>
  <c r="E33" i="4" s="1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I23" i="4" s="1"/>
  <c r="AC24" i="4"/>
  <c r="AC25" i="4"/>
  <c r="AC12" i="4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 s="1"/>
  <c r="AC14" i="4"/>
  <c r="E14" i="4" s="1"/>
  <c r="J15" i="4"/>
  <c r="K15" i="4" s="1"/>
  <c r="AC15" i="4"/>
  <c r="I15" i="4"/>
  <c r="J16" i="4"/>
  <c r="K16" i="4" s="1"/>
  <c r="J17" i="4"/>
  <c r="K17" i="4" s="1"/>
  <c r="J18" i="4"/>
  <c r="K18" i="4" s="1"/>
  <c r="AC18" i="4"/>
  <c r="I18" i="4"/>
  <c r="J19" i="4"/>
  <c r="K19" i="4" s="1"/>
  <c r="AC19" i="4"/>
  <c r="AC20" i="4"/>
  <c r="J21" i="4"/>
  <c r="K21" i="4" s="1"/>
  <c r="J22" i="4"/>
  <c r="K22" i="4" s="1"/>
  <c r="J23" i="4"/>
  <c r="K23" i="4" s="1"/>
  <c r="J24" i="4"/>
  <c r="K24" i="4" s="1"/>
  <c r="J25" i="4"/>
  <c r="K25" i="4" s="1"/>
  <c r="AD25" i="4"/>
  <c r="J26" i="4"/>
  <c r="K26" i="4" s="1"/>
  <c r="AC26" i="4"/>
  <c r="I26" i="4"/>
  <c r="AD26" i="4"/>
  <c r="J27" i="4"/>
  <c r="K27" i="4" s="1"/>
  <c r="AC27" i="4"/>
  <c r="AD27" i="4"/>
  <c r="J28" i="4"/>
  <c r="K28" i="4" s="1"/>
  <c r="AC28" i="4"/>
  <c r="I28" i="4"/>
  <c r="AD28" i="4"/>
  <c r="J29" i="4"/>
  <c r="K29" i="4" s="1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 s="1"/>
  <c r="AD33" i="4"/>
  <c r="AE33" i="4"/>
  <c r="AC34" i="4"/>
  <c r="AD34" i="4"/>
  <c r="AE34" i="4"/>
  <c r="AC35" i="4"/>
  <c r="AD35" i="4"/>
  <c r="AE35" i="4"/>
  <c r="J36" i="4"/>
  <c r="K36" i="4"/>
  <c r="L35" i="4"/>
  <c r="N35" i="4" s="1"/>
  <c r="O35" i="4" s="1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11" i="4"/>
  <c r="I33" i="4"/>
  <c r="I19" i="4"/>
  <c r="I22" i="4"/>
  <c r="I8" i="4"/>
  <c r="I20" i="4"/>
  <c r="I32" i="4"/>
  <c r="I10" i="4"/>
  <c r="I16" i="4"/>
  <c r="J11" i="21"/>
  <c r="J8" i="21"/>
  <c r="O21" i="2"/>
  <c r="O30" i="2"/>
  <c r="O29" i="2"/>
  <c r="O19" i="2"/>
  <c r="F2" i="21"/>
  <c r="I21" i="4"/>
  <c r="I12" i="4"/>
  <c r="O27" i="2"/>
  <c r="O33" i="2"/>
  <c r="Q10" i="2"/>
  <c r="E2" i="21"/>
  <c r="J15" i="21"/>
  <c r="J24" i="21"/>
  <c r="J20" i="21"/>
  <c r="J12" i="21"/>
  <c r="I9" i="4"/>
  <c r="J2" i="21" l="1"/>
  <c r="I2" i="22"/>
  <c r="O10" i="2"/>
  <c r="I3" i="22"/>
  <c r="H11" i="2"/>
  <c r="Q11" i="2"/>
  <c r="F22" i="20"/>
  <c r="F24" i="20" s="1"/>
  <c r="F25" i="20" s="1"/>
  <c r="F32" i="19"/>
  <c r="H25" i="19"/>
  <c r="I25" i="19" s="1"/>
  <c r="I32" i="19" s="1"/>
  <c r="I32" i="10"/>
  <c r="E3" i="22"/>
  <c r="E2" i="22"/>
  <c r="M41" i="2"/>
  <c r="I45" i="2" s="1"/>
  <c r="L45" i="2" s="1"/>
  <c r="O11" i="2"/>
  <c r="G33" i="4"/>
  <c r="G14" i="4"/>
  <c r="I14" i="4"/>
  <c r="C14" i="4"/>
  <c r="AC43" i="4"/>
  <c r="L7" i="4"/>
  <c r="N7" i="4" s="1"/>
  <c r="O7" i="4" s="1"/>
  <c r="Q44" i="4"/>
  <c r="AC44" i="4" s="1"/>
  <c r="K48" i="4" s="1"/>
  <c r="L48" i="4" s="1"/>
  <c r="L22" i="4"/>
  <c r="N22" i="4" s="1"/>
  <c r="O22" i="4" s="1"/>
  <c r="L18" i="4"/>
  <c r="N18" i="4" s="1"/>
  <c r="O18" i="4" s="1"/>
  <c r="L31" i="4"/>
  <c r="N31" i="4" s="1"/>
  <c r="O31" i="4" s="1"/>
  <c r="L15" i="4"/>
  <c r="N15" i="4" s="1"/>
  <c r="O15" i="4" s="1"/>
  <c r="V21" i="2" s="1"/>
  <c r="X21" i="2" s="1"/>
  <c r="L29" i="4"/>
  <c r="N29" i="4" s="1"/>
  <c r="O29" i="4" s="1"/>
  <c r="L32" i="4"/>
  <c r="N32" i="4" s="1"/>
  <c r="O32" i="4" s="1"/>
  <c r="V38" i="2" s="1"/>
  <c r="X38" i="2" s="1"/>
  <c r="L21" i="4"/>
  <c r="N21" i="4" s="1"/>
  <c r="O21" i="4" s="1"/>
  <c r="L19" i="4"/>
  <c r="N19" i="4" s="1"/>
  <c r="O19" i="4" s="1"/>
  <c r="V25" i="2" s="1"/>
  <c r="X25" i="2" s="1"/>
  <c r="L24" i="4"/>
  <c r="N24" i="4" s="1"/>
  <c r="O24" i="4" s="1"/>
  <c r="V30" i="2" s="1"/>
  <c r="X30" i="2" s="1"/>
  <c r="L16" i="4"/>
  <c r="N16" i="4" s="1"/>
  <c r="O16" i="4" s="1"/>
  <c r="L9" i="4"/>
  <c r="N9" i="4" s="1"/>
  <c r="O9" i="4" s="1"/>
  <c r="L26" i="4"/>
  <c r="N26" i="4" s="1"/>
  <c r="O26" i="4" s="1"/>
  <c r="L25" i="4"/>
  <c r="N25" i="4" s="1"/>
  <c r="O25" i="4" s="1"/>
  <c r="L33" i="4"/>
  <c r="N33" i="4" s="1"/>
  <c r="O33" i="4" s="1"/>
  <c r="L34" i="4"/>
  <c r="N34" i="4" s="1"/>
  <c r="O34" i="4" s="1"/>
  <c r="V35" i="2"/>
  <c r="X35" i="2" s="1"/>
  <c r="L17" i="4"/>
  <c r="N17" i="4" s="1"/>
  <c r="O17" i="4" s="1"/>
  <c r="L27" i="4"/>
  <c r="N27" i="4" s="1"/>
  <c r="O27" i="4" s="1"/>
  <c r="L28" i="4"/>
  <c r="N28" i="4" s="1"/>
  <c r="O28" i="4" s="1"/>
  <c r="L14" i="4"/>
  <c r="N14" i="4" s="1"/>
  <c r="O14" i="4" s="1"/>
  <c r="V36" i="2"/>
  <c r="X36" i="2" s="1"/>
  <c r="V22" i="2"/>
  <c r="X22" i="2" s="1"/>
  <c r="L13" i="4"/>
  <c r="N13" i="4" s="1"/>
  <c r="O13" i="4" s="1"/>
  <c r="L12" i="4"/>
  <c r="N12" i="4" s="1"/>
  <c r="O12" i="4" s="1"/>
  <c r="V37" i="2"/>
  <c r="X37" i="2" s="1"/>
  <c r="V28" i="2"/>
  <c r="X28" i="2" s="1"/>
  <c r="V24" i="2"/>
  <c r="X24" i="2" s="1"/>
  <c r="L10" i="4"/>
  <c r="N10" i="4" s="1"/>
  <c r="O10" i="4" s="1"/>
  <c r="L11" i="4"/>
  <c r="N11" i="4" s="1"/>
  <c r="O11" i="4" s="1"/>
  <c r="L20" i="4"/>
  <c r="N20" i="4" s="1"/>
  <c r="O20" i="4" s="1"/>
  <c r="L23" i="4"/>
  <c r="N23" i="4" s="1"/>
  <c r="O23" i="4" s="1"/>
  <c r="J23" i="21"/>
  <c r="J3" i="21"/>
  <c r="J21" i="21"/>
  <c r="O18" i="2"/>
  <c r="O36" i="2"/>
  <c r="N41" i="2"/>
  <c r="I46" i="2" s="1"/>
  <c r="L46" i="2" s="1"/>
  <c r="J17" i="21"/>
  <c r="J16" i="21"/>
  <c r="J26" i="21"/>
  <c r="J10" i="21"/>
  <c r="J9" i="21"/>
  <c r="J25" i="21"/>
  <c r="J19" i="21"/>
  <c r="J22" i="21"/>
  <c r="O17" i="2"/>
  <c r="O38" i="2"/>
  <c r="J30" i="21"/>
  <c r="O26" i="2"/>
  <c r="O40" i="2"/>
  <c r="J13" i="21"/>
  <c r="F41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O14" i="2"/>
  <c r="L8" i="4"/>
  <c r="N8" i="4" s="1"/>
  <c r="O8" i="4" s="1"/>
  <c r="J14" i="21"/>
  <c r="I4" i="4"/>
  <c r="L4" i="4"/>
  <c r="N4" i="4" s="1"/>
  <c r="V13" i="2" l="1"/>
  <c r="X13" i="2" s="1"/>
  <c r="V27" i="2"/>
  <c r="X27" i="2" s="1"/>
  <c r="V15" i="2"/>
  <c r="X15" i="2" s="1"/>
  <c r="V29" i="2"/>
  <c r="X29" i="2" s="1"/>
  <c r="V12" i="2"/>
  <c r="X12" i="2" s="1"/>
  <c r="M13" i="22"/>
  <c r="V17" i="2"/>
  <c r="X17" i="2" s="1"/>
  <c r="V14" i="2"/>
  <c r="X14" i="2" s="1"/>
  <c r="V26" i="2"/>
  <c r="X26" i="2" s="1"/>
  <c r="M22" i="22"/>
  <c r="V33" i="2"/>
  <c r="X33" i="2" s="1"/>
  <c r="V16" i="2"/>
  <c r="X16" i="2" s="1"/>
  <c r="M16" i="22"/>
  <c r="V19" i="2"/>
  <c r="X19" i="2" s="1"/>
  <c r="M20" i="22"/>
  <c r="M14" i="22"/>
  <c r="V20" i="2"/>
  <c r="X20" i="2" s="1"/>
  <c r="M17" i="22"/>
  <c r="V31" i="2"/>
  <c r="X31" i="2" s="1"/>
  <c r="V18" i="2"/>
  <c r="X18" i="2" s="1"/>
  <c r="V40" i="2"/>
  <c r="X40" i="2" s="1"/>
  <c r="V11" i="2"/>
  <c r="X11" i="2" s="1"/>
  <c r="V39" i="2"/>
  <c r="X39" i="2" s="1"/>
  <c r="V34" i="2"/>
  <c r="X34" i="2" s="1"/>
  <c r="V23" i="2"/>
  <c r="X23" i="2" s="1"/>
  <c r="V32" i="2"/>
  <c r="X32" i="2" s="1"/>
  <c r="J18" i="21"/>
  <c r="O15" i="2"/>
  <c r="O13" i="2"/>
  <c r="O12" i="2"/>
  <c r="O4" i="4"/>
  <c r="N43" i="4"/>
  <c r="M7" i="22" l="1"/>
  <c r="M19" i="22"/>
  <c r="O41" i="2"/>
  <c r="M26" i="22"/>
  <c r="M10" i="22"/>
  <c r="M9" i="22"/>
  <c r="M8" i="22"/>
  <c r="M25" i="22"/>
  <c r="M6" i="22"/>
  <c r="M3" i="22"/>
  <c r="M23" i="22"/>
  <c r="M4" i="22"/>
  <c r="M24" i="22"/>
  <c r="M18" i="22"/>
  <c r="V10" i="2"/>
  <c r="X10" i="2" s="1"/>
  <c r="X41" i="2" s="1"/>
  <c r="M15" i="22"/>
  <c r="M12" i="22"/>
  <c r="M11" i="22"/>
  <c r="M21" i="22"/>
  <c r="Q41" i="2"/>
  <c r="H41" i="2"/>
  <c r="I53" i="2"/>
  <c r="L53" i="2" s="1"/>
  <c r="N53" i="2" s="1"/>
  <c r="I44" i="2"/>
  <c r="L44" i="2" s="1"/>
  <c r="N44" i="2" s="1"/>
  <c r="J4" i="21"/>
  <c r="J5" i="21"/>
  <c r="M5" i="22"/>
  <c r="J6" i="21"/>
  <c r="J7" i="21"/>
  <c r="O43" i="4"/>
  <c r="K47" i="4"/>
  <c r="N51" i="2" l="1"/>
  <c r="N52" i="2" s="1"/>
  <c r="G2" i="22"/>
  <c r="M2" i="22" s="1"/>
  <c r="V41" i="2"/>
  <c r="L47" i="4"/>
  <c r="M47" i="4"/>
  <c r="M30" i="22" l="1"/>
  <c r="I54" i="2"/>
  <c r="L54" i="2" s="1"/>
  <c r="N54" i="2" s="1"/>
</calcChain>
</file>

<file path=xl/sharedStrings.xml><?xml version="1.0" encoding="utf-8"?>
<sst xmlns="http://schemas.openxmlformats.org/spreadsheetml/2006/main" count="492" uniqueCount="188">
  <si>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</si>
  <si>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</si>
  <si>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</si>
  <si>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</si>
  <si>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</si>
  <si>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</si>
  <si>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</si>
  <si>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</si>
  <si>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</si>
  <si>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</si>
  <si>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</si>
  <si>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</si>
  <si>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</si>
  <si>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</si>
  <si>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</si>
  <si>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</si>
  <si>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</si>
  <si>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</si>
  <si>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</si>
  <si>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</si>
  <si>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</si>
  <si>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</si>
  <si>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</si>
  <si>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</si>
  <si>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</si>
  <si>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</si>
  <si>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</si>
  <si>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</si>
  <si>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</si>
  <si>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</si>
  <si>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</si>
  <si>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</si>
  <si>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</si>
  <si>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</si>
  <si>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</si>
  <si>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</si>
  <si>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</si>
  <si>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</si>
  <si>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</si>
  <si>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</si>
  <si>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</si>
  <si>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</si>
  <si>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</si>
  <si>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</si>
  <si>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</si>
  <si>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</si>
  <si>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</si>
  <si>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</si>
  <si>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</si>
  <si>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</si>
  <si>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</si>
  <si>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</si>
  <si>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</si>
  <si>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</si>
  <si>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</si>
  <si>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</si>
  <si>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</si>
  <si>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</si>
  <si>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</si>
  <si>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</si>
  <si>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</si>
  <si>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</si>
  <si>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</si>
  <si>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</si>
  <si>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</si>
  <si>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</si>
  <si>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</si>
  <si>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</si>
  <si>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</si>
  <si>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</si>
  <si>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</si>
  <si>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</si>
  <si>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</si>
  <si>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</si>
  <si>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</si>
  <si>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</si>
  <si>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</si>
  <si>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</si>
  <si>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</si>
  <si>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</si>
  <si>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</si>
  <si>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</si>
  <si>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</si>
  <si>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</si>
  <si>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</si>
  <si>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</si>
  <si>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</si>
  <si>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</si>
  <si>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</si>
  <si>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</si>
  <si>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</si>
  <si>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</si>
  <si>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</si>
  <si>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</si>
  <si>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</si>
  <si>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</si>
  <si>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</si>
  <si>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</si>
  <si>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</si>
  <si>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</si>
  <si>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</si>
  <si>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</si>
  <si>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</si>
  <si>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</si>
  <si>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</si>
  <si>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</si>
  <si>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</si>
  <si>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</si>
  <si>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</si>
  <si>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</si>
  <si>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</si>
  <si>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</si>
  <si>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</si>
  <si>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</si>
  <si>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</si>
  <si>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</si>
  <si>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</si>
  <si>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</si>
  <si>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</si>
  <si>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</si>
  <si>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</si>
  <si>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</si>
  <si>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</si>
  <si>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</si>
  <si>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</si>
  <si>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</si>
  <si>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</si>
  <si>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</si>
  <si>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</si>
  <si>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</si>
  <si>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</si>
  <si>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</si>
  <si>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</si>
  <si>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</si>
  <si>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</si>
  <si>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</si>
  <si>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</si>
  <si>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</si>
  <si>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</si>
  <si>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</si>
  <si>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</si>
  <si>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</si>
  <si>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</si>
  <si>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</si>
  <si>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</si>
  <si>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</si>
  <si>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</si>
  <si>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</si>
  <si>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</si>
  <si>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</si>
  <si>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</si>
  <si>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</si>
  <si>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</si>
  <si>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</si>
  <si>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</si>
  <si>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</si>
  <si>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</si>
  <si>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</si>
  <si>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</si>
  <si>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</si>
  <si>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</si>
  <si>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</si>
  <si>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</si>
  <si>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</si>
  <si>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</si>
  <si>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</si>
  <si>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</si>
  <si>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</si>
  <si>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</si>
  <si>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</si>
  <si>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</si>
  <si>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</si>
  <si>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</si>
  <si>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</si>
  <si>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</si>
  <si>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</si>
  <si>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</si>
  <si>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</si>
  <si>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</si>
  <si>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</si>
  <si>
    <t>suivi Gaz JAN 2023</t>
  </si>
  <si>
    <t>Suivi  Compteur  d'Eau- électricité Lydec- JAN 2023</t>
  </si>
  <si>
    <t>Département Engineering 2023</t>
  </si>
  <si>
    <t xml:space="preserve">      Estimation  de la consommation électrique Janvier 2023</t>
  </si>
  <si>
    <t>Estimation de la consommation d'Eau Sanitaire Janvier 2023</t>
  </si>
  <si>
    <t>Estimation de la consommation d'Eau incendie Janvier 2023</t>
  </si>
  <si>
    <t>Année 2023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</si>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</sst>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8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19" fillId="0" borderId="0"/>
  </cellStyleXfs>
  <cellXfs count="49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0" borderId="10" xfId="0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0" fontId="18" fillId="9" borderId="10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0" fillId="0" borderId="16" xfId="0" applyFont="1" applyBorder="1" applyAlignment="1">
      <alignment horizontal="center" vertical="center" wrapText="1"/>
    </xf>
    <xf numFmtId="0" fontId="20" fillId="7" borderId="16" xfId="0" applyFont="1" applyFill="1" applyBorder="1" applyAlignment="1">
      <alignment horizontal="center" vertical="center" wrapText="1"/>
    </xf>
    <xf numFmtId="14" fontId="20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0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0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29" fillId="17" borderId="23" xfId="0" applyFont="1" applyFill="1" applyBorder="1"/>
    <xf numFmtId="0" fontId="29" fillId="17" borderId="24" xfId="0" applyFont="1" applyFill="1" applyBorder="1"/>
    <xf numFmtId="0" fontId="0" fillId="0" borderId="25" xfId="0" applyBorder="1"/>
    <xf numFmtId="0" fontId="28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6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0" fillId="0" borderId="22" xfId="0" applyFont="1" applyBorder="1"/>
    <xf numFmtId="0" fontId="30" fillId="0" borderId="27" xfId="0" applyFont="1" applyBorder="1" applyAlignment="1">
      <alignment horizontal="right" vertical="center"/>
    </xf>
    <xf numFmtId="0" fontId="31" fillId="18" borderId="22" xfId="0" applyFont="1" applyFill="1" applyBorder="1" applyAlignment="1">
      <alignment horizontal="right"/>
    </xf>
    <xf numFmtId="0" fontId="30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2" fillId="18" borderId="6" xfId="0" applyFont="1" applyFill="1" applyBorder="1" applyAlignment="1">
      <alignment horizontal="center" vertical="center"/>
    </xf>
    <xf numFmtId="0" fontId="33" fillId="0" borderId="19" xfId="0" applyFont="1" applyBorder="1" applyAlignment="1">
      <alignment vertical="center"/>
    </xf>
    <xf numFmtId="0" fontId="33" fillId="0" borderId="29" xfId="0" applyFont="1" applyBorder="1" applyAlignment="1">
      <alignment vertical="center"/>
    </xf>
    <xf numFmtId="0" fontId="32" fillId="18" borderId="8" xfId="0" applyFont="1" applyFill="1" applyBorder="1" applyAlignment="1">
      <alignment horizontal="center" vertical="center"/>
    </xf>
    <xf numFmtId="0" fontId="33" fillId="0" borderId="25" xfId="0" applyFont="1" applyBorder="1" applyAlignment="1">
      <alignment vertical="center"/>
    </xf>
    <xf numFmtId="0" fontId="33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6" fillId="17" borderId="10" xfId="0" applyNumberFormat="1" applyFont="1" applyFill="1" applyBorder="1"/>
    <xf numFmtId="0" fontId="26" fillId="20" borderId="10" xfId="0" applyFont="1" applyFill="1" applyBorder="1"/>
    <xf numFmtId="0" fontId="26" fillId="0" borderId="10" xfId="0" applyFont="1" applyBorder="1"/>
    <xf numFmtId="0" fontId="26" fillId="0" borderId="0" xfId="0" applyFont="1"/>
    <xf numFmtId="0" fontId="26" fillId="0" borderId="24" xfId="0" applyFont="1" applyBorder="1"/>
    <xf numFmtId="0" fontId="27" fillId="0" borderId="10" xfId="0" applyFont="1" applyBorder="1"/>
    <xf numFmtId="0" fontId="28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2" fillId="21" borderId="21" xfId="0" applyNumberFormat="1" applyFont="1" applyFill="1" applyBorder="1" applyAlignment="1">
      <alignment horizontal="center" vertical="center"/>
    </xf>
    <xf numFmtId="0" fontId="22" fillId="13" borderId="10" xfId="0" applyFont="1" applyFill="1" applyBorder="1" applyAlignment="1">
      <alignment horizontal="center" vertical="center"/>
    </xf>
    <xf numFmtId="0" fontId="22" fillId="22" borderId="10" xfId="0" applyFont="1" applyFill="1" applyBorder="1" applyAlignment="1">
      <alignment horizontal="center" vertical="center"/>
    </xf>
    <xf numFmtId="0" fontId="22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6" fillId="0" borderId="19" xfId="0" applyNumberFormat="1" applyFont="1" applyBorder="1" applyAlignment="1">
      <alignment horizontal="center"/>
    </xf>
    <xf numFmtId="0" fontId="22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0" fillId="0" borderId="16" xfId="0" applyNumberFormat="1" applyFont="1" applyBorder="1" applyAlignment="1">
      <alignment horizontal="center"/>
    </xf>
    <xf numFmtId="0" fontId="20" fillId="25" borderId="33" xfId="0" applyFont="1" applyFill="1" applyBorder="1" applyAlignment="1">
      <alignment horizontal="center" vertical="center" wrapText="1"/>
    </xf>
    <xf numFmtId="0" fontId="34" fillId="0" borderId="0" xfId="0" applyFont="1"/>
    <xf numFmtId="0" fontId="22" fillId="19" borderId="10" xfId="0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21" fillId="10" borderId="35" xfId="0" applyFont="1" applyFill="1" applyBorder="1" applyAlignment="1">
      <alignment horizontal="center" vertical="center" wrapText="1"/>
    </xf>
    <xf numFmtId="0" fontId="17" fillId="10" borderId="36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0" borderId="0" xfId="0" applyFont="1" applyAlignment="1">
      <alignment wrapText="1"/>
    </xf>
    <xf numFmtId="0" fontId="26" fillId="0" borderId="32" xfId="0" applyFont="1" applyBorder="1" applyAlignment="1">
      <alignment wrapText="1"/>
    </xf>
    <xf numFmtId="0" fontId="26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6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5" fillId="0" borderId="32" xfId="0" applyFont="1" applyBorder="1" applyAlignment="1">
      <alignment horizontal="center"/>
    </xf>
    <xf numFmtId="1" fontId="35" fillId="0" borderId="32" xfId="0" applyNumberFormat="1" applyFont="1" applyBorder="1" applyAlignment="1">
      <alignment horizontal="center"/>
    </xf>
    <xf numFmtId="0" fontId="36" fillId="0" borderId="0" xfId="0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26" fillId="0" borderId="32" xfId="0" applyFont="1" applyBorder="1" applyAlignment="1">
      <alignment horizontal="center" wrapText="1"/>
    </xf>
    <xf numFmtId="0" fontId="37" fillId="15" borderId="2" xfId="0" applyFont="1" applyFill="1" applyBorder="1" applyAlignment="1">
      <alignment horizontal="center" vertical="center"/>
    </xf>
    <xf numFmtId="0" fontId="3" fillId="0" borderId="0" xfId="0" applyFont="1"/>
    <xf numFmtId="1" fontId="26" fillId="0" borderId="32" xfId="0" applyNumberFormat="1" applyFont="1" applyBorder="1" applyAlignment="1">
      <alignment horizontal="center" wrapText="1"/>
    </xf>
    <xf numFmtId="2" fontId="38" fillId="7" borderId="9" xfId="0" applyNumberFormat="1" applyFont="1" applyFill="1" applyBorder="1" applyAlignment="1">
      <alignment horizontal="center" vertical="center"/>
    </xf>
    <xf numFmtId="0" fontId="22" fillId="26" borderId="1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22" fillId="30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8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28" fillId="0" borderId="61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0" fillId="0" borderId="60" xfId="0" applyBorder="1"/>
    <xf numFmtId="0" fontId="0" fillId="0" borderId="62" xfId="0" applyBorder="1"/>
    <xf numFmtId="0" fontId="29" fillId="17" borderId="64" xfId="0" applyFont="1" applyFill="1" applyBorder="1"/>
    <xf numFmtId="0" fontId="28" fillId="0" borderId="60" xfId="0" applyFont="1" applyBorder="1" applyAlignment="1">
      <alignment horizontal="center"/>
    </xf>
    <xf numFmtId="0" fontId="27" fillId="0" borderId="44" xfId="0" applyFont="1" applyBorder="1" applyAlignment="1">
      <alignment vertical="center"/>
    </xf>
    <xf numFmtId="0" fontId="27" fillId="0" borderId="60" xfId="0" applyFont="1" applyBorder="1" applyAlignment="1">
      <alignment vertical="center"/>
    </xf>
    <xf numFmtId="0" fontId="27" fillId="0" borderId="46" xfId="0" applyFont="1" applyBorder="1" applyAlignment="1">
      <alignment vertical="center" wrapText="1"/>
    </xf>
    <xf numFmtId="0" fontId="26" fillId="0" borderId="65" xfId="0" applyFont="1" applyBorder="1" applyAlignment="1">
      <alignment horizontal="center"/>
    </xf>
    <xf numFmtId="0" fontId="26" fillId="0" borderId="60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5" fontId="26" fillId="17" borderId="60" xfId="0" applyNumberFormat="1" applyFont="1" applyFill="1" applyBorder="1" applyAlignment="1">
      <alignment horizontal="center" vertical="center"/>
    </xf>
    <xf numFmtId="0" fontId="26" fillId="20" borderId="60" xfId="0" applyFont="1" applyFill="1" applyBorder="1" applyAlignment="1">
      <alignment horizontal="center" vertical="center"/>
    </xf>
    <xf numFmtId="0" fontId="26" fillId="0" borderId="46" xfId="0" applyFont="1" applyBorder="1"/>
    <xf numFmtId="0" fontId="20" fillId="0" borderId="0" xfId="0" applyFont="1" applyAlignment="1">
      <alignment horizontal="center" vertical="center" wrapText="1"/>
    </xf>
    <xf numFmtId="0" fontId="22" fillId="26" borderId="21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2" fillId="27" borderId="21" xfId="0" applyFont="1" applyFill="1" applyBorder="1" applyAlignment="1">
      <alignment horizontal="center" vertical="center"/>
    </xf>
    <xf numFmtId="0" fontId="22" fillId="30" borderId="60" xfId="0" applyFont="1" applyFill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22" fillId="27" borderId="60" xfId="0" applyFont="1" applyFill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3" fontId="14" fillId="0" borderId="61" xfId="0" applyNumberFormat="1" applyFont="1" applyBorder="1" applyAlignment="1">
      <alignment horizontal="center" vertical="center"/>
    </xf>
    <xf numFmtId="0" fontId="22" fillId="31" borderId="67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9" fillId="15" borderId="6" xfId="0" applyFont="1" applyFill="1" applyBorder="1" applyAlignment="1">
      <alignment horizontal="center" vertical="center" wrapText="1"/>
    </xf>
    <xf numFmtId="0" fontId="39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4" fillId="6" borderId="34" xfId="0" applyNumberFormat="1" applyFont="1" applyFill="1" applyBorder="1" applyAlignment="1">
      <alignment horizontal="center" vertical="center" wrapText="1"/>
    </xf>
    <xf numFmtId="2" fontId="24" fillId="6" borderId="40" xfId="0" applyNumberFormat="1" applyFont="1" applyFill="1" applyBorder="1" applyAlignment="1">
      <alignment horizontal="center" vertical="center" wrapText="1"/>
    </xf>
    <xf numFmtId="2" fontId="24" fillId="6" borderId="4" xfId="0" applyNumberFormat="1" applyFont="1" applyFill="1" applyBorder="1" applyAlignment="1">
      <alignment horizontal="center" vertical="center" wrapText="1"/>
    </xf>
    <xf numFmtId="2" fontId="24" fillId="6" borderId="15" xfId="0" applyNumberFormat="1" applyFont="1" applyFill="1" applyBorder="1" applyAlignment="1">
      <alignment horizontal="center" vertical="center" wrapText="1"/>
    </xf>
    <xf numFmtId="2" fontId="24" fillId="6" borderId="0" xfId="0" applyNumberFormat="1" applyFont="1" applyFill="1" applyAlignment="1">
      <alignment horizontal="center" vertical="center" wrapText="1"/>
    </xf>
    <xf numFmtId="2" fontId="24" fillId="6" borderId="41" xfId="0" applyNumberFormat="1" applyFont="1" applyFill="1" applyBorder="1" applyAlignment="1">
      <alignment horizontal="center" vertical="center" wrapText="1"/>
    </xf>
    <xf numFmtId="2" fontId="24" fillId="6" borderId="31" xfId="0" applyNumberFormat="1" applyFont="1" applyFill="1" applyBorder="1" applyAlignment="1">
      <alignment horizontal="center" vertical="center" wrapText="1"/>
    </xf>
    <xf numFmtId="2" fontId="24" fillId="6" borderId="32" xfId="0" applyNumberFormat="1" applyFont="1" applyFill="1" applyBorder="1" applyAlignment="1">
      <alignment horizontal="center" vertical="center" wrapText="1"/>
    </xf>
    <xf numFmtId="2" fontId="24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12" borderId="47" xfId="0" applyFont="1" applyFill="1" applyBorder="1" applyAlignment="1">
      <alignment horizontal="center" vertical="center"/>
    </xf>
    <xf numFmtId="0" fontId="17" fillId="12" borderId="48" xfId="0" applyFont="1" applyFill="1" applyBorder="1" applyAlignment="1">
      <alignment horizontal="center" vertical="center"/>
    </xf>
    <xf numFmtId="0" fontId="17" fillId="12" borderId="49" xfId="0" applyFont="1" applyFill="1" applyBorder="1" applyAlignment="1">
      <alignment horizontal="center" vertical="center"/>
    </xf>
    <xf numFmtId="0" fontId="17" fillId="12" borderId="50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0" borderId="51" xfId="0" applyFont="1" applyBorder="1" applyAlignment="1">
      <alignment horizontal="center"/>
    </xf>
    <xf numFmtId="0" fontId="17" fillId="0" borderId="5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 wrapText="1"/>
    </xf>
    <xf numFmtId="0" fontId="40" fillId="0" borderId="40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31" xfId="0" applyFont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/>
    </xf>
    <xf numFmtId="0" fontId="41" fillId="0" borderId="40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wrapText="1"/>
    </xf>
    <xf numFmtId="0" fontId="28" fillId="0" borderId="44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3" fillId="17" borderId="28" xfId="0" applyFont="1" applyFill="1" applyBorder="1" applyAlignment="1">
      <alignment horizontal="left"/>
    </xf>
    <xf numFmtId="0" fontId="43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8" fillId="0" borderId="57" xfId="0" applyFont="1" applyBorder="1" applyAlignment="1">
      <alignment horizontal="left" vertical="center"/>
    </xf>
    <xf numFmtId="0" fontId="28" fillId="0" borderId="58" xfId="0" applyFont="1" applyBorder="1" applyAlignment="1">
      <alignment horizontal="left" vertical="center"/>
    </xf>
    <xf numFmtId="0" fontId="28" fillId="0" borderId="59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24" xfId="0" applyFont="1" applyBorder="1" applyAlignment="1">
      <alignment horizontal="left" vertical="center"/>
    </xf>
    <xf numFmtId="0" fontId="28" fillId="0" borderId="10" xfId="0" applyFont="1" applyBorder="1" applyAlignment="1">
      <alignment horizontal="center" vertical="center"/>
    </xf>
    <xf numFmtId="0" fontId="28" fillId="18" borderId="18" xfId="0" applyFont="1" applyFill="1" applyBorder="1" applyAlignment="1">
      <alignment horizontal="center" vertical="center"/>
    </xf>
    <xf numFmtId="0" fontId="28" fillId="18" borderId="10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3" fillId="0" borderId="26" xfId="0" applyFont="1" applyBorder="1" applyAlignment="1">
      <alignment horizontal="left" vertical="center"/>
    </xf>
    <xf numFmtId="0" fontId="33" fillId="0" borderId="19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0" fontId="33" fillId="0" borderId="25" xfId="0" applyFont="1" applyBorder="1" applyAlignment="1">
      <alignment horizontal="left" vertical="center"/>
    </xf>
    <xf numFmtId="0" fontId="35" fillId="0" borderId="10" xfId="0" applyFont="1" applyBorder="1" applyAlignment="1">
      <alignment horizontal="center" vertical="center"/>
    </xf>
    <xf numFmtId="0" fontId="30" fillId="0" borderId="27" xfId="0" applyFont="1" applyBorder="1" applyAlignment="1">
      <alignment horizontal="left" vertical="top"/>
    </xf>
    <xf numFmtId="0" fontId="30" fillId="0" borderId="0" xfId="0" applyFont="1" applyAlignment="1">
      <alignment horizontal="left" vertical="top"/>
    </xf>
    <xf numFmtId="0" fontId="30" fillId="0" borderId="55" xfId="0" applyFont="1" applyBorder="1" applyAlignment="1">
      <alignment horizontal="left" vertical="top"/>
    </xf>
    <xf numFmtId="0" fontId="30" fillId="0" borderId="44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28" fillId="0" borderId="60" xfId="0" applyFont="1" applyBorder="1" applyAlignment="1">
      <alignment horizontal="center"/>
    </xf>
    <xf numFmtId="0" fontId="0" fillId="0" borderId="60" xfId="0" applyBorder="1" applyAlignment="1">
      <alignment horizontal="left"/>
    </xf>
    <xf numFmtId="0" fontId="0" fillId="0" borderId="62" xfId="0" applyBorder="1" applyAlignment="1">
      <alignment horizontal="center"/>
    </xf>
    <xf numFmtId="0" fontId="0" fillId="0" borderId="60" xfId="0" applyBorder="1" applyAlignment="1">
      <alignment horizontal="center"/>
    </xf>
    <xf numFmtId="0" fontId="28" fillId="0" borderId="60" xfId="0" applyFont="1" applyBorder="1" applyAlignment="1">
      <alignment horizontal="left" vertical="center"/>
    </xf>
    <xf numFmtId="0" fontId="28" fillId="0" borderId="60" xfId="0" applyFont="1" applyBorder="1" applyAlignment="1">
      <alignment horizontal="center" vertical="center"/>
    </xf>
    <xf numFmtId="0" fontId="28" fillId="18" borderId="60" xfId="0" applyFont="1" applyFill="1" applyBorder="1" applyAlignment="1">
      <alignment horizontal="center" vertical="center"/>
    </xf>
    <xf numFmtId="0" fontId="43" fillId="17" borderId="64" xfId="0" applyFont="1" applyFill="1" applyBorder="1" applyAlignment="1">
      <alignment horizontal="left"/>
    </xf>
    <xf numFmtId="0" fontId="0" fillId="0" borderId="25" xfId="0" applyBorder="1" applyAlignment="1">
      <alignment horizontal="center"/>
    </xf>
    <xf numFmtId="0" fontId="28" fillId="0" borderId="61" xfId="0" applyFont="1" applyBorder="1" applyAlignment="1">
      <alignment horizontal="center" vertical="center"/>
    </xf>
    <xf numFmtId="0" fontId="28" fillId="0" borderId="62" xfId="0" applyFont="1" applyBorder="1" applyAlignment="1">
      <alignment horizontal="center" wrapText="1"/>
    </xf>
    <xf numFmtId="0" fontId="28" fillId="0" borderId="60" xfId="0" applyFont="1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8" fillId="0" borderId="28" xfId="0" applyNumberFormat="1" applyFont="1" applyBorder="1" applyAlignment="1">
      <alignment horizontal="center" vertical="center" readingOrder="2"/>
    </xf>
    <xf numFmtId="14" fontId="0" fillId="0" borderId="24" xfId="0" applyNumberFormat="1" applyBorder="1" applyAlignment="1">
      <alignment horizontal="center" vertical="center" readingOrder="2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8" fillId="0" borderId="60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27" fillId="0" borderId="60" xfId="0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6" fillId="0" borderId="34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44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/>
    </xf>
    <xf numFmtId="0" fontId="40" fillId="0" borderId="45" xfId="0" applyFont="1" applyBorder="1" applyAlignment="1">
      <alignment horizontal="left"/>
    </xf>
    <xf numFmtId="2" fontId="26" fillId="0" borderId="10" xfId="0" applyNumberFormat="1" applyFont="1" applyBorder="1" applyAlignment="1">
      <alignment horizontal="center"/>
    </xf>
    <xf numFmtId="0" fontId="40" fillId="0" borderId="19" xfId="0" applyFont="1" applyBorder="1" applyAlignment="1">
      <alignment horizontal="left"/>
    </xf>
    <xf numFmtId="0" fontId="40" fillId="0" borderId="25" xfId="0" applyFont="1" applyBorder="1" applyAlignment="1">
      <alignment horizontal="left"/>
    </xf>
    <xf numFmtId="0" fontId="28" fillId="0" borderId="44" xfId="0" applyFont="1" applyBorder="1" applyAlignment="1">
      <alignment horizontal="left"/>
    </xf>
    <xf numFmtId="0" fontId="28" fillId="0" borderId="45" xfId="0" applyFont="1" applyBorder="1" applyAlignment="1">
      <alignment horizontal="left"/>
    </xf>
    <xf numFmtId="0" fontId="28" fillId="0" borderId="46" xfId="0" applyFont="1" applyBorder="1" applyAlignment="1">
      <alignment horizontal="left"/>
    </xf>
    <xf numFmtId="0" fontId="44" fillId="0" borderId="10" xfId="0" applyFont="1" applyBorder="1" applyAlignment="1">
      <alignment horizontal="center"/>
    </xf>
    <xf numFmtId="0" fontId="26" fillId="29" borderId="26" xfId="0" applyFont="1" applyFill="1" applyBorder="1" applyAlignment="1">
      <alignment horizontal="left"/>
    </xf>
    <xf numFmtId="0" fontId="26" fillId="29" borderId="19" xfId="0" applyFont="1" applyFill="1" applyBorder="1" applyAlignment="1">
      <alignment horizontal="left"/>
    </xf>
    <xf numFmtId="0" fontId="26" fillId="29" borderId="29" xfId="0" applyFont="1" applyFill="1" applyBorder="1" applyAlignment="1">
      <alignment horizontal="left"/>
    </xf>
    <xf numFmtId="0" fontId="26" fillId="29" borderId="28" xfId="0" applyFont="1" applyFill="1" applyBorder="1" applyAlignment="1">
      <alignment horizontal="left"/>
    </xf>
    <xf numFmtId="0" fontId="26" fillId="29" borderId="25" xfId="0" applyFont="1" applyFill="1" applyBorder="1" applyAlignment="1">
      <alignment horizontal="left"/>
    </xf>
    <xf numFmtId="0" fontId="26" fillId="29" borderId="24" xfId="0" applyFont="1" applyFill="1" applyBorder="1" applyAlignment="1">
      <alignment horizontal="left"/>
    </xf>
    <xf numFmtId="0" fontId="45" fillId="29" borderId="10" xfId="0" applyFont="1" applyFill="1" applyBorder="1" applyAlignment="1">
      <alignment horizontal="center"/>
    </xf>
    <xf numFmtId="0" fontId="46" fillId="18" borderId="44" xfId="0" applyFont="1" applyFill="1" applyBorder="1" applyAlignment="1">
      <alignment horizontal="left"/>
    </xf>
    <xf numFmtId="0" fontId="46" fillId="18" borderId="45" xfId="0" applyFont="1" applyFill="1" applyBorder="1" applyAlignment="1">
      <alignment horizontal="left"/>
    </xf>
    <xf numFmtId="0" fontId="46" fillId="18" borderId="46" xfId="0" applyFont="1" applyFill="1" applyBorder="1" applyAlignment="1">
      <alignment horizontal="left"/>
    </xf>
    <xf numFmtId="0" fontId="47" fillId="18" borderId="10" xfId="0" applyFont="1" applyFill="1" applyBorder="1" applyAlignment="1">
      <alignment horizontal="center"/>
    </xf>
    <xf numFmtId="0" fontId="28" fillId="0" borderId="44" xfId="0" applyFont="1" applyBorder="1"/>
    <xf numFmtId="0" fontId="28" fillId="0" borderId="45" xfId="0" applyFont="1" applyBorder="1"/>
    <xf numFmtId="0" fontId="28" fillId="0" borderId="46" xfId="0" applyFont="1" applyBorder="1"/>
    <xf numFmtId="0" fontId="26" fillId="0" borderId="44" xfId="0" applyFont="1" applyBorder="1" applyAlignment="1">
      <alignment horizontal="center"/>
    </xf>
    <xf numFmtId="0" fontId="26" fillId="0" borderId="46" xfId="0" applyFont="1" applyBorder="1" applyAlignment="1">
      <alignment horizontal="center"/>
    </xf>
    <xf numFmtId="0" fontId="26" fillId="0" borderId="60" xfId="0" applyFont="1" applyBorder="1" applyAlignment="1">
      <alignment horizontal="center" vertical="center"/>
    </xf>
    <xf numFmtId="2" fontId="47" fillId="18" borderId="10" xfId="0" applyNumberFormat="1" applyFont="1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3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3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23" fillId="19" borderId="37" xfId="0" applyFont="1" applyFill="1" applyBorder="1" applyAlignment="1">
      <alignment horizontal="center"/>
    </xf>
    <xf numFmtId="0" fontId="23" fillId="19" borderId="3" xfId="0" applyFont="1" applyFill="1" applyBorder="1" applyAlignment="1">
      <alignment horizontal="center"/>
    </xf>
    <xf numFmtId="0" fontId="23" fillId="19" borderId="32" xfId="0" applyFont="1" applyFill="1" applyBorder="1" applyAlignment="1">
      <alignment horizontal="center"/>
    </xf>
    <xf numFmtId="0" fontId="23" fillId="19" borderId="7" xfId="0" applyFont="1" applyFill="1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39" fillId="6" borderId="30" xfId="0" applyNumberFormat="1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2">
                  <c:v>110</c:v>
                </c:pt>
                <c:pt idx="13">
                  <c:v>143</c:v>
                </c:pt>
                <c:pt idx="14">
                  <c:v>121</c:v>
                </c:pt>
                <c:pt idx="15">
                  <c:v>124</c:v>
                </c:pt>
                <c:pt idx="16">
                  <c:v>135</c:v>
                </c:pt>
                <c:pt idx="17">
                  <c:v>143</c:v>
                </c:pt>
                <c:pt idx="18">
                  <c:v>108</c:v>
                </c:pt>
                <c:pt idx="19">
                  <c:v>117</c:v>
                </c:pt>
                <c:pt idx="20">
                  <c:v>112</c:v>
                </c:pt>
                <c:pt idx="21">
                  <c:v>128</c:v>
                </c:pt>
                <c:pt idx="22">
                  <c:v>134</c:v>
                </c:pt>
                <c:pt idx="23">
                  <c:v>123</c:v>
                </c:pt>
                <c:pt idx="24">
                  <c:v>147</c:v>
                </c:pt>
                <c:pt idx="25">
                  <c:v>91</c:v>
                </c:pt>
                <c:pt idx="26">
                  <c:v>114</c:v>
                </c:pt>
                <c:pt idx="27">
                  <c:v>153</c:v>
                </c:pt>
                <c:pt idx="28">
                  <c:v>106</c:v>
                </c:pt>
                <c:pt idx="29">
                  <c:v>114</c:v>
                </c:pt>
                <c:pt idx="30">
                  <c:v>94</c:v>
                </c:pt>
                <c:pt idx="3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2">
                  <c:v>4294</c:v>
                </c:pt>
                <c:pt idx="13">
                  <c:v>4443</c:v>
                </c:pt>
                <c:pt idx="14">
                  <c:v>4001</c:v>
                </c:pt>
                <c:pt idx="15">
                  <c:v>3929</c:v>
                </c:pt>
                <c:pt idx="16">
                  <c:v>3952</c:v>
                </c:pt>
                <c:pt idx="17">
                  <c:v>3687</c:v>
                </c:pt>
                <c:pt idx="18">
                  <c:v>4176</c:v>
                </c:pt>
                <c:pt idx="19">
                  <c:v>4325</c:v>
                </c:pt>
                <c:pt idx="20">
                  <c:v>3810</c:v>
                </c:pt>
                <c:pt idx="21">
                  <c:v>3925</c:v>
                </c:pt>
                <c:pt idx="22">
                  <c:v>4049</c:v>
                </c:pt>
                <c:pt idx="23">
                  <c:v>3527</c:v>
                </c:pt>
                <c:pt idx="24">
                  <c:v>3818</c:v>
                </c:pt>
                <c:pt idx="25">
                  <c:v>4011</c:v>
                </c:pt>
                <c:pt idx="26">
                  <c:v>4206</c:v>
                </c:pt>
                <c:pt idx="27">
                  <c:v>3881</c:v>
                </c:pt>
                <c:pt idx="28">
                  <c:v>3958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2">
                  <c:v>6314</c:v>
                </c:pt>
                <c:pt idx="13">
                  <c:v>6248</c:v>
                </c:pt>
                <c:pt idx="14">
                  <c:v>6092</c:v>
                </c:pt>
                <c:pt idx="15">
                  <c:v>5893</c:v>
                </c:pt>
                <c:pt idx="16">
                  <c:v>5890</c:v>
                </c:pt>
                <c:pt idx="17">
                  <c:v>6121</c:v>
                </c:pt>
                <c:pt idx="18">
                  <c:v>6032</c:v>
                </c:pt>
                <c:pt idx="19">
                  <c:v>5724</c:v>
                </c:pt>
                <c:pt idx="20">
                  <c:v>5891</c:v>
                </c:pt>
                <c:pt idx="21">
                  <c:v>5865</c:v>
                </c:pt>
                <c:pt idx="22">
                  <c:v>5735</c:v>
                </c:pt>
                <c:pt idx="23">
                  <c:v>5734</c:v>
                </c:pt>
                <c:pt idx="24">
                  <c:v>5754</c:v>
                </c:pt>
                <c:pt idx="25">
                  <c:v>5777</c:v>
                </c:pt>
                <c:pt idx="26">
                  <c:v>5726</c:v>
                </c:pt>
                <c:pt idx="27">
                  <c:v>5705</c:v>
                </c:pt>
                <c:pt idx="28">
                  <c:v>5746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  <c:pt idx="31">
                  <c:v>44593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2">
                  <c:v>2846</c:v>
                </c:pt>
                <c:pt idx="13">
                  <c:v>2970</c:v>
                </c:pt>
                <c:pt idx="14">
                  <c:v>2831</c:v>
                </c:pt>
                <c:pt idx="15">
                  <c:v>2729</c:v>
                </c:pt>
                <c:pt idx="16">
                  <c:v>2949</c:v>
                </c:pt>
                <c:pt idx="17">
                  <c:v>2793</c:v>
                </c:pt>
                <c:pt idx="18">
                  <c:v>2698</c:v>
                </c:pt>
                <c:pt idx="19">
                  <c:v>2686</c:v>
                </c:pt>
                <c:pt idx="20">
                  <c:v>2801</c:v>
                </c:pt>
                <c:pt idx="21">
                  <c:v>2659</c:v>
                </c:pt>
                <c:pt idx="22">
                  <c:v>2598</c:v>
                </c:pt>
                <c:pt idx="23">
                  <c:v>1974</c:v>
                </c:pt>
                <c:pt idx="24">
                  <c:v>3341</c:v>
                </c:pt>
                <c:pt idx="25">
                  <c:v>2689</c:v>
                </c:pt>
                <c:pt idx="26">
                  <c:v>2888</c:v>
                </c:pt>
                <c:pt idx="27">
                  <c:v>3137</c:v>
                </c:pt>
                <c:pt idx="28">
                  <c:v>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44562</c:v>
                </c:pt>
                <c:pt idx="1">
                  <c:v>44563</c:v>
                </c:pt>
                <c:pt idx="2">
                  <c:v>44564</c:v>
                </c:pt>
                <c:pt idx="3">
                  <c:v>44565</c:v>
                </c:pt>
                <c:pt idx="4">
                  <c:v>44566</c:v>
                </c:pt>
                <c:pt idx="5">
                  <c:v>44567</c:v>
                </c:pt>
                <c:pt idx="6">
                  <c:v>44568</c:v>
                </c:pt>
                <c:pt idx="7">
                  <c:v>44569</c:v>
                </c:pt>
                <c:pt idx="8">
                  <c:v>44570</c:v>
                </c:pt>
                <c:pt idx="9">
                  <c:v>44571</c:v>
                </c:pt>
                <c:pt idx="10">
                  <c:v>44572</c:v>
                </c:pt>
                <c:pt idx="11">
                  <c:v>44573</c:v>
                </c:pt>
                <c:pt idx="12">
                  <c:v>44574</c:v>
                </c:pt>
                <c:pt idx="13">
                  <c:v>44575</c:v>
                </c:pt>
                <c:pt idx="14">
                  <c:v>44576</c:v>
                </c:pt>
                <c:pt idx="15">
                  <c:v>44577</c:v>
                </c:pt>
                <c:pt idx="16">
                  <c:v>44578</c:v>
                </c:pt>
                <c:pt idx="17">
                  <c:v>44579</c:v>
                </c:pt>
                <c:pt idx="18">
                  <c:v>44580</c:v>
                </c:pt>
                <c:pt idx="19">
                  <c:v>44581</c:v>
                </c:pt>
                <c:pt idx="20">
                  <c:v>44582</c:v>
                </c:pt>
                <c:pt idx="21">
                  <c:v>44583</c:v>
                </c:pt>
                <c:pt idx="22">
                  <c:v>44584</c:v>
                </c:pt>
                <c:pt idx="23">
                  <c:v>44585</c:v>
                </c:pt>
                <c:pt idx="24">
                  <c:v>44586</c:v>
                </c:pt>
                <c:pt idx="25">
                  <c:v>44587</c:v>
                </c:pt>
                <c:pt idx="26">
                  <c:v>44588</c:v>
                </c:pt>
                <c:pt idx="27">
                  <c:v>44589</c:v>
                </c:pt>
                <c:pt idx="28">
                  <c:v>44590</c:v>
                </c:pt>
                <c:pt idx="29">
                  <c:v>44591</c:v>
                </c:pt>
                <c:pt idx="30">
                  <c:v>44592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575.98577999999998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319.99209999999999</c:v>
                </c:pt>
                <c:pt idx="12">
                  <c:v>639.98419999999999</c:v>
                </c:pt>
                <c:pt idx="13">
                  <c:v>511.98736000000002</c:v>
                </c:pt>
                <c:pt idx="14">
                  <c:v>447.98894000000001</c:v>
                </c:pt>
                <c:pt idx="15">
                  <c:v>799.98025000000007</c:v>
                </c:pt>
                <c:pt idx="16">
                  <c:v>415.98973000000001</c:v>
                </c:pt>
                <c:pt idx="17">
                  <c:v>447.98894000000001</c:v>
                </c:pt>
                <c:pt idx="18">
                  <c:v>575.98577999999998</c:v>
                </c:pt>
                <c:pt idx="19">
                  <c:v>735.98183000000006</c:v>
                </c:pt>
                <c:pt idx="20">
                  <c:v>479.98815000000002</c:v>
                </c:pt>
                <c:pt idx="21">
                  <c:v>447.98894000000001</c:v>
                </c:pt>
                <c:pt idx="22">
                  <c:v>543.98657000000003</c:v>
                </c:pt>
                <c:pt idx="23">
                  <c:v>703.98262</c:v>
                </c:pt>
                <c:pt idx="24">
                  <c:v>639.98419999999999</c:v>
                </c:pt>
                <c:pt idx="25">
                  <c:v>383.99052</c:v>
                </c:pt>
                <c:pt idx="26">
                  <c:v>639.98419999999999</c:v>
                </c:pt>
                <c:pt idx="27">
                  <c:v>575.98577999999998</c:v>
                </c:pt>
                <c:pt idx="28">
                  <c:v>543.98657000000003</c:v>
                </c:pt>
                <c:pt idx="29">
                  <c:v>831.97946000000002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97-4190-9A9E-ABB306E8347B}"/>
            </c:ext>
          </c:extLst>
        </c:ser>
        <c:ser>
          <c:idx val="1"/>
          <c:order val="1"/>
          <c:tx>
            <c:strRef>
              <c:f>'[1]cons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7-4190-9A9E-ABB306E8347B}"/>
            </c:ext>
          </c:extLst>
        </c:ser>
        <c:ser>
          <c:idx val="2"/>
          <c:order val="2"/>
          <c:tx>
            <c:strRef>
              <c:f>'[1]cons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'[1]cons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97-4190-9A9E-ABB306E8347B}"/>
            </c:ext>
          </c:extLst>
        </c:ser>
        <c:ser>
          <c:idx val="3"/>
          <c:order val="3"/>
          <c:tx>
            <c:strRef>
              <c:f>'[1]cons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'[1]cons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97-4190-9A9E-ABB306E8347B}"/>
            </c:ext>
          </c:extLst>
        </c:ser>
        <c:ser>
          <c:idx val="4"/>
          <c:order val="4"/>
          <c:tx>
            <c:strRef>
              <c:f>'[1]cons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'[1]cons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97-4190-9A9E-ABB306E8347B}"/>
            </c:ext>
          </c:extLst>
        </c:ser>
        <c:ser>
          <c:idx val="5"/>
          <c:order val="5"/>
          <c:tx>
            <c:strRef>
              <c:f>'[1]cons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'[1]cons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97-4190-9A9E-ABB306E83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B-4E53-8027-F63133DB02C2}"/>
            </c:ext>
          </c:extLst>
        </c:ser>
        <c:ser>
          <c:idx val="1"/>
          <c:order val="1"/>
          <c:tx>
            <c:strRef>
              <c:f>'[1]cons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B-4E53-8027-F63133DB02C2}"/>
            </c:ext>
          </c:extLst>
        </c:ser>
        <c:ser>
          <c:idx val="2"/>
          <c:order val="2"/>
          <c:tx>
            <c:strRef>
              <c:f>'[1]cons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'[1]cons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B-4E53-8027-F63133DB02C2}"/>
            </c:ext>
          </c:extLst>
        </c:ser>
        <c:ser>
          <c:idx val="3"/>
          <c:order val="3"/>
          <c:tx>
            <c:strRef>
              <c:f>'[1]cons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'[1]cons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FB-4E53-8027-F63133DB02C2}"/>
            </c:ext>
          </c:extLst>
        </c:ser>
        <c:ser>
          <c:idx val="4"/>
          <c:order val="4"/>
          <c:tx>
            <c:strRef>
              <c:f>'[1]cons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'[1]cons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B-4E53-8027-F63133DB02C2}"/>
            </c:ext>
          </c:extLst>
        </c:ser>
        <c:ser>
          <c:idx val="5"/>
          <c:order val="5"/>
          <c:tx>
            <c:strRef>
              <c:f>'[1]cons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'[1]cons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'[1]cons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FB-4E53-8027-F63133DB0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276225</xdr:colOff>
      <xdr:row>3</xdr:row>
      <xdr:rowOff>38100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06B5DAC-8BF0-4FC9-AA90-D1CB10927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0477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1</xdr:col>
      <xdr:colOff>387350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1</xdr:col>
      <xdr:colOff>387350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5F4B4-E314-4449-BA4D-8C6D34F36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667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EE4F7-875C-4E3C-8FEA-DCA6012D9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0490E51-1CB1-4044-973D-06058D964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A03794D-E0A4-4A9D-ACAD-D8BF5F48F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2106586-103C-4E14-9298-AC9BA67BA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147DB22A-D80D-4A8D-93EC-102793A0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58F2D451-5EA2-4D0D-A8CB-63E4C7E94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52A46B0D-DEB8-46E0-9F16-0E4AD96B3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DE1605C5-3E61-4869-BD6B-0D78F7064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1EBC2AE0-128D-43D8-98BE-A26AB4699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7275621B-5DD6-478E-9209-4DBEE09B3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A1842AEC-B2EF-4DD6-8E36-12327A731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F97CFD69-176A-4EA4-B74A-5CC01D70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DA37C8BD-E317-437B-A4E3-5D0D2A474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CF99F39F-C2EA-4AC0-9493-1F5E87B12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628A3C16-303C-4C0E-A7A9-D6417833B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41AF0E95-D359-4931-9094-3581947DC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969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BC595-1ACB-45AD-B9FD-64EC539BBF88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4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B8D9D-B06E-495E-B31C-EBE65B7F4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20750" cy="56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672CE1E-88EB-4528-819D-28DDB9557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20750" cy="62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E8F38019-FDB4-4FB6-9B81-CD4EA8ACC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20750" cy="56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C428D5E8-AD31-443B-8BAA-83EDAC92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20750" cy="62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8B1CA18A-0D16-4BAD-AC3B-73BE3F332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34AB7055-C9A8-4663-B3B9-1E954798B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sabblanca-HEP%20-%20Janv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facture électricité"/>
      <sheetName val="Suivi EAU-ELEC"/>
      <sheetName val="Suvi Gaz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C7" t="str">
            <v>Janvier</v>
          </cell>
          <cell r="D7" t="str">
            <v>Février</v>
          </cell>
          <cell r="E7" t="str">
            <v xml:space="preserve">Mars </v>
          </cell>
          <cell r="F7" t="str">
            <v>avril</v>
          </cell>
          <cell r="G7" t="str">
            <v xml:space="preserve">Mai </v>
          </cell>
          <cell r="H7" t="str">
            <v xml:space="preserve">juin </v>
          </cell>
          <cell r="I7" t="str">
            <v>Juillet</v>
          </cell>
          <cell r="J7" t="str">
            <v xml:space="preserve">aout </v>
          </cell>
          <cell r="K7" t="str">
            <v>Septembre</v>
          </cell>
          <cell r="L7" t="str">
            <v>Octobre</v>
          </cell>
          <cell r="M7" t="str">
            <v>Novembre</v>
          </cell>
          <cell r="N7" t="str">
            <v>Décembre</v>
          </cell>
        </row>
        <row r="8">
          <cell r="B8" t="str">
            <v>Année 2015</v>
          </cell>
          <cell r="L8">
            <v>544520</v>
          </cell>
          <cell r="M8">
            <v>561765</v>
          </cell>
          <cell r="N8">
            <v>546771</v>
          </cell>
        </row>
        <row r="9">
          <cell r="B9" t="str">
            <v>Année 2016</v>
          </cell>
          <cell r="C9">
            <v>564170</v>
          </cell>
          <cell r="D9">
            <v>532072</v>
          </cell>
          <cell r="E9">
            <v>405239</v>
          </cell>
          <cell r="F9">
            <v>469130</v>
          </cell>
          <cell r="G9">
            <v>543877</v>
          </cell>
          <cell r="H9">
            <v>605744</v>
          </cell>
          <cell r="I9">
            <v>722083</v>
          </cell>
          <cell r="J9">
            <v>802210</v>
          </cell>
          <cell r="K9">
            <v>762933</v>
          </cell>
          <cell r="L9">
            <v>670848</v>
          </cell>
          <cell r="M9">
            <v>626451</v>
          </cell>
          <cell r="N9">
            <v>557392</v>
          </cell>
        </row>
        <row r="10">
          <cell r="B10" t="str">
            <v>Année 2017</v>
          </cell>
          <cell r="C10">
            <v>520977</v>
          </cell>
          <cell r="D10">
            <v>541271</v>
          </cell>
          <cell r="E10">
            <v>508392</v>
          </cell>
          <cell r="F10">
            <v>659200</v>
          </cell>
          <cell r="G10">
            <v>705703</v>
          </cell>
          <cell r="H10">
            <v>784214</v>
          </cell>
          <cell r="I10">
            <v>823726</v>
          </cell>
          <cell r="J10">
            <v>913736</v>
          </cell>
          <cell r="K10">
            <v>831734</v>
          </cell>
          <cell r="L10">
            <v>794243</v>
          </cell>
          <cell r="M10">
            <v>688127</v>
          </cell>
          <cell r="N10">
            <v>577067</v>
          </cell>
        </row>
        <row r="11">
          <cell r="B11" t="str">
            <v>Année 2018</v>
          </cell>
          <cell r="C11">
            <v>586355</v>
          </cell>
          <cell r="D11">
            <v>563735</v>
          </cell>
          <cell r="E11">
            <v>512313</v>
          </cell>
          <cell r="F11">
            <v>573440</v>
          </cell>
          <cell r="G11">
            <v>535115</v>
          </cell>
          <cell r="H11">
            <v>570139</v>
          </cell>
          <cell r="I11">
            <v>669302</v>
          </cell>
          <cell r="J11">
            <v>704714</v>
          </cell>
          <cell r="K11">
            <v>682717</v>
          </cell>
          <cell r="L11">
            <v>581239</v>
          </cell>
          <cell r="M11">
            <v>438561</v>
          </cell>
          <cell r="N11">
            <v>400672</v>
          </cell>
        </row>
        <row r="12">
          <cell r="B12" t="str">
            <v>Année 2019</v>
          </cell>
          <cell r="C12">
            <v>388363</v>
          </cell>
          <cell r="D12">
            <v>407737</v>
          </cell>
          <cell r="E12">
            <v>392102</v>
          </cell>
          <cell r="F12">
            <v>454554</v>
          </cell>
          <cell r="G12">
            <v>448580</v>
          </cell>
          <cell r="H12">
            <v>535391</v>
          </cell>
          <cell r="I12">
            <v>549301</v>
          </cell>
          <cell r="J12">
            <v>576078</v>
          </cell>
          <cell r="K12">
            <v>612675</v>
          </cell>
          <cell r="L12">
            <v>542640</v>
          </cell>
          <cell r="M12">
            <v>507495</v>
          </cell>
          <cell r="N12">
            <v>444826</v>
          </cell>
        </row>
        <row r="15">
          <cell r="B15" t="str">
            <v>Année 2022</v>
          </cell>
          <cell r="C15">
            <v>206479</v>
          </cell>
          <cell r="D15">
            <v>244783</v>
          </cell>
          <cell r="E15">
            <v>316387</v>
          </cell>
          <cell r="F15">
            <v>353545</v>
          </cell>
          <cell r="G15">
            <v>452426</v>
          </cell>
          <cell r="H15">
            <v>581939</v>
          </cell>
          <cell r="I15">
            <v>601486</v>
          </cell>
          <cell r="J15">
            <v>639044</v>
          </cell>
          <cell r="K15">
            <v>590667</v>
          </cell>
          <cell r="L15">
            <v>522652</v>
          </cell>
          <cell r="M15">
            <v>477601</v>
          </cell>
          <cell r="N15">
            <v>407006</v>
          </cell>
        </row>
        <row r="19">
          <cell r="C19" t="str">
            <v>Janvier</v>
          </cell>
          <cell r="D19" t="str">
            <v>Février</v>
          </cell>
          <cell r="E19" t="str">
            <v xml:space="preserve">Mars </v>
          </cell>
          <cell r="F19" t="str">
            <v>avril</v>
          </cell>
          <cell r="G19" t="str">
            <v xml:space="preserve">Mai </v>
          </cell>
          <cell r="H19" t="str">
            <v xml:space="preserve">juin </v>
          </cell>
          <cell r="I19" t="str">
            <v>Juillet</v>
          </cell>
          <cell r="J19" t="str">
            <v xml:space="preserve">aout </v>
          </cell>
          <cell r="K19" t="str">
            <v>Septembre</v>
          </cell>
          <cell r="L19" t="str">
            <v>Octobre</v>
          </cell>
          <cell r="M19" t="str">
            <v>Novembre</v>
          </cell>
          <cell r="N19" t="str">
            <v>Décembre</v>
          </cell>
        </row>
        <row r="20">
          <cell r="B20" t="str">
            <v>Année 2015</v>
          </cell>
          <cell r="L20">
            <v>527344.76260000002</v>
          </cell>
          <cell r="M20">
            <v>542887.95270000002</v>
          </cell>
          <cell r="N20">
            <v>530789.10450000002</v>
          </cell>
        </row>
        <row r="21">
          <cell r="B21" t="str">
            <v>Année 2016</v>
          </cell>
          <cell r="C21">
            <v>577599.26069999998</v>
          </cell>
          <cell r="D21">
            <v>549500.304</v>
          </cell>
          <cell r="E21">
            <v>437038.73300000001</v>
          </cell>
          <cell r="F21">
            <v>498381.28909999994</v>
          </cell>
          <cell r="G21">
            <v>567710.58700000006</v>
          </cell>
          <cell r="H21">
            <v>626665.41229999997</v>
          </cell>
          <cell r="I21">
            <v>732996.54229999997</v>
          </cell>
          <cell r="J21">
            <v>807380.11509999994</v>
          </cell>
          <cell r="K21">
            <v>765103.69790000003</v>
          </cell>
          <cell r="L21">
            <v>674808.60869999998</v>
          </cell>
          <cell r="M21">
            <v>636029.23249999993</v>
          </cell>
          <cell r="N21">
            <v>575999.90890000004</v>
          </cell>
        </row>
        <row r="22">
          <cell r="B22" t="str">
            <v>Année 2017</v>
          </cell>
          <cell r="C22">
            <v>565777.06310000003</v>
          </cell>
          <cell r="D22">
            <v>589465.87030000007</v>
          </cell>
          <cell r="E22">
            <v>559348.96649999998</v>
          </cell>
          <cell r="F22">
            <v>706566.82740000007</v>
          </cell>
          <cell r="G22">
            <v>750048.77370000002</v>
          </cell>
          <cell r="H22">
            <v>823657.03619999997</v>
          </cell>
          <cell r="I22">
            <v>863911.20730000001</v>
          </cell>
          <cell r="J22">
            <v>948371.73810000008</v>
          </cell>
          <cell r="K22">
            <v>870086.49040000001</v>
          </cell>
          <cell r="L22">
            <v>828237.32940000005</v>
          </cell>
          <cell r="M22">
            <v>728226.36450000003</v>
          </cell>
          <cell r="N22">
            <v>620794.43210000009</v>
          </cell>
        </row>
        <row r="23">
          <cell r="B23" t="str">
            <v>Année 2018</v>
          </cell>
          <cell r="C23">
            <v>629018.45440000005</v>
          </cell>
          <cell r="D23">
            <v>609232.05440000002</v>
          </cell>
          <cell r="E23">
            <v>564099.54039999994</v>
          </cell>
          <cell r="F23">
            <v>625412.74040000001</v>
          </cell>
          <cell r="G23">
            <v>591310.6496</v>
          </cell>
          <cell r="H23">
            <v>627578.14100000006</v>
          </cell>
          <cell r="I23">
            <v>723790.51</v>
          </cell>
          <cell r="J23">
            <v>756208.25020000001</v>
          </cell>
          <cell r="K23">
            <v>734211.55240000004</v>
          </cell>
          <cell r="L23">
            <v>634725.01650000003</v>
          </cell>
          <cell r="M23">
            <v>492313.53600000002</v>
          </cell>
          <cell r="N23">
            <v>430486.08379999996</v>
          </cell>
        </row>
        <row r="24">
          <cell r="B24" t="str">
            <v>Année 2019</v>
          </cell>
          <cell r="C24">
            <v>417767.50199999998</v>
          </cell>
          <cell r="D24">
            <v>437511.45040000003</v>
          </cell>
          <cell r="E24">
            <v>422948.91399999999</v>
          </cell>
          <cell r="F24">
            <v>483026.4265</v>
          </cell>
          <cell r="G24">
            <v>494466.65997999994</v>
          </cell>
          <cell r="H24">
            <v>589026.66199500009</v>
          </cell>
          <cell r="I24">
            <v>597445.77220000012</v>
          </cell>
          <cell r="J24">
            <v>624719.21129500004</v>
          </cell>
          <cell r="K24">
            <v>662255.2733900001</v>
          </cell>
          <cell r="L24">
            <v>572138.68634500005</v>
          </cell>
          <cell r="M24">
            <v>536725.71495000005</v>
          </cell>
          <cell r="N24">
            <v>473017.45039999997</v>
          </cell>
        </row>
        <row r="26">
          <cell r="B26" t="str">
            <v>Année 2021</v>
          </cell>
          <cell r="C26">
            <v>274561.56439999997</v>
          </cell>
          <cell r="D26">
            <v>283692.47039999999</v>
          </cell>
          <cell r="E26">
            <v>278888.13439999998</v>
          </cell>
          <cell r="F26">
            <v>318224.91959999996</v>
          </cell>
          <cell r="G26">
            <v>309500.67789999995</v>
          </cell>
          <cell r="H26">
            <v>396582.05849999998</v>
          </cell>
          <cell r="I26">
            <v>498105.10527500004</v>
          </cell>
          <cell r="J26">
            <v>506423.32253</v>
          </cell>
          <cell r="K26">
            <v>486424.27340000001</v>
          </cell>
          <cell r="L26">
            <v>473503.95079999999</v>
          </cell>
          <cell r="M26">
            <v>403992.3469</v>
          </cell>
          <cell r="N26">
            <v>289205.48600000003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tabSelected="1" workbookViewId="0">
      <selection activeCell="U25" sqref="U25"/>
    </sheetView>
  </sheetViews>
  <sheetFormatPr baseColWidth="10" defaultColWidth="8.85546875" defaultRowHeight="12.75" x14ac:dyDescent="0.2"/>
  <cols>
    <col min="1" max="1" width="12.42578125" style="44" customWidth="1"/>
    <col min="2" max="3" width="8.85546875" style="135" customWidth="1"/>
    <col min="4" max="4" width="13.42578125" style="136" customWidth="1"/>
    <col min="5" max="5" width="12.5703125" style="132" customWidth="1"/>
    <col min="6" max="6" width="12.5703125" style="44" customWidth="1"/>
    <col min="7" max="10" width="8.85546875" style="44" customWidth="1"/>
    <col min="11" max="12" width="8.85546875" style="132" customWidth="1"/>
    <col min="13" max="13" width="0" hidden="1" customWidth="1"/>
  </cols>
  <sheetData>
    <row r="1" spans="1:13" s="95" customFormat="1" ht="75.75" thickBot="1" x14ac:dyDescent="0.3">
      <c r="A1" s="130" t="s">
        <v>0</v>
      </c>
      <c r="B1" s="133" t="s">
        <v>1</v>
      </c>
      <c r="C1" s="133" t="s">
        <v>2</v>
      </c>
      <c r="D1" s="134" t="s">
        <v>3</v>
      </c>
      <c r="E1" s="140" t="s">
        <v>4</v>
      </c>
      <c r="F1" s="137" t="s">
        <v>5</v>
      </c>
      <c r="G1" s="137" t="s">
        <v>6</v>
      </c>
      <c r="H1" s="137" t="s">
        <v>7</v>
      </c>
      <c r="I1" s="137" t="s">
        <v>8</v>
      </c>
      <c r="J1" s="137" t="s">
        <v>9</v>
      </c>
      <c r="K1" s="140" t="s">
        <v>10</v>
      </c>
      <c r="L1" s="140" t="s">
        <v>11</v>
      </c>
      <c r="M1" s="127" t="s">
        <v>12</v>
      </c>
    </row>
    <row r="2" spans="1:13" x14ac:dyDescent="0.2">
      <c r="A2" s="131" t="s">
        <v>13</v>
      </c>
      <c r="B2" s="135">
        <v>1</v>
      </c>
      <c r="C2" s="135">
        <v>1</v>
      </c>
      <c r="D2" s="136">
        <v>2023</v>
      </c>
      <c r="E2" s="132">
        <f>submetering!E2+submetering!F2+submetering!G2</f>
        <v>17101</v>
      </c>
      <c r="F2" s="129">
        <v>1.07</v>
      </c>
      <c r="G2" s="129">
        <f>'Consommation mensuel énergie'!V10</f>
        <v>415.98973000000001</v>
      </c>
      <c r="H2" s="129">
        <v>12.46</v>
      </c>
      <c r="I2" s="129">
        <f>'Consommation mensuel énergie'!F10</f>
        <v>167</v>
      </c>
      <c r="J2" s="129">
        <v>11.4</v>
      </c>
      <c r="K2" s="132">
        <f>'Consommation mensuel énergie'!D10</f>
        <v>137</v>
      </c>
      <c r="L2" s="132">
        <f>'Consommation mensuel énergie'!E10</f>
        <v>257</v>
      </c>
      <c r="M2" s="128" t="e">
        <f>E2*F2+G2*H2+#REF!*#REF!+I2*J2</f>
        <v>#REF!</v>
      </c>
    </row>
    <row r="3" spans="1:13" x14ac:dyDescent="0.2">
      <c r="A3" s="131" t="s">
        <v>13</v>
      </c>
      <c r="B3" s="135">
        <f>B2+1</f>
        <v>2</v>
      </c>
      <c r="C3" s="135">
        <v>1</v>
      </c>
      <c r="D3" s="136">
        <v>2023</v>
      </c>
      <c r="E3" s="132">
        <f>submetering!E3+submetering!F3+submetering!G3</f>
        <v>13342</v>
      </c>
      <c r="F3" s="129">
        <v>1.07</v>
      </c>
      <c r="G3" s="129">
        <f>'Consommation mensuel énergie'!V11</f>
        <v>639.98419999999999</v>
      </c>
      <c r="H3" s="129">
        <v>12.46</v>
      </c>
      <c r="I3" s="129">
        <f>'Consommation mensuel énergie'!F11</f>
        <v>159</v>
      </c>
      <c r="J3" s="129">
        <v>11.4</v>
      </c>
      <c r="K3" s="132">
        <f>'Consommation mensuel énergie'!D11</f>
        <v>121</v>
      </c>
      <c r="L3" s="132">
        <f>'Consommation mensuel énergie'!E11</f>
        <v>223</v>
      </c>
      <c r="M3" s="128" t="e">
        <f>E3*F3+G3*H3+#REF!*#REF!+I3*J3</f>
        <v>#REF!</v>
      </c>
    </row>
    <row r="4" spans="1:13" x14ac:dyDescent="0.2">
      <c r="A4" s="131" t="s">
        <v>13</v>
      </c>
      <c r="B4" s="135">
        <f t="shared" ref="B4:B25" si="0">B3+1</f>
        <v>3</v>
      </c>
      <c r="C4" s="135">
        <v>1</v>
      </c>
      <c r="D4" s="136">
        <v>2023</v>
      </c>
      <c r="E4" s="132">
        <f>submetering!E4+submetering!F4+submetering!G4</f>
        <v>14348</v>
      </c>
      <c r="F4" s="129">
        <v>1.07</v>
      </c>
      <c r="G4" s="129">
        <f>'Consommation mensuel énergie'!V12</f>
        <v>639.98419999999999</v>
      </c>
      <c r="H4" s="129">
        <v>12.46</v>
      </c>
      <c r="I4" s="129">
        <f>'Consommation mensuel énergie'!F12</f>
        <v>157</v>
      </c>
      <c r="J4" s="129">
        <v>11.4</v>
      </c>
      <c r="K4" s="132">
        <f>'Consommation mensuel énergie'!D12</f>
        <v>113</v>
      </c>
      <c r="L4" s="132">
        <f>'Consommation mensuel énergie'!E12</f>
        <v>193</v>
      </c>
      <c r="M4" s="128" t="e">
        <f>E4*F4+G4*H4+#REF!*#REF!+I4*J4</f>
        <v>#REF!</v>
      </c>
    </row>
    <row r="5" spans="1:13" x14ac:dyDescent="0.2">
      <c r="A5" s="131" t="s">
        <v>13</v>
      </c>
      <c r="B5" s="135">
        <f t="shared" si="0"/>
        <v>4</v>
      </c>
      <c r="C5" s="135">
        <v>1</v>
      </c>
      <c r="D5" s="136">
        <v>2023</v>
      </c>
      <c r="E5" s="132">
        <f>submetering!E5+submetering!F5+submetering!G5</f>
        <v>13301</v>
      </c>
      <c r="F5" s="129">
        <v>1.07</v>
      </c>
      <c r="G5" s="129">
        <f>'Consommation mensuel énergie'!V13</f>
        <v>575.98577999999998</v>
      </c>
      <c r="H5" s="129">
        <v>12.46</v>
      </c>
      <c r="I5" s="129">
        <f>'Consommation mensuel énergie'!F13</f>
        <v>141</v>
      </c>
      <c r="J5" s="129">
        <v>11.4</v>
      </c>
      <c r="K5" s="132">
        <f>'Consommation mensuel énergie'!D13</f>
        <v>99</v>
      </c>
      <c r="L5" s="132">
        <f>'Consommation mensuel énergie'!E13</f>
        <v>175</v>
      </c>
      <c r="M5" s="128" t="e">
        <f>E5*F5+G5*H5+#REF!*#REF!+I5*J5</f>
        <v>#REF!</v>
      </c>
    </row>
    <row r="6" spans="1:13" x14ac:dyDescent="0.2">
      <c r="A6" s="131" t="s">
        <v>13</v>
      </c>
      <c r="B6" s="135">
        <f t="shared" si="0"/>
        <v>5</v>
      </c>
      <c r="C6" s="135">
        <v>1</v>
      </c>
      <c r="D6" s="136">
        <v>2023</v>
      </c>
      <c r="E6" s="132">
        <f>submetering!E6+submetering!F6+submetering!G6</f>
        <v>13645</v>
      </c>
      <c r="F6" s="129">
        <v>1.07</v>
      </c>
      <c r="G6" s="129">
        <f>'Consommation mensuel énergie'!V14</f>
        <v>671.98341000000005</v>
      </c>
      <c r="H6" s="129">
        <v>12.46</v>
      </c>
      <c r="I6" s="129">
        <f>'Consommation mensuel énergie'!F14</f>
        <v>151</v>
      </c>
      <c r="J6" s="129">
        <v>11.4</v>
      </c>
      <c r="K6" s="132">
        <f>'Consommation mensuel énergie'!D14</f>
        <v>99</v>
      </c>
      <c r="L6" s="132">
        <f>'Consommation mensuel énergie'!E14</f>
        <v>180</v>
      </c>
      <c r="M6" s="128" t="e">
        <f>E6*F6+G6*H6+#REF!*#REF!+I6*J6</f>
        <v>#REF!</v>
      </c>
    </row>
    <row r="7" spans="1:13" x14ac:dyDescent="0.2">
      <c r="A7" s="131" t="s">
        <v>13</v>
      </c>
      <c r="B7" s="135">
        <f t="shared" si="0"/>
        <v>6</v>
      </c>
      <c r="C7" s="135">
        <v>1</v>
      </c>
      <c r="D7" s="136">
        <v>2023</v>
      </c>
      <c r="E7" s="132">
        <f>submetering!E7+submetering!F7+submetering!G7</f>
        <v>14014</v>
      </c>
      <c r="F7" s="129">
        <v>1.07</v>
      </c>
      <c r="G7" s="129">
        <f>'Consommation mensuel énergie'!V15</f>
        <v>607.98499000000004</v>
      </c>
      <c r="H7" s="129">
        <v>12.46</v>
      </c>
      <c r="I7" s="129">
        <f>'Consommation mensuel énergie'!F15</f>
        <v>156</v>
      </c>
      <c r="J7" s="129">
        <v>11.4</v>
      </c>
      <c r="K7" s="132">
        <f>'Consommation mensuel énergie'!D15</f>
        <v>126</v>
      </c>
      <c r="L7" s="132">
        <f>'Consommation mensuel énergie'!E15</f>
        <v>226</v>
      </c>
      <c r="M7" s="128" t="e">
        <f>E7*F7+G7*H7+#REF!*#REF!+I7*J7</f>
        <v>#REF!</v>
      </c>
    </row>
    <row r="8" spans="1:13" x14ac:dyDescent="0.2">
      <c r="A8" s="131" t="s">
        <v>13</v>
      </c>
      <c r="B8" s="135">
        <f t="shared" si="0"/>
        <v>7</v>
      </c>
      <c r="C8" s="135">
        <v>1</v>
      </c>
      <c r="D8" s="136">
        <v>2023</v>
      </c>
      <c r="E8" s="132">
        <f>submetering!E8+submetering!F8+submetering!G8</f>
        <v>12956</v>
      </c>
      <c r="F8" s="129">
        <v>1.07</v>
      </c>
      <c r="G8" s="129">
        <f>'Consommation mensuel énergie'!V16</f>
        <v>383.99052</v>
      </c>
      <c r="H8" s="129">
        <v>12.46</v>
      </c>
      <c r="I8" s="129">
        <f>'Consommation mensuel énergie'!F16</f>
        <v>162</v>
      </c>
      <c r="J8" s="129">
        <v>11.4</v>
      </c>
      <c r="K8" s="132">
        <f>'Consommation mensuel énergie'!D16</f>
        <v>95</v>
      </c>
      <c r="L8" s="132">
        <f>'Consommation mensuel énergie'!E16</f>
        <v>157</v>
      </c>
      <c r="M8" s="128" t="e">
        <f>E8*F8+G8*H8+#REF!*#REF!+I8*J8</f>
        <v>#REF!</v>
      </c>
    </row>
    <row r="9" spans="1:13" x14ac:dyDescent="0.2">
      <c r="A9" s="131" t="s">
        <v>13</v>
      </c>
      <c r="B9" s="135">
        <f t="shared" si="0"/>
        <v>8</v>
      </c>
      <c r="C9" s="135">
        <v>1</v>
      </c>
      <c r="D9" s="136">
        <v>2023</v>
      </c>
      <c r="E9" s="132">
        <f>submetering!E9+submetering!F9+submetering!G9</f>
        <v>12851</v>
      </c>
      <c r="F9" s="129">
        <v>1.07</v>
      </c>
      <c r="G9" s="129">
        <f>'Consommation mensuel énergie'!V17</f>
        <v>863.97867000000008</v>
      </c>
      <c r="H9" s="129">
        <v>12.46</v>
      </c>
      <c r="I9" s="129">
        <f>'Consommation mensuel énergie'!F17</f>
        <v>130</v>
      </c>
      <c r="J9" s="129">
        <v>11.4</v>
      </c>
      <c r="K9" s="132">
        <f>'Consommation mensuel énergie'!D17</f>
        <v>85</v>
      </c>
      <c r="L9" s="132">
        <f>'Consommation mensuel énergie'!E17</f>
        <v>139</v>
      </c>
      <c r="M9" s="128" t="e">
        <f>E9*F9+G9*H9+#REF!*#REF!+I9*J9</f>
        <v>#REF!</v>
      </c>
    </row>
    <row r="10" spans="1:13" x14ac:dyDescent="0.2">
      <c r="A10" s="131" t="s">
        <v>13</v>
      </c>
      <c r="B10" s="135">
        <f t="shared" si="0"/>
        <v>9</v>
      </c>
      <c r="C10" s="135">
        <v>1</v>
      </c>
      <c r="D10" s="136">
        <v>2023</v>
      </c>
      <c r="E10" s="132">
        <f>submetering!E10+submetering!F10+submetering!G10</f>
        <v>13692</v>
      </c>
      <c r="F10" s="129">
        <v>1.07</v>
      </c>
      <c r="G10" s="129">
        <f>'Consommation mensuel énergie'!V18</f>
        <v>479.98815000000002</v>
      </c>
      <c r="H10" s="129">
        <v>12.46</v>
      </c>
      <c r="I10" s="129">
        <f>'Consommation mensuel énergie'!F18</f>
        <v>100</v>
      </c>
      <c r="J10" s="129">
        <v>11.4</v>
      </c>
      <c r="K10" s="132">
        <f>'Consommation mensuel énergie'!D18</f>
        <v>70</v>
      </c>
      <c r="L10" s="132">
        <f>'Consommation mensuel énergie'!E18</f>
        <v>115</v>
      </c>
      <c r="M10" s="128" t="e">
        <f>E10*F10+G10*H10+#REF!*#REF!+I10*J10</f>
        <v>#REF!</v>
      </c>
    </row>
    <row r="11" spans="1:13" x14ac:dyDescent="0.2">
      <c r="A11" s="131" t="s">
        <v>13</v>
      </c>
      <c r="B11" s="135">
        <f t="shared" si="0"/>
        <v>10</v>
      </c>
      <c r="C11" s="135">
        <v>1</v>
      </c>
      <c r="D11" s="136">
        <v>2023</v>
      </c>
      <c r="E11" s="132">
        <f>submetering!E11+submetering!F11+submetering!G11</f>
        <v>13021</v>
      </c>
      <c r="F11" s="129">
        <v>1.07</v>
      </c>
      <c r="G11" s="129">
        <f>'Consommation mensuel énergie'!V19</f>
        <v>543.98657000000003</v>
      </c>
      <c r="H11" s="129">
        <v>12.46</v>
      </c>
      <c r="I11" s="129">
        <f>'Consommation mensuel énergie'!F19</f>
        <v>121</v>
      </c>
      <c r="J11" s="129">
        <v>11.4</v>
      </c>
      <c r="K11" s="132">
        <f>'Consommation mensuel énergie'!D19</f>
        <v>75</v>
      </c>
      <c r="L11" s="132">
        <f>'Consommation mensuel énergie'!E19</f>
        <v>125</v>
      </c>
      <c r="M11" s="128" t="e">
        <f>E11*F11+G11*H11+#REF!*#REF!+I11*J11</f>
        <v>#REF!</v>
      </c>
    </row>
    <row r="12" spans="1:13" x14ac:dyDescent="0.2">
      <c r="A12" s="131" t="s">
        <v>13</v>
      </c>
      <c r="B12" s="135">
        <f t="shared" si="0"/>
        <v>11</v>
      </c>
      <c r="C12" s="135">
        <v>1</v>
      </c>
      <c r="D12" s="136">
        <v>2023</v>
      </c>
      <c r="E12" s="132">
        <f>submetering!E12+submetering!F12+submetering!G12</f>
        <v>12577</v>
      </c>
      <c r="F12" s="129">
        <v>1.07</v>
      </c>
      <c r="G12" s="129">
        <f>'Consommation mensuel énergie'!V20</f>
        <v>639.98419999999999</v>
      </c>
      <c r="H12" s="129">
        <v>12.46</v>
      </c>
      <c r="I12" s="129">
        <f>'Consommation mensuel énergie'!F20</f>
        <v>106</v>
      </c>
      <c r="J12" s="129">
        <v>11.4</v>
      </c>
      <c r="K12" s="132">
        <f>'Consommation mensuel énergie'!D20</f>
        <v>67</v>
      </c>
      <c r="L12" s="132">
        <f>'Consommation mensuel énergie'!E20</f>
        <v>115</v>
      </c>
      <c r="M12" s="128" t="e">
        <f>E12*F12+G12*H12+#REF!*#REF!+I12*J12</f>
        <v>#REF!</v>
      </c>
    </row>
    <row r="13" spans="1:13" x14ac:dyDescent="0.2">
      <c r="A13" s="131" t="s">
        <v>13</v>
      </c>
      <c r="B13" s="135">
        <f t="shared" si="0"/>
        <v>12</v>
      </c>
      <c r="C13" s="135">
        <v>1</v>
      </c>
      <c r="D13" s="136">
        <v>2023</v>
      </c>
      <c r="E13" s="132">
        <f>submetering!E13+submetering!F13+submetering!G13</f>
        <v>13349</v>
      </c>
      <c r="F13" s="129">
        <v>1.07</v>
      </c>
      <c r="G13" s="129">
        <f>'Consommation mensuel énergie'!V21</f>
        <v>319.99209999999999</v>
      </c>
      <c r="H13" s="129">
        <v>12.46</v>
      </c>
      <c r="I13" s="129">
        <f>'Consommation mensuel énergie'!F21</f>
        <v>104</v>
      </c>
      <c r="J13" s="129">
        <v>11.4</v>
      </c>
      <c r="K13" s="132">
        <f>'Consommation mensuel énergie'!D21</f>
        <v>77</v>
      </c>
      <c r="L13" s="132">
        <f>'Consommation mensuel énergie'!E21</f>
        <v>110</v>
      </c>
      <c r="M13" s="128" t="e">
        <f>E13*F13+G13*H13+#REF!*#REF!+I13*J13</f>
        <v>#REF!</v>
      </c>
    </row>
    <row r="14" spans="1:13" x14ac:dyDescent="0.2">
      <c r="A14" s="131" t="s">
        <v>13</v>
      </c>
      <c r="B14" s="135">
        <f t="shared" si="0"/>
        <v>13</v>
      </c>
      <c r="C14" s="135">
        <v>1</v>
      </c>
      <c r="D14" s="136">
        <v>2023</v>
      </c>
      <c r="E14" s="132">
        <f>submetering!E14+submetering!F14+submetering!G14</f>
        <v>13454</v>
      </c>
      <c r="F14" s="129">
        <v>1.07</v>
      </c>
      <c r="G14" s="129">
        <f>'Consommation mensuel énergie'!V22</f>
        <v>639.98419999999999</v>
      </c>
      <c r="H14" s="129">
        <v>12.46</v>
      </c>
      <c r="I14" s="129">
        <f>'Consommation mensuel énergie'!F22</f>
        <v>110</v>
      </c>
      <c r="J14" s="129">
        <v>11.4</v>
      </c>
      <c r="K14" s="132">
        <f>'Consommation mensuel énergie'!D22</f>
        <v>87</v>
      </c>
      <c r="L14" s="132">
        <f>'Consommation mensuel énergie'!E22</f>
        <v>114</v>
      </c>
      <c r="M14" s="128" t="e">
        <f>E14*F14+G14*H14+#REF!*#REF!+I14*J14</f>
        <v>#REF!</v>
      </c>
    </row>
    <row r="15" spans="1:13" x14ac:dyDescent="0.2">
      <c r="A15" s="131" t="s">
        <v>13</v>
      </c>
      <c r="B15" s="135">
        <f t="shared" si="0"/>
        <v>14</v>
      </c>
      <c r="C15" s="135">
        <v>1</v>
      </c>
      <c r="D15" s="136">
        <v>2023</v>
      </c>
      <c r="E15" s="132">
        <f>submetering!E15+submetering!F15+submetering!G15</f>
        <v>13661</v>
      </c>
      <c r="F15" s="129">
        <v>1.07</v>
      </c>
      <c r="G15" s="129">
        <f>'Consommation mensuel énergie'!V23</f>
        <v>511.98736000000002</v>
      </c>
      <c r="H15" s="129">
        <v>12.46</v>
      </c>
      <c r="I15" s="129">
        <f>'Consommation mensuel énergie'!F23</f>
        <v>143</v>
      </c>
      <c r="J15" s="129">
        <v>11.4</v>
      </c>
      <c r="K15" s="132">
        <f>'Consommation mensuel énergie'!D23</f>
        <v>127</v>
      </c>
      <c r="L15" s="132">
        <f>'Consommation mensuel énergie'!E23</f>
        <v>182</v>
      </c>
      <c r="M15" s="128" t="e">
        <f>E15*F15+G15*H15+#REF!*#REF!+I15*J15</f>
        <v>#REF!</v>
      </c>
    </row>
    <row r="16" spans="1:13" x14ac:dyDescent="0.2">
      <c r="A16" s="131" t="s">
        <v>13</v>
      </c>
      <c r="B16" s="135">
        <f t="shared" si="0"/>
        <v>15</v>
      </c>
      <c r="C16" s="135">
        <v>1</v>
      </c>
      <c r="D16" s="136">
        <v>2023</v>
      </c>
      <c r="E16" s="132">
        <f>submetering!E16+submetering!F16+submetering!G16</f>
        <v>12924</v>
      </c>
      <c r="F16" s="129">
        <v>1.07</v>
      </c>
      <c r="G16" s="129">
        <f>'Consommation mensuel énergie'!V24</f>
        <v>447.98894000000001</v>
      </c>
      <c r="H16" s="129">
        <v>12.46</v>
      </c>
      <c r="I16" s="129">
        <f>'Consommation mensuel énergie'!F24</f>
        <v>121</v>
      </c>
      <c r="J16" s="129">
        <v>11.4</v>
      </c>
      <c r="K16" s="132">
        <f>'Consommation mensuel énergie'!D24</f>
        <v>116</v>
      </c>
      <c r="L16" s="132">
        <f>'Consommation mensuel énergie'!E24</f>
        <v>157</v>
      </c>
      <c r="M16" s="128" t="e">
        <f>E16*F16+G16*H16+#REF!*#REF!+I16*J16</f>
        <v>#REF!</v>
      </c>
    </row>
    <row r="17" spans="1:13" x14ac:dyDescent="0.2">
      <c r="A17" s="131" t="s">
        <v>13</v>
      </c>
      <c r="B17" s="135">
        <f t="shared" si="0"/>
        <v>16</v>
      </c>
      <c r="C17" s="135">
        <v>1</v>
      </c>
      <c r="D17" s="136">
        <v>2023</v>
      </c>
      <c r="E17" s="132">
        <f>submetering!E17+submetering!F17+submetering!G17</f>
        <v>12551</v>
      </c>
      <c r="F17" s="129">
        <v>1.07</v>
      </c>
      <c r="G17" s="129">
        <f>'Consommation mensuel énergie'!V25</f>
        <v>799.98025000000007</v>
      </c>
      <c r="H17" s="129">
        <v>12.46</v>
      </c>
      <c r="I17" s="129">
        <f>'Consommation mensuel énergie'!F25</f>
        <v>124</v>
      </c>
      <c r="J17" s="129">
        <v>11.4</v>
      </c>
      <c r="K17" s="132">
        <f>'Consommation mensuel énergie'!D25</f>
        <v>146</v>
      </c>
      <c r="L17" s="132">
        <f>'Consommation mensuel énergie'!E25</f>
        <v>201</v>
      </c>
      <c r="M17" s="128" t="e">
        <f>E17*F17+G17*H17+#REF!*#REF!+I17*J17</f>
        <v>#REF!</v>
      </c>
    </row>
    <row r="18" spans="1:13" x14ac:dyDescent="0.2">
      <c r="A18" s="131" t="s">
        <v>13</v>
      </c>
      <c r="B18" s="135">
        <f t="shared" si="0"/>
        <v>17</v>
      </c>
      <c r="C18" s="135">
        <v>1</v>
      </c>
      <c r="D18" s="136">
        <v>2023</v>
      </c>
      <c r="E18" s="132">
        <f>submetering!E18+submetering!F18+submetering!G18</f>
        <v>12791</v>
      </c>
      <c r="F18" s="129">
        <v>1.07</v>
      </c>
      <c r="G18" s="129">
        <f>'Consommation mensuel énergie'!V26</f>
        <v>415.98973000000001</v>
      </c>
      <c r="H18" s="129">
        <v>12.46</v>
      </c>
      <c r="I18" s="129">
        <f>'Consommation mensuel énergie'!F26</f>
        <v>135</v>
      </c>
      <c r="J18" s="129">
        <v>11.4</v>
      </c>
      <c r="K18" s="132">
        <f>'Consommation mensuel énergie'!D26</f>
        <v>121</v>
      </c>
      <c r="L18" s="132">
        <f>'Consommation mensuel énergie'!E26</f>
        <v>164</v>
      </c>
      <c r="M18" s="128" t="e">
        <f>E18*F18+G18*H18+#REF!*#REF!+I18*J18</f>
        <v>#REF!</v>
      </c>
    </row>
    <row r="19" spans="1:13" x14ac:dyDescent="0.2">
      <c r="A19" s="131" t="s">
        <v>13</v>
      </c>
      <c r="B19" s="135">
        <f t="shared" si="0"/>
        <v>18</v>
      </c>
      <c r="C19" s="135">
        <v>1</v>
      </c>
      <c r="D19" s="136">
        <v>2023</v>
      </c>
      <c r="E19" s="132">
        <f>submetering!E19+submetering!F19+submetering!G19</f>
        <v>12601</v>
      </c>
      <c r="F19" s="129">
        <v>1.07</v>
      </c>
      <c r="G19" s="129">
        <f>'Consommation mensuel énergie'!V27</f>
        <v>447.98894000000001</v>
      </c>
      <c r="H19" s="129">
        <v>12.46</v>
      </c>
      <c r="I19" s="129">
        <f>'Consommation mensuel énergie'!F27</f>
        <v>143</v>
      </c>
      <c r="J19" s="129">
        <v>11.4</v>
      </c>
      <c r="K19" s="132">
        <f>'Consommation mensuel énergie'!D27</f>
        <v>113</v>
      </c>
      <c r="L19" s="132">
        <f>'Consommation mensuel énergie'!E27</f>
        <v>148</v>
      </c>
      <c r="M19" s="128" t="e">
        <f>E19*F19+G19*H19+#REF!*#REF!+I19*J19</f>
        <v>#REF!</v>
      </c>
    </row>
    <row r="20" spans="1:13" x14ac:dyDescent="0.2">
      <c r="A20" s="131" t="s">
        <v>13</v>
      </c>
      <c r="B20" s="135">
        <f t="shared" si="0"/>
        <v>19</v>
      </c>
      <c r="C20" s="135">
        <v>1</v>
      </c>
      <c r="D20" s="136">
        <v>2023</v>
      </c>
      <c r="E20" s="132">
        <f>submetering!E20+submetering!F20+submetering!G20</f>
        <v>12906</v>
      </c>
      <c r="F20" s="129">
        <v>1.07</v>
      </c>
      <c r="G20" s="129">
        <f>'Consommation mensuel énergie'!V28</f>
        <v>575.98577999999998</v>
      </c>
      <c r="H20" s="129">
        <v>12.46</v>
      </c>
      <c r="I20" s="129">
        <f>'Consommation mensuel énergie'!F28</f>
        <v>108</v>
      </c>
      <c r="J20" s="129">
        <v>11.4</v>
      </c>
      <c r="K20" s="132">
        <f>'Consommation mensuel énergie'!D28</f>
        <v>78</v>
      </c>
      <c r="L20" s="132">
        <f>'Consommation mensuel énergie'!E28</f>
        <v>105</v>
      </c>
      <c r="M20" s="128" t="e">
        <f>E20*F20+G20*H20+#REF!*#REF!+I20*J20</f>
        <v>#REF!</v>
      </c>
    </row>
    <row r="21" spans="1:13" x14ac:dyDescent="0.2">
      <c r="A21" s="131" t="s">
        <v>13</v>
      </c>
      <c r="B21" s="135">
        <f t="shared" si="0"/>
        <v>20</v>
      </c>
      <c r="C21" s="135">
        <v>1</v>
      </c>
      <c r="D21" s="136">
        <v>2023</v>
      </c>
      <c r="E21" s="132">
        <f>submetering!E21+submetering!F21+submetering!G21</f>
        <v>12735</v>
      </c>
      <c r="F21" s="129">
        <v>1.07</v>
      </c>
      <c r="G21" s="129">
        <f>'Consommation mensuel énergie'!V29</f>
        <v>735.98183000000006</v>
      </c>
      <c r="H21" s="129">
        <v>12.46</v>
      </c>
      <c r="I21" s="129">
        <f>'Consommation mensuel énergie'!F29</f>
        <v>117</v>
      </c>
      <c r="J21" s="129">
        <v>11.4</v>
      </c>
      <c r="K21" s="132">
        <f>'Consommation mensuel énergie'!D29</f>
        <v>69</v>
      </c>
      <c r="L21" s="132">
        <f>'Consommation mensuel énergie'!E29</f>
        <v>108</v>
      </c>
      <c r="M21" s="128" t="e">
        <f>E21*F21+G21*H21+#REF!*#REF!+I21*J21</f>
        <v>#REF!</v>
      </c>
    </row>
    <row r="22" spans="1:13" x14ac:dyDescent="0.2">
      <c r="A22" s="131" t="s">
        <v>13</v>
      </c>
      <c r="B22" s="135">
        <f t="shared" si="0"/>
        <v>21</v>
      </c>
      <c r="C22" s="135">
        <v>1</v>
      </c>
      <c r="D22" s="136">
        <v>2023</v>
      </c>
      <c r="E22" s="132">
        <f>submetering!E22+submetering!F22+submetering!G22</f>
        <v>12502</v>
      </c>
      <c r="F22" s="129">
        <v>1.07</v>
      </c>
      <c r="G22" s="129">
        <f>'Consommation mensuel énergie'!V30</f>
        <v>479.98815000000002</v>
      </c>
      <c r="H22" s="129">
        <v>12.46</v>
      </c>
      <c r="I22" s="129">
        <f>'Consommation mensuel énergie'!F30</f>
        <v>112</v>
      </c>
      <c r="J22" s="129">
        <v>11.4</v>
      </c>
      <c r="K22" s="132">
        <f>'Consommation mensuel énergie'!D30</f>
        <v>82</v>
      </c>
      <c r="L22" s="132">
        <f>'Consommation mensuel énergie'!E30</f>
        <v>138</v>
      </c>
      <c r="M22" s="128" t="e">
        <f>E22*F22+G22*H22+#REF!*#REF!+I22*J22</f>
        <v>#REF!</v>
      </c>
    </row>
    <row r="23" spans="1:13" x14ac:dyDescent="0.2">
      <c r="A23" s="131" t="s">
        <v>13</v>
      </c>
      <c r="B23" s="135">
        <f t="shared" si="0"/>
        <v>22</v>
      </c>
      <c r="C23" s="135">
        <v>1</v>
      </c>
      <c r="D23" s="136">
        <v>2023</v>
      </c>
      <c r="E23" s="132">
        <f>submetering!E23+submetering!F23+submetering!G23</f>
        <v>12449</v>
      </c>
      <c r="F23" s="129">
        <v>1.07</v>
      </c>
      <c r="G23" s="129">
        <f>'Consommation mensuel énergie'!V31</f>
        <v>447.98894000000001</v>
      </c>
      <c r="H23" s="129">
        <v>12.46</v>
      </c>
      <c r="I23" s="129">
        <f>'Consommation mensuel énergie'!F31</f>
        <v>128</v>
      </c>
      <c r="J23" s="129">
        <v>11.4</v>
      </c>
      <c r="K23" s="132">
        <f>'Consommation mensuel énergie'!D31</f>
        <v>79</v>
      </c>
      <c r="L23" s="132">
        <f>'Consommation mensuel énergie'!E31</f>
        <v>121</v>
      </c>
      <c r="M23" s="128" t="e">
        <f>E23*F23+G23*H23+#REF!*#REF!+I23*J23</f>
        <v>#REF!</v>
      </c>
    </row>
    <row r="24" spans="1:13" x14ac:dyDescent="0.2">
      <c r="A24" s="131" t="s">
        <v>13</v>
      </c>
      <c r="B24" s="135">
        <f t="shared" si="0"/>
        <v>23</v>
      </c>
      <c r="C24" s="135">
        <v>1</v>
      </c>
      <c r="D24" s="136">
        <v>2023</v>
      </c>
      <c r="E24" s="132">
        <f>submetering!E24+submetering!F24+submetering!G24</f>
        <v>12382</v>
      </c>
      <c r="F24" s="129">
        <v>1.07</v>
      </c>
      <c r="G24" s="129">
        <f>'Consommation mensuel énergie'!V32</f>
        <v>543.98657000000003</v>
      </c>
      <c r="H24" s="129">
        <v>12.46</v>
      </c>
      <c r="I24" s="129">
        <f>'Consommation mensuel énergie'!F32</f>
        <v>134</v>
      </c>
      <c r="J24" s="129">
        <v>11.4</v>
      </c>
      <c r="K24" s="132">
        <f>'Consommation mensuel énergie'!D32</f>
        <v>111</v>
      </c>
      <c r="L24" s="132">
        <f>'Consommation mensuel énergie'!E32</f>
        <v>146</v>
      </c>
      <c r="M24" s="128" t="e">
        <f>E24*F24+G24*H24+#REF!*#REF!+I24*J24</f>
        <v>#REF!</v>
      </c>
    </row>
    <row r="25" spans="1:13" x14ac:dyDescent="0.2">
      <c r="A25" s="131" t="s">
        <v>13</v>
      </c>
      <c r="B25" s="135">
        <f t="shared" si="0"/>
        <v>24</v>
      </c>
      <c r="C25" s="135">
        <v>1</v>
      </c>
      <c r="D25" s="136">
        <v>2023</v>
      </c>
      <c r="E25" s="132">
        <f>submetering!E25+submetering!F25+submetering!G25</f>
        <v>11235</v>
      </c>
      <c r="F25" s="129">
        <v>1.07</v>
      </c>
      <c r="G25" s="129">
        <f>'Consommation mensuel énergie'!V33</f>
        <v>703.98262</v>
      </c>
      <c r="H25" s="129">
        <v>12.46</v>
      </c>
      <c r="I25" s="129">
        <f>'Consommation mensuel énergie'!F33</f>
        <v>123</v>
      </c>
      <c r="J25" s="129">
        <v>11.4</v>
      </c>
      <c r="K25" s="132">
        <f>'Consommation mensuel énergie'!D33</f>
        <v>132</v>
      </c>
      <c r="L25" s="132">
        <f>'Consommation mensuel énergie'!E33</f>
        <v>176</v>
      </c>
      <c r="M25" s="128" t="e">
        <f>E25*F25+G25*H25+#REF!*#REF!+I25*J25</f>
        <v>#REF!</v>
      </c>
    </row>
    <row r="26" spans="1:13" x14ac:dyDescent="0.2">
      <c r="A26" s="131" t="s">
        <v>13</v>
      </c>
      <c r="B26" s="135">
        <f>B25+1</f>
        <v>25</v>
      </c>
      <c r="C26" s="135">
        <v>1</v>
      </c>
      <c r="D26" s="136">
        <v>2023</v>
      </c>
      <c r="E26" s="132">
        <f>submetering!E26+submetering!F26+submetering!G26</f>
        <v>12913</v>
      </c>
      <c r="F26" s="129">
        <v>1.07</v>
      </c>
      <c r="G26" s="129">
        <f>'Consommation mensuel énergie'!V34</f>
        <v>639.98419999999999</v>
      </c>
      <c r="H26" s="129">
        <v>12.46</v>
      </c>
      <c r="I26" s="129">
        <f>'Consommation mensuel énergie'!F34</f>
        <v>147</v>
      </c>
      <c r="J26" s="129">
        <v>11.4</v>
      </c>
      <c r="K26" s="132">
        <f>'Consommation mensuel énergie'!D34</f>
        <v>125</v>
      </c>
      <c r="L26" s="132">
        <f>'Consommation mensuel énergie'!E34</f>
        <v>157</v>
      </c>
      <c r="M26" s="128" t="e">
        <f>E26*F26+G26*H26+#REF!*#REF!+I26*J26</f>
        <v>#REF!</v>
      </c>
    </row>
    <row r="27" spans="1:13" x14ac:dyDescent="0.2">
      <c r="A27" s="131" t="s">
        <v>13</v>
      </c>
      <c r="B27" s="135">
        <f t="shared" ref="B27:B32" si="1">B26+1</f>
        <v>26</v>
      </c>
      <c r="C27" s="135">
        <v>1</v>
      </c>
      <c r="D27" s="136">
        <v>2023</v>
      </c>
      <c r="E27" s="132">
        <f>submetering!E27+submetering!F27+submetering!G27</f>
        <v>12477</v>
      </c>
      <c r="F27" s="129">
        <v>1.07</v>
      </c>
      <c r="G27" s="129">
        <f>'Consommation mensuel énergie'!V35</f>
        <v>383.99052</v>
      </c>
      <c r="H27" s="129">
        <v>12.46</v>
      </c>
      <c r="I27" s="129">
        <f>'Consommation mensuel énergie'!F35</f>
        <v>91</v>
      </c>
      <c r="J27" s="129">
        <v>11.4</v>
      </c>
      <c r="K27" s="132">
        <f>'Consommation mensuel énergie'!D35</f>
        <v>133</v>
      </c>
      <c r="L27" s="132">
        <f>'Consommation mensuel énergie'!E35</f>
        <v>178</v>
      </c>
      <c r="M27" s="128"/>
    </row>
    <row r="28" spans="1:13" x14ac:dyDescent="0.2">
      <c r="A28" s="131" t="s">
        <v>13</v>
      </c>
      <c r="B28" s="135">
        <f t="shared" si="1"/>
        <v>27</v>
      </c>
      <c r="C28" s="135">
        <v>1</v>
      </c>
      <c r="D28" s="136">
        <v>2023</v>
      </c>
      <c r="E28" s="132">
        <f>submetering!E28+submetering!F28+submetering!G28</f>
        <v>12820</v>
      </c>
      <c r="F28" s="129">
        <v>1.07</v>
      </c>
      <c r="G28" s="129">
        <f>'Consommation mensuel énergie'!V36</f>
        <v>639.98419999999999</v>
      </c>
      <c r="H28" s="129">
        <v>12.46</v>
      </c>
      <c r="I28" s="129">
        <f>'Consommation mensuel énergie'!F36</f>
        <v>114</v>
      </c>
      <c r="J28" s="129">
        <v>11.4</v>
      </c>
      <c r="K28" s="132">
        <f>'Consommation mensuel énergie'!D36</f>
        <v>103</v>
      </c>
      <c r="L28" s="132">
        <f>'Consommation mensuel énergie'!E36</f>
        <v>150</v>
      </c>
      <c r="M28" s="128"/>
    </row>
    <row r="29" spans="1:13" x14ac:dyDescent="0.2">
      <c r="A29" s="131" t="s">
        <v>13</v>
      </c>
      <c r="B29" s="135">
        <f t="shared" si="1"/>
        <v>28</v>
      </c>
      <c r="C29" s="135">
        <v>1</v>
      </c>
      <c r="D29" s="136">
        <v>2023</v>
      </c>
      <c r="E29" s="132">
        <f>submetering!E29+submetering!F29+submetering!G29</f>
        <v>12723</v>
      </c>
      <c r="F29" s="129">
        <v>1.07</v>
      </c>
      <c r="G29" s="129">
        <f>'Consommation mensuel énergie'!V37</f>
        <v>575.98577999999998</v>
      </c>
      <c r="H29" s="129">
        <v>12.46</v>
      </c>
      <c r="I29" s="129">
        <f>'Consommation mensuel énergie'!F37</f>
        <v>153</v>
      </c>
      <c r="J29" s="129">
        <v>11.4</v>
      </c>
      <c r="K29" s="132">
        <f>'Consommation mensuel énergie'!D37</f>
        <v>74</v>
      </c>
      <c r="L29" s="132">
        <f>'Consommation mensuel énergie'!E37</f>
        <v>122</v>
      </c>
      <c r="M29" s="128"/>
    </row>
    <row r="30" spans="1:13" x14ac:dyDescent="0.2">
      <c r="A30" s="131" t="s">
        <v>13</v>
      </c>
      <c r="B30" s="135">
        <f t="shared" si="1"/>
        <v>29</v>
      </c>
      <c r="C30" s="135">
        <v>1</v>
      </c>
      <c r="D30" s="136">
        <v>2023</v>
      </c>
      <c r="E30" s="132">
        <f>submetering!E30+submetering!F30+submetering!G30</f>
        <v>12262</v>
      </c>
      <c r="F30" s="129">
        <v>1.07</v>
      </c>
      <c r="G30" s="129">
        <f>'Consommation mensuel énergie'!V38</f>
        <v>543.98657000000003</v>
      </c>
      <c r="H30" s="129">
        <v>12.46</v>
      </c>
      <c r="I30" s="129">
        <f>'Consommation mensuel énergie'!F38</f>
        <v>106</v>
      </c>
      <c r="J30" s="129">
        <v>11.4</v>
      </c>
      <c r="K30" s="132">
        <f>'Consommation mensuel énergie'!D38</f>
        <v>75</v>
      </c>
      <c r="L30" s="132">
        <f>'Consommation mensuel énergie'!E38</f>
        <v>103</v>
      </c>
      <c r="M30" s="128" t="e">
        <f>E30*F30+G30*H30+#REF!*#REF!+I30*J30</f>
        <v>#REF!</v>
      </c>
    </row>
    <row r="31" spans="1:13" x14ac:dyDescent="0.2">
      <c r="A31" s="131" t="s">
        <v>13</v>
      </c>
      <c r="B31" s="135">
        <f t="shared" si="1"/>
        <v>30</v>
      </c>
      <c r="C31" s="135">
        <v>1</v>
      </c>
      <c r="D31" s="136">
        <v>2023</v>
      </c>
      <c r="E31" s="132">
        <f>submetering!E31+submetering!F31+submetering!G31</f>
        <v>11655</v>
      </c>
      <c r="F31" s="129">
        <v>1.07</v>
      </c>
      <c r="G31" s="129">
        <f>'Consommation mensuel énergie'!V39</f>
        <v>831.97946000000002</v>
      </c>
      <c r="H31" s="129">
        <v>12.46</v>
      </c>
      <c r="I31" s="129">
        <f>'Consommation mensuel énergie'!F39</f>
        <v>114</v>
      </c>
      <c r="J31" s="129">
        <v>11.4</v>
      </c>
      <c r="K31" s="132">
        <f>'Consommation mensuel énergie'!D39</f>
        <v>121</v>
      </c>
      <c r="L31" s="132">
        <f>'Consommation mensuel énergie'!E39</f>
        <v>141</v>
      </c>
      <c r="M31" s="128"/>
    </row>
    <row r="32" spans="1:13" x14ac:dyDescent="0.2">
      <c r="A32" s="131" t="s">
        <v>13</v>
      </c>
      <c r="B32" s="135">
        <f t="shared" si="1"/>
        <v>31</v>
      </c>
      <c r="C32" s="135">
        <v>1</v>
      </c>
      <c r="D32" s="136">
        <v>2023</v>
      </c>
      <c r="E32" s="132">
        <f>submetering!E32+submetering!F32+submetering!G32</f>
        <v>11690</v>
      </c>
      <c r="F32" s="129">
        <v>1.07</v>
      </c>
      <c r="G32" s="129">
        <f>'Consommation mensuel énergie'!V40</f>
        <v>575.98577999999998</v>
      </c>
      <c r="H32" s="129">
        <v>12.46</v>
      </c>
      <c r="I32" s="129">
        <f>'Consommation mensuel énergie'!F40</f>
        <v>94</v>
      </c>
      <c r="J32" s="129">
        <v>11.4</v>
      </c>
      <c r="K32" s="132">
        <f>'Consommation mensuel énergie'!D40</f>
        <v>156</v>
      </c>
      <c r="L32" s="132">
        <f>'Consommation mensuel énergie'!E40</f>
        <v>182</v>
      </c>
      <c r="M32" s="128"/>
    </row>
    <row r="33" spans="1:13" x14ac:dyDescent="0.2">
      <c r="A33" s="131"/>
      <c r="F33" s="129"/>
      <c r="G33" s="129"/>
      <c r="H33" s="129"/>
      <c r="I33" s="129"/>
      <c r="J33" s="129"/>
      <c r="M33" s="128"/>
    </row>
    <row r="34" spans="1:13" x14ac:dyDescent="0.2">
      <c r="A34" s="131"/>
      <c r="F34" s="129"/>
      <c r="G34" s="129"/>
      <c r="H34" s="129"/>
      <c r="I34" s="129"/>
      <c r="J34" s="129"/>
      <c r="M34" s="128"/>
    </row>
    <row r="35" spans="1:13" x14ac:dyDescent="0.2">
      <c r="F35" s="129"/>
      <c r="G35" s="129"/>
      <c r="H35" s="129"/>
      <c r="I35" s="129"/>
      <c r="J35" s="129"/>
    </row>
    <row r="36" spans="1:13" x14ac:dyDescent="0.2">
      <c r="F36" s="129"/>
      <c r="G36" s="129"/>
      <c r="H36" s="129"/>
      <c r="I36" s="129"/>
      <c r="J36" s="129"/>
    </row>
    <row r="37" spans="1:13" x14ac:dyDescent="0.2">
      <c r="F37" s="129"/>
      <c r="G37" s="129"/>
      <c r="H37" s="129"/>
      <c r="I37" s="129"/>
      <c r="J37" s="129"/>
    </row>
    <row r="38" spans="1:13" x14ac:dyDescent="0.2">
      <c r="F38" s="129"/>
      <c r="G38" s="129"/>
      <c r="H38" s="129"/>
      <c r="I38" s="129"/>
      <c r="J38" s="129"/>
    </row>
    <row r="39" spans="1:13" x14ac:dyDescent="0.2">
      <c r="F39" s="129"/>
      <c r="G39" s="129"/>
      <c r="H39" s="129"/>
      <c r="I39" s="129"/>
      <c r="J39" s="129"/>
    </row>
    <row r="40" spans="1:13" x14ac:dyDescent="0.2">
      <c r="F40" s="129"/>
      <c r="G40" s="129"/>
      <c r="H40" s="129"/>
      <c r="I40" s="129"/>
      <c r="J40" s="129"/>
    </row>
    <row r="41" spans="1:13" x14ac:dyDescent="0.2">
      <c r="F41" s="129"/>
      <c r="G41" s="129"/>
      <c r="H41" s="129"/>
      <c r="I41" s="129"/>
      <c r="J41" s="12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topLeftCell="A12" workbookViewId="0">
      <selection activeCell="L28" sqref="L27:L28"/>
    </sheetView>
  </sheetViews>
  <sheetFormatPr baseColWidth="10" defaultColWidth="8.85546875" defaultRowHeight="12.75" x14ac:dyDescent="0.2"/>
  <cols>
    <col min="1" max="1" width="12.42578125" style="44" customWidth="1"/>
    <col min="2" max="3" width="8.85546875" style="135" customWidth="1"/>
    <col min="4" max="4" width="13.42578125" style="136" customWidth="1"/>
    <col min="5" max="6" width="12.5703125" style="44" customWidth="1"/>
    <col min="7" max="7" width="8.85546875" style="44" customWidth="1"/>
    <col min="8" max="9" width="8.85546875" customWidth="1"/>
    <col min="10" max="10" width="0" hidden="1" customWidth="1"/>
  </cols>
  <sheetData>
    <row r="1" spans="1:10" s="95" customFormat="1" ht="45.75" thickBot="1" x14ac:dyDescent="0.3">
      <c r="A1" s="130" t="s">
        <v>0</v>
      </c>
      <c r="B1" s="133" t="s">
        <v>1</v>
      </c>
      <c r="C1" s="133" t="s">
        <v>2</v>
      </c>
      <c r="D1" s="134" t="s">
        <v>3</v>
      </c>
      <c r="E1" s="137" t="s">
        <v>14</v>
      </c>
      <c r="F1" s="137" t="s">
        <v>15</v>
      </c>
      <c r="G1" s="137" t="s">
        <v>16</v>
      </c>
      <c r="H1" s="126" t="s">
        <v>10</v>
      </c>
      <c r="I1" s="126" t="s">
        <v>11</v>
      </c>
      <c r="J1" s="127" t="s">
        <v>12</v>
      </c>
    </row>
    <row r="2" spans="1:10" x14ac:dyDescent="0.2">
      <c r="A2" s="131" t="s">
        <v>13</v>
      </c>
      <c r="B2" s="135">
        <v>1</v>
      </c>
      <c r="C2" s="135">
        <v>1</v>
      </c>
      <c r="D2" s="136">
        <v>2023</v>
      </c>
      <c r="E2" s="132">
        <f>'Consommation mensuel énergie'!L10</f>
        <v>4739</v>
      </c>
      <c r="F2" s="132">
        <f>'Consommation mensuel énergie'!M10</f>
        <v>8544</v>
      </c>
      <c r="G2" s="132">
        <f>'Consommation mensuel énergie'!N10</f>
        <v>3818</v>
      </c>
      <c r="H2" s="132">
        <f>'Consommation mensuel énergie'!D10</f>
        <v>137</v>
      </c>
      <c r="I2" s="132">
        <f>'Consommation mensuel énergie'!E10</f>
        <v>257</v>
      </c>
      <c r="J2" s="128" t="e">
        <f>E2*F2+G2*#REF!+#REF!*#REF!+#REF!*#REF!</f>
        <v>#REF!</v>
      </c>
    </row>
    <row r="3" spans="1:10" x14ac:dyDescent="0.2">
      <c r="A3" s="131" t="s">
        <v>13</v>
      </c>
      <c r="B3" s="135">
        <f>B2+1</f>
        <v>2</v>
      </c>
      <c r="C3" s="135">
        <v>1</v>
      </c>
      <c r="D3" s="136">
        <v>2023</v>
      </c>
      <c r="E3" s="132">
        <f>'Consommation mensuel énergie'!L11</f>
        <v>4247</v>
      </c>
      <c r="F3" s="132">
        <f>'Consommation mensuel énergie'!M11</f>
        <v>6243</v>
      </c>
      <c r="G3" s="132">
        <f>'Consommation mensuel énergie'!N11</f>
        <v>2852</v>
      </c>
      <c r="H3" s="132">
        <f>'Consommation mensuel énergie'!D11</f>
        <v>121</v>
      </c>
      <c r="I3" s="132">
        <f>'Consommation mensuel énergie'!E11</f>
        <v>223</v>
      </c>
      <c r="J3" s="128" t="e">
        <f>E3*F3+G3*#REF!+#REF!*#REF!+#REF!*#REF!</f>
        <v>#REF!</v>
      </c>
    </row>
    <row r="4" spans="1:10" x14ac:dyDescent="0.2">
      <c r="A4" s="131" t="s">
        <v>13</v>
      </c>
      <c r="B4" s="135">
        <f t="shared" ref="B4:B25" si="0">B3+1</f>
        <v>3</v>
      </c>
      <c r="C4" s="135">
        <v>1</v>
      </c>
      <c r="D4" s="136">
        <v>2023</v>
      </c>
      <c r="E4" s="132">
        <f>'Consommation mensuel énergie'!L12</f>
        <v>4630</v>
      </c>
      <c r="F4" s="132">
        <f>'Consommation mensuel énergie'!M12</f>
        <v>6449</v>
      </c>
      <c r="G4" s="132">
        <f>'Consommation mensuel énergie'!N12</f>
        <v>3269</v>
      </c>
      <c r="H4" s="132">
        <f>'Consommation mensuel énergie'!D12</f>
        <v>113</v>
      </c>
      <c r="I4" s="132">
        <f>'Consommation mensuel énergie'!E12</f>
        <v>193</v>
      </c>
      <c r="J4" s="128" t="e">
        <f>E4*F4+G4*#REF!+#REF!*#REF!+#REF!*#REF!</f>
        <v>#REF!</v>
      </c>
    </row>
    <row r="5" spans="1:10" x14ac:dyDescent="0.2">
      <c r="A5" s="131" t="s">
        <v>13</v>
      </c>
      <c r="B5" s="135">
        <f t="shared" si="0"/>
        <v>4</v>
      </c>
      <c r="C5" s="135">
        <v>1</v>
      </c>
      <c r="D5" s="136">
        <v>2023</v>
      </c>
      <c r="E5" s="132">
        <f>'Consommation mensuel énergie'!L13</f>
        <v>3876</v>
      </c>
      <c r="F5" s="132">
        <f>'Consommation mensuel énergie'!M13</f>
        <v>6438</v>
      </c>
      <c r="G5" s="132">
        <f>'Consommation mensuel énergie'!N13</f>
        <v>2987</v>
      </c>
      <c r="H5" s="132">
        <f>'Consommation mensuel énergie'!D13</f>
        <v>99</v>
      </c>
      <c r="I5" s="132">
        <f>'Consommation mensuel énergie'!E13</f>
        <v>175</v>
      </c>
      <c r="J5" s="128" t="e">
        <f>E5*F5+G5*#REF!+#REF!*#REF!+#REF!*#REF!</f>
        <v>#REF!</v>
      </c>
    </row>
    <row r="6" spans="1:10" x14ac:dyDescent="0.2">
      <c r="A6" s="131" t="s">
        <v>13</v>
      </c>
      <c r="B6" s="135">
        <f t="shared" si="0"/>
        <v>5</v>
      </c>
      <c r="C6" s="135">
        <v>1</v>
      </c>
      <c r="D6" s="136">
        <v>2023</v>
      </c>
      <c r="E6" s="132">
        <f>'Consommation mensuel énergie'!L14</f>
        <v>4399</v>
      </c>
      <c r="F6" s="132">
        <f>'Consommation mensuel énergie'!M14</f>
        <v>6321</v>
      </c>
      <c r="G6" s="132">
        <f>'Consommation mensuel énergie'!N14</f>
        <v>2925</v>
      </c>
      <c r="H6" s="132">
        <f>'Consommation mensuel énergie'!D14</f>
        <v>99</v>
      </c>
      <c r="I6" s="132">
        <f>'Consommation mensuel énergie'!E14</f>
        <v>180</v>
      </c>
      <c r="J6" s="128" t="e">
        <f>E6*F6+G6*#REF!+#REF!*#REF!+#REF!*#REF!</f>
        <v>#REF!</v>
      </c>
    </row>
    <row r="7" spans="1:10" x14ac:dyDescent="0.2">
      <c r="A7" s="131" t="s">
        <v>13</v>
      </c>
      <c r="B7" s="135">
        <f t="shared" si="0"/>
        <v>6</v>
      </c>
      <c r="C7" s="135">
        <v>1</v>
      </c>
      <c r="D7" s="136">
        <v>2023</v>
      </c>
      <c r="E7" s="132">
        <f>'Consommation mensuel énergie'!L15</f>
        <v>4942</v>
      </c>
      <c r="F7" s="132">
        <f>'Consommation mensuel énergie'!M15</f>
        <v>6153</v>
      </c>
      <c r="G7" s="132">
        <f>'Consommation mensuel énergie'!N15</f>
        <v>2919</v>
      </c>
      <c r="H7" s="132">
        <f>'Consommation mensuel énergie'!D15</f>
        <v>126</v>
      </c>
      <c r="I7" s="132">
        <f>'Consommation mensuel énergie'!E15</f>
        <v>226</v>
      </c>
      <c r="J7" s="128" t="e">
        <f>E7*F7+G7*#REF!+#REF!*#REF!+#REF!*#REF!</f>
        <v>#REF!</v>
      </c>
    </row>
    <row r="8" spans="1:10" x14ac:dyDescent="0.2">
      <c r="A8" s="131" t="s">
        <v>13</v>
      </c>
      <c r="B8" s="135">
        <f t="shared" si="0"/>
        <v>7</v>
      </c>
      <c r="C8" s="135">
        <v>1</v>
      </c>
      <c r="D8" s="136">
        <v>2023</v>
      </c>
      <c r="E8" s="132">
        <f>'Consommation mensuel énergie'!L16</f>
        <v>4033</v>
      </c>
      <c r="F8" s="132">
        <f>'Consommation mensuel énergie'!M16</f>
        <v>6163</v>
      </c>
      <c r="G8" s="132">
        <f>'Consommation mensuel énergie'!N16</f>
        <v>2760</v>
      </c>
      <c r="H8" s="132">
        <f>'Consommation mensuel énergie'!D16</f>
        <v>95</v>
      </c>
      <c r="I8" s="132">
        <f>'Consommation mensuel énergie'!E16</f>
        <v>157</v>
      </c>
      <c r="J8" s="128" t="e">
        <f>E8*F8+G8*#REF!+#REF!*#REF!+#REF!*#REF!</f>
        <v>#REF!</v>
      </c>
    </row>
    <row r="9" spans="1:10" x14ac:dyDescent="0.2">
      <c r="A9" s="131" t="s">
        <v>13</v>
      </c>
      <c r="B9" s="135">
        <f t="shared" si="0"/>
        <v>8</v>
      </c>
      <c r="C9" s="135">
        <v>1</v>
      </c>
      <c r="D9" s="136">
        <v>2023</v>
      </c>
      <c r="E9" s="132">
        <f>'Consommation mensuel énergie'!L17</f>
        <v>3937</v>
      </c>
      <c r="F9" s="132">
        <f>'Consommation mensuel énergie'!M17</f>
        <v>5971</v>
      </c>
      <c r="G9" s="132">
        <f>'Consommation mensuel énergie'!N17</f>
        <v>2943</v>
      </c>
      <c r="H9" s="132">
        <f>'Consommation mensuel énergie'!D17</f>
        <v>85</v>
      </c>
      <c r="I9" s="132">
        <f>'Consommation mensuel énergie'!E17</f>
        <v>139</v>
      </c>
      <c r="J9" s="128" t="e">
        <f>E9*F9+G9*#REF!+#REF!*#REF!+#REF!*#REF!</f>
        <v>#REF!</v>
      </c>
    </row>
    <row r="10" spans="1:10" x14ac:dyDescent="0.2">
      <c r="A10" s="131" t="s">
        <v>13</v>
      </c>
      <c r="B10" s="135">
        <f t="shared" si="0"/>
        <v>9</v>
      </c>
      <c r="C10" s="135">
        <v>1</v>
      </c>
      <c r="D10" s="136">
        <v>2023</v>
      </c>
      <c r="E10" s="132">
        <f>'Consommation mensuel énergie'!L18</f>
        <v>4846</v>
      </c>
      <c r="F10" s="132">
        <f>'Consommation mensuel énergie'!M18</f>
        <v>6010</v>
      </c>
      <c r="G10" s="132">
        <f>'Consommation mensuel énergie'!N18</f>
        <v>2836</v>
      </c>
      <c r="H10" s="132">
        <f>'Consommation mensuel énergie'!D18</f>
        <v>70</v>
      </c>
      <c r="I10" s="132">
        <f>'Consommation mensuel énergie'!E18</f>
        <v>115</v>
      </c>
      <c r="J10" s="128" t="e">
        <f>E10*F10+G10*#REF!+#REF!*#REF!+#REF!*#REF!</f>
        <v>#REF!</v>
      </c>
    </row>
    <row r="11" spans="1:10" x14ac:dyDescent="0.2">
      <c r="A11" s="131" t="s">
        <v>13</v>
      </c>
      <c r="B11" s="135">
        <f t="shared" si="0"/>
        <v>10</v>
      </c>
      <c r="C11" s="135">
        <v>1</v>
      </c>
      <c r="D11" s="136">
        <v>2023</v>
      </c>
      <c r="E11" s="132">
        <f>'Consommation mensuel énergie'!L19</f>
        <v>4039</v>
      </c>
      <c r="F11" s="132">
        <f>'Consommation mensuel énergie'!M19</f>
        <v>6059</v>
      </c>
      <c r="G11" s="132">
        <f>'Consommation mensuel énergie'!N19</f>
        <v>2923</v>
      </c>
      <c r="H11" s="132">
        <f>'Consommation mensuel énergie'!D19</f>
        <v>75</v>
      </c>
      <c r="I11" s="132">
        <f>'Consommation mensuel énergie'!E19</f>
        <v>125</v>
      </c>
      <c r="J11" s="128" t="e">
        <f>E11*F11+G11*#REF!+#REF!*#REF!+#REF!*#REF!</f>
        <v>#REF!</v>
      </c>
    </row>
    <row r="12" spans="1:10" x14ac:dyDescent="0.2">
      <c r="A12" s="131" t="s">
        <v>13</v>
      </c>
      <c r="B12" s="135">
        <f t="shared" si="0"/>
        <v>11</v>
      </c>
      <c r="C12" s="135">
        <v>1</v>
      </c>
      <c r="D12" s="136">
        <v>2023</v>
      </c>
      <c r="E12" s="132">
        <f>'Consommation mensuel énergie'!L20</f>
        <v>3978</v>
      </c>
      <c r="F12" s="132">
        <f>'Consommation mensuel énergie'!M20</f>
        <v>5843</v>
      </c>
      <c r="G12" s="132">
        <f>'Consommation mensuel énergie'!N20</f>
        <v>2756</v>
      </c>
      <c r="H12" s="132">
        <f>'Consommation mensuel énergie'!D20</f>
        <v>67</v>
      </c>
      <c r="I12" s="132">
        <f>'Consommation mensuel énergie'!E20</f>
        <v>115</v>
      </c>
      <c r="J12" s="128" t="e">
        <f>E12*F12+G12*#REF!+#REF!*#REF!+#REF!*#REF!</f>
        <v>#REF!</v>
      </c>
    </row>
    <row r="13" spans="1:10" x14ac:dyDescent="0.2">
      <c r="A13" s="131" t="s">
        <v>13</v>
      </c>
      <c r="B13" s="135">
        <f t="shared" si="0"/>
        <v>12</v>
      </c>
      <c r="C13" s="135">
        <v>1</v>
      </c>
      <c r="D13" s="136">
        <v>2023</v>
      </c>
      <c r="E13" s="132">
        <f>'Consommation mensuel énergie'!L21</f>
        <v>4249</v>
      </c>
      <c r="F13" s="132">
        <f>'Consommation mensuel énergie'!M21</f>
        <v>6040</v>
      </c>
      <c r="G13" s="132">
        <f>'Consommation mensuel énergie'!N21</f>
        <v>3060</v>
      </c>
      <c r="H13" s="132">
        <f>'Consommation mensuel énergie'!D21</f>
        <v>77</v>
      </c>
      <c r="I13" s="132">
        <f>'Consommation mensuel énergie'!E21</f>
        <v>110</v>
      </c>
      <c r="J13" s="128" t="e">
        <f>E13*F13+G13*#REF!+#REF!*#REF!+#REF!*#REF!</f>
        <v>#REF!</v>
      </c>
    </row>
    <row r="14" spans="1:10" x14ac:dyDescent="0.2">
      <c r="A14" s="131" t="s">
        <v>13</v>
      </c>
      <c r="B14" s="135">
        <f t="shared" si="0"/>
        <v>13</v>
      </c>
      <c r="C14" s="135">
        <v>1</v>
      </c>
      <c r="D14" s="136">
        <v>2023</v>
      </c>
      <c r="E14" s="132">
        <f>'Consommation mensuel énergie'!L22</f>
        <v>4294</v>
      </c>
      <c r="F14" s="132">
        <f>'Consommation mensuel énergie'!M22</f>
        <v>6314</v>
      </c>
      <c r="G14" s="132">
        <f>'Consommation mensuel énergie'!N22</f>
        <v>2846</v>
      </c>
      <c r="H14" s="132">
        <f>'Consommation mensuel énergie'!D22</f>
        <v>87</v>
      </c>
      <c r="I14" s="132">
        <f>'Consommation mensuel énergie'!E22</f>
        <v>114</v>
      </c>
      <c r="J14" s="128" t="e">
        <f>E14*F14+G14*#REF!+#REF!*#REF!+#REF!*#REF!</f>
        <v>#REF!</v>
      </c>
    </row>
    <row r="15" spans="1:10" x14ac:dyDescent="0.2">
      <c r="A15" s="131" t="s">
        <v>13</v>
      </c>
      <c r="B15" s="135">
        <f t="shared" si="0"/>
        <v>14</v>
      </c>
      <c r="C15" s="135">
        <v>1</v>
      </c>
      <c r="D15" s="136">
        <v>2023</v>
      </c>
      <c r="E15" s="132">
        <f>'Consommation mensuel énergie'!L23</f>
        <v>4443</v>
      </c>
      <c r="F15" s="132">
        <f>'Consommation mensuel énergie'!M23</f>
        <v>6248</v>
      </c>
      <c r="G15" s="132">
        <f>'Consommation mensuel énergie'!N23</f>
        <v>2970</v>
      </c>
      <c r="H15" s="132">
        <f>'Consommation mensuel énergie'!D23</f>
        <v>127</v>
      </c>
      <c r="I15" s="132">
        <f>'Consommation mensuel énergie'!E23</f>
        <v>182</v>
      </c>
      <c r="J15" s="128" t="e">
        <f>E15*F15+G15*#REF!+#REF!*#REF!+#REF!*#REF!</f>
        <v>#REF!</v>
      </c>
    </row>
    <row r="16" spans="1:10" x14ac:dyDescent="0.2">
      <c r="A16" s="131" t="s">
        <v>13</v>
      </c>
      <c r="B16" s="135">
        <f t="shared" si="0"/>
        <v>15</v>
      </c>
      <c r="C16" s="135">
        <v>1</v>
      </c>
      <c r="D16" s="136">
        <v>2023</v>
      </c>
      <c r="E16" s="132">
        <f>'Consommation mensuel énergie'!L24</f>
        <v>4001</v>
      </c>
      <c r="F16" s="132">
        <f>'Consommation mensuel énergie'!M24</f>
        <v>6092</v>
      </c>
      <c r="G16" s="132">
        <f>'Consommation mensuel énergie'!N24</f>
        <v>2831</v>
      </c>
      <c r="H16" s="132">
        <f>'Consommation mensuel énergie'!D24</f>
        <v>116</v>
      </c>
      <c r="I16" s="132">
        <f>'Consommation mensuel énergie'!E24</f>
        <v>157</v>
      </c>
      <c r="J16" s="128" t="e">
        <f>E16*F16+G16*#REF!+#REF!*#REF!+#REF!*#REF!</f>
        <v>#REF!</v>
      </c>
    </row>
    <row r="17" spans="1:10" x14ac:dyDescent="0.2">
      <c r="A17" s="131" t="s">
        <v>13</v>
      </c>
      <c r="B17" s="135">
        <f t="shared" si="0"/>
        <v>16</v>
      </c>
      <c r="C17" s="135">
        <v>1</v>
      </c>
      <c r="D17" s="136">
        <v>2023</v>
      </c>
      <c r="E17" s="132">
        <f>'Consommation mensuel énergie'!L25</f>
        <v>3929</v>
      </c>
      <c r="F17" s="132">
        <f>'Consommation mensuel énergie'!M25</f>
        <v>5893</v>
      </c>
      <c r="G17" s="132">
        <f>'Consommation mensuel énergie'!N25</f>
        <v>2729</v>
      </c>
      <c r="H17" s="132">
        <f>'Consommation mensuel énergie'!D25</f>
        <v>146</v>
      </c>
      <c r="I17" s="132">
        <f>'Consommation mensuel énergie'!E25</f>
        <v>201</v>
      </c>
      <c r="J17" s="128" t="e">
        <f>E17*F17+G17*#REF!+#REF!*#REF!+#REF!*#REF!</f>
        <v>#REF!</v>
      </c>
    </row>
    <row r="18" spans="1:10" x14ac:dyDescent="0.2">
      <c r="A18" s="131" t="s">
        <v>13</v>
      </c>
      <c r="B18" s="135">
        <f t="shared" si="0"/>
        <v>17</v>
      </c>
      <c r="C18" s="135">
        <v>1</v>
      </c>
      <c r="D18" s="136">
        <v>2023</v>
      </c>
      <c r="E18" s="132">
        <f>'Consommation mensuel énergie'!L26</f>
        <v>3952</v>
      </c>
      <c r="F18" s="132">
        <f>'Consommation mensuel énergie'!M26</f>
        <v>5890</v>
      </c>
      <c r="G18" s="132">
        <f>'Consommation mensuel énergie'!N26</f>
        <v>2949</v>
      </c>
      <c r="H18" s="132">
        <f>'Consommation mensuel énergie'!D26</f>
        <v>121</v>
      </c>
      <c r="I18" s="132">
        <f>'Consommation mensuel énergie'!E26</f>
        <v>164</v>
      </c>
      <c r="J18" s="128" t="e">
        <f>E18*F18+G18*#REF!+#REF!*#REF!+#REF!*#REF!</f>
        <v>#REF!</v>
      </c>
    </row>
    <row r="19" spans="1:10" x14ac:dyDescent="0.2">
      <c r="A19" s="131" t="s">
        <v>13</v>
      </c>
      <c r="B19" s="135">
        <f t="shared" si="0"/>
        <v>18</v>
      </c>
      <c r="C19" s="135">
        <v>1</v>
      </c>
      <c r="D19" s="136">
        <v>2023</v>
      </c>
      <c r="E19" s="132">
        <f>'Consommation mensuel énergie'!L27</f>
        <v>3687</v>
      </c>
      <c r="F19" s="132">
        <f>'Consommation mensuel énergie'!M27</f>
        <v>6121</v>
      </c>
      <c r="G19" s="132">
        <f>'Consommation mensuel énergie'!N27</f>
        <v>2793</v>
      </c>
      <c r="H19" s="132">
        <f>'Consommation mensuel énergie'!D27</f>
        <v>113</v>
      </c>
      <c r="I19" s="132">
        <f>'Consommation mensuel énergie'!E27</f>
        <v>148</v>
      </c>
      <c r="J19" s="128" t="e">
        <f>E19*F19+G19*#REF!+#REF!*#REF!+#REF!*#REF!</f>
        <v>#REF!</v>
      </c>
    </row>
    <row r="20" spans="1:10" x14ac:dyDescent="0.2">
      <c r="A20" s="131" t="s">
        <v>13</v>
      </c>
      <c r="B20" s="135">
        <f t="shared" si="0"/>
        <v>19</v>
      </c>
      <c r="C20" s="135">
        <v>1</v>
      </c>
      <c r="D20" s="136">
        <v>2023</v>
      </c>
      <c r="E20" s="132">
        <f>'Consommation mensuel énergie'!L28</f>
        <v>4176</v>
      </c>
      <c r="F20" s="132">
        <f>'Consommation mensuel énergie'!M28</f>
        <v>6032</v>
      </c>
      <c r="G20" s="132">
        <f>'Consommation mensuel énergie'!N28</f>
        <v>2698</v>
      </c>
      <c r="H20" s="132">
        <f>'Consommation mensuel énergie'!D28</f>
        <v>78</v>
      </c>
      <c r="I20" s="132">
        <f>'Consommation mensuel énergie'!E28</f>
        <v>105</v>
      </c>
      <c r="J20" s="128" t="e">
        <f>E20*F20+G20*#REF!+#REF!*#REF!+#REF!*#REF!</f>
        <v>#REF!</v>
      </c>
    </row>
    <row r="21" spans="1:10" x14ac:dyDescent="0.2">
      <c r="A21" s="131" t="s">
        <v>13</v>
      </c>
      <c r="B21" s="135">
        <f t="shared" si="0"/>
        <v>20</v>
      </c>
      <c r="C21" s="135">
        <v>1</v>
      </c>
      <c r="D21" s="136">
        <v>2023</v>
      </c>
      <c r="E21" s="132">
        <f>'Consommation mensuel énergie'!L29</f>
        <v>4325</v>
      </c>
      <c r="F21" s="132">
        <f>'Consommation mensuel énergie'!M29</f>
        <v>5724</v>
      </c>
      <c r="G21" s="132">
        <f>'Consommation mensuel énergie'!N29</f>
        <v>2686</v>
      </c>
      <c r="H21" s="132">
        <f>'Consommation mensuel énergie'!D29</f>
        <v>69</v>
      </c>
      <c r="I21" s="132">
        <f>'Consommation mensuel énergie'!E29</f>
        <v>108</v>
      </c>
      <c r="J21" s="128" t="e">
        <f>E21*F21+G21*#REF!+#REF!*#REF!+#REF!*#REF!</f>
        <v>#REF!</v>
      </c>
    </row>
    <row r="22" spans="1:10" x14ac:dyDescent="0.2">
      <c r="A22" s="131" t="s">
        <v>13</v>
      </c>
      <c r="B22" s="135">
        <f t="shared" si="0"/>
        <v>21</v>
      </c>
      <c r="C22" s="135">
        <v>1</v>
      </c>
      <c r="D22" s="136">
        <v>2023</v>
      </c>
      <c r="E22" s="132">
        <f>'Consommation mensuel énergie'!L30</f>
        <v>3810</v>
      </c>
      <c r="F22" s="132">
        <f>'Consommation mensuel énergie'!M30</f>
        <v>5891</v>
      </c>
      <c r="G22" s="132">
        <f>'Consommation mensuel énergie'!N30</f>
        <v>2801</v>
      </c>
      <c r="H22" s="132">
        <f>'Consommation mensuel énergie'!D30</f>
        <v>82</v>
      </c>
      <c r="I22" s="132">
        <f>'Consommation mensuel énergie'!E30</f>
        <v>138</v>
      </c>
      <c r="J22" s="128" t="e">
        <f>E22*F22+G22*#REF!+#REF!*#REF!+#REF!*#REF!</f>
        <v>#REF!</v>
      </c>
    </row>
    <row r="23" spans="1:10" x14ac:dyDescent="0.2">
      <c r="A23" s="131" t="s">
        <v>13</v>
      </c>
      <c r="B23" s="135">
        <f t="shared" si="0"/>
        <v>22</v>
      </c>
      <c r="C23" s="135">
        <v>1</v>
      </c>
      <c r="D23" s="136">
        <v>2023</v>
      </c>
      <c r="E23" s="132">
        <f>'Consommation mensuel énergie'!L31</f>
        <v>3925</v>
      </c>
      <c r="F23" s="132">
        <f>'Consommation mensuel énergie'!M31</f>
        <v>5865</v>
      </c>
      <c r="G23" s="132">
        <f>'Consommation mensuel énergie'!N31</f>
        <v>2659</v>
      </c>
      <c r="H23" s="132">
        <f>'Consommation mensuel énergie'!D31</f>
        <v>79</v>
      </c>
      <c r="I23" s="132">
        <f>'Consommation mensuel énergie'!E31</f>
        <v>121</v>
      </c>
      <c r="J23" s="128" t="e">
        <f>E23*F23+G23*#REF!+#REF!*#REF!+#REF!*#REF!</f>
        <v>#REF!</v>
      </c>
    </row>
    <row r="24" spans="1:10" x14ac:dyDescent="0.2">
      <c r="A24" s="131" t="s">
        <v>13</v>
      </c>
      <c r="B24" s="135">
        <f t="shared" si="0"/>
        <v>23</v>
      </c>
      <c r="C24" s="135">
        <v>1</v>
      </c>
      <c r="D24" s="136">
        <v>2023</v>
      </c>
      <c r="E24" s="132">
        <f>'Consommation mensuel énergie'!L32</f>
        <v>4049</v>
      </c>
      <c r="F24" s="132">
        <f>'Consommation mensuel énergie'!M32</f>
        <v>5735</v>
      </c>
      <c r="G24" s="132">
        <f>'Consommation mensuel énergie'!N32</f>
        <v>2598</v>
      </c>
      <c r="H24" s="132">
        <f>'Consommation mensuel énergie'!D32</f>
        <v>111</v>
      </c>
      <c r="I24" s="132">
        <f>'Consommation mensuel énergie'!E32</f>
        <v>146</v>
      </c>
      <c r="J24" s="128" t="e">
        <f>E24*F24+G24*#REF!+#REF!*#REF!+#REF!*#REF!</f>
        <v>#REF!</v>
      </c>
    </row>
    <row r="25" spans="1:10" x14ac:dyDescent="0.2">
      <c r="A25" s="131" t="s">
        <v>13</v>
      </c>
      <c r="B25" s="135">
        <f t="shared" si="0"/>
        <v>24</v>
      </c>
      <c r="C25" s="135">
        <v>1</v>
      </c>
      <c r="D25" s="136">
        <v>2023</v>
      </c>
      <c r="E25" s="132">
        <f>'Consommation mensuel énergie'!L33</f>
        <v>3527</v>
      </c>
      <c r="F25" s="132">
        <f>'Consommation mensuel énergie'!M33</f>
        <v>5734</v>
      </c>
      <c r="G25" s="132">
        <f>'Consommation mensuel énergie'!N33</f>
        <v>1974</v>
      </c>
      <c r="H25" s="132">
        <f>'Consommation mensuel énergie'!D33</f>
        <v>132</v>
      </c>
      <c r="I25" s="132">
        <f>'Consommation mensuel énergie'!E33</f>
        <v>176</v>
      </c>
      <c r="J25" s="128" t="e">
        <f>E25*F25+G25*#REF!+#REF!*#REF!+#REF!*#REF!</f>
        <v>#REF!</v>
      </c>
    </row>
    <row r="26" spans="1:10" x14ac:dyDescent="0.2">
      <c r="A26" s="131" t="s">
        <v>13</v>
      </c>
      <c r="B26" s="135">
        <f>B25+1</f>
        <v>25</v>
      </c>
      <c r="C26" s="135">
        <v>1</v>
      </c>
      <c r="D26" s="136">
        <v>2023</v>
      </c>
      <c r="E26" s="132">
        <f>'Consommation mensuel énergie'!L34</f>
        <v>3818</v>
      </c>
      <c r="F26" s="132">
        <f>'Consommation mensuel énergie'!M34</f>
        <v>5754</v>
      </c>
      <c r="G26" s="132">
        <f>'Consommation mensuel énergie'!N34</f>
        <v>3341</v>
      </c>
      <c r="H26" s="132">
        <f>'Consommation mensuel énergie'!D34</f>
        <v>125</v>
      </c>
      <c r="I26" s="132">
        <f>'Consommation mensuel énergie'!E34</f>
        <v>157</v>
      </c>
      <c r="J26" s="128" t="e">
        <f>E26*F26+G26*#REF!+#REF!*#REF!+#REF!*#REF!</f>
        <v>#REF!</v>
      </c>
    </row>
    <row r="27" spans="1:10" x14ac:dyDescent="0.2">
      <c r="A27" s="131" t="s">
        <v>13</v>
      </c>
      <c r="B27" s="135">
        <f t="shared" ref="B27:B32" si="1">B26+1</f>
        <v>26</v>
      </c>
      <c r="C27" s="135">
        <v>1</v>
      </c>
      <c r="D27" s="136">
        <v>2023</v>
      </c>
      <c r="E27" s="132">
        <f>'Consommation mensuel énergie'!L35</f>
        <v>4011</v>
      </c>
      <c r="F27" s="132">
        <f>'Consommation mensuel énergie'!M35</f>
        <v>5777</v>
      </c>
      <c r="G27" s="132">
        <f>'Consommation mensuel énergie'!N35</f>
        <v>2689</v>
      </c>
      <c r="H27" s="132">
        <f>'Consommation mensuel énergie'!D35</f>
        <v>133</v>
      </c>
      <c r="I27" s="132">
        <f>'Consommation mensuel énergie'!E35</f>
        <v>178</v>
      </c>
      <c r="J27" s="128"/>
    </row>
    <row r="28" spans="1:10" x14ac:dyDescent="0.2">
      <c r="A28" s="131" t="s">
        <v>13</v>
      </c>
      <c r="B28" s="135">
        <f t="shared" si="1"/>
        <v>27</v>
      </c>
      <c r="C28" s="135">
        <v>1</v>
      </c>
      <c r="D28" s="136">
        <v>2023</v>
      </c>
      <c r="E28" s="132">
        <f>'Consommation mensuel énergie'!L36</f>
        <v>4206</v>
      </c>
      <c r="F28" s="132">
        <f>'Consommation mensuel énergie'!M36</f>
        <v>5726</v>
      </c>
      <c r="G28" s="132">
        <f>'Consommation mensuel énergie'!N36</f>
        <v>2888</v>
      </c>
      <c r="H28" s="132">
        <f>'Consommation mensuel énergie'!D36</f>
        <v>103</v>
      </c>
      <c r="I28" s="132">
        <f>'Consommation mensuel énergie'!E36</f>
        <v>150</v>
      </c>
      <c r="J28" s="128"/>
    </row>
    <row r="29" spans="1:10" x14ac:dyDescent="0.2">
      <c r="A29" s="131" t="s">
        <v>13</v>
      </c>
      <c r="B29" s="135">
        <f t="shared" si="1"/>
        <v>28</v>
      </c>
      <c r="C29" s="135">
        <v>1</v>
      </c>
      <c r="D29" s="136">
        <v>2023</v>
      </c>
      <c r="E29" s="132">
        <f>'Consommation mensuel énergie'!L37</f>
        <v>3881</v>
      </c>
      <c r="F29" s="132">
        <f>'Consommation mensuel énergie'!M37</f>
        <v>5705</v>
      </c>
      <c r="G29" s="132">
        <f>'Consommation mensuel énergie'!N37</f>
        <v>3137</v>
      </c>
      <c r="H29" s="132">
        <f>'Consommation mensuel énergie'!D37</f>
        <v>74</v>
      </c>
      <c r="I29" s="132">
        <f>'Consommation mensuel énergie'!E37</f>
        <v>122</v>
      </c>
      <c r="J29" s="128"/>
    </row>
    <row r="30" spans="1:10" x14ac:dyDescent="0.2">
      <c r="A30" s="131" t="s">
        <v>13</v>
      </c>
      <c r="B30" s="135">
        <f t="shared" si="1"/>
        <v>29</v>
      </c>
      <c r="C30" s="135">
        <v>1</v>
      </c>
      <c r="D30" s="136">
        <v>2023</v>
      </c>
      <c r="E30" s="132">
        <f>'Consommation mensuel énergie'!L38</f>
        <v>3958</v>
      </c>
      <c r="F30" s="132">
        <f>'Consommation mensuel énergie'!M38</f>
        <v>5746</v>
      </c>
      <c r="G30" s="132">
        <f>'Consommation mensuel énergie'!N38</f>
        <v>2558</v>
      </c>
      <c r="H30" s="132">
        <f>'Consommation mensuel énergie'!D38</f>
        <v>75</v>
      </c>
      <c r="I30" s="132">
        <f>'Consommation mensuel énergie'!E38</f>
        <v>103</v>
      </c>
      <c r="J30" s="128" t="e">
        <f>E30*F30+G30*#REF!+#REF!*#REF!+#REF!*#REF!</f>
        <v>#REF!</v>
      </c>
    </row>
    <row r="31" spans="1:10" x14ac:dyDescent="0.2">
      <c r="A31" s="131" t="s">
        <v>13</v>
      </c>
      <c r="B31" s="135">
        <f t="shared" si="1"/>
        <v>30</v>
      </c>
      <c r="C31" s="135">
        <v>1</v>
      </c>
      <c r="D31" s="136">
        <v>2023</v>
      </c>
      <c r="E31" s="132">
        <f>'Consommation mensuel énergie'!L39</f>
        <v>3751</v>
      </c>
      <c r="F31" s="132">
        <f>'Consommation mensuel énergie'!M39</f>
        <v>5334</v>
      </c>
      <c r="G31" s="132">
        <f>'Consommation mensuel énergie'!N39</f>
        <v>2570</v>
      </c>
      <c r="H31" s="132">
        <f>'Consommation mensuel énergie'!D39</f>
        <v>121</v>
      </c>
      <c r="I31" s="132">
        <f>'Consommation mensuel énergie'!E39</f>
        <v>141</v>
      </c>
      <c r="J31" s="128"/>
    </row>
    <row r="32" spans="1:10" x14ac:dyDescent="0.2">
      <c r="A32" s="131" t="s">
        <v>13</v>
      </c>
      <c r="B32" s="135">
        <f t="shared" si="1"/>
        <v>31</v>
      </c>
      <c r="C32" s="135">
        <v>1</v>
      </c>
      <c r="D32" s="136">
        <v>2023</v>
      </c>
      <c r="E32" s="132">
        <f>'Consommation mensuel énergie'!L40</f>
        <v>3540</v>
      </c>
      <c r="F32" s="132">
        <f>'Consommation mensuel énergie'!M40</f>
        <v>5527</v>
      </c>
      <c r="G32" s="132">
        <f>'Consommation mensuel énergie'!N40</f>
        <v>2623</v>
      </c>
      <c r="H32" s="132">
        <f>'Consommation mensuel énergie'!D40</f>
        <v>156</v>
      </c>
      <c r="I32" s="132">
        <f>'Consommation mensuel énergie'!E40</f>
        <v>182</v>
      </c>
      <c r="J32" s="128"/>
    </row>
    <row r="33" spans="5:9" x14ac:dyDescent="0.2">
      <c r="E33" s="129"/>
      <c r="F33" s="129"/>
      <c r="G33" s="129"/>
      <c r="H33" s="128"/>
      <c r="I33" s="128"/>
    </row>
    <row r="34" spans="5:9" x14ac:dyDescent="0.2">
      <c r="E34" s="129"/>
      <c r="F34" s="129"/>
      <c r="G34" s="129"/>
      <c r="H34" s="128"/>
      <c r="I34" s="128"/>
    </row>
    <row r="35" spans="5:9" x14ac:dyDescent="0.2">
      <c r="E35" s="129"/>
      <c r="F35" s="129"/>
      <c r="G35" s="129"/>
      <c r="H35" s="128"/>
      <c r="I35" s="128"/>
    </row>
    <row r="36" spans="5:9" x14ac:dyDescent="0.2">
      <c r="E36" s="129"/>
      <c r="F36" s="129"/>
      <c r="G36" s="129"/>
      <c r="H36" s="128"/>
      <c r="I36" s="128"/>
    </row>
    <row r="37" spans="5:9" x14ac:dyDescent="0.2">
      <c r="E37" s="129"/>
      <c r="F37" s="129"/>
      <c r="G37" s="129"/>
      <c r="H37" s="128"/>
      <c r="I37" s="128"/>
    </row>
    <row r="38" spans="5:9" x14ac:dyDescent="0.2">
      <c r="E38" s="129"/>
      <c r="F38" s="129"/>
      <c r="G38" s="129"/>
      <c r="H38" s="128"/>
      <c r="I38" s="128"/>
    </row>
    <row r="39" spans="5:9" x14ac:dyDescent="0.2">
      <c r="E39" s="129"/>
      <c r="F39" s="129"/>
      <c r="G39" s="129"/>
      <c r="H39" s="128"/>
      <c r="I39" s="12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60"/>
  <sheetViews>
    <sheetView showGridLines="0" zoomScale="55" zoomScaleNormal="55" workbookViewId="0">
      <pane xSplit="3" ySplit="9" topLeftCell="D34" activePane="bottomRight" state="frozen"/>
      <selection pane="topRight" activeCell="B21" sqref="A21:IV21"/>
      <selection pane="bottomLeft" activeCell="B21" sqref="A21:IV21"/>
      <selection pane="bottomRight" activeCell="AE44" sqref="AE44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6.855468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01"/>
      <c r="B2" s="202"/>
      <c r="C2" s="202"/>
      <c r="D2" s="202"/>
      <c r="E2" s="202"/>
      <c r="F2" s="202"/>
      <c r="G2" s="202"/>
      <c r="H2" s="203"/>
      <c r="I2" s="212" t="s">
        <v>17</v>
      </c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</row>
    <row r="3" spans="1:24" ht="15" hidden="1" customHeight="1" thickBot="1" x14ac:dyDescent="0.25"/>
    <row r="4" spans="1:24" ht="39" hidden="1" customHeight="1" thickBot="1" x14ac:dyDescent="0.25">
      <c r="A4" s="204"/>
      <c r="B4" s="204"/>
      <c r="C4" s="20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04"/>
      <c r="B5" s="204"/>
      <c r="C5" s="204"/>
      <c r="D5" s="5"/>
      <c r="E5" s="5"/>
      <c r="F5" s="5"/>
      <c r="G5" s="5"/>
      <c r="H5" s="5"/>
      <c r="I5" s="5"/>
      <c r="J5" s="5"/>
      <c r="K5" s="5"/>
      <c r="L5" s="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</row>
    <row r="6" spans="1:24" s="5" customFormat="1" ht="44.25" hidden="1" customHeight="1" thickBot="1" x14ac:dyDescent="0.25">
      <c r="A6" s="3"/>
      <c r="B6" s="3"/>
      <c r="C6" s="3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</row>
    <row r="7" spans="1:24" s="5" customFormat="1" ht="18.75" hidden="1" customHeight="1" thickBot="1" x14ac:dyDescent="0.25">
      <c r="F7" s="205"/>
      <c r="G7" s="205"/>
      <c r="H7" s="205"/>
      <c r="I7" s="205"/>
      <c r="J7" s="205"/>
      <c r="K7" s="205"/>
      <c r="L7" s="205"/>
      <c r="M7" s="205"/>
      <c r="N7" s="214"/>
      <c r="O7" s="214"/>
      <c r="P7" s="205"/>
      <c r="Q7" s="205"/>
      <c r="R7" s="205"/>
      <c r="S7" s="205"/>
      <c r="T7" s="205"/>
      <c r="U7" s="205"/>
      <c r="V7" s="205"/>
      <c r="W7" s="205"/>
      <c r="X7" s="205"/>
    </row>
    <row r="8" spans="1:24" ht="18.75" customHeight="1" thickBot="1" x14ac:dyDescent="0.25">
      <c r="A8" s="205"/>
      <c r="B8" s="216" t="s">
        <v>19</v>
      </c>
      <c r="C8" s="4"/>
      <c r="D8" s="217" t="s">
        <v>20</v>
      </c>
      <c r="E8" s="217" t="s">
        <v>21</v>
      </c>
      <c r="F8" s="199" t="s">
        <v>22</v>
      </c>
      <c r="G8" s="2"/>
      <c r="H8" s="206" t="s">
        <v>23</v>
      </c>
      <c r="I8" s="207"/>
      <c r="J8" s="208"/>
      <c r="K8" s="194" t="s">
        <v>24</v>
      </c>
      <c r="L8" s="198" t="s">
        <v>25</v>
      </c>
      <c r="M8" s="198"/>
      <c r="N8" s="198"/>
      <c r="O8" s="198" t="s">
        <v>26</v>
      </c>
      <c r="P8" s="2"/>
      <c r="Q8" s="196" t="s">
        <v>23</v>
      </c>
      <c r="R8" s="2"/>
      <c r="S8" s="196" t="s">
        <v>27</v>
      </c>
      <c r="T8" s="2"/>
      <c r="U8" s="196" t="s">
        <v>28</v>
      </c>
      <c r="V8" s="219" t="s">
        <v>29</v>
      </c>
      <c r="W8" s="2"/>
      <c r="X8" s="196" t="s">
        <v>23</v>
      </c>
    </row>
    <row r="9" spans="1:24" ht="59.25" customHeight="1" thickBot="1" x14ac:dyDescent="0.25">
      <c r="A9" s="205"/>
      <c r="B9" s="216"/>
      <c r="C9" s="4"/>
      <c r="D9" s="218"/>
      <c r="E9" s="218"/>
      <c r="F9" s="200"/>
      <c r="G9" s="2"/>
      <c r="H9" s="209"/>
      <c r="I9" s="210"/>
      <c r="J9" s="211"/>
      <c r="K9" s="195"/>
      <c r="L9" s="147" t="s">
        <v>30</v>
      </c>
      <c r="M9" s="147" t="s">
        <v>31</v>
      </c>
      <c r="N9" s="147" t="s">
        <v>32</v>
      </c>
      <c r="O9" s="215"/>
      <c r="P9" s="2"/>
      <c r="Q9" s="197"/>
      <c r="R9" s="2"/>
      <c r="S9" s="197"/>
      <c r="T9" s="2"/>
      <c r="U9" s="197"/>
      <c r="V9" s="220"/>
      <c r="W9" s="2"/>
      <c r="X9" s="197"/>
    </row>
    <row r="10" spans="1:24" ht="32.25" customHeight="1" thickBot="1" x14ac:dyDescent="0.25">
      <c r="A10" s="2"/>
      <c r="B10" s="6">
        <v>44562</v>
      </c>
      <c r="C10" s="7"/>
      <c r="D10" s="138">
        <v>137</v>
      </c>
      <c r="E10" s="138">
        <v>257</v>
      </c>
      <c r="F10" s="13">
        <f>'Suivi EAU-ELEC'!E9</f>
        <v>167</v>
      </c>
      <c r="G10" s="11"/>
      <c r="H10" s="190">
        <f>F10*11.4</f>
        <v>1903.8</v>
      </c>
      <c r="I10" s="191"/>
      <c r="J10" s="191"/>
      <c r="K10" s="55">
        <v>42278</v>
      </c>
      <c r="L10" s="85">
        <f>'Suivi EAU-ELEC'!G9</f>
        <v>4739</v>
      </c>
      <c r="M10" s="86">
        <f>'Suivi EAU-ELEC'!I9</f>
        <v>8544</v>
      </c>
      <c r="N10" s="86">
        <f>'Suivi EAU-ELEC'!K9</f>
        <v>3818</v>
      </c>
      <c r="O10" s="86">
        <f>L10+M10+N10</f>
        <v>17101</v>
      </c>
      <c r="P10" s="11"/>
      <c r="Q10" s="31">
        <f>L10*0.6985+M10*0.9514+N10*1.3304</f>
        <v>16518.420299999998</v>
      </c>
      <c r="R10" s="11"/>
      <c r="S10" s="28"/>
      <c r="T10" s="11"/>
      <c r="U10" s="28"/>
      <c r="V10" s="141">
        <f>'Suvi Gaz'!O4</f>
        <v>415.98973000000001</v>
      </c>
      <c r="W10" s="11"/>
      <c r="X10" s="31">
        <f>V10*12.46</f>
        <v>5183.2320358000006</v>
      </c>
    </row>
    <row r="11" spans="1:24" ht="32.25" customHeight="1" thickBot="1" x14ac:dyDescent="0.25">
      <c r="A11" s="2"/>
      <c r="B11" s="6">
        <v>44563</v>
      </c>
      <c r="C11" s="7"/>
      <c r="D11" s="138">
        <v>121</v>
      </c>
      <c r="E11" s="138">
        <v>223</v>
      </c>
      <c r="F11" s="13">
        <f>'Suivi EAU-ELEC'!E10</f>
        <v>159</v>
      </c>
      <c r="G11" s="11"/>
      <c r="H11" s="190">
        <f t="shared" ref="H11:H40" si="0">F11*11.4</f>
        <v>1812.6000000000001</v>
      </c>
      <c r="I11" s="191"/>
      <c r="J11" s="191"/>
      <c r="K11" s="55">
        <v>42279</v>
      </c>
      <c r="L11" s="85">
        <f>'Suivi EAU-ELEC'!G10</f>
        <v>4247</v>
      </c>
      <c r="M11" s="86">
        <f>'Suivi EAU-ELEC'!I10</f>
        <v>6243</v>
      </c>
      <c r="N11" s="86">
        <f>'Suivi EAU-ELEC'!K10</f>
        <v>2852</v>
      </c>
      <c r="O11" s="86">
        <f>L11+M11+N11</f>
        <v>13342</v>
      </c>
      <c r="P11" s="11"/>
      <c r="Q11" s="31">
        <f t="shared" ref="Q11:Q40" si="1">L11*0.6985+M11*0.9514+N11*1.3304</f>
        <v>12700.4205</v>
      </c>
      <c r="R11" s="11"/>
      <c r="S11" s="28"/>
      <c r="T11" s="11"/>
      <c r="U11" s="28"/>
      <c r="V11" s="141">
        <f>'Suvi Gaz'!O5</f>
        <v>639.98419999999999</v>
      </c>
      <c r="W11" s="11"/>
      <c r="X11" s="31">
        <f t="shared" ref="X11:X40" si="2">V11*12.46</f>
        <v>7974.2031320000006</v>
      </c>
    </row>
    <row r="12" spans="1:24" ht="32.25" customHeight="1" thickBot="1" x14ac:dyDescent="0.25">
      <c r="A12" s="2"/>
      <c r="B12" s="6">
        <v>44564</v>
      </c>
      <c r="C12" s="7"/>
      <c r="D12" s="138">
        <v>113</v>
      </c>
      <c r="E12" s="138">
        <v>193</v>
      </c>
      <c r="F12" s="13">
        <f>'Suivi EAU-ELEC'!E11</f>
        <v>157</v>
      </c>
      <c r="G12" s="11"/>
      <c r="H12" s="190">
        <f t="shared" si="0"/>
        <v>1789.8</v>
      </c>
      <c r="I12" s="191"/>
      <c r="J12" s="191"/>
      <c r="K12" s="55">
        <v>42280</v>
      </c>
      <c r="L12" s="85">
        <f>'Suivi EAU-ELEC'!G11</f>
        <v>4630</v>
      </c>
      <c r="M12" s="86">
        <f>'Suivi EAU-ELEC'!I11</f>
        <v>6449</v>
      </c>
      <c r="N12" s="86">
        <f>'Suivi EAU-ELEC'!K11</f>
        <v>3269</v>
      </c>
      <c r="O12" s="86">
        <f>L12+M12+N12</f>
        <v>14348</v>
      </c>
      <c r="P12" s="11"/>
      <c r="Q12" s="31">
        <f t="shared" si="1"/>
        <v>13718.7112</v>
      </c>
      <c r="R12" s="11"/>
      <c r="S12" s="28"/>
      <c r="T12" s="11"/>
      <c r="U12" s="28"/>
      <c r="V12" s="141">
        <f>'Suvi Gaz'!O6</f>
        <v>639.98419999999999</v>
      </c>
      <c r="W12" s="11"/>
      <c r="X12" s="31">
        <f t="shared" si="2"/>
        <v>7974.2031320000006</v>
      </c>
    </row>
    <row r="13" spans="1:24" ht="32.25" customHeight="1" thickBot="1" x14ac:dyDescent="0.25">
      <c r="A13" s="2"/>
      <c r="B13" s="6">
        <v>44565</v>
      </c>
      <c r="C13" s="7"/>
      <c r="D13" s="138">
        <v>99</v>
      </c>
      <c r="E13" s="138">
        <v>175</v>
      </c>
      <c r="F13" s="13">
        <f>'Suivi EAU-ELEC'!E12</f>
        <v>141</v>
      </c>
      <c r="G13" s="11"/>
      <c r="H13" s="190">
        <f t="shared" si="0"/>
        <v>1607.4</v>
      </c>
      <c r="I13" s="191"/>
      <c r="J13" s="191"/>
      <c r="K13" s="55">
        <v>42281</v>
      </c>
      <c r="L13" s="85">
        <f>'Suivi EAU-ELEC'!G12</f>
        <v>3876</v>
      </c>
      <c r="M13" s="86">
        <f>'Suivi EAU-ELEC'!I12</f>
        <v>6438</v>
      </c>
      <c r="N13" s="86">
        <f>'Suivi EAU-ELEC'!K12</f>
        <v>2987</v>
      </c>
      <c r="O13" s="86">
        <f t="shared" ref="O13:O40" si="3">L13+M13+N13</f>
        <v>13301</v>
      </c>
      <c r="P13" s="11"/>
      <c r="Q13" s="31">
        <f t="shared" si="1"/>
        <v>12806.404</v>
      </c>
      <c r="R13" s="11"/>
      <c r="S13" s="28"/>
      <c r="T13" s="11"/>
      <c r="U13" s="28"/>
      <c r="V13" s="141">
        <f>'Suvi Gaz'!O7</f>
        <v>575.98577999999998</v>
      </c>
      <c r="W13" s="11"/>
      <c r="X13" s="31">
        <f t="shared" si="2"/>
        <v>7176.7828188000003</v>
      </c>
    </row>
    <row r="14" spans="1:24" ht="32.25" customHeight="1" thickBot="1" x14ac:dyDescent="0.25">
      <c r="A14" s="2"/>
      <c r="B14" s="6">
        <v>44566</v>
      </c>
      <c r="C14" s="7"/>
      <c r="D14" s="138">
        <v>99</v>
      </c>
      <c r="E14" s="138">
        <v>180</v>
      </c>
      <c r="F14" s="13">
        <f>'Suivi EAU-ELEC'!E13</f>
        <v>151</v>
      </c>
      <c r="G14" s="12"/>
      <c r="H14" s="190">
        <f t="shared" si="0"/>
        <v>1721.4</v>
      </c>
      <c r="I14" s="191"/>
      <c r="J14" s="191"/>
      <c r="K14" s="55">
        <v>42282</v>
      </c>
      <c r="L14" s="85">
        <f>'Suivi EAU-ELEC'!G13</f>
        <v>4399</v>
      </c>
      <c r="M14" s="86">
        <f>'Suivi EAU-ELEC'!I13</f>
        <v>6321</v>
      </c>
      <c r="N14" s="86">
        <f>'Suivi EAU-ELEC'!K13</f>
        <v>2925</v>
      </c>
      <c r="O14" s="86">
        <f t="shared" si="3"/>
        <v>13645</v>
      </c>
      <c r="P14" s="12"/>
      <c r="Q14" s="31">
        <f t="shared" si="1"/>
        <v>12977.920899999999</v>
      </c>
      <c r="R14" s="12"/>
      <c r="S14" s="28"/>
      <c r="T14" s="12"/>
      <c r="U14" s="28"/>
      <c r="V14" s="141">
        <f>'Suvi Gaz'!O8</f>
        <v>671.98341000000005</v>
      </c>
      <c r="W14" s="11"/>
      <c r="X14" s="31">
        <f t="shared" si="2"/>
        <v>8372.9132886000007</v>
      </c>
    </row>
    <row r="15" spans="1:24" ht="32.25" customHeight="1" thickBot="1" x14ac:dyDescent="0.25">
      <c r="A15" s="5"/>
      <c r="B15" s="6">
        <v>44567</v>
      </c>
      <c r="C15" s="7"/>
      <c r="D15" s="138">
        <v>126</v>
      </c>
      <c r="E15" s="138">
        <v>226</v>
      </c>
      <c r="F15" s="13">
        <f>'Suivi EAU-ELEC'!E14</f>
        <v>156</v>
      </c>
      <c r="G15" s="11"/>
      <c r="H15" s="190">
        <f t="shared" si="0"/>
        <v>1778.4</v>
      </c>
      <c r="I15" s="191"/>
      <c r="J15" s="191"/>
      <c r="K15" s="55">
        <v>42283</v>
      </c>
      <c r="L15" s="85">
        <f>'Suivi EAU-ELEC'!G14</f>
        <v>4942</v>
      </c>
      <c r="M15" s="86">
        <f>'Suivi EAU-ELEC'!I14</f>
        <v>6153</v>
      </c>
      <c r="N15" s="86">
        <f>'Suivi EAU-ELEC'!K14</f>
        <v>2919</v>
      </c>
      <c r="O15" s="86">
        <f t="shared" si="3"/>
        <v>14014</v>
      </c>
      <c r="P15" s="12"/>
      <c r="Q15" s="31">
        <f t="shared" si="1"/>
        <v>13189.388800000001</v>
      </c>
      <c r="R15" s="12"/>
      <c r="S15" s="28"/>
      <c r="T15" s="12"/>
      <c r="U15" s="28"/>
      <c r="V15" s="141">
        <f>'Suvi Gaz'!O9</f>
        <v>607.98499000000004</v>
      </c>
      <c r="W15" s="11"/>
      <c r="X15" s="31">
        <f t="shared" si="2"/>
        <v>7575.4929754000013</v>
      </c>
    </row>
    <row r="16" spans="1:24" ht="32.25" customHeight="1" thickBot="1" x14ac:dyDescent="0.25">
      <c r="A16" s="5"/>
      <c r="B16" s="6">
        <v>44568</v>
      </c>
      <c r="C16" s="7"/>
      <c r="D16" s="138">
        <v>95</v>
      </c>
      <c r="E16" s="138">
        <v>157</v>
      </c>
      <c r="F16" s="13">
        <f>'Suivi EAU-ELEC'!E15</f>
        <v>162</v>
      </c>
      <c r="G16" s="11"/>
      <c r="H16" s="190">
        <f t="shared" si="0"/>
        <v>1846.8</v>
      </c>
      <c r="I16" s="191"/>
      <c r="J16" s="191"/>
      <c r="K16" s="55">
        <v>42284</v>
      </c>
      <c r="L16" s="85">
        <f>'Suivi EAU-ELEC'!G15</f>
        <v>4033</v>
      </c>
      <c r="M16" s="86">
        <f>'Suivi EAU-ELEC'!I15</f>
        <v>6163</v>
      </c>
      <c r="N16" s="86">
        <f>'Suivi EAU-ELEC'!K15</f>
        <v>2760</v>
      </c>
      <c r="O16" s="86">
        <f t="shared" si="3"/>
        <v>12956</v>
      </c>
      <c r="P16" s="11"/>
      <c r="Q16" s="31">
        <f t="shared" si="1"/>
        <v>12352.432700000001</v>
      </c>
      <c r="R16" s="11"/>
      <c r="S16" s="28"/>
      <c r="T16" s="11"/>
      <c r="U16" s="28"/>
      <c r="V16" s="141">
        <f>'Suvi Gaz'!O10</f>
        <v>383.99052</v>
      </c>
      <c r="W16" s="11"/>
      <c r="X16" s="31">
        <f t="shared" si="2"/>
        <v>4784.5218792000005</v>
      </c>
    </row>
    <row r="17" spans="1:24" s="5" customFormat="1" ht="32.25" customHeight="1" thickBot="1" x14ac:dyDescent="0.25">
      <c r="A17" s="2"/>
      <c r="B17" s="6">
        <v>44569</v>
      </c>
      <c r="C17" s="7"/>
      <c r="D17" s="138">
        <v>85</v>
      </c>
      <c r="E17" s="138">
        <v>139</v>
      </c>
      <c r="F17" s="13">
        <f>'Suivi EAU-ELEC'!E16</f>
        <v>130</v>
      </c>
      <c r="G17" s="11"/>
      <c r="H17" s="190">
        <f t="shared" si="0"/>
        <v>1482</v>
      </c>
      <c r="I17" s="191"/>
      <c r="J17" s="191"/>
      <c r="K17" s="55">
        <v>42285</v>
      </c>
      <c r="L17" s="85">
        <f>'Suivi EAU-ELEC'!G16</f>
        <v>3937</v>
      </c>
      <c r="M17" s="86">
        <f>'Suivi EAU-ELEC'!I16</f>
        <v>5971</v>
      </c>
      <c r="N17" s="86">
        <f>'Suivi EAU-ELEC'!K16</f>
        <v>2943</v>
      </c>
      <c r="O17" s="86">
        <f t="shared" si="3"/>
        <v>12851</v>
      </c>
      <c r="P17" s="12"/>
      <c r="Q17" s="31">
        <f t="shared" si="1"/>
        <v>12346.171100000001</v>
      </c>
      <c r="R17" s="12"/>
      <c r="S17" s="28"/>
      <c r="T17" s="12"/>
      <c r="U17" s="28"/>
      <c r="V17" s="141">
        <f>'Suvi Gaz'!O11</f>
        <v>863.97867000000008</v>
      </c>
      <c r="W17" s="11"/>
      <c r="X17" s="31">
        <f t="shared" si="2"/>
        <v>10765.174228200001</v>
      </c>
    </row>
    <row r="18" spans="1:24" ht="32.25" customHeight="1" thickBot="1" x14ac:dyDescent="0.25">
      <c r="A18" s="2"/>
      <c r="B18" s="6">
        <v>44570</v>
      </c>
      <c r="C18" s="7"/>
      <c r="D18" s="138">
        <v>70</v>
      </c>
      <c r="E18" s="138">
        <v>115</v>
      </c>
      <c r="F18" s="13">
        <f>'Suivi EAU-ELEC'!E17</f>
        <v>100</v>
      </c>
      <c r="G18" s="11"/>
      <c r="H18" s="190">
        <f t="shared" si="0"/>
        <v>1140</v>
      </c>
      <c r="I18" s="191"/>
      <c r="J18" s="191"/>
      <c r="K18" s="55">
        <v>42286</v>
      </c>
      <c r="L18" s="85">
        <f>'Suivi EAU-ELEC'!G17</f>
        <v>4846</v>
      </c>
      <c r="M18" s="86">
        <f>'Suivi EAU-ELEC'!I17</f>
        <v>6010</v>
      </c>
      <c r="N18" s="86">
        <f>'Suivi EAU-ELEC'!K17</f>
        <v>2836</v>
      </c>
      <c r="O18" s="86">
        <f t="shared" si="3"/>
        <v>13692</v>
      </c>
      <c r="P18" s="12"/>
      <c r="Q18" s="31">
        <f t="shared" si="1"/>
        <v>12875.859399999999</v>
      </c>
      <c r="R18" s="12"/>
      <c r="S18" s="28"/>
      <c r="T18" s="12"/>
      <c r="U18" s="28"/>
      <c r="V18" s="141">
        <f>'Suvi Gaz'!O12</f>
        <v>479.98815000000002</v>
      </c>
      <c r="W18" s="11"/>
      <c r="X18" s="31">
        <f t="shared" si="2"/>
        <v>5980.6523490000009</v>
      </c>
    </row>
    <row r="19" spans="1:24" ht="32.25" customHeight="1" thickBot="1" x14ac:dyDescent="0.25">
      <c r="A19" s="2"/>
      <c r="B19" s="6">
        <v>44571</v>
      </c>
      <c r="C19" s="7"/>
      <c r="D19" s="138">
        <v>75</v>
      </c>
      <c r="E19" s="138">
        <v>125</v>
      </c>
      <c r="F19" s="13">
        <f>'Suivi EAU-ELEC'!E18</f>
        <v>121</v>
      </c>
      <c r="G19" s="12"/>
      <c r="H19" s="190">
        <f t="shared" si="0"/>
        <v>1379.4</v>
      </c>
      <c r="I19" s="191"/>
      <c r="J19" s="191"/>
      <c r="K19" s="55">
        <v>42287</v>
      </c>
      <c r="L19" s="85">
        <f>'Suivi EAU-ELEC'!G18</f>
        <v>4039</v>
      </c>
      <c r="M19" s="86">
        <f>'Suivi EAU-ELEC'!I18</f>
        <v>6059</v>
      </c>
      <c r="N19" s="86">
        <f>'Suivi EAU-ELEC'!K18</f>
        <v>2923</v>
      </c>
      <c r="O19" s="86">
        <f t="shared" si="3"/>
        <v>13021</v>
      </c>
      <c r="P19" s="12"/>
      <c r="Q19" s="31">
        <f t="shared" si="1"/>
        <v>12474.533300000001</v>
      </c>
      <c r="R19" s="12"/>
      <c r="S19" s="28"/>
      <c r="T19" s="12"/>
      <c r="U19" s="28"/>
      <c r="V19" s="141">
        <f>'Suvi Gaz'!O13</f>
        <v>543.98657000000003</v>
      </c>
      <c r="W19" s="11"/>
      <c r="X19" s="31">
        <f t="shared" si="2"/>
        <v>6778.0726622000011</v>
      </c>
    </row>
    <row r="20" spans="1:24" ht="32.25" customHeight="1" thickBot="1" x14ac:dyDescent="0.25">
      <c r="A20" s="2"/>
      <c r="B20" s="6">
        <v>44572</v>
      </c>
      <c r="C20" s="7"/>
      <c r="D20" s="138">
        <v>67</v>
      </c>
      <c r="E20" s="138">
        <v>115</v>
      </c>
      <c r="F20" s="13">
        <f>'Suivi EAU-ELEC'!E19</f>
        <v>106</v>
      </c>
      <c r="G20" s="12"/>
      <c r="H20" s="190">
        <f t="shared" si="0"/>
        <v>1208.4000000000001</v>
      </c>
      <c r="I20" s="191"/>
      <c r="J20" s="191"/>
      <c r="K20" s="55">
        <v>42288</v>
      </c>
      <c r="L20" s="85">
        <f>'Suivi EAU-ELEC'!G19</f>
        <v>3978</v>
      </c>
      <c r="M20" s="86">
        <f>'Suivi EAU-ELEC'!I19</f>
        <v>5843</v>
      </c>
      <c r="N20" s="86">
        <f>'Suivi EAU-ELEC'!K19</f>
        <v>2756</v>
      </c>
      <c r="O20" s="86">
        <f t="shared" si="3"/>
        <v>12577</v>
      </c>
      <c r="P20" s="12"/>
      <c r="Q20" s="31">
        <f t="shared" si="1"/>
        <v>12004.245600000002</v>
      </c>
      <c r="R20" s="12"/>
      <c r="S20" s="28"/>
      <c r="T20" s="12"/>
      <c r="U20" s="28"/>
      <c r="V20" s="141">
        <f>'Suvi Gaz'!O14</f>
        <v>639.98419999999999</v>
      </c>
      <c r="W20" s="11"/>
      <c r="X20" s="31">
        <f t="shared" si="2"/>
        <v>7974.2031320000006</v>
      </c>
    </row>
    <row r="21" spans="1:24" ht="32.25" customHeight="1" thickBot="1" x14ac:dyDescent="0.25">
      <c r="A21" s="2"/>
      <c r="B21" s="6">
        <v>44573</v>
      </c>
      <c r="C21" s="7"/>
      <c r="D21" s="138">
        <v>77</v>
      </c>
      <c r="E21" s="138">
        <v>110</v>
      </c>
      <c r="F21" s="13">
        <f>'Suivi EAU-ELEC'!E20</f>
        <v>104</v>
      </c>
      <c r="G21" s="12"/>
      <c r="H21" s="190">
        <f t="shared" si="0"/>
        <v>1185.6000000000001</v>
      </c>
      <c r="I21" s="191"/>
      <c r="J21" s="191"/>
      <c r="K21" s="55">
        <v>42289</v>
      </c>
      <c r="L21" s="85">
        <f>'Suivi EAU-ELEC'!G20</f>
        <v>4249</v>
      </c>
      <c r="M21" s="86">
        <f>'Suivi EAU-ELEC'!I20</f>
        <v>6040</v>
      </c>
      <c r="N21" s="86">
        <f>'Suivi EAU-ELEC'!K20</f>
        <v>3060</v>
      </c>
      <c r="O21" s="86">
        <f>L21+M21+N21</f>
        <v>13349</v>
      </c>
      <c r="P21" s="12"/>
      <c r="Q21" s="31">
        <f t="shared" si="1"/>
        <v>12785.406499999999</v>
      </c>
      <c r="R21" s="12"/>
      <c r="S21" s="28"/>
      <c r="T21" s="12"/>
      <c r="U21" s="28"/>
      <c r="V21" s="141">
        <f>'Suvi Gaz'!O15</f>
        <v>319.99209999999999</v>
      </c>
      <c r="W21" s="11"/>
      <c r="X21" s="31">
        <f t="shared" si="2"/>
        <v>3987.1015660000003</v>
      </c>
    </row>
    <row r="22" spans="1:24" ht="32.25" customHeight="1" thickBot="1" x14ac:dyDescent="0.25">
      <c r="A22" s="2"/>
      <c r="B22" s="6">
        <v>44574</v>
      </c>
      <c r="C22" s="7"/>
      <c r="D22" s="138">
        <v>87</v>
      </c>
      <c r="E22" s="138">
        <v>114</v>
      </c>
      <c r="F22" s="13">
        <f>'Suivi EAU-ELEC'!E21</f>
        <v>110</v>
      </c>
      <c r="G22" s="12"/>
      <c r="H22" s="190">
        <f t="shared" si="0"/>
        <v>1254</v>
      </c>
      <c r="I22" s="191"/>
      <c r="J22" s="191"/>
      <c r="K22" s="55">
        <v>42290</v>
      </c>
      <c r="L22" s="85">
        <f>'Suivi EAU-ELEC'!G21</f>
        <v>4294</v>
      </c>
      <c r="M22" s="86">
        <f>'Suivi EAU-ELEC'!I21</f>
        <v>6314</v>
      </c>
      <c r="N22" s="86">
        <f>'Suivi EAU-ELEC'!K21</f>
        <v>2846</v>
      </c>
      <c r="O22" s="86">
        <f t="shared" si="3"/>
        <v>13454</v>
      </c>
      <c r="P22" s="12"/>
      <c r="Q22" s="31">
        <f t="shared" si="1"/>
        <v>12792.817000000001</v>
      </c>
      <c r="R22" s="12"/>
      <c r="S22" s="28"/>
      <c r="T22" s="12"/>
      <c r="U22" s="28"/>
      <c r="V22" s="141">
        <f>'Suvi Gaz'!O16</f>
        <v>639.98419999999999</v>
      </c>
      <c r="W22" s="11"/>
      <c r="X22" s="31">
        <f t="shared" si="2"/>
        <v>7974.2031320000006</v>
      </c>
    </row>
    <row r="23" spans="1:24" ht="32.25" customHeight="1" thickBot="1" x14ac:dyDescent="0.25">
      <c r="A23" s="2"/>
      <c r="B23" s="6">
        <v>44575</v>
      </c>
      <c r="C23" s="7"/>
      <c r="D23" s="138">
        <v>127</v>
      </c>
      <c r="E23" s="138">
        <v>182</v>
      </c>
      <c r="F23" s="13">
        <f>'Suivi EAU-ELEC'!E22</f>
        <v>143</v>
      </c>
      <c r="G23" s="14"/>
      <c r="H23" s="190">
        <f t="shared" si="0"/>
        <v>1630.2</v>
      </c>
      <c r="I23" s="191"/>
      <c r="J23" s="191"/>
      <c r="K23" s="55">
        <v>42291</v>
      </c>
      <c r="L23" s="85">
        <f>'Suivi EAU-ELEC'!G22</f>
        <v>4443</v>
      </c>
      <c r="M23" s="86">
        <f>'Suivi EAU-ELEC'!I22</f>
        <v>6248</v>
      </c>
      <c r="N23" s="86">
        <f>'Suivi EAU-ELEC'!K22</f>
        <v>2970</v>
      </c>
      <c r="O23" s="86">
        <f>L23+M23+N23</f>
        <v>13661</v>
      </c>
      <c r="P23" s="12"/>
      <c r="Q23" s="31">
        <f t="shared" si="1"/>
        <v>12999.0707</v>
      </c>
      <c r="R23" s="12"/>
      <c r="S23" s="28"/>
      <c r="T23" s="14"/>
      <c r="U23" s="28"/>
      <c r="V23" s="141">
        <f>'Suvi Gaz'!O17</f>
        <v>511.98736000000002</v>
      </c>
      <c r="W23" s="11"/>
      <c r="X23" s="31">
        <f t="shared" si="2"/>
        <v>6379.362505600001</v>
      </c>
    </row>
    <row r="24" spans="1:24" ht="32.25" customHeight="1" thickBot="1" x14ac:dyDescent="0.25">
      <c r="A24" s="2"/>
      <c r="B24" s="6">
        <v>44576</v>
      </c>
      <c r="C24" s="7"/>
      <c r="D24" s="138">
        <v>116</v>
      </c>
      <c r="E24" s="138">
        <v>157</v>
      </c>
      <c r="F24" s="13">
        <f>'Suivi EAU-ELEC'!E23</f>
        <v>121</v>
      </c>
      <c r="G24" s="14"/>
      <c r="H24" s="190">
        <f t="shared" si="0"/>
        <v>1379.4</v>
      </c>
      <c r="I24" s="191"/>
      <c r="J24" s="191"/>
      <c r="K24" s="55">
        <v>42292</v>
      </c>
      <c r="L24" s="85">
        <f>'Suivi EAU-ELEC'!G23</f>
        <v>4001</v>
      </c>
      <c r="M24" s="86">
        <f>'Suivi EAU-ELEC'!I23</f>
        <v>6092</v>
      </c>
      <c r="N24" s="86">
        <f>'Suivi EAU-ELEC'!K23</f>
        <v>2831</v>
      </c>
      <c r="O24" s="86">
        <f>L24+M24+N24</f>
        <v>12924</v>
      </c>
      <c r="P24" s="12"/>
      <c r="Q24" s="31">
        <f t="shared" si="1"/>
        <v>12356.9897</v>
      </c>
      <c r="R24" s="12"/>
      <c r="S24" s="28"/>
      <c r="T24" s="14"/>
      <c r="U24" s="28"/>
      <c r="V24" s="141">
        <f>'Suvi Gaz'!O18</f>
        <v>447.98894000000001</v>
      </c>
      <c r="W24" s="11"/>
      <c r="X24" s="31">
        <f t="shared" si="2"/>
        <v>5581.9421924000007</v>
      </c>
    </row>
    <row r="25" spans="1:24" ht="32.25" customHeight="1" thickBot="1" x14ac:dyDescent="0.25">
      <c r="A25" s="2"/>
      <c r="B25" s="6">
        <v>44577</v>
      </c>
      <c r="C25" s="7"/>
      <c r="D25" s="138">
        <v>146</v>
      </c>
      <c r="E25" s="138">
        <v>201</v>
      </c>
      <c r="F25" s="13">
        <f>'Suivi EAU-ELEC'!E24</f>
        <v>124</v>
      </c>
      <c r="G25" s="14"/>
      <c r="H25" s="190">
        <f t="shared" si="0"/>
        <v>1413.6000000000001</v>
      </c>
      <c r="I25" s="191"/>
      <c r="J25" s="191"/>
      <c r="K25" s="55">
        <v>42293</v>
      </c>
      <c r="L25" s="85">
        <f>'Suivi EAU-ELEC'!G24</f>
        <v>3929</v>
      </c>
      <c r="M25" s="86">
        <f>'Suivi EAU-ELEC'!I24</f>
        <v>5893</v>
      </c>
      <c r="N25" s="86">
        <f>'Suivi EAU-ELEC'!K24</f>
        <v>2729</v>
      </c>
      <c r="O25" s="86">
        <f>L25+M25+N25</f>
        <v>12551</v>
      </c>
      <c r="P25" s="12"/>
      <c r="Q25" s="31">
        <f t="shared" si="1"/>
        <v>11981.668299999999</v>
      </c>
      <c r="R25" s="12"/>
      <c r="S25" s="28"/>
      <c r="T25" s="14"/>
      <c r="U25" s="28"/>
      <c r="V25" s="141">
        <f>'Suvi Gaz'!O19</f>
        <v>799.98025000000007</v>
      </c>
      <c r="W25" s="11"/>
      <c r="X25" s="31">
        <f t="shared" si="2"/>
        <v>9967.7539150000011</v>
      </c>
    </row>
    <row r="26" spans="1:24" ht="32.25" customHeight="1" thickBot="1" x14ac:dyDescent="0.25">
      <c r="A26" s="2"/>
      <c r="B26" s="6">
        <v>44578</v>
      </c>
      <c r="C26" s="7"/>
      <c r="D26" s="138">
        <v>121</v>
      </c>
      <c r="E26" s="138">
        <v>164</v>
      </c>
      <c r="F26" s="13">
        <f>'Suivi EAU-ELEC'!E25</f>
        <v>135</v>
      </c>
      <c r="G26" s="14"/>
      <c r="H26" s="190">
        <f t="shared" si="0"/>
        <v>1539</v>
      </c>
      <c r="I26" s="191"/>
      <c r="J26" s="191"/>
      <c r="K26" s="55">
        <v>42294</v>
      </c>
      <c r="L26" s="85">
        <f>'Suivi EAU-ELEC'!G25</f>
        <v>3952</v>
      </c>
      <c r="M26" s="86">
        <f>'Suivi EAU-ELEC'!I25</f>
        <v>5890</v>
      </c>
      <c r="N26" s="86">
        <f>'Suivi EAU-ELEC'!K25</f>
        <v>2949</v>
      </c>
      <c r="O26" s="86">
        <f>L26+M26+N26</f>
        <v>12791</v>
      </c>
      <c r="P26" s="14"/>
      <c r="Q26" s="31">
        <f t="shared" si="1"/>
        <v>12287.5676</v>
      </c>
      <c r="R26" s="14"/>
      <c r="S26" s="28"/>
      <c r="T26" s="14"/>
      <c r="U26" s="28"/>
      <c r="V26" s="141">
        <f>'Suvi Gaz'!O20</f>
        <v>415.98973000000001</v>
      </c>
      <c r="W26" s="11"/>
      <c r="X26" s="31">
        <f t="shared" si="2"/>
        <v>5183.2320358000006</v>
      </c>
    </row>
    <row r="27" spans="1:24" ht="32.25" customHeight="1" thickBot="1" x14ac:dyDescent="0.25">
      <c r="A27" s="2"/>
      <c r="B27" s="6">
        <v>44579</v>
      </c>
      <c r="C27" s="7"/>
      <c r="D27" s="138">
        <v>113</v>
      </c>
      <c r="E27" s="138">
        <v>148</v>
      </c>
      <c r="F27" s="13">
        <f>'Suivi EAU-ELEC'!E26</f>
        <v>143</v>
      </c>
      <c r="G27" s="14"/>
      <c r="H27" s="190">
        <f t="shared" si="0"/>
        <v>1630.2</v>
      </c>
      <c r="I27" s="191"/>
      <c r="J27" s="191"/>
      <c r="K27" s="55">
        <v>42295</v>
      </c>
      <c r="L27" s="85">
        <f>'Suivi EAU-ELEC'!G26</f>
        <v>3687</v>
      </c>
      <c r="M27" s="86">
        <f>'Suivi EAU-ELEC'!I26</f>
        <v>6121</v>
      </c>
      <c r="N27" s="86">
        <f>'Suivi EAU-ELEC'!K26</f>
        <v>2793</v>
      </c>
      <c r="O27" s="86">
        <f t="shared" si="3"/>
        <v>12601</v>
      </c>
      <c r="P27" s="14"/>
      <c r="Q27" s="31">
        <f t="shared" si="1"/>
        <v>12114.696100000001</v>
      </c>
      <c r="R27" s="14"/>
      <c r="S27" s="28"/>
      <c r="T27" s="14"/>
      <c r="U27" s="28"/>
      <c r="V27" s="141">
        <f>'Suvi Gaz'!O21</f>
        <v>447.98894000000001</v>
      </c>
      <c r="W27" s="11"/>
      <c r="X27" s="31">
        <f t="shared" si="2"/>
        <v>5581.9421924000007</v>
      </c>
    </row>
    <row r="28" spans="1:24" ht="32.25" customHeight="1" thickBot="1" x14ac:dyDescent="0.25">
      <c r="A28" s="2"/>
      <c r="B28" s="6">
        <v>44580</v>
      </c>
      <c r="C28" s="7"/>
      <c r="D28" s="138">
        <v>78</v>
      </c>
      <c r="E28" s="138">
        <v>105</v>
      </c>
      <c r="F28" s="13">
        <f>'Suivi EAU-ELEC'!E27</f>
        <v>108</v>
      </c>
      <c r="G28" s="11"/>
      <c r="H28" s="190">
        <f t="shared" si="0"/>
        <v>1231.2</v>
      </c>
      <c r="I28" s="191"/>
      <c r="J28" s="191"/>
      <c r="K28" s="55">
        <v>42296</v>
      </c>
      <c r="L28" s="85">
        <f>'Suivi EAU-ELEC'!G27</f>
        <v>4176</v>
      </c>
      <c r="M28" s="86">
        <f>'Suivi EAU-ELEC'!I27</f>
        <v>6032</v>
      </c>
      <c r="N28" s="86">
        <f>'Suivi EAU-ELEC'!K27</f>
        <v>2698</v>
      </c>
      <c r="O28" s="86">
        <f t="shared" si="3"/>
        <v>12906</v>
      </c>
      <c r="P28" s="11"/>
      <c r="Q28" s="31">
        <f t="shared" si="1"/>
        <v>12245.2</v>
      </c>
      <c r="R28" s="11"/>
      <c r="S28" s="28"/>
      <c r="T28" s="11"/>
      <c r="U28" s="28"/>
      <c r="V28" s="141">
        <f>'Suvi Gaz'!O22</f>
        <v>575.98577999999998</v>
      </c>
      <c r="W28" s="11"/>
      <c r="X28" s="31">
        <f t="shared" si="2"/>
        <v>7176.7828188000003</v>
      </c>
    </row>
    <row r="29" spans="1:24" ht="32.25" customHeight="1" thickBot="1" x14ac:dyDescent="0.25">
      <c r="A29" s="2"/>
      <c r="B29" s="6">
        <v>44581</v>
      </c>
      <c r="C29" s="7"/>
      <c r="D29" s="138">
        <v>69</v>
      </c>
      <c r="E29" s="138">
        <v>108</v>
      </c>
      <c r="F29" s="13">
        <f>'Suivi EAU-ELEC'!E28</f>
        <v>117</v>
      </c>
      <c r="G29" s="11"/>
      <c r="H29" s="190">
        <f t="shared" si="0"/>
        <v>1333.8</v>
      </c>
      <c r="I29" s="191"/>
      <c r="J29" s="191"/>
      <c r="K29" s="55">
        <v>42297</v>
      </c>
      <c r="L29" s="85">
        <f>'Suivi EAU-ELEC'!G28</f>
        <v>4325</v>
      </c>
      <c r="M29" s="86">
        <f>'Suivi EAU-ELEC'!I28</f>
        <v>5724</v>
      </c>
      <c r="N29" s="86">
        <f>'Suivi EAU-ELEC'!K28</f>
        <v>2686</v>
      </c>
      <c r="O29" s="86">
        <f>L29+M29+N29</f>
        <v>12735</v>
      </c>
      <c r="P29" s="11"/>
      <c r="Q29" s="31">
        <f t="shared" si="1"/>
        <v>12040.280500000001</v>
      </c>
      <c r="R29" s="11"/>
      <c r="S29" s="28"/>
      <c r="T29" s="11"/>
      <c r="U29" s="28"/>
      <c r="V29" s="141">
        <f>'Suvi Gaz'!O23</f>
        <v>735.98183000000006</v>
      </c>
      <c r="W29" s="11"/>
      <c r="X29" s="31">
        <f t="shared" si="2"/>
        <v>9170.3336018000009</v>
      </c>
    </row>
    <row r="30" spans="1:24" ht="32.25" customHeight="1" thickBot="1" x14ac:dyDescent="0.25">
      <c r="A30" s="2"/>
      <c r="B30" s="6">
        <v>44582</v>
      </c>
      <c r="C30" s="7"/>
      <c r="D30" s="138">
        <v>82</v>
      </c>
      <c r="E30" s="138">
        <v>138</v>
      </c>
      <c r="F30" s="13">
        <f>'Suivi EAU-ELEC'!E29</f>
        <v>112</v>
      </c>
      <c r="G30" s="11"/>
      <c r="H30" s="190">
        <f t="shared" si="0"/>
        <v>1276.8</v>
      </c>
      <c r="I30" s="191"/>
      <c r="J30" s="191"/>
      <c r="K30" s="55">
        <v>42298</v>
      </c>
      <c r="L30" s="85">
        <f>'Suivi EAU-ELEC'!G29</f>
        <v>3810</v>
      </c>
      <c r="M30" s="86">
        <f>'Suivi EAU-ELEC'!I29</f>
        <v>5891</v>
      </c>
      <c r="N30" s="86">
        <f>'Suivi EAU-ELEC'!K29</f>
        <v>2801</v>
      </c>
      <c r="O30" s="86">
        <f>L30+M30+N30</f>
        <v>12502</v>
      </c>
      <c r="P30" s="11"/>
      <c r="Q30" s="31">
        <f t="shared" si="1"/>
        <v>11992.4328</v>
      </c>
      <c r="R30" s="11"/>
      <c r="S30" s="28"/>
      <c r="T30" s="11"/>
      <c r="U30" s="28"/>
      <c r="V30" s="141">
        <f>'Suvi Gaz'!O24</f>
        <v>479.98815000000002</v>
      </c>
      <c r="W30" s="11"/>
      <c r="X30" s="31">
        <f t="shared" si="2"/>
        <v>5980.6523490000009</v>
      </c>
    </row>
    <row r="31" spans="1:24" ht="27.75" customHeight="1" thickBot="1" x14ac:dyDescent="0.25">
      <c r="A31" s="2"/>
      <c r="B31" s="6">
        <v>44583</v>
      </c>
      <c r="C31" s="7"/>
      <c r="D31" s="138">
        <v>79</v>
      </c>
      <c r="E31" s="138">
        <v>121</v>
      </c>
      <c r="F31" s="13">
        <f>'Suivi EAU-ELEC'!E30</f>
        <v>128</v>
      </c>
      <c r="G31" s="11"/>
      <c r="H31" s="190">
        <f t="shared" si="0"/>
        <v>1459.2</v>
      </c>
      <c r="I31" s="191"/>
      <c r="J31" s="191"/>
      <c r="K31" s="55">
        <v>42299</v>
      </c>
      <c r="L31" s="85">
        <f>'Suivi EAU-ELEC'!G30</f>
        <v>3925</v>
      </c>
      <c r="M31" s="86">
        <f>'Suivi EAU-ELEC'!I30</f>
        <v>5865</v>
      </c>
      <c r="N31" s="86">
        <f>'Suivi EAU-ELEC'!K30</f>
        <v>2659</v>
      </c>
      <c r="O31" s="86">
        <f>L31+M31+N31</f>
        <v>12449</v>
      </c>
      <c r="P31" s="11"/>
      <c r="Q31" s="31">
        <f t="shared" si="1"/>
        <v>11859.107100000001</v>
      </c>
      <c r="R31" s="11"/>
      <c r="S31" s="28"/>
      <c r="T31" s="11"/>
      <c r="U31" s="28"/>
      <c r="V31" s="141">
        <f>'Suvi Gaz'!O25</f>
        <v>447.98894000000001</v>
      </c>
      <c r="W31" s="11"/>
      <c r="X31" s="31">
        <f t="shared" si="2"/>
        <v>5581.9421924000007</v>
      </c>
    </row>
    <row r="32" spans="1:24" ht="37.5" customHeight="1" thickBot="1" x14ac:dyDescent="0.25">
      <c r="A32" s="2"/>
      <c r="B32" s="6">
        <v>44584</v>
      </c>
      <c r="C32" s="7"/>
      <c r="D32" s="138">
        <v>111</v>
      </c>
      <c r="E32" s="138">
        <v>146</v>
      </c>
      <c r="F32" s="13">
        <f>'Suivi EAU-ELEC'!E31</f>
        <v>134</v>
      </c>
      <c r="G32" s="11"/>
      <c r="H32" s="190">
        <f t="shared" si="0"/>
        <v>1527.6000000000001</v>
      </c>
      <c r="I32" s="191"/>
      <c r="J32" s="191"/>
      <c r="K32" s="55">
        <v>42300</v>
      </c>
      <c r="L32" s="85">
        <f>'Suivi EAU-ELEC'!G31</f>
        <v>4049</v>
      </c>
      <c r="M32" s="86">
        <f>'Suivi EAU-ELEC'!I31</f>
        <v>5735</v>
      </c>
      <c r="N32" s="86">
        <f>'Suivi EAU-ELEC'!K31</f>
        <v>2598</v>
      </c>
      <c r="O32" s="86">
        <f t="shared" si="3"/>
        <v>12382</v>
      </c>
      <c r="P32" s="11"/>
      <c r="Q32" s="31">
        <f t="shared" si="1"/>
        <v>11740.884700000001</v>
      </c>
      <c r="R32" s="11"/>
      <c r="S32" s="28"/>
      <c r="T32" s="11"/>
      <c r="U32" s="28"/>
      <c r="V32" s="141">
        <f>'Suvi Gaz'!O26</f>
        <v>543.98657000000003</v>
      </c>
      <c r="W32" s="11"/>
      <c r="X32" s="31">
        <f t="shared" si="2"/>
        <v>6778.0726622000011</v>
      </c>
    </row>
    <row r="33" spans="1:24" ht="37.5" customHeight="1" thickBot="1" x14ac:dyDescent="0.25">
      <c r="A33" s="2"/>
      <c r="B33" s="6">
        <v>44585</v>
      </c>
      <c r="C33" s="7"/>
      <c r="D33" s="138">
        <v>132</v>
      </c>
      <c r="E33" s="138">
        <v>176</v>
      </c>
      <c r="F33" s="13">
        <f>'Suivi EAU-ELEC'!E32</f>
        <v>123</v>
      </c>
      <c r="G33" s="11"/>
      <c r="H33" s="190">
        <f t="shared" si="0"/>
        <v>1402.2</v>
      </c>
      <c r="I33" s="191"/>
      <c r="J33" s="191"/>
      <c r="K33" s="55">
        <v>42301</v>
      </c>
      <c r="L33" s="85">
        <f>'Suivi EAU-ELEC'!G32</f>
        <v>3527</v>
      </c>
      <c r="M33" s="86">
        <f>'Suivi EAU-ELEC'!I32</f>
        <v>5734</v>
      </c>
      <c r="N33" s="86">
        <f>'Suivi EAU-ELEC'!K32</f>
        <v>1974</v>
      </c>
      <c r="O33" s="86">
        <f t="shared" si="3"/>
        <v>11235</v>
      </c>
      <c r="P33" s="11"/>
      <c r="Q33" s="31">
        <f t="shared" si="1"/>
        <v>10545.146700000001</v>
      </c>
      <c r="R33" s="11"/>
      <c r="S33" s="28"/>
      <c r="T33" s="11"/>
      <c r="U33" s="28"/>
      <c r="V33" s="141">
        <f>'Suvi Gaz'!O27</f>
        <v>703.98262</v>
      </c>
      <c r="W33" s="11"/>
      <c r="X33" s="31">
        <f t="shared" si="2"/>
        <v>8771.6234452000008</v>
      </c>
    </row>
    <row r="34" spans="1:24" ht="37.5" customHeight="1" thickBot="1" x14ac:dyDescent="0.25">
      <c r="A34" s="2"/>
      <c r="B34" s="6">
        <v>44586</v>
      </c>
      <c r="C34" s="7"/>
      <c r="D34" s="138">
        <v>125</v>
      </c>
      <c r="E34" s="138">
        <v>157</v>
      </c>
      <c r="F34" s="13">
        <f>'Suivi EAU-ELEC'!E33</f>
        <v>147</v>
      </c>
      <c r="G34" s="11"/>
      <c r="H34" s="190">
        <f t="shared" si="0"/>
        <v>1675.8</v>
      </c>
      <c r="I34" s="191"/>
      <c r="J34" s="191"/>
      <c r="K34" s="55">
        <v>42302</v>
      </c>
      <c r="L34" s="85">
        <f>'Suivi EAU-ELEC'!G33</f>
        <v>3818</v>
      </c>
      <c r="M34" s="86">
        <f>'Suivi EAU-ELEC'!I33</f>
        <v>5754</v>
      </c>
      <c r="N34" s="86">
        <f>'Suivi EAU-ELEC'!K33</f>
        <v>3341</v>
      </c>
      <c r="O34" s="86">
        <f t="shared" si="3"/>
        <v>12913</v>
      </c>
      <c r="P34" s="11"/>
      <c r="Q34" s="31">
        <f t="shared" si="1"/>
        <v>12586.095000000001</v>
      </c>
      <c r="R34" s="11"/>
      <c r="S34" s="28"/>
      <c r="T34" s="11"/>
      <c r="U34" s="28"/>
      <c r="V34" s="141">
        <f>'Suvi Gaz'!O28</f>
        <v>639.98419999999999</v>
      </c>
      <c r="W34" s="11"/>
      <c r="X34" s="31">
        <f t="shared" si="2"/>
        <v>7974.2031320000006</v>
      </c>
    </row>
    <row r="35" spans="1:24" ht="33.75" customHeight="1" thickBot="1" x14ac:dyDescent="0.25">
      <c r="A35" s="2"/>
      <c r="B35" s="6">
        <v>44587</v>
      </c>
      <c r="C35" s="7"/>
      <c r="D35" s="138">
        <v>133</v>
      </c>
      <c r="E35" s="138">
        <v>178</v>
      </c>
      <c r="F35" s="13">
        <f>'Suivi EAU-ELEC'!E34</f>
        <v>91</v>
      </c>
      <c r="G35" s="11"/>
      <c r="H35" s="190">
        <f t="shared" si="0"/>
        <v>1037.4000000000001</v>
      </c>
      <c r="I35" s="191"/>
      <c r="J35" s="191"/>
      <c r="K35" s="55">
        <v>42303</v>
      </c>
      <c r="L35" s="85">
        <f>'Suivi EAU-ELEC'!G34</f>
        <v>4011</v>
      </c>
      <c r="M35" s="86">
        <f>'Suivi EAU-ELEC'!I34</f>
        <v>5777</v>
      </c>
      <c r="N35" s="86">
        <f>'Suivi EAU-ELEC'!K34</f>
        <v>2689</v>
      </c>
      <c r="O35" s="86">
        <f t="shared" si="3"/>
        <v>12477</v>
      </c>
      <c r="P35" s="11"/>
      <c r="Q35" s="31">
        <f t="shared" si="1"/>
        <v>11875.366900000001</v>
      </c>
      <c r="R35" s="11"/>
      <c r="S35" s="28"/>
      <c r="T35" s="11"/>
      <c r="U35" s="28"/>
      <c r="V35" s="141">
        <f>'Suvi Gaz'!O29</f>
        <v>383.99052</v>
      </c>
      <c r="W35" s="11"/>
      <c r="X35" s="31">
        <f t="shared" si="2"/>
        <v>4784.5218792000005</v>
      </c>
    </row>
    <row r="36" spans="1:24" ht="33.75" customHeight="1" thickBot="1" x14ac:dyDescent="0.25">
      <c r="A36" s="2"/>
      <c r="B36" s="6">
        <v>44588</v>
      </c>
      <c r="C36" s="7"/>
      <c r="D36" s="138">
        <v>103</v>
      </c>
      <c r="E36" s="138">
        <v>150</v>
      </c>
      <c r="F36" s="13">
        <f>'Suivi EAU-ELEC'!E35</f>
        <v>114</v>
      </c>
      <c r="G36" s="11"/>
      <c r="H36" s="190">
        <f t="shared" si="0"/>
        <v>1299.6000000000001</v>
      </c>
      <c r="I36" s="191"/>
      <c r="J36" s="191"/>
      <c r="K36" s="55">
        <v>42304</v>
      </c>
      <c r="L36" s="85">
        <f>'Suivi EAU-ELEC'!G35</f>
        <v>4206</v>
      </c>
      <c r="M36" s="86">
        <f>'Suivi EAU-ELEC'!I35</f>
        <v>5726</v>
      </c>
      <c r="N36" s="86">
        <f>'Suivi EAU-ELEC'!K35</f>
        <v>2888</v>
      </c>
      <c r="O36" s="86">
        <f t="shared" si="3"/>
        <v>12820</v>
      </c>
      <c r="P36" s="11"/>
      <c r="Q36" s="31">
        <f t="shared" si="1"/>
        <v>12227.802600000001</v>
      </c>
      <c r="R36" s="11"/>
      <c r="S36" s="28"/>
      <c r="T36" s="11"/>
      <c r="U36" s="28"/>
      <c r="V36" s="141">
        <f>'Suvi Gaz'!O30</f>
        <v>639.98419999999999</v>
      </c>
      <c r="W36" s="11"/>
      <c r="X36" s="31">
        <f t="shared" si="2"/>
        <v>7974.2031320000006</v>
      </c>
    </row>
    <row r="37" spans="1:24" ht="33.75" customHeight="1" thickBot="1" x14ac:dyDescent="0.25">
      <c r="A37" s="2"/>
      <c r="B37" s="6">
        <v>44589</v>
      </c>
      <c r="C37" s="7"/>
      <c r="D37" s="138">
        <v>74</v>
      </c>
      <c r="E37" s="138">
        <v>122</v>
      </c>
      <c r="F37" s="13">
        <f>'Suivi EAU-ELEC'!E36</f>
        <v>153</v>
      </c>
      <c r="G37" s="11"/>
      <c r="H37" s="190">
        <f t="shared" si="0"/>
        <v>1744.2</v>
      </c>
      <c r="I37" s="191"/>
      <c r="J37" s="191"/>
      <c r="K37" s="55"/>
      <c r="L37" s="85">
        <f>'Suivi EAU-ELEC'!G36</f>
        <v>3881</v>
      </c>
      <c r="M37" s="86">
        <f>'Suivi EAU-ELEC'!I36</f>
        <v>5705</v>
      </c>
      <c r="N37" s="86">
        <f>'Suivi EAU-ELEC'!K36</f>
        <v>3137</v>
      </c>
      <c r="O37" s="86">
        <f t="shared" si="3"/>
        <v>12723</v>
      </c>
      <c r="P37" s="11"/>
      <c r="Q37" s="31">
        <f t="shared" si="1"/>
        <v>12312.0803</v>
      </c>
      <c r="R37" s="11"/>
      <c r="S37" s="28"/>
      <c r="T37" s="11"/>
      <c r="U37" s="28"/>
      <c r="V37" s="141">
        <f>'Suvi Gaz'!O31</f>
        <v>575.98577999999998</v>
      </c>
      <c r="W37" s="11"/>
      <c r="X37" s="31">
        <f t="shared" si="2"/>
        <v>7176.7828188000003</v>
      </c>
    </row>
    <row r="38" spans="1:24" ht="33.75" customHeight="1" thickBot="1" x14ac:dyDescent="0.25">
      <c r="A38" s="2"/>
      <c r="B38" s="6">
        <v>44590</v>
      </c>
      <c r="C38" s="7"/>
      <c r="D38" s="138">
        <v>75</v>
      </c>
      <c r="E38" s="138">
        <v>103</v>
      </c>
      <c r="F38" s="13">
        <f>'Suivi EAU-ELEC'!E37</f>
        <v>106</v>
      </c>
      <c r="G38" s="11"/>
      <c r="H38" s="190">
        <f t="shared" si="0"/>
        <v>1208.4000000000001</v>
      </c>
      <c r="I38" s="191"/>
      <c r="J38" s="191"/>
      <c r="K38" s="55"/>
      <c r="L38" s="85">
        <f>'Suivi EAU-ELEC'!G37</f>
        <v>3958</v>
      </c>
      <c r="M38" s="86">
        <f>'Suivi EAU-ELEC'!I37</f>
        <v>5746</v>
      </c>
      <c r="N38" s="86">
        <f>'Suivi EAU-ELEC'!K37</f>
        <v>2558</v>
      </c>
      <c r="O38" s="86">
        <f t="shared" si="3"/>
        <v>12262</v>
      </c>
      <c r="P38" s="11"/>
      <c r="Q38" s="31">
        <f t="shared" si="1"/>
        <v>11634.570599999999</v>
      </c>
      <c r="R38" s="11"/>
      <c r="S38" s="28"/>
      <c r="T38" s="11"/>
      <c r="U38" s="28"/>
      <c r="V38" s="141">
        <f>'Suvi Gaz'!O32</f>
        <v>543.98657000000003</v>
      </c>
      <c r="W38" s="11"/>
      <c r="X38" s="31">
        <f t="shared" si="2"/>
        <v>6778.0726622000011</v>
      </c>
    </row>
    <row r="39" spans="1:24" ht="33.75" customHeight="1" thickBot="1" x14ac:dyDescent="0.25">
      <c r="A39" s="2"/>
      <c r="B39" s="6">
        <v>44591</v>
      </c>
      <c r="C39" s="7"/>
      <c r="D39" s="138">
        <v>121</v>
      </c>
      <c r="E39" s="138">
        <v>141</v>
      </c>
      <c r="F39" s="13">
        <f>'Suivi EAU-ELEC'!E38</f>
        <v>114</v>
      </c>
      <c r="G39" s="11"/>
      <c r="H39" s="190">
        <f t="shared" si="0"/>
        <v>1299.6000000000001</v>
      </c>
      <c r="I39" s="191"/>
      <c r="J39" s="191"/>
      <c r="K39" s="55"/>
      <c r="L39" s="85">
        <f>'Suivi EAU-ELEC'!G38</f>
        <v>3751</v>
      </c>
      <c r="M39" s="86">
        <f>'Suivi EAU-ELEC'!I38</f>
        <v>5334</v>
      </c>
      <c r="N39" s="86">
        <f>'Suivi EAU-ELEC'!K38</f>
        <v>2570</v>
      </c>
      <c r="O39" s="86">
        <f t="shared" si="3"/>
        <v>11655</v>
      </c>
      <c r="P39" s="11"/>
      <c r="Q39" s="31">
        <f t="shared" si="1"/>
        <v>11113.9691</v>
      </c>
      <c r="R39" s="11"/>
      <c r="S39" s="28"/>
      <c r="T39" s="11"/>
      <c r="U39" s="28"/>
      <c r="V39" s="141">
        <f>'Suvi Gaz'!O33</f>
        <v>831.97946000000002</v>
      </c>
      <c r="W39" s="11"/>
      <c r="X39" s="31">
        <f t="shared" si="2"/>
        <v>10366.464071600001</v>
      </c>
    </row>
    <row r="40" spans="1:24" ht="33.75" customHeight="1" thickBot="1" x14ac:dyDescent="0.25">
      <c r="A40" s="2"/>
      <c r="B40" s="6">
        <v>44592</v>
      </c>
      <c r="C40" s="7"/>
      <c r="D40" s="138">
        <v>156</v>
      </c>
      <c r="E40" s="138">
        <v>182</v>
      </c>
      <c r="F40" s="13">
        <f>'Suivi EAU-ELEC'!E39</f>
        <v>94</v>
      </c>
      <c r="G40" s="11"/>
      <c r="H40" s="190">
        <f t="shared" si="0"/>
        <v>1071.6000000000001</v>
      </c>
      <c r="I40" s="191"/>
      <c r="J40" s="191"/>
      <c r="K40" s="55"/>
      <c r="L40" s="85">
        <f>'Suivi EAU-ELEC'!G39</f>
        <v>3540</v>
      </c>
      <c r="M40" s="86">
        <f>'Suivi EAU-ELEC'!I39</f>
        <v>5527</v>
      </c>
      <c r="N40" s="86">
        <f>'Suivi EAU-ELEC'!K39</f>
        <v>2623</v>
      </c>
      <c r="O40" s="86">
        <f t="shared" si="3"/>
        <v>11690</v>
      </c>
      <c r="P40" s="11"/>
      <c r="Q40" s="31">
        <f t="shared" si="1"/>
        <v>11220.717000000001</v>
      </c>
      <c r="R40" s="11"/>
      <c r="S40" s="28"/>
      <c r="T40" s="11"/>
      <c r="U40" s="28"/>
      <c r="V40" s="141">
        <f>'Suvi Gaz'!O34</f>
        <v>575.98577999999998</v>
      </c>
      <c r="W40" s="11"/>
      <c r="X40" s="31">
        <f t="shared" si="2"/>
        <v>7176.7828188000003</v>
      </c>
    </row>
    <row r="41" spans="1:24" ht="42.75" customHeight="1" thickBot="1" x14ac:dyDescent="0.25">
      <c r="A41" s="2"/>
      <c r="B41" s="10"/>
      <c r="C41" s="10"/>
      <c r="D41" s="8">
        <f>SUM(D10:D40)</f>
        <v>3212</v>
      </c>
      <c r="E41" s="8">
        <f>SUM(E10:E40)</f>
        <v>4808</v>
      </c>
      <c r="F41" s="146">
        <f>SUM(F10:F40)</f>
        <v>3971</v>
      </c>
      <c r="G41" s="1"/>
      <c r="H41" s="271">
        <f>SUM(H10:H40)</f>
        <v>45269.399999999994</v>
      </c>
      <c r="I41" s="272"/>
      <c r="J41" s="273"/>
      <c r="K41" s="1"/>
      <c r="L41" s="50">
        <f>SUM(L10:L40)</f>
        <v>127198</v>
      </c>
      <c r="M41" s="50">
        <f>SUM(M10:M40)</f>
        <v>187342</v>
      </c>
      <c r="N41" s="50">
        <f>SUM(N10:N40)</f>
        <v>88388</v>
      </c>
      <c r="O41" s="160">
        <f>SUM(O10:O40)</f>
        <v>402928</v>
      </c>
      <c r="P41" s="1"/>
      <c r="Q41" s="146">
        <f>SUM(Q10:Q40)</f>
        <v>384676.37700000004</v>
      </c>
      <c r="R41" s="1"/>
      <c r="S41" s="8">
        <f>SUM(S10:S40)</f>
        <v>0</v>
      </c>
      <c r="T41" s="1"/>
      <c r="U41" s="8">
        <f>SUM(U10:U40)</f>
        <v>0</v>
      </c>
      <c r="V41" s="146">
        <f>SUM(V10:V40)</f>
        <v>17727.562339999997</v>
      </c>
      <c r="W41" s="1"/>
      <c r="X41" s="146">
        <f>SUM(X10:X40)</f>
        <v>220885.42675640003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26" t="s">
        <v>33</v>
      </c>
      <c r="B43" s="227"/>
      <c r="C43" s="227"/>
      <c r="D43" s="227"/>
      <c r="E43" s="227"/>
      <c r="F43" s="228"/>
      <c r="G43" s="26"/>
      <c r="H43" s="27" t="s">
        <v>34</v>
      </c>
      <c r="I43" s="265" t="s">
        <v>35</v>
      </c>
      <c r="J43" s="266"/>
      <c r="K43" s="267"/>
      <c r="L43" s="240" t="s">
        <v>36</v>
      </c>
      <c r="M43" s="241"/>
      <c r="N43" s="226" t="s">
        <v>37</v>
      </c>
      <c r="O43" s="227"/>
      <c r="P43" s="227"/>
      <c r="Q43" s="227"/>
      <c r="R43" s="227"/>
      <c r="S43" s="227"/>
      <c r="T43" s="227"/>
      <c r="U43" s="227"/>
      <c r="V43" s="227"/>
      <c r="W43" s="227"/>
      <c r="X43" s="228"/>
    </row>
    <row r="44" spans="1:24" s="18" customFormat="1" ht="29.25" customHeight="1" thickBot="1" x14ac:dyDescent="0.25">
      <c r="A44" s="234" t="s">
        <v>38</v>
      </c>
      <c r="B44" s="235"/>
      <c r="C44" s="236"/>
      <c r="D44" s="149" t="s">
        <v>30</v>
      </c>
      <c r="E44" s="149" t="s">
        <v>30</v>
      </c>
      <c r="F44" s="149" t="s">
        <v>30</v>
      </c>
      <c r="G44" s="16"/>
      <c r="H44" s="17">
        <v>0.69850000000000001</v>
      </c>
      <c r="I44" s="231">
        <f>L41</f>
        <v>127198</v>
      </c>
      <c r="J44" s="232"/>
      <c r="K44" s="233"/>
      <c r="L44" s="192">
        <f>I44*H44</f>
        <v>88847.803</v>
      </c>
      <c r="M44" s="193"/>
      <c r="N44" s="249">
        <f>L44+L45+L46</f>
        <v>384676.37699999998</v>
      </c>
      <c r="O44" s="250"/>
      <c r="P44" s="250"/>
      <c r="Q44" s="250"/>
      <c r="R44" s="250"/>
      <c r="S44" s="250"/>
      <c r="T44" s="250"/>
      <c r="U44" s="250"/>
      <c r="V44" s="250"/>
      <c r="W44" s="250"/>
      <c r="X44" s="251"/>
    </row>
    <row r="45" spans="1:24" s="18" customFormat="1" ht="29.25" customHeight="1" thickBot="1" x14ac:dyDescent="0.25">
      <c r="A45" s="237"/>
      <c r="B45" s="238"/>
      <c r="C45" s="239"/>
      <c r="D45" s="148" t="s">
        <v>31</v>
      </c>
      <c r="E45" s="148" t="s">
        <v>31</v>
      </c>
      <c r="F45" s="148" t="s">
        <v>31</v>
      </c>
      <c r="G45" s="16"/>
      <c r="H45" s="19">
        <v>0.95140000000000002</v>
      </c>
      <c r="I45" s="231">
        <f>M41</f>
        <v>187342</v>
      </c>
      <c r="J45" s="232"/>
      <c r="K45" s="233"/>
      <c r="L45" s="192">
        <f>I45*H45</f>
        <v>178237.17879999999</v>
      </c>
      <c r="M45" s="193"/>
      <c r="N45" s="252"/>
      <c r="O45" s="253"/>
      <c r="P45" s="253"/>
      <c r="Q45" s="253"/>
      <c r="R45" s="253"/>
      <c r="S45" s="253"/>
      <c r="T45" s="253"/>
      <c r="U45" s="253"/>
      <c r="V45" s="253"/>
      <c r="W45" s="253"/>
      <c r="X45" s="254"/>
    </row>
    <row r="46" spans="1:24" s="18" customFormat="1" ht="24.75" customHeight="1" thickBot="1" x14ac:dyDescent="0.25">
      <c r="A46" s="237"/>
      <c r="B46" s="238"/>
      <c r="C46" s="239"/>
      <c r="D46" s="150" t="s">
        <v>32</v>
      </c>
      <c r="E46" s="150" t="s">
        <v>32</v>
      </c>
      <c r="F46" s="150" t="s">
        <v>32</v>
      </c>
      <c r="G46" s="20"/>
      <c r="H46" s="20">
        <v>1.3304</v>
      </c>
      <c r="I46" s="262">
        <f>N41</f>
        <v>88388</v>
      </c>
      <c r="J46" s="263"/>
      <c r="K46" s="264"/>
      <c r="L46" s="192">
        <f>I46*H46</f>
        <v>117591.3952</v>
      </c>
      <c r="M46" s="193"/>
      <c r="N46" s="255"/>
      <c r="O46" s="256"/>
      <c r="P46" s="256"/>
      <c r="Q46" s="256"/>
      <c r="R46" s="256"/>
      <c r="S46" s="256"/>
      <c r="T46" s="256"/>
      <c r="U46" s="256"/>
      <c r="V46" s="256"/>
      <c r="W46" s="256"/>
      <c r="X46" s="257"/>
    </row>
    <row r="47" spans="1:24" s="18" customFormat="1" ht="43.5" customHeight="1" thickBot="1" x14ac:dyDescent="0.25">
      <c r="A47" s="158"/>
      <c r="B47" s="159"/>
      <c r="C47" s="159"/>
      <c r="D47" s="231" t="s">
        <v>122</v>
      </c>
      <c r="E47" s="484"/>
      <c r="F47" s="485"/>
      <c r="G47" s="16"/>
      <c r="H47" s="19">
        <v>1000</v>
      </c>
      <c r="I47" s="155"/>
      <c r="J47" s="156">
        <v>43.88167</v>
      </c>
      <c r="K47" s="157"/>
      <c r="L47" s="486">
        <f>H47*J47</f>
        <v>43881.67</v>
      </c>
      <c r="M47" s="487"/>
      <c r="N47" s="268">
        <f>L47</f>
        <v>43881.67</v>
      </c>
      <c r="O47" s="269"/>
      <c r="P47" s="269"/>
      <c r="Q47" s="269"/>
      <c r="R47" s="269"/>
      <c r="S47" s="269"/>
      <c r="T47" s="269"/>
      <c r="U47" s="269"/>
      <c r="V47" s="269"/>
      <c r="W47" s="269"/>
      <c r="X47" s="270"/>
    </row>
    <row r="48" spans="1:24" s="18" customFormat="1" ht="43.5" customHeight="1" thickBot="1" x14ac:dyDescent="0.25">
      <c r="A48" s="158"/>
      <c r="B48" s="159"/>
      <c r="C48" s="159"/>
      <c r="D48" s="231" t="s">
        <v>123</v>
      </c>
      <c r="E48" s="484"/>
      <c r="F48" s="485"/>
      <c r="G48" s="16"/>
      <c r="H48" s="16">
        <v>0</v>
      </c>
      <c r="I48" s="155"/>
      <c r="J48" s="156">
        <v>65.822505000000007</v>
      </c>
      <c r="K48" s="157"/>
      <c r="L48" s="192">
        <v>0</v>
      </c>
      <c r="M48" s="485"/>
      <c r="N48" s="268">
        <f t="shared" ref="N48:N50" si="4">L48</f>
        <v>0</v>
      </c>
      <c r="O48" s="269"/>
      <c r="P48" s="269"/>
      <c r="Q48" s="269"/>
      <c r="R48" s="269"/>
      <c r="S48" s="269"/>
      <c r="T48" s="269"/>
      <c r="U48" s="269"/>
      <c r="V48" s="269"/>
      <c r="W48" s="269"/>
      <c r="X48" s="270"/>
    </row>
    <row r="49" spans="1:24" s="18" customFormat="1" ht="43.5" customHeight="1" thickBot="1" x14ac:dyDescent="0.25">
      <c r="A49" s="158"/>
      <c r="B49" s="159"/>
      <c r="C49" s="159"/>
      <c r="D49" s="231" t="s">
        <v>124</v>
      </c>
      <c r="E49" s="484"/>
      <c r="F49" s="485"/>
      <c r="G49" s="16"/>
      <c r="H49" s="19"/>
      <c r="I49" s="155"/>
      <c r="J49" s="156">
        <v>841</v>
      </c>
      <c r="K49" s="157"/>
      <c r="L49" s="192">
        <v>841</v>
      </c>
      <c r="M49" s="485"/>
      <c r="N49" s="268">
        <f t="shared" si="4"/>
        <v>841</v>
      </c>
      <c r="O49" s="269"/>
      <c r="P49" s="269"/>
      <c r="Q49" s="269"/>
      <c r="R49" s="269"/>
      <c r="S49" s="269"/>
      <c r="T49" s="269"/>
      <c r="U49" s="269"/>
      <c r="V49" s="269"/>
      <c r="W49" s="269"/>
      <c r="X49" s="270"/>
    </row>
    <row r="50" spans="1:24" s="18" customFormat="1" ht="43.5" customHeight="1" thickBot="1" x14ac:dyDescent="0.25">
      <c r="A50" s="158"/>
      <c r="B50" s="159"/>
      <c r="C50" s="159"/>
      <c r="D50" s="231" t="s">
        <v>125</v>
      </c>
      <c r="E50" s="484"/>
      <c r="F50" s="485"/>
      <c r="G50" s="16"/>
      <c r="H50" s="19"/>
      <c r="I50" s="155"/>
      <c r="J50" s="156">
        <v>1492</v>
      </c>
      <c r="K50" s="157"/>
      <c r="L50" s="192">
        <v>1492</v>
      </c>
      <c r="M50" s="485"/>
      <c r="N50" s="268">
        <f t="shared" si="4"/>
        <v>1492</v>
      </c>
      <c r="O50" s="269"/>
      <c r="P50" s="269"/>
      <c r="Q50" s="269"/>
      <c r="R50" s="269"/>
      <c r="S50" s="269"/>
      <c r="T50" s="269"/>
      <c r="U50" s="269"/>
      <c r="V50" s="269"/>
      <c r="W50" s="269"/>
      <c r="X50" s="270"/>
    </row>
    <row r="51" spans="1:24" s="18" customFormat="1" ht="43.5" customHeight="1" thickBot="1" x14ac:dyDescent="0.25">
      <c r="A51" s="158"/>
      <c r="B51" s="159"/>
      <c r="C51" s="159"/>
      <c r="D51" s="237" t="s">
        <v>109</v>
      </c>
      <c r="E51" s="488"/>
      <c r="F51" s="488"/>
      <c r="G51" s="488"/>
      <c r="H51" s="488"/>
      <c r="I51" s="488"/>
      <c r="J51" s="488"/>
      <c r="K51" s="488"/>
      <c r="L51" s="488"/>
      <c r="M51" s="489"/>
      <c r="N51" s="268">
        <f>N44+N47+N48+N49+N50</f>
        <v>430891.04699999996</v>
      </c>
      <c r="O51" s="269"/>
      <c r="P51" s="269"/>
      <c r="Q51" s="269"/>
      <c r="R51" s="269"/>
      <c r="S51" s="269"/>
      <c r="T51" s="269"/>
      <c r="U51" s="269"/>
      <c r="V51" s="269"/>
      <c r="W51" s="269"/>
      <c r="X51" s="270"/>
    </row>
    <row r="52" spans="1:24" s="18" customFormat="1" ht="43.5" customHeight="1" thickBot="1" x14ac:dyDescent="0.25">
      <c r="A52" s="158"/>
      <c r="B52" s="159"/>
      <c r="C52" s="159"/>
      <c r="D52" s="231" t="s">
        <v>187</v>
      </c>
      <c r="E52" s="484"/>
      <c r="F52" s="484"/>
      <c r="G52" s="484"/>
      <c r="H52" s="484"/>
      <c r="I52" s="484"/>
      <c r="J52" s="484"/>
      <c r="K52" s="484"/>
      <c r="L52" s="484"/>
      <c r="M52" s="485"/>
      <c r="N52" s="490">
        <f>N51/O41</f>
        <v>1.0693996123376881</v>
      </c>
      <c r="O52" s="491"/>
      <c r="P52" s="491"/>
      <c r="Q52" s="491"/>
      <c r="R52" s="491"/>
      <c r="S52" s="491"/>
      <c r="T52" s="491"/>
      <c r="U52" s="491"/>
      <c r="V52" s="491"/>
      <c r="W52" s="491"/>
      <c r="X52" s="492"/>
    </row>
    <row r="53" spans="1:24" s="23" customFormat="1" ht="32.25" customHeight="1" thickBot="1" x14ac:dyDescent="0.25">
      <c r="A53" s="223" t="s">
        <v>39</v>
      </c>
      <c r="B53" s="224"/>
      <c r="C53" s="224"/>
      <c r="D53" s="224"/>
      <c r="E53" s="224"/>
      <c r="F53" s="225"/>
      <c r="G53" s="21"/>
      <c r="H53" s="22">
        <v>8.7899999999999991</v>
      </c>
      <c r="I53" s="223">
        <f>F41</f>
        <v>3971</v>
      </c>
      <c r="J53" s="224"/>
      <c r="K53" s="225"/>
      <c r="L53" s="229">
        <f>I53*H53</f>
        <v>34905.089999999997</v>
      </c>
      <c r="M53" s="230"/>
      <c r="N53" s="246">
        <f>L53</f>
        <v>34905.089999999997</v>
      </c>
      <c r="O53" s="247"/>
      <c r="P53" s="247"/>
      <c r="Q53" s="247"/>
      <c r="R53" s="247"/>
      <c r="S53" s="247"/>
      <c r="T53" s="247"/>
      <c r="U53" s="247"/>
      <c r="V53" s="247"/>
      <c r="W53" s="247"/>
      <c r="X53" s="248"/>
    </row>
    <row r="54" spans="1:24" s="23" customFormat="1" ht="36.75" customHeight="1" x14ac:dyDescent="0.2">
      <c r="A54" s="258" t="s">
        <v>40</v>
      </c>
      <c r="B54" s="259"/>
      <c r="C54" s="259"/>
      <c r="D54" s="259"/>
      <c r="E54" s="259"/>
      <c r="F54" s="260"/>
      <c r="G54" s="24"/>
      <c r="H54" s="25">
        <v>11.664999999999999</v>
      </c>
      <c r="I54" s="221">
        <f>V41</f>
        <v>17727.562339999997</v>
      </c>
      <c r="J54" s="261"/>
      <c r="K54" s="222"/>
      <c r="L54" s="221">
        <f>I54*H54</f>
        <v>206792.01469609994</v>
      </c>
      <c r="M54" s="222"/>
      <c r="N54" s="243">
        <f>L54</f>
        <v>206792.01469609994</v>
      </c>
      <c r="O54" s="244"/>
      <c r="P54" s="244"/>
      <c r="Q54" s="244"/>
      <c r="R54" s="244"/>
      <c r="S54" s="244"/>
      <c r="T54" s="244"/>
      <c r="U54" s="244"/>
      <c r="V54" s="244"/>
      <c r="W54" s="244"/>
      <c r="X54" s="245"/>
    </row>
    <row r="55" spans="1:24" ht="27" customHeight="1" x14ac:dyDescent="0.2">
      <c r="A55" s="2"/>
      <c r="B55" s="2"/>
      <c r="C55" s="2"/>
      <c r="D55" s="2"/>
      <c r="E55" s="2"/>
      <c r="F55" s="2"/>
      <c r="G55" s="30"/>
      <c r="H55" s="3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0"/>
      <c r="U55" s="30"/>
      <c r="V55" s="30"/>
      <c r="W55" s="30"/>
      <c r="X55" s="30"/>
    </row>
    <row r="56" spans="1:24" ht="18.75" customHeight="1" x14ac:dyDescent="0.2"/>
    <row r="60" spans="1:24" ht="39" customHeight="1" x14ac:dyDescent="0.2"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</row>
  </sheetData>
  <mergeCells count="88">
    <mergeCell ref="D51:M51"/>
    <mergeCell ref="N51:X51"/>
    <mergeCell ref="D52:M52"/>
    <mergeCell ref="N52:X52"/>
    <mergeCell ref="D49:F49"/>
    <mergeCell ref="L49:M49"/>
    <mergeCell ref="N49:X49"/>
    <mergeCell ref="D50:F50"/>
    <mergeCell ref="L50:M50"/>
    <mergeCell ref="N50:X50"/>
    <mergeCell ref="D47:F47"/>
    <mergeCell ref="L47:M47"/>
    <mergeCell ref="N47:X47"/>
    <mergeCell ref="D48:F48"/>
    <mergeCell ref="L48:M48"/>
    <mergeCell ref="N48:X48"/>
    <mergeCell ref="H28:J28"/>
    <mergeCell ref="H32:J32"/>
    <mergeCell ref="H29:J29"/>
    <mergeCell ref="B60:X60"/>
    <mergeCell ref="N54:X54"/>
    <mergeCell ref="N53:X53"/>
    <mergeCell ref="N44:X46"/>
    <mergeCell ref="N43:X43"/>
    <mergeCell ref="A54:F54"/>
    <mergeCell ref="I54:K54"/>
    <mergeCell ref="I46:K46"/>
    <mergeCell ref="I43:K43"/>
    <mergeCell ref="L46:M46"/>
    <mergeCell ref="H41:J41"/>
    <mergeCell ref="H30:J30"/>
    <mergeCell ref="D8:D9"/>
    <mergeCell ref="X8:X9"/>
    <mergeCell ref="V8:V9"/>
    <mergeCell ref="H26:J26"/>
    <mergeCell ref="L54:M54"/>
    <mergeCell ref="A53:F53"/>
    <mergeCell ref="A43:F43"/>
    <mergeCell ref="I53:K53"/>
    <mergeCell ref="L53:M53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L13" sqref="L13"/>
    </sheetView>
  </sheetViews>
  <sheetFormatPr baseColWidth="10" defaultColWidth="11.42578125" defaultRowHeight="18" x14ac:dyDescent="0.25"/>
  <cols>
    <col min="1" max="1" width="18.5703125" style="44" customWidth="1"/>
    <col min="2" max="3" width="19.140625" style="44" customWidth="1"/>
    <col min="4" max="4" width="16.7109375" customWidth="1"/>
    <col min="5" max="5" width="19.5703125" style="139" customWidth="1"/>
    <col min="6" max="11" width="16.7109375" customWidth="1"/>
    <col min="12" max="12" width="24.28515625" customWidth="1"/>
  </cols>
  <sheetData>
    <row r="1" spans="1:12" ht="12.75" customHeight="1" x14ac:dyDescent="0.2">
      <c r="A1" s="293"/>
      <c r="B1" s="294"/>
      <c r="C1" s="294"/>
      <c r="D1" s="295"/>
      <c r="E1" s="276" t="s">
        <v>181</v>
      </c>
      <c r="F1" s="277"/>
      <c r="G1" s="277"/>
      <c r="H1" s="277"/>
      <c r="I1" s="278"/>
      <c r="J1" s="285" t="s">
        <v>182</v>
      </c>
      <c r="K1" s="286"/>
      <c r="L1" s="46"/>
    </row>
    <row r="2" spans="1:12" ht="16.5" customHeight="1" x14ac:dyDescent="0.2">
      <c r="A2" s="296"/>
      <c r="B2" s="297"/>
      <c r="C2" s="297"/>
      <c r="D2" s="298"/>
      <c r="E2" s="279"/>
      <c r="F2" s="280"/>
      <c r="G2" s="280"/>
      <c r="H2" s="280"/>
      <c r="I2" s="281"/>
      <c r="J2" s="287"/>
      <c r="K2" s="288"/>
      <c r="L2" s="46"/>
    </row>
    <row r="3" spans="1:12" ht="48" customHeight="1" x14ac:dyDescent="0.2">
      <c r="A3" s="299"/>
      <c r="B3" s="300"/>
      <c r="C3" s="300"/>
      <c r="D3" s="301"/>
      <c r="E3" s="282"/>
      <c r="F3" s="283"/>
      <c r="G3" s="283"/>
      <c r="H3" s="283"/>
      <c r="I3" s="284"/>
      <c r="J3" s="289"/>
      <c r="K3" s="290"/>
      <c r="L3" s="46"/>
    </row>
    <row r="6" spans="1:12" ht="10.5" customHeight="1" x14ac:dyDescent="0.25"/>
    <row r="7" spans="1:12" ht="16.5" customHeight="1" x14ac:dyDescent="0.2">
      <c r="A7" s="274" t="s">
        <v>41</v>
      </c>
      <c r="B7" s="302" t="s">
        <v>42</v>
      </c>
      <c r="C7" s="303"/>
      <c r="D7" s="291" t="s">
        <v>43</v>
      </c>
      <c r="E7" s="291"/>
      <c r="F7" s="292" t="s">
        <v>44</v>
      </c>
      <c r="G7" s="292"/>
      <c r="H7" s="292"/>
      <c r="I7" s="292"/>
      <c r="J7" s="292"/>
      <c r="K7" s="292"/>
    </row>
    <row r="8" spans="1:12" s="29" customFormat="1" ht="28.5" customHeight="1" x14ac:dyDescent="0.2">
      <c r="A8" s="275"/>
      <c r="B8" s="109" t="s">
        <v>45</v>
      </c>
      <c r="C8" s="109" t="s">
        <v>46</v>
      </c>
      <c r="D8" s="51" t="s">
        <v>45</v>
      </c>
      <c r="E8" s="51" t="s">
        <v>47</v>
      </c>
      <c r="F8" s="53" t="s">
        <v>48</v>
      </c>
      <c r="G8" s="53" t="s">
        <v>49</v>
      </c>
      <c r="H8" s="53" t="s">
        <v>50</v>
      </c>
      <c r="I8" s="53" t="s">
        <v>51</v>
      </c>
      <c r="J8" s="53" t="s">
        <v>52</v>
      </c>
      <c r="K8" s="53" t="s">
        <v>53</v>
      </c>
    </row>
    <row r="9" spans="1:12" ht="19.5" x14ac:dyDescent="0.3">
      <c r="A9" s="54">
        <v>44562</v>
      </c>
      <c r="B9" s="111">
        <v>2594</v>
      </c>
      <c r="C9" s="110">
        <v>0</v>
      </c>
      <c r="D9" s="52">
        <v>180444</v>
      </c>
      <c r="E9" s="47">
        <v>167</v>
      </c>
      <c r="F9" s="48">
        <v>12903932</v>
      </c>
      <c r="G9" s="47">
        <v>4739</v>
      </c>
      <c r="H9" s="48">
        <v>22022400</v>
      </c>
      <c r="I9" s="47">
        <v>8544</v>
      </c>
      <c r="J9" s="48">
        <v>9661505</v>
      </c>
      <c r="K9" s="47">
        <v>3818</v>
      </c>
    </row>
    <row r="10" spans="1:12" ht="21" thickTop="1" thickBot="1" x14ac:dyDescent="0.35">
      <c r="A10" s="54">
        <v>44563</v>
      </c>
      <c r="B10" s="111">
        <v>2594</v>
      </c>
      <c r="C10" s="110">
        <f t="shared" ref="C10:C23" si="0">B10-B9</f>
        <v>0</v>
      </c>
      <c r="D10" s="52">
        <v>180603</v>
      </c>
      <c r="E10" s="47">
        <f t="shared" ref="E10:E40" si="1">D10-D9</f>
        <v>159</v>
      </c>
      <c r="F10" s="48">
        <v>12908179</v>
      </c>
      <c r="G10" s="47">
        <f t="shared" ref="G10:G40" si="2">F10-F9</f>
        <v>4247</v>
      </c>
      <c r="H10" s="48">
        <v>22028643</v>
      </c>
      <c r="I10" s="47">
        <f t="shared" ref="I10:I40" si="3">H10-H9</f>
        <v>6243</v>
      </c>
      <c r="J10" s="48">
        <v>9664357</v>
      </c>
      <c r="K10" s="47">
        <f t="shared" ref="K10:K40" si="4">J10-J9</f>
        <v>2852</v>
      </c>
    </row>
    <row r="11" spans="1:12" ht="21" thickTop="1" thickBot="1" x14ac:dyDescent="0.35">
      <c r="A11" s="54">
        <v>44564</v>
      </c>
      <c r="B11" s="111">
        <v>2594</v>
      </c>
      <c r="C11" s="110">
        <f t="shared" si="0"/>
        <v>0</v>
      </c>
      <c r="D11" s="52">
        <v>180760</v>
      </c>
      <c r="E11" s="47">
        <f t="shared" si="1"/>
        <v>157</v>
      </c>
      <c r="F11" s="48">
        <v>12912809</v>
      </c>
      <c r="G11" s="47">
        <f t="shared" si="2"/>
        <v>4630</v>
      </c>
      <c r="H11" s="48">
        <v>22035092</v>
      </c>
      <c r="I11" s="47">
        <f t="shared" si="3"/>
        <v>6449</v>
      </c>
      <c r="J11" s="48">
        <v>9667626</v>
      </c>
      <c r="K11" s="47">
        <f t="shared" si="4"/>
        <v>3269</v>
      </c>
    </row>
    <row r="12" spans="1:12" ht="21" thickTop="1" thickBot="1" x14ac:dyDescent="0.35">
      <c r="A12" s="54">
        <v>44565</v>
      </c>
      <c r="B12" s="111">
        <v>2594</v>
      </c>
      <c r="C12" s="110">
        <f t="shared" si="0"/>
        <v>0</v>
      </c>
      <c r="D12" s="52">
        <v>180901</v>
      </c>
      <c r="E12" s="47">
        <f t="shared" si="1"/>
        <v>141</v>
      </c>
      <c r="F12" s="48">
        <v>12916685</v>
      </c>
      <c r="G12" s="47">
        <f t="shared" si="2"/>
        <v>3876</v>
      </c>
      <c r="H12" s="48">
        <v>22041530</v>
      </c>
      <c r="I12" s="47">
        <f t="shared" si="3"/>
        <v>6438</v>
      </c>
      <c r="J12" s="48">
        <v>9670613</v>
      </c>
      <c r="K12" s="47">
        <f t="shared" si="4"/>
        <v>2987</v>
      </c>
    </row>
    <row r="13" spans="1:12" ht="21" thickTop="1" thickBot="1" x14ac:dyDescent="0.35">
      <c r="A13" s="54">
        <v>44566</v>
      </c>
      <c r="B13" s="111">
        <v>2594</v>
      </c>
      <c r="C13" s="110">
        <f t="shared" si="0"/>
        <v>0</v>
      </c>
      <c r="D13" s="52">
        <v>181052</v>
      </c>
      <c r="E13" s="47">
        <f t="shared" si="1"/>
        <v>151</v>
      </c>
      <c r="F13" s="48">
        <v>12921084</v>
      </c>
      <c r="G13" s="47">
        <f t="shared" si="2"/>
        <v>4399</v>
      </c>
      <c r="H13" s="48">
        <v>22047851</v>
      </c>
      <c r="I13" s="47">
        <f t="shared" si="3"/>
        <v>6321</v>
      </c>
      <c r="J13" s="48">
        <v>9673538</v>
      </c>
      <c r="K13" s="47">
        <f t="shared" si="4"/>
        <v>2925</v>
      </c>
    </row>
    <row r="14" spans="1:12" ht="21" thickTop="1" thickBot="1" x14ac:dyDescent="0.35">
      <c r="A14" s="54">
        <v>44567</v>
      </c>
      <c r="B14" s="111">
        <v>2594</v>
      </c>
      <c r="C14" s="110">
        <f t="shared" si="0"/>
        <v>0</v>
      </c>
      <c r="D14" s="52">
        <v>181208</v>
      </c>
      <c r="E14" s="47">
        <f t="shared" si="1"/>
        <v>156</v>
      </c>
      <c r="F14" s="48">
        <v>12926026</v>
      </c>
      <c r="G14" s="47">
        <f t="shared" si="2"/>
        <v>4942</v>
      </c>
      <c r="H14" s="48">
        <v>22054004</v>
      </c>
      <c r="I14" s="47">
        <f t="shared" si="3"/>
        <v>6153</v>
      </c>
      <c r="J14" s="48">
        <v>9676457</v>
      </c>
      <c r="K14" s="47">
        <f t="shared" si="4"/>
        <v>2919</v>
      </c>
    </row>
    <row r="15" spans="1:12" ht="21" thickTop="1" thickBot="1" x14ac:dyDescent="0.35">
      <c r="A15" s="54">
        <v>44568</v>
      </c>
      <c r="B15" s="111">
        <v>2594</v>
      </c>
      <c r="C15" s="110">
        <f t="shared" si="0"/>
        <v>0</v>
      </c>
      <c r="D15" s="52">
        <v>181370</v>
      </c>
      <c r="E15" s="47">
        <f t="shared" si="1"/>
        <v>162</v>
      </c>
      <c r="F15" s="48">
        <v>12930059</v>
      </c>
      <c r="G15" s="47">
        <f t="shared" si="2"/>
        <v>4033</v>
      </c>
      <c r="H15" s="48">
        <v>22060167</v>
      </c>
      <c r="I15" s="47">
        <f t="shared" si="3"/>
        <v>6163</v>
      </c>
      <c r="J15" s="48">
        <v>9679217</v>
      </c>
      <c r="K15" s="47">
        <f t="shared" si="4"/>
        <v>2760</v>
      </c>
    </row>
    <row r="16" spans="1:12" ht="21" thickTop="1" thickBot="1" x14ac:dyDescent="0.35">
      <c r="A16" s="54">
        <v>44569</v>
      </c>
      <c r="B16" s="111">
        <v>2594</v>
      </c>
      <c r="C16" s="110">
        <f t="shared" si="0"/>
        <v>0</v>
      </c>
      <c r="D16" s="52">
        <v>181500</v>
      </c>
      <c r="E16" s="47">
        <f t="shared" si="1"/>
        <v>130</v>
      </c>
      <c r="F16" s="48">
        <v>12933996</v>
      </c>
      <c r="G16" s="47">
        <f t="shared" si="2"/>
        <v>3937</v>
      </c>
      <c r="H16" s="48">
        <v>22066138</v>
      </c>
      <c r="I16" s="47">
        <f t="shared" si="3"/>
        <v>5971</v>
      </c>
      <c r="J16" s="48">
        <v>9682160</v>
      </c>
      <c r="K16" s="47">
        <f t="shared" si="4"/>
        <v>2943</v>
      </c>
    </row>
    <row r="17" spans="1:29" ht="21" thickTop="1" thickBot="1" x14ac:dyDescent="0.35">
      <c r="A17" s="54">
        <v>44570</v>
      </c>
      <c r="B17" s="111">
        <v>2594</v>
      </c>
      <c r="C17" s="110">
        <f t="shared" si="0"/>
        <v>0</v>
      </c>
      <c r="D17" s="52">
        <v>181600</v>
      </c>
      <c r="E17" s="47">
        <f t="shared" si="1"/>
        <v>100</v>
      </c>
      <c r="F17" s="48">
        <v>12938842</v>
      </c>
      <c r="G17" s="47">
        <f t="shared" si="2"/>
        <v>4846</v>
      </c>
      <c r="H17" s="48">
        <v>22072148</v>
      </c>
      <c r="I17" s="47">
        <f t="shared" si="3"/>
        <v>6010</v>
      </c>
      <c r="J17" s="48">
        <v>9684996</v>
      </c>
      <c r="K17" s="47">
        <f t="shared" si="4"/>
        <v>2836</v>
      </c>
    </row>
    <row r="18" spans="1:29" ht="21" thickTop="1" thickBot="1" x14ac:dyDescent="0.35">
      <c r="A18" s="54">
        <v>44571</v>
      </c>
      <c r="B18" s="111">
        <v>2594</v>
      </c>
      <c r="C18" s="110">
        <f t="shared" si="0"/>
        <v>0</v>
      </c>
      <c r="D18" s="52">
        <v>181721</v>
      </c>
      <c r="E18" s="47">
        <f t="shared" si="1"/>
        <v>121</v>
      </c>
      <c r="F18" s="48">
        <v>12942881</v>
      </c>
      <c r="G18" s="47">
        <f t="shared" si="2"/>
        <v>4039</v>
      </c>
      <c r="H18" s="48">
        <v>22078207</v>
      </c>
      <c r="I18" s="47">
        <f t="shared" si="3"/>
        <v>6059</v>
      </c>
      <c r="J18" s="48">
        <v>9687919</v>
      </c>
      <c r="K18" s="47">
        <f t="shared" si="4"/>
        <v>2923</v>
      </c>
    </row>
    <row r="19" spans="1:29" ht="21" thickTop="1" thickBot="1" x14ac:dyDescent="0.35">
      <c r="A19" s="54">
        <v>44572</v>
      </c>
      <c r="B19" s="111">
        <v>2594</v>
      </c>
      <c r="C19" s="110">
        <f t="shared" si="0"/>
        <v>0</v>
      </c>
      <c r="D19" s="52">
        <v>181827</v>
      </c>
      <c r="E19" s="47">
        <f t="shared" si="1"/>
        <v>106</v>
      </c>
      <c r="F19" s="48">
        <v>12946859</v>
      </c>
      <c r="G19" s="47">
        <f t="shared" si="2"/>
        <v>3978</v>
      </c>
      <c r="H19" s="48">
        <v>22084050</v>
      </c>
      <c r="I19" s="47">
        <f t="shared" si="3"/>
        <v>5843</v>
      </c>
      <c r="J19" s="48">
        <v>9690675</v>
      </c>
      <c r="K19" s="47">
        <f t="shared" si="4"/>
        <v>2756</v>
      </c>
    </row>
    <row r="20" spans="1:29" ht="27" thickTop="1" thickBot="1" x14ac:dyDescent="0.4">
      <c r="A20" s="54">
        <v>44573</v>
      </c>
      <c r="B20" s="111">
        <v>2594</v>
      </c>
      <c r="C20" s="110">
        <f t="shared" si="0"/>
        <v>0</v>
      </c>
      <c r="D20" s="52">
        <v>181931</v>
      </c>
      <c r="E20" s="47">
        <f t="shared" si="1"/>
        <v>104</v>
      </c>
      <c r="F20" s="48">
        <v>12951108</v>
      </c>
      <c r="G20" s="47">
        <f t="shared" si="2"/>
        <v>4249</v>
      </c>
      <c r="H20" s="48">
        <v>22090090</v>
      </c>
      <c r="I20" s="47">
        <f t="shared" si="3"/>
        <v>6040</v>
      </c>
      <c r="J20" s="48">
        <v>9693735</v>
      </c>
      <c r="K20" s="47">
        <f t="shared" si="4"/>
        <v>3060</v>
      </c>
      <c r="L20" s="112" t="s">
        <v>18</v>
      </c>
      <c r="AC20" t="s">
        <v>54</v>
      </c>
    </row>
    <row r="21" spans="1:29" ht="21" thickTop="1" thickBot="1" x14ac:dyDescent="0.35">
      <c r="A21" s="54">
        <v>44574</v>
      </c>
      <c r="B21" s="111">
        <v>2594</v>
      </c>
      <c r="C21" s="110">
        <f t="shared" si="0"/>
        <v>0</v>
      </c>
      <c r="D21" s="52">
        <v>182041</v>
      </c>
      <c r="E21" s="47">
        <f t="shared" si="1"/>
        <v>110</v>
      </c>
      <c r="F21" s="48">
        <v>12955402</v>
      </c>
      <c r="G21" s="47">
        <f t="shared" si="2"/>
        <v>4294</v>
      </c>
      <c r="H21" s="48">
        <v>22096404</v>
      </c>
      <c r="I21" s="47">
        <f t="shared" si="3"/>
        <v>6314</v>
      </c>
      <c r="J21" s="48">
        <v>9696581</v>
      </c>
      <c r="K21" s="47">
        <f t="shared" si="4"/>
        <v>2846</v>
      </c>
    </row>
    <row r="22" spans="1:29" ht="21" thickTop="1" thickBot="1" x14ac:dyDescent="0.35">
      <c r="A22" s="54">
        <v>44575</v>
      </c>
      <c r="B22" s="111">
        <v>2594</v>
      </c>
      <c r="C22" s="110">
        <f t="shared" si="0"/>
        <v>0</v>
      </c>
      <c r="D22" s="52">
        <v>182184</v>
      </c>
      <c r="E22" s="47">
        <f t="shared" si="1"/>
        <v>143</v>
      </c>
      <c r="F22" s="48">
        <v>12959845</v>
      </c>
      <c r="G22" s="47">
        <f t="shared" si="2"/>
        <v>4443</v>
      </c>
      <c r="H22" s="48">
        <v>22102652</v>
      </c>
      <c r="I22" s="47">
        <f t="shared" si="3"/>
        <v>6248</v>
      </c>
      <c r="J22" s="48">
        <v>9699551</v>
      </c>
      <c r="K22" s="47">
        <f t="shared" si="4"/>
        <v>2970</v>
      </c>
    </row>
    <row r="23" spans="1:29" ht="21" thickTop="1" thickBot="1" x14ac:dyDescent="0.35">
      <c r="A23" s="54">
        <v>44576</v>
      </c>
      <c r="B23" s="111">
        <v>2594</v>
      </c>
      <c r="C23" s="110">
        <f t="shared" si="0"/>
        <v>0</v>
      </c>
      <c r="D23" s="52">
        <v>182305</v>
      </c>
      <c r="E23" s="47">
        <f t="shared" si="1"/>
        <v>121</v>
      </c>
      <c r="F23" s="48">
        <v>12963846</v>
      </c>
      <c r="G23" s="47">
        <f t="shared" si="2"/>
        <v>4001</v>
      </c>
      <c r="H23" s="48">
        <v>22108744</v>
      </c>
      <c r="I23" s="47">
        <f t="shared" si="3"/>
        <v>6092</v>
      </c>
      <c r="J23" s="48">
        <v>9702382</v>
      </c>
      <c r="K23" s="47">
        <f t="shared" si="4"/>
        <v>2831</v>
      </c>
    </row>
    <row r="24" spans="1:29" ht="21" thickTop="1" thickBot="1" x14ac:dyDescent="0.35">
      <c r="A24" s="54">
        <v>44577</v>
      </c>
      <c r="B24" s="111">
        <v>2594</v>
      </c>
      <c r="C24" s="110">
        <f t="shared" ref="C24:C40" si="5">B24-B23</f>
        <v>0</v>
      </c>
      <c r="D24" s="52">
        <v>182429</v>
      </c>
      <c r="E24" s="47">
        <f t="shared" si="1"/>
        <v>124</v>
      </c>
      <c r="F24" s="48">
        <v>12967775</v>
      </c>
      <c r="G24" s="47">
        <f t="shared" si="2"/>
        <v>3929</v>
      </c>
      <c r="H24" s="48">
        <v>22114637</v>
      </c>
      <c r="I24" s="47">
        <f t="shared" si="3"/>
        <v>5893</v>
      </c>
      <c r="J24" s="48">
        <v>9705111</v>
      </c>
      <c r="K24" s="47">
        <f t="shared" si="4"/>
        <v>2729</v>
      </c>
    </row>
    <row r="25" spans="1:29" ht="21" thickTop="1" thickBot="1" x14ac:dyDescent="0.35">
      <c r="A25" s="54">
        <v>44578</v>
      </c>
      <c r="B25" s="111">
        <v>2594</v>
      </c>
      <c r="C25" s="110">
        <f t="shared" si="5"/>
        <v>0</v>
      </c>
      <c r="D25" s="52">
        <v>182564</v>
      </c>
      <c r="E25" s="47">
        <f t="shared" si="1"/>
        <v>135</v>
      </c>
      <c r="F25" s="48">
        <v>12971727</v>
      </c>
      <c r="G25" s="47">
        <f t="shared" si="2"/>
        <v>3952</v>
      </c>
      <c r="H25" s="48">
        <v>22120527</v>
      </c>
      <c r="I25" s="47">
        <f t="shared" si="3"/>
        <v>5890</v>
      </c>
      <c r="J25" s="48">
        <v>9708060</v>
      </c>
      <c r="K25" s="47">
        <f t="shared" si="4"/>
        <v>2949</v>
      </c>
    </row>
    <row r="26" spans="1:29" ht="21" thickTop="1" thickBot="1" x14ac:dyDescent="0.35">
      <c r="A26" s="54">
        <v>44579</v>
      </c>
      <c r="B26" s="111">
        <v>2594</v>
      </c>
      <c r="C26" s="110">
        <f t="shared" si="5"/>
        <v>0</v>
      </c>
      <c r="D26" s="52">
        <v>182707</v>
      </c>
      <c r="E26" s="47">
        <f t="shared" si="1"/>
        <v>143</v>
      </c>
      <c r="F26" s="48">
        <v>12975414</v>
      </c>
      <c r="G26" s="47">
        <f t="shared" si="2"/>
        <v>3687</v>
      </c>
      <c r="H26" s="48">
        <v>22126648</v>
      </c>
      <c r="I26" s="47">
        <f t="shared" si="3"/>
        <v>6121</v>
      </c>
      <c r="J26" s="48">
        <v>9710853</v>
      </c>
      <c r="K26" s="47">
        <f t="shared" si="4"/>
        <v>2793</v>
      </c>
    </row>
    <row r="27" spans="1:29" ht="21" thickTop="1" thickBot="1" x14ac:dyDescent="0.35">
      <c r="A27" s="54">
        <v>44580</v>
      </c>
      <c r="B27" s="111">
        <v>2594</v>
      </c>
      <c r="C27" s="110">
        <f t="shared" si="5"/>
        <v>0</v>
      </c>
      <c r="D27" s="52">
        <v>182815</v>
      </c>
      <c r="E27" s="47">
        <f t="shared" si="1"/>
        <v>108</v>
      </c>
      <c r="F27" s="48">
        <v>12979590</v>
      </c>
      <c r="G27" s="47">
        <f t="shared" si="2"/>
        <v>4176</v>
      </c>
      <c r="H27" s="48">
        <v>22132680</v>
      </c>
      <c r="I27" s="47">
        <f t="shared" si="3"/>
        <v>6032</v>
      </c>
      <c r="J27" s="48">
        <v>9713551</v>
      </c>
      <c r="K27" s="47">
        <f t="shared" si="4"/>
        <v>2698</v>
      </c>
    </row>
    <row r="28" spans="1:29" ht="21" thickTop="1" thickBot="1" x14ac:dyDescent="0.35">
      <c r="A28" s="54">
        <v>44581</v>
      </c>
      <c r="B28" s="111">
        <v>2594</v>
      </c>
      <c r="C28" s="110">
        <f t="shared" si="5"/>
        <v>0</v>
      </c>
      <c r="D28" s="52">
        <v>182932</v>
      </c>
      <c r="E28" s="47">
        <f t="shared" si="1"/>
        <v>117</v>
      </c>
      <c r="F28" s="48">
        <v>12983915</v>
      </c>
      <c r="G28" s="47">
        <f t="shared" si="2"/>
        <v>4325</v>
      </c>
      <c r="H28" s="48">
        <v>22138404</v>
      </c>
      <c r="I28" s="47">
        <f t="shared" si="3"/>
        <v>5724</v>
      </c>
      <c r="J28" s="48">
        <v>9716237</v>
      </c>
      <c r="K28" s="47">
        <f t="shared" si="4"/>
        <v>2686</v>
      </c>
    </row>
    <row r="29" spans="1:29" ht="21" thickTop="1" thickBot="1" x14ac:dyDescent="0.35">
      <c r="A29" s="54">
        <v>44582</v>
      </c>
      <c r="B29" s="111">
        <v>2594</v>
      </c>
      <c r="C29" s="110">
        <f t="shared" si="5"/>
        <v>0</v>
      </c>
      <c r="D29" s="52">
        <v>183044</v>
      </c>
      <c r="E29" s="47">
        <f t="shared" si="1"/>
        <v>112</v>
      </c>
      <c r="F29" s="48">
        <v>12987725</v>
      </c>
      <c r="G29" s="47">
        <f t="shared" si="2"/>
        <v>3810</v>
      </c>
      <c r="H29" s="48">
        <v>22144295</v>
      </c>
      <c r="I29" s="47">
        <f t="shared" si="3"/>
        <v>5891</v>
      </c>
      <c r="J29" s="48">
        <v>9719038</v>
      </c>
      <c r="K29" s="47">
        <f t="shared" si="4"/>
        <v>2801</v>
      </c>
    </row>
    <row r="30" spans="1:29" ht="21" thickTop="1" thickBot="1" x14ac:dyDescent="0.35">
      <c r="A30" s="54">
        <v>44583</v>
      </c>
      <c r="B30" s="111">
        <v>2594</v>
      </c>
      <c r="C30" s="110">
        <f t="shared" si="5"/>
        <v>0</v>
      </c>
      <c r="D30" s="52">
        <v>183172</v>
      </c>
      <c r="E30" s="47">
        <f t="shared" si="1"/>
        <v>128</v>
      </c>
      <c r="F30" s="48">
        <v>12991650</v>
      </c>
      <c r="G30" s="47">
        <f t="shared" si="2"/>
        <v>3925</v>
      </c>
      <c r="H30" s="48">
        <v>22150160</v>
      </c>
      <c r="I30" s="47">
        <f t="shared" si="3"/>
        <v>5865</v>
      </c>
      <c r="J30" s="48">
        <v>9721697</v>
      </c>
      <c r="K30" s="47">
        <f t="shared" si="4"/>
        <v>2659</v>
      </c>
    </row>
    <row r="31" spans="1:29" ht="21" thickTop="1" thickBot="1" x14ac:dyDescent="0.35">
      <c r="A31" s="54">
        <v>44584</v>
      </c>
      <c r="B31" s="111">
        <v>2594</v>
      </c>
      <c r="C31" s="110">
        <f t="shared" si="5"/>
        <v>0</v>
      </c>
      <c r="D31" s="52">
        <v>183306</v>
      </c>
      <c r="E31" s="47">
        <f t="shared" si="1"/>
        <v>134</v>
      </c>
      <c r="F31" s="48">
        <v>12995699</v>
      </c>
      <c r="G31" s="47">
        <f t="shared" si="2"/>
        <v>4049</v>
      </c>
      <c r="H31" s="48">
        <v>22155895</v>
      </c>
      <c r="I31" s="47">
        <f t="shared" si="3"/>
        <v>5735</v>
      </c>
      <c r="J31" s="48">
        <v>9724295</v>
      </c>
      <c r="K31" s="47">
        <f t="shared" si="4"/>
        <v>2598</v>
      </c>
    </row>
    <row r="32" spans="1:29" ht="21" thickTop="1" thickBot="1" x14ac:dyDescent="0.35">
      <c r="A32" s="54">
        <v>44585</v>
      </c>
      <c r="B32" s="111">
        <v>2594</v>
      </c>
      <c r="C32" s="110">
        <f t="shared" si="5"/>
        <v>0</v>
      </c>
      <c r="D32" s="52">
        <v>183429</v>
      </c>
      <c r="E32" s="47">
        <f t="shared" si="1"/>
        <v>123</v>
      </c>
      <c r="F32" s="48">
        <v>12999226</v>
      </c>
      <c r="G32" s="47">
        <f t="shared" si="2"/>
        <v>3527</v>
      </c>
      <c r="H32" s="48">
        <v>22161629</v>
      </c>
      <c r="I32" s="47">
        <f t="shared" si="3"/>
        <v>5734</v>
      </c>
      <c r="J32" s="48">
        <v>9726269</v>
      </c>
      <c r="K32" s="47">
        <f t="shared" si="4"/>
        <v>1974</v>
      </c>
    </row>
    <row r="33" spans="1:11" ht="21" thickTop="1" thickBot="1" x14ac:dyDescent="0.35">
      <c r="A33" s="54">
        <v>44586</v>
      </c>
      <c r="B33" s="111">
        <v>2594</v>
      </c>
      <c r="C33" s="110">
        <f t="shared" si="5"/>
        <v>0</v>
      </c>
      <c r="D33" s="52">
        <v>183576</v>
      </c>
      <c r="E33" s="47">
        <f t="shared" si="1"/>
        <v>147</v>
      </c>
      <c r="F33" s="48">
        <v>13003044</v>
      </c>
      <c r="G33" s="47">
        <f t="shared" si="2"/>
        <v>3818</v>
      </c>
      <c r="H33" s="48">
        <v>22167383</v>
      </c>
      <c r="I33" s="47">
        <f t="shared" si="3"/>
        <v>5754</v>
      </c>
      <c r="J33" s="48">
        <v>9729610</v>
      </c>
      <c r="K33" s="47">
        <f t="shared" si="4"/>
        <v>3341</v>
      </c>
    </row>
    <row r="34" spans="1:11" ht="21" thickTop="1" thickBot="1" x14ac:dyDescent="0.35">
      <c r="A34" s="54">
        <v>44587</v>
      </c>
      <c r="B34" s="111">
        <v>2594</v>
      </c>
      <c r="C34" s="110">
        <f t="shared" si="5"/>
        <v>0</v>
      </c>
      <c r="D34" s="52">
        <v>183667</v>
      </c>
      <c r="E34" s="47">
        <f t="shared" si="1"/>
        <v>91</v>
      </c>
      <c r="F34" s="48">
        <v>13007055</v>
      </c>
      <c r="G34" s="47">
        <f t="shared" si="2"/>
        <v>4011</v>
      </c>
      <c r="H34" s="48">
        <v>22173160</v>
      </c>
      <c r="I34" s="47">
        <f t="shared" si="3"/>
        <v>5777</v>
      </c>
      <c r="J34" s="48">
        <v>9732299</v>
      </c>
      <c r="K34" s="47">
        <f t="shared" si="4"/>
        <v>2689</v>
      </c>
    </row>
    <row r="35" spans="1:11" ht="21" thickTop="1" thickBot="1" x14ac:dyDescent="0.35">
      <c r="A35" s="54">
        <v>44588</v>
      </c>
      <c r="B35" s="111">
        <v>2594</v>
      </c>
      <c r="C35" s="110">
        <f t="shared" si="5"/>
        <v>0</v>
      </c>
      <c r="D35" s="52">
        <v>183781</v>
      </c>
      <c r="E35" s="47">
        <f t="shared" si="1"/>
        <v>114</v>
      </c>
      <c r="F35" s="48">
        <v>13011261</v>
      </c>
      <c r="G35" s="47">
        <f t="shared" si="2"/>
        <v>4206</v>
      </c>
      <c r="H35" s="48">
        <v>22178886</v>
      </c>
      <c r="I35" s="47">
        <f t="shared" si="3"/>
        <v>5726</v>
      </c>
      <c r="J35" s="48">
        <v>9735187</v>
      </c>
      <c r="K35" s="47">
        <f t="shared" si="4"/>
        <v>2888</v>
      </c>
    </row>
    <row r="36" spans="1:11" ht="21" thickTop="1" thickBot="1" x14ac:dyDescent="0.35">
      <c r="A36" s="54">
        <v>44589</v>
      </c>
      <c r="B36" s="111">
        <v>2594</v>
      </c>
      <c r="C36" s="110">
        <f t="shared" si="5"/>
        <v>0</v>
      </c>
      <c r="D36" s="52">
        <v>183934</v>
      </c>
      <c r="E36" s="47">
        <f t="shared" si="1"/>
        <v>153</v>
      </c>
      <c r="F36" s="48">
        <v>13015142</v>
      </c>
      <c r="G36" s="47">
        <f t="shared" si="2"/>
        <v>3881</v>
      </c>
      <c r="H36" s="48">
        <v>22184591</v>
      </c>
      <c r="I36" s="47">
        <f t="shared" si="3"/>
        <v>5705</v>
      </c>
      <c r="J36" s="48">
        <v>9738324</v>
      </c>
      <c r="K36" s="47">
        <f t="shared" si="4"/>
        <v>3137</v>
      </c>
    </row>
    <row r="37" spans="1:11" ht="21" thickTop="1" thickBot="1" x14ac:dyDescent="0.35">
      <c r="A37" s="54">
        <v>44590</v>
      </c>
      <c r="B37" s="111">
        <v>2594</v>
      </c>
      <c r="C37" s="110">
        <f t="shared" si="5"/>
        <v>0</v>
      </c>
      <c r="D37" s="52">
        <v>184040</v>
      </c>
      <c r="E37" s="47">
        <f t="shared" si="1"/>
        <v>106</v>
      </c>
      <c r="F37" s="48">
        <v>13019100</v>
      </c>
      <c r="G37" s="47">
        <f t="shared" si="2"/>
        <v>3958</v>
      </c>
      <c r="H37" s="48">
        <v>22190337</v>
      </c>
      <c r="I37" s="47">
        <f t="shared" si="3"/>
        <v>5746</v>
      </c>
      <c r="J37" s="48">
        <v>9740882</v>
      </c>
      <c r="K37" s="47">
        <f t="shared" si="4"/>
        <v>2558</v>
      </c>
    </row>
    <row r="38" spans="1:11" ht="21" thickTop="1" thickBot="1" x14ac:dyDescent="0.35">
      <c r="A38" s="54">
        <v>44591</v>
      </c>
      <c r="B38" s="111">
        <v>2594</v>
      </c>
      <c r="C38" s="110">
        <f t="shared" si="5"/>
        <v>0</v>
      </c>
      <c r="D38" s="52">
        <v>184154</v>
      </c>
      <c r="E38" s="47">
        <f t="shared" si="1"/>
        <v>114</v>
      </c>
      <c r="F38" s="48">
        <v>13022851</v>
      </c>
      <c r="G38" s="47">
        <f t="shared" si="2"/>
        <v>3751</v>
      </c>
      <c r="H38" s="48">
        <v>22195671</v>
      </c>
      <c r="I38" s="47">
        <f t="shared" si="3"/>
        <v>5334</v>
      </c>
      <c r="J38" s="48">
        <v>9743452</v>
      </c>
      <c r="K38" s="47">
        <f t="shared" si="4"/>
        <v>2570</v>
      </c>
    </row>
    <row r="39" spans="1:11" ht="21" thickTop="1" thickBot="1" x14ac:dyDescent="0.35">
      <c r="A39" s="54">
        <v>44592</v>
      </c>
      <c r="B39" s="111">
        <v>2594</v>
      </c>
      <c r="C39" s="110">
        <f t="shared" si="5"/>
        <v>0</v>
      </c>
      <c r="D39" s="52">
        <v>184248</v>
      </c>
      <c r="E39" s="47">
        <f t="shared" si="1"/>
        <v>94</v>
      </c>
      <c r="F39" s="48">
        <v>13026391</v>
      </c>
      <c r="G39" s="47">
        <f t="shared" si="2"/>
        <v>3540</v>
      </c>
      <c r="H39" s="48">
        <v>22201198</v>
      </c>
      <c r="I39" s="47">
        <f t="shared" si="3"/>
        <v>5527</v>
      </c>
      <c r="J39" s="48">
        <v>9746075</v>
      </c>
      <c r="K39" s="47">
        <f t="shared" si="4"/>
        <v>2623</v>
      </c>
    </row>
    <row r="40" spans="1:11" ht="21" thickTop="1" thickBot="1" x14ac:dyDescent="0.35">
      <c r="A40" s="54">
        <v>44593</v>
      </c>
      <c r="B40" s="111">
        <v>2594</v>
      </c>
      <c r="C40" s="110">
        <f t="shared" si="5"/>
        <v>0</v>
      </c>
      <c r="D40" s="52">
        <v>184352</v>
      </c>
      <c r="E40" s="47">
        <f t="shared" si="1"/>
        <v>104</v>
      </c>
      <c r="F40" s="48">
        <v>13030182</v>
      </c>
      <c r="G40" s="47">
        <f t="shared" si="2"/>
        <v>3791</v>
      </c>
      <c r="H40" s="48">
        <v>22207039</v>
      </c>
      <c r="I40" s="47">
        <f t="shared" si="3"/>
        <v>5841</v>
      </c>
      <c r="J40" s="48">
        <v>9748438</v>
      </c>
      <c r="K40" s="47">
        <f t="shared" si="4"/>
        <v>2363</v>
      </c>
    </row>
    <row r="41" spans="1:11" ht="24" customHeight="1" thickTop="1" x14ac:dyDescent="0.3">
      <c r="A41" s="49"/>
      <c r="B41" s="49"/>
      <c r="C41" s="49"/>
    </row>
    <row r="42" spans="1:11" x14ac:dyDescent="0.25">
      <c r="A42" s="45"/>
      <c r="B42" s="45"/>
      <c r="C42" s="45"/>
    </row>
    <row r="43" spans="1:11" x14ac:dyDescent="0.25">
      <c r="A43" s="45"/>
      <c r="B43" s="45"/>
      <c r="C43" s="45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1" stopIfTrue="1" operator="lessThanOrEqual">
      <formula>0</formula>
    </cfRule>
  </conditionalFormatting>
  <conditionalFormatting sqref="E10:E40">
    <cfRule type="cellIs" dxfId="3" priority="8" stopIfTrue="1" operator="lessThanOrEqual">
      <formula>0</formula>
    </cfRule>
  </conditionalFormatting>
  <conditionalFormatting sqref="E10:E40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L25" activePane="bottomRight" state="frozen"/>
      <selection pane="topRight" activeCell="B1" sqref="B1"/>
      <selection pane="bottomLeft" activeCell="A4" sqref="A4"/>
      <selection pane="bottomRight" activeCell="P43" sqref="P43"/>
    </sheetView>
  </sheetViews>
  <sheetFormatPr baseColWidth="10" defaultColWidth="11.42578125" defaultRowHeight="15" x14ac:dyDescent="0.3"/>
  <cols>
    <col min="1" max="1" width="18.7109375" style="32" customWidth="1"/>
    <col min="2" max="3" width="9.5703125" style="33" customWidth="1"/>
    <col min="4" max="4" width="9.85546875" style="33" customWidth="1"/>
    <col min="5" max="5" width="8.85546875" style="33" customWidth="1"/>
    <col min="6" max="6" width="11.42578125" style="33" customWidth="1"/>
    <col min="7" max="7" width="8.85546875" style="33" customWidth="1"/>
    <col min="8" max="8" width="9.85546875" style="33" customWidth="1"/>
    <col min="9" max="9" width="12.140625" style="33" customWidth="1"/>
    <col min="10" max="10" width="16.140625" style="33" customWidth="1"/>
    <col min="11" max="11" width="17.28515625" style="33" customWidth="1"/>
    <col min="12" max="12" width="14.28515625" style="33" customWidth="1"/>
    <col min="13" max="13" width="16.28515625" style="33" customWidth="1"/>
    <col min="14" max="14" width="14.140625" style="33" customWidth="1"/>
    <col min="15" max="15" width="14.42578125" style="33" customWidth="1"/>
    <col min="16" max="16" width="15.85546875" style="33" customWidth="1"/>
    <col min="17" max="17" width="11.85546875" style="33" customWidth="1"/>
    <col min="18" max="18" width="8.42578125" style="33" customWidth="1"/>
    <col min="19" max="19" width="9.85546875" style="33" customWidth="1"/>
    <col min="20" max="20" width="11.28515625" style="33" customWidth="1"/>
    <col min="21" max="21" width="8.42578125" style="33" customWidth="1"/>
    <col min="22" max="22" width="9.85546875" style="33" customWidth="1"/>
    <col min="23" max="23" width="11.28515625" style="33" customWidth="1"/>
    <col min="24" max="24" width="8.42578125" style="33" customWidth="1"/>
    <col min="25" max="25" width="9.85546875" style="33" customWidth="1"/>
    <col min="26" max="26" width="11.28515625" style="33" customWidth="1"/>
    <col min="27" max="27" width="8.42578125" style="33" customWidth="1"/>
    <col min="28" max="28" width="9.85546875" style="33" customWidth="1"/>
    <col min="29" max="29" width="15.28515625" style="34" customWidth="1"/>
    <col min="30" max="30" width="20.140625" style="33" customWidth="1"/>
    <col min="31" max="31" width="24.5703125" style="33" customWidth="1"/>
    <col min="32" max="16384" width="11.42578125" style="33"/>
  </cols>
  <sheetData>
    <row r="1" spans="1:31" ht="62.25" customHeight="1" thickBot="1" x14ac:dyDescent="0.35">
      <c r="F1" s="307" t="s">
        <v>180</v>
      </c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31" ht="41.25" customHeight="1" thickBot="1" x14ac:dyDescent="0.4">
      <c r="Q2" s="312">
        <v>803</v>
      </c>
      <c r="R2" s="313"/>
      <c r="S2" s="314"/>
      <c r="T2" s="315">
        <v>519</v>
      </c>
      <c r="U2" s="313"/>
      <c r="V2" s="314"/>
      <c r="W2" s="315">
        <v>800</v>
      </c>
      <c r="X2" s="313"/>
      <c r="Y2" s="314"/>
      <c r="Z2" s="315">
        <v>802</v>
      </c>
      <c r="AA2" s="313"/>
      <c r="AB2" s="316"/>
      <c r="AC2" s="33"/>
    </row>
    <row r="3" spans="1:31" s="125" customFormat="1" ht="50.25" customHeight="1" x14ac:dyDescent="0.3">
      <c r="A3" s="114"/>
      <c r="B3" s="115" t="s">
        <v>55</v>
      </c>
      <c r="C3" s="116" t="s">
        <v>56</v>
      </c>
      <c r="D3" s="115" t="s">
        <v>57</v>
      </c>
      <c r="E3" s="116" t="s">
        <v>58</v>
      </c>
      <c r="F3" s="115" t="s">
        <v>59</v>
      </c>
      <c r="G3" s="116" t="s">
        <v>60</v>
      </c>
      <c r="H3" s="115" t="s">
        <v>61</v>
      </c>
      <c r="I3" s="116" t="s">
        <v>62</v>
      </c>
      <c r="J3" s="117" t="s">
        <v>63</v>
      </c>
      <c r="K3" s="117" t="s">
        <v>64</v>
      </c>
      <c r="L3" s="117" t="s">
        <v>65</v>
      </c>
      <c r="M3" s="117" t="s">
        <v>66</v>
      </c>
      <c r="N3" s="117" t="s">
        <v>67</v>
      </c>
      <c r="O3" s="118" t="s">
        <v>68</v>
      </c>
      <c r="P3" s="118" t="s">
        <v>69</v>
      </c>
      <c r="Q3" s="119" t="s">
        <v>70</v>
      </c>
      <c r="R3" s="119" t="s">
        <v>71</v>
      </c>
      <c r="S3" s="119" t="s">
        <v>72</v>
      </c>
      <c r="T3" s="120" t="s">
        <v>73</v>
      </c>
      <c r="U3" s="121" t="s">
        <v>71</v>
      </c>
      <c r="V3" s="120" t="s">
        <v>72</v>
      </c>
      <c r="W3" s="120" t="s">
        <v>74</v>
      </c>
      <c r="X3" s="120" t="s">
        <v>71</v>
      </c>
      <c r="Y3" s="120" t="s">
        <v>72</v>
      </c>
      <c r="Z3" s="120" t="s">
        <v>75</v>
      </c>
      <c r="AA3" s="120" t="s">
        <v>71</v>
      </c>
      <c r="AB3" s="122" t="s">
        <v>72</v>
      </c>
      <c r="AC3" s="123" t="s">
        <v>76</v>
      </c>
      <c r="AD3" s="124" t="s">
        <v>77</v>
      </c>
      <c r="AE3" s="124" t="s">
        <v>78</v>
      </c>
    </row>
    <row r="4" spans="1:31" ht="32.25" customHeight="1" x14ac:dyDescent="0.3">
      <c r="A4" s="37">
        <v>44562</v>
      </c>
      <c r="B4" s="38">
        <v>60</v>
      </c>
      <c r="C4" s="36">
        <f t="shared" ref="C4" si="0">IF(AC4&gt;0,((B4-R4)+(S4-B5)),IF(B5=0, ,(B4-B5)))</f>
        <v>3</v>
      </c>
      <c r="D4" s="38">
        <v>60</v>
      </c>
      <c r="E4" s="36">
        <f t="shared" ref="E4" si="1">IF(AC4&gt;0,((D4-U4)+(V4-D5)),IF(D5=0, ,(D4-D5)))</f>
        <v>4</v>
      </c>
      <c r="F4" s="38">
        <v>65</v>
      </c>
      <c r="G4" s="36">
        <f t="shared" ref="G4" si="2">IF(AC4&gt;0,((F4-X4)+(Y4-F5)),IF(F5=0, ,(F4-F5)))</f>
        <v>3</v>
      </c>
      <c r="H4" s="38">
        <v>65</v>
      </c>
      <c r="I4" s="36">
        <f>IF(AC4&gt;0,((H4-AA4)+(AB4-H5)),IF(H5=0, ,(H4-H5)))</f>
        <v>3</v>
      </c>
      <c r="J4" s="36">
        <f>B4+D4+F4+H4</f>
        <v>250</v>
      </c>
      <c r="K4" s="36">
        <f>J4/4</f>
        <v>62.5</v>
      </c>
      <c r="L4" s="36">
        <f>IF(AC4&gt;0,((K4-AD4)+(AE4-K5)),IF(K5=0, ,(K4-K5)))</f>
        <v>3.25</v>
      </c>
      <c r="M4" s="143">
        <f t="shared" ref="M4:M7" si="3">6049*4</f>
        <v>24196</v>
      </c>
      <c r="N4" s="36">
        <f>L4*M4/100</f>
        <v>786.37</v>
      </c>
      <c r="O4" s="36">
        <f>N4*0.529</f>
        <v>415.98973000000001</v>
      </c>
      <c r="P4" s="39">
        <f>O4*12.46</f>
        <v>5183.2320358000006</v>
      </c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>
        <f t="shared" ref="AC4:AC25" si="4">Q4+T4+W4+Z4</f>
        <v>0</v>
      </c>
      <c r="AD4" s="35">
        <f t="shared" ref="AD4:AD24" si="5">(R4+U4+X4+AA4)/4</f>
        <v>0</v>
      </c>
      <c r="AE4" s="35">
        <f t="shared" ref="AE4:AE24" si="6">(S4+V4+Y4+AB4)/4</f>
        <v>0</v>
      </c>
    </row>
    <row r="5" spans="1:31" ht="32.25" customHeight="1" x14ac:dyDescent="0.3">
      <c r="A5" s="37">
        <v>44563</v>
      </c>
      <c r="B5" s="38">
        <v>57</v>
      </c>
      <c r="C5" s="36">
        <f t="shared" ref="C5:C35" si="7">IF(AC5&gt;0,((B5-R5)+(S5-B6)),IF(B6=0, ,(B5-B6)))</f>
        <v>5</v>
      </c>
      <c r="D5" s="38">
        <v>56</v>
      </c>
      <c r="E5" s="36">
        <f t="shared" ref="E5:E35" si="8">IF(AC5&gt;0,((D5-U5)+(V5-D6)),IF(D6=0, ,(D5-D6)))</f>
        <v>3</v>
      </c>
      <c r="F5" s="38">
        <v>62</v>
      </c>
      <c r="G5" s="36">
        <f t="shared" ref="G5:G35" si="9">IF(AC5&gt;0,((F5-X5)+(Y5-F6)),IF(F6=0, ,(F5-F6)))</f>
        <v>6</v>
      </c>
      <c r="H5" s="38">
        <v>62</v>
      </c>
      <c r="I5" s="36">
        <f>IF(AC5&gt;0,((H5-AA5)+(AB5-H6)),IF(H6=0, ,(H5-H6)))</f>
        <v>6</v>
      </c>
      <c r="J5" s="36">
        <f>B5+D5+F5+H5</f>
        <v>237</v>
      </c>
      <c r="K5" s="36">
        <f>J5/4</f>
        <v>59.25</v>
      </c>
      <c r="L5" s="36">
        <f>IF(AC5&gt;0,((K5-AD5)+(AE5-K6)),IF(K6=0, ,(K5-K6)))</f>
        <v>5</v>
      </c>
      <c r="M5" s="143">
        <f t="shared" si="3"/>
        <v>24196</v>
      </c>
      <c r="N5" s="36">
        <f>L5*M5/100</f>
        <v>1209.8</v>
      </c>
      <c r="O5" s="36">
        <f t="shared" ref="O5:O34" si="10">N5*0.529</f>
        <v>639.98419999999999</v>
      </c>
      <c r="P5" s="39">
        <f t="shared" ref="P5:P34" si="11">O5*12.46</f>
        <v>7974.2031320000006</v>
      </c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>
        <f t="shared" si="4"/>
        <v>0</v>
      </c>
      <c r="AD5" s="35">
        <f t="shared" si="5"/>
        <v>0</v>
      </c>
      <c r="AE5" s="35">
        <f t="shared" si="6"/>
        <v>0</v>
      </c>
    </row>
    <row r="6" spans="1:31" ht="32.25" customHeight="1" x14ac:dyDescent="0.3">
      <c r="A6" s="37">
        <v>44564</v>
      </c>
      <c r="B6" s="38">
        <v>52</v>
      </c>
      <c r="C6" s="36">
        <f t="shared" si="7"/>
        <v>4</v>
      </c>
      <c r="D6" s="38">
        <v>53</v>
      </c>
      <c r="E6" s="36">
        <f t="shared" si="8"/>
        <v>4</v>
      </c>
      <c r="F6" s="38">
        <v>56</v>
      </c>
      <c r="G6" s="36">
        <f t="shared" si="9"/>
        <v>6</v>
      </c>
      <c r="H6" s="38">
        <v>56</v>
      </c>
      <c r="I6" s="36">
        <f t="shared" ref="I6:I36" si="12">IF(AC6&gt;0,((H6-AA6)+(AB6-H7)),IF(H7=0, ,(H6-H7)))</f>
        <v>6</v>
      </c>
      <c r="J6" s="36">
        <f t="shared" ref="J6:J42" si="13">B6+D6+F6+H6</f>
        <v>217</v>
      </c>
      <c r="K6" s="36">
        <f t="shared" ref="K6:K42" si="14">J6/4</f>
        <v>54.25</v>
      </c>
      <c r="L6" s="36">
        <f t="shared" ref="L6:L19" si="15">IF(AC6&gt;0,((K6-AD6)+(AE6-K7)),IF(K7=0, ,(K6-K7)))</f>
        <v>5</v>
      </c>
      <c r="M6" s="143">
        <f t="shared" si="3"/>
        <v>24196</v>
      </c>
      <c r="N6" s="36">
        <f t="shared" ref="N6:N42" si="16">L6*M6/100</f>
        <v>1209.8</v>
      </c>
      <c r="O6" s="36">
        <f t="shared" si="10"/>
        <v>639.98419999999999</v>
      </c>
      <c r="P6" s="39">
        <f t="shared" si="11"/>
        <v>7974.2031320000006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>
        <f t="shared" si="4"/>
        <v>0</v>
      </c>
      <c r="AD6" s="35">
        <f t="shared" si="5"/>
        <v>0</v>
      </c>
      <c r="AE6" s="35">
        <f t="shared" si="6"/>
        <v>0</v>
      </c>
    </row>
    <row r="7" spans="1:31" ht="32.25" customHeight="1" x14ac:dyDescent="0.3">
      <c r="A7" s="37">
        <v>44565</v>
      </c>
      <c r="B7" s="38">
        <v>48</v>
      </c>
      <c r="C7" s="36">
        <f t="shared" si="7"/>
        <v>4</v>
      </c>
      <c r="D7" s="38">
        <v>49</v>
      </c>
      <c r="E7" s="36">
        <f t="shared" si="8"/>
        <v>4</v>
      </c>
      <c r="F7" s="38">
        <v>50</v>
      </c>
      <c r="G7" s="36">
        <f t="shared" si="9"/>
        <v>5</v>
      </c>
      <c r="H7" s="38">
        <v>50</v>
      </c>
      <c r="I7" s="36">
        <f t="shared" si="12"/>
        <v>5</v>
      </c>
      <c r="J7" s="36">
        <f t="shared" si="13"/>
        <v>197</v>
      </c>
      <c r="K7" s="36">
        <f t="shared" si="14"/>
        <v>49.25</v>
      </c>
      <c r="L7" s="36">
        <f t="shared" si="15"/>
        <v>4.5</v>
      </c>
      <c r="M7" s="143">
        <f t="shared" si="3"/>
        <v>24196</v>
      </c>
      <c r="N7" s="36">
        <f t="shared" si="16"/>
        <v>1088.82</v>
      </c>
      <c r="O7" s="36">
        <f t="shared" si="10"/>
        <v>575.98577999999998</v>
      </c>
      <c r="P7" s="39">
        <f t="shared" si="11"/>
        <v>7176.7828188000003</v>
      </c>
      <c r="Q7" s="36">
        <v>2018</v>
      </c>
      <c r="R7" s="36">
        <v>45</v>
      </c>
      <c r="S7" s="36">
        <v>74</v>
      </c>
      <c r="T7" s="36">
        <v>1980</v>
      </c>
      <c r="U7" s="36">
        <v>45</v>
      </c>
      <c r="V7" s="36">
        <v>73</v>
      </c>
      <c r="W7" s="36">
        <v>2124</v>
      </c>
      <c r="X7" s="36">
        <v>45</v>
      </c>
      <c r="Y7" s="36">
        <v>74</v>
      </c>
      <c r="Z7" s="36">
        <v>2106</v>
      </c>
      <c r="AA7" s="36">
        <v>45</v>
      </c>
      <c r="AB7" s="36">
        <v>74</v>
      </c>
      <c r="AC7" s="36">
        <f t="shared" si="4"/>
        <v>8228</v>
      </c>
      <c r="AD7" s="35">
        <f t="shared" si="5"/>
        <v>45</v>
      </c>
      <c r="AE7" s="35">
        <f t="shared" si="6"/>
        <v>73.75</v>
      </c>
    </row>
    <row r="8" spans="1:31" ht="32.25" customHeight="1" x14ac:dyDescent="0.3">
      <c r="A8" s="37">
        <v>44566</v>
      </c>
      <c r="B8" s="38">
        <v>73</v>
      </c>
      <c r="C8" s="36">
        <f t="shared" si="7"/>
        <v>6</v>
      </c>
      <c r="D8" s="38">
        <v>73</v>
      </c>
      <c r="E8" s="36">
        <f t="shared" si="8"/>
        <v>5</v>
      </c>
      <c r="F8" s="38">
        <v>74</v>
      </c>
      <c r="G8" s="36">
        <f t="shared" si="9"/>
        <v>5</v>
      </c>
      <c r="H8" s="38">
        <v>74</v>
      </c>
      <c r="I8" s="36">
        <f t="shared" si="12"/>
        <v>5</v>
      </c>
      <c r="J8" s="36">
        <f t="shared" si="13"/>
        <v>294</v>
      </c>
      <c r="K8" s="36">
        <f t="shared" si="14"/>
        <v>73.5</v>
      </c>
      <c r="L8" s="36">
        <f t="shared" si="15"/>
        <v>5.25</v>
      </c>
      <c r="M8" s="143">
        <f>6049*4</f>
        <v>24196</v>
      </c>
      <c r="N8" s="36">
        <f t="shared" si="16"/>
        <v>1270.29</v>
      </c>
      <c r="O8" s="36">
        <f t="shared" si="10"/>
        <v>671.98341000000005</v>
      </c>
      <c r="P8" s="39">
        <f t="shared" si="11"/>
        <v>8372.9132886000007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>
        <f t="shared" si="4"/>
        <v>0</v>
      </c>
      <c r="AD8" s="35">
        <f t="shared" si="5"/>
        <v>0</v>
      </c>
      <c r="AE8" s="35">
        <f t="shared" si="6"/>
        <v>0</v>
      </c>
    </row>
    <row r="9" spans="1:31" ht="32.25" customHeight="1" x14ac:dyDescent="0.3">
      <c r="A9" s="37">
        <v>44567</v>
      </c>
      <c r="B9" s="38">
        <v>67</v>
      </c>
      <c r="C9" s="36">
        <f t="shared" si="7"/>
        <v>6</v>
      </c>
      <c r="D9" s="38">
        <v>68</v>
      </c>
      <c r="E9" s="36">
        <f t="shared" si="8"/>
        <v>4</v>
      </c>
      <c r="F9" s="38">
        <v>69</v>
      </c>
      <c r="G9" s="36">
        <f t="shared" si="9"/>
        <v>4</v>
      </c>
      <c r="H9" s="38">
        <v>69</v>
      </c>
      <c r="I9" s="36">
        <f t="shared" si="12"/>
        <v>5</v>
      </c>
      <c r="J9" s="36">
        <f t="shared" si="13"/>
        <v>273</v>
      </c>
      <c r="K9" s="36">
        <f t="shared" si="14"/>
        <v>68.25</v>
      </c>
      <c r="L9" s="36">
        <f t="shared" si="15"/>
        <v>4.75</v>
      </c>
      <c r="M9" s="143">
        <f t="shared" ref="M9:M42" si="17">6049*4</f>
        <v>24196</v>
      </c>
      <c r="N9" s="36">
        <f t="shared" si="16"/>
        <v>1149.31</v>
      </c>
      <c r="O9" s="36">
        <f t="shared" si="10"/>
        <v>607.98499000000004</v>
      </c>
      <c r="P9" s="39">
        <f t="shared" si="11"/>
        <v>7575.4929754000013</v>
      </c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>
        <f t="shared" si="4"/>
        <v>0</v>
      </c>
      <c r="AD9" s="35">
        <f t="shared" si="5"/>
        <v>0</v>
      </c>
      <c r="AE9" s="35">
        <f t="shared" si="6"/>
        <v>0</v>
      </c>
    </row>
    <row r="10" spans="1:31" ht="32.25" customHeight="1" x14ac:dyDescent="0.3">
      <c r="A10" s="37">
        <v>44568</v>
      </c>
      <c r="B10" s="38">
        <v>61</v>
      </c>
      <c r="C10" s="36">
        <f t="shared" si="7"/>
        <v>3</v>
      </c>
      <c r="D10" s="38">
        <v>64</v>
      </c>
      <c r="E10" s="36">
        <f t="shared" si="8"/>
        <v>3</v>
      </c>
      <c r="F10" s="38">
        <v>65</v>
      </c>
      <c r="G10" s="36">
        <f t="shared" si="9"/>
        <v>3</v>
      </c>
      <c r="H10" s="38">
        <v>64</v>
      </c>
      <c r="I10" s="36">
        <f t="shared" si="12"/>
        <v>3</v>
      </c>
      <c r="J10" s="36">
        <f t="shared" si="13"/>
        <v>254</v>
      </c>
      <c r="K10" s="36">
        <f t="shared" si="14"/>
        <v>63.5</v>
      </c>
      <c r="L10" s="36">
        <f t="shared" si="15"/>
        <v>3</v>
      </c>
      <c r="M10" s="143">
        <f t="shared" si="17"/>
        <v>24196</v>
      </c>
      <c r="N10" s="36">
        <f t="shared" si="16"/>
        <v>725.88</v>
      </c>
      <c r="O10" s="36">
        <f t="shared" si="10"/>
        <v>383.99052</v>
      </c>
      <c r="P10" s="39">
        <f t="shared" si="11"/>
        <v>4784.5218792000005</v>
      </c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>
        <f t="shared" si="4"/>
        <v>0</v>
      </c>
      <c r="AD10" s="35">
        <f t="shared" si="5"/>
        <v>0</v>
      </c>
      <c r="AE10" s="35">
        <f t="shared" si="6"/>
        <v>0</v>
      </c>
    </row>
    <row r="11" spans="1:31" ht="32.25" customHeight="1" x14ac:dyDescent="0.3">
      <c r="A11" s="37">
        <v>44569</v>
      </c>
      <c r="B11" s="38">
        <v>58</v>
      </c>
      <c r="C11" s="36">
        <f t="shared" si="7"/>
        <v>5</v>
      </c>
      <c r="D11" s="38">
        <v>61</v>
      </c>
      <c r="E11" s="36">
        <f t="shared" si="8"/>
        <v>9</v>
      </c>
      <c r="F11" s="38">
        <v>62</v>
      </c>
      <c r="G11" s="36">
        <f t="shared" si="9"/>
        <v>7</v>
      </c>
      <c r="H11" s="38">
        <v>61</v>
      </c>
      <c r="I11" s="36">
        <f t="shared" si="12"/>
        <v>6</v>
      </c>
      <c r="J11" s="36">
        <f t="shared" si="13"/>
        <v>242</v>
      </c>
      <c r="K11" s="36">
        <f t="shared" si="14"/>
        <v>60.5</v>
      </c>
      <c r="L11" s="36">
        <f t="shared" si="15"/>
        <v>6.75</v>
      </c>
      <c r="M11" s="143">
        <f t="shared" si="17"/>
        <v>24196</v>
      </c>
      <c r="N11" s="36">
        <f t="shared" si="16"/>
        <v>1633.23</v>
      </c>
      <c r="O11" s="36">
        <f t="shared" si="10"/>
        <v>863.97867000000008</v>
      </c>
      <c r="P11" s="39">
        <f t="shared" si="11"/>
        <v>10765.174228200001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>
        <f t="shared" si="4"/>
        <v>0</v>
      </c>
      <c r="AD11" s="35">
        <f t="shared" si="5"/>
        <v>0</v>
      </c>
      <c r="AE11" s="35">
        <f t="shared" si="6"/>
        <v>0</v>
      </c>
    </row>
    <row r="12" spans="1:31" ht="32.25" customHeight="1" x14ac:dyDescent="0.3">
      <c r="A12" s="37">
        <v>44570</v>
      </c>
      <c r="B12" s="38">
        <v>53</v>
      </c>
      <c r="C12" s="36">
        <f t="shared" si="7"/>
        <v>3</v>
      </c>
      <c r="D12" s="38">
        <v>52</v>
      </c>
      <c r="E12" s="36">
        <f t="shared" si="8"/>
        <v>2</v>
      </c>
      <c r="F12" s="38">
        <v>55</v>
      </c>
      <c r="G12" s="36">
        <f t="shared" si="9"/>
        <v>5</v>
      </c>
      <c r="H12" s="38">
        <v>55</v>
      </c>
      <c r="I12" s="36">
        <f t="shared" si="12"/>
        <v>5</v>
      </c>
      <c r="J12" s="36">
        <f t="shared" si="13"/>
        <v>215</v>
      </c>
      <c r="K12" s="36">
        <f t="shared" si="14"/>
        <v>53.75</v>
      </c>
      <c r="L12" s="36">
        <f t="shared" si="15"/>
        <v>3.75</v>
      </c>
      <c r="M12" s="143">
        <f t="shared" si="17"/>
        <v>24196</v>
      </c>
      <c r="N12" s="36">
        <f t="shared" si="16"/>
        <v>907.35</v>
      </c>
      <c r="O12" s="36">
        <f t="shared" si="10"/>
        <v>479.98815000000002</v>
      </c>
      <c r="P12" s="39">
        <f t="shared" si="11"/>
        <v>5980.6523490000009</v>
      </c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>
        <f t="shared" si="4"/>
        <v>0</v>
      </c>
      <c r="AD12" s="35">
        <f t="shared" si="5"/>
        <v>0</v>
      </c>
      <c r="AE12" s="35">
        <f t="shared" si="6"/>
        <v>0</v>
      </c>
    </row>
    <row r="13" spans="1:31" ht="32.25" customHeight="1" x14ac:dyDescent="0.3">
      <c r="A13" s="37">
        <v>44571</v>
      </c>
      <c r="B13" s="38">
        <v>50</v>
      </c>
      <c r="C13" s="36">
        <f t="shared" si="7"/>
        <v>5</v>
      </c>
      <c r="D13" s="38">
        <v>50</v>
      </c>
      <c r="E13" s="36">
        <f t="shared" si="8"/>
        <v>5</v>
      </c>
      <c r="F13" s="38">
        <v>50</v>
      </c>
      <c r="G13" s="36">
        <f t="shared" si="9"/>
        <v>2</v>
      </c>
      <c r="H13" s="38">
        <v>50</v>
      </c>
      <c r="I13" s="36">
        <f t="shared" si="12"/>
        <v>5</v>
      </c>
      <c r="J13" s="36">
        <f t="shared" si="13"/>
        <v>200</v>
      </c>
      <c r="K13" s="36">
        <f t="shared" si="14"/>
        <v>50</v>
      </c>
      <c r="L13" s="36">
        <f t="shared" si="15"/>
        <v>4.25</v>
      </c>
      <c r="M13" s="143">
        <f t="shared" si="17"/>
        <v>24196</v>
      </c>
      <c r="N13" s="36">
        <f t="shared" si="16"/>
        <v>1028.33</v>
      </c>
      <c r="O13" s="36">
        <f t="shared" si="10"/>
        <v>543.98657000000003</v>
      </c>
      <c r="P13" s="39">
        <f t="shared" si="11"/>
        <v>6778.0726622000011</v>
      </c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>
        <f t="shared" si="4"/>
        <v>0</v>
      </c>
      <c r="AD13" s="35">
        <f t="shared" si="5"/>
        <v>0</v>
      </c>
      <c r="AE13" s="35">
        <f t="shared" si="6"/>
        <v>0</v>
      </c>
    </row>
    <row r="14" spans="1:31" ht="32.25" customHeight="1" x14ac:dyDescent="0.3">
      <c r="A14" s="37">
        <v>44572</v>
      </c>
      <c r="B14" s="38">
        <v>45</v>
      </c>
      <c r="C14" s="36">
        <f t="shared" si="7"/>
        <v>6</v>
      </c>
      <c r="D14" s="38">
        <v>45</v>
      </c>
      <c r="E14" s="36">
        <f t="shared" si="8"/>
        <v>8</v>
      </c>
      <c r="F14" s="38">
        <v>48</v>
      </c>
      <c r="G14" s="36">
        <f t="shared" si="9"/>
        <v>3</v>
      </c>
      <c r="H14" s="38">
        <v>45</v>
      </c>
      <c r="I14" s="36">
        <f>IF(AC14&gt;0,((H14-AA14)+(AB14-H15)),IF(H15=0, ,(H14-H15)))</f>
        <v>3</v>
      </c>
      <c r="J14" s="36">
        <f t="shared" si="13"/>
        <v>183</v>
      </c>
      <c r="K14" s="36">
        <f t="shared" si="14"/>
        <v>45.75</v>
      </c>
      <c r="L14" s="36">
        <f t="shared" si="15"/>
        <v>5</v>
      </c>
      <c r="M14" s="143">
        <f t="shared" si="17"/>
        <v>24196</v>
      </c>
      <c r="N14" s="36">
        <f t="shared" si="16"/>
        <v>1209.8</v>
      </c>
      <c r="O14" s="36">
        <f t="shared" si="10"/>
        <v>639.98419999999999</v>
      </c>
      <c r="P14" s="39">
        <f t="shared" si="11"/>
        <v>7974.2031320000006</v>
      </c>
      <c r="Q14" s="36">
        <v>2822</v>
      </c>
      <c r="R14" s="36">
        <v>42</v>
      </c>
      <c r="S14" s="36">
        <v>85</v>
      </c>
      <c r="T14" s="36">
        <v>2963</v>
      </c>
      <c r="U14" s="36">
        <v>42</v>
      </c>
      <c r="V14" s="36">
        <v>85</v>
      </c>
      <c r="W14" s="36">
        <v>3047</v>
      </c>
      <c r="X14" s="36">
        <v>42</v>
      </c>
      <c r="Y14" s="36">
        <v>80</v>
      </c>
      <c r="Z14" s="36">
        <v>3191</v>
      </c>
      <c r="AA14" s="36">
        <v>42</v>
      </c>
      <c r="AB14" s="36">
        <v>85</v>
      </c>
      <c r="AC14" s="36">
        <f>Q14+T14+W14+Z14</f>
        <v>12023</v>
      </c>
      <c r="AD14" s="35">
        <f>(R14+U14+X14+AA14)/4</f>
        <v>42</v>
      </c>
      <c r="AE14" s="35">
        <f>(S14+V14+Y14+AB14)/4</f>
        <v>83.75</v>
      </c>
    </row>
    <row r="15" spans="1:31" ht="32.25" customHeight="1" x14ac:dyDescent="0.3">
      <c r="A15" s="37">
        <v>44573</v>
      </c>
      <c r="B15" s="38">
        <v>82</v>
      </c>
      <c r="C15" s="36">
        <f t="shared" si="7"/>
        <v>2</v>
      </c>
      <c r="D15" s="38">
        <v>80</v>
      </c>
      <c r="E15" s="36">
        <f t="shared" si="8"/>
        <v>1</v>
      </c>
      <c r="F15" s="38">
        <v>83</v>
      </c>
      <c r="G15" s="36">
        <f t="shared" si="9"/>
        <v>3</v>
      </c>
      <c r="H15" s="38">
        <v>85</v>
      </c>
      <c r="I15" s="36">
        <f>IF(AC15&gt;0,((H15-AA15)+(AB15-H16)),IF(H16=0, ,(H15-H16)))</f>
        <v>4</v>
      </c>
      <c r="J15" s="36">
        <f t="shared" si="13"/>
        <v>330</v>
      </c>
      <c r="K15" s="36">
        <f t="shared" si="14"/>
        <v>82.5</v>
      </c>
      <c r="L15" s="36">
        <f t="shared" si="15"/>
        <v>2.5</v>
      </c>
      <c r="M15" s="143">
        <f t="shared" si="17"/>
        <v>24196</v>
      </c>
      <c r="N15" s="36">
        <f t="shared" si="16"/>
        <v>604.9</v>
      </c>
      <c r="O15" s="36">
        <f t="shared" si="10"/>
        <v>319.99209999999999</v>
      </c>
      <c r="P15" s="39">
        <f t="shared" si="11"/>
        <v>3987.1015660000003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>
        <f>Q15+T15+W15+Z15</f>
        <v>0</v>
      </c>
      <c r="AD15" s="35">
        <f>(R15+U15+X15+AA15)/4</f>
        <v>0</v>
      </c>
      <c r="AE15" s="35">
        <f>(S15+V15+Y15+AB15)/4</f>
        <v>0</v>
      </c>
    </row>
    <row r="16" spans="1:31" ht="32.25" customHeight="1" x14ac:dyDescent="0.3">
      <c r="A16" s="37">
        <v>44574</v>
      </c>
      <c r="B16" s="38">
        <v>80</v>
      </c>
      <c r="C16" s="36">
        <f t="shared" si="7"/>
        <v>10</v>
      </c>
      <c r="D16" s="38">
        <v>79</v>
      </c>
      <c r="E16" s="36">
        <f t="shared" si="8"/>
        <v>5</v>
      </c>
      <c r="F16" s="38">
        <v>80</v>
      </c>
      <c r="G16" s="36">
        <f t="shared" si="9"/>
        <v>5</v>
      </c>
      <c r="H16" s="38">
        <v>81</v>
      </c>
      <c r="I16" s="36">
        <f t="shared" si="12"/>
        <v>0</v>
      </c>
      <c r="J16" s="36">
        <f t="shared" si="13"/>
        <v>320</v>
      </c>
      <c r="K16" s="36">
        <f t="shared" si="14"/>
        <v>80</v>
      </c>
      <c r="L16" s="36">
        <f t="shared" si="15"/>
        <v>5</v>
      </c>
      <c r="M16" s="143">
        <f t="shared" si="17"/>
        <v>24196</v>
      </c>
      <c r="N16" s="36">
        <f t="shared" si="16"/>
        <v>1209.8</v>
      </c>
      <c r="O16" s="36">
        <f t="shared" si="10"/>
        <v>639.98419999999999</v>
      </c>
      <c r="P16" s="39">
        <f t="shared" si="11"/>
        <v>7974.2031320000006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>
        <f t="shared" si="4"/>
        <v>0</v>
      </c>
      <c r="AD16" s="35">
        <f t="shared" si="5"/>
        <v>0</v>
      </c>
      <c r="AE16" s="35">
        <f t="shared" si="6"/>
        <v>0</v>
      </c>
    </row>
    <row r="17" spans="1:31" ht="32.25" customHeight="1" x14ac:dyDescent="0.3">
      <c r="A17" s="37">
        <v>44575</v>
      </c>
      <c r="B17" s="38">
        <v>70</v>
      </c>
      <c r="C17" s="36">
        <f t="shared" si="7"/>
        <v>5</v>
      </c>
      <c r="D17" s="38">
        <v>74</v>
      </c>
      <c r="E17" s="36">
        <f t="shared" si="8"/>
        <v>5</v>
      </c>
      <c r="F17" s="38">
        <v>75</v>
      </c>
      <c r="G17" s="36">
        <f t="shared" si="9"/>
        <v>5</v>
      </c>
      <c r="H17" s="38">
        <v>81</v>
      </c>
      <c r="I17" s="36">
        <f t="shared" si="12"/>
        <v>1</v>
      </c>
      <c r="J17" s="36">
        <f t="shared" si="13"/>
        <v>300</v>
      </c>
      <c r="K17" s="36">
        <f t="shared" si="14"/>
        <v>75</v>
      </c>
      <c r="L17" s="36">
        <f t="shared" si="15"/>
        <v>4</v>
      </c>
      <c r="M17" s="143">
        <f t="shared" si="17"/>
        <v>24196</v>
      </c>
      <c r="N17" s="36">
        <f t="shared" si="16"/>
        <v>967.84</v>
      </c>
      <c r="O17" s="36">
        <f t="shared" si="10"/>
        <v>511.98736000000002</v>
      </c>
      <c r="P17" s="39">
        <f t="shared" si="11"/>
        <v>6379.362505600001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>
        <f t="shared" si="4"/>
        <v>0</v>
      </c>
      <c r="AD17" s="35">
        <f t="shared" si="5"/>
        <v>0</v>
      </c>
      <c r="AE17" s="35">
        <f t="shared" si="6"/>
        <v>0</v>
      </c>
    </row>
    <row r="18" spans="1:31" ht="32.25" customHeight="1" x14ac:dyDescent="0.3">
      <c r="A18" s="37">
        <v>44576</v>
      </c>
      <c r="B18" s="38">
        <v>65</v>
      </c>
      <c r="C18" s="36">
        <f t="shared" si="7"/>
        <v>4</v>
      </c>
      <c r="D18" s="38">
        <v>69</v>
      </c>
      <c r="E18" s="36">
        <f t="shared" si="8"/>
        <v>5</v>
      </c>
      <c r="F18" s="38">
        <v>70</v>
      </c>
      <c r="G18" s="36">
        <f t="shared" si="9"/>
        <v>4</v>
      </c>
      <c r="H18" s="38">
        <v>80</v>
      </c>
      <c r="I18" s="36">
        <f t="shared" si="12"/>
        <v>1</v>
      </c>
      <c r="J18" s="36">
        <f t="shared" si="13"/>
        <v>284</v>
      </c>
      <c r="K18" s="36">
        <f t="shared" si="14"/>
        <v>71</v>
      </c>
      <c r="L18" s="36">
        <f t="shared" si="15"/>
        <v>3.5</v>
      </c>
      <c r="M18" s="143">
        <f t="shared" si="17"/>
        <v>24196</v>
      </c>
      <c r="N18" s="36">
        <f t="shared" si="16"/>
        <v>846.86</v>
      </c>
      <c r="O18" s="36">
        <f t="shared" si="10"/>
        <v>447.98894000000001</v>
      </c>
      <c r="P18" s="39">
        <f t="shared" si="11"/>
        <v>5581.9421924000007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>
        <f t="shared" si="4"/>
        <v>0</v>
      </c>
      <c r="AD18" s="35">
        <f t="shared" si="5"/>
        <v>0</v>
      </c>
      <c r="AE18" s="35">
        <f t="shared" si="6"/>
        <v>0</v>
      </c>
    </row>
    <row r="19" spans="1:31" ht="32.25" customHeight="1" x14ac:dyDescent="0.3">
      <c r="A19" s="37">
        <v>44577</v>
      </c>
      <c r="B19" s="38">
        <v>61</v>
      </c>
      <c r="C19" s="36">
        <f t="shared" si="7"/>
        <v>6</v>
      </c>
      <c r="D19" s="38">
        <v>64</v>
      </c>
      <c r="E19" s="36">
        <f t="shared" si="8"/>
        <v>9</v>
      </c>
      <c r="F19" s="38">
        <v>66</v>
      </c>
      <c r="G19" s="36">
        <f t="shared" si="9"/>
        <v>6</v>
      </c>
      <c r="H19" s="38">
        <v>79</v>
      </c>
      <c r="I19" s="36">
        <f t="shared" si="12"/>
        <v>4</v>
      </c>
      <c r="J19" s="36">
        <f t="shared" si="13"/>
        <v>270</v>
      </c>
      <c r="K19" s="36">
        <f t="shared" si="14"/>
        <v>67.5</v>
      </c>
      <c r="L19" s="36">
        <f t="shared" si="15"/>
        <v>6.25</v>
      </c>
      <c r="M19" s="143">
        <f t="shared" si="17"/>
        <v>24196</v>
      </c>
      <c r="N19" s="36">
        <f t="shared" si="16"/>
        <v>1512.25</v>
      </c>
      <c r="O19" s="36">
        <f t="shared" si="10"/>
        <v>799.98025000000007</v>
      </c>
      <c r="P19" s="39">
        <f t="shared" si="11"/>
        <v>9967.7539150000011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>
        <f t="shared" si="4"/>
        <v>0</v>
      </c>
      <c r="AD19" s="35">
        <f t="shared" si="5"/>
        <v>0</v>
      </c>
      <c r="AE19" s="35">
        <f t="shared" si="6"/>
        <v>0</v>
      </c>
    </row>
    <row r="20" spans="1:31" ht="32.25" customHeight="1" x14ac:dyDescent="0.3">
      <c r="A20" s="37">
        <v>44578</v>
      </c>
      <c r="B20" s="38">
        <v>55</v>
      </c>
      <c r="C20" s="36">
        <f t="shared" si="7"/>
        <v>3</v>
      </c>
      <c r="D20" s="38">
        <v>55</v>
      </c>
      <c r="E20" s="36">
        <f t="shared" si="8"/>
        <v>0</v>
      </c>
      <c r="F20" s="38">
        <v>60</v>
      </c>
      <c r="G20" s="36">
        <f t="shared" si="9"/>
        <v>5</v>
      </c>
      <c r="H20" s="38">
        <v>75</v>
      </c>
      <c r="I20" s="36">
        <f t="shared" si="12"/>
        <v>5</v>
      </c>
      <c r="J20" s="36">
        <f t="shared" si="13"/>
        <v>245</v>
      </c>
      <c r="K20" s="36">
        <f t="shared" si="14"/>
        <v>61.25</v>
      </c>
      <c r="L20" s="36">
        <f t="shared" ref="L20:L42" si="18">IF(AC20&gt;0,((K20-AD20)+(AE20-K21)),IF(K21=0, ,(K20-K21)))</f>
        <v>3.25</v>
      </c>
      <c r="M20" s="143">
        <f t="shared" si="17"/>
        <v>24196</v>
      </c>
      <c r="N20" s="36">
        <f t="shared" si="16"/>
        <v>786.37</v>
      </c>
      <c r="O20" s="36">
        <f t="shared" si="10"/>
        <v>415.98973000000001</v>
      </c>
      <c r="P20" s="39">
        <f t="shared" si="11"/>
        <v>5183.2320358000006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>
        <f t="shared" si="4"/>
        <v>0</v>
      </c>
      <c r="AD20" s="35">
        <f t="shared" si="5"/>
        <v>0</v>
      </c>
      <c r="AE20" s="35">
        <f t="shared" si="6"/>
        <v>0</v>
      </c>
    </row>
    <row r="21" spans="1:31" ht="32.25" customHeight="1" x14ac:dyDescent="0.3">
      <c r="A21" s="37">
        <v>44579</v>
      </c>
      <c r="B21" s="38">
        <v>52</v>
      </c>
      <c r="C21" s="36">
        <f t="shared" si="7"/>
        <v>4</v>
      </c>
      <c r="D21" s="38">
        <v>55</v>
      </c>
      <c r="E21" s="36">
        <f t="shared" si="8"/>
        <v>5</v>
      </c>
      <c r="F21" s="38">
        <v>55</v>
      </c>
      <c r="G21" s="36">
        <f t="shared" si="9"/>
        <v>5</v>
      </c>
      <c r="H21" s="38">
        <v>70</v>
      </c>
      <c r="I21" s="36">
        <f t="shared" si="12"/>
        <v>0</v>
      </c>
      <c r="J21" s="36">
        <f t="shared" si="13"/>
        <v>232</v>
      </c>
      <c r="K21" s="36">
        <f t="shared" si="14"/>
        <v>58</v>
      </c>
      <c r="L21" s="36">
        <f>IF(AC21&gt;0,((K21-AD21)+(AE21-K22)),IF(K22=0, ,(K21-K22)))</f>
        <v>3.5</v>
      </c>
      <c r="M21" s="143">
        <f t="shared" si="17"/>
        <v>24196</v>
      </c>
      <c r="N21" s="36">
        <f t="shared" si="16"/>
        <v>846.86</v>
      </c>
      <c r="O21" s="36">
        <f t="shared" si="10"/>
        <v>447.98894000000001</v>
      </c>
      <c r="P21" s="39">
        <f t="shared" si="11"/>
        <v>5581.9421924000007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>
        <f t="shared" si="4"/>
        <v>0</v>
      </c>
      <c r="AD21" s="35">
        <f t="shared" si="5"/>
        <v>0</v>
      </c>
      <c r="AE21" s="35">
        <f t="shared" si="6"/>
        <v>0</v>
      </c>
    </row>
    <row r="22" spans="1:31" ht="32.25" customHeight="1" x14ac:dyDescent="0.3">
      <c r="A22" s="37">
        <v>44580</v>
      </c>
      <c r="B22" s="38">
        <v>48</v>
      </c>
      <c r="C22" s="36">
        <f t="shared" si="7"/>
        <v>4</v>
      </c>
      <c r="D22" s="38">
        <v>50</v>
      </c>
      <c r="E22" s="36">
        <f t="shared" si="8"/>
        <v>5</v>
      </c>
      <c r="F22" s="38">
        <v>50</v>
      </c>
      <c r="G22" s="36">
        <f t="shared" si="9"/>
        <v>4</v>
      </c>
      <c r="H22" s="38">
        <v>70</v>
      </c>
      <c r="I22" s="36">
        <f t="shared" si="12"/>
        <v>5</v>
      </c>
      <c r="J22" s="36">
        <f t="shared" si="13"/>
        <v>218</v>
      </c>
      <c r="K22" s="36">
        <f t="shared" si="14"/>
        <v>54.5</v>
      </c>
      <c r="L22" s="36">
        <f>IF(AC22&gt;0,((K22-AD22)+(AE22-K23)),IF(K23=0, ,(K22-K23)))</f>
        <v>4.5</v>
      </c>
      <c r="M22" s="143">
        <f t="shared" si="17"/>
        <v>24196</v>
      </c>
      <c r="N22" s="36">
        <f t="shared" si="16"/>
        <v>1088.82</v>
      </c>
      <c r="O22" s="36">
        <f t="shared" si="10"/>
        <v>575.98577999999998</v>
      </c>
      <c r="P22" s="39">
        <f t="shared" si="11"/>
        <v>7176.7828188000003</v>
      </c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>
        <f>Q22+T22+W22+Z22</f>
        <v>0</v>
      </c>
      <c r="AD22" s="35">
        <f t="shared" si="5"/>
        <v>0</v>
      </c>
      <c r="AE22" s="35">
        <f t="shared" si="6"/>
        <v>0</v>
      </c>
    </row>
    <row r="23" spans="1:31" ht="32.25" customHeight="1" x14ac:dyDescent="0.3">
      <c r="A23" s="37">
        <v>44581</v>
      </c>
      <c r="B23" s="38">
        <v>44</v>
      </c>
      <c r="C23" s="36">
        <f t="shared" si="7"/>
        <v>6</v>
      </c>
      <c r="D23" s="38">
        <v>45</v>
      </c>
      <c r="E23" s="36">
        <f t="shared" si="8"/>
        <v>10</v>
      </c>
      <c r="F23" s="38">
        <v>46</v>
      </c>
      <c r="G23" s="36">
        <f t="shared" si="9"/>
        <v>7</v>
      </c>
      <c r="H23" s="38">
        <v>65</v>
      </c>
      <c r="I23" s="36">
        <f t="shared" si="12"/>
        <v>0</v>
      </c>
      <c r="J23" s="36">
        <f t="shared" si="13"/>
        <v>200</v>
      </c>
      <c r="K23" s="36">
        <f t="shared" si="14"/>
        <v>50</v>
      </c>
      <c r="L23" s="36">
        <f t="shared" si="18"/>
        <v>5.75</v>
      </c>
      <c r="M23" s="143">
        <f t="shared" si="17"/>
        <v>24196</v>
      </c>
      <c r="N23" s="36">
        <f t="shared" si="16"/>
        <v>1391.27</v>
      </c>
      <c r="O23" s="36">
        <f t="shared" si="10"/>
        <v>735.98183000000006</v>
      </c>
      <c r="P23" s="39">
        <f t="shared" si="11"/>
        <v>9170.3336018000009</v>
      </c>
      <c r="Q23" s="36">
        <v>3093</v>
      </c>
      <c r="R23" s="36">
        <v>39</v>
      </c>
      <c r="S23" s="36">
        <v>85</v>
      </c>
      <c r="T23" s="36">
        <v>3451</v>
      </c>
      <c r="U23" s="36">
        <v>38</v>
      </c>
      <c r="V23" s="36">
        <v>85</v>
      </c>
      <c r="W23" s="36">
        <v>3176</v>
      </c>
      <c r="X23" s="36">
        <v>40</v>
      </c>
      <c r="Y23" s="36">
        <v>85</v>
      </c>
      <c r="Z23" s="36">
        <v>1672</v>
      </c>
      <c r="AA23" s="36">
        <v>65</v>
      </c>
      <c r="AB23" s="36">
        <v>85</v>
      </c>
      <c r="AC23" s="36">
        <f t="shared" si="4"/>
        <v>11392</v>
      </c>
      <c r="AD23" s="35">
        <f t="shared" si="5"/>
        <v>45.5</v>
      </c>
      <c r="AE23" s="35">
        <f t="shared" si="6"/>
        <v>85</v>
      </c>
    </row>
    <row r="24" spans="1:31" ht="32.25" customHeight="1" x14ac:dyDescent="0.3">
      <c r="A24" s="37">
        <v>44582</v>
      </c>
      <c r="B24" s="38">
        <v>84</v>
      </c>
      <c r="C24" s="36">
        <f t="shared" si="7"/>
        <v>4</v>
      </c>
      <c r="D24" s="38">
        <v>82</v>
      </c>
      <c r="E24" s="36">
        <f t="shared" si="8"/>
        <v>5</v>
      </c>
      <c r="F24" s="38">
        <v>84</v>
      </c>
      <c r="G24" s="36">
        <f t="shared" si="9"/>
        <v>5</v>
      </c>
      <c r="H24" s="38">
        <v>85</v>
      </c>
      <c r="I24" s="36">
        <f t="shared" si="12"/>
        <v>1</v>
      </c>
      <c r="J24" s="36">
        <f t="shared" si="13"/>
        <v>335</v>
      </c>
      <c r="K24" s="36">
        <f t="shared" si="14"/>
        <v>83.75</v>
      </c>
      <c r="L24" s="36">
        <f t="shared" si="18"/>
        <v>3.75</v>
      </c>
      <c r="M24" s="143">
        <f t="shared" si="17"/>
        <v>24196</v>
      </c>
      <c r="N24" s="36">
        <f t="shared" si="16"/>
        <v>907.35</v>
      </c>
      <c r="O24" s="36">
        <f t="shared" si="10"/>
        <v>479.98815000000002</v>
      </c>
      <c r="P24" s="39">
        <f t="shared" si="11"/>
        <v>5980.6523490000009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>
        <f t="shared" si="4"/>
        <v>0</v>
      </c>
      <c r="AD24" s="35">
        <f t="shared" si="5"/>
        <v>0</v>
      </c>
      <c r="AE24" s="35">
        <f t="shared" si="6"/>
        <v>0</v>
      </c>
    </row>
    <row r="25" spans="1:31" ht="32.25" customHeight="1" x14ac:dyDescent="0.3">
      <c r="A25" s="37">
        <v>44583</v>
      </c>
      <c r="B25" s="38">
        <v>80</v>
      </c>
      <c r="C25" s="36">
        <f t="shared" si="7"/>
        <v>4</v>
      </c>
      <c r="D25" s="38">
        <v>77</v>
      </c>
      <c r="E25" s="36">
        <f t="shared" si="8"/>
        <v>4</v>
      </c>
      <c r="F25" s="38">
        <v>79</v>
      </c>
      <c r="G25" s="36">
        <f t="shared" si="9"/>
        <v>4</v>
      </c>
      <c r="H25" s="38">
        <v>84</v>
      </c>
      <c r="I25" s="36">
        <f t="shared" si="12"/>
        <v>2</v>
      </c>
      <c r="J25" s="36">
        <f t="shared" si="13"/>
        <v>320</v>
      </c>
      <c r="K25" s="36">
        <f t="shared" si="14"/>
        <v>80</v>
      </c>
      <c r="L25" s="36">
        <f t="shared" si="18"/>
        <v>3.5</v>
      </c>
      <c r="M25" s="143">
        <f t="shared" si="17"/>
        <v>24196</v>
      </c>
      <c r="N25" s="36">
        <f t="shared" si="16"/>
        <v>846.86</v>
      </c>
      <c r="O25" s="36">
        <f t="shared" si="10"/>
        <v>447.98894000000001</v>
      </c>
      <c r="P25" s="39">
        <f t="shared" si="11"/>
        <v>5581.9421924000007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>
        <f t="shared" si="4"/>
        <v>0</v>
      </c>
      <c r="AD25" s="35">
        <f t="shared" ref="AD25:AD42" si="19">(R25+U25+X25+AA25)/4</f>
        <v>0</v>
      </c>
      <c r="AE25" s="35">
        <f>(S25+V25+Y25+AB25)/4</f>
        <v>0</v>
      </c>
    </row>
    <row r="26" spans="1:31" ht="32.25" customHeight="1" x14ac:dyDescent="0.3">
      <c r="A26" s="37">
        <v>44584</v>
      </c>
      <c r="B26" s="38">
        <v>76</v>
      </c>
      <c r="C26" s="36">
        <f t="shared" si="7"/>
        <v>6</v>
      </c>
      <c r="D26" s="38">
        <v>73</v>
      </c>
      <c r="E26" s="36">
        <f t="shared" si="8"/>
        <v>3</v>
      </c>
      <c r="F26" s="38">
        <v>75</v>
      </c>
      <c r="G26" s="36">
        <f t="shared" si="9"/>
        <v>5</v>
      </c>
      <c r="H26" s="38">
        <v>82</v>
      </c>
      <c r="I26" s="36">
        <f t="shared" si="12"/>
        <v>3</v>
      </c>
      <c r="J26" s="36">
        <f t="shared" si="13"/>
        <v>306</v>
      </c>
      <c r="K26" s="36">
        <f t="shared" si="14"/>
        <v>76.5</v>
      </c>
      <c r="L26" s="36">
        <f t="shared" si="18"/>
        <v>4.25</v>
      </c>
      <c r="M26" s="143">
        <f t="shared" si="17"/>
        <v>24196</v>
      </c>
      <c r="N26" s="36">
        <f t="shared" si="16"/>
        <v>1028.33</v>
      </c>
      <c r="O26" s="36">
        <f t="shared" si="10"/>
        <v>543.98657000000003</v>
      </c>
      <c r="P26" s="39">
        <f t="shared" si="11"/>
        <v>6778.0726622000011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>
        <f t="shared" ref="AC26:AC43" si="20">Q26+T26+W26+Z26</f>
        <v>0</v>
      </c>
      <c r="AD26" s="35">
        <f t="shared" si="19"/>
        <v>0</v>
      </c>
      <c r="AE26" s="35">
        <f>(S26+V26+Y26+AB26)/4</f>
        <v>0</v>
      </c>
    </row>
    <row r="27" spans="1:31" ht="32.25" customHeight="1" x14ac:dyDescent="0.3">
      <c r="A27" s="37">
        <v>44585</v>
      </c>
      <c r="B27" s="38">
        <v>70</v>
      </c>
      <c r="C27" s="36">
        <f t="shared" si="7"/>
        <v>6</v>
      </c>
      <c r="D27" s="38">
        <v>70</v>
      </c>
      <c r="E27" s="36">
        <f t="shared" si="8"/>
        <v>7</v>
      </c>
      <c r="F27" s="38">
        <v>70</v>
      </c>
      <c r="G27" s="36">
        <f t="shared" si="9"/>
        <v>5</v>
      </c>
      <c r="H27" s="38">
        <v>79</v>
      </c>
      <c r="I27" s="36">
        <f t="shared" si="12"/>
        <v>4</v>
      </c>
      <c r="J27" s="36">
        <f t="shared" si="13"/>
        <v>289</v>
      </c>
      <c r="K27" s="36">
        <f t="shared" si="14"/>
        <v>72.25</v>
      </c>
      <c r="L27" s="36">
        <f t="shared" si="18"/>
        <v>5.5</v>
      </c>
      <c r="M27" s="143">
        <f t="shared" si="17"/>
        <v>24196</v>
      </c>
      <c r="N27" s="36">
        <f t="shared" si="16"/>
        <v>1330.78</v>
      </c>
      <c r="O27" s="36">
        <f t="shared" si="10"/>
        <v>703.98262</v>
      </c>
      <c r="P27" s="39">
        <f t="shared" si="11"/>
        <v>8771.6234452000008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>
        <f t="shared" si="20"/>
        <v>0</v>
      </c>
      <c r="AD27" s="35">
        <f t="shared" si="19"/>
        <v>0</v>
      </c>
      <c r="AE27" s="35">
        <f>(S27+V27+Y27+AB27)/4</f>
        <v>0</v>
      </c>
    </row>
    <row r="28" spans="1:31" ht="32.25" customHeight="1" x14ac:dyDescent="0.3">
      <c r="A28" s="37">
        <v>44586</v>
      </c>
      <c r="B28" s="38">
        <v>64</v>
      </c>
      <c r="C28" s="36">
        <f t="shared" si="7"/>
        <v>5</v>
      </c>
      <c r="D28" s="38">
        <v>63</v>
      </c>
      <c r="E28" s="36">
        <f t="shared" si="8"/>
        <v>5</v>
      </c>
      <c r="F28" s="38">
        <v>65</v>
      </c>
      <c r="G28" s="36">
        <f t="shared" si="9"/>
        <v>5</v>
      </c>
      <c r="H28" s="38">
        <v>75</v>
      </c>
      <c r="I28" s="36">
        <f>IF(AC28&gt;0,((H28-AA28)+(AB28-H29)),IF(H29=0, ,(H28-H29)))</f>
        <v>5</v>
      </c>
      <c r="J28" s="36">
        <f t="shared" si="13"/>
        <v>267</v>
      </c>
      <c r="K28" s="36">
        <f t="shared" si="14"/>
        <v>66.75</v>
      </c>
      <c r="L28" s="36">
        <f t="shared" si="18"/>
        <v>5</v>
      </c>
      <c r="M28" s="143">
        <f t="shared" si="17"/>
        <v>24196</v>
      </c>
      <c r="N28" s="36">
        <f t="shared" si="16"/>
        <v>1209.8</v>
      </c>
      <c r="O28" s="36">
        <f t="shared" si="10"/>
        <v>639.98419999999999</v>
      </c>
      <c r="P28" s="39">
        <f t="shared" si="11"/>
        <v>7974.2031320000006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>
        <f t="shared" si="20"/>
        <v>0</v>
      </c>
      <c r="AD28" s="35">
        <f t="shared" si="19"/>
        <v>0</v>
      </c>
      <c r="AE28" s="35">
        <f>(S28+V28+Y28+AB28)/4</f>
        <v>0</v>
      </c>
    </row>
    <row r="29" spans="1:31" ht="32.25" customHeight="1" x14ac:dyDescent="0.3">
      <c r="A29" s="37">
        <v>44587</v>
      </c>
      <c r="B29" s="38">
        <v>59</v>
      </c>
      <c r="C29" s="36">
        <f t="shared" si="7"/>
        <v>4</v>
      </c>
      <c r="D29" s="38">
        <v>58</v>
      </c>
      <c r="E29" s="36">
        <f t="shared" si="8"/>
        <v>3</v>
      </c>
      <c r="F29" s="38">
        <v>60</v>
      </c>
      <c r="G29" s="36">
        <f t="shared" si="9"/>
        <v>5</v>
      </c>
      <c r="H29" s="38">
        <v>70</v>
      </c>
      <c r="I29" s="36">
        <f t="shared" si="12"/>
        <v>0</v>
      </c>
      <c r="J29" s="36">
        <f t="shared" si="13"/>
        <v>247</v>
      </c>
      <c r="K29" s="36">
        <f t="shared" si="14"/>
        <v>61.75</v>
      </c>
      <c r="L29" s="36">
        <f t="shared" si="18"/>
        <v>3</v>
      </c>
      <c r="M29" s="143">
        <f t="shared" si="17"/>
        <v>24196</v>
      </c>
      <c r="N29" s="36">
        <f t="shared" si="16"/>
        <v>725.88</v>
      </c>
      <c r="O29" s="36">
        <f t="shared" si="10"/>
        <v>383.99052</v>
      </c>
      <c r="P29" s="39">
        <f t="shared" si="11"/>
        <v>4784.5218792000005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>
        <f>Q29+T29+W29+Z29</f>
        <v>0</v>
      </c>
      <c r="AD29" s="35">
        <f t="shared" si="19"/>
        <v>0</v>
      </c>
      <c r="AE29" s="35">
        <f>(S29+V29+Y29+AB29)/4</f>
        <v>0</v>
      </c>
    </row>
    <row r="30" spans="1:31" ht="32.25" customHeight="1" x14ac:dyDescent="0.3">
      <c r="A30" s="37">
        <v>44588</v>
      </c>
      <c r="B30" s="38">
        <v>55</v>
      </c>
      <c r="C30" s="36">
        <f t="shared" si="7"/>
        <v>5</v>
      </c>
      <c r="D30" s="38">
        <v>55</v>
      </c>
      <c r="E30" s="36">
        <f t="shared" si="8"/>
        <v>5</v>
      </c>
      <c r="F30" s="38">
        <v>55</v>
      </c>
      <c r="G30" s="36">
        <f t="shared" si="9"/>
        <v>5</v>
      </c>
      <c r="H30" s="38">
        <v>70</v>
      </c>
      <c r="I30" s="36">
        <f t="shared" si="12"/>
        <v>5</v>
      </c>
      <c r="J30" s="36">
        <f t="shared" si="13"/>
        <v>235</v>
      </c>
      <c r="K30" s="36">
        <f t="shared" si="14"/>
        <v>58.75</v>
      </c>
      <c r="L30" s="36">
        <f t="shared" si="18"/>
        <v>5</v>
      </c>
      <c r="M30" s="143">
        <f t="shared" si="17"/>
        <v>24196</v>
      </c>
      <c r="N30" s="36">
        <f t="shared" si="16"/>
        <v>1209.8</v>
      </c>
      <c r="O30" s="36">
        <f t="shared" si="10"/>
        <v>639.98419999999999</v>
      </c>
      <c r="P30" s="39">
        <f t="shared" si="11"/>
        <v>7974.2031320000006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>
        <f t="shared" si="20"/>
        <v>0</v>
      </c>
      <c r="AD30" s="35">
        <f t="shared" si="19"/>
        <v>0</v>
      </c>
      <c r="AE30" s="35">
        <f t="shared" ref="AE30:AE42" si="21">(S30+V30+Y30+AB30)/4</f>
        <v>0</v>
      </c>
    </row>
    <row r="31" spans="1:31" ht="32.25" customHeight="1" x14ac:dyDescent="0.3">
      <c r="A31" s="37">
        <v>44589</v>
      </c>
      <c r="B31" s="38">
        <v>50</v>
      </c>
      <c r="C31" s="36">
        <f t="shared" si="7"/>
        <v>6</v>
      </c>
      <c r="D31" s="38">
        <v>50</v>
      </c>
      <c r="E31" s="36">
        <f t="shared" si="8"/>
        <v>6</v>
      </c>
      <c r="F31" s="38">
        <v>50</v>
      </c>
      <c r="G31" s="36">
        <f t="shared" si="9"/>
        <v>5</v>
      </c>
      <c r="H31" s="38">
        <v>65</v>
      </c>
      <c r="I31" s="36">
        <f t="shared" si="12"/>
        <v>1</v>
      </c>
      <c r="J31" s="36">
        <f t="shared" si="13"/>
        <v>215</v>
      </c>
      <c r="K31" s="36">
        <f t="shared" si="14"/>
        <v>53.75</v>
      </c>
      <c r="L31" s="36">
        <f t="shared" si="18"/>
        <v>4.5</v>
      </c>
      <c r="M31" s="143">
        <f t="shared" si="17"/>
        <v>24196</v>
      </c>
      <c r="N31" s="36">
        <f t="shared" si="16"/>
        <v>1088.82</v>
      </c>
      <c r="O31" s="36">
        <f t="shared" si="10"/>
        <v>575.98577999999998</v>
      </c>
      <c r="P31" s="39">
        <f t="shared" si="11"/>
        <v>7176.7828188000003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>
        <f t="shared" si="20"/>
        <v>0</v>
      </c>
      <c r="AD31" s="35">
        <f t="shared" si="19"/>
        <v>0</v>
      </c>
      <c r="AE31" s="35">
        <f t="shared" si="21"/>
        <v>0</v>
      </c>
    </row>
    <row r="32" spans="1:31" ht="32.25" customHeight="1" x14ac:dyDescent="0.3">
      <c r="A32" s="37">
        <v>44590</v>
      </c>
      <c r="B32" s="38">
        <v>44</v>
      </c>
      <c r="C32" s="36">
        <f t="shared" si="7"/>
        <v>5</v>
      </c>
      <c r="D32" s="38">
        <v>44</v>
      </c>
      <c r="E32" s="36">
        <f t="shared" si="8"/>
        <v>5</v>
      </c>
      <c r="F32" s="38">
        <v>45</v>
      </c>
      <c r="G32" s="36">
        <f t="shared" si="9"/>
        <v>5</v>
      </c>
      <c r="H32" s="38">
        <v>64</v>
      </c>
      <c r="I32" s="36">
        <f t="shared" si="12"/>
        <v>2</v>
      </c>
      <c r="J32" s="36">
        <f t="shared" si="13"/>
        <v>197</v>
      </c>
      <c r="K32" s="36">
        <f t="shared" si="14"/>
        <v>49.25</v>
      </c>
      <c r="L32" s="36">
        <f t="shared" si="18"/>
        <v>4.25</v>
      </c>
      <c r="M32" s="143">
        <f t="shared" si="17"/>
        <v>24196</v>
      </c>
      <c r="N32" s="36">
        <f t="shared" si="16"/>
        <v>1028.33</v>
      </c>
      <c r="O32" s="36">
        <f t="shared" si="10"/>
        <v>543.98657000000003</v>
      </c>
      <c r="P32" s="39">
        <f t="shared" si="11"/>
        <v>6778.0726622000011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>
        <f>Q32+T32+W32+Z32</f>
        <v>0</v>
      </c>
      <c r="AD32" s="35">
        <f t="shared" si="19"/>
        <v>0</v>
      </c>
      <c r="AE32" s="35">
        <f t="shared" si="21"/>
        <v>0</v>
      </c>
    </row>
    <row r="33" spans="1:31" ht="32.25" customHeight="1" x14ac:dyDescent="0.3">
      <c r="A33" s="37">
        <v>44591</v>
      </c>
      <c r="B33" s="38">
        <v>39</v>
      </c>
      <c r="C33" s="36">
        <f t="shared" si="7"/>
        <v>8</v>
      </c>
      <c r="D33" s="38">
        <v>39</v>
      </c>
      <c r="E33" s="36">
        <f t="shared" si="8"/>
        <v>4</v>
      </c>
      <c r="F33" s="38">
        <v>40</v>
      </c>
      <c r="G33" s="36">
        <f t="shared" si="9"/>
        <v>7</v>
      </c>
      <c r="H33" s="38">
        <v>62</v>
      </c>
      <c r="I33" s="36">
        <f t="shared" si="12"/>
        <v>7</v>
      </c>
      <c r="J33" s="36">
        <f t="shared" si="13"/>
        <v>180</v>
      </c>
      <c r="K33" s="36">
        <f t="shared" si="14"/>
        <v>45</v>
      </c>
      <c r="L33" s="36">
        <f t="shared" si="18"/>
        <v>6.5</v>
      </c>
      <c r="M33" s="143">
        <f t="shared" si="17"/>
        <v>24196</v>
      </c>
      <c r="N33" s="36">
        <f t="shared" si="16"/>
        <v>1572.74</v>
      </c>
      <c r="O33" s="36">
        <f t="shared" si="10"/>
        <v>831.97946000000002</v>
      </c>
      <c r="P33" s="39">
        <f t="shared" si="11"/>
        <v>10366.464071600001</v>
      </c>
      <c r="Q33" s="36">
        <v>3144</v>
      </c>
      <c r="R33" s="36">
        <v>32</v>
      </c>
      <c r="S33" s="36">
        <v>75</v>
      </c>
      <c r="T33" s="36">
        <v>2956</v>
      </c>
      <c r="U33" s="36">
        <v>35</v>
      </c>
      <c r="V33" s="36">
        <v>75</v>
      </c>
      <c r="W33" s="36">
        <v>2815</v>
      </c>
      <c r="X33" s="36">
        <v>35</v>
      </c>
      <c r="Y33" s="36">
        <v>75</v>
      </c>
      <c r="Z33" s="36">
        <v>1438</v>
      </c>
      <c r="AA33" s="36">
        <v>58</v>
      </c>
      <c r="AB33" s="36">
        <v>75</v>
      </c>
      <c r="AC33" s="36">
        <f>Q33+T33+W33+Z33</f>
        <v>10353</v>
      </c>
      <c r="AD33" s="35">
        <f t="shared" si="19"/>
        <v>40</v>
      </c>
      <c r="AE33" s="35">
        <f t="shared" si="21"/>
        <v>75</v>
      </c>
    </row>
    <row r="34" spans="1:31" ht="32.25" customHeight="1" x14ac:dyDescent="0.3">
      <c r="A34" s="37">
        <v>44592</v>
      </c>
      <c r="B34" s="38">
        <v>74</v>
      </c>
      <c r="C34" s="36">
        <f t="shared" si="7"/>
        <v>4</v>
      </c>
      <c r="D34" s="38">
        <v>75</v>
      </c>
      <c r="E34" s="36">
        <f t="shared" si="8"/>
        <v>5</v>
      </c>
      <c r="F34" s="38">
        <v>73</v>
      </c>
      <c r="G34" s="36">
        <f t="shared" si="9"/>
        <v>7</v>
      </c>
      <c r="H34" s="38">
        <v>72</v>
      </c>
      <c r="I34" s="36">
        <f t="shared" si="12"/>
        <v>2</v>
      </c>
      <c r="J34" s="36">
        <f>B34+D34+F34+H34</f>
        <v>294</v>
      </c>
      <c r="K34" s="36">
        <f>J34/4</f>
        <v>73.5</v>
      </c>
      <c r="L34" s="36">
        <f>IF(AC34&gt;0,((K34-AD34)+(AE34-K35)),IF(K35=0, ,(K34-K35)))</f>
        <v>4.5</v>
      </c>
      <c r="M34" s="143">
        <f t="shared" si="17"/>
        <v>24196</v>
      </c>
      <c r="N34" s="36">
        <f>L34*M34/100</f>
        <v>1088.82</v>
      </c>
      <c r="O34" s="36">
        <f t="shared" si="10"/>
        <v>575.98577999999998</v>
      </c>
      <c r="P34" s="39">
        <f t="shared" si="11"/>
        <v>7176.7828188000003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>
        <f t="shared" si="20"/>
        <v>0</v>
      </c>
      <c r="AD34" s="35">
        <f t="shared" si="19"/>
        <v>0</v>
      </c>
      <c r="AE34" s="35">
        <f t="shared" si="21"/>
        <v>0</v>
      </c>
    </row>
    <row r="35" spans="1:31" ht="32.25" customHeight="1" x14ac:dyDescent="0.3">
      <c r="A35" s="37">
        <v>44593</v>
      </c>
      <c r="B35" s="38">
        <v>70</v>
      </c>
      <c r="C35" s="36">
        <f t="shared" si="7"/>
        <v>0</v>
      </c>
      <c r="D35" s="38">
        <v>70</v>
      </c>
      <c r="E35" s="36">
        <f t="shared" si="8"/>
        <v>0</v>
      </c>
      <c r="F35" s="38">
        <v>66</v>
      </c>
      <c r="G35" s="36">
        <f t="shared" si="9"/>
        <v>0</v>
      </c>
      <c r="H35" s="38">
        <v>70</v>
      </c>
      <c r="I35" s="36">
        <f t="shared" si="12"/>
        <v>0</v>
      </c>
      <c r="J35" s="36">
        <f>B35+D35+F35+H35</f>
        <v>276</v>
      </c>
      <c r="K35" s="36">
        <f>J35/4</f>
        <v>69</v>
      </c>
      <c r="L35" s="36">
        <f t="shared" si="18"/>
        <v>0</v>
      </c>
      <c r="M35" s="143">
        <f t="shared" si="17"/>
        <v>24196</v>
      </c>
      <c r="N35" s="36">
        <f t="shared" si="16"/>
        <v>0</v>
      </c>
      <c r="O35" s="36">
        <f t="shared" ref="O35:O37" si="22">N35*0.529</f>
        <v>0</v>
      </c>
      <c r="P35" s="39">
        <f t="shared" ref="P35:P40" si="23">O35*11.665</f>
        <v>0</v>
      </c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>
        <f t="shared" si="20"/>
        <v>0</v>
      </c>
      <c r="AD35" s="35">
        <f t="shared" si="19"/>
        <v>0</v>
      </c>
      <c r="AE35" s="35">
        <f t="shared" si="21"/>
        <v>0</v>
      </c>
    </row>
    <row r="36" spans="1:31" ht="32.25" customHeight="1" x14ac:dyDescent="0.3">
      <c r="A36" s="37"/>
      <c r="B36" s="38"/>
      <c r="C36" s="36">
        <f>IF(AC36&gt;0,((B36-R36)+(S36-B37)),IF(B37=0, ,(B36-B37)))</f>
        <v>0</v>
      </c>
      <c r="D36" s="38"/>
      <c r="E36" s="36">
        <f t="shared" ref="E36" si="24">IF(AC36&gt;0,((D36-U36)+(V36-D37)),IF(D37=0, ,(D36-D37)))</f>
        <v>0</v>
      </c>
      <c r="F36" s="38"/>
      <c r="G36" s="36">
        <f t="shared" ref="G36" si="25">IF(AC36&gt;0,((F36-X36)+(Y36-F37)),IF(F37=0, ,(F36-F37)))</f>
        <v>0</v>
      </c>
      <c r="H36" s="38"/>
      <c r="I36" s="36">
        <f t="shared" si="12"/>
        <v>0</v>
      </c>
      <c r="J36" s="36">
        <f t="shared" si="13"/>
        <v>0</v>
      </c>
      <c r="K36" s="36">
        <f t="shared" si="14"/>
        <v>0</v>
      </c>
      <c r="L36" s="36">
        <f t="shared" si="18"/>
        <v>0</v>
      </c>
      <c r="M36" s="143">
        <f t="shared" si="17"/>
        <v>24196</v>
      </c>
      <c r="N36" s="36">
        <f t="shared" si="16"/>
        <v>0</v>
      </c>
      <c r="O36" s="36">
        <f t="shared" si="22"/>
        <v>0</v>
      </c>
      <c r="P36" s="39">
        <f t="shared" si="23"/>
        <v>0</v>
      </c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>
        <f t="shared" si="20"/>
        <v>0</v>
      </c>
      <c r="AD36" s="35">
        <f t="shared" si="19"/>
        <v>0</v>
      </c>
      <c r="AE36" s="35">
        <f t="shared" si="21"/>
        <v>0</v>
      </c>
    </row>
    <row r="37" spans="1:31" ht="32.25" customHeight="1" x14ac:dyDescent="0.3">
      <c r="A37" s="37"/>
      <c r="B37" s="38"/>
      <c r="C37" s="36">
        <f t="shared" ref="C37:C42" si="26">IF(AC37&gt;0,((B37-R37)+(S37-B38)),IF(B38=0, ,(B37-B38)))</f>
        <v>0</v>
      </c>
      <c r="D37" s="38"/>
      <c r="E37" s="36">
        <f>IF(AC37:AC60&gt;0,((D37-U37)+(V37-D38)),IF(D38=0, ,(D37-D38)))</f>
        <v>0</v>
      </c>
      <c r="F37" s="38"/>
      <c r="G37" s="36">
        <f t="shared" ref="G37:G42" si="27">IF(AC37&gt;0,((F37-X37)+(Y37-F38)),IF(F38=0, ,(F37-F38)))</f>
        <v>0</v>
      </c>
      <c r="H37" s="38"/>
      <c r="I37" s="36">
        <f t="shared" ref="I37:I42" si="28">IF(AC37&gt;0,((H37-AA37)+(AB37-H38)),IF(H38=0, ,(H37-H38)))</f>
        <v>0</v>
      </c>
      <c r="J37" s="36">
        <f t="shared" si="13"/>
        <v>0</v>
      </c>
      <c r="K37" s="36">
        <f t="shared" si="14"/>
        <v>0</v>
      </c>
      <c r="L37" s="36">
        <f t="shared" si="18"/>
        <v>0</v>
      </c>
      <c r="M37" s="143">
        <f t="shared" si="17"/>
        <v>24196</v>
      </c>
      <c r="N37" s="36">
        <f t="shared" si="16"/>
        <v>0</v>
      </c>
      <c r="O37" s="36">
        <f t="shared" si="22"/>
        <v>0</v>
      </c>
      <c r="P37" s="39">
        <f t="shared" si="23"/>
        <v>0</v>
      </c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>
        <f t="shared" si="20"/>
        <v>0</v>
      </c>
      <c r="AD37" s="35">
        <f t="shared" si="19"/>
        <v>0</v>
      </c>
      <c r="AE37" s="35">
        <f t="shared" si="21"/>
        <v>0</v>
      </c>
    </row>
    <row r="38" spans="1:31" ht="32.25" customHeight="1" x14ac:dyDescent="0.3">
      <c r="A38" s="37"/>
      <c r="B38" s="38"/>
      <c r="C38" s="36">
        <f t="shared" si="26"/>
        <v>0</v>
      </c>
      <c r="D38" s="38"/>
      <c r="E38" s="36">
        <f>IF(AC38:AC61&gt;0,((D38-U38)+(V38-D39)),IF(D39=0, ,(D38-D39)))</f>
        <v>0</v>
      </c>
      <c r="F38" s="38"/>
      <c r="G38" s="36">
        <f t="shared" si="27"/>
        <v>0</v>
      </c>
      <c r="H38" s="38"/>
      <c r="I38" s="36">
        <f t="shared" si="28"/>
        <v>0</v>
      </c>
      <c r="J38" s="36">
        <f t="shared" si="13"/>
        <v>0</v>
      </c>
      <c r="K38" s="36">
        <f t="shared" si="14"/>
        <v>0</v>
      </c>
      <c r="L38" s="36">
        <f t="shared" si="18"/>
        <v>0</v>
      </c>
      <c r="M38" s="143">
        <f t="shared" si="17"/>
        <v>24196</v>
      </c>
      <c r="N38" s="36">
        <f t="shared" si="16"/>
        <v>0</v>
      </c>
      <c r="O38" s="36">
        <f>N38*0.53</f>
        <v>0</v>
      </c>
      <c r="P38" s="39">
        <f t="shared" si="23"/>
        <v>0</v>
      </c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>
        <f t="shared" si="20"/>
        <v>0</v>
      </c>
      <c r="AD38" s="35">
        <f t="shared" si="19"/>
        <v>0</v>
      </c>
      <c r="AE38" s="35">
        <f t="shared" si="21"/>
        <v>0</v>
      </c>
    </row>
    <row r="39" spans="1:31" ht="32.25" customHeight="1" x14ac:dyDescent="0.3">
      <c r="A39" s="37"/>
      <c r="B39" s="38"/>
      <c r="C39" s="36">
        <f t="shared" si="26"/>
        <v>0</v>
      </c>
      <c r="D39" s="38"/>
      <c r="E39" s="36">
        <f>IF(AC39&gt;0,((D39-U39)+(V39-D40)),IF(D40=0, ,(D39-D40)))</f>
        <v>0</v>
      </c>
      <c r="F39" s="38"/>
      <c r="G39" s="36">
        <f t="shared" si="27"/>
        <v>0</v>
      </c>
      <c r="H39" s="38"/>
      <c r="I39" s="36">
        <f t="shared" si="28"/>
        <v>0</v>
      </c>
      <c r="J39" s="36">
        <f t="shared" si="13"/>
        <v>0</v>
      </c>
      <c r="K39" s="36">
        <f t="shared" si="14"/>
        <v>0</v>
      </c>
      <c r="L39" s="36">
        <f t="shared" si="18"/>
        <v>0</v>
      </c>
      <c r="M39" s="143">
        <f t="shared" si="17"/>
        <v>24196</v>
      </c>
      <c r="N39" s="36">
        <f t="shared" si="16"/>
        <v>0</v>
      </c>
      <c r="O39" s="36">
        <f>N39*0.53</f>
        <v>0</v>
      </c>
      <c r="P39" s="39">
        <f t="shared" si="23"/>
        <v>0</v>
      </c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>
        <f t="shared" si="20"/>
        <v>0</v>
      </c>
      <c r="AD39" s="35">
        <f t="shared" si="19"/>
        <v>0</v>
      </c>
      <c r="AE39" s="35">
        <f t="shared" si="21"/>
        <v>0</v>
      </c>
    </row>
    <row r="40" spans="1:31" ht="32.25" customHeight="1" x14ac:dyDescent="0.3">
      <c r="A40" s="37"/>
      <c r="B40" s="38"/>
      <c r="C40" s="36">
        <f t="shared" si="26"/>
        <v>0</v>
      </c>
      <c r="D40" s="38"/>
      <c r="E40" s="36">
        <f>IF(AC40&gt;0,((D40-U40)+(V40-D41)),IF(D41=0, ,(D40-D41)))</f>
        <v>0</v>
      </c>
      <c r="F40" s="38"/>
      <c r="G40" s="36">
        <f t="shared" si="27"/>
        <v>0</v>
      </c>
      <c r="H40" s="38"/>
      <c r="I40" s="36">
        <f t="shared" si="28"/>
        <v>0</v>
      </c>
      <c r="J40" s="36">
        <f t="shared" si="13"/>
        <v>0</v>
      </c>
      <c r="K40" s="36">
        <f t="shared" si="14"/>
        <v>0</v>
      </c>
      <c r="L40" s="36">
        <f t="shared" si="18"/>
        <v>0</v>
      </c>
      <c r="M40" s="143">
        <f t="shared" si="17"/>
        <v>24196</v>
      </c>
      <c r="N40" s="36">
        <f t="shared" si="16"/>
        <v>0</v>
      </c>
      <c r="O40" s="36">
        <f>N40*0.53</f>
        <v>0</v>
      </c>
      <c r="P40" s="39">
        <f t="shared" si="23"/>
        <v>0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>
        <f t="shared" si="20"/>
        <v>0</v>
      </c>
      <c r="AD40" s="35">
        <f t="shared" si="19"/>
        <v>0</v>
      </c>
      <c r="AE40" s="35">
        <f t="shared" si="21"/>
        <v>0</v>
      </c>
    </row>
    <row r="41" spans="1:31" ht="32.25" customHeight="1" x14ac:dyDescent="0.3">
      <c r="A41" s="37"/>
      <c r="B41" s="38"/>
      <c r="C41" s="36">
        <f t="shared" si="26"/>
        <v>0</v>
      </c>
      <c r="D41" s="38"/>
      <c r="E41" s="36">
        <f>IF(AC41&gt;0,((D41-U41)+(V41-D42)),IF(D42=0, ,(D41-D42)))</f>
        <v>0</v>
      </c>
      <c r="F41" s="38"/>
      <c r="G41" s="36">
        <f t="shared" si="27"/>
        <v>0</v>
      </c>
      <c r="H41" s="38"/>
      <c r="I41" s="36">
        <f t="shared" si="28"/>
        <v>0</v>
      </c>
      <c r="J41" s="36">
        <f t="shared" si="13"/>
        <v>0</v>
      </c>
      <c r="K41" s="36">
        <f t="shared" si="14"/>
        <v>0</v>
      </c>
      <c r="L41" s="36">
        <f t="shared" si="18"/>
        <v>0</v>
      </c>
      <c r="M41" s="143">
        <f t="shared" si="17"/>
        <v>24196</v>
      </c>
      <c r="N41" s="36">
        <f t="shared" si="16"/>
        <v>0</v>
      </c>
      <c r="O41" s="36">
        <f>N41*0.53</f>
        <v>0</v>
      </c>
      <c r="P41" s="39">
        <f t="shared" ref="P41:P42" si="29">O41*9.965</f>
        <v>0</v>
      </c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>
        <f t="shared" si="20"/>
        <v>0</v>
      </c>
      <c r="AD41" s="35">
        <f t="shared" si="19"/>
        <v>0</v>
      </c>
      <c r="AE41" s="35">
        <f t="shared" si="21"/>
        <v>0</v>
      </c>
    </row>
    <row r="42" spans="1:31" ht="32.25" customHeight="1" x14ac:dyDescent="0.3">
      <c r="A42" s="37"/>
      <c r="B42" s="38"/>
      <c r="C42" s="36">
        <f t="shared" si="26"/>
        <v>0</v>
      </c>
      <c r="D42" s="38"/>
      <c r="E42" s="36">
        <f>IF(AC42&gt;0,((D42-U42)+(V42-D43)),IF(D43=0, ,(D42-D43)))</f>
        <v>0</v>
      </c>
      <c r="F42" s="38"/>
      <c r="G42" s="36">
        <f t="shared" si="27"/>
        <v>0</v>
      </c>
      <c r="H42" s="38"/>
      <c r="I42" s="36">
        <f t="shared" si="28"/>
        <v>0</v>
      </c>
      <c r="J42" s="36">
        <f t="shared" si="13"/>
        <v>0</v>
      </c>
      <c r="K42" s="36">
        <f t="shared" si="14"/>
        <v>0</v>
      </c>
      <c r="L42" s="36">
        <f t="shared" si="18"/>
        <v>0</v>
      </c>
      <c r="M42" s="143">
        <f t="shared" si="17"/>
        <v>24196</v>
      </c>
      <c r="N42" s="36">
        <f t="shared" si="16"/>
        <v>0</v>
      </c>
      <c r="O42" s="36">
        <f>N42*0.53</f>
        <v>0</v>
      </c>
      <c r="P42" s="39">
        <f t="shared" si="29"/>
        <v>0</v>
      </c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>
        <f t="shared" si="20"/>
        <v>0</v>
      </c>
      <c r="AD42" s="35">
        <f t="shared" si="19"/>
        <v>0</v>
      </c>
      <c r="AE42" s="35">
        <f t="shared" si="21"/>
        <v>0</v>
      </c>
    </row>
    <row r="43" spans="1:31" ht="32.25" customHeight="1" thickBot="1" x14ac:dyDescent="0.35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6">
        <f>SUM(N4:N42)</f>
        <v>33511.46</v>
      </c>
      <c r="O43" s="36">
        <f>N43*0.529</f>
        <v>17727.56234</v>
      </c>
      <c r="P43" s="39">
        <f>O43*12.46</f>
        <v>220885.42675640003</v>
      </c>
      <c r="Q43" s="308">
        <f>SUM(Q4:Q42)</f>
        <v>11077</v>
      </c>
      <c r="R43" s="309"/>
      <c r="S43" s="310"/>
      <c r="T43" s="311">
        <f>SUM(T4:T42)</f>
        <v>11350</v>
      </c>
      <c r="U43" s="309"/>
      <c r="V43" s="310"/>
      <c r="W43" s="311">
        <f>SUM(W4:W42)</f>
        <v>11162</v>
      </c>
      <c r="X43" s="309"/>
      <c r="Y43" s="310"/>
      <c r="Z43" s="311">
        <f>SUM(Z4:Z42)</f>
        <v>8407</v>
      </c>
      <c r="AA43" s="309"/>
      <c r="AB43" s="310"/>
      <c r="AC43" s="36">
        <f t="shared" si="20"/>
        <v>41996</v>
      </c>
    </row>
    <row r="44" spans="1:31" ht="35.25" customHeight="1" thickBot="1" x14ac:dyDescent="0.35">
      <c r="B44" s="317"/>
      <c r="C44" s="318"/>
      <c r="D44" s="318"/>
      <c r="E44" s="318"/>
      <c r="F44" s="318"/>
      <c r="G44" s="318"/>
      <c r="H44" s="318"/>
      <c r="I44" s="319"/>
      <c r="J44" s="34"/>
      <c r="K44" s="34"/>
      <c r="L44" s="34"/>
      <c r="M44" s="34"/>
      <c r="N44" s="34"/>
      <c r="O44" s="34"/>
      <c r="P44" s="34"/>
      <c r="Q44" s="320">
        <f>Q43+T43+W43+Z43</f>
        <v>41996</v>
      </c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2"/>
      <c r="AC44" s="36">
        <f>Q44+T44+W44+Z44</f>
        <v>41996</v>
      </c>
    </row>
    <row r="45" spans="1:31" ht="7.5" customHeight="1" thickBot="1" x14ac:dyDescent="0.35">
      <c r="D45" s="33" t="s">
        <v>18</v>
      </c>
    </row>
    <row r="46" spans="1:31" ht="51" customHeight="1" thickBot="1" x14ac:dyDescent="0.35">
      <c r="H46" s="34"/>
      <c r="I46" s="34"/>
      <c r="J46" s="34"/>
      <c r="K46" s="40" t="s">
        <v>79</v>
      </c>
      <c r="L46" s="41" t="s">
        <v>80</v>
      </c>
      <c r="M46" s="41" t="s">
        <v>81</v>
      </c>
    </row>
    <row r="47" spans="1:31" ht="48" customHeight="1" thickBot="1" x14ac:dyDescent="0.35">
      <c r="H47" s="304" t="s">
        <v>82</v>
      </c>
      <c r="I47" s="305"/>
      <c r="J47" s="306"/>
      <c r="K47" s="42">
        <f>N43</f>
        <v>33511.46</v>
      </c>
      <c r="L47" s="43">
        <f>O43</f>
        <v>17727.56234</v>
      </c>
      <c r="M47" s="43">
        <f>P43</f>
        <v>220885.42675640003</v>
      </c>
    </row>
    <row r="48" spans="1:31" ht="54.75" customHeight="1" thickBot="1" x14ac:dyDescent="0.35">
      <c r="H48" s="304" t="s">
        <v>83</v>
      </c>
      <c r="I48" s="305"/>
      <c r="J48" s="306"/>
      <c r="K48" s="40">
        <f>AC44</f>
        <v>41996</v>
      </c>
      <c r="L48" s="41">
        <f>K48*0.529</f>
        <v>22215.884000000002</v>
      </c>
      <c r="M48" s="41">
        <f>L48*12.46</f>
        <v>276809.91464000003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L9" sqref="L9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93"/>
      <c r="B1" s="295"/>
      <c r="C1" s="323" t="s">
        <v>183</v>
      </c>
      <c r="D1" s="324"/>
      <c r="E1" s="324"/>
      <c r="F1" s="324"/>
      <c r="G1" s="324"/>
      <c r="H1" s="329" t="s">
        <v>84</v>
      </c>
      <c r="I1" s="330"/>
      <c r="J1" s="331"/>
    </row>
    <row r="2" spans="1:10" ht="16.5" customHeight="1" thickBot="1" x14ac:dyDescent="0.25">
      <c r="A2" s="296"/>
      <c r="B2" s="298"/>
      <c r="C2" s="325"/>
      <c r="D2" s="326"/>
      <c r="E2" s="326"/>
      <c r="F2" s="326"/>
      <c r="G2" s="326"/>
      <c r="H2" s="332"/>
      <c r="I2" s="333"/>
      <c r="J2" s="334"/>
    </row>
    <row r="3" spans="1:10" ht="15" customHeight="1" x14ac:dyDescent="0.2">
      <c r="A3" s="296"/>
      <c r="B3" s="298"/>
      <c r="C3" s="325"/>
      <c r="D3" s="326"/>
      <c r="E3" s="326"/>
      <c r="F3" s="326"/>
      <c r="G3" s="326"/>
      <c r="H3" s="335" t="s">
        <v>85</v>
      </c>
      <c r="I3" s="336"/>
      <c r="J3" s="337"/>
    </row>
    <row r="4" spans="1:10" ht="15.75" customHeight="1" thickBot="1" x14ac:dyDescent="0.25">
      <c r="A4" s="299"/>
      <c r="B4" s="301"/>
      <c r="C4" s="327"/>
      <c r="D4" s="328"/>
      <c r="E4" s="328"/>
      <c r="F4" s="328"/>
      <c r="G4" s="328"/>
      <c r="H4" s="338"/>
      <c r="I4" s="339"/>
      <c r="J4" s="340"/>
    </row>
    <row r="6" spans="1:10" ht="33" customHeight="1" thickBot="1" x14ac:dyDescent="0.25"/>
    <row r="7" spans="1:10" ht="36.75" thickTop="1" x14ac:dyDescent="0.2">
      <c r="A7" s="341" t="s">
        <v>86</v>
      </c>
      <c r="B7" s="341"/>
      <c r="C7" s="342" t="s">
        <v>87</v>
      </c>
      <c r="D7" s="343"/>
      <c r="E7" s="56" t="s">
        <v>88</v>
      </c>
      <c r="F7" s="56" t="s">
        <v>89</v>
      </c>
      <c r="G7" s="56" t="s">
        <v>90</v>
      </c>
      <c r="H7" s="56" t="s">
        <v>91</v>
      </c>
      <c r="I7" s="344" t="s">
        <v>92</v>
      </c>
      <c r="J7" s="345"/>
    </row>
    <row r="8" spans="1:10" x14ac:dyDescent="0.2">
      <c r="A8" s="346">
        <v>95670781</v>
      </c>
      <c r="B8" s="346"/>
      <c r="C8" s="347">
        <v>44923</v>
      </c>
      <c r="D8" s="348"/>
      <c r="E8" s="108">
        <v>44954</v>
      </c>
      <c r="F8" s="152" t="s">
        <v>93</v>
      </c>
      <c r="G8" s="57"/>
      <c r="H8" s="57"/>
      <c r="I8" s="349"/>
      <c r="J8" s="350"/>
    </row>
    <row r="10" spans="1:10" ht="23.25" customHeight="1" thickBot="1" x14ac:dyDescent="0.25"/>
    <row r="11" spans="1:10" ht="24.75" customHeight="1" thickTop="1" x14ac:dyDescent="0.2">
      <c r="A11" s="351" t="s">
        <v>94</v>
      </c>
      <c r="B11" s="351"/>
      <c r="C11" s="352" t="s">
        <v>95</v>
      </c>
      <c r="D11" s="353"/>
      <c r="E11" s="351" t="s">
        <v>96</v>
      </c>
      <c r="F11" s="351"/>
      <c r="G11" s="352" t="s">
        <v>97</v>
      </c>
      <c r="H11" s="353"/>
      <c r="I11" s="354" t="s">
        <v>98</v>
      </c>
      <c r="J11" s="354"/>
    </row>
    <row r="12" spans="1:10" x14ac:dyDescent="0.2">
      <c r="A12" s="346" t="s">
        <v>99</v>
      </c>
      <c r="B12" s="346"/>
      <c r="C12" s="346">
        <v>3750</v>
      </c>
      <c r="D12" s="346"/>
      <c r="E12" s="346">
        <v>1000</v>
      </c>
      <c r="F12" s="346"/>
      <c r="G12" s="358">
        <v>994</v>
      </c>
      <c r="H12" s="358"/>
      <c r="I12" s="359"/>
      <c r="J12" s="359"/>
    </row>
    <row r="13" spans="1:10" x14ac:dyDescent="0.2">
      <c r="A13" s="360"/>
      <c r="B13" s="361"/>
      <c r="C13" s="361"/>
      <c r="D13" s="361"/>
      <c r="E13" s="361"/>
      <c r="F13" s="361"/>
      <c r="G13" s="361"/>
      <c r="H13" s="361"/>
      <c r="I13" s="361"/>
      <c r="J13" s="361"/>
    </row>
    <row r="15" spans="1:10" ht="13.5" thickBot="1" x14ac:dyDescent="0.25"/>
    <row r="16" spans="1:10" ht="26.25" thickTop="1" x14ac:dyDescent="0.2">
      <c r="A16" s="351" t="s">
        <v>100</v>
      </c>
      <c r="B16" s="351"/>
      <c r="C16" s="58" t="s">
        <v>101</v>
      </c>
      <c r="D16" s="59" t="s">
        <v>102</v>
      </c>
      <c r="E16" s="59" t="s">
        <v>46</v>
      </c>
      <c r="F16" s="59" t="s">
        <v>103</v>
      </c>
      <c r="G16" s="355" t="s">
        <v>104</v>
      </c>
      <c r="H16" s="355"/>
      <c r="I16" s="356" t="s">
        <v>105</v>
      </c>
      <c r="J16" s="357"/>
    </row>
    <row r="17" spans="1:10" x14ac:dyDescent="0.2">
      <c r="A17" s="362" t="s">
        <v>106</v>
      </c>
      <c r="B17" s="363"/>
      <c r="C17" s="61">
        <v>22184591</v>
      </c>
      <c r="D17" s="61">
        <v>21995481</v>
      </c>
      <c r="E17" s="62">
        <f>MIN(C17-D17)</f>
        <v>189110</v>
      </c>
      <c r="F17" s="62">
        <f>+E17</f>
        <v>189110</v>
      </c>
      <c r="G17" s="364"/>
      <c r="H17" s="365"/>
      <c r="I17" s="364">
        <f>+E17</f>
        <v>189110</v>
      </c>
      <c r="J17" s="365"/>
    </row>
    <row r="18" spans="1:10" x14ac:dyDescent="0.2">
      <c r="A18" s="362" t="s">
        <v>107</v>
      </c>
      <c r="B18" s="363"/>
      <c r="C18" s="61">
        <v>13012752</v>
      </c>
      <c r="D18" s="61">
        <v>12883997</v>
      </c>
      <c r="E18" s="62">
        <f>MIN(C18-D18)</f>
        <v>128755</v>
      </c>
      <c r="F18" s="62">
        <f>+E18</f>
        <v>128755</v>
      </c>
      <c r="G18" s="364"/>
      <c r="H18" s="365"/>
      <c r="I18" s="364">
        <f>+E18</f>
        <v>128755</v>
      </c>
      <c r="J18" s="365"/>
    </row>
    <row r="19" spans="1:10" x14ac:dyDescent="0.2">
      <c r="A19" s="362" t="s">
        <v>108</v>
      </c>
      <c r="B19" s="363"/>
      <c r="C19" s="61">
        <v>9738324</v>
      </c>
      <c r="D19" s="61">
        <v>9648730</v>
      </c>
      <c r="E19" s="62">
        <f>AVERAGE(C19-D19)</f>
        <v>89594</v>
      </c>
      <c r="F19" s="62">
        <f>+E19</f>
        <v>89594</v>
      </c>
      <c r="G19" s="364"/>
      <c r="H19" s="365"/>
      <c r="I19" s="364">
        <f>+E19</f>
        <v>89594</v>
      </c>
      <c r="J19" s="365"/>
    </row>
    <row r="20" spans="1:10" ht="15" x14ac:dyDescent="0.25">
      <c r="A20" s="366" t="s">
        <v>109</v>
      </c>
      <c r="B20" s="367"/>
      <c r="C20" s="63"/>
      <c r="D20" s="64"/>
      <c r="E20" s="63">
        <f>SUM(E17:E19)</f>
        <v>407459</v>
      </c>
      <c r="F20" s="65"/>
      <c r="G20" s="368"/>
      <c r="H20" s="369"/>
      <c r="I20" s="368"/>
      <c r="J20" s="369"/>
    </row>
    <row r="21" spans="1:10" x14ac:dyDescent="0.2">
      <c r="C21" s="105" t="s">
        <v>18</v>
      </c>
      <c r="D21" t="s">
        <v>110</v>
      </c>
      <c r="G21" s="370"/>
      <c r="H21" s="370"/>
    </row>
    <row r="22" spans="1:10" ht="13.5" thickBot="1" x14ac:dyDescent="0.25">
      <c r="G22" s="371"/>
      <c r="H22" s="371"/>
    </row>
    <row r="23" spans="1:10" ht="13.5" thickTop="1" x14ac:dyDescent="0.2">
      <c r="A23" s="372" t="s">
        <v>111</v>
      </c>
      <c r="B23" s="373"/>
      <c r="C23" s="374"/>
      <c r="D23" s="351" t="s">
        <v>112</v>
      </c>
      <c r="E23" s="351" t="s">
        <v>113</v>
      </c>
      <c r="F23" s="379" t="s">
        <v>114</v>
      </c>
      <c r="G23" s="381" t="s">
        <v>115</v>
      </c>
      <c r="H23" s="381"/>
      <c r="I23" s="382" t="s">
        <v>116</v>
      </c>
      <c r="J23" s="382"/>
    </row>
    <row r="24" spans="1:10" x14ac:dyDescent="0.2">
      <c r="A24" s="375"/>
      <c r="B24" s="376"/>
      <c r="C24" s="377"/>
      <c r="D24" s="378"/>
      <c r="E24" s="378"/>
      <c r="F24" s="380"/>
      <c r="G24" s="153" t="s">
        <v>117</v>
      </c>
      <c r="H24" s="66" t="s">
        <v>118</v>
      </c>
      <c r="I24" s="382"/>
      <c r="J24" s="382"/>
    </row>
    <row r="25" spans="1:10" ht="15" x14ac:dyDescent="0.25">
      <c r="A25" s="383" t="s">
        <v>119</v>
      </c>
      <c r="B25" s="384"/>
      <c r="C25" s="385"/>
      <c r="D25" s="62">
        <f>+E17</f>
        <v>189110</v>
      </c>
      <c r="E25" s="67">
        <v>0.95140000000000002</v>
      </c>
      <c r="F25" s="68">
        <f>PRODUCT(D25*E25)</f>
        <v>179919.25400000002</v>
      </c>
      <c r="G25" s="145">
        <v>14</v>
      </c>
      <c r="H25" s="60">
        <f>PRODUCT(0.14,F25)</f>
        <v>25188.695560000004</v>
      </c>
      <c r="I25" s="386">
        <f>SUM(H25,F25)</f>
        <v>205107.94956000001</v>
      </c>
      <c r="J25" s="387"/>
    </row>
    <row r="26" spans="1:10" ht="15" x14ac:dyDescent="0.25">
      <c r="A26" s="388" t="s">
        <v>120</v>
      </c>
      <c r="B26" s="389"/>
      <c r="C26" s="390"/>
      <c r="D26" s="62">
        <f>+E18</f>
        <v>128755</v>
      </c>
      <c r="E26" s="69">
        <v>0.69850000000000001</v>
      </c>
      <c r="F26" s="68">
        <f>PRODUCT(D26*E26)</f>
        <v>89935.367500000008</v>
      </c>
      <c r="G26">
        <v>14</v>
      </c>
      <c r="H26" s="62">
        <f>PRODUCT(0.14,F26)</f>
        <v>12590.951450000002</v>
      </c>
      <c r="I26" s="386">
        <f t="shared" ref="I26:I31" si="0">SUM(H26,F26)</f>
        <v>102526.31895000002</v>
      </c>
      <c r="J26" s="387"/>
    </row>
    <row r="27" spans="1:10" ht="15" x14ac:dyDescent="0.25">
      <c r="A27" s="388" t="s">
        <v>121</v>
      </c>
      <c r="B27" s="389"/>
      <c r="C27" s="390"/>
      <c r="D27" s="62">
        <f>+E19</f>
        <v>89594</v>
      </c>
      <c r="E27" s="69">
        <v>1.3304</v>
      </c>
      <c r="F27" s="68">
        <f>PRODUCT(D27*E27)</f>
        <v>119195.8576</v>
      </c>
      <c r="G27">
        <v>14</v>
      </c>
      <c r="H27" s="62">
        <f>PRODUCT(0.14,F27)</f>
        <v>16687.420064000002</v>
      </c>
      <c r="I27" s="386">
        <f>SUM(H27,F27)</f>
        <v>135883.27766399999</v>
      </c>
      <c r="J27" s="387"/>
    </row>
    <row r="28" spans="1:10" ht="15" x14ac:dyDescent="0.25">
      <c r="A28" s="388" t="s">
        <v>122</v>
      </c>
      <c r="B28" s="389"/>
      <c r="C28" s="390"/>
      <c r="D28" s="62">
        <v>1000</v>
      </c>
      <c r="E28" s="69">
        <v>43.88167</v>
      </c>
      <c r="F28" s="68">
        <f>PRODUCT(D28,E28)</f>
        <v>43881.67</v>
      </c>
      <c r="G28">
        <v>14</v>
      </c>
      <c r="H28" s="62">
        <f>PRODUCT(0.14,F28)</f>
        <v>6143.4338000000007</v>
      </c>
      <c r="I28" s="386">
        <f t="shared" si="0"/>
        <v>50025.103799999997</v>
      </c>
      <c r="J28" s="387"/>
    </row>
    <row r="29" spans="1:10" ht="15" x14ac:dyDescent="0.25">
      <c r="A29" s="399" t="s">
        <v>123</v>
      </c>
      <c r="B29" s="400"/>
      <c r="C29" s="401"/>
      <c r="D29" s="70">
        <v>0</v>
      </c>
      <c r="E29" s="71">
        <f>E28*1.5</f>
        <v>65.822505000000007</v>
      </c>
      <c r="F29" s="72">
        <f>PRODUCT(D29,E29)</f>
        <v>0</v>
      </c>
      <c r="G29" s="73">
        <v>14</v>
      </c>
      <c r="H29" s="70">
        <f>PRODUCT(0.14,F29)</f>
        <v>0</v>
      </c>
      <c r="I29" s="402">
        <f t="shared" si="0"/>
        <v>0</v>
      </c>
      <c r="J29" s="403"/>
    </row>
    <row r="30" spans="1:10" ht="15" x14ac:dyDescent="0.25">
      <c r="A30" s="388" t="s">
        <v>124</v>
      </c>
      <c r="B30" s="389"/>
      <c r="C30" s="390"/>
      <c r="D30" s="62"/>
      <c r="E30" s="74"/>
      <c r="F30" s="68">
        <v>841</v>
      </c>
      <c r="G30">
        <v>20</v>
      </c>
      <c r="H30" s="75">
        <f>PRODUCT(F30,0.2)</f>
        <v>168.20000000000002</v>
      </c>
      <c r="I30" s="386">
        <f>SUM(H30,F30)</f>
        <v>1009.2</v>
      </c>
      <c r="J30" s="387"/>
    </row>
    <row r="31" spans="1:10" ht="15.75" thickBot="1" x14ac:dyDescent="0.3">
      <c r="A31" s="391" t="s">
        <v>125</v>
      </c>
      <c r="B31" s="392"/>
      <c r="C31" s="393"/>
      <c r="D31" s="76"/>
      <c r="E31" s="77"/>
      <c r="F31" s="68">
        <v>1492</v>
      </c>
      <c r="G31" s="65">
        <v>7</v>
      </c>
      <c r="H31" s="78">
        <f>PRODUCT(F31,0.07)</f>
        <v>104.44000000000001</v>
      </c>
      <c r="I31" s="386">
        <f t="shared" si="0"/>
        <v>1596.44</v>
      </c>
      <c r="J31" s="387"/>
    </row>
    <row r="32" spans="1:10" ht="21" x14ac:dyDescent="0.2">
      <c r="A32" s="394" t="s">
        <v>126</v>
      </c>
      <c r="B32" s="395"/>
      <c r="C32" s="395"/>
      <c r="D32" s="395"/>
      <c r="E32" s="395"/>
      <c r="F32" s="79">
        <f>SUM(F25:F31)</f>
        <v>435265.14909999998</v>
      </c>
      <c r="G32" s="80"/>
      <c r="H32" s="81"/>
      <c r="I32" s="398">
        <f>SUM(I25:J31)</f>
        <v>496148.28997400001</v>
      </c>
      <c r="J32" s="398"/>
    </row>
    <row r="33" spans="1:10" ht="21.75" thickBot="1" x14ac:dyDescent="0.25">
      <c r="A33" s="396"/>
      <c r="B33" s="397"/>
      <c r="C33" s="397"/>
      <c r="D33" s="397"/>
      <c r="E33" s="397"/>
      <c r="F33" s="82"/>
      <c r="G33" s="83"/>
      <c r="H33" s="84"/>
      <c r="I33" s="398"/>
      <c r="J33" s="39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3"/>
  <sheetViews>
    <sheetView workbookViewId="0">
      <selection activeCell="L20" sqref="L20"/>
    </sheetView>
  </sheetViews>
  <sheetFormatPr baseColWidth="10" defaultColWidth="11.42578125" defaultRowHeight="12.75" x14ac:dyDescent="0.2"/>
  <cols>
    <col min="2" max="2" width="9.42578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6" customWidth="1"/>
  </cols>
  <sheetData>
    <row r="1" spans="1:10" ht="15" customHeight="1" x14ac:dyDescent="0.2">
      <c r="A1" s="293"/>
      <c r="B1" s="295"/>
      <c r="C1" s="323" t="s">
        <v>183</v>
      </c>
      <c r="D1" s="324"/>
      <c r="E1" s="324"/>
      <c r="F1" s="324"/>
      <c r="G1" s="324"/>
      <c r="H1" s="329" t="s">
        <v>84</v>
      </c>
      <c r="I1" s="330"/>
      <c r="J1" s="331"/>
    </row>
    <row r="2" spans="1:10" ht="16.5" customHeight="1" thickBot="1" x14ac:dyDescent="0.25">
      <c r="A2" s="296"/>
      <c r="B2" s="298"/>
      <c r="C2" s="325"/>
      <c r="D2" s="326"/>
      <c r="E2" s="326"/>
      <c r="F2" s="326"/>
      <c r="G2" s="326"/>
      <c r="H2" s="332"/>
      <c r="I2" s="333"/>
      <c r="J2" s="334"/>
    </row>
    <row r="3" spans="1:10" ht="15" customHeight="1" x14ac:dyDescent="0.2">
      <c r="A3" s="296"/>
      <c r="B3" s="298"/>
      <c r="C3" s="325"/>
      <c r="D3" s="326"/>
      <c r="E3" s="326"/>
      <c r="F3" s="326"/>
      <c r="G3" s="326"/>
      <c r="H3" s="335" t="s">
        <v>85</v>
      </c>
      <c r="I3" s="336"/>
      <c r="J3" s="337"/>
    </row>
    <row r="4" spans="1:10" ht="15.75" customHeight="1" thickBot="1" x14ac:dyDescent="0.25">
      <c r="A4" s="299"/>
      <c r="B4" s="301"/>
      <c r="C4" s="327"/>
      <c r="D4" s="328"/>
      <c r="E4" s="328"/>
      <c r="F4" s="328"/>
      <c r="G4" s="328"/>
      <c r="H4" s="338"/>
      <c r="I4" s="339"/>
      <c r="J4" s="340"/>
    </row>
    <row r="6" spans="1:10" ht="33" customHeight="1" x14ac:dyDescent="0.2"/>
    <row r="7" spans="1:10" ht="36" x14ac:dyDescent="0.2">
      <c r="A7" s="426" t="s">
        <v>86</v>
      </c>
      <c r="B7" s="426"/>
      <c r="C7" s="427" t="s">
        <v>87</v>
      </c>
      <c r="D7" s="427"/>
      <c r="E7" s="161" t="s">
        <v>88</v>
      </c>
      <c r="F7" s="161" t="s">
        <v>89</v>
      </c>
      <c r="G7" s="161" t="s">
        <v>90</v>
      </c>
      <c r="H7" s="161" t="s">
        <v>91</v>
      </c>
      <c r="I7" s="427" t="s">
        <v>92</v>
      </c>
      <c r="J7" s="427"/>
    </row>
    <row r="8" spans="1:10" x14ac:dyDescent="0.2">
      <c r="A8" s="418">
        <v>95670781</v>
      </c>
      <c r="B8" s="418"/>
      <c r="C8" s="419">
        <v>44955</v>
      </c>
      <c r="D8" s="420"/>
      <c r="E8" s="162">
        <v>44956</v>
      </c>
      <c r="F8" s="163" t="s">
        <v>127</v>
      </c>
      <c r="G8" s="164"/>
      <c r="H8" s="164"/>
      <c r="I8" s="421"/>
      <c r="J8" s="422"/>
    </row>
    <row r="10" spans="1:10" ht="23.25" customHeight="1" x14ac:dyDescent="0.2"/>
    <row r="11" spans="1:10" ht="24.75" customHeight="1" x14ac:dyDescent="0.2">
      <c r="A11" s="409" t="s">
        <v>94</v>
      </c>
      <c r="B11" s="409"/>
      <c r="C11" s="423" t="s">
        <v>95</v>
      </c>
      <c r="D11" s="423"/>
      <c r="E11" s="409" t="s">
        <v>96</v>
      </c>
      <c r="F11" s="409"/>
      <c r="G11" s="423" t="s">
        <v>97</v>
      </c>
      <c r="H11" s="423"/>
      <c r="I11" s="423" t="s">
        <v>98</v>
      </c>
      <c r="J11" s="423"/>
    </row>
    <row r="12" spans="1:10" x14ac:dyDescent="0.2">
      <c r="A12" s="418" t="s">
        <v>99</v>
      </c>
      <c r="B12" s="418"/>
      <c r="C12" s="418">
        <v>3750</v>
      </c>
      <c r="D12" s="418"/>
      <c r="E12" s="418">
        <v>1000</v>
      </c>
      <c r="F12" s="418"/>
      <c r="G12" s="424">
        <v>994</v>
      </c>
      <c r="H12" s="424"/>
      <c r="I12" s="425"/>
      <c r="J12" s="425"/>
    </row>
    <row r="13" spans="1:10" x14ac:dyDescent="0.2">
      <c r="A13" s="360"/>
      <c r="B13" s="361"/>
      <c r="C13" s="361"/>
      <c r="D13" s="361"/>
      <c r="E13" s="361"/>
      <c r="F13" s="361"/>
      <c r="G13" s="361"/>
      <c r="H13" s="361"/>
      <c r="I13" s="361"/>
      <c r="J13" s="361"/>
    </row>
    <row r="16" spans="1:10" ht="25.5" x14ac:dyDescent="0.2">
      <c r="A16" s="413" t="s">
        <v>100</v>
      </c>
      <c r="B16" s="413"/>
      <c r="C16" s="165" t="s">
        <v>101</v>
      </c>
      <c r="D16" s="165" t="s">
        <v>102</v>
      </c>
      <c r="E16" s="165" t="s">
        <v>46</v>
      </c>
      <c r="F16" s="166" t="s">
        <v>103</v>
      </c>
      <c r="G16" s="414" t="s">
        <v>104</v>
      </c>
      <c r="H16" s="415"/>
      <c r="I16" s="409" t="s">
        <v>105</v>
      </c>
      <c r="J16" s="409"/>
    </row>
    <row r="17" spans="1:10" x14ac:dyDescent="0.2">
      <c r="A17" s="405" t="s">
        <v>106</v>
      </c>
      <c r="B17" s="405"/>
      <c r="C17" s="167">
        <v>22195671</v>
      </c>
      <c r="D17" s="167">
        <v>22190337</v>
      </c>
      <c r="E17" s="167">
        <f>MIN(C17-D17)</f>
        <v>5334</v>
      </c>
      <c r="F17" s="168">
        <f>+E17</f>
        <v>5334</v>
      </c>
      <c r="G17" s="416"/>
      <c r="H17" s="417"/>
      <c r="I17" s="297">
        <f>+E17</f>
        <v>5334</v>
      </c>
      <c r="J17" s="365"/>
    </row>
    <row r="18" spans="1:10" x14ac:dyDescent="0.2">
      <c r="A18" s="405" t="s">
        <v>107</v>
      </c>
      <c r="B18" s="405"/>
      <c r="C18" s="167">
        <v>13022851</v>
      </c>
      <c r="D18" s="167">
        <v>13019100</v>
      </c>
      <c r="E18" s="167">
        <f>MIN(C18-D18)</f>
        <v>3751</v>
      </c>
      <c r="F18" s="168">
        <f>+E18</f>
        <v>3751</v>
      </c>
      <c r="G18" s="406"/>
      <c r="H18" s="407"/>
      <c r="I18" s="297">
        <f>+E18</f>
        <v>3751</v>
      </c>
      <c r="J18" s="365"/>
    </row>
    <row r="19" spans="1:10" x14ac:dyDescent="0.2">
      <c r="A19" s="405" t="s">
        <v>108</v>
      </c>
      <c r="B19" s="405"/>
      <c r="C19" s="167">
        <v>9743452</v>
      </c>
      <c r="D19" s="167">
        <v>9740882</v>
      </c>
      <c r="E19" s="167">
        <f>AVERAGE(C19-D19)</f>
        <v>2570</v>
      </c>
      <c r="F19" s="168">
        <f>+E19</f>
        <v>2570</v>
      </c>
      <c r="G19" s="406"/>
      <c r="H19" s="407"/>
      <c r="I19" s="297">
        <f>+E19</f>
        <v>2570</v>
      </c>
      <c r="J19" s="365"/>
    </row>
    <row r="20" spans="1:10" ht="15" x14ac:dyDescent="0.25">
      <c r="A20" s="411" t="s">
        <v>109</v>
      </c>
      <c r="B20" s="411"/>
      <c r="C20" s="169"/>
      <c r="D20" s="169"/>
      <c r="E20" s="169">
        <f>SUM(E17:E19)</f>
        <v>11655</v>
      </c>
      <c r="F20" s="167"/>
      <c r="G20" s="412"/>
      <c r="H20" s="369"/>
      <c r="I20" s="368"/>
      <c r="J20" s="369"/>
    </row>
    <row r="21" spans="1:10" x14ac:dyDescent="0.2">
      <c r="C21" s="105" t="s">
        <v>18</v>
      </c>
      <c r="D21" t="s">
        <v>110</v>
      </c>
      <c r="G21" s="370"/>
      <c r="H21" s="370"/>
    </row>
    <row r="22" spans="1:10" x14ac:dyDescent="0.2">
      <c r="G22" s="297"/>
      <c r="H22" s="297"/>
    </row>
    <row r="23" spans="1:10" x14ac:dyDescent="0.2">
      <c r="A23" s="408" t="s">
        <v>111</v>
      </c>
      <c r="B23" s="408"/>
      <c r="C23" s="408"/>
      <c r="D23" s="409" t="s">
        <v>112</v>
      </c>
      <c r="E23" s="409" t="s">
        <v>113</v>
      </c>
      <c r="F23" s="410" t="s">
        <v>114</v>
      </c>
      <c r="G23" s="404" t="s">
        <v>115</v>
      </c>
      <c r="H23" s="404"/>
      <c r="I23" s="404" t="s">
        <v>116</v>
      </c>
      <c r="J23" s="404"/>
    </row>
    <row r="24" spans="1:10" x14ac:dyDescent="0.2">
      <c r="A24" s="408"/>
      <c r="B24" s="408"/>
      <c r="C24" s="408"/>
      <c r="D24" s="409"/>
      <c r="E24" s="409"/>
      <c r="F24" s="410"/>
      <c r="G24" s="170" t="s">
        <v>117</v>
      </c>
      <c r="H24" s="170" t="s">
        <v>118</v>
      </c>
      <c r="I24" s="404"/>
      <c r="J24" s="404"/>
    </row>
    <row r="25" spans="1:10" ht="15" x14ac:dyDescent="0.25">
      <c r="A25" s="388" t="s">
        <v>119</v>
      </c>
      <c r="B25" s="389"/>
      <c r="C25" s="390"/>
      <c r="D25" s="62">
        <f>+E17</f>
        <v>5334</v>
      </c>
      <c r="E25" s="69">
        <v>0.95140000000000002</v>
      </c>
      <c r="F25" s="68">
        <f>PRODUCT(D25*E25)</f>
        <v>5074.7676000000001</v>
      </c>
      <c r="G25">
        <v>14</v>
      </c>
      <c r="H25" s="62">
        <f>PRODUCT(0.14,F25)</f>
        <v>710.46746400000006</v>
      </c>
      <c r="I25" s="368">
        <f>SUM(H25,F25)</f>
        <v>5785.2350640000004</v>
      </c>
      <c r="J25" s="369"/>
    </row>
    <row r="26" spans="1:10" ht="15" x14ac:dyDescent="0.25">
      <c r="A26" s="388" t="s">
        <v>120</v>
      </c>
      <c r="B26" s="389"/>
      <c r="C26" s="390"/>
      <c r="D26" s="62">
        <f>+E18</f>
        <v>3751</v>
      </c>
      <c r="E26" s="69">
        <v>0.69850000000000001</v>
      </c>
      <c r="F26" s="68">
        <f>PRODUCT(D26*E26)</f>
        <v>2620.0735</v>
      </c>
      <c r="G26">
        <v>14</v>
      </c>
      <c r="H26" s="62">
        <f>PRODUCT(0.14,F26)</f>
        <v>366.81029000000001</v>
      </c>
      <c r="I26" s="386">
        <f t="shared" ref="I26:I31" si="0">SUM(H26,F26)</f>
        <v>2986.8837899999999</v>
      </c>
      <c r="J26" s="387"/>
    </row>
    <row r="27" spans="1:10" ht="15" x14ac:dyDescent="0.25">
      <c r="A27" s="388" t="s">
        <v>121</v>
      </c>
      <c r="B27" s="389"/>
      <c r="C27" s="390"/>
      <c r="D27" s="62">
        <f>+E19</f>
        <v>2570</v>
      </c>
      <c r="E27" s="69">
        <v>1.3304</v>
      </c>
      <c r="F27" s="68">
        <f>PRODUCT(D27*E27)</f>
        <v>3419.1280000000002</v>
      </c>
      <c r="G27">
        <v>14</v>
      </c>
      <c r="H27" s="62">
        <f>PRODUCT(0.14,F27)</f>
        <v>478.67792000000009</v>
      </c>
      <c r="I27" s="386">
        <f>SUM(H27,F27)</f>
        <v>3897.8059200000002</v>
      </c>
      <c r="J27" s="387"/>
    </row>
    <row r="28" spans="1:10" ht="15" x14ac:dyDescent="0.25">
      <c r="A28" s="388" t="s">
        <v>122</v>
      </c>
      <c r="B28" s="389"/>
      <c r="C28" s="390"/>
      <c r="D28" s="62">
        <v>1000</v>
      </c>
      <c r="E28" s="69">
        <v>43.88167</v>
      </c>
      <c r="F28" s="68">
        <f>PRODUCT(D28,E28)</f>
        <v>43881.67</v>
      </c>
      <c r="G28">
        <v>14</v>
      </c>
      <c r="H28" s="62">
        <f>PRODUCT(0.14,F28)</f>
        <v>6143.4338000000007</v>
      </c>
      <c r="I28" s="386">
        <f t="shared" si="0"/>
        <v>50025.103799999997</v>
      </c>
      <c r="J28" s="387"/>
    </row>
    <row r="29" spans="1:10" ht="15" x14ac:dyDescent="0.25">
      <c r="A29" s="399" t="s">
        <v>123</v>
      </c>
      <c r="B29" s="400"/>
      <c r="C29" s="401"/>
      <c r="D29" s="70">
        <v>0</v>
      </c>
      <c r="E29" s="71">
        <v>48.972490000000001</v>
      </c>
      <c r="F29" s="72">
        <f>PRODUCT(D29,E29)</f>
        <v>0</v>
      </c>
      <c r="G29" s="73">
        <v>14</v>
      </c>
      <c r="H29" s="70">
        <f>PRODUCT(0.14,F29)</f>
        <v>0</v>
      </c>
      <c r="I29" s="402">
        <f t="shared" si="0"/>
        <v>0</v>
      </c>
      <c r="J29" s="403"/>
    </row>
    <row r="30" spans="1:10" ht="15" x14ac:dyDescent="0.25">
      <c r="A30" s="388" t="s">
        <v>124</v>
      </c>
      <c r="B30" s="389"/>
      <c r="C30" s="390"/>
      <c r="D30" s="62"/>
      <c r="E30" s="74"/>
      <c r="F30" s="68">
        <v>841</v>
      </c>
      <c r="G30">
        <v>20</v>
      </c>
      <c r="H30" s="75">
        <f>PRODUCT(F30,0.2)</f>
        <v>168.20000000000002</v>
      </c>
      <c r="I30" s="386">
        <f>SUM(H30,F30)</f>
        <v>1009.2</v>
      </c>
      <c r="J30" s="387"/>
    </row>
    <row r="31" spans="1:10" ht="15.75" thickBot="1" x14ac:dyDescent="0.3">
      <c r="A31" s="391" t="s">
        <v>125</v>
      </c>
      <c r="B31" s="392"/>
      <c r="C31" s="393"/>
      <c r="D31" s="76"/>
      <c r="E31" s="77"/>
      <c r="F31" s="68">
        <v>1492</v>
      </c>
      <c r="G31" s="65">
        <v>7</v>
      </c>
      <c r="H31" s="78">
        <f>PRODUCT(F31,0.07)</f>
        <v>104.44000000000001</v>
      </c>
      <c r="I31" s="386">
        <f t="shared" si="0"/>
        <v>1596.44</v>
      </c>
      <c r="J31" s="387"/>
    </row>
    <row r="32" spans="1:10" ht="21" x14ac:dyDescent="0.2">
      <c r="A32" s="394" t="s">
        <v>126</v>
      </c>
      <c r="B32" s="395"/>
      <c r="C32" s="395"/>
      <c r="D32" s="395"/>
      <c r="E32" s="395"/>
      <c r="F32" s="79">
        <f>SUM(F25:F31)</f>
        <v>57328.6391</v>
      </c>
      <c r="G32" s="80"/>
      <c r="H32" s="81"/>
      <c r="I32" s="398">
        <f>SUM(I25:J31)</f>
        <v>65300.668573999996</v>
      </c>
      <c r="J32" s="398"/>
    </row>
    <row r="33" spans="1:10" ht="21.75" thickBot="1" x14ac:dyDescent="0.25">
      <c r="A33" s="396"/>
      <c r="B33" s="397"/>
      <c r="C33" s="397"/>
      <c r="D33" s="397"/>
      <c r="E33" s="397"/>
      <c r="F33" s="82"/>
      <c r="G33" s="83"/>
      <c r="H33" s="84"/>
      <c r="I33" s="398"/>
      <c r="J33" s="39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10" workbookViewId="0">
      <selection activeCell="K7" sqref="K7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28"/>
      <c r="B1" s="323" t="s">
        <v>184</v>
      </c>
      <c r="C1" s="324"/>
      <c r="D1" s="324"/>
      <c r="E1" s="324"/>
      <c r="F1" s="431" t="s">
        <v>84</v>
      </c>
      <c r="G1" s="432"/>
      <c r="H1" s="433"/>
    </row>
    <row r="2" spans="1:8" ht="15.75" customHeight="1" thickBot="1" x14ac:dyDescent="0.25">
      <c r="A2" s="429"/>
      <c r="B2" s="325"/>
      <c r="C2" s="326"/>
      <c r="D2" s="326"/>
      <c r="E2" s="326"/>
      <c r="F2" s="434"/>
      <c r="G2" s="435"/>
      <c r="H2" s="436"/>
    </row>
    <row r="3" spans="1:8" ht="15" customHeight="1" x14ac:dyDescent="0.2">
      <c r="A3" s="429"/>
      <c r="B3" s="325"/>
      <c r="C3" s="326"/>
      <c r="D3" s="326"/>
      <c r="E3" s="326"/>
      <c r="F3" s="431" t="s">
        <v>85</v>
      </c>
      <c r="G3" s="432"/>
      <c r="H3" s="433"/>
    </row>
    <row r="4" spans="1:8" ht="15.75" customHeight="1" thickBot="1" x14ac:dyDescent="0.25">
      <c r="A4" s="430"/>
      <c r="B4" s="327"/>
      <c r="C4" s="328"/>
      <c r="D4" s="328"/>
      <c r="E4" s="328"/>
      <c r="F4" s="437"/>
      <c r="G4" s="438"/>
      <c r="H4" s="439"/>
    </row>
    <row r="6" spans="1:8" ht="42.75" customHeight="1" x14ac:dyDescent="0.2"/>
    <row r="7" spans="1:8" ht="42.75" customHeight="1" x14ac:dyDescent="0.2">
      <c r="A7" s="87" t="s">
        <v>86</v>
      </c>
      <c r="B7" s="87" t="s">
        <v>128</v>
      </c>
      <c r="C7" s="87" t="s">
        <v>129</v>
      </c>
      <c r="D7" s="89" t="s">
        <v>87</v>
      </c>
      <c r="E7" s="87" t="s">
        <v>130</v>
      </c>
      <c r="F7" s="89" t="s">
        <v>88</v>
      </c>
      <c r="G7" s="89" t="s">
        <v>131</v>
      </c>
      <c r="H7" s="88" t="s">
        <v>89</v>
      </c>
    </row>
    <row r="8" spans="1:8" ht="15" x14ac:dyDescent="0.25">
      <c r="A8" s="154"/>
      <c r="B8" s="90" t="s">
        <v>132</v>
      </c>
      <c r="C8" s="91">
        <v>180444</v>
      </c>
      <c r="D8" s="92">
        <v>44927</v>
      </c>
      <c r="E8" s="91">
        <v>184352</v>
      </c>
      <c r="F8" s="92">
        <v>44958</v>
      </c>
      <c r="G8" s="93">
        <f>E8-C8</f>
        <v>3908</v>
      </c>
      <c r="H8" s="94"/>
    </row>
    <row r="9" spans="1:8" ht="36" customHeight="1" x14ac:dyDescent="0.25">
      <c r="A9" s="95"/>
      <c r="B9" s="95"/>
      <c r="C9" s="95"/>
      <c r="D9" s="95"/>
      <c r="E9" s="95"/>
      <c r="F9" s="95"/>
      <c r="G9" s="95"/>
      <c r="H9" s="95"/>
    </row>
    <row r="10" spans="1:8" ht="15" x14ac:dyDescent="0.25">
      <c r="A10" s="96"/>
      <c r="B10" s="440" t="s">
        <v>112</v>
      </c>
      <c r="C10" s="441"/>
      <c r="D10" s="442" t="s">
        <v>133</v>
      </c>
      <c r="E10" s="442"/>
      <c r="F10" s="440" t="s">
        <v>134</v>
      </c>
      <c r="G10" s="443"/>
      <c r="H10" s="441"/>
    </row>
    <row r="11" spans="1:8" ht="15" x14ac:dyDescent="0.25">
      <c r="A11" s="97" t="s">
        <v>135</v>
      </c>
      <c r="B11" s="444"/>
      <c r="C11" s="444"/>
      <c r="D11" s="444"/>
      <c r="E11" s="444"/>
      <c r="F11" s="444">
        <v>23</v>
      </c>
      <c r="G11" s="444"/>
      <c r="H11" s="444"/>
    </row>
    <row r="12" spans="1:8" ht="21" x14ac:dyDescent="0.35">
      <c r="A12" s="445" t="s">
        <v>136</v>
      </c>
      <c r="B12" s="445"/>
      <c r="C12" s="445"/>
      <c r="D12" s="445"/>
      <c r="E12" s="445"/>
      <c r="F12" s="445"/>
      <c r="G12" s="445"/>
      <c r="H12" s="445"/>
    </row>
    <row r="13" spans="1:8" ht="15" x14ac:dyDescent="0.25">
      <c r="A13" s="97" t="s">
        <v>137</v>
      </c>
      <c r="B13" s="444">
        <f>G8</f>
        <v>3908</v>
      </c>
      <c r="C13" s="444"/>
      <c r="D13" s="444">
        <v>8.7899999999999991</v>
      </c>
      <c r="E13" s="444"/>
      <c r="F13" s="446">
        <f>PRODUCT(D13,B13)</f>
        <v>34351.32</v>
      </c>
      <c r="G13" s="446"/>
      <c r="H13" s="446"/>
    </row>
    <row r="14" spans="1:8" ht="45" customHeight="1" x14ac:dyDescent="0.2">
      <c r="A14" s="447" t="s">
        <v>138</v>
      </c>
      <c r="B14" s="447"/>
      <c r="C14" s="447"/>
      <c r="D14" s="447"/>
      <c r="E14" s="447"/>
      <c r="F14" s="447"/>
      <c r="G14" s="447"/>
      <c r="H14" s="447"/>
    </row>
    <row r="15" spans="1:8" x14ac:dyDescent="0.2">
      <c r="A15" s="448"/>
      <c r="B15" s="448"/>
      <c r="C15" s="448"/>
      <c r="D15" s="448"/>
      <c r="E15" s="448"/>
      <c r="F15" s="448"/>
      <c r="G15" s="448"/>
      <c r="H15" s="448"/>
    </row>
    <row r="16" spans="1:8" ht="15" x14ac:dyDescent="0.25">
      <c r="A16" s="98" t="s">
        <v>139</v>
      </c>
      <c r="B16" s="444">
        <v>0</v>
      </c>
      <c r="C16" s="444"/>
      <c r="D16" s="444">
        <v>0</v>
      </c>
      <c r="E16" s="444"/>
      <c r="F16" s="444">
        <f>PRODUCT(D16,B16)</f>
        <v>0</v>
      </c>
      <c r="G16" s="444"/>
      <c r="H16" s="444"/>
    </row>
    <row r="17" spans="1:8" ht="15" x14ac:dyDescent="0.25">
      <c r="A17" s="98" t="s">
        <v>140</v>
      </c>
      <c r="B17" s="444">
        <v>0</v>
      </c>
      <c r="C17" s="444"/>
      <c r="D17" s="444">
        <v>0</v>
      </c>
      <c r="E17" s="444"/>
      <c r="F17" s="444">
        <f>PRODUCT(D17,B17)</f>
        <v>0</v>
      </c>
      <c r="G17" s="444"/>
      <c r="H17" s="444"/>
    </row>
    <row r="18" spans="1:8" ht="15" x14ac:dyDescent="0.25">
      <c r="A18" s="98" t="s">
        <v>141</v>
      </c>
      <c r="B18" s="444">
        <v>0</v>
      </c>
      <c r="C18" s="444"/>
      <c r="D18" s="444">
        <v>0</v>
      </c>
      <c r="E18" s="444"/>
      <c r="F18" s="444">
        <f>PRODUCT(D18,B18)</f>
        <v>0</v>
      </c>
      <c r="G18" s="444"/>
      <c r="H18" s="444"/>
    </row>
    <row r="19" spans="1:8" ht="15" x14ac:dyDescent="0.25">
      <c r="A19" s="98" t="s">
        <v>142</v>
      </c>
      <c r="B19" s="444">
        <f>G8</f>
        <v>3908</v>
      </c>
      <c r="C19" s="444"/>
      <c r="D19" s="444">
        <v>2.61</v>
      </c>
      <c r="E19" s="444"/>
      <c r="F19" s="444">
        <f>PRODUCT(D19,B19)</f>
        <v>10199.879999999999</v>
      </c>
      <c r="G19" s="444"/>
      <c r="H19" s="444"/>
    </row>
    <row r="20" spans="1:8" ht="18.75" x14ac:dyDescent="0.3">
      <c r="A20" s="460" t="s">
        <v>143</v>
      </c>
      <c r="B20" s="461"/>
      <c r="C20" s="461"/>
      <c r="D20" s="461"/>
      <c r="E20" s="462"/>
      <c r="F20" s="463">
        <f>SUM(F11+F13+F16+F17+F18+F19)</f>
        <v>44574.2</v>
      </c>
      <c r="G20" s="463"/>
      <c r="H20" s="463"/>
    </row>
    <row r="21" spans="1:8" ht="15" x14ac:dyDescent="0.25">
      <c r="A21" s="449" t="s">
        <v>144</v>
      </c>
      <c r="B21" s="450"/>
      <c r="C21" s="450"/>
      <c r="D21" s="450"/>
      <c r="E21" s="451"/>
      <c r="F21" s="444">
        <f>PRODUCT(F20,0.07)</f>
        <v>3120.194</v>
      </c>
      <c r="G21" s="444"/>
      <c r="H21" s="444"/>
    </row>
    <row r="22" spans="1:8" ht="15" x14ac:dyDescent="0.25">
      <c r="A22" s="464" t="s">
        <v>145</v>
      </c>
      <c r="B22" s="465"/>
      <c r="C22" s="465"/>
      <c r="D22" s="465"/>
      <c r="E22" s="466"/>
      <c r="F22" s="444">
        <v>208.26</v>
      </c>
      <c r="G22" s="444"/>
      <c r="H22" s="444"/>
    </row>
    <row r="23" spans="1:8" ht="15.75" x14ac:dyDescent="0.25">
      <c r="A23" s="449" t="s">
        <v>146</v>
      </c>
      <c r="B23" s="450"/>
      <c r="C23" s="450"/>
      <c r="D23" s="450"/>
      <c r="E23" s="451"/>
      <c r="F23" s="452">
        <f>SUM(F21:H22)</f>
        <v>3328.4539999999997</v>
      </c>
      <c r="G23" s="452"/>
      <c r="H23" s="452"/>
    </row>
    <row r="24" spans="1:8" x14ac:dyDescent="0.2">
      <c r="A24" s="453" t="s">
        <v>147</v>
      </c>
      <c r="B24" s="454"/>
      <c r="C24" s="454"/>
      <c r="D24" s="454"/>
      <c r="E24" s="455"/>
      <c r="F24" s="459">
        <f>SUM(F20,F23)</f>
        <v>47902.653999999995</v>
      </c>
      <c r="G24" s="459"/>
      <c r="H24" s="459"/>
    </row>
    <row r="25" spans="1:8" x14ac:dyDescent="0.2">
      <c r="A25" s="456"/>
      <c r="B25" s="457"/>
      <c r="C25" s="457"/>
      <c r="D25" s="457"/>
      <c r="E25" s="458"/>
      <c r="F25" s="459"/>
      <c r="G25" s="459"/>
      <c r="H25" s="459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K7" sqref="K7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 x14ac:dyDescent="0.2">
      <c r="A1" s="428"/>
      <c r="B1" s="323" t="s">
        <v>184</v>
      </c>
      <c r="C1" s="324"/>
      <c r="D1" s="324"/>
      <c r="E1" s="324"/>
      <c r="F1" s="469" t="s">
        <v>84</v>
      </c>
      <c r="G1" s="469"/>
      <c r="H1" s="469"/>
    </row>
    <row r="2" spans="1:14" ht="15.75" customHeight="1" x14ac:dyDescent="0.2">
      <c r="A2" s="429"/>
      <c r="B2" s="325"/>
      <c r="C2" s="326"/>
      <c r="D2" s="326"/>
      <c r="E2" s="326"/>
      <c r="F2" s="469"/>
      <c r="G2" s="469"/>
      <c r="H2" s="469"/>
    </row>
    <row r="3" spans="1:14" ht="15" customHeight="1" x14ac:dyDescent="0.2">
      <c r="A3" s="429"/>
      <c r="B3" s="325"/>
      <c r="C3" s="326"/>
      <c r="D3" s="326"/>
      <c r="E3" s="326"/>
      <c r="F3" s="469" t="s">
        <v>85</v>
      </c>
      <c r="G3" s="469"/>
      <c r="H3" s="469"/>
    </row>
    <row r="4" spans="1:14" ht="15.75" customHeight="1" thickBot="1" x14ac:dyDescent="0.25">
      <c r="A4" s="430"/>
      <c r="B4" s="327"/>
      <c r="C4" s="328"/>
      <c r="D4" s="328"/>
      <c r="E4" s="328"/>
      <c r="F4" s="469"/>
      <c r="G4" s="469"/>
      <c r="H4" s="469"/>
    </row>
    <row r="6" spans="1:14" ht="42.75" customHeight="1" x14ac:dyDescent="0.2"/>
    <row r="7" spans="1:14" ht="42.75" customHeight="1" x14ac:dyDescent="0.2">
      <c r="A7" s="171" t="s">
        <v>86</v>
      </c>
      <c r="B7" s="172" t="s">
        <v>128</v>
      </c>
      <c r="C7" s="172" t="s">
        <v>129</v>
      </c>
      <c r="D7" s="161" t="s">
        <v>87</v>
      </c>
      <c r="E7" s="172" t="s">
        <v>130</v>
      </c>
      <c r="F7" s="161" t="s">
        <v>88</v>
      </c>
      <c r="G7" s="161" t="s">
        <v>131</v>
      </c>
      <c r="H7" s="173" t="s">
        <v>89</v>
      </c>
    </row>
    <row r="8" spans="1:14" ht="15" x14ac:dyDescent="0.25">
      <c r="A8" s="174"/>
      <c r="B8" s="175" t="s">
        <v>132</v>
      </c>
      <c r="C8" s="176">
        <v>184040</v>
      </c>
      <c r="D8" s="177">
        <v>44955</v>
      </c>
      <c r="E8" s="176">
        <v>184154</v>
      </c>
      <c r="F8" s="177">
        <v>44956</v>
      </c>
      <c r="G8" s="178">
        <f>E8-C8</f>
        <v>114</v>
      </c>
      <c r="H8" s="179"/>
    </row>
    <row r="9" spans="1:14" ht="36" customHeight="1" x14ac:dyDescent="0.25">
      <c r="A9" s="95"/>
      <c r="B9" s="95"/>
      <c r="C9" s="95"/>
      <c r="D9" s="95"/>
      <c r="E9" s="95"/>
      <c r="F9" s="95"/>
      <c r="G9" s="95"/>
      <c r="H9" s="95"/>
    </row>
    <row r="10" spans="1:14" ht="15" x14ac:dyDescent="0.25">
      <c r="A10" s="96"/>
      <c r="B10" s="440" t="s">
        <v>112</v>
      </c>
      <c r="C10" s="441"/>
      <c r="D10" s="442" t="s">
        <v>133</v>
      </c>
      <c r="E10" s="442"/>
      <c r="F10" s="440" t="s">
        <v>134</v>
      </c>
      <c r="G10" s="443"/>
      <c r="H10" s="441"/>
    </row>
    <row r="11" spans="1:14" ht="15" x14ac:dyDescent="0.25">
      <c r="A11" s="97" t="s">
        <v>135</v>
      </c>
      <c r="B11" s="444"/>
      <c r="C11" s="444"/>
      <c r="D11" s="444"/>
      <c r="E11" s="444"/>
      <c r="F11" s="444">
        <v>23</v>
      </c>
      <c r="G11" s="444"/>
      <c r="H11" s="444"/>
    </row>
    <row r="12" spans="1:14" ht="21" x14ac:dyDescent="0.35">
      <c r="A12" s="445" t="s">
        <v>136</v>
      </c>
      <c r="B12" s="445"/>
      <c r="C12" s="445"/>
      <c r="D12" s="445"/>
      <c r="E12" s="445"/>
      <c r="F12" s="445"/>
      <c r="G12" s="445"/>
      <c r="H12" s="445"/>
      <c r="K12" s="180"/>
    </row>
    <row r="13" spans="1:14" ht="19.5" x14ac:dyDescent="0.25">
      <c r="A13" s="97" t="s">
        <v>137</v>
      </c>
      <c r="B13" s="444">
        <f>G8</f>
        <v>114</v>
      </c>
      <c r="C13" s="444"/>
      <c r="D13" s="444">
        <v>8.5</v>
      </c>
      <c r="E13" s="444"/>
      <c r="F13" s="446">
        <f>PRODUCT(D13,B13)</f>
        <v>969</v>
      </c>
      <c r="G13" s="446"/>
      <c r="H13" s="446"/>
      <c r="K13" s="180"/>
    </row>
    <row r="14" spans="1:14" ht="45" customHeight="1" x14ac:dyDescent="0.2">
      <c r="A14" s="447" t="s">
        <v>138</v>
      </c>
      <c r="B14" s="447"/>
      <c r="C14" s="447"/>
      <c r="D14" s="447"/>
      <c r="E14" s="447"/>
      <c r="F14" s="447"/>
      <c r="G14" s="447"/>
      <c r="H14" s="447"/>
      <c r="N14" s="180"/>
    </row>
    <row r="15" spans="1:14" ht="19.5" x14ac:dyDescent="0.2">
      <c r="A15" s="448"/>
      <c r="B15" s="448"/>
      <c r="C15" s="448"/>
      <c r="D15" s="448"/>
      <c r="E15" s="448"/>
      <c r="F15" s="448"/>
      <c r="G15" s="448"/>
      <c r="H15" s="448"/>
      <c r="M15" s="180"/>
      <c r="N15" s="180"/>
    </row>
    <row r="16" spans="1:14" ht="19.5" x14ac:dyDescent="0.25">
      <c r="A16" s="98" t="s">
        <v>139</v>
      </c>
      <c r="B16" s="444">
        <v>0</v>
      </c>
      <c r="C16" s="444"/>
      <c r="D16" s="444">
        <v>0</v>
      </c>
      <c r="E16" s="444"/>
      <c r="F16" s="444">
        <f>PRODUCT(D16,B16)</f>
        <v>0</v>
      </c>
      <c r="G16" s="444"/>
      <c r="H16" s="444"/>
      <c r="K16" s="180"/>
    </row>
    <row r="17" spans="1:8" ht="15" x14ac:dyDescent="0.25">
      <c r="A17" s="98" t="s">
        <v>140</v>
      </c>
      <c r="B17" s="444">
        <v>0</v>
      </c>
      <c r="C17" s="444"/>
      <c r="D17" s="444">
        <v>0</v>
      </c>
      <c r="E17" s="444"/>
      <c r="F17" s="444">
        <f>PRODUCT(D17,B17)</f>
        <v>0</v>
      </c>
      <c r="G17" s="444"/>
      <c r="H17" s="444"/>
    </row>
    <row r="18" spans="1:8" ht="15" x14ac:dyDescent="0.25">
      <c r="A18" s="98" t="s">
        <v>141</v>
      </c>
      <c r="B18" s="444">
        <v>0</v>
      </c>
      <c r="C18" s="444"/>
      <c r="D18" s="444">
        <v>0</v>
      </c>
      <c r="E18" s="444"/>
      <c r="F18" s="444">
        <f>PRODUCT(D18,B18)</f>
        <v>0</v>
      </c>
      <c r="G18" s="444"/>
      <c r="H18" s="444"/>
    </row>
    <row r="19" spans="1:8" ht="15" x14ac:dyDescent="0.25">
      <c r="A19" s="98" t="s">
        <v>142</v>
      </c>
      <c r="B19" s="444">
        <v>0</v>
      </c>
      <c r="C19" s="444"/>
      <c r="D19" s="467">
        <v>0</v>
      </c>
      <c r="E19" s="468"/>
      <c r="F19" s="467">
        <v>0</v>
      </c>
      <c r="G19" s="468"/>
      <c r="H19" s="154"/>
    </row>
    <row r="20" spans="1:8" ht="15" x14ac:dyDescent="0.25">
      <c r="A20" s="98" t="s">
        <v>148</v>
      </c>
      <c r="B20" s="444">
        <f>G8</f>
        <v>114</v>
      </c>
      <c r="C20" s="444"/>
      <c r="D20" s="444">
        <v>2.54</v>
      </c>
      <c r="E20" s="444"/>
      <c r="F20" s="444">
        <f>PRODUCT(D20,B20)</f>
        <v>289.56</v>
      </c>
      <c r="G20" s="444"/>
      <c r="H20" s="444"/>
    </row>
    <row r="21" spans="1:8" ht="18.75" x14ac:dyDescent="0.3">
      <c r="A21" s="460" t="s">
        <v>143</v>
      </c>
      <c r="B21" s="461"/>
      <c r="C21" s="461"/>
      <c r="D21" s="461"/>
      <c r="E21" s="462"/>
      <c r="F21" s="463">
        <f>SUM(F11+F13+F16+F17+F18+F20)</f>
        <v>1281.56</v>
      </c>
      <c r="G21" s="463"/>
      <c r="H21" s="463"/>
    </row>
    <row r="22" spans="1:8" ht="15" x14ac:dyDescent="0.25">
      <c r="A22" s="449" t="s">
        <v>144</v>
      </c>
      <c r="B22" s="450"/>
      <c r="C22" s="450"/>
      <c r="D22" s="450"/>
      <c r="E22" s="451"/>
      <c r="F22" s="444">
        <f>PRODUCT(F21,0.07)</f>
        <v>89.70920000000001</v>
      </c>
      <c r="G22" s="444"/>
      <c r="H22" s="444"/>
    </row>
    <row r="23" spans="1:8" ht="15" x14ac:dyDescent="0.25">
      <c r="A23" s="464" t="s">
        <v>145</v>
      </c>
      <c r="B23" s="465"/>
      <c r="C23" s="465"/>
      <c r="D23" s="465"/>
      <c r="E23" s="466"/>
      <c r="F23" s="444">
        <v>208.26</v>
      </c>
      <c r="G23" s="444"/>
      <c r="H23" s="444"/>
    </row>
    <row r="24" spans="1:8" ht="15.75" x14ac:dyDescent="0.25">
      <c r="A24" s="449" t="s">
        <v>146</v>
      </c>
      <c r="B24" s="450"/>
      <c r="C24" s="450"/>
      <c r="D24" s="450"/>
      <c r="E24" s="451"/>
      <c r="F24" s="452">
        <f>SUM(F22:H23)</f>
        <v>297.9692</v>
      </c>
      <c r="G24" s="452"/>
      <c r="H24" s="452"/>
    </row>
    <row r="25" spans="1:8" x14ac:dyDescent="0.2">
      <c r="A25" s="453" t="s">
        <v>147</v>
      </c>
      <c r="B25" s="454"/>
      <c r="C25" s="454"/>
      <c r="D25" s="454"/>
      <c r="E25" s="455"/>
      <c r="F25" s="459">
        <f>SUM(F21,F24)</f>
        <v>1579.5291999999999</v>
      </c>
      <c r="G25" s="459"/>
      <c r="H25" s="459"/>
    </row>
    <row r="26" spans="1:8" x14ac:dyDescent="0.2">
      <c r="A26" s="456"/>
      <c r="B26" s="457"/>
      <c r="C26" s="457"/>
      <c r="D26" s="457"/>
      <c r="E26" s="458"/>
      <c r="F26" s="459"/>
      <c r="G26" s="459"/>
      <c r="H26" s="459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K9" sqref="K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28"/>
      <c r="B1" s="323" t="s">
        <v>185</v>
      </c>
      <c r="C1" s="324"/>
      <c r="D1" s="324"/>
      <c r="E1" s="324"/>
      <c r="F1" s="431" t="s">
        <v>84</v>
      </c>
      <c r="G1" s="432"/>
      <c r="H1" s="433"/>
    </row>
    <row r="2" spans="1:8" ht="15.75" customHeight="1" thickBot="1" x14ac:dyDescent="0.25">
      <c r="A2" s="429"/>
      <c r="B2" s="325"/>
      <c r="C2" s="326"/>
      <c r="D2" s="326"/>
      <c r="E2" s="326"/>
      <c r="F2" s="434"/>
      <c r="G2" s="435"/>
      <c r="H2" s="436"/>
    </row>
    <row r="3" spans="1:8" ht="15" customHeight="1" x14ac:dyDescent="0.2">
      <c r="A3" s="429"/>
      <c r="B3" s="325"/>
      <c r="C3" s="326"/>
      <c r="D3" s="326"/>
      <c r="E3" s="326"/>
      <c r="F3" s="431" t="s">
        <v>85</v>
      </c>
      <c r="G3" s="432"/>
      <c r="H3" s="433"/>
    </row>
    <row r="4" spans="1:8" ht="15.75" customHeight="1" thickBot="1" x14ac:dyDescent="0.25">
      <c r="A4" s="430"/>
      <c r="B4" s="327"/>
      <c r="C4" s="328"/>
      <c r="D4" s="328"/>
      <c r="E4" s="328"/>
      <c r="F4" s="437"/>
      <c r="G4" s="438"/>
      <c r="H4" s="439"/>
    </row>
    <row r="6" spans="1:8" ht="42.75" customHeight="1" x14ac:dyDescent="0.2"/>
    <row r="7" spans="1:8" ht="42.75" customHeight="1" x14ac:dyDescent="0.2">
      <c r="A7" s="87" t="s">
        <v>86</v>
      </c>
      <c r="B7" s="87" t="s">
        <v>128</v>
      </c>
      <c r="C7" s="87" t="s">
        <v>129</v>
      </c>
      <c r="D7" s="89" t="s">
        <v>87</v>
      </c>
      <c r="E7" s="87" t="s">
        <v>130</v>
      </c>
      <c r="F7" s="89" t="s">
        <v>88</v>
      </c>
      <c r="G7" s="89" t="s">
        <v>131</v>
      </c>
      <c r="H7" s="88" t="s">
        <v>89</v>
      </c>
    </row>
    <row r="8" spans="1:8" ht="15" x14ac:dyDescent="0.25">
      <c r="A8" s="154"/>
      <c r="B8" s="90" t="s">
        <v>132</v>
      </c>
      <c r="C8" s="91">
        <v>2594</v>
      </c>
      <c r="D8" s="92">
        <v>44937</v>
      </c>
      <c r="E8" s="91">
        <v>2594</v>
      </c>
      <c r="F8" s="92">
        <v>44938</v>
      </c>
      <c r="G8" s="93">
        <f>E8-C8</f>
        <v>0</v>
      </c>
      <c r="H8" s="94"/>
    </row>
    <row r="9" spans="1:8" ht="36" customHeight="1" x14ac:dyDescent="0.25">
      <c r="A9" s="95"/>
      <c r="B9" s="95"/>
      <c r="C9" s="95"/>
      <c r="D9" s="95"/>
      <c r="E9" s="95"/>
      <c r="F9" s="95"/>
      <c r="G9" s="95"/>
      <c r="H9" s="95"/>
    </row>
    <row r="10" spans="1:8" ht="15" x14ac:dyDescent="0.25">
      <c r="A10" s="96"/>
      <c r="B10" s="440" t="s">
        <v>112</v>
      </c>
      <c r="C10" s="441"/>
      <c r="D10" s="442" t="s">
        <v>133</v>
      </c>
      <c r="E10" s="442"/>
      <c r="F10" s="440" t="s">
        <v>134</v>
      </c>
      <c r="G10" s="443"/>
      <c r="H10" s="441"/>
    </row>
    <row r="11" spans="1:8" ht="15" x14ac:dyDescent="0.25">
      <c r="A11" s="97" t="s">
        <v>135</v>
      </c>
      <c r="B11" s="444"/>
      <c r="C11" s="444"/>
      <c r="D11" s="444"/>
      <c r="E11" s="444"/>
      <c r="F11" s="444">
        <v>15</v>
      </c>
      <c r="G11" s="444"/>
      <c r="H11" s="444"/>
    </row>
    <row r="12" spans="1:8" ht="21" x14ac:dyDescent="0.35">
      <c r="A12" s="445" t="s">
        <v>136</v>
      </c>
      <c r="B12" s="445"/>
      <c r="C12" s="445"/>
      <c r="D12" s="445"/>
      <c r="E12" s="445"/>
      <c r="F12" s="445"/>
      <c r="G12" s="445"/>
      <c r="H12" s="445"/>
    </row>
    <row r="13" spans="1:8" ht="15" x14ac:dyDescent="0.25">
      <c r="A13" s="97" t="s">
        <v>149</v>
      </c>
      <c r="B13" s="444">
        <f>G8</f>
        <v>0</v>
      </c>
      <c r="C13" s="444"/>
      <c r="D13" s="444">
        <v>16.48</v>
      </c>
      <c r="E13" s="444"/>
      <c r="F13" s="446">
        <f>PRODUCT(D13,B13)</f>
        <v>0</v>
      </c>
      <c r="G13" s="446"/>
      <c r="H13" s="446"/>
    </row>
    <row r="14" spans="1:8" ht="15" x14ac:dyDescent="0.25">
      <c r="A14" s="97" t="s">
        <v>150</v>
      </c>
      <c r="B14" s="467"/>
      <c r="C14" s="468"/>
      <c r="D14" s="467"/>
      <c r="E14" s="468"/>
      <c r="F14" s="467"/>
      <c r="G14" s="468"/>
      <c r="H14" s="106"/>
    </row>
    <row r="15" spans="1:8" ht="15" x14ac:dyDescent="0.25">
      <c r="A15" s="97" t="s">
        <v>151</v>
      </c>
      <c r="B15" s="467"/>
      <c r="C15" s="468"/>
      <c r="D15" s="467"/>
      <c r="E15" s="468"/>
      <c r="F15" s="467"/>
      <c r="G15" s="468"/>
      <c r="H15" s="106"/>
    </row>
    <row r="16" spans="1:8" ht="15" x14ac:dyDescent="0.25">
      <c r="A16" s="97" t="s">
        <v>152</v>
      </c>
      <c r="B16" s="467"/>
      <c r="C16" s="468"/>
      <c r="D16" s="467"/>
      <c r="E16" s="468"/>
      <c r="F16" s="467"/>
      <c r="G16" s="468"/>
      <c r="H16" s="106"/>
    </row>
    <row r="17" spans="1:8" ht="15" x14ac:dyDescent="0.25">
      <c r="A17" s="97" t="s">
        <v>153</v>
      </c>
      <c r="B17" s="467"/>
      <c r="C17" s="468"/>
      <c r="D17" s="467"/>
      <c r="E17" s="468"/>
      <c r="F17" s="467"/>
      <c r="G17" s="468"/>
      <c r="H17" s="106"/>
    </row>
    <row r="18" spans="1:8" ht="45" customHeight="1" x14ac:dyDescent="0.2">
      <c r="A18" s="447" t="s">
        <v>138</v>
      </c>
      <c r="B18" s="447"/>
      <c r="C18" s="447"/>
      <c r="D18" s="447"/>
      <c r="E18" s="447"/>
      <c r="F18" s="447"/>
      <c r="G18" s="447"/>
      <c r="H18" s="447"/>
    </row>
    <row r="19" spans="1:8" x14ac:dyDescent="0.2">
      <c r="A19" s="448"/>
      <c r="B19" s="448"/>
      <c r="C19" s="448"/>
      <c r="D19" s="448"/>
      <c r="E19" s="448"/>
      <c r="F19" s="448"/>
      <c r="G19" s="448"/>
      <c r="H19" s="448"/>
    </row>
    <row r="20" spans="1:8" ht="15" x14ac:dyDescent="0.25">
      <c r="A20" s="98" t="s">
        <v>139</v>
      </c>
      <c r="B20" s="444">
        <v>0</v>
      </c>
      <c r="C20" s="444"/>
      <c r="D20" s="444">
        <v>0</v>
      </c>
      <c r="E20" s="444"/>
      <c r="F20" s="444">
        <f>PRODUCT(D20,B20)</f>
        <v>0</v>
      </c>
      <c r="G20" s="444"/>
      <c r="H20" s="444"/>
    </row>
    <row r="21" spans="1:8" ht="15" x14ac:dyDescent="0.25">
      <c r="A21" s="98" t="s">
        <v>140</v>
      </c>
      <c r="B21" s="444">
        <v>0</v>
      </c>
      <c r="C21" s="444"/>
      <c r="D21" s="444">
        <v>0</v>
      </c>
      <c r="E21" s="444"/>
      <c r="F21" s="444">
        <f>PRODUCT(D21,B21)</f>
        <v>0</v>
      </c>
      <c r="G21" s="444"/>
      <c r="H21" s="444"/>
    </row>
    <row r="22" spans="1:8" ht="15" x14ac:dyDescent="0.25">
      <c r="A22" s="98" t="s">
        <v>141</v>
      </c>
      <c r="B22" s="444">
        <v>0</v>
      </c>
      <c r="C22" s="444"/>
      <c r="D22" s="444">
        <v>0</v>
      </c>
      <c r="E22" s="444"/>
      <c r="F22" s="444">
        <f>PRODUCT(D22,B22)</f>
        <v>0</v>
      </c>
      <c r="G22" s="444"/>
      <c r="H22" s="444"/>
    </row>
    <row r="23" spans="1:8" ht="15" x14ac:dyDescent="0.25">
      <c r="A23" s="98" t="s">
        <v>142</v>
      </c>
      <c r="B23" s="444">
        <f>G8</f>
        <v>0</v>
      </c>
      <c r="C23" s="444"/>
      <c r="D23" s="444">
        <v>0</v>
      </c>
      <c r="E23" s="444"/>
      <c r="F23" s="444">
        <f>PRODUCT(D23,B23)</f>
        <v>0</v>
      </c>
      <c r="G23" s="444"/>
      <c r="H23" s="444"/>
    </row>
    <row r="24" spans="1:8" ht="15" x14ac:dyDescent="0.25">
      <c r="A24" s="98" t="s">
        <v>148</v>
      </c>
      <c r="B24" s="467">
        <v>0</v>
      </c>
      <c r="C24" s="468"/>
      <c r="D24" s="467">
        <v>2.54</v>
      </c>
      <c r="E24" s="468"/>
      <c r="F24" s="467">
        <f>B24*D24</f>
        <v>0</v>
      </c>
      <c r="G24" s="468"/>
      <c r="H24" s="154"/>
    </row>
    <row r="25" spans="1:8" ht="18.75" x14ac:dyDescent="0.3">
      <c r="A25" s="460" t="s">
        <v>143</v>
      </c>
      <c r="B25" s="461"/>
      <c r="C25" s="461"/>
      <c r="D25" s="461"/>
      <c r="E25" s="462"/>
      <c r="F25" s="470">
        <f>SUM(F11+F13+F20+F21+F22+F23)</f>
        <v>15</v>
      </c>
      <c r="G25" s="463"/>
      <c r="H25" s="463"/>
    </row>
    <row r="26" spans="1:8" ht="15" x14ac:dyDescent="0.25">
      <c r="A26" s="449" t="s">
        <v>144</v>
      </c>
      <c r="B26" s="450"/>
      <c r="C26" s="450"/>
      <c r="D26" s="450"/>
      <c r="E26" s="451"/>
      <c r="F26" s="444">
        <v>63.63</v>
      </c>
      <c r="G26" s="444"/>
      <c r="H26" s="444"/>
    </row>
    <row r="27" spans="1:8" ht="15" x14ac:dyDescent="0.25">
      <c r="A27" s="464" t="s">
        <v>145</v>
      </c>
      <c r="B27" s="465"/>
      <c r="C27" s="465"/>
      <c r="D27" s="465"/>
      <c r="E27" s="466"/>
      <c r="F27" s="444">
        <v>2.4300000000000002</v>
      </c>
      <c r="G27" s="444"/>
      <c r="H27" s="444"/>
    </row>
    <row r="28" spans="1:8" ht="15.75" x14ac:dyDescent="0.25">
      <c r="A28" s="449" t="s">
        <v>146</v>
      </c>
      <c r="B28" s="450"/>
      <c r="C28" s="450"/>
      <c r="D28" s="450"/>
      <c r="E28" s="451"/>
      <c r="F28" s="452">
        <f>SUM(F26:H27)</f>
        <v>66.06</v>
      </c>
      <c r="G28" s="452"/>
      <c r="H28" s="452"/>
    </row>
    <row r="29" spans="1:8" x14ac:dyDescent="0.2">
      <c r="A29" s="453" t="s">
        <v>147</v>
      </c>
      <c r="B29" s="454"/>
      <c r="C29" s="454"/>
      <c r="D29" s="454"/>
      <c r="E29" s="455"/>
      <c r="F29" s="459">
        <f>SUM(F25,F28)</f>
        <v>81.06</v>
      </c>
      <c r="G29" s="459"/>
      <c r="H29" s="459"/>
    </row>
    <row r="30" spans="1:8" x14ac:dyDescent="0.2">
      <c r="A30" s="456"/>
      <c r="B30" s="457"/>
      <c r="C30" s="457"/>
      <c r="D30" s="457"/>
      <c r="E30" s="458"/>
      <c r="F30" s="459"/>
      <c r="G30" s="459"/>
      <c r="H30" s="459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A13" zoomScaleNormal="100" workbookViewId="0">
      <selection activeCell="B5" sqref="B5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74" t="s">
        <v>154</v>
      </c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6"/>
    </row>
    <row r="7" spans="2:14" x14ac:dyDescent="0.2">
      <c r="C7" s="100" t="s">
        <v>155</v>
      </c>
      <c r="D7" s="100" t="s">
        <v>156</v>
      </c>
      <c r="E7" s="100" t="s">
        <v>157</v>
      </c>
      <c r="F7" s="100" t="s">
        <v>158</v>
      </c>
      <c r="G7" s="100" t="s">
        <v>159</v>
      </c>
      <c r="H7" s="100" t="s">
        <v>160</v>
      </c>
      <c r="I7" s="100" t="s">
        <v>161</v>
      </c>
      <c r="J7" s="100" t="s">
        <v>162</v>
      </c>
      <c r="K7" s="100" t="s">
        <v>163</v>
      </c>
      <c r="L7" s="100" t="s">
        <v>164</v>
      </c>
      <c r="M7" s="100" t="s">
        <v>165</v>
      </c>
      <c r="N7" s="100" t="s">
        <v>166</v>
      </c>
    </row>
    <row r="8" spans="2:14" ht="32.25" customHeight="1" x14ac:dyDescent="0.2">
      <c r="B8" s="101" t="s">
        <v>167</v>
      </c>
      <c r="C8" s="471"/>
      <c r="D8" s="472"/>
      <c r="E8" s="472"/>
      <c r="F8" s="472"/>
      <c r="G8" s="472"/>
      <c r="H8" s="472"/>
      <c r="I8" s="472"/>
      <c r="J8" s="472"/>
      <c r="K8" s="473"/>
      <c r="L8" s="99">
        <v>544520</v>
      </c>
      <c r="M8" s="99">
        <v>561765</v>
      </c>
      <c r="N8" s="99">
        <v>546771</v>
      </c>
    </row>
    <row r="9" spans="2:14" ht="33" customHeight="1" x14ac:dyDescent="0.2">
      <c r="B9" s="102" t="s">
        <v>168</v>
      </c>
      <c r="C9" s="99">
        <v>564170</v>
      </c>
      <c r="D9" s="99">
        <v>532072</v>
      </c>
      <c r="E9" s="99">
        <v>405239</v>
      </c>
      <c r="F9" s="99">
        <v>469130</v>
      </c>
      <c r="G9" s="99">
        <v>543877</v>
      </c>
      <c r="H9" s="99">
        <v>605744</v>
      </c>
      <c r="I9" s="99">
        <v>722083</v>
      </c>
      <c r="J9" s="99">
        <v>802210</v>
      </c>
      <c r="K9" s="99">
        <v>762933</v>
      </c>
      <c r="L9" s="99">
        <v>670848</v>
      </c>
      <c r="M9" s="99">
        <v>626451</v>
      </c>
      <c r="N9" s="99">
        <v>557392</v>
      </c>
    </row>
    <row r="10" spans="2:14" ht="33" customHeight="1" x14ac:dyDescent="0.2">
      <c r="B10" s="107" t="s">
        <v>169</v>
      </c>
      <c r="C10" s="99">
        <v>520977</v>
      </c>
      <c r="D10" s="99">
        <v>541271</v>
      </c>
      <c r="E10" s="99">
        <v>508392</v>
      </c>
      <c r="F10" s="99">
        <v>659200</v>
      </c>
      <c r="G10" s="99">
        <v>705703</v>
      </c>
      <c r="H10" s="99">
        <v>784214</v>
      </c>
      <c r="I10" s="99">
        <v>823726</v>
      </c>
      <c r="J10" s="99">
        <v>913736</v>
      </c>
      <c r="K10" s="99">
        <v>831734</v>
      </c>
      <c r="L10" s="99">
        <v>794243</v>
      </c>
      <c r="M10" s="99">
        <v>688127</v>
      </c>
      <c r="N10" s="99">
        <v>577067</v>
      </c>
    </row>
    <row r="11" spans="2:14" ht="29.25" customHeight="1" x14ac:dyDescent="0.2">
      <c r="B11" s="103" t="s">
        <v>170</v>
      </c>
      <c r="C11" s="99">
        <v>586355</v>
      </c>
      <c r="D11" s="99">
        <v>563735</v>
      </c>
      <c r="E11" s="99">
        <v>512313</v>
      </c>
      <c r="F11" s="99">
        <v>573440</v>
      </c>
      <c r="G11" s="99">
        <v>535115</v>
      </c>
      <c r="H11" s="99">
        <v>570139</v>
      </c>
      <c r="I11" s="99">
        <v>669302</v>
      </c>
      <c r="J11" s="99">
        <v>704714</v>
      </c>
      <c r="K11" s="99">
        <v>682717</v>
      </c>
      <c r="L11" s="99">
        <v>581239</v>
      </c>
      <c r="M11" s="99">
        <v>438561</v>
      </c>
      <c r="N11" s="99">
        <v>400672</v>
      </c>
    </row>
    <row r="12" spans="2:14" ht="33.75" customHeight="1" x14ac:dyDescent="0.2">
      <c r="B12" s="113" t="s">
        <v>171</v>
      </c>
      <c r="C12" s="99">
        <v>388363</v>
      </c>
      <c r="D12" s="99">
        <v>407737</v>
      </c>
      <c r="E12" s="99">
        <v>392102</v>
      </c>
      <c r="F12" s="99">
        <v>454554</v>
      </c>
      <c r="G12" s="99">
        <v>448580</v>
      </c>
      <c r="H12" s="99">
        <v>535391</v>
      </c>
      <c r="I12" s="99">
        <v>549301</v>
      </c>
      <c r="J12" s="99">
        <v>576078</v>
      </c>
      <c r="K12" s="99">
        <v>612675</v>
      </c>
      <c r="L12" s="99">
        <v>542640</v>
      </c>
      <c r="M12" s="99">
        <v>507495</v>
      </c>
      <c r="N12" s="99">
        <v>444826</v>
      </c>
    </row>
    <row r="13" spans="2:14" ht="33.75" customHeight="1" x14ac:dyDescent="0.2">
      <c r="B13" s="142" t="s">
        <v>172</v>
      </c>
      <c r="C13" s="99">
        <v>417018</v>
      </c>
      <c r="D13" s="99">
        <v>434912</v>
      </c>
      <c r="E13" s="99">
        <v>278008</v>
      </c>
      <c r="F13" s="99">
        <v>90895</v>
      </c>
      <c r="G13" s="99">
        <v>70143</v>
      </c>
      <c r="H13" s="99">
        <v>76577</v>
      </c>
      <c r="I13" s="99">
        <v>238549</v>
      </c>
      <c r="J13" s="99">
        <v>371235</v>
      </c>
      <c r="K13" s="99">
        <v>295161</v>
      </c>
      <c r="L13" s="99">
        <v>318184</v>
      </c>
      <c r="M13" s="99">
        <v>297355</v>
      </c>
      <c r="N13" s="99">
        <v>260661</v>
      </c>
    </row>
    <row r="14" spans="2:14" ht="33.75" customHeight="1" x14ac:dyDescent="0.2">
      <c r="B14" s="181" t="s">
        <v>173</v>
      </c>
      <c r="C14" s="182">
        <v>239911</v>
      </c>
      <c r="D14" s="182">
        <v>247692</v>
      </c>
      <c r="E14" s="182">
        <v>242350</v>
      </c>
      <c r="F14" s="182">
        <v>282564</v>
      </c>
      <c r="G14" s="182">
        <v>272836</v>
      </c>
      <c r="H14" s="182">
        <v>362809</v>
      </c>
      <c r="I14" s="182">
        <v>454598</v>
      </c>
      <c r="J14" s="182">
        <v>470109</v>
      </c>
      <c r="K14" s="182">
        <v>458455</v>
      </c>
      <c r="L14" s="182">
        <v>444199</v>
      </c>
      <c r="M14" s="182">
        <v>374528</v>
      </c>
      <c r="N14" s="182">
        <v>256419</v>
      </c>
    </row>
    <row r="15" spans="2:14" ht="33.75" customHeight="1" x14ac:dyDescent="0.2">
      <c r="B15" s="183" t="s">
        <v>174</v>
      </c>
      <c r="C15" s="182">
        <v>206479</v>
      </c>
      <c r="D15" s="182">
        <v>244783</v>
      </c>
      <c r="E15" s="182">
        <v>316387</v>
      </c>
      <c r="F15" s="182">
        <v>353545</v>
      </c>
      <c r="G15" s="182">
        <v>452426</v>
      </c>
      <c r="H15" s="182">
        <v>581939</v>
      </c>
      <c r="I15" s="182">
        <v>601486</v>
      </c>
      <c r="J15" s="182">
        <v>639044</v>
      </c>
      <c r="K15" s="182">
        <v>590667</v>
      </c>
      <c r="L15" s="182">
        <v>522652</v>
      </c>
      <c r="M15" s="182">
        <v>477601</v>
      </c>
      <c r="N15" s="182">
        <v>407006</v>
      </c>
    </row>
    <row r="16" spans="2:14" ht="33.75" customHeight="1" x14ac:dyDescent="0.2">
      <c r="B16" s="184" t="s">
        <v>186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</row>
    <row r="17" spans="2:14" ht="21" thickBot="1" x14ac:dyDescent="0.35">
      <c r="C17" s="477" t="s">
        <v>175</v>
      </c>
      <c r="D17" s="478"/>
      <c r="E17" s="478"/>
      <c r="F17" s="478"/>
      <c r="G17" s="478"/>
      <c r="H17" s="478"/>
      <c r="I17" s="478"/>
      <c r="J17" s="478"/>
      <c r="K17" s="478"/>
      <c r="L17" s="478"/>
      <c r="M17" s="478"/>
      <c r="N17" s="479"/>
    </row>
    <row r="19" spans="2:14" x14ac:dyDescent="0.2">
      <c r="C19" s="100" t="s">
        <v>155</v>
      </c>
      <c r="D19" s="100" t="s">
        <v>156</v>
      </c>
      <c r="E19" s="100" t="s">
        <v>157</v>
      </c>
      <c r="F19" s="100" t="s">
        <v>158</v>
      </c>
      <c r="G19" s="100" t="s">
        <v>159</v>
      </c>
      <c r="H19" s="100" t="s">
        <v>160</v>
      </c>
      <c r="I19" s="100" t="s">
        <v>161</v>
      </c>
      <c r="J19" s="100" t="s">
        <v>162</v>
      </c>
      <c r="K19" s="100" t="s">
        <v>163</v>
      </c>
      <c r="L19" s="100" t="s">
        <v>164</v>
      </c>
      <c r="M19" s="100" t="s">
        <v>165</v>
      </c>
      <c r="N19" s="100" t="s">
        <v>166</v>
      </c>
    </row>
    <row r="20" spans="2:14" ht="28.5" customHeight="1" x14ac:dyDescent="0.2">
      <c r="B20" s="101" t="s">
        <v>167</v>
      </c>
      <c r="C20" s="471"/>
      <c r="D20" s="472"/>
      <c r="E20" s="472"/>
      <c r="F20" s="472"/>
      <c r="G20" s="472"/>
      <c r="H20" s="472"/>
      <c r="I20" s="472"/>
      <c r="J20" s="472"/>
      <c r="K20" s="473"/>
      <c r="L20" s="99">
        <v>527344.76260000002</v>
      </c>
      <c r="M20" s="99">
        <v>542887.95270000002</v>
      </c>
      <c r="N20" s="99">
        <v>530789.10450000002</v>
      </c>
    </row>
    <row r="21" spans="2:14" ht="26.25" customHeight="1" x14ac:dyDescent="0.2">
      <c r="B21" s="102" t="s">
        <v>168</v>
      </c>
      <c r="C21" s="99">
        <v>577599.26069999998</v>
      </c>
      <c r="D21" s="99">
        <v>549500.304</v>
      </c>
      <c r="E21" s="99">
        <v>437038.73300000001</v>
      </c>
      <c r="F21" s="99">
        <v>498381.28909999994</v>
      </c>
      <c r="G21" s="99">
        <v>567710.58700000006</v>
      </c>
      <c r="H21" s="99">
        <v>626665.41229999997</v>
      </c>
      <c r="I21" s="99">
        <v>732996.54229999997</v>
      </c>
      <c r="J21" s="99">
        <v>807380.11509999994</v>
      </c>
      <c r="K21" s="99">
        <v>765103.69790000003</v>
      </c>
      <c r="L21" s="99">
        <v>674808.60869999998</v>
      </c>
      <c r="M21" s="99">
        <v>636029.23249999993</v>
      </c>
      <c r="N21" s="99">
        <v>575999.90890000004</v>
      </c>
    </row>
    <row r="22" spans="2:14" ht="28.5" customHeight="1" x14ac:dyDescent="0.2">
      <c r="B22" s="107" t="s">
        <v>169</v>
      </c>
      <c r="C22" s="99">
        <v>565777.06310000003</v>
      </c>
      <c r="D22" s="99">
        <v>589465.87030000007</v>
      </c>
      <c r="E22" s="99">
        <v>559348.96649999998</v>
      </c>
      <c r="F22" s="99">
        <v>706566.82740000007</v>
      </c>
      <c r="G22" s="99">
        <v>750048.77370000002</v>
      </c>
      <c r="H22" s="99">
        <v>823657.03619999997</v>
      </c>
      <c r="I22" s="99">
        <v>863911.20730000001</v>
      </c>
      <c r="J22" s="99">
        <v>948371.73810000008</v>
      </c>
      <c r="K22" s="99">
        <v>870086.49040000001</v>
      </c>
      <c r="L22" s="99">
        <v>828237.32940000005</v>
      </c>
      <c r="M22" s="99">
        <v>728226.36450000003</v>
      </c>
      <c r="N22" s="99">
        <v>620794.43210000009</v>
      </c>
    </row>
    <row r="23" spans="2:14" ht="30" customHeight="1" x14ac:dyDescent="0.2">
      <c r="B23" s="103" t="s">
        <v>170</v>
      </c>
      <c r="C23" s="99">
        <v>629018.45440000005</v>
      </c>
      <c r="D23" s="99">
        <v>609232.05440000002</v>
      </c>
      <c r="E23" s="99">
        <v>564099.54039999994</v>
      </c>
      <c r="F23" s="99">
        <v>625412.74040000001</v>
      </c>
      <c r="G23" s="99">
        <v>591310.6496</v>
      </c>
      <c r="H23" s="99">
        <v>627578.14100000006</v>
      </c>
      <c r="I23" s="99">
        <v>723790.51</v>
      </c>
      <c r="J23" s="99">
        <v>756208.25020000001</v>
      </c>
      <c r="K23" s="99">
        <v>734211.55240000004</v>
      </c>
      <c r="L23" s="99">
        <v>634725.01650000003</v>
      </c>
      <c r="M23" s="99">
        <v>492313.53600000002</v>
      </c>
      <c r="N23" s="99">
        <v>430486.08379999996</v>
      </c>
    </row>
    <row r="24" spans="2:14" ht="32.25" customHeight="1" x14ac:dyDescent="0.2">
      <c r="B24" s="113" t="s">
        <v>171</v>
      </c>
      <c r="C24" s="99">
        <v>417767.50199999998</v>
      </c>
      <c r="D24" s="99">
        <v>437511.45040000003</v>
      </c>
      <c r="E24" s="99">
        <v>422948.91399999999</v>
      </c>
      <c r="F24" s="99">
        <v>483026.4265</v>
      </c>
      <c r="G24" s="99">
        <v>494466.65997999994</v>
      </c>
      <c r="H24" s="99">
        <v>589026.66199500009</v>
      </c>
      <c r="I24" s="99">
        <v>597445.77220000012</v>
      </c>
      <c r="J24" s="99">
        <v>624719.21129500004</v>
      </c>
      <c r="K24" s="99">
        <v>662255.2733900001</v>
      </c>
      <c r="L24" s="99">
        <v>572138.68634500005</v>
      </c>
      <c r="M24" s="99">
        <v>536725.71495000005</v>
      </c>
      <c r="N24" s="99">
        <v>473017.45039999997</v>
      </c>
    </row>
    <row r="25" spans="2:14" ht="32.25" customHeight="1" x14ac:dyDescent="0.2">
      <c r="B25" s="181" t="s">
        <v>172</v>
      </c>
      <c r="C25" s="182">
        <v>445089.4596</v>
      </c>
      <c r="D25" s="182">
        <v>464838.33001999994</v>
      </c>
      <c r="E25" s="182">
        <v>310234.47700000001</v>
      </c>
      <c r="F25" s="182">
        <v>132086.1189</v>
      </c>
      <c r="G25" s="182">
        <v>81934.237999999998</v>
      </c>
      <c r="H25" s="182">
        <v>88016.122900000017</v>
      </c>
      <c r="I25" s="182">
        <v>290744.43883500004</v>
      </c>
      <c r="J25" s="182">
        <v>372885.53719999996</v>
      </c>
      <c r="K25" s="182">
        <v>328998.32740000001</v>
      </c>
      <c r="L25" s="182">
        <v>350713.83590000001</v>
      </c>
      <c r="M25" s="182">
        <v>329624.08839999995</v>
      </c>
      <c r="N25" s="182">
        <v>294931.19809999998</v>
      </c>
    </row>
    <row r="26" spans="2:14" ht="32.25" customHeight="1" x14ac:dyDescent="0.2">
      <c r="B26" s="186" t="s">
        <v>173</v>
      </c>
      <c r="C26" s="187">
        <v>274561.56439999997</v>
      </c>
      <c r="D26" s="187">
        <v>283692.47039999999</v>
      </c>
      <c r="E26" s="187">
        <v>278888.13439999998</v>
      </c>
      <c r="F26" s="187">
        <v>318224.91959999996</v>
      </c>
      <c r="G26" s="187">
        <v>309500.67789999995</v>
      </c>
      <c r="H26" s="187">
        <v>396582.05849999998</v>
      </c>
      <c r="I26" s="187">
        <v>498105.10527500004</v>
      </c>
      <c r="J26" s="187">
        <v>506423.32253</v>
      </c>
      <c r="K26" s="187">
        <v>486424.27340000001</v>
      </c>
      <c r="L26" s="187">
        <v>473503.95079999999</v>
      </c>
      <c r="M26" s="187">
        <v>403992.3469</v>
      </c>
      <c r="N26" s="187">
        <v>289205.48600000003</v>
      </c>
    </row>
    <row r="27" spans="2:14" ht="32.25" customHeight="1" x14ac:dyDescent="0.2">
      <c r="B27" s="184" t="s">
        <v>174</v>
      </c>
      <c r="C27" s="188">
        <v>2409951822</v>
      </c>
      <c r="D27" s="188">
        <v>278597258</v>
      </c>
      <c r="E27" s="188">
        <v>3487476564</v>
      </c>
      <c r="F27" s="188">
        <v>3872201852</v>
      </c>
      <c r="G27" s="188">
        <v>4911719801</v>
      </c>
      <c r="H27" s="188">
        <v>6329563352</v>
      </c>
      <c r="I27" s="188">
        <v>654067568</v>
      </c>
      <c r="J27" s="188">
        <v>6896504079</v>
      </c>
      <c r="K27" s="188">
        <v>6387547041</v>
      </c>
      <c r="L27" s="188">
        <v>5509722905</v>
      </c>
      <c r="M27" s="188">
        <v>3669799236</v>
      </c>
      <c r="N27" s="185">
        <v>435638.13629999995</v>
      </c>
    </row>
    <row r="28" spans="2:14" ht="32.25" customHeight="1" x14ac:dyDescent="0.2">
      <c r="B28" s="189" t="s">
        <v>186</v>
      </c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</row>
    <row r="33" customFormat="1" ht="15.75" customHeight="1" x14ac:dyDescent="0.2"/>
    <row r="34" customFormat="1" x14ac:dyDescent="0.2"/>
    <row r="35" customFormat="1" x14ac:dyDescent="0.2"/>
  </sheetData>
  <mergeCells count="4">
    <mergeCell ref="C20:K20"/>
    <mergeCell ref="C5:N5"/>
    <mergeCell ref="C8:K8"/>
    <mergeCell ref="C17:N17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74" t="s">
        <v>176</v>
      </c>
      <c r="D5" s="480"/>
      <c r="E5" s="480"/>
      <c r="F5" s="480"/>
      <c r="G5" s="480"/>
      <c r="H5" s="480"/>
      <c r="I5" s="480"/>
      <c r="J5" s="480"/>
      <c r="K5" s="480"/>
      <c r="L5" s="480"/>
      <c r="M5" s="480"/>
      <c r="N5" s="481"/>
    </row>
    <row r="6" spans="2:14" ht="21" customHeight="1" x14ac:dyDescent="0.2"/>
    <row r="7" spans="2:14" x14ac:dyDescent="0.2">
      <c r="C7" s="100" t="s">
        <v>155</v>
      </c>
      <c r="D7" s="100" t="s">
        <v>156</v>
      </c>
      <c r="E7" s="100" t="s">
        <v>157</v>
      </c>
      <c r="F7" s="100" t="s">
        <v>158</v>
      </c>
      <c r="G7" s="100" t="s">
        <v>159</v>
      </c>
      <c r="H7" s="100" t="s">
        <v>160</v>
      </c>
      <c r="I7" s="100" t="s">
        <v>161</v>
      </c>
      <c r="J7" s="100" t="s">
        <v>162</v>
      </c>
      <c r="K7" s="100" t="s">
        <v>163</v>
      </c>
      <c r="L7" s="100" t="s">
        <v>164</v>
      </c>
      <c r="M7" s="100" t="s">
        <v>165</v>
      </c>
      <c r="N7" s="100" t="s">
        <v>166</v>
      </c>
    </row>
    <row r="8" spans="2:14" ht="33" customHeight="1" x14ac:dyDescent="0.2">
      <c r="B8" s="101" t="s">
        <v>167</v>
      </c>
      <c r="C8" s="471"/>
      <c r="D8" s="472"/>
      <c r="E8" s="472"/>
      <c r="F8" s="472"/>
      <c r="G8" s="472"/>
      <c r="H8" s="472"/>
      <c r="I8" s="472"/>
      <c r="J8" s="472"/>
      <c r="K8" s="473"/>
      <c r="L8" s="99"/>
      <c r="M8" s="99">
        <v>3298</v>
      </c>
      <c r="N8" s="99">
        <v>3866</v>
      </c>
    </row>
    <row r="9" spans="2:14" ht="39" customHeight="1" x14ac:dyDescent="0.2">
      <c r="B9" s="102" t="s">
        <v>168</v>
      </c>
      <c r="C9" s="99">
        <v>4094</v>
      </c>
      <c r="D9" s="99">
        <v>3691</v>
      </c>
      <c r="E9" s="99">
        <v>3917</v>
      </c>
      <c r="F9" s="99">
        <v>4785</v>
      </c>
      <c r="G9" s="99">
        <v>5213</v>
      </c>
      <c r="H9" s="99">
        <v>4103</v>
      </c>
      <c r="I9" s="99">
        <v>5622</v>
      </c>
      <c r="J9" s="99">
        <v>6568</v>
      </c>
      <c r="K9" s="99">
        <v>4813</v>
      </c>
      <c r="L9" s="99">
        <v>6088</v>
      </c>
      <c r="M9" s="99">
        <v>4819</v>
      </c>
      <c r="N9" s="99">
        <v>5252</v>
      </c>
    </row>
    <row r="10" spans="2:14" ht="36" customHeight="1" x14ac:dyDescent="0.2">
      <c r="B10" s="107" t="s">
        <v>169</v>
      </c>
      <c r="C10" s="99">
        <v>5132</v>
      </c>
      <c r="D10" s="99">
        <v>4589</v>
      </c>
      <c r="E10" s="99">
        <v>6190</v>
      </c>
      <c r="F10" s="99">
        <v>6170</v>
      </c>
      <c r="G10" s="99">
        <v>5980</v>
      </c>
      <c r="H10" s="99">
        <v>6097.8</v>
      </c>
      <c r="I10" s="99">
        <v>7050</v>
      </c>
      <c r="J10" s="99">
        <v>8050</v>
      </c>
      <c r="K10" s="99">
        <v>6678</v>
      </c>
      <c r="L10" s="99">
        <v>6859</v>
      </c>
      <c r="M10" s="99">
        <v>5960</v>
      </c>
      <c r="N10" s="99">
        <v>5210.0999999999985</v>
      </c>
    </row>
    <row r="11" spans="2:14" ht="36.75" customHeight="1" x14ac:dyDescent="0.2">
      <c r="B11" s="103" t="s">
        <v>170</v>
      </c>
      <c r="C11" s="99">
        <v>5598.9000000000015</v>
      </c>
      <c r="D11" s="99">
        <v>5297</v>
      </c>
      <c r="E11" s="99">
        <v>5857</v>
      </c>
      <c r="F11" s="99">
        <v>6284</v>
      </c>
      <c r="G11" s="99">
        <v>5500</v>
      </c>
      <c r="H11" s="99">
        <v>5583.8000000000029</v>
      </c>
      <c r="I11" s="99">
        <v>6266.8999999999942</v>
      </c>
      <c r="J11" s="99">
        <v>6178.3000000000029</v>
      </c>
      <c r="K11" s="99">
        <v>6144.5</v>
      </c>
      <c r="L11" s="99">
        <v>6117.5</v>
      </c>
      <c r="M11" s="99">
        <v>5023</v>
      </c>
      <c r="N11" s="99">
        <v>4767.8</v>
      </c>
    </row>
    <row r="12" spans="2:14" ht="33.75" customHeight="1" x14ac:dyDescent="0.2">
      <c r="B12" s="113" t="s">
        <v>171</v>
      </c>
      <c r="C12" s="99">
        <v>5044.8</v>
      </c>
      <c r="D12" s="99">
        <v>5061</v>
      </c>
      <c r="E12" s="99">
        <v>5504</v>
      </c>
      <c r="F12" s="99">
        <v>5372.2999999999993</v>
      </c>
      <c r="G12" s="99">
        <v>4507.2999999999993</v>
      </c>
      <c r="H12" s="99">
        <v>5269.2000000000044</v>
      </c>
      <c r="I12" s="99">
        <v>5509.1999999999971</v>
      </c>
      <c r="J12" s="99">
        <v>5601</v>
      </c>
      <c r="K12" s="99">
        <v>5387</v>
      </c>
      <c r="L12" s="99">
        <v>6051</v>
      </c>
      <c r="M12" s="99">
        <v>5532</v>
      </c>
      <c r="N12" s="99">
        <v>5565.1999999999971</v>
      </c>
    </row>
    <row r="13" spans="2:14" ht="33.75" customHeight="1" x14ac:dyDescent="0.2">
      <c r="B13" s="142" t="s">
        <v>172</v>
      </c>
      <c r="C13" s="99">
        <v>5763.4000000000087</v>
      </c>
      <c r="D13" s="99">
        <v>5632.3999999999942</v>
      </c>
      <c r="E13" s="99">
        <v>3058.6999999999971</v>
      </c>
      <c r="F13" s="99">
        <v>714.5</v>
      </c>
      <c r="G13" s="99">
        <v>439.80000000000291</v>
      </c>
      <c r="H13" s="99">
        <v>1383.3999999999942</v>
      </c>
      <c r="I13" s="99">
        <v>3491.8000000000029</v>
      </c>
      <c r="J13" s="99">
        <v>2618.6999999999971</v>
      </c>
      <c r="K13" s="99">
        <v>1829.7000000000116</v>
      </c>
      <c r="L13" s="99">
        <v>3000</v>
      </c>
      <c r="M13" s="99">
        <v>1896</v>
      </c>
      <c r="N13" s="99">
        <v>1780.5999999999913</v>
      </c>
    </row>
    <row r="14" spans="2:14" ht="33.75" customHeight="1" x14ac:dyDescent="0.2">
      <c r="B14" s="144" t="s">
        <v>173</v>
      </c>
      <c r="C14" s="99">
        <v>2083.1999999999971</v>
      </c>
      <c r="D14" s="99">
        <v>2115.3000000000029</v>
      </c>
      <c r="E14" s="99">
        <v>2406.3000000000029</v>
      </c>
      <c r="F14" s="99">
        <v>2166.1999999999971</v>
      </c>
      <c r="G14" s="99">
        <v>2527.1999999999971</v>
      </c>
      <c r="H14" s="99">
        <v>2925.2000000000116</v>
      </c>
      <c r="I14" s="99">
        <v>3819.2999999999884</v>
      </c>
      <c r="J14" s="99">
        <v>3510.1000000000058</v>
      </c>
      <c r="K14" s="99">
        <v>3086.1999999999971</v>
      </c>
      <c r="L14" s="99">
        <v>3330.5</v>
      </c>
      <c r="M14" s="99">
        <v>2932.1999999999971</v>
      </c>
      <c r="N14" s="99">
        <v>2091.1000000000058</v>
      </c>
    </row>
    <row r="15" spans="2:14" ht="33.75" customHeight="1" x14ac:dyDescent="0.2">
      <c r="B15" s="151" t="s">
        <v>174</v>
      </c>
      <c r="C15" s="99">
        <v>1595.1000000000058</v>
      </c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</row>
    <row r="16" spans="2:14" ht="21" thickBot="1" x14ac:dyDescent="0.35">
      <c r="C16" s="477" t="s">
        <v>177</v>
      </c>
      <c r="D16" s="482"/>
      <c r="E16" s="482"/>
      <c r="F16" s="482"/>
      <c r="G16" s="482"/>
      <c r="H16" s="482"/>
      <c r="I16" s="482"/>
      <c r="J16" s="482"/>
      <c r="K16" s="482"/>
      <c r="L16" s="482"/>
      <c r="M16" s="482"/>
      <c r="N16" s="483"/>
    </row>
    <row r="18" spans="2:15" ht="18" customHeight="1" x14ac:dyDescent="0.2">
      <c r="C18" s="100" t="s">
        <v>155</v>
      </c>
      <c r="D18" s="100" t="s">
        <v>156</v>
      </c>
      <c r="E18" s="100" t="s">
        <v>157</v>
      </c>
      <c r="F18" s="100" t="s">
        <v>158</v>
      </c>
      <c r="G18" s="100" t="s">
        <v>159</v>
      </c>
      <c r="H18" s="100" t="s">
        <v>160</v>
      </c>
      <c r="I18" s="100" t="s">
        <v>161</v>
      </c>
      <c r="J18" s="100" t="s">
        <v>162</v>
      </c>
      <c r="K18" s="100" t="s">
        <v>163</v>
      </c>
      <c r="L18" s="100" t="s">
        <v>164</v>
      </c>
      <c r="M18" s="100" t="s">
        <v>165</v>
      </c>
      <c r="N18" s="100" t="s">
        <v>166</v>
      </c>
    </row>
    <row r="19" spans="2:15" ht="30" customHeight="1" x14ac:dyDescent="0.2">
      <c r="B19" s="101" t="s">
        <v>167</v>
      </c>
      <c r="C19" s="471"/>
      <c r="D19" s="472"/>
      <c r="E19" s="472"/>
      <c r="F19" s="472"/>
      <c r="G19" s="472"/>
      <c r="H19" s="472"/>
      <c r="I19" s="472"/>
      <c r="J19" s="472"/>
      <c r="K19" s="473"/>
      <c r="L19" s="99"/>
      <c r="M19" s="99">
        <v>43165.84</v>
      </c>
      <c r="N19" s="99">
        <v>50595.28</v>
      </c>
    </row>
    <row r="20" spans="2:15" ht="31.5" customHeight="1" x14ac:dyDescent="0.2">
      <c r="B20" s="102" t="s">
        <v>168</v>
      </c>
      <c r="C20" s="99">
        <v>53565.520000000004</v>
      </c>
      <c r="D20" s="99">
        <v>48294.28</v>
      </c>
      <c r="E20" s="99">
        <v>51250.36</v>
      </c>
      <c r="F20" s="99">
        <v>62603.8</v>
      </c>
      <c r="G20" s="99">
        <v>68202.040000000008</v>
      </c>
      <c r="H20" s="99">
        <v>53683.240000000005</v>
      </c>
      <c r="I20" s="99">
        <v>73551.760000000009</v>
      </c>
      <c r="J20" s="99">
        <v>85925.440000000002</v>
      </c>
      <c r="K20" s="99">
        <v>57158.52</v>
      </c>
      <c r="L20" s="99">
        <v>67234.52</v>
      </c>
      <c r="M20" s="99">
        <v>53224.76</v>
      </c>
      <c r="N20" s="99">
        <v>58005.08</v>
      </c>
    </row>
    <row r="21" spans="2:15" ht="34.5" customHeight="1" x14ac:dyDescent="0.2">
      <c r="B21" s="107" t="s">
        <v>169</v>
      </c>
      <c r="C21" s="99">
        <v>56680.28</v>
      </c>
      <c r="D21" s="99">
        <v>50685.56</v>
      </c>
      <c r="E21" s="99">
        <v>68360.600000000006</v>
      </c>
      <c r="F21" s="99">
        <v>68139.8</v>
      </c>
      <c r="G21" s="99">
        <v>66042.2</v>
      </c>
      <c r="H21" s="99">
        <v>67342.712</v>
      </c>
      <c r="I21" s="99">
        <v>77855</v>
      </c>
      <c r="J21" s="99">
        <v>88895</v>
      </c>
      <c r="K21" s="99">
        <v>73748.12</v>
      </c>
      <c r="L21" s="99">
        <v>75746.36</v>
      </c>
      <c r="M21" s="99">
        <v>65821.399999999994</v>
      </c>
      <c r="N21" s="99">
        <v>57542.503999999986</v>
      </c>
    </row>
    <row r="22" spans="2:15" ht="36" customHeight="1" x14ac:dyDescent="0.2">
      <c r="B22" s="103" t="s">
        <v>170</v>
      </c>
      <c r="C22" s="99">
        <v>61834.856000000014</v>
      </c>
      <c r="D22" s="99">
        <v>58501.880000000005</v>
      </c>
      <c r="E22" s="99">
        <v>64684.28</v>
      </c>
      <c r="F22" s="99">
        <v>69398.36</v>
      </c>
      <c r="G22" s="99">
        <v>60743</v>
      </c>
      <c r="H22" s="99">
        <v>61668.152000000031</v>
      </c>
      <c r="I22" s="99">
        <v>69209.575999999943</v>
      </c>
      <c r="J22" s="99">
        <v>68231.43200000003</v>
      </c>
      <c r="K22" s="99">
        <v>67858.28</v>
      </c>
      <c r="L22" s="99">
        <v>67560.2</v>
      </c>
      <c r="M22" s="99">
        <v>55476.92</v>
      </c>
      <c r="N22" s="99">
        <v>52659.512000000002</v>
      </c>
    </row>
    <row r="23" spans="2:15" ht="32.25" customHeight="1" x14ac:dyDescent="0.2">
      <c r="B23" s="113" t="s">
        <v>171</v>
      </c>
      <c r="C23" s="99">
        <v>55717.592000000004</v>
      </c>
      <c r="D23" s="99">
        <v>57718.399999999994</v>
      </c>
      <c r="E23" s="99">
        <v>62768.599999999991</v>
      </c>
      <c r="F23" s="99">
        <v>61267.219999999987</v>
      </c>
      <c r="G23" s="99">
        <v>51406.219999999987</v>
      </c>
      <c r="H23" s="99">
        <v>60091.880000000041</v>
      </c>
      <c r="I23" s="99">
        <v>62827.879999999961</v>
      </c>
      <c r="J23" s="99">
        <v>63874.400000000001</v>
      </c>
      <c r="K23" s="99">
        <v>61434.799999999996</v>
      </c>
      <c r="L23" s="99">
        <v>69004.399999999994</v>
      </c>
      <c r="M23" s="99">
        <v>63087.799999999996</v>
      </c>
      <c r="N23" s="99">
        <v>63466.279999999962</v>
      </c>
    </row>
    <row r="24" spans="2:15" ht="32.25" customHeight="1" x14ac:dyDescent="0.2">
      <c r="B24" s="142" t="s">
        <v>172</v>
      </c>
      <c r="C24" s="99">
        <v>65725.760000000097</v>
      </c>
      <c r="D24" s="99">
        <v>64232.359999999928</v>
      </c>
      <c r="E24" s="99">
        <v>34892.179999999964</v>
      </c>
      <c r="F24" s="99">
        <v>8168.2999999999993</v>
      </c>
      <c r="G24" s="99">
        <v>5036.7200000000321</v>
      </c>
      <c r="H24" s="99">
        <v>15793.759999999933</v>
      </c>
      <c r="I24" s="99">
        <v>39829.519999999997</v>
      </c>
      <c r="J24" s="99">
        <v>29876.179999999964</v>
      </c>
      <c r="K24" s="99">
        <v>20881.580000000129</v>
      </c>
      <c r="L24" s="99">
        <v>34223</v>
      </c>
      <c r="M24" s="99">
        <v>21637.4</v>
      </c>
      <c r="N24" s="99">
        <v>20321.839999999898</v>
      </c>
    </row>
    <row r="25" spans="2:15" ht="32.25" customHeight="1" x14ac:dyDescent="0.2">
      <c r="B25" s="144" t="s">
        <v>173</v>
      </c>
      <c r="C25" s="99">
        <v>23771.479999999963</v>
      </c>
      <c r="D25" s="99">
        <v>24137.420000000031</v>
      </c>
      <c r="E25" s="99">
        <v>27454.820000000029</v>
      </c>
      <c r="F25" s="99">
        <v>24717.679999999964</v>
      </c>
      <c r="G25" s="99">
        <v>28833.079999999962</v>
      </c>
      <c r="H25" s="99">
        <v>33370.28000000013</v>
      </c>
      <c r="I25" s="99">
        <v>43563.019999999866</v>
      </c>
      <c r="J25" s="99">
        <v>40038.140000000065</v>
      </c>
      <c r="K25" s="99">
        <v>35205.679999999964</v>
      </c>
      <c r="L25" s="99">
        <v>37990.699999999997</v>
      </c>
      <c r="M25" s="99">
        <v>33450.079999999965</v>
      </c>
      <c r="N25" s="99">
        <v>23861.540000000066</v>
      </c>
    </row>
    <row r="26" spans="2:15" ht="32.25" customHeight="1" x14ac:dyDescent="0.2">
      <c r="B26" s="151" t="s">
        <v>174</v>
      </c>
      <c r="C26" s="99">
        <v>18207.140000000065</v>
      </c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5" zoomScaleNormal="100" workbookViewId="0">
      <selection activeCell="C26" sqref="C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74" t="s">
        <v>178</v>
      </c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6"/>
    </row>
    <row r="6" spans="2:14" ht="23.25" customHeight="1" x14ac:dyDescent="0.2"/>
    <row r="7" spans="2:14" x14ac:dyDescent="0.2">
      <c r="C7" s="100" t="s">
        <v>155</v>
      </c>
      <c r="D7" s="100" t="s">
        <v>156</v>
      </c>
      <c r="E7" s="100" t="s">
        <v>157</v>
      </c>
      <c r="F7" s="100" t="s">
        <v>158</v>
      </c>
      <c r="G7" s="100" t="s">
        <v>159</v>
      </c>
      <c r="H7" s="100" t="s">
        <v>160</v>
      </c>
      <c r="I7" s="100" t="s">
        <v>161</v>
      </c>
      <c r="J7" s="100" t="s">
        <v>162</v>
      </c>
      <c r="K7" s="100" t="s">
        <v>163</v>
      </c>
      <c r="L7" s="100" t="s">
        <v>164</v>
      </c>
      <c r="M7" s="100" t="s">
        <v>165</v>
      </c>
      <c r="N7" s="100" t="s">
        <v>166</v>
      </c>
    </row>
    <row r="8" spans="2:14" ht="33.75" customHeight="1" x14ac:dyDescent="0.2">
      <c r="B8" s="101" t="s">
        <v>167</v>
      </c>
      <c r="C8" s="471"/>
      <c r="D8" s="472"/>
      <c r="E8" s="472"/>
      <c r="F8" s="472"/>
      <c r="G8" s="472"/>
      <c r="H8" s="472"/>
      <c r="I8" s="472"/>
      <c r="J8" s="472"/>
      <c r="K8" s="473"/>
      <c r="L8" s="99">
        <v>19365</v>
      </c>
      <c r="M8" s="99">
        <v>21235</v>
      </c>
      <c r="N8" s="99">
        <v>34053</v>
      </c>
    </row>
    <row r="9" spans="2:14" ht="35.25" customHeight="1" x14ac:dyDescent="0.2">
      <c r="B9" s="102" t="s">
        <v>168</v>
      </c>
      <c r="C9" s="99">
        <v>23598</v>
      </c>
      <c r="D9" s="99">
        <v>28302</v>
      </c>
      <c r="E9" s="99">
        <v>23000</v>
      </c>
      <c r="F9" s="99">
        <v>28601</v>
      </c>
      <c r="G9" s="99">
        <v>24612</v>
      </c>
      <c r="H9" s="99">
        <v>16695</v>
      </c>
      <c r="I9" s="99">
        <v>10756</v>
      </c>
      <c r="J9" s="99">
        <v>14749</v>
      </c>
      <c r="K9" s="99">
        <v>18297</v>
      </c>
      <c r="L9" s="99">
        <v>20801</v>
      </c>
      <c r="M9" s="99">
        <v>22927</v>
      </c>
      <c r="N9" s="99">
        <v>38265</v>
      </c>
    </row>
    <row r="10" spans="2:14" ht="32.25" customHeight="1" x14ac:dyDescent="0.2">
      <c r="B10" s="107" t="s">
        <v>169</v>
      </c>
      <c r="C10" s="99">
        <v>39843</v>
      </c>
      <c r="D10" s="99">
        <v>27644</v>
      </c>
      <c r="E10" s="99">
        <v>31207</v>
      </c>
      <c r="F10" s="99">
        <v>34231</v>
      </c>
      <c r="G10" s="99">
        <v>21149.420000000002</v>
      </c>
      <c r="H10" s="99">
        <v>19502</v>
      </c>
      <c r="I10" s="99">
        <v>22293</v>
      </c>
      <c r="J10" s="99">
        <v>21244</v>
      </c>
      <c r="K10" s="99">
        <v>20201</v>
      </c>
      <c r="L10" s="99">
        <v>21000</v>
      </c>
      <c r="M10" s="99">
        <v>30135</v>
      </c>
      <c r="N10" s="99">
        <v>28841</v>
      </c>
    </row>
    <row r="11" spans="2:14" ht="34.5" customHeight="1" x14ac:dyDescent="0.2">
      <c r="B11" s="103" t="s">
        <v>170</v>
      </c>
      <c r="C11" s="99">
        <v>33210.620000000003</v>
      </c>
      <c r="D11" s="99">
        <v>27328.669000000002</v>
      </c>
      <c r="E11" s="99">
        <v>22296.292000000001</v>
      </c>
      <c r="F11" s="99">
        <v>18205.006000000001</v>
      </c>
      <c r="G11" s="99">
        <v>16641.811000000002</v>
      </c>
      <c r="H11" s="99">
        <v>17087.758000000002</v>
      </c>
      <c r="I11" s="99">
        <v>13220.239000000001</v>
      </c>
      <c r="J11" s="99">
        <v>15457.909000000001</v>
      </c>
      <c r="K11" s="99">
        <v>10651.944000000001</v>
      </c>
      <c r="L11" s="99">
        <v>13951.846000000001</v>
      </c>
      <c r="M11" s="99">
        <v>24676.263000000003</v>
      </c>
      <c r="N11" s="99">
        <v>21781.575000000001</v>
      </c>
    </row>
    <row r="12" spans="2:14" ht="36.75" customHeight="1" x14ac:dyDescent="0.2">
      <c r="B12" s="113" t="s">
        <v>171</v>
      </c>
      <c r="C12" s="99">
        <v>26669.535</v>
      </c>
      <c r="D12" s="99">
        <v>26601.294000000002</v>
      </c>
      <c r="E12" s="99">
        <v>23114.126</v>
      </c>
      <c r="F12" s="99">
        <v>20873.811000000002</v>
      </c>
      <c r="G12" s="99">
        <v>14596.168000000001</v>
      </c>
      <c r="H12" s="99">
        <v>10659.35</v>
      </c>
      <c r="I12" s="99">
        <v>18584.299000000003</v>
      </c>
      <c r="J12" s="99">
        <v>10559.897999999999</v>
      </c>
      <c r="K12" s="99">
        <v>8546.5240000000013</v>
      </c>
      <c r="L12" s="99">
        <v>17517.306</v>
      </c>
      <c r="M12" s="99">
        <v>20452.198</v>
      </c>
      <c r="N12" s="99">
        <v>27341.365000000002</v>
      </c>
    </row>
    <row r="13" spans="2:14" ht="36.75" customHeight="1" x14ac:dyDescent="0.2">
      <c r="B13" s="142" t="s">
        <v>172</v>
      </c>
      <c r="C13" s="99">
        <v>30735.958000000002</v>
      </c>
      <c r="D13" s="99">
        <v>21724.442999999999</v>
      </c>
      <c r="E13" s="99">
        <v>11128.573</v>
      </c>
      <c r="F13" s="99">
        <v>4506.0219999999999</v>
      </c>
      <c r="G13" s="99">
        <v>0</v>
      </c>
      <c r="H13" s="99">
        <v>2998.3720000000003</v>
      </c>
      <c r="I13" s="99">
        <v>8663.5590000000011</v>
      </c>
      <c r="J13" s="99">
        <v>4731.9050000000007</v>
      </c>
      <c r="K13" s="99">
        <v>4832.415</v>
      </c>
      <c r="L13" s="99">
        <v>13092.221000000001</v>
      </c>
      <c r="M13" s="99">
        <v>17284.017</v>
      </c>
      <c r="N13" s="99">
        <v>16432.856</v>
      </c>
    </row>
    <row r="14" spans="2:14" ht="36.75" customHeight="1" x14ac:dyDescent="0.2">
      <c r="B14" s="144" t="s">
        <v>173</v>
      </c>
      <c r="C14" s="99">
        <v>16222.314</v>
      </c>
      <c r="D14" s="99">
        <v>13578.901</v>
      </c>
      <c r="E14" s="99">
        <v>18500.717000000001</v>
      </c>
      <c r="F14" s="99">
        <v>11555.476000000001</v>
      </c>
      <c r="G14" s="99">
        <v>10801.651</v>
      </c>
      <c r="H14" s="99">
        <v>13800.552000000001</v>
      </c>
      <c r="I14" s="99">
        <v>9448.469000000001</v>
      </c>
      <c r="J14" s="99">
        <v>8828.4809999999998</v>
      </c>
      <c r="K14" s="99">
        <v>11498.344000000001</v>
      </c>
      <c r="L14" s="99">
        <v>11280.396000000001</v>
      </c>
      <c r="M14" s="99">
        <v>20677.552</v>
      </c>
      <c r="N14" s="99">
        <v>12106.165000000001</v>
      </c>
    </row>
    <row r="15" spans="2:14" ht="36.75" customHeight="1" x14ac:dyDescent="0.2">
      <c r="B15" s="151" t="s">
        <v>174</v>
      </c>
      <c r="C15" s="99">
        <v>8859.1630000000005</v>
      </c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</row>
    <row r="16" spans="2:14" ht="21" thickBot="1" x14ac:dyDescent="0.35">
      <c r="C16" s="477" t="s">
        <v>179</v>
      </c>
      <c r="D16" s="478"/>
      <c r="E16" s="478"/>
      <c r="F16" s="478"/>
      <c r="G16" s="478"/>
      <c r="H16" s="478"/>
      <c r="I16" s="478"/>
      <c r="J16" s="478"/>
      <c r="K16" s="478"/>
      <c r="L16" s="478"/>
      <c r="M16" s="478"/>
      <c r="N16" s="479"/>
    </row>
    <row r="18" spans="2:14" ht="17.25" customHeight="1" x14ac:dyDescent="0.2">
      <c r="C18" s="100" t="s">
        <v>155</v>
      </c>
      <c r="D18" s="100" t="s">
        <v>156</v>
      </c>
      <c r="E18" s="100" t="s">
        <v>157</v>
      </c>
      <c r="F18" s="100" t="s">
        <v>158</v>
      </c>
      <c r="G18" s="100" t="s">
        <v>159</v>
      </c>
      <c r="H18" s="100" t="s">
        <v>160</v>
      </c>
      <c r="I18" s="100" t="s">
        <v>161</v>
      </c>
      <c r="J18" s="100" t="s">
        <v>162</v>
      </c>
      <c r="K18" s="100" t="s">
        <v>163</v>
      </c>
      <c r="L18" s="100" t="s">
        <v>164</v>
      </c>
      <c r="M18" s="100" t="s">
        <v>165</v>
      </c>
      <c r="N18" s="100" t="s">
        <v>166</v>
      </c>
    </row>
    <row r="19" spans="2:14" ht="30" customHeight="1" x14ac:dyDescent="0.2">
      <c r="B19" s="101" t="s">
        <v>167</v>
      </c>
      <c r="C19" s="471"/>
      <c r="D19" s="472"/>
      <c r="E19" s="472"/>
      <c r="F19" s="472"/>
      <c r="G19" s="472"/>
      <c r="H19" s="472"/>
      <c r="I19" s="472"/>
      <c r="J19" s="472"/>
      <c r="K19" s="473"/>
      <c r="L19" s="99">
        <v>222503.85</v>
      </c>
      <c r="M19" s="99">
        <v>248385.8</v>
      </c>
      <c r="N19" s="99">
        <v>412790.47</v>
      </c>
    </row>
    <row r="20" spans="2:14" ht="30" customHeight="1" x14ac:dyDescent="0.2">
      <c r="B20" s="102" t="s">
        <v>168</v>
      </c>
      <c r="C20" s="99">
        <v>281335.36</v>
      </c>
      <c r="D20" s="99">
        <v>329491.88</v>
      </c>
      <c r="E20" s="104">
        <v>263166</v>
      </c>
      <c r="F20" s="99">
        <v>334402.89</v>
      </c>
      <c r="G20" s="99">
        <v>287763.5</v>
      </c>
      <c r="H20" s="99">
        <v>200206.44</v>
      </c>
      <c r="I20" s="99">
        <v>128985.95</v>
      </c>
      <c r="J20" s="99">
        <v>174687.16</v>
      </c>
      <c r="K20" s="99">
        <v>221708.41</v>
      </c>
      <c r="L20" s="99">
        <v>257125.33</v>
      </c>
      <c r="M20" s="99">
        <v>290283.33</v>
      </c>
      <c r="N20" s="99">
        <v>491751.17</v>
      </c>
    </row>
    <row r="21" spans="2:14" ht="38.25" customHeight="1" x14ac:dyDescent="0.2">
      <c r="B21" s="107" t="s">
        <v>169</v>
      </c>
      <c r="C21" s="99">
        <v>534222.91</v>
      </c>
      <c r="D21" s="99">
        <v>397841.39</v>
      </c>
      <c r="E21" s="104">
        <v>463317.85</v>
      </c>
      <c r="F21" s="99">
        <v>473982.96</v>
      </c>
      <c r="G21" s="99">
        <v>288617.67497200001</v>
      </c>
      <c r="H21" s="99">
        <v>262138.08</v>
      </c>
      <c r="I21" s="99">
        <v>290959.32</v>
      </c>
      <c r="J21" s="99">
        <v>277268.19</v>
      </c>
      <c r="K21" s="99">
        <v>269109.64</v>
      </c>
      <c r="L21" s="99">
        <v>279753.59999999998</v>
      </c>
      <c r="M21" s="99">
        <v>411233.26</v>
      </c>
      <c r="N21" s="99">
        <v>393575.4632766</v>
      </c>
    </row>
    <row r="22" spans="2:14" ht="36" customHeight="1" x14ac:dyDescent="0.2">
      <c r="B22" s="103" t="s">
        <v>170</v>
      </c>
      <c r="C22" s="99">
        <v>433913.35561000003</v>
      </c>
      <c r="D22" s="99">
        <v>365261.32551950007</v>
      </c>
      <c r="E22" s="99">
        <v>291312.20312600001</v>
      </c>
      <c r="F22" s="99">
        <v>213834.17997540004</v>
      </c>
      <c r="G22" s="99">
        <v>197886.11041990001</v>
      </c>
      <c r="H22" s="99">
        <v>143537.16720000003</v>
      </c>
      <c r="I22" s="99">
        <v>111050.00760000001</v>
      </c>
      <c r="J22" s="99">
        <v>129846.43560000001</v>
      </c>
      <c r="K22" s="99">
        <v>97997.8848</v>
      </c>
      <c r="L22" s="99">
        <v>117195.50640000001</v>
      </c>
      <c r="M22" s="99">
        <v>207280.60920000004</v>
      </c>
      <c r="N22" s="99">
        <v>182965.23</v>
      </c>
    </row>
    <row r="23" spans="2:14" ht="36.75" customHeight="1" x14ac:dyDescent="0.2">
      <c r="B23" s="113" t="s">
        <v>171</v>
      </c>
      <c r="C23" s="99">
        <v>224024.09400000001</v>
      </c>
      <c r="D23" s="99">
        <v>223450.86960000003</v>
      </c>
      <c r="E23" s="99">
        <v>209182.84030000001</v>
      </c>
      <c r="F23" s="99">
        <v>188907.98955000003</v>
      </c>
      <c r="G23" s="99">
        <v>129176.0868</v>
      </c>
      <c r="H23" s="99">
        <v>94335.247499999998</v>
      </c>
      <c r="I23" s="99">
        <v>144957.53220000002</v>
      </c>
      <c r="J23" s="99">
        <v>77405.108330000003</v>
      </c>
      <c r="K23" s="99">
        <v>62646.875572400008</v>
      </c>
      <c r="L23" s="99">
        <v>128403.6047106</v>
      </c>
      <c r="M23" s="99">
        <v>149916.6565598</v>
      </c>
      <c r="N23" s="99">
        <v>217831.38909150002</v>
      </c>
    </row>
    <row r="24" spans="2:14" ht="36.75" customHeight="1" x14ac:dyDescent="0.2">
      <c r="B24" s="142" t="s">
        <v>172</v>
      </c>
      <c r="C24" s="99">
        <v>244876.45098180004</v>
      </c>
      <c r="D24" s="99">
        <v>193260.64492800002</v>
      </c>
      <c r="E24" s="99">
        <v>87871.212408000007</v>
      </c>
      <c r="F24" s="99">
        <v>35579.549712</v>
      </c>
      <c r="G24" s="99">
        <v>0</v>
      </c>
      <c r="H24" s="99">
        <v>23675.145312000001</v>
      </c>
      <c r="I24" s="99">
        <v>72782.559159000011</v>
      </c>
      <c r="J24" s="99">
        <v>40462.519659999998</v>
      </c>
      <c r="K24" s="99">
        <v>41321.980665000003</v>
      </c>
      <c r="L24" s="99">
        <v>111951.58177100001</v>
      </c>
      <c r="M24" s="99">
        <v>151252.43276699999</v>
      </c>
      <c r="N24" s="99">
        <v>147090.494056</v>
      </c>
    </row>
    <row r="25" spans="2:14" ht="36.75" customHeight="1" x14ac:dyDescent="0.2">
      <c r="B25" s="144" t="s">
        <v>173</v>
      </c>
      <c r="C25" s="99">
        <v>175249.65814200003</v>
      </c>
      <c r="D25" s="99">
        <v>133357.0288309</v>
      </c>
      <c r="E25" s="99">
        <v>160956.23789999998</v>
      </c>
      <c r="F25" s="99">
        <v>100532.6412</v>
      </c>
      <c r="G25" s="99">
        <v>93974.363699999987</v>
      </c>
      <c r="H25" s="99">
        <v>120064.8024</v>
      </c>
      <c r="I25" s="99">
        <v>79461.624290000007</v>
      </c>
      <c r="J25" s="99">
        <v>84841.702409999998</v>
      </c>
      <c r="K25" s="99">
        <v>114580.99796000001</v>
      </c>
      <c r="L25" s="99">
        <v>126919.11951480001</v>
      </c>
      <c r="M25" s="99">
        <v>216928.19803199999</v>
      </c>
      <c r="N25" s="99">
        <v>127005.777015</v>
      </c>
    </row>
    <row r="26" spans="2:14" ht="36.75" customHeight="1" x14ac:dyDescent="0.2">
      <c r="B26" s="151" t="s">
        <v>174</v>
      </c>
      <c r="C26" s="99">
        <v>102456.220095</v>
      </c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2023-02-27T19:48:19Z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