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11C37892-C519-472A-BF42-AFD8B875B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externalReferences>
    <externalReference r:id="rId5"/>
  </externalReferences>
  <definedNames>
    <definedName name="_xlnm.Print_Area" localSheetId="1">Electricity!$B$1:$U$53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F34" i="2" s="1"/>
  <c r="E34" i="2"/>
  <c r="D34" i="2"/>
  <c r="G33" i="2"/>
  <c r="F33" i="2" s="1"/>
  <c r="E33" i="2"/>
  <c r="D33" i="2"/>
  <c r="G32" i="2"/>
  <c r="F32" i="2" s="1"/>
  <c r="E32" i="2"/>
  <c r="D32" i="2"/>
  <c r="G31" i="2"/>
  <c r="F31" i="2" s="1"/>
  <c r="E31" i="2"/>
  <c r="D31" i="2"/>
  <c r="G30" i="2"/>
  <c r="F30" i="2" s="1"/>
  <c r="E30" i="2"/>
  <c r="D30" i="2"/>
  <c r="G29" i="2"/>
  <c r="F29" i="2" s="1"/>
  <c r="E29" i="2"/>
  <c r="D29" i="2"/>
  <c r="G28" i="2"/>
  <c r="F28" i="2" s="1"/>
  <c r="E28" i="2"/>
  <c r="D28" i="2"/>
  <c r="G27" i="2"/>
  <c r="F27" i="2" s="1"/>
  <c r="E27" i="2"/>
  <c r="D27" i="2"/>
  <c r="G26" i="2"/>
  <c r="F26" i="2" s="1"/>
  <c r="E26" i="2"/>
  <c r="D26" i="2"/>
  <c r="G25" i="2"/>
  <c r="F25" i="2" s="1"/>
  <c r="E25" i="2"/>
  <c r="D25" i="2"/>
  <c r="G24" i="2"/>
  <c r="F24" i="2" s="1"/>
  <c r="E24" i="2"/>
  <c r="D24" i="2"/>
  <c r="G23" i="2"/>
  <c r="F23" i="2" s="1"/>
  <c r="E23" i="2"/>
  <c r="D23" i="2"/>
  <c r="G22" i="2"/>
  <c r="F22" i="2"/>
  <c r="E22" i="2"/>
  <c r="D22" i="2"/>
  <c r="G21" i="2"/>
  <c r="F21" i="2" s="1"/>
  <c r="E21" i="2"/>
  <c r="D21" i="2"/>
  <c r="G20" i="2"/>
  <c r="F20" i="2" s="1"/>
  <c r="E20" i="2"/>
  <c r="D20" i="2"/>
  <c r="G19" i="2"/>
  <c r="F19" i="2" s="1"/>
  <c r="E19" i="2"/>
  <c r="D19" i="2"/>
  <c r="G18" i="2"/>
  <c r="F18" i="2" s="1"/>
  <c r="E18" i="2"/>
  <c r="D18" i="2"/>
  <c r="G17" i="2"/>
  <c r="F17" i="2" s="1"/>
  <c r="E17" i="2"/>
  <c r="D17" i="2"/>
  <c r="G16" i="2"/>
  <c r="F16" i="2" s="1"/>
  <c r="E16" i="2"/>
  <c r="D16" i="2"/>
  <c r="G15" i="2"/>
  <c r="F15" i="2" s="1"/>
  <c r="E15" i="2"/>
  <c r="D15" i="2"/>
  <c r="G14" i="2"/>
  <c r="F14" i="2"/>
  <c r="E14" i="2"/>
  <c r="D14" i="2"/>
  <c r="G13" i="2"/>
  <c r="F13" i="2" s="1"/>
  <c r="E13" i="2"/>
  <c r="D13" i="2"/>
  <c r="G12" i="2"/>
  <c r="F12" i="2" s="1"/>
  <c r="E12" i="2"/>
  <c r="D12" i="2"/>
  <c r="G11" i="2"/>
  <c r="F11" i="2" s="1"/>
  <c r="E11" i="2"/>
  <c r="D11" i="2"/>
  <c r="G10" i="2"/>
  <c r="F10" i="2" s="1"/>
  <c r="E10" i="2"/>
  <c r="D10" i="2"/>
  <c r="G9" i="2"/>
  <c r="F9" i="2" s="1"/>
  <c r="E9" i="2"/>
  <c r="D9" i="2"/>
  <c r="G8" i="2"/>
  <c r="F8" i="2"/>
  <c r="E8" i="2"/>
  <c r="D8" i="2"/>
  <c r="G7" i="2"/>
  <c r="F7" i="2" s="1"/>
  <c r="E7" i="2"/>
  <c r="D7" i="2"/>
  <c r="G6" i="2"/>
  <c r="F6" i="2" s="1"/>
  <c r="E6" i="2"/>
  <c r="D6" i="2"/>
  <c r="G5" i="2"/>
  <c r="F5" i="2" s="1"/>
  <c r="E5" i="2"/>
  <c r="D5" i="2"/>
  <c r="C31" i="2" l="1"/>
  <c r="C29" i="2"/>
  <c r="C5" i="2"/>
  <c r="C10" i="2"/>
  <c r="C15" i="2"/>
  <c r="C18" i="2"/>
  <c r="C23" i="2"/>
  <c r="C34" i="2"/>
  <c r="C8" i="2"/>
  <c r="C16" i="2"/>
  <c r="C24" i="2"/>
  <c r="C32" i="2"/>
  <c r="C7" i="2"/>
  <c r="C13" i="2"/>
  <c r="C21" i="2"/>
  <c r="C26" i="2"/>
  <c r="C6" i="2"/>
  <c r="C9" i="2"/>
  <c r="C11" i="2"/>
  <c r="C14" i="2"/>
  <c r="C17" i="2"/>
  <c r="C19" i="2"/>
  <c r="C22" i="2"/>
  <c r="C25" i="2"/>
  <c r="C27" i="2"/>
  <c r="C30" i="2"/>
  <c r="C33" i="2"/>
  <c r="C12" i="2"/>
  <c r="C20" i="2"/>
  <c r="C28" i="2"/>
  <c r="F31" i="4" l="1"/>
  <c r="G31" i="4"/>
  <c r="J31" i="4"/>
  <c r="L31" i="4"/>
  <c r="N31" i="4"/>
  <c r="O31" i="4"/>
  <c r="H35" i="1"/>
  <c r="J35" i="1" s="1"/>
  <c r="K35" i="1"/>
  <c r="L35" i="1"/>
  <c r="M35" i="1" l="1"/>
  <c r="E31" i="4"/>
  <c r="N35" i="1"/>
  <c r="O35" i="1" s="1"/>
  <c r="I31" i="4" s="1"/>
  <c r="C36" i="1"/>
  <c r="D36" i="1"/>
  <c r="K34" i="1" l="1"/>
  <c r="L34" i="1"/>
  <c r="M34" i="1" l="1"/>
  <c r="N34" i="1" s="1"/>
  <c r="O34" i="1" s="1"/>
  <c r="N3" i="4"/>
  <c r="O3" i="4"/>
  <c r="N4" i="4"/>
  <c r="O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L28" i="4"/>
  <c r="L20" i="4"/>
  <c r="L19" i="4"/>
  <c r="L17" i="4"/>
  <c r="L15" i="4"/>
  <c r="L12" i="4"/>
  <c r="L11" i="4"/>
  <c r="L9" i="4"/>
  <c r="L7" i="4"/>
  <c r="L4" i="4"/>
  <c r="L3" i="4"/>
  <c r="L2" i="4" l="1"/>
  <c r="L10" i="4"/>
  <c r="L18" i="4"/>
  <c r="L23" i="4"/>
  <c r="L26" i="4"/>
  <c r="L29" i="4"/>
  <c r="L5" i="4"/>
  <c r="L8" i="4"/>
  <c r="L13" i="4"/>
  <c r="L16" i="4"/>
  <c r="L21" i="4"/>
  <c r="L24" i="4"/>
  <c r="L6" i="4"/>
  <c r="L14" i="4"/>
  <c r="L22" i="4"/>
  <c r="L27" i="4"/>
  <c r="L30" i="4"/>
  <c r="L25" i="4"/>
  <c r="K31" i="1" l="1"/>
  <c r="L31" i="1"/>
  <c r="K32" i="1"/>
  <c r="L32" i="1"/>
  <c r="K33" i="1"/>
  <c r="L33" i="1"/>
  <c r="H31" i="1"/>
  <c r="H32" i="1"/>
  <c r="H33" i="1"/>
  <c r="H34" i="1"/>
  <c r="J34" i="1" s="1"/>
  <c r="M32" i="1" l="1"/>
  <c r="N32" i="1" s="1"/>
  <c r="J33" i="1"/>
  <c r="E29" i="4"/>
  <c r="E30" i="4"/>
  <c r="J32" i="1"/>
  <c r="E28" i="4"/>
  <c r="J31" i="1"/>
  <c r="E27" i="4"/>
  <c r="M33" i="1"/>
  <c r="N33" i="1" s="1"/>
  <c r="I30" i="4"/>
  <c r="M31" i="1"/>
  <c r="N31" i="1" s="1"/>
  <c r="O31" i="1" s="1"/>
  <c r="I27" i="4" s="1"/>
  <c r="O32" i="1" l="1"/>
  <c r="I28" i="4" s="1"/>
  <c r="O33" i="1"/>
  <c r="I29" i="4" s="1"/>
  <c r="O2" i="4" l="1"/>
  <c r="N2" i="4"/>
  <c r="I36" i="1" l="1"/>
  <c r="G36" i="1"/>
  <c r="F36" i="1"/>
  <c r="H27" i="1" l="1"/>
  <c r="E23" i="4" s="1"/>
  <c r="H28" i="1"/>
  <c r="E24" i="4" s="1"/>
  <c r="H29" i="1"/>
  <c r="E25" i="4" s="1"/>
  <c r="H30" i="1"/>
  <c r="E26" i="4" s="1"/>
  <c r="K6" i="1" l="1"/>
  <c r="D36" i="3" l="1"/>
  <c r="C36" i="3"/>
  <c r="G2" i="4" l="1"/>
  <c r="F2" i="4"/>
  <c r="G36" i="2" l="1"/>
  <c r="F36" i="2"/>
  <c r="E36" i="3" l="1"/>
  <c r="F36" i="3"/>
  <c r="G36" i="3"/>
  <c r="H36" i="3"/>
  <c r="H37" i="3" s="1"/>
  <c r="E45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6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6" i="1" l="1"/>
  <c r="E2" i="4"/>
  <c r="P2" i="4" s="1"/>
  <c r="H36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6" i="1" l="1"/>
  <c r="J36" i="1"/>
  <c r="N6" i="1"/>
  <c r="N36" i="1" s="1"/>
  <c r="E36" i="2"/>
  <c r="O6" i="1" l="1"/>
  <c r="O36" i="1" s="1"/>
  <c r="P20" i="4"/>
  <c r="P21" i="4"/>
  <c r="P18" i="4"/>
  <c r="P19" i="4"/>
  <c r="D36" i="2"/>
  <c r="G46" i="2" l="1"/>
  <c r="G40" i="2"/>
  <c r="C36" i="2"/>
  <c r="I2" i="4"/>
</calcChain>
</file>

<file path=xl/sharedStrings.xml><?xml version="1.0" encoding="utf-8"?>
<sst xmlns="http://schemas.openxmlformats.org/spreadsheetml/2006/main" count="138" uniqueCount="65">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</sst>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-&quot;Rp&quot;* #,##0_-;\-&quot;Rp&quot;* #,##0_-;_-&quot;Rp&quot;* &quot;-&quot;_-;_-@_-"/>
    <numFmt numFmtId="165" formatCode="_(* #,##0_);_(* \(#,##0\);_(* &quot;-&quot;_);_(@_)"/>
    <numFmt numFmtId="166" formatCode="_(* #,##0.00_);_(* \(#,##0.00\);_(* &quot;-&quot;??_);_(@_)"/>
    <numFmt numFmtId="167" formatCode="_(&quot;Rp&quot;* #,##0_);_(&quot;Rp&quot;* \(#,##0\);_(&quot;Rp&quot;* &quot;-&quot;_);_(@_)"/>
    <numFmt numFmtId="168" formatCode="#.00"/>
    <numFmt numFmtId="169" formatCode="_(* #.##0_);_(* \(#.##0\);_(* &quot;-&quot;_);_(@_)"/>
    <numFmt numFmtId="170" formatCode="_(* #.##0.00_);_(* \(#.##0.00\);_(* &quot;-&quot;??_);_(@_)"/>
    <numFmt numFmtId="171" formatCode="0.00;[Red]0.00"/>
    <numFmt numFmtId="172" formatCode="[$Rp-421]#,##0"/>
    <numFmt numFmtId="173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165" fontId="9" fillId="0" borderId="0" applyFont="0" applyFill="0" applyBorder="0" applyAlignment="0" applyProtection="0"/>
    <xf numFmtId="0" fontId="5" fillId="0" borderId="0"/>
    <xf numFmtId="0" fontId="5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3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5" fillId="2" borderId="0" xfId="2" applyFill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8" fontId="5" fillId="2" borderId="0" xfId="2" applyNumberFormat="1" applyFill="1" applyAlignment="1">
      <alignment vertical="center"/>
    </xf>
    <xf numFmtId="167" fontId="5" fillId="2" borderId="0" xfId="2" applyNumberFormat="1" applyFill="1" applyAlignment="1">
      <alignment vertical="center"/>
    </xf>
    <xf numFmtId="167" fontId="5" fillId="2" borderId="0" xfId="3" applyNumberFormat="1" applyFill="1" applyAlignment="1">
      <alignment vertical="center"/>
    </xf>
    <xf numFmtId="167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70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1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7" fontId="6" fillId="2" borderId="0" xfId="2" applyNumberFormat="1" applyFont="1" applyFill="1" applyAlignment="1">
      <alignment vertical="center"/>
    </xf>
    <xf numFmtId="169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7" fontId="10" fillId="2" borderId="0" xfId="2" applyNumberFormat="1" applyFont="1" applyFill="1" applyAlignment="1">
      <alignment vertical="center"/>
    </xf>
    <xf numFmtId="169" fontId="0" fillId="2" borderId="0" xfId="4" applyFont="1" applyFill="1" applyAlignment="1">
      <alignment vertical="center"/>
    </xf>
    <xf numFmtId="172" fontId="5" fillId="2" borderId="0" xfId="2" applyNumberFormat="1" applyFill="1" applyAlignment="1">
      <alignment vertical="center"/>
    </xf>
    <xf numFmtId="0" fontId="5" fillId="2" borderId="0" xfId="2" applyFill="1"/>
    <xf numFmtId="172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1" applyFont="1" applyFill="1"/>
    <xf numFmtId="0" fontId="13" fillId="2" borderId="0" xfId="0" applyFont="1" applyFill="1"/>
    <xf numFmtId="2" fontId="6" fillId="2" borderId="0" xfId="0" applyNumberFormat="1" applyFont="1" applyFill="1"/>
    <xf numFmtId="0" fontId="6" fillId="2" borderId="0" xfId="0" applyFont="1" applyFill="1"/>
    <xf numFmtId="165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5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1" fontId="5" fillId="2" borderId="0" xfId="3" applyNumberFormat="1" applyFill="1" applyAlignment="1">
      <alignment horizontal="center" vertical="center"/>
    </xf>
    <xf numFmtId="169" fontId="0" fillId="2" borderId="0" xfId="4" applyFont="1" applyFill="1" applyAlignment="1">
      <alignment horizontal="center" vertical="center"/>
    </xf>
    <xf numFmtId="167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7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73" fontId="6" fillId="0" borderId="24" xfId="9" applyNumberFormat="1" applyFont="1" applyBorder="1" applyAlignment="1">
      <alignment horizontal="center" wrapText="1"/>
    </xf>
    <xf numFmtId="173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1" applyNumberFormat="1" applyFont="1" applyFill="1"/>
    <xf numFmtId="1" fontId="13" fillId="2" borderId="0" xfId="0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5" fontId="6" fillId="2" borderId="0" xfId="1" applyFont="1" applyFill="1" applyAlignment="1">
      <alignment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23">
    <cellStyle name="Comma" xfId="7" builtinId="3"/>
    <cellStyle name="Comma [0]" xfId="1" builtinId="6"/>
    <cellStyle name="Comma [0] 2" xfId="12" xr:uid="{00000000-0005-0000-0000-000002000000}"/>
    <cellStyle name="Comma [0] 2 4" xfId="5" xr:uid="{00000000-0005-0000-0000-000003000000}"/>
    <cellStyle name="Comma [0] 5" xfId="4" xr:uid="{00000000-0005-0000-0000-000004000000}"/>
    <cellStyle name="Comma 2" xfId="13" xr:uid="{00000000-0005-0000-0000-000005000000}"/>
    <cellStyle name="Comma 3" xfId="11" xr:uid="{00000000-0005-0000-0000-000006000000}"/>
    <cellStyle name="Comma 4" xfId="19" xr:uid="{00000000-0005-0000-0000-000007000000}"/>
    <cellStyle name="Comma 5" xfId="20" xr:uid="{00000000-0005-0000-0000-000008000000}"/>
    <cellStyle name="Comma 6" xfId="21" xr:uid="{00000000-0005-0000-0000-000009000000}"/>
    <cellStyle name="Comma 7" xfId="22" xr:uid="{00000000-0005-0000-0000-00000A000000}"/>
    <cellStyle name="Currency [0] 2" xfId="14" xr:uid="{00000000-0005-0000-0000-00000B000000}"/>
    <cellStyle name="Normal" xfId="0" builtinId="0"/>
    <cellStyle name="Normal 2" xfId="6" xr:uid="{00000000-0005-0000-0000-00000D000000}"/>
    <cellStyle name="Normal 2 2" xfId="15" xr:uid="{00000000-0005-0000-0000-00000E000000}"/>
    <cellStyle name="Normal 2 4" xfId="3" xr:uid="{00000000-0005-0000-0000-00000F000000}"/>
    <cellStyle name="Normal 2 4 2" xfId="16" xr:uid="{00000000-0005-0000-0000-000010000000}"/>
    <cellStyle name="Normal 3" xfId="10" xr:uid="{00000000-0005-0000-0000-000011000000}"/>
    <cellStyle name="Normal 4" xfId="9" xr:uid="{00000000-0005-0000-0000-000012000000}"/>
    <cellStyle name="Normal 5" xfId="2" xr:uid="{00000000-0005-0000-0000-000013000000}"/>
    <cellStyle name="Normal 5 2" xfId="17" xr:uid="{00000000-0005-0000-0000-000014000000}"/>
    <cellStyle name="Per cent" xfId="8" builtinId="5"/>
    <cellStyle name="Percent 2" xfId="18" xr:uid="{00000000-0005-0000-0000-000016000000}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NTHLY%20REPORT\Utilities-Send%20to%20Finance%20&amp;%20JLL\finance\2022\water%20met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 water &amp; recycle water log"/>
      <sheetName val="Podium record MR"/>
      <sheetName val="Summ Podium MR"/>
      <sheetName val="Summary"/>
      <sheetName val="grafik water cons room"/>
      <sheetName val="summ data water2"/>
      <sheetName val="layout rev.00"/>
      <sheetName val="layout rev.01"/>
    </sheetNames>
    <sheetDataSet>
      <sheetData sheetId="0">
        <row r="173">
          <cell r="N173">
            <v>54.600000000005821</v>
          </cell>
          <cell r="O173">
            <v>249.50000000000728</v>
          </cell>
          <cell r="R173">
            <v>89.700000000011642</v>
          </cell>
        </row>
        <row r="174">
          <cell r="N174">
            <v>34.599999999991269</v>
          </cell>
          <cell r="O174">
            <v>100.29999999999563</v>
          </cell>
          <cell r="R174">
            <v>79.699999999982538</v>
          </cell>
        </row>
        <row r="175">
          <cell r="N175">
            <v>35.100000000005821</v>
          </cell>
          <cell r="O175">
            <v>103.70000000000437</v>
          </cell>
          <cell r="R175">
            <v>59.899999999994179</v>
          </cell>
        </row>
        <row r="176">
          <cell r="N176">
            <v>45.80000000000291</v>
          </cell>
          <cell r="O176">
            <v>86.499999999992724</v>
          </cell>
          <cell r="R176">
            <v>23.200000000011642</v>
          </cell>
        </row>
        <row r="177">
          <cell r="N177">
            <v>44.399999999994179</v>
          </cell>
          <cell r="O177">
            <v>34.400000000008731</v>
          </cell>
          <cell r="R177">
            <v>66.100000000005821</v>
          </cell>
        </row>
        <row r="178">
          <cell r="N178">
            <v>26.69999999999709</v>
          </cell>
          <cell r="O178">
            <v>115.09999999999854</v>
          </cell>
          <cell r="R178">
            <v>80.199999999982538</v>
          </cell>
        </row>
        <row r="179">
          <cell r="N179">
            <v>42</v>
          </cell>
          <cell r="O179">
            <v>130.39999999999418</v>
          </cell>
          <cell r="R179">
            <v>105.40000000002328</v>
          </cell>
        </row>
        <row r="180">
          <cell r="N180">
            <v>16.900000000008731</v>
          </cell>
          <cell r="O180">
            <v>96.899999999994179</v>
          </cell>
          <cell r="R180">
            <v>60</v>
          </cell>
        </row>
        <row r="181">
          <cell r="N181">
            <v>34.799999999988358</v>
          </cell>
          <cell r="O181">
            <v>91.5</v>
          </cell>
          <cell r="R181">
            <v>73.599999999976717</v>
          </cell>
        </row>
        <row r="182">
          <cell r="N182">
            <v>35.600000000005821</v>
          </cell>
          <cell r="O182">
            <v>80.000000000007276</v>
          </cell>
          <cell r="R182">
            <v>57.700000000011642</v>
          </cell>
        </row>
        <row r="183">
          <cell r="N183">
            <v>34.19999999999709</v>
          </cell>
          <cell r="O183">
            <v>105.70000000000437</v>
          </cell>
          <cell r="R183">
            <v>81</v>
          </cell>
        </row>
        <row r="184">
          <cell r="N184">
            <v>52.900000000008731</v>
          </cell>
          <cell r="O184">
            <v>129.09999999999127</v>
          </cell>
          <cell r="R184">
            <v>78.799999999988358</v>
          </cell>
        </row>
        <row r="185">
          <cell r="N185">
            <v>36.599999999991269</v>
          </cell>
          <cell r="O185">
            <v>94.300000000010186</v>
          </cell>
          <cell r="R185">
            <v>60.700000000011642</v>
          </cell>
        </row>
        <row r="186">
          <cell r="N186">
            <v>40.5</v>
          </cell>
          <cell r="O186">
            <v>105.49999999999272</v>
          </cell>
          <cell r="R186">
            <v>93.5</v>
          </cell>
        </row>
        <row r="187">
          <cell r="N187">
            <v>39.69999999999709</v>
          </cell>
          <cell r="O187">
            <v>108.99999999999272</v>
          </cell>
          <cell r="R187">
            <v>71.399999999994179</v>
          </cell>
        </row>
        <row r="188">
          <cell r="N188">
            <v>40.100000000005821</v>
          </cell>
          <cell r="O188">
            <v>111.90000000000873</v>
          </cell>
          <cell r="R188">
            <v>70.600000000005821</v>
          </cell>
        </row>
        <row r="189">
          <cell r="N189">
            <v>23.19999999999709</v>
          </cell>
          <cell r="O189">
            <v>106.19999999999709</v>
          </cell>
          <cell r="R189">
            <v>74</v>
          </cell>
        </row>
        <row r="190">
          <cell r="N190">
            <v>31.80000000000291</v>
          </cell>
          <cell r="O190">
            <v>106.09999999999127</v>
          </cell>
          <cell r="R190">
            <v>73.5</v>
          </cell>
        </row>
        <row r="191">
          <cell r="N191">
            <v>52.80000000000291</v>
          </cell>
          <cell r="O191">
            <v>130.1000000000131</v>
          </cell>
          <cell r="R191">
            <v>79.299999999988358</v>
          </cell>
        </row>
        <row r="192">
          <cell r="N192">
            <v>37.099999999991269</v>
          </cell>
          <cell r="O192">
            <v>85.200000000004366</v>
          </cell>
          <cell r="R192">
            <v>60.900000000023283</v>
          </cell>
        </row>
        <row r="193">
          <cell r="N193">
            <v>40.200000000011642</v>
          </cell>
          <cell r="O193">
            <v>90.299999999995634</v>
          </cell>
          <cell r="R193">
            <v>90.299999999988358</v>
          </cell>
        </row>
        <row r="194">
          <cell r="N194">
            <v>36.599999999991269</v>
          </cell>
          <cell r="O194">
            <v>99.099999999998545</v>
          </cell>
          <cell r="R194">
            <v>82.600000000005821</v>
          </cell>
        </row>
        <row r="195">
          <cell r="N195">
            <v>37</v>
          </cell>
          <cell r="O195">
            <v>105.59999999999127</v>
          </cell>
          <cell r="R195">
            <v>82.899999999994179</v>
          </cell>
        </row>
        <row r="196">
          <cell r="N196">
            <v>37.30000000000291</v>
          </cell>
          <cell r="O196">
            <v>102.90000000000873</v>
          </cell>
          <cell r="R196">
            <v>83.399999999994179</v>
          </cell>
        </row>
        <row r="197">
          <cell r="N197">
            <v>37.30000000000291</v>
          </cell>
          <cell r="O197">
            <v>143.89999999999418</v>
          </cell>
          <cell r="R197">
            <v>46.700000000011642</v>
          </cell>
        </row>
        <row r="198">
          <cell r="N198">
            <v>37.30000000000291</v>
          </cell>
          <cell r="O198">
            <v>87.400000000001455</v>
          </cell>
          <cell r="R198">
            <v>89.899999999994179</v>
          </cell>
        </row>
        <row r="199">
          <cell r="N199">
            <v>37.299999999988358</v>
          </cell>
          <cell r="O199">
            <v>97.5</v>
          </cell>
          <cell r="R199">
            <v>71.200000000011642</v>
          </cell>
        </row>
        <row r="200">
          <cell r="N200">
            <v>37.30000000000291</v>
          </cell>
          <cell r="O200">
            <v>98.500000000007276</v>
          </cell>
          <cell r="R200">
            <v>56.699999999982538</v>
          </cell>
        </row>
        <row r="201">
          <cell r="N201">
            <v>37.30000000000291</v>
          </cell>
          <cell r="O201">
            <v>84.899999999994179</v>
          </cell>
          <cell r="R201">
            <v>87.700000000011642</v>
          </cell>
        </row>
        <row r="202">
          <cell r="N202">
            <v>37.30000000000291</v>
          </cell>
          <cell r="O202">
            <v>61.899999999994179</v>
          </cell>
          <cell r="R202">
            <v>75.799999999988358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>
      <selection activeCell="H14" sqref="H14"/>
    </sheetView>
  </sheetViews>
  <sheetFormatPr defaultColWidth="11.5546875" defaultRowHeight="14.4" x14ac:dyDescent="0.3"/>
  <cols>
    <col min="1" max="1" width="12.44140625" style="85" customWidth="1"/>
    <col min="2" max="3" width="11.5546875" style="87"/>
    <col min="4" max="4" width="13.44140625" style="86" customWidth="1"/>
    <col min="5" max="7" width="12.5546875" style="84" customWidth="1"/>
    <col min="8" max="9" width="12.5546875" style="85" customWidth="1"/>
    <col min="10" max="10" width="11.5546875" style="85"/>
    <col min="11" max="11" width="11.5546875" style="103"/>
    <col min="12" max="13" width="11.5546875" style="85"/>
    <col min="14" max="15" width="11.5546875" style="84"/>
    <col min="16" max="16" width="0" style="83" hidden="1" customWidth="1"/>
    <col min="17" max="259" width="11.5546875" style="83"/>
    <col min="260" max="260" width="12.44140625" style="83" customWidth="1"/>
    <col min="261" max="262" width="11.5546875" style="83"/>
    <col min="263" max="263" width="13.44140625" style="83" customWidth="1"/>
    <col min="264" max="265" width="12.5546875" style="83" customWidth="1"/>
    <col min="266" max="271" width="11.5546875" style="83"/>
    <col min="272" max="272" width="0" style="83" hidden="1" customWidth="1"/>
    <col min="273" max="515" width="11.5546875" style="83"/>
    <col min="516" max="516" width="12.44140625" style="83" customWidth="1"/>
    <col min="517" max="518" width="11.5546875" style="83"/>
    <col min="519" max="519" width="13.44140625" style="83" customWidth="1"/>
    <col min="520" max="521" width="12.5546875" style="83" customWidth="1"/>
    <col min="522" max="527" width="11.5546875" style="83"/>
    <col min="528" max="528" width="0" style="83" hidden="1" customWidth="1"/>
    <col min="529" max="771" width="11.5546875" style="83"/>
    <col min="772" max="772" width="12.44140625" style="83" customWidth="1"/>
    <col min="773" max="774" width="11.5546875" style="83"/>
    <col min="775" max="775" width="13.44140625" style="83" customWidth="1"/>
    <col min="776" max="777" width="12.5546875" style="83" customWidth="1"/>
    <col min="778" max="783" width="11.5546875" style="83"/>
    <col min="784" max="784" width="0" style="83" hidden="1" customWidth="1"/>
    <col min="785" max="1027" width="11.5546875" style="83"/>
    <col min="1028" max="1028" width="12.44140625" style="83" customWidth="1"/>
    <col min="1029" max="1030" width="11.5546875" style="83"/>
    <col min="1031" max="1031" width="13.44140625" style="83" customWidth="1"/>
    <col min="1032" max="1033" width="12.5546875" style="83" customWidth="1"/>
    <col min="1034" max="1039" width="11.5546875" style="83"/>
    <col min="1040" max="1040" width="0" style="83" hidden="1" customWidth="1"/>
    <col min="1041" max="1283" width="11.5546875" style="83"/>
    <col min="1284" max="1284" width="12.44140625" style="83" customWidth="1"/>
    <col min="1285" max="1286" width="11.5546875" style="83"/>
    <col min="1287" max="1287" width="13.44140625" style="83" customWidth="1"/>
    <col min="1288" max="1289" width="12.5546875" style="83" customWidth="1"/>
    <col min="1290" max="1295" width="11.5546875" style="83"/>
    <col min="1296" max="1296" width="0" style="83" hidden="1" customWidth="1"/>
    <col min="1297" max="1539" width="11.5546875" style="83"/>
    <col min="1540" max="1540" width="12.44140625" style="83" customWidth="1"/>
    <col min="1541" max="1542" width="11.5546875" style="83"/>
    <col min="1543" max="1543" width="13.44140625" style="83" customWidth="1"/>
    <col min="1544" max="1545" width="12.5546875" style="83" customWidth="1"/>
    <col min="1546" max="1551" width="11.5546875" style="83"/>
    <col min="1552" max="1552" width="0" style="83" hidden="1" customWidth="1"/>
    <col min="1553" max="1795" width="11.5546875" style="83"/>
    <col min="1796" max="1796" width="12.44140625" style="83" customWidth="1"/>
    <col min="1797" max="1798" width="11.5546875" style="83"/>
    <col min="1799" max="1799" width="13.44140625" style="83" customWidth="1"/>
    <col min="1800" max="1801" width="12.5546875" style="83" customWidth="1"/>
    <col min="1802" max="1807" width="11.5546875" style="83"/>
    <col min="1808" max="1808" width="0" style="83" hidden="1" customWidth="1"/>
    <col min="1809" max="2051" width="11.5546875" style="83"/>
    <col min="2052" max="2052" width="12.44140625" style="83" customWidth="1"/>
    <col min="2053" max="2054" width="11.5546875" style="83"/>
    <col min="2055" max="2055" width="13.44140625" style="83" customWidth="1"/>
    <col min="2056" max="2057" width="12.5546875" style="83" customWidth="1"/>
    <col min="2058" max="2063" width="11.5546875" style="83"/>
    <col min="2064" max="2064" width="0" style="83" hidden="1" customWidth="1"/>
    <col min="2065" max="2307" width="11.5546875" style="83"/>
    <col min="2308" max="2308" width="12.44140625" style="83" customWidth="1"/>
    <col min="2309" max="2310" width="11.5546875" style="83"/>
    <col min="2311" max="2311" width="13.44140625" style="83" customWidth="1"/>
    <col min="2312" max="2313" width="12.5546875" style="83" customWidth="1"/>
    <col min="2314" max="2319" width="11.5546875" style="83"/>
    <col min="2320" max="2320" width="0" style="83" hidden="1" customWidth="1"/>
    <col min="2321" max="2563" width="11.5546875" style="83"/>
    <col min="2564" max="2564" width="12.44140625" style="83" customWidth="1"/>
    <col min="2565" max="2566" width="11.5546875" style="83"/>
    <col min="2567" max="2567" width="13.44140625" style="83" customWidth="1"/>
    <col min="2568" max="2569" width="12.5546875" style="83" customWidth="1"/>
    <col min="2570" max="2575" width="11.5546875" style="83"/>
    <col min="2576" max="2576" width="0" style="83" hidden="1" customWidth="1"/>
    <col min="2577" max="2819" width="11.5546875" style="83"/>
    <col min="2820" max="2820" width="12.44140625" style="83" customWidth="1"/>
    <col min="2821" max="2822" width="11.5546875" style="83"/>
    <col min="2823" max="2823" width="13.44140625" style="83" customWidth="1"/>
    <col min="2824" max="2825" width="12.5546875" style="83" customWidth="1"/>
    <col min="2826" max="2831" width="11.5546875" style="83"/>
    <col min="2832" max="2832" width="0" style="83" hidden="1" customWidth="1"/>
    <col min="2833" max="3075" width="11.5546875" style="83"/>
    <col min="3076" max="3076" width="12.44140625" style="83" customWidth="1"/>
    <col min="3077" max="3078" width="11.5546875" style="83"/>
    <col min="3079" max="3079" width="13.44140625" style="83" customWidth="1"/>
    <col min="3080" max="3081" width="12.5546875" style="83" customWidth="1"/>
    <col min="3082" max="3087" width="11.5546875" style="83"/>
    <col min="3088" max="3088" width="0" style="83" hidden="1" customWidth="1"/>
    <col min="3089" max="3331" width="11.5546875" style="83"/>
    <col min="3332" max="3332" width="12.44140625" style="83" customWidth="1"/>
    <col min="3333" max="3334" width="11.5546875" style="83"/>
    <col min="3335" max="3335" width="13.44140625" style="83" customWidth="1"/>
    <col min="3336" max="3337" width="12.5546875" style="83" customWidth="1"/>
    <col min="3338" max="3343" width="11.5546875" style="83"/>
    <col min="3344" max="3344" width="0" style="83" hidden="1" customWidth="1"/>
    <col min="3345" max="3587" width="11.5546875" style="83"/>
    <col min="3588" max="3588" width="12.44140625" style="83" customWidth="1"/>
    <col min="3589" max="3590" width="11.5546875" style="83"/>
    <col min="3591" max="3591" width="13.44140625" style="83" customWidth="1"/>
    <col min="3592" max="3593" width="12.5546875" style="83" customWidth="1"/>
    <col min="3594" max="3599" width="11.5546875" style="83"/>
    <col min="3600" max="3600" width="0" style="83" hidden="1" customWidth="1"/>
    <col min="3601" max="3843" width="11.5546875" style="83"/>
    <col min="3844" max="3844" width="12.44140625" style="83" customWidth="1"/>
    <col min="3845" max="3846" width="11.5546875" style="83"/>
    <col min="3847" max="3847" width="13.44140625" style="83" customWidth="1"/>
    <col min="3848" max="3849" width="12.5546875" style="83" customWidth="1"/>
    <col min="3850" max="3855" width="11.5546875" style="83"/>
    <col min="3856" max="3856" width="0" style="83" hidden="1" customWidth="1"/>
    <col min="3857" max="4099" width="11.5546875" style="83"/>
    <col min="4100" max="4100" width="12.44140625" style="83" customWidth="1"/>
    <col min="4101" max="4102" width="11.5546875" style="83"/>
    <col min="4103" max="4103" width="13.44140625" style="83" customWidth="1"/>
    <col min="4104" max="4105" width="12.5546875" style="83" customWidth="1"/>
    <col min="4106" max="4111" width="11.5546875" style="83"/>
    <col min="4112" max="4112" width="0" style="83" hidden="1" customWidth="1"/>
    <col min="4113" max="4355" width="11.5546875" style="83"/>
    <col min="4356" max="4356" width="12.44140625" style="83" customWidth="1"/>
    <col min="4357" max="4358" width="11.5546875" style="83"/>
    <col min="4359" max="4359" width="13.44140625" style="83" customWidth="1"/>
    <col min="4360" max="4361" width="12.5546875" style="83" customWidth="1"/>
    <col min="4362" max="4367" width="11.5546875" style="83"/>
    <col min="4368" max="4368" width="0" style="83" hidden="1" customWidth="1"/>
    <col min="4369" max="4611" width="11.5546875" style="83"/>
    <col min="4612" max="4612" width="12.44140625" style="83" customWidth="1"/>
    <col min="4613" max="4614" width="11.5546875" style="83"/>
    <col min="4615" max="4615" width="13.44140625" style="83" customWidth="1"/>
    <col min="4616" max="4617" width="12.5546875" style="83" customWidth="1"/>
    <col min="4618" max="4623" width="11.5546875" style="83"/>
    <col min="4624" max="4624" width="0" style="83" hidden="1" customWidth="1"/>
    <col min="4625" max="4867" width="11.5546875" style="83"/>
    <col min="4868" max="4868" width="12.44140625" style="83" customWidth="1"/>
    <col min="4869" max="4870" width="11.5546875" style="83"/>
    <col min="4871" max="4871" width="13.44140625" style="83" customWidth="1"/>
    <col min="4872" max="4873" width="12.5546875" style="83" customWidth="1"/>
    <col min="4874" max="4879" width="11.5546875" style="83"/>
    <col min="4880" max="4880" width="0" style="83" hidden="1" customWidth="1"/>
    <col min="4881" max="5123" width="11.5546875" style="83"/>
    <col min="5124" max="5124" width="12.44140625" style="83" customWidth="1"/>
    <col min="5125" max="5126" width="11.5546875" style="83"/>
    <col min="5127" max="5127" width="13.44140625" style="83" customWidth="1"/>
    <col min="5128" max="5129" width="12.5546875" style="83" customWidth="1"/>
    <col min="5130" max="5135" width="11.5546875" style="83"/>
    <col min="5136" max="5136" width="0" style="83" hidden="1" customWidth="1"/>
    <col min="5137" max="5379" width="11.5546875" style="83"/>
    <col min="5380" max="5380" width="12.44140625" style="83" customWidth="1"/>
    <col min="5381" max="5382" width="11.5546875" style="83"/>
    <col min="5383" max="5383" width="13.44140625" style="83" customWidth="1"/>
    <col min="5384" max="5385" width="12.5546875" style="83" customWidth="1"/>
    <col min="5386" max="5391" width="11.5546875" style="83"/>
    <col min="5392" max="5392" width="0" style="83" hidden="1" customWidth="1"/>
    <col min="5393" max="5635" width="11.5546875" style="83"/>
    <col min="5636" max="5636" width="12.44140625" style="83" customWidth="1"/>
    <col min="5637" max="5638" width="11.5546875" style="83"/>
    <col min="5639" max="5639" width="13.44140625" style="83" customWidth="1"/>
    <col min="5640" max="5641" width="12.5546875" style="83" customWidth="1"/>
    <col min="5642" max="5647" width="11.5546875" style="83"/>
    <col min="5648" max="5648" width="0" style="83" hidden="1" customWidth="1"/>
    <col min="5649" max="5891" width="11.5546875" style="83"/>
    <col min="5892" max="5892" width="12.44140625" style="83" customWidth="1"/>
    <col min="5893" max="5894" width="11.5546875" style="83"/>
    <col min="5895" max="5895" width="13.44140625" style="83" customWidth="1"/>
    <col min="5896" max="5897" width="12.5546875" style="83" customWidth="1"/>
    <col min="5898" max="5903" width="11.5546875" style="83"/>
    <col min="5904" max="5904" width="0" style="83" hidden="1" customWidth="1"/>
    <col min="5905" max="6147" width="11.5546875" style="83"/>
    <col min="6148" max="6148" width="12.44140625" style="83" customWidth="1"/>
    <col min="6149" max="6150" width="11.5546875" style="83"/>
    <col min="6151" max="6151" width="13.44140625" style="83" customWidth="1"/>
    <col min="6152" max="6153" width="12.5546875" style="83" customWidth="1"/>
    <col min="6154" max="6159" width="11.5546875" style="83"/>
    <col min="6160" max="6160" width="0" style="83" hidden="1" customWidth="1"/>
    <col min="6161" max="6403" width="11.5546875" style="83"/>
    <col min="6404" max="6404" width="12.44140625" style="83" customWidth="1"/>
    <col min="6405" max="6406" width="11.5546875" style="83"/>
    <col min="6407" max="6407" width="13.44140625" style="83" customWidth="1"/>
    <col min="6408" max="6409" width="12.5546875" style="83" customWidth="1"/>
    <col min="6410" max="6415" width="11.5546875" style="83"/>
    <col min="6416" max="6416" width="0" style="83" hidden="1" customWidth="1"/>
    <col min="6417" max="6659" width="11.5546875" style="83"/>
    <col min="6660" max="6660" width="12.44140625" style="83" customWidth="1"/>
    <col min="6661" max="6662" width="11.5546875" style="83"/>
    <col min="6663" max="6663" width="13.44140625" style="83" customWidth="1"/>
    <col min="6664" max="6665" width="12.5546875" style="83" customWidth="1"/>
    <col min="6666" max="6671" width="11.5546875" style="83"/>
    <col min="6672" max="6672" width="0" style="83" hidden="1" customWidth="1"/>
    <col min="6673" max="6915" width="11.5546875" style="83"/>
    <col min="6916" max="6916" width="12.44140625" style="83" customWidth="1"/>
    <col min="6917" max="6918" width="11.5546875" style="83"/>
    <col min="6919" max="6919" width="13.44140625" style="83" customWidth="1"/>
    <col min="6920" max="6921" width="12.5546875" style="83" customWidth="1"/>
    <col min="6922" max="6927" width="11.5546875" style="83"/>
    <col min="6928" max="6928" width="0" style="83" hidden="1" customWidth="1"/>
    <col min="6929" max="7171" width="11.5546875" style="83"/>
    <col min="7172" max="7172" width="12.44140625" style="83" customWidth="1"/>
    <col min="7173" max="7174" width="11.5546875" style="83"/>
    <col min="7175" max="7175" width="13.44140625" style="83" customWidth="1"/>
    <col min="7176" max="7177" width="12.5546875" style="83" customWidth="1"/>
    <col min="7178" max="7183" width="11.5546875" style="83"/>
    <col min="7184" max="7184" width="0" style="83" hidden="1" customWidth="1"/>
    <col min="7185" max="7427" width="11.5546875" style="83"/>
    <col min="7428" max="7428" width="12.44140625" style="83" customWidth="1"/>
    <col min="7429" max="7430" width="11.5546875" style="83"/>
    <col min="7431" max="7431" width="13.44140625" style="83" customWidth="1"/>
    <col min="7432" max="7433" width="12.5546875" style="83" customWidth="1"/>
    <col min="7434" max="7439" width="11.5546875" style="83"/>
    <col min="7440" max="7440" width="0" style="83" hidden="1" customWidth="1"/>
    <col min="7441" max="7683" width="11.5546875" style="83"/>
    <col min="7684" max="7684" width="12.44140625" style="83" customWidth="1"/>
    <col min="7685" max="7686" width="11.5546875" style="83"/>
    <col min="7687" max="7687" width="13.44140625" style="83" customWidth="1"/>
    <col min="7688" max="7689" width="12.5546875" style="83" customWidth="1"/>
    <col min="7690" max="7695" width="11.5546875" style="83"/>
    <col min="7696" max="7696" width="0" style="83" hidden="1" customWidth="1"/>
    <col min="7697" max="7939" width="11.5546875" style="83"/>
    <col min="7940" max="7940" width="12.44140625" style="83" customWidth="1"/>
    <col min="7941" max="7942" width="11.5546875" style="83"/>
    <col min="7943" max="7943" width="13.44140625" style="83" customWidth="1"/>
    <col min="7944" max="7945" width="12.5546875" style="83" customWidth="1"/>
    <col min="7946" max="7951" width="11.5546875" style="83"/>
    <col min="7952" max="7952" width="0" style="83" hidden="1" customWidth="1"/>
    <col min="7953" max="8195" width="11.5546875" style="83"/>
    <col min="8196" max="8196" width="12.44140625" style="83" customWidth="1"/>
    <col min="8197" max="8198" width="11.5546875" style="83"/>
    <col min="8199" max="8199" width="13.44140625" style="83" customWidth="1"/>
    <col min="8200" max="8201" width="12.5546875" style="83" customWidth="1"/>
    <col min="8202" max="8207" width="11.5546875" style="83"/>
    <col min="8208" max="8208" width="0" style="83" hidden="1" customWidth="1"/>
    <col min="8209" max="8451" width="11.5546875" style="83"/>
    <col min="8452" max="8452" width="12.44140625" style="83" customWidth="1"/>
    <col min="8453" max="8454" width="11.5546875" style="83"/>
    <col min="8455" max="8455" width="13.44140625" style="83" customWidth="1"/>
    <col min="8456" max="8457" width="12.5546875" style="83" customWidth="1"/>
    <col min="8458" max="8463" width="11.5546875" style="83"/>
    <col min="8464" max="8464" width="0" style="83" hidden="1" customWidth="1"/>
    <col min="8465" max="8707" width="11.5546875" style="83"/>
    <col min="8708" max="8708" width="12.44140625" style="83" customWidth="1"/>
    <col min="8709" max="8710" width="11.5546875" style="83"/>
    <col min="8711" max="8711" width="13.44140625" style="83" customWidth="1"/>
    <col min="8712" max="8713" width="12.5546875" style="83" customWidth="1"/>
    <col min="8714" max="8719" width="11.5546875" style="83"/>
    <col min="8720" max="8720" width="0" style="83" hidden="1" customWidth="1"/>
    <col min="8721" max="8963" width="11.5546875" style="83"/>
    <col min="8964" max="8964" width="12.44140625" style="83" customWidth="1"/>
    <col min="8965" max="8966" width="11.5546875" style="83"/>
    <col min="8967" max="8967" width="13.44140625" style="83" customWidth="1"/>
    <col min="8968" max="8969" width="12.5546875" style="83" customWidth="1"/>
    <col min="8970" max="8975" width="11.5546875" style="83"/>
    <col min="8976" max="8976" width="0" style="83" hidden="1" customWidth="1"/>
    <col min="8977" max="9219" width="11.5546875" style="83"/>
    <col min="9220" max="9220" width="12.44140625" style="83" customWidth="1"/>
    <col min="9221" max="9222" width="11.5546875" style="83"/>
    <col min="9223" max="9223" width="13.44140625" style="83" customWidth="1"/>
    <col min="9224" max="9225" width="12.5546875" style="83" customWidth="1"/>
    <col min="9226" max="9231" width="11.5546875" style="83"/>
    <col min="9232" max="9232" width="0" style="83" hidden="1" customWidth="1"/>
    <col min="9233" max="9475" width="11.5546875" style="83"/>
    <col min="9476" max="9476" width="12.44140625" style="83" customWidth="1"/>
    <col min="9477" max="9478" width="11.5546875" style="83"/>
    <col min="9479" max="9479" width="13.44140625" style="83" customWidth="1"/>
    <col min="9480" max="9481" width="12.5546875" style="83" customWidth="1"/>
    <col min="9482" max="9487" width="11.5546875" style="83"/>
    <col min="9488" max="9488" width="0" style="83" hidden="1" customWidth="1"/>
    <col min="9489" max="9731" width="11.5546875" style="83"/>
    <col min="9732" max="9732" width="12.44140625" style="83" customWidth="1"/>
    <col min="9733" max="9734" width="11.5546875" style="83"/>
    <col min="9735" max="9735" width="13.44140625" style="83" customWidth="1"/>
    <col min="9736" max="9737" width="12.5546875" style="83" customWidth="1"/>
    <col min="9738" max="9743" width="11.5546875" style="83"/>
    <col min="9744" max="9744" width="0" style="83" hidden="1" customWidth="1"/>
    <col min="9745" max="9987" width="11.5546875" style="83"/>
    <col min="9988" max="9988" width="12.44140625" style="83" customWidth="1"/>
    <col min="9989" max="9990" width="11.5546875" style="83"/>
    <col min="9991" max="9991" width="13.44140625" style="83" customWidth="1"/>
    <col min="9992" max="9993" width="12.5546875" style="83" customWidth="1"/>
    <col min="9994" max="9999" width="11.5546875" style="83"/>
    <col min="10000" max="10000" width="0" style="83" hidden="1" customWidth="1"/>
    <col min="10001" max="10243" width="11.5546875" style="83"/>
    <col min="10244" max="10244" width="12.44140625" style="83" customWidth="1"/>
    <col min="10245" max="10246" width="11.5546875" style="83"/>
    <col min="10247" max="10247" width="13.44140625" style="83" customWidth="1"/>
    <col min="10248" max="10249" width="12.5546875" style="83" customWidth="1"/>
    <col min="10250" max="10255" width="11.5546875" style="83"/>
    <col min="10256" max="10256" width="0" style="83" hidden="1" customWidth="1"/>
    <col min="10257" max="10499" width="11.5546875" style="83"/>
    <col min="10500" max="10500" width="12.44140625" style="83" customWidth="1"/>
    <col min="10501" max="10502" width="11.5546875" style="83"/>
    <col min="10503" max="10503" width="13.44140625" style="83" customWidth="1"/>
    <col min="10504" max="10505" width="12.5546875" style="83" customWidth="1"/>
    <col min="10506" max="10511" width="11.5546875" style="83"/>
    <col min="10512" max="10512" width="0" style="83" hidden="1" customWidth="1"/>
    <col min="10513" max="10755" width="11.5546875" style="83"/>
    <col min="10756" max="10756" width="12.44140625" style="83" customWidth="1"/>
    <col min="10757" max="10758" width="11.5546875" style="83"/>
    <col min="10759" max="10759" width="13.44140625" style="83" customWidth="1"/>
    <col min="10760" max="10761" width="12.5546875" style="83" customWidth="1"/>
    <col min="10762" max="10767" width="11.5546875" style="83"/>
    <col min="10768" max="10768" width="0" style="83" hidden="1" customWidth="1"/>
    <col min="10769" max="11011" width="11.5546875" style="83"/>
    <col min="11012" max="11012" width="12.44140625" style="83" customWidth="1"/>
    <col min="11013" max="11014" width="11.5546875" style="83"/>
    <col min="11015" max="11015" width="13.44140625" style="83" customWidth="1"/>
    <col min="11016" max="11017" width="12.5546875" style="83" customWidth="1"/>
    <col min="11018" max="11023" width="11.5546875" style="83"/>
    <col min="11024" max="11024" width="0" style="83" hidden="1" customWidth="1"/>
    <col min="11025" max="11267" width="11.5546875" style="83"/>
    <col min="11268" max="11268" width="12.44140625" style="83" customWidth="1"/>
    <col min="11269" max="11270" width="11.5546875" style="83"/>
    <col min="11271" max="11271" width="13.44140625" style="83" customWidth="1"/>
    <col min="11272" max="11273" width="12.5546875" style="83" customWidth="1"/>
    <col min="11274" max="11279" width="11.5546875" style="83"/>
    <col min="11280" max="11280" width="0" style="83" hidden="1" customWidth="1"/>
    <col min="11281" max="11523" width="11.5546875" style="83"/>
    <col min="11524" max="11524" width="12.44140625" style="83" customWidth="1"/>
    <col min="11525" max="11526" width="11.5546875" style="83"/>
    <col min="11527" max="11527" width="13.44140625" style="83" customWidth="1"/>
    <col min="11528" max="11529" width="12.5546875" style="83" customWidth="1"/>
    <col min="11530" max="11535" width="11.5546875" style="83"/>
    <col min="11536" max="11536" width="0" style="83" hidden="1" customWidth="1"/>
    <col min="11537" max="11779" width="11.5546875" style="83"/>
    <col min="11780" max="11780" width="12.44140625" style="83" customWidth="1"/>
    <col min="11781" max="11782" width="11.5546875" style="83"/>
    <col min="11783" max="11783" width="13.44140625" style="83" customWidth="1"/>
    <col min="11784" max="11785" width="12.5546875" style="83" customWidth="1"/>
    <col min="11786" max="11791" width="11.5546875" style="83"/>
    <col min="11792" max="11792" width="0" style="83" hidden="1" customWidth="1"/>
    <col min="11793" max="12035" width="11.5546875" style="83"/>
    <col min="12036" max="12036" width="12.44140625" style="83" customWidth="1"/>
    <col min="12037" max="12038" width="11.5546875" style="83"/>
    <col min="12039" max="12039" width="13.44140625" style="83" customWidth="1"/>
    <col min="12040" max="12041" width="12.5546875" style="83" customWidth="1"/>
    <col min="12042" max="12047" width="11.5546875" style="83"/>
    <col min="12048" max="12048" width="0" style="83" hidden="1" customWidth="1"/>
    <col min="12049" max="12291" width="11.5546875" style="83"/>
    <col min="12292" max="12292" width="12.44140625" style="83" customWidth="1"/>
    <col min="12293" max="12294" width="11.5546875" style="83"/>
    <col min="12295" max="12295" width="13.44140625" style="83" customWidth="1"/>
    <col min="12296" max="12297" width="12.5546875" style="83" customWidth="1"/>
    <col min="12298" max="12303" width="11.5546875" style="83"/>
    <col min="12304" max="12304" width="0" style="83" hidden="1" customWidth="1"/>
    <col min="12305" max="12547" width="11.5546875" style="83"/>
    <col min="12548" max="12548" width="12.44140625" style="83" customWidth="1"/>
    <col min="12549" max="12550" width="11.5546875" style="83"/>
    <col min="12551" max="12551" width="13.44140625" style="83" customWidth="1"/>
    <col min="12552" max="12553" width="12.5546875" style="83" customWidth="1"/>
    <col min="12554" max="12559" width="11.5546875" style="83"/>
    <col min="12560" max="12560" width="0" style="83" hidden="1" customWidth="1"/>
    <col min="12561" max="12803" width="11.5546875" style="83"/>
    <col min="12804" max="12804" width="12.44140625" style="83" customWidth="1"/>
    <col min="12805" max="12806" width="11.5546875" style="83"/>
    <col min="12807" max="12807" width="13.44140625" style="83" customWidth="1"/>
    <col min="12808" max="12809" width="12.5546875" style="83" customWidth="1"/>
    <col min="12810" max="12815" width="11.5546875" style="83"/>
    <col min="12816" max="12816" width="0" style="83" hidden="1" customWidth="1"/>
    <col min="12817" max="13059" width="11.5546875" style="83"/>
    <col min="13060" max="13060" width="12.44140625" style="83" customWidth="1"/>
    <col min="13061" max="13062" width="11.5546875" style="83"/>
    <col min="13063" max="13063" width="13.44140625" style="83" customWidth="1"/>
    <col min="13064" max="13065" width="12.5546875" style="83" customWidth="1"/>
    <col min="13066" max="13071" width="11.5546875" style="83"/>
    <col min="13072" max="13072" width="0" style="83" hidden="1" customWidth="1"/>
    <col min="13073" max="13315" width="11.5546875" style="83"/>
    <col min="13316" max="13316" width="12.44140625" style="83" customWidth="1"/>
    <col min="13317" max="13318" width="11.5546875" style="83"/>
    <col min="13319" max="13319" width="13.44140625" style="83" customWidth="1"/>
    <col min="13320" max="13321" width="12.5546875" style="83" customWidth="1"/>
    <col min="13322" max="13327" width="11.5546875" style="83"/>
    <col min="13328" max="13328" width="0" style="83" hidden="1" customWidth="1"/>
    <col min="13329" max="13571" width="11.5546875" style="83"/>
    <col min="13572" max="13572" width="12.44140625" style="83" customWidth="1"/>
    <col min="13573" max="13574" width="11.5546875" style="83"/>
    <col min="13575" max="13575" width="13.44140625" style="83" customWidth="1"/>
    <col min="13576" max="13577" width="12.5546875" style="83" customWidth="1"/>
    <col min="13578" max="13583" width="11.5546875" style="83"/>
    <col min="13584" max="13584" width="0" style="83" hidden="1" customWidth="1"/>
    <col min="13585" max="13827" width="11.5546875" style="83"/>
    <col min="13828" max="13828" width="12.44140625" style="83" customWidth="1"/>
    <col min="13829" max="13830" width="11.5546875" style="83"/>
    <col min="13831" max="13831" width="13.44140625" style="83" customWidth="1"/>
    <col min="13832" max="13833" width="12.5546875" style="83" customWidth="1"/>
    <col min="13834" max="13839" width="11.5546875" style="83"/>
    <col min="13840" max="13840" width="0" style="83" hidden="1" customWidth="1"/>
    <col min="13841" max="14083" width="11.5546875" style="83"/>
    <col min="14084" max="14084" width="12.44140625" style="83" customWidth="1"/>
    <col min="14085" max="14086" width="11.5546875" style="83"/>
    <col min="14087" max="14087" width="13.44140625" style="83" customWidth="1"/>
    <col min="14088" max="14089" width="12.5546875" style="83" customWidth="1"/>
    <col min="14090" max="14095" width="11.5546875" style="83"/>
    <col min="14096" max="14096" width="0" style="83" hidden="1" customWidth="1"/>
    <col min="14097" max="14339" width="11.5546875" style="83"/>
    <col min="14340" max="14340" width="12.44140625" style="83" customWidth="1"/>
    <col min="14341" max="14342" width="11.5546875" style="83"/>
    <col min="14343" max="14343" width="13.44140625" style="83" customWidth="1"/>
    <col min="14344" max="14345" width="12.5546875" style="83" customWidth="1"/>
    <col min="14346" max="14351" width="11.5546875" style="83"/>
    <col min="14352" max="14352" width="0" style="83" hidden="1" customWidth="1"/>
    <col min="14353" max="14595" width="11.5546875" style="83"/>
    <col min="14596" max="14596" width="12.44140625" style="83" customWidth="1"/>
    <col min="14597" max="14598" width="11.5546875" style="83"/>
    <col min="14599" max="14599" width="13.44140625" style="83" customWidth="1"/>
    <col min="14600" max="14601" width="12.5546875" style="83" customWidth="1"/>
    <col min="14602" max="14607" width="11.5546875" style="83"/>
    <col min="14608" max="14608" width="0" style="83" hidden="1" customWidth="1"/>
    <col min="14609" max="14851" width="11.5546875" style="83"/>
    <col min="14852" max="14852" width="12.44140625" style="83" customWidth="1"/>
    <col min="14853" max="14854" width="11.5546875" style="83"/>
    <col min="14855" max="14855" width="13.44140625" style="83" customWidth="1"/>
    <col min="14856" max="14857" width="12.5546875" style="83" customWidth="1"/>
    <col min="14858" max="14863" width="11.5546875" style="83"/>
    <col min="14864" max="14864" width="0" style="83" hidden="1" customWidth="1"/>
    <col min="14865" max="15107" width="11.5546875" style="83"/>
    <col min="15108" max="15108" width="12.44140625" style="83" customWidth="1"/>
    <col min="15109" max="15110" width="11.5546875" style="83"/>
    <col min="15111" max="15111" width="13.44140625" style="83" customWidth="1"/>
    <col min="15112" max="15113" width="12.5546875" style="83" customWidth="1"/>
    <col min="15114" max="15119" width="11.5546875" style="83"/>
    <col min="15120" max="15120" width="0" style="83" hidden="1" customWidth="1"/>
    <col min="15121" max="15363" width="11.5546875" style="83"/>
    <col min="15364" max="15364" width="12.44140625" style="83" customWidth="1"/>
    <col min="15365" max="15366" width="11.5546875" style="83"/>
    <col min="15367" max="15367" width="13.44140625" style="83" customWidth="1"/>
    <col min="15368" max="15369" width="12.5546875" style="83" customWidth="1"/>
    <col min="15370" max="15375" width="11.5546875" style="83"/>
    <col min="15376" max="15376" width="0" style="83" hidden="1" customWidth="1"/>
    <col min="15377" max="15619" width="11.5546875" style="83"/>
    <col min="15620" max="15620" width="12.44140625" style="83" customWidth="1"/>
    <col min="15621" max="15622" width="11.5546875" style="83"/>
    <col min="15623" max="15623" width="13.44140625" style="83" customWidth="1"/>
    <col min="15624" max="15625" width="12.5546875" style="83" customWidth="1"/>
    <col min="15626" max="15631" width="11.5546875" style="83"/>
    <col min="15632" max="15632" width="0" style="83" hidden="1" customWidth="1"/>
    <col min="15633" max="15875" width="11.5546875" style="83"/>
    <col min="15876" max="15876" width="12.44140625" style="83" customWidth="1"/>
    <col min="15877" max="15878" width="11.5546875" style="83"/>
    <col min="15879" max="15879" width="13.44140625" style="83" customWidth="1"/>
    <col min="15880" max="15881" width="12.5546875" style="83" customWidth="1"/>
    <col min="15882" max="15887" width="11.5546875" style="83"/>
    <col min="15888" max="15888" width="0" style="83" hidden="1" customWidth="1"/>
    <col min="15889" max="16131" width="11.5546875" style="83"/>
    <col min="16132" max="16132" width="12.44140625" style="83" customWidth="1"/>
    <col min="16133" max="16134" width="11.5546875" style="83"/>
    <col min="16135" max="16135" width="13.44140625" style="83" customWidth="1"/>
    <col min="16136" max="16137" width="12.5546875" style="83" customWidth="1"/>
    <col min="16138" max="16143" width="11.5546875" style="83"/>
    <col min="16144" max="16144" width="0" style="83" hidden="1" customWidth="1"/>
    <col min="16145" max="16384" width="11.5546875" style="83"/>
  </cols>
  <sheetData>
    <row r="1" spans="1:16" s="91" customFormat="1" ht="43.8" thickBot="1" x14ac:dyDescent="0.35">
      <c r="A1" s="97" t="s">
        <v>51</v>
      </c>
      <c r="B1" s="96" t="s">
        <v>50</v>
      </c>
      <c r="C1" s="96" t="s">
        <v>49</v>
      </c>
      <c r="D1" s="95" t="s">
        <v>48</v>
      </c>
      <c r="E1" s="93" t="s">
        <v>47</v>
      </c>
      <c r="F1" s="93" t="s">
        <v>55</v>
      </c>
      <c r="G1" s="93" t="s">
        <v>56</v>
      </c>
      <c r="H1" s="93" t="s">
        <v>60</v>
      </c>
      <c r="I1" s="94" t="s">
        <v>57</v>
      </c>
      <c r="J1" s="93" t="s">
        <v>61</v>
      </c>
      <c r="K1" s="102" t="s">
        <v>46</v>
      </c>
      <c r="L1" s="102" t="s">
        <v>63</v>
      </c>
      <c r="M1" s="102" t="s">
        <v>62</v>
      </c>
      <c r="N1" s="93" t="s">
        <v>45</v>
      </c>
      <c r="O1" s="93" t="s">
        <v>44</v>
      </c>
      <c r="P1" s="92" t="s">
        <v>43</v>
      </c>
    </row>
    <row r="2" spans="1:16" x14ac:dyDescent="0.3">
      <c r="A2" s="89" t="s">
        <v>52</v>
      </c>
      <c r="B2" s="86">
        <v>1</v>
      </c>
      <c r="C2" s="86">
        <v>11</v>
      </c>
      <c r="D2" s="86">
        <v>2022</v>
      </c>
      <c r="E2" s="84">
        <f>Electricity!H6</f>
        <v>22719</v>
      </c>
      <c r="F2" s="84">
        <f>+Electricity!F6</f>
        <v>3826</v>
      </c>
      <c r="G2" s="84">
        <f>+Electricity!G6</f>
        <v>18893</v>
      </c>
      <c r="H2" s="114" t="s">
        <v>58</v>
      </c>
      <c r="I2" s="115">
        <f>+Electricity!O6</f>
        <v>26278732.948800001</v>
      </c>
      <c r="J2" s="84">
        <f>Gas!D5</f>
        <v>213.72</v>
      </c>
      <c r="K2" s="84">
        <v>5362</v>
      </c>
      <c r="L2" s="84">
        <f>Water!C5</f>
        <v>322.04000000001543</v>
      </c>
      <c r="M2" s="115">
        <v>12500</v>
      </c>
      <c r="N2" s="84">
        <f>+Electricity!C6</f>
        <v>104</v>
      </c>
      <c r="O2" s="84">
        <f>+Electricity!D6</f>
        <v>462</v>
      </c>
      <c r="P2" s="90" t="e">
        <f>E2*H2+J2*K2+#REF!*#REF!+L2*M2</f>
        <v>#REF!</v>
      </c>
    </row>
    <row r="3" spans="1:16" x14ac:dyDescent="0.3">
      <c r="A3" s="89" t="s">
        <v>52</v>
      </c>
      <c r="B3" s="86">
        <v>2</v>
      </c>
      <c r="C3" s="86">
        <v>11</v>
      </c>
      <c r="D3" s="86">
        <v>2022</v>
      </c>
      <c r="E3" s="84">
        <f>Electricity!H7</f>
        <v>27871.600000000002</v>
      </c>
      <c r="F3" s="84">
        <f>+Electricity!F7</f>
        <v>3879.7</v>
      </c>
      <c r="G3" s="84">
        <f>+Electricity!G7</f>
        <v>23991.9</v>
      </c>
      <c r="H3" s="114" t="s">
        <v>58</v>
      </c>
      <c r="I3" s="115">
        <f>+Electricity!O7</f>
        <v>31804446.791429996</v>
      </c>
      <c r="J3" s="84">
        <f>Gas!D6</f>
        <v>226.06</v>
      </c>
      <c r="K3" s="84">
        <v>5362</v>
      </c>
      <c r="L3" s="84">
        <f>Water!C6</f>
        <v>150.83999999998341</v>
      </c>
      <c r="M3" s="115">
        <v>12500</v>
      </c>
      <c r="N3" s="84">
        <f>+Electricity!C7</f>
        <v>96</v>
      </c>
      <c r="O3" s="84">
        <f>+Electricity!D7</f>
        <v>638</v>
      </c>
      <c r="P3" s="90" t="e">
        <f>E3*H3+J3*K3+#REF!*#REF!+L3*M3</f>
        <v>#REF!</v>
      </c>
    </row>
    <row r="4" spans="1:16" x14ac:dyDescent="0.3">
      <c r="A4" s="89" t="s">
        <v>52</v>
      </c>
      <c r="B4" s="86">
        <v>3</v>
      </c>
      <c r="C4" s="86">
        <v>11</v>
      </c>
      <c r="D4" s="86">
        <v>2022</v>
      </c>
      <c r="E4" s="84">
        <f>Electricity!H8</f>
        <v>18689.900000000001</v>
      </c>
      <c r="F4" s="84">
        <f>+Electricity!F8</f>
        <v>4039</v>
      </c>
      <c r="G4" s="84">
        <f>+Electricity!G8</f>
        <v>14650.9</v>
      </c>
      <c r="H4" s="114" t="s">
        <v>58</v>
      </c>
      <c r="I4" s="115">
        <f>+Electricity!O8</f>
        <v>22093893.801959999</v>
      </c>
      <c r="J4" s="84">
        <f>Gas!D7</f>
        <v>195.12</v>
      </c>
      <c r="K4" s="84">
        <v>5362</v>
      </c>
      <c r="L4" s="84">
        <f>Water!C7</f>
        <v>150.78000000000901</v>
      </c>
      <c r="M4" s="115">
        <v>12500</v>
      </c>
      <c r="N4" s="84">
        <f>+Electricity!C8</f>
        <v>107</v>
      </c>
      <c r="O4" s="84">
        <f>+Electricity!D8</f>
        <v>395</v>
      </c>
      <c r="P4" s="90" t="e">
        <f>E4*H4+J4*K4+#REF!*#REF!+L4*M4</f>
        <v>#REF!</v>
      </c>
    </row>
    <row r="5" spans="1:16" x14ac:dyDescent="0.3">
      <c r="A5" s="89" t="s">
        <v>52</v>
      </c>
      <c r="B5" s="86">
        <v>4</v>
      </c>
      <c r="C5" s="86">
        <v>11</v>
      </c>
      <c r="D5" s="86">
        <v>2022</v>
      </c>
      <c r="E5" s="84">
        <f>Electricity!H9</f>
        <v>21664</v>
      </c>
      <c r="F5" s="84">
        <f>+Electricity!F9</f>
        <v>3737.8</v>
      </c>
      <c r="G5" s="84">
        <f>+Electricity!G9</f>
        <v>17926.2</v>
      </c>
      <c r="H5" s="114" t="s">
        <v>58</v>
      </c>
      <c r="I5" s="115">
        <f>+Electricity!O9</f>
        <v>25106154.37686</v>
      </c>
      <c r="J5" s="84">
        <f>Gas!D8</f>
        <v>195.98</v>
      </c>
      <c r="K5" s="84">
        <v>5362</v>
      </c>
      <c r="L5" s="84">
        <f>Water!C8</f>
        <v>136.93999999999795</v>
      </c>
      <c r="M5" s="115">
        <v>12500</v>
      </c>
      <c r="N5" s="84">
        <f>+Electricity!C9</f>
        <v>116</v>
      </c>
      <c r="O5" s="84">
        <f>+Electricity!D9</f>
        <v>556</v>
      </c>
      <c r="P5" s="90" t="e">
        <f>E5*H5+J5*K5+#REF!*#REF!+L5*M5</f>
        <v>#REF!</v>
      </c>
    </row>
    <row r="6" spans="1:16" x14ac:dyDescent="0.3">
      <c r="A6" s="89" t="s">
        <v>52</v>
      </c>
      <c r="B6" s="86">
        <v>5</v>
      </c>
      <c r="C6" s="86">
        <v>11</v>
      </c>
      <c r="D6" s="86">
        <v>2022</v>
      </c>
      <c r="E6" s="84">
        <f>Electricity!H10</f>
        <v>20659.100000000002</v>
      </c>
      <c r="F6" s="84">
        <f>+Electricity!F10</f>
        <v>3726.2</v>
      </c>
      <c r="G6" s="84">
        <f>+Electricity!G10</f>
        <v>16932.900000000001</v>
      </c>
      <c r="H6" s="114" t="s">
        <v>58</v>
      </c>
      <c r="I6" s="115">
        <f>+Electricity!O10</f>
        <v>24027885.645479999</v>
      </c>
      <c r="J6" s="84">
        <f>Gas!D9</f>
        <v>206.73</v>
      </c>
      <c r="K6" s="84">
        <v>5362</v>
      </c>
      <c r="L6" s="84">
        <f>Water!C9</f>
        <v>92.020000000004075</v>
      </c>
      <c r="M6" s="115">
        <v>12500</v>
      </c>
      <c r="N6" s="84">
        <f>+Electricity!C10</f>
        <v>115</v>
      </c>
      <c r="O6" s="84">
        <f>+Electricity!D10</f>
        <v>492</v>
      </c>
      <c r="P6" s="90" t="e">
        <f>E6*H6+J6*K6+#REF!*#REF!+L6*M6</f>
        <v>#REF!</v>
      </c>
    </row>
    <row r="7" spans="1:16" x14ac:dyDescent="0.3">
      <c r="A7" s="89" t="s">
        <v>52</v>
      </c>
      <c r="B7" s="86">
        <v>6</v>
      </c>
      <c r="C7" s="86">
        <v>11</v>
      </c>
      <c r="D7" s="86">
        <v>2022</v>
      </c>
      <c r="E7" s="84">
        <f>Electricity!H11</f>
        <v>21890.600000000002</v>
      </c>
      <c r="F7" s="84">
        <f>+Electricity!F11</f>
        <v>3825.7</v>
      </c>
      <c r="G7" s="84">
        <f>+Electricity!G11</f>
        <v>18064.900000000001</v>
      </c>
      <c r="H7" s="114" t="s">
        <v>58</v>
      </c>
      <c r="I7" s="115">
        <f>+Electricity!O11</f>
        <v>25394791.564229999</v>
      </c>
      <c r="J7" s="84">
        <f>Gas!D10</f>
        <v>171.22</v>
      </c>
      <c r="K7" s="84">
        <v>5362</v>
      </c>
      <c r="L7" s="84">
        <f>Water!C10</f>
        <v>157.83999999999213</v>
      </c>
      <c r="M7" s="115">
        <v>12500</v>
      </c>
      <c r="N7" s="84">
        <f>+Electricity!C11</f>
        <v>62</v>
      </c>
      <c r="O7" s="84">
        <f>+Electricity!D11</f>
        <v>492</v>
      </c>
      <c r="P7" s="90" t="e">
        <f>E7*H7+J7*K7+#REF!*#REF!+L7*M7</f>
        <v>#REF!</v>
      </c>
    </row>
    <row r="8" spans="1:16" x14ac:dyDescent="0.3">
      <c r="A8" s="89" t="s">
        <v>52</v>
      </c>
      <c r="B8" s="86">
        <v>7</v>
      </c>
      <c r="C8" s="86">
        <v>11</v>
      </c>
      <c r="D8" s="86">
        <v>2022</v>
      </c>
      <c r="E8" s="84">
        <f>Electricity!H12</f>
        <v>22731.699999999997</v>
      </c>
      <c r="F8" s="84">
        <f>+Electricity!F12</f>
        <v>4544.1000000000004</v>
      </c>
      <c r="G8" s="84">
        <f>+Electricity!G12</f>
        <v>18187.599999999999</v>
      </c>
      <c r="H8" s="114" t="s">
        <v>58</v>
      </c>
      <c r="I8" s="115">
        <f>+Electricity!O12</f>
        <v>26675335.700249996</v>
      </c>
      <c r="J8" s="84">
        <f>Gas!D11</f>
        <v>222.08</v>
      </c>
      <c r="K8" s="84">
        <v>5362</v>
      </c>
      <c r="L8" s="84">
        <f>Water!C11</f>
        <v>193.47999999999882</v>
      </c>
      <c r="M8" s="115">
        <v>12500</v>
      </c>
      <c r="N8" s="84">
        <f>+Electricity!C12</f>
        <v>52</v>
      </c>
      <c r="O8" s="84">
        <f>+Electricity!D12</f>
        <v>583</v>
      </c>
      <c r="P8" s="90" t="e">
        <f>E8*H8+J8*K8+#REF!*#REF!+L8*M8</f>
        <v>#REF!</v>
      </c>
    </row>
    <row r="9" spans="1:16" x14ac:dyDescent="0.3">
      <c r="A9" s="89" t="s">
        <v>52</v>
      </c>
      <c r="B9" s="86">
        <v>8</v>
      </c>
      <c r="C9" s="86">
        <v>11</v>
      </c>
      <c r="D9" s="86">
        <v>2022</v>
      </c>
      <c r="E9" s="84">
        <f>Electricity!H13</f>
        <v>20510</v>
      </c>
      <c r="F9" s="84">
        <f>+Electricity!F13</f>
        <v>3998.9</v>
      </c>
      <c r="G9" s="84">
        <f>+Electricity!G13</f>
        <v>16511.099999999999</v>
      </c>
      <c r="H9" s="114" t="s">
        <v>58</v>
      </c>
      <c r="I9" s="115">
        <f>+Electricity!O13</f>
        <v>24014283.264630001</v>
      </c>
      <c r="J9" s="84">
        <f>Gas!D12</f>
        <v>205.89</v>
      </c>
      <c r="K9" s="84">
        <v>5362</v>
      </c>
      <c r="L9" s="84">
        <f>Water!C12</f>
        <v>125.80000000000291</v>
      </c>
      <c r="M9" s="115">
        <v>12500</v>
      </c>
      <c r="N9" s="84">
        <f>+Electricity!C13</f>
        <v>56</v>
      </c>
      <c r="O9" s="84">
        <f>+Electricity!D13</f>
        <v>450</v>
      </c>
      <c r="P9" s="90" t="e">
        <f>E9*H9+J9*K9+#REF!*#REF!+L9*M9</f>
        <v>#REF!</v>
      </c>
    </row>
    <row r="10" spans="1:16" x14ac:dyDescent="0.3">
      <c r="A10" s="89" t="s">
        <v>52</v>
      </c>
      <c r="B10" s="86">
        <v>9</v>
      </c>
      <c r="C10" s="86">
        <v>11</v>
      </c>
      <c r="D10" s="86">
        <v>2022</v>
      </c>
      <c r="E10" s="84">
        <f>Electricity!H14</f>
        <v>21541</v>
      </c>
      <c r="F10" s="84">
        <f>+Electricity!F14</f>
        <v>3679.2</v>
      </c>
      <c r="G10" s="84">
        <f>+Electricity!G14</f>
        <v>17861.8</v>
      </c>
      <c r="H10" s="114" t="s">
        <v>58</v>
      </c>
      <c r="I10" s="115">
        <f>+Electricity!O14</f>
        <v>24943672.604040001</v>
      </c>
      <c r="J10" s="84">
        <f>Gas!D13</f>
        <v>209.24</v>
      </c>
      <c r="K10" s="84">
        <v>5362</v>
      </c>
      <c r="L10" s="84">
        <f>Water!C13</f>
        <v>141.0199999999837</v>
      </c>
      <c r="M10" s="115">
        <v>12500</v>
      </c>
      <c r="N10" s="84">
        <f>+Electricity!C14</f>
        <v>77</v>
      </c>
      <c r="O10" s="84">
        <f>+Electricity!D14</f>
        <v>549</v>
      </c>
      <c r="P10" s="90" t="e">
        <f>E10*H10+J10*K10+#REF!*#REF!+L10*M10</f>
        <v>#REF!</v>
      </c>
    </row>
    <row r="11" spans="1:16" x14ac:dyDescent="0.3">
      <c r="A11" s="89" t="s">
        <v>52</v>
      </c>
      <c r="B11" s="86">
        <v>10</v>
      </c>
      <c r="C11" s="86">
        <v>11</v>
      </c>
      <c r="D11" s="86">
        <v>2022</v>
      </c>
      <c r="E11" s="84">
        <f>Electricity!H15</f>
        <v>21610.2</v>
      </c>
      <c r="F11" s="84">
        <f>+Electricity!F15</f>
        <v>3802</v>
      </c>
      <c r="G11" s="84">
        <f>+Electricity!G15</f>
        <v>17808.2</v>
      </c>
      <c r="H11" s="114" t="s">
        <v>58</v>
      </c>
      <c r="I11" s="115">
        <f>+Electricity!O15</f>
        <v>25083003.65808</v>
      </c>
      <c r="J11" s="84">
        <f>Gas!D14</f>
        <v>177.35</v>
      </c>
      <c r="K11" s="84">
        <v>5362</v>
      </c>
      <c r="L11" s="84">
        <f>Water!C14</f>
        <v>127.14000000001542</v>
      </c>
      <c r="M11" s="115">
        <v>12500</v>
      </c>
      <c r="N11" s="84">
        <f>+Electricity!C15</f>
        <v>85</v>
      </c>
      <c r="O11" s="84">
        <f>+Electricity!D15</f>
        <v>489</v>
      </c>
      <c r="P11" s="90" t="e">
        <f>E11*H11+J11*K11+#REF!*#REF!+L11*M11</f>
        <v>#REF!</v>
      </c>
    </row>
    <row r="12" spans="1:16" x14ac:dyDescent="0.3">
      <c r="A12" s="89" t="s">
        <v>52</v>
      </c>
      <c r="B12" s="86">
        <v>11</v>
      </c>
      <c r="C12" s="86">
        <v>11</v>
      </c>
      <c r="D12" s="86">
        <v>2022</v>
      </c>
      <c r="E12" s="84">
        <f>Electricity!H16</f>
        <v>20526.399999999998</v>
      </c>
      <c r="F12" s="84">
        <f>+Electricity!F16</f>
        <v>3685.3</v>
      </c>
      <c r="G12" s="84">
        <f>+Electricity!G16</f>
        <v>16841.099999999999</v>
      </c>
      <c r="H12" s="114" t="s">
        <v>58</v>
      </c>
      <c r="I12" s="115">
        <f>+Electricity!O16</f>
        <v>23864497.047269996</v>
      </c>
      <c r="J12" s="84">
        <f>Gas!D15</f>
        <v>235.2</v>
      </c>
      <c r="K12" s="84">
        <v>5362</v>
      </c>
      <c r="L12" s="84">
        <f>Water!C15</f>
        <v>156.10000000000144</v>
      </c>
      <c r="M12" s="115">
        <v>12500</v>
      </c>
      <c r="N12" s="84">
        <f>+Electricity!C16</f>
        <v>99</v>
      </c>
      <c r="O12" s="84">
        <f>+Electricity!D16</f>
        <v>653</v>
      </c>
      <c r="P12" s="90" t="e">
        <f>E12*H12+J12*K12+#REF!*#REF!+L12*M12</f>
        <v>#REF!</v>
      </c>
    </row>
    <row r="13" spans="1:16" x14ac:dyDescent="0.3">
      <c r="A13" s="89" t="s">
        <v>52</v>
      </c>
      <c r="B13" s="86">
        <v>12</v>
      </c>
      <c r="C13" s="86">
        <v>11</v>
      </c>
      <c r="D13" s="86">
        <v>2022</v>
      </c>
      <c r="E13" s="84">
        <f>Electricity!H17</f>
        <v>23331.300000000003</v>
      </c>
      <c r="F13" s="84">
        <f>+Electricity!F17</f>
        <v>4564.6000000000004</v>
      </c>
      <c r="G13" s="84">
        <f>+Electricity!G17</f>
        <v>18766.7</v>
      </c>
      <c r="H13" s="114" t="s">
        <v>58</v>
      </c>
      <c r="I13" s="115">
        <f>+Electricity!O17</f>
        <v>27325956.246240001</v>
      </c>
      <c r="J13" s="84">
        <f>Gas!D16</f>
        <v>226.72</v>
      </c>
      <c r="K13" s="84">
        <v>5362</v>
      </c>
      <c r="L13" s="84">
        <f>Water!C16</f>
        <v>197.75999999999766</v>
      </c>
      <c r="M13" s="115">
        <v>12500</v>
      </c>
      <c r="N13" s="84">
        <f>+Electricity!C17</f>
        <v>98</v>
      </c>
      <c r="O13" s="84">
        <f>+Electricity!D17</f>
        <v>543</v>
      </c>
      <c r="P13" s="90" t="e">
        <f>E13*H13+J13*K13+#REF!*#REF!+L13*M13</f>
        <v>#REF!</v>
      </c>
    </row>
    <row r="14" spans="1:16" x14ac:dyDescent="0.3">
      <c r="A14" s="89" t="s">
        <v>52</v>
      </c>
      <c r="B14" s="86">
        <v>13</v>
      </c>
      <c r="C14" s="86">
        <v>11</v>
      </c>
      <c r="D14" s="86">
        <v>2022</v>
      </c>
      <c r="E14" s="84">
        <f>Electricity!H18</f>
        <v>22947</v>
      </c>
      <c r="F14" s="84">
        <f>+Electricity!F18</f>
        <v>4082</v>
      </c>
      <c r="G14" s="84">
        <f>+Electricity!G18</f>
        <v>18865</v>
      </c>
      <c r="H14" s="114" t="s">
        <v>58</v>
      </c>
      <c r="I14" s="115">
        <f>+Electricity!O18</f>
        <v>26658532.759199999</v>
      </c>
      <c r="J14" s="84">
        <f>Gas!D17</f>
        <v>110.16</v>
      </c>
      <c r="K14" s="84">
        <v>5362</v>
      </c>
      <c r="L14" s="84">
        <f>Water!C17</f>
        <v>143.04000000000377</v>
      </c>
      <c r="M14" s="115">
        <v>12500</v>
      </c>
      <c r="N14" s="84">
        <f>+Electricity!C18</f>
        <v>84</v>
      </c>
      <c r="O14" s="84">
        <f>+Electricity!D18</f>
        <v>389</v>
      </c>
      <c r="P14" s="90" t="e">
        <f>E14*H14+J14*K14+#REF!*#REF!+L14*M14</f>
        <v>#REF!</v>
      </c>
    </row>
    <row r="15" spans="1:16" x14ac:dyDescent="0.3">
      <c r="A15" s="89" t="s">
        <v>52</v>
      </c>
      <c r="B15" s="86">
        <v>14</v>
      </c>
      <c r="C15" s="86">
        <v>11</v>
      </c>
      <c r="D15" s="86">
        <v>2022</v>
      </c>
      <c r="E15" s="84">
        <f>Electricity!H19</f>
        <v>21134.600000000002</v>
      </c>
      <c r="F15" s="84">
        <f>+Electricity!F19</f>
        <v>3493.4</v>
      </c>
      <c r="G15" s="84">
        <f>+Electricity!G19</f>
        <v>17641.2</v>
      </c>
      <c r="H15" s="114" t="s">
        <v>58</v>
      </c>
      <c r="I15" s="115">
        <f>+Electricity!O19</f>
        <v>24410992.701420002</v>
      </c>
      <c r="J15" s="84">
        <f>Gas!D18</f>
        <v>229.49</v>
      </c>
      <c r="K15" s="84">
        <v>5362</v>
      </c>
      <c r="L15" s="84">
        <f>Water!C18</f>
        <v>164.69999999999271</v>
      </c>
      <c r="M15" s="115">
        <v>12500</v>
      </c>
      <c r="N15" s="84">
        <f>+Electricity!C19</f>
        <v>61</v>
      </c>
      <c r="O15" s="84">
        <f>+Electricity!D19</f>
        <v>608</v>
      </c>
      <c r="P15" s="90" t="e">
        <f>E15*H15+J15*K15+#REF!*#REF!+L15*M15</f>
        <v>#REF!</v>
      </c>
    </row>
    <row r="16" spans="1:16" x14ac:dyDescent="0.3">
      <c r="A16" s="89" t="s">
        <v>52</v>
      </c>
      <c r="B16" s="86">
        <v>15</v>
      </c>
      <c r="C16" s="86">
        <v>11</v>
      </c>
      <c r="D16" s="86">
        <v>2022</v>
      </c>
      <c r="E16" s="84">
        <f>Electricity!H20</f>
        <v>23505.200000000001</v>
      </c>
      <c r="F16" s="84">
        <f>+Electricity!F20</f>
        <v>4397.2</v>
      </c>
      <c r="G16" s="84">
        <f>+Electricity!G20</f>
        <v>19108</v>
      </c>
      <c r="H16" s="114" t="s">
        <v>58</v>
      </c>
      <c r="I16" s="115">
        <f>+Electricity!O20</f>
        <v>27422186.422919996</v>
      </c>
      <c r="J16" s="84">
        <f>Gas!D19</f>
        <v>210.86</v>
      </c>
      <c r="K16" s="84">
        <v>5362</v>
      </c>
      <c r="L16" s="84">
        <f>Water!C19</f>
        <v>162.97999999998865</v>
      </c>
      <c r="M16" s="115">
        <v>12500</v>
      </c>
      <c r="N16" s="84">
        <f>+Electricity!C20</f>
        <v>80</v>
      </c>
      <c r="O16" s="84">
        <f>+Electricity!D20</f>
        <v>495</v>
      </c>
      <c r="P16" s="90" t="e">
        <f>E16*H16+J16*K16+#REF!*#REF!+L16*M16</f>
        <v>#REF!</v>
      </c>
    </row>
    <row r="17" spans="1:16" x14ac:dyDescent="0.3">
      <c r="A17" s="89" t="s">
        <v>52</v>
      </c>
      <c r="B17" s="86">
        <v>16</v>
      </c>
      <c r="C17" s="86">
        <v>11</v>
      </c>
      <c r="D17" s="86">
        <v>2022</v>
      </c>
      <c r="E17" s="84">
        <f>Electricity!H21</f>
        <v>21172.799999999999</v>
      </c>
      <c r="F17" s="84">
        <f>+Electricity!F21</f>
        <v>3764.5</v>
      </c>
      <c r="G17" s="84">
        <f>+Electricity!G21</f>
        <v>17408.3</v>
      </c>
      <c r="H17" s="114" t="s">
        <v>58</v>
      </c>
      <c r="I17" s="115">
        <f>+Electricity!O21</f>
        <v>24596358.479669999</v>
      </c>
      <c r="J17" s="84">
        <f>Gas!D20</f>
        <v>242.46</v>
      </c>
      <c r="K17" s="84">
        <v>5362</v>
      </c>
      <c r="L17" s="84">
        <f>Water!C20</f>
        <v>166.12000000001572</v>
      </c>
      <c r="M17" s="115">
        <v>12500</v>
      </c>
      <c r="N17" s="84">
        <f>+Electricity!C21</f>
        <v>64</v>
      </c>
      <c r="O17" s="84">
        <f>+Electricity!D21</f>
        <v>597</v>
      </c>
      <c r="P17" s="90" t="e">
        <f>E17*H17+J17*K17+#REF!*#REF!+L17*M17</f>
        <v>#REF!</v>
      </c>
    </row>
    <row r="18" spans="1:16" x14ac:dyDescent="0.3">
      <c r="A18" s="89" t="s">
        <v>52</v>
      </c>
      <c r="B18" s="86">
        <v>17</v>
      </c>
      <c r="C18" s="86">
        <v>11</v>
      </c>
      <c r="D18" s="86">
        <v>2022</v>
      </c>
      <c r="E18" s="84">
        <f>Electricity!H22</f>
        <v>22231</v>
      </c>
      <c r="F18" s="84">
        <f>+Electricity!F22</f>
        <v>4510.1000000000004</v>
      </c>
      <c r="G18" s="84">
        <f>+Electricity!G22</f>
        <v>17720.900000000001</v>
      </c>
      <c r="H18" s="114" t="s">
        <v>58</v>
      </c>
      <c r="I18" s="115">
        <f>+Electricity!O22</f>
        <v>26123025.695070002</v>
      </c>
      <c r="J18" s="84">
        <f>Gas!D21</f>
        <v>241.06</v>
      </c>
      <c r="K18" s="84">
        <v>5362</v>
      </c>
      <c r="L18" s="84">
        <f>Water!C21</f>
        <v>144.19999999999419</v>
      </c>
      <c r="M18" s="115">
        <v>12500</v>
      </c>
      <c r="N18" s="84">
        <f>+Electricity!C22</f>
        <v>76</v>
      </c>
      <c r="O18" s="84">
        <f>+Electricity!D22</f>
        <v>609</v>
      </c>
      <c r="P18" s="90" t="e">
        <f>E18*H18+J18*K18+#REF!*#REF!+L18*M18</f>
        <v>#REF!</v>
      </c>
    </row>
    <row r="19" spans="1:16" x14ac:dyDescent="0.3">
      <c r="A19" s="89" t="s">
        <v>52</v>
      </c>
      <c r="B19" s="86">
        <v>18</v>
      </c>
      <c r="C19" s="86">
        <v>11</v>
      </c>
      <c r="D19" s="86">
        <v>2022</v>
      </c>
      <c r="E19" s="84">
        <f>Electricity!H23</f>
        <v>21870</v>
      </c>
      <c r="F19" s="84">
        <f>+Electricity!F23</f>
        <v>3963.9</v>
      </c>
      <c r="G19" s="84">
        <f>+Electricity!G23</f>
        <v>17906.099999999999</v>
      </c>
      <c r="H19" s="114" t="s">
        <v>58</v>
      </c>
      <c r="I19" s="115">
        <f>+Electricity!O23</f>
        <v>25446533.954129998</v>
      </c>
      <c r="J19" s="84">
        <f>Gas!D22</f>
        <v>246.9</v>
      </c>
      <c r="K19" s="84">
        <v>5362</v>
      </c>
      <c r="L19" s="84">
        <f>Water!C22</f>
        <v>152.59999999999417</v>
      </c>
      <c r="M19" s="115">
        <v>12500</v>
      </c>
      <c r="N19" s="84">
        <f>+Electricity!C23</f>
        <v>67</v>
      </c>
      <c r="O19" s="84">
        <f>+Electricity!D23</f>
        <v>772</v>
      </c>
      <c r="P19" s="90" t="e">
        <f>E19*H19+J19*K19+#REF!*#REF!+L19*M19</f>
        <v>#REF!</v>
      </c>
    </row>
    <row r="20" spans="1:16" x14ac:dyDescent="0.3">
      <c r="A20" s="89" t="s">
        <v>52</v>
      </c>
      <c r="B20" s="86">
        <v>19</v>
      </c>
      <c r="C20" s="86">
        <v>11</v>
      </c>
      <c r="D20" s="86">
        <v>2022</v>
      </c>
      <c r="E20" s="84">
        <f>Electricity!H24</f>
        <v>23387</v>
      </c>
      <c r="F20" s="84">
        <f>+Electricity!F24</f>
        <v>4525.3999999999996</v>
      </c>
      <c r="G20" s="84">
        <f>+Electricity!G24</f>
        <v>18861.599999999999</v>
      </c>
      <c r="H20" s="114" t="s">
        <v>58</v>
      </c>
      <c r="I20" s="115">
        <f>+Electricity!O24</f>
        <v>27364469.653979994</v>
      </c>
      <c r="J20" s="84">
        <f>Gas!D23</f>
        <v>191.67</v>
      </c>
      <c r="K20" s="84">
        <v>5362</v>
      </c>
      <c r="L20" s="84">
        <f>Water!C23</f>
        <v>198.76000000001369</v>
      </c>
      <c r="M20" s="115">
        <v>12500</v>
      </c>
      <c r="N20" s="84">
        <f>+Electricity!C24</f>
        <v>57</v>
      </c>
      <c r="O20" s="84">
        <f>+Electricity!D24</f>
        <v>553</v>
      </c>
      <c r="P20" s="90" t="e">
        <f>E20*H20+J20*K20+#REF!*#REF!+L20*M20</f>
        <v>#REF!</v>
      </c>
    </row>
    <row r="21" spans="1:16" x14ac:dyDescent="0.3">
      <c r="A21" s="89" t="s">
        <v>52</v>
      </c>
      <c r="B21" s="86">
        <v>20</v>
      </c>
      <c r="C21" s="86">
        <v>11</v>
      </c>
      <c r="D21" s="86">
        <v>2022</v>
      </c>
      <c r="E21" s="84">
        <f>Electricity!H25</f>
        <v>20990.699999999997</v>
      </c>
      <c r="F21" s="84">
        <f>+Electricity!F25</f>
        <v>4647.8999999999996</v>
      </c>
      <c r="G21" s="84">
        <f>+Electricity!G25</f>
        <v>16342.8</v>
      </c>
      <c r="H21" s="114" t="s">
        <v>58</v>
      </c>
      <c r="I21" s="115">
        <f>+Electricity!O25</f>
        <v>24873313.622310001</v>
      </c>
      <c r="J21" s="84">
        <f>Gas!D24</f>
        <v>179.39</v>
      </c>
      <c r="K21" s="84">
        <v>5362</v>
      </c>
      <c r="L21" s="84">
        <f>Water!C24</f>
        <v>134.4800000000003</v>
      </c>
      <c r="M21" s="115">
        <v>12500</v>
      </c>
      <c r="N21" s="84">
        <f>+Electricity!C25</f>
        <v>71</v>
      </c>
      <c r="O21" s="84">
        <f>+Electricity!D25</f>
        <v>354</v>
      </c>
      <c r="P21" s="90" t="e">
        <f>E21*H21+J21*K21+#REF!*#REF!+L21*M21</f>
        <v>#REF!</v>
      </c>
    </row>
    <row r="22" spans="1:16" x14ac:dyDescent="0.3">
      <c r="A22" s="89" t="s">
        <v>52</v>
      </c>
      <c r="B22" s="86">
        <v>21</v>
      </c>
      <c r="C22" s="86">
        <v>11</v>
      </c>
      <c r="D22" s="86">
        <v>2022</v>
      </c>
      <c r="E22" s="84">
        <f>Electricity!H26</f>
        <v>22337.8</v>
      </c>
      <c r="F22" s="84">
        <f>+Electricity!F26</f>
        <v>3885.8</v>
      </c>
      <c r="G22" s="84">
        <f>+Electricity!G26</f>
        <v>18452</v>
      </c>
      <c r="H22" s="114" t="s">
        <v>58</v>
      </c>
      <c r="I22" s="115">
        <f>+Electricity!O26</f>
        <v>25903947.349379998</v>
      </c>
      <c r="J22" s="84">
        <f>Gas!D25</f>
        <v>245.65</v>
      </c>
      <c r="K22" s="84">
        <v>5362</v>
      </c>
      <c r="L22" s="84">
        <f>Water!C25</f>
        <v>148.56000000000495</v>
      </c>
      <c r="M22" s="115">
        <v>12500</v>
      </c>
      <c r="N22" s="84">
        <f>+Electricity!C26</f>
        <v>100</v>
      </c>
      <c r="O22" s="84">
        <f>+Electricity!D26</f>
        <v>857</v>
      </c>
      <c r="P22" s="90" t="e">
        <f>E22*H22+J22*K22+#REF!*#REF!+L22*M22</f>
        <v>#REF!</v>
      </c>
    </row>
    <row r="23" spans="1:16" x14ac:dyDescent="0.3">
      <c r="A23" s="89" t="s">
        <v>52</v>
      </c>
      <c r="B23" s="86">
        <v>22</v>
      </c>
      <c r="C23" s="86">
        <v>11</v>
      </c>
      <c r="D23" s="86">
        <v>2022</v>
      </c>
      <c r="E23" s="84">
        <f>Electricity!H27</f>
        <v>23526.9</v>
      </c>
      <c r="F23" s="84">
        <f>+Electricity!F27</f>
        <v>4677.7</v>
      </c>
      <c r="G23" s="84">
        <f>+Electricity!G27</f>
        <v>18849.2</v>
      </c>
      <c r="H23" s="114" t="s">
        <v>58</v>
      </c>
      <c r="I23" s="115">
        <f>+Electricity!O27</f>
        <v>27594963.331050001</v>
      </c>
      <c r="J23" s="84">
        <f>Gas!D26</f>
        <v>226.22</v>
      </c>
      <c r="K23" s="84">
        <v>5362</v>
      </c>
      <c r="L23" s="84">
        <f>Water!C26</f>
        <v>152.21999999999099</v>
      </c>
      <c r="M23" s="115">
        <v>12500</v>
      </c>
      <c r="N23" s="84">
        <f>+Electricity!C27</f>
        <v>83</v>
      </c>
      <c r="O23" s="84">
        <f>+Electricity!D27</f>
        <v>653</v>
      </c>
      <c r="P23" s="90" t="e">
        <f>E23*H23+J23*K23+#REF!*#REF!+L23*M23</f>
        <v>#REF!</v>
      </c>
    </row>
    <row r="24" spans="1:16" x14ac:dyDescent="0.3">
      <c r="A24" s="89" t="s">
        <v>52</v>
      </c>
      <c r="B24" s="86">
        <v>23</v>
      </c>
      <c r="C24" s="86">
        <v>11</v>
      </c>
      <c r="D24" s="86">
        <v>2022</v>
      </c>
      <c r="E24" s="84">
        <f>Electricity!H28</f>
        <v>21440.5</v>
      </c>
      <c r="F24" s="84">
        <f>+Electricity!F28</f>
        <v>3780.1</v>
      </c>
      <c r="G24" s="84">
        <f>+Electricity!G28</f>
        <v>17660.400000000001</v>
      </c>
      <c r="H24" s="114" t="s">
        <v>58</v>
      </c>
      <c r="I24" s="115">
        <f>+Electricity!O28</f>
        <v>24890276.591370001</v>
      </c>
      <c r="J24" s="84">
        <f>Gas!D27</f>
        <v>234.58</v>
      </c>
      <c r="K24" s="84">
        <v>5362</v>
      </c>
      <c r="L24" s="84">
        <f>Water!C27</f>
        <v>159.17999999999012</v>
      </c>
      <c r="M24" s="115">
        <v>12500</v>
      </c>
      <c r="N24" s="84">
        <f>+Electricity!C28</f>
        <v>106</v>
      </c>
      <c r="O24" s="84">
        <f>+Electricity!D28</f>
        <v>646</v>
      </c>
      <c r="P24" s="90" t="e">
        <f>E24*H24+J24*K24+#REF!*#REF!+L24*M24</f>
        <v>#REF!</v>
      </c>
    </row>
    <row r="25" spans="1:16" x14ac:dyDescent="0.3">
      <c r="A25" s="89" t="s">
        <v>52</v>
      </c>
      <c r="B25" s="86">
        <v>24</v>
      </c>
      <c r="C25" s="86">
        <v>11</v>
      </c>
      <c r="D25" s="86">
        <v>2022</v>
      </c>
      <c r="E25" s="84">
        <f>Electricity!H29</f>
        <v>22824.899999999998</v>
      </c>
      <c r="F25" s="84">
        <f>+Electricity!F29</f>
        <v>4088.8</v>
      </c>
      <c r="G25" s="84">
        <f>+Electricity!G29</f>
        <v>18736.099999999999</v>
      </c>
      <c r="H25" s="114" t="s">
        <v>58</v>
      </c>
      <c r="I25" s="115">
        <f>+Electricity!O29</f>
        <v>26531897.260620002</v>
      </c>
      <c r="J25" s="84">
        <f>Gas!D28</f>
        <v>219.65</v>
      </c>
      <c r="K25" s="84">
        <v>5362</v>
      </c>
      <c r="L25" s="84">
        <f>Water!C28</f>
        <v>156.88000000001048</v>
      </c>
      <c r="M25" s="115">
        <v>12500</v>
      </c>
      <c r="N25" s="84">
        <f>+Electricity!C29</f>
        <v>100</v>
      </c>
      <c r="O25" s="84">
        <f>+Electricity!D29</f>
        <v>600</v>
      </c>
      <c r="P25" s="90" t="e">
        <f>E25*H25+J25*K25+#REF!*#REF!+L25*M25</f>
        <v>#REF!</v>
      </c>
    </row>
    <row r="26" spans="1:16" x14ac:dyDescent="0.3">
      <c r="A26" s="89" t="s">
        <v>52</v>
      </c>
      <c r="B26" s="86">
        <v>25</v>
      </c>
      <c r="C26" s="86">
        <v>11</v>
      </c>
      <c r="D26" s="86">
        <v>2022</v>
      </c>
      <c r="E26" s="84">
        <f>Electricity!H30</f>
        <v>19378.599999999999</v>
      </c>
      <c r="F26" s="84">
        <f>+Electricity!F30</f>
        <v>3905.5</v>
      </c>
      <c r="G26" s="84">
        <f>+Electricity!G30</f>
        <v>15473.1</v>
      </c>
      <c r="H26" s="114" t="s">
        <v>58</v>
      </c>
      <c r="I26" s="115">
        <f>+Electricity!O30</f>
        <v>22757423.274089999</v>
      </c>
      <c r="J26" s="84">
        <f>Gas!D29</f>
        <v>223.5</v>
      </c>
      <c r="K26" s="84">
        <v>5362</v>
      </c>
      <c r="L26" s="84">
        <f>Water!C29</f>
        <v>190.53999999999942</v>
      </c>
      <c r="M26" s="115">
        <v>12500</v>
      </c>
      <c r="N26" s="84">
        <f>+Electricity!C30</f>
        <v>108</v>
      </c>
      <c r="O26" s="84">
        <f>+Electricity!D30</f>
        <v>677</v>
      </c>
      <c r="P26" s="90" t="e">
        <f>E26*H26+J26*K26+#REF!*#REF!+L26*M26</f>
        <v>#REF!</v>
      </c>
    </row>
    <row r="27" spans="1:16" x14ac:dyDescent="0.3">
      <c r="A27" s="89" t="s">
        <v>52</v>
      </c>
      <c r="B27" s="86">
        <v>26</v>
      </c>
      <c r="C27" s="86">
        <v>11</v>
      </c>
      <c r="D27" s="86">
        <v>2022</v>
      </c>
      <c r="E27" s="84">
        <f>Electricity!H31</f>
        <v>27635.300000000003</v>
      </c>
      <c r="F27" s="84">
        <f>+Electricity!F31</f>
        <v>4788.3999999999996</v>
      </c>
      <c r="G27" s="84">
        <f>+Electricity!G31</f>
        <v>22846.9</v>
      </c>
      <c r="H27" s="114" t="s">
        <v>58</v>
      </c>
      <c r="I27" s="115">
        <f>+Electricity!O31</f>
        <v>32037074.175300002</v>
      </c>
      <c r="J27" s="84">
        <f>Gas!D30</f>
        <v>152.16</v>
      </c>
      <c r="K27" s="84">
        <v>5362</v>
      </c>
      <c r="L27" s="84">
        <f>Water!C30</f>
        <v>142.68000000000319</v>
      </c>
      <c r="M27" s="115">
        <v>12500</v>
      </c>
      <c r="N27" s="84">
        <f>+Electricity!C31</f>
        <v>68</v>
      </c>
      <c r="O27" s="84">
        <f>+Electricity!D31</f>
        <v>438</v>
      </c>
      <c r="P27" s="90" t="e">
        <f>E27*H27+J27*K27+#REF!*#REF!+L27*M27</f>
        <v>#REF!</v>
      </c>
    </row>
    <row r="28" spans="1:16" x14ac:dyDescent="0.3">
      <c r="A28" s="89" t="s">
        <v>52</v>
      </c>
      <c r="B28" s="86">
        <v>27</v>
      </c>
      <c r="C28" s="86">
        <v>11</v>
      </c>
      <c r="D28" s="86">
        <v>2022</v>
      </c>
      <c r="E28" s="84">
        <f>Electricity!H32</f>
        <v>21328</v>
      </c>
      <c r="F28" s="84">
        <f>+Electricity!F32</f>
        <v>3699.8</v>
      </c>
      <c r="G28" s="84">
        <f>+Electricity!G32</f>
        <v>17628.2</v>
      </c>
      <c r="H28" s="114" t="s">
        <v>58</v>
      </c>
      <c r="I28" s="115">
        <f>+Electricity!O32</f>
        <v>24727421.419860002</v>
      </c>
      <c r="J28" s="84">
        <f>Gas!D31</f>
        <v>112.78</v>
      </c>
      <c r="K28" s="84">
        <v>5362</v>
      </c>
      <c r="L28" s="84">
        <f>Water!C31</f>
        <v>149.0399999999907</v>
      </c>
      <c r="M28" s="115">
        <v>12500</v>
      </c>
      <c r="N28" s="84">
        <f>+Electricity!C32</f>
        <v>45</v>
      </c>
      <c r="O28" s="84">
        <f>+Electricity!D32</f>
        <v>287</v>
      </c>
      <c r="P28" s="90" t="e">
        <f>E28*H28+J28*K28+#REF!*#REF!+L28*M28</f>
        <v>#REF!</v>
      </c>
    </row>
    <row r="29" spans="1:16" x14ac:dyDescent="0.3">
      <c r="A29" s="89" t="s">
        <v>52</v>
      </c>
      <c r="B29" s="86">
        <v>28</v>
      </c>
      <c r="C29" s="86">
        <v>11</v>
      </c>
      <c r="D29" s="86">
        <v>2022</v>
      </c>
      <c r="E29" s="84">
        <f>Electricity!H33</f>
        <v>20271.400000000001</v>
      </c>
      <c r="F29" s="84">
        <f>+Electricity!F33</f>
        <v>3556.5</v>
      </c>
      <c r="G29" s="84">
        <f>+Electricity!G33</f>
        <v>16714.900000000001</v>
      </c>
      <c r="H29" s="114" t="s">
        <v>58</v>
      </c>
      <c r="I29" s="115">
        <f>+Electricity!O33</f>
        <v>23523744.071310002</v>
      </c>
      <c r="J29" s="84">
        <f>Gas!D32</f>
        <v>221.11</v>
      </c>
      <c r="K29" s="84">
        <v>5362</v>
      </c>
      <c r="L29" s="84">
        <f>Water!C32</f>
        <v>147.14000000000669</v>
      </c>
      <c r="M29" s="115">
        <v>12500</v>
      </c>
      <c r="N29" s="84">
        <f>+Electricity!C33</f>
        <v>75</v>
      </c>
      <c r="O29" s="84">
        <f>+Electricity!D33</f>
        <v>447</v>
      </c>
      <c r="P29" s="90" t="e">
        <f>E29*H29+J29*K29+#REF!*#REF!+L29*M29</f>
        <v>#REF!</v>
      </c>
    </row>
    <row r="30" spans="1:16" x14ac:dyDescent="0.3">
      <c r="A30" s="89" t="s">
        <v>52</v>
      </c>
      <c r="B30" s="86">
        <v>29</v>
      </c>
      <c r="C30" s="86">
        <v>11</v>
      </c>
      <c r="D30" s="86">
        <v>2022</v>
      </c>
      <c r="E30" s="84">
        <f>Electricity!H34</f>
        <v>21281.600000000002</v>
      </c>
      <c r="F30" s="84">
        <f>+Electricity!F34</f>
        <v>3726.7</v>
      </c>
      <c r="G30" s="84">
        <f>+Electricity!G34</f>
        <v>17554.900000000001</v>
      </c>
      <c r="H30" s="114" t="s">
        <v>58</v>
      </c>
      <c r="I30" s="115">
        <f>+Electricity!O34</f>
        <v>24692268.600329999</v>
      </c>
      <c r="J30" s="84">
        <f>Gas!D33</f>
        <v>247.11</v>
      </c>
      <c r="K30" s="84">
        <v>5362</v>
      </c>
      <c r="L30" s="84">
        <f>Water!C33</f>
        <v>139.73999999999941</v>
      </c>
      <c r="M30" s="115">
        <v>12500</v>
      </c>
      <c r="N30" s="84">
        <f>+Electricity!C34</f>
        <v>84</v>
      </c>
      <c r="O30" s="84">
        <f>+Electricity!D34</f>
        <v>548</v>
      </c>
      <c r="P30" s="90"/>
    </row>
    <row r="31" spans="1:16" x14ac:dyDescent="0.3">
      <c r="A31" s="89" t="s">
        <v>52</v>
      </c>
      <c r="B31" s="86">
        <v>30</v>
      </c>
      <c r="C31" s="86">
        <v>11</v>
      </c>
      <c r="D31" s="86">
        <v>2022</v>
      </c>
      <c r="E31" s="84">
        <f>Electricity!H35</f>
        <v>22062.6</v>
      </c>
      <c r="F31" s="84">
        <f>+Electricity!F35</f>
        <v>3870.3</v>
      </c>
      <c r="G31" s="84">
        <f>+Electricity!G35</f>
        <v>18192.3</v>
      </c>
      <c r="H31" s="114" t="s">
        <v>58</v>
      </c>
      <c r="I31" s="115">
        <f>+Electricity!O35</f>
        <v>25602081.179849997</v>
      </c>
      <c r="J31" s="84">
        <f>Gas!D34</f>
        <v>236.57</v>
      </c>
      <c r="K31" s="84">
        <v>5362</v>
      </c>
      <c r="L31" s="84">
        <f>Water!C34</f>
        <v>114.35999999999476</v>
      </c>
      <c r="M31" s="115">
        <v>12500</v>
      </c>
      <c r="N31" s="84">
        <f>+Electricity!C35</f>
        <v>93</v>
      </c>
      <c r="O31" s="84">
        <f>+Electricity!D35</f>
        <v>557</v>
      </c>
      <c r="P31" s="90"/>
    </row>
    <row r="32" spans="1:16" s="84" customFormat="1" x14ac:dyDescent="0.3">
      <c r="A32" s="85"/>
      <c r="B32" s="87"/>
      <c r="C32" s="87"/>
      <c r="D32" s="86"/>
      <c r="H32" s="88"/>
      <c r="I32" s="88"/>
      <c r="J32" s="88"/>
      <c r="K32" s="103"/>
      <c r="L32" s="88"/>
      <c r="M32" s="88"/>
      <c r="P32" s="83"/>
    </row>
    <row r="33" spans="1:16" s="84" customFormat="1" x14ac:dyDescent="0.3">
      <c r="A33" s="85"/>
      <c r="B33" s="87"/>
      <c r="C33" s="87"/>
      <c r="D33" s="86"/>
      <c r="H33" s="88"/>
      <c r="I33" s="88"/>
      <c r="J33" s="88"/>
      <c r="K33" s="103"/>
      <c r="L33" s="88"/>
      <c r="M33" s="88"/>
      <c r="P33" s="83"/>
    </row>
    <row r="34" spans="1:16" s="84" customFormat="1" x14ac:dyDescent="0.3">
      <c r="A34" s="85"/>
      <c r="B34" s="87"/>
      <c r="C34" s="87"/>
      <c r="D34" s="86"/>
      <c r="H34" s="88"/>
      <c r="I34" s="88"/>
      <c r="J34" s="88"/>
      <c r="K34" s="103"/>
      <c r="L34" s="88"/>
      <c r="M34" s="88"/>
      <c r="P34" s="83"/>
    </row>
    <row r="35" spans="1:16" s="84" customFormat="1" x14ac:dyDescent="0.3">
      <c r="A35" s="85"/>
      <c r="B35" s="87"/>
      <c r="C35" s="87"/>
      <c r="D35" s="86"/>
      <c r="H35" s="88"/>
      <c r="I35" s="88"/>
      <c r="J35" s="88"/>
      <c r="K35" s="103"/>
      <c r="L35" s="88"/>
      <c r="M35" s="88"/>
      <c r="P35" s="83"/>
    </row>
    <row r="36" spans="1:16" s="84" customFormat="1" x14ac:dyDescent="0.3">
      <c r="A36" s="85"/>
      <c r="B36" s="87"/>
      <c r="C36" s="87"/>
      <c r="D36" s="86"/>
      <c r="H36" s="88"/>
      <c r="I36" s="88"/>
      <c r="J36" s="88"/>
      <c r="K36" s="103"/>
      <c r="L36" s="88"/>
      <c r="M36" s="88"/>
      <c r="P36" s="83"/>
    </row>
    <row r="37" spans="1:16" s="84" customFormat="1" x14ac:dyDescent="0.3">
      <c r="A37" s="85"/>
      <c r="B37" s="87"/>
      <c r="C37" s="87"/>
      <c r="D37" s="86"/>
      <c r="H37" s="88"/>
      <c r="I37" s="88"/>
      <c r="J37" s="88"/>
      <c r="K37" s="103"/>
      <c r="L37" s="88"/>
      <c r="M37" s="88"/>
      <c r="P37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4"/>
  <sheetViews>
    <sheetView view="pageBreakPreview" zoomScale="80" zoomScaleNormal="80" zoomScaleSheetLayoutView="80" workbookViewId="0">
      <pane ySplit="4" topLeftCell="A5" activePane="bottomLeft" state="frozen"/>
      <selection pane="bottomLeft" activeCell="Q30" sqref="Q30"/>
    </sheetView>
  </sheetViews>
  <sheetFormatPr defaultColWidth="9.109375" defaultRowHeight="14.4" x14ac:dyDescent="0.3"/>
  <cols>
    <col min="1" max="1" width="2.33203125" style="28" customWidth="1"/>
    <col min="2" max="5" width="16.33203125" style="28" customWidth="1"/>
    <col min="6" max="7" width="17.6640625" style="76" customWidth="1"/>
    <col min="8" max="10" width="29.6640625" style="76" customWidth="1"/>
    <col min="11" max="11" width="21.5546875" style="28" bestFit="1" customWidth="1"/>
    <col min="12" max="12" width="24.88671875" style="28" customWidth="1"/>
    <col min="13" max="13" width="29.6640625" style="28" customWidth="1"/>
    <col min="14" max="14" width="20.5546875" style="28" bestFit="1" customWidth="1"/>
    <col min="15" max="15" width="23.44140625" style="28" customWidth="1"/>
    <col min="16" max="16" width="11" style="26" customWidth="1"/>
    <col min="17" max="17" width="16.5546875" style="26" customWidth="1"/>
    <col min="18" max="20" width="9.109375" style="26"/>
    <col min="21" max="16384" width="9.109375" style="28"/>
  </cols>
  <sheetData>
    <row r="1" spans="2:20" s="1" customFormat="1" ht="15" thickBot="1" x14ac:dyDescent="0.35">
      <c r="B1" s="153" t="s">
        <v>64</v>
      </c>
      <c r="C1" s="154"/>
      <c r="D1" s="154"/>
      <c r="E1" s="154"/>
      <c r="F1" s="61"/>
      <c r="G1" s="62"/>
      <c r="H1" s="62"/>
      <c r="I1" s="62"/>
      <c r="J1" s="62"/>
      <c r="K1" s="59"/>
      <c r="L1" s="58"/>
      <c r="M1" s="58"/>
      <c r="N1" s="58"/>
      <c r="O1" s="60"/>
    </row>
    <row r="2" spans="2:20" s="2" customFormat="1" ht="63" customHeight="1" x14ac:dyDescent="0.3">
      <c r="B2" s="155" t="s">
        <v>0</v>
      </c>
      <c r="C2" s="98"/>
      <c r="D2" s="98"/>
      <c r="E2" s="158" t="s">
        <v>12</v>
      </c>
      <c r="F2" s="160" t="s">
        <v>16</v>
      </c>
      <c r="G2" s="161"/>
      <c r="H2" s="161"/>
      <c r="I2" s="161"/>
      <c r="J2" s="161"/>
      <c r="K2" s="161"/>
      <c r="L2" s="161"/>
      <c r="M2" s="161"/>
      <c r="N2" s="161"/>
      <c r="O2" s="162"/>
      <c r="P2" s="1"/>
      <c r="Q2" s="1"/>
      <c r="R2" s="1"/>
      <c r="S2" s="1"/>
      <c r="T2" s="1"/>
    </row>
    <row r="3" spans="2:20" s="53" customFormat="1" ht="25.5" customHeight="1" x14ac:dyDescent="0.3">
      <c r="B3" s="156"/>
      <c r="C3" s="99"/>
      <c r="D3" s="99"/>
      <c r="E3" s="150"/>
      <c r="F3" s="51" t="s">
        <v>10</v>
      </c>
      <c r="G3" s="54" t="s">
        <v>19</v>
      </c>
      <c r="H3" s="54" t="s">
        <v>24</v>
      </c>
      <c r="I3" s="163" t="s">
        <v>23</v>
      </c>
      <c r="J3" s="164"/>
      <c r="K3" s="163" t="s">
        <v>25</v>
      </c>
      <c r="L3" s="165"/>
      <c r="M3" s="164"/>
      <c r="N3" s="149" t="s">
        <v>17</v>
      </c>
      <c r="O3" s="151" t="s">
        <v>3</v>
      </c>
      <c r="P3" s="52"/>
      <c r="Q3" s="52"/>
      <c r="R3" s="52"/>
      <c r="S3" s="52"/>
      <c r="T3" s="52"/>
    </row>
    <row r="4" spans="2:20" s="2" customFormat="1" ht="29.25" customHeight="1" x14ac:dyDescent="0.3">
      <c r="B4" s="157"/>
      <c r="C4" s="100"/>
      <c r="D4" s="100"/>
      <c r="E4" s="159"/>
      <c r="F4" s="50" t="s">
        <v>18</v>
      </c>
      <c r="G4" s="49" t="s">
        <v>20</v>
      </c>
      <c r="H4" s="49" t="s">
        <v>21</v>
      </c>
      <c r="I4" s="55" t="s">
        <v>22</v>
      </c>
      <c r="J4" s="56" t="s">
        <v>15</v>
      </c>
      <c r="K4" s="57" t="s">
        <v>10</v>
      </c>
      <c r="L4" s="49" t="s">
        <v>11</v>
      </c>
      <c r="M4" s="49" t="s">
        <v>1</v>
      </c>
      <c r="N4" s="150"/>
      <c r="O4" s="152"/>
      <c r="P4" s="1"/>
      <c r="Q4" s="4"/>
      <c r="R4" s="1"/>
      <c r="S4" s="1"/>
      <c r="T4" s="1"/>
    </row>
    <row r="5" spans="2:20" s="2" customFormat="1" ht="35.25" customHeight="1" x14ac:dyDescent="0.3">
      <c r="B5" s="47"/>
      <c r="C5" s="101" t="s">
        <v>53</v>
      </c>
      <c r="D5" s="101" t="s">
        <v>54</v>
      </c>
      <c r="E5" s="107">
        <v>1035.78</v>
      </c>
      <c r="F5" s="49" t="s">
        <v>13</v>
      </c>
      <c r="G5" s="49" t="s">
        <v>13</v>
      </c>
      <c r="H5" s="49" t="s">
        <v>13</v>
      </c>
      <c r="I5" s="49" t="s">
        <v>13</v>
      </c>
      <c r="J5" s="49" t="s">
        <v>13</v>
      </c>
      <c r="K5" s="49" t="s">
        <v>14</v>
      </c>
      <c r="L5" s="49" t="s">
        <v>14</v>
      </c>
      <c r="M5" s="49" t="s">
        <v>14</v>
      </c>
      <c r="N5" s="48" t="s">
        <v>14</v>
      </c>
      <c r="O5" s="3" t="s">
        <v>14</v>
      </c>
      <c r="P5" s="1"/>
      <c r="Q5" s="4"/>
      <c r="R5" s="1"/>
      <c r="S5" s="1"/>
      <c r="T5" s="1"/>
    </row>
    <row r="6" spans="2:20" s="2" customFormat="1" ht="50.1" customHeight="1" x14ac:dyDescent="0.3">
      <c r="B6" s="5">
        <v>44866</v>
      </c>
      <c r="C6" s="119">
        <v>104</v>
      </c>
      <c r="D6" s="119">
        <v>462</v>
      </c>
      <c r="E6" s="108">
        <v>1035.78</v>
      </c>
      <c r="F6" s="109">
        <v>3826</v>
      </c>
      <c r="G6" s="110">
        <v>18893</v>
      </c>
      <c r="H6" s="111">
        <f t="shared" ref="H6:H34" si="0">G6+F6</f>
        <v>22719</v>
      </c>
      <c r="I6" s="112">
        <v>9739</v>
      </c>
      <c r="J6" s="112">
        <f>+H6-I6</f>
        <v>12980</v>
      </c>
      <c r="K6" s="112">
        <f>F6*1.5*E6</f>
        <v>5944341.4199999999</v>
      </c>
      <c r="L6" s="112">
        <f t="shared" ref="L6:L30" si="1">G6*E6</f>
        <v>19568991.539999999</v>
      </c>
      <c r="M6" s="112">
        <f t="shared" ref="M6:M30" si="2">L6+K6</f>
        <v>25513332.960000001</v>
      </c>
      <c r="N6" s="112">
        <f>M6*0.03</f>
        <v>765399.98880000005</v>
      </c>
      <c r="O6" s="118">
        <f>M6+N6</f>
        <v>26278732.948800001</v>
      </c>
      <c r="P6" s="1"/>
      <c r="Q6" s="6"/>
      <c r="R6" s="1"/>
      <c r="S6" s="1"/>
      <c r="T6" s="1"/>
    </row>
    <row r="7" spans="2:20" s="2" customFormat="1" ht="50.1" customHeight="1" x14ac:dyDescent="0.3">
      <c r="B7" s="5">
        <v>44867</v>
      </c>
      <c r="C7" s="119">
        <v>96</v>
      </c>
      <c r="D7" s="119">
        <v>638</v>
      </c>
      <c r="E7" s="108">
        <v>1035.78</v>
      </c>
      <c r="F7" s="113">
        <v>3879.7</v>
      </c>
      <c r="G7" s="110">
        <v>23991.9</v>
      </c>
      <c r="H7" s="111">
        <f t="shared" si="0"/>
        <v>27871.600000000002</v>
      </c>
      <c r="I7" s="112">
        <v>9233</v>
      </c>
      <c r="J7" s="112">
        <f t="shared" ref="J7:J33" si="3">+H7-I7</f>
        <v>18638.600000000002</v>
      </c>
      <c r="K7" s="112">
        <f t="shared" ref="K7:K30" si="4">F7*1.5*E7</f>
        <v>6027773.4989999989</v>
      </c>
      <c r="L7" s="112">
        <f t="shared" si="1"/>
        <v>24850330.182</v>
      </c>
      <c r="M7" s="112">
        <f t="shared" si="2"/>
        <v>30878103.680999998</v>
      </c>
      <c r="N7" s="112">
        <f>M7*0.03</f>
        <v>926343.11042999988</v>
      </c>
      <c r="O7" s="118">
        <f>M7+N7</f>
        <v>31804446.791429996</v>
      </c>
      <c r="P7" s="1"/>
      <c r="Q7" s="77"/>
      <c r="R7" s="1"/>
      <c r="S7" s="1"/>
      <c r="T7" s="1"/>
    </row>
    <row r="8" spans="2:20" s="2" customFormat="1" ht="50.1" customHeight="1" x14ac:dyDescent="0.3">
      <c r="B8" s="5">
        <v>44868</v>
      </c>
      <c r="C8" s="119">
        <v>107</v>
      </c>
      <c r="D8" s="119">
        <v>395</v>
      </c>
      <c r="E8" s="108">
        <v>1035.78</v>
      </c>
      <c r="F8" s="113">
        <v>4039</v>
      </c>
      <c r="G8" s="110">
        <v>14650.9</v>
      </c>
      <c r="H8" s="111">
        <f t="shared" si="0"/>
        <v>18689.900000000001</v>
      </c>
      <c r="I8" s="112">
        <v>7875</v>
      </c>
      <c r="J8" s="112">
        <f t="shared" si="3"/>
        <v>10814.900000000001</v>
      </c>
      <c r="K8" s="112">
        <f t="shared" si="4"/>
        <v>6275273.1299999999</v>
      </c>
      <c r="L8" s="112">
        <f t="shared" si="1"/>
        <v>15175109.202</v>
      </c>
      <c r="M8" s="112">
        <f t="shared" si="2"/>
        <v>21450382.331999999</v>
      </c>
      <c r="N8" s="112">
        <f t="shared" ref="N8:N30" si="5">M8*0.03</f>
        <v>643511.4699599999</v>
      </c>
      <c r="O8" s="118">
        <f t="shared" ref="O8:O30" si="6">M8+N8</f>
        <v>22093893.801959999</v>
      </c>
      <c r="P8" s="1"/>
      <c r="Q8" s="1"/>
      <c r="R8" s="1"/>
      <c r="S8" s="1"/>
      <c r="T8" s="1"/>
    </row>
    <row r="9" spans="2:20" s="2" customFormat="1" ht="50.1" customHeight="1" x14ac:dyDescent="0.3">
      <c r="B9" s="5">
        <v>44869</v>
      </c>
      <c r="C9" s="119">
        <v>116</v>
      </c>
      <c r="D9" s="119">
        <v>556</v>
      </c>
      <c r="E9" s="108">
        <v>1035.78</v>
      </c>
      <c r="F9" s="113">
        <v>3737.8</v>
      </c>
      <c r="G9" s="110">
        <v>17926.2</v>
      </c>
      <c r="H9" s="111">
        <f t="shared" si="0"/>
        <v>21664</v>
      </c>
      <c r="I9" s="112">
        <v>7965</v>
      </c>
      <c r="J9" s="112">
        <f t="shared" si="3"/>
        <v>13699</v>
      </c>
      <c r="K9" s="112">
        <f t="shared" si="4"/>
        <v>5807307.7260000007</v>
      </c>
      <c r="L9" s="112">
        <f t="shared" si="1"/>
        <v>18567599.436000001</v>
      </c>
      <c r="M9" s="112">
        <f t="shared" si="2"/>
        <v>24374907.162</v>
      </c>
      <c r="N9" s="112">
        <f t="shared" si="5"/>
        <v>731247.21485999995</v>
      </c>
      <c r="O9" s="118">
        <f t="shared" si="6"/>
        <v>25106154.37686</v>
      </c>
      <c r="P9" s="1"/>
      <c r="Q9" s="1"/>
      <c r="R9" s="1"/>
      <c r="S9" s="1"/>
      <c r="T9" s="1"/>
    </row>
    <row r="10" spans="2:20" s="2" customFormat="1" ht="50.1" customHeight="1" x14ac:dyDescent="0.3">
      <c r="B10" s="5">
        <v>44870</v>
      </c>
      <c r="C10" s="119">
        <v>115</v>
      </c>
      <c r="D10" s="119">
        <v>492</v>
      </c>
      <c r="E10" s="108">
        <v>1035.78</v>
      </c>
      <c r="F10" s="113">
        <v>3726.2</v>
      </c>
      <c r="G10" s="110">
        <v>16932.900000000001</v>
      </c>
      <c r="H10" s="111">
        <f t="shared" si="0"/>
        <v>20659.100000000002</v>
      </c>
      <c r="I10" s="112">
        <v>8140</v>
      </c>
      <c r="J10" s="112">
        <f t="shared" si="3"/>
        <v>12519.100000000002</v>
      </c>
      <c r="K10" s="112">
        <f t="shared" si="4"/>
        <v>5789285.1539999992</v>
      </c>
      <c r="L10" s="112">
        <f t="shared" si="1"/>
        <v>17538759.162</v>
      </c>
      <c r="M10" s="112">
        <f t="shared" si="2"/>
        <v>23328044.316</v>
      </c>
      <c r="N10" s="112">
        <f t="shared" si="5"/>
        <v>699841.32947999996</v>
      </c>
      <c r="O10" s="118">
        <f t="shared" si="6"/>
        <v>24027885.645479999</v>
      </c>
      <c r="P10" s="1"/>
      <c r="Q10" s="1"/>
      <c r="R10" s="1"/>
      <c r="S10" s="1"/>
      <c r="T10" s="1"/>
    </row>
    <row r="11" spans="2:20" s="2" customFormat="1" ht="50.1" customHeight="1" x14ac:dyDescent="0.3">
      <c r="B11" s="5">
        <v>44871</v>
      </c>
      <c r="C11" s="119">
        <v>62</v>
      </c>
      <c r="D11" s="119">
        <v>492</v>
      </c>
      <c r="E11" s="108">
        <v>1035.78</v>
      </c>
      <c r="F11" s="113">
        <v>3825.7</v>
      </c>
      <c r="G11" s="110">
        <v>18064.900000000001</v>
      </c>
      <c r="H11" s="111">
        <f t="shared" si="0"/>
        <v>21890.600000000002</v>
      </c>
      <c r="I11" s="112">
        <v>9135</v>
      </c>
      <c r="J11" s="112">
        <f t="shared" si="3"/>
        <v>12755.600000000002</v>
      </c>
      <c r="K11" s="112">
        <f t="shared" si="4"/>
        <v>5943875.3189999992</v>
      </c>
      <c r="L11" s="112">
        <f t="shared" si="1"/>
        <v>18711262.122000001</v>
      </c>
      <c r="M11" s="112">
        <f t="shared" si="2"/>
        <v>24655137.441</v>
      </c>
      <c r="N11" s="112">
        <f t="shared" si="5"/>
        <v>739654.12322999991</v>
      </c>
      <c r="O11" s="118">
        <f t="shared" si="6"/>
        <v>25394791.564229999</v>
      </c>
      <c r="P11" s="1"/>
      <c r="Q11" s="1"/>
      <c r="R11" s="1"/>
      <c r="S11" s="1"/>
      <c r="T11" s="1"/>
    </row>
    <row r="12" spans="2:20" s="2" customFormat="1" ht="50.1" customHeight="1" x14ac:dyDescent="0.3">
      <c r="B12" s="5">
        <v>44872</v>
      </c>
      <c r="C12" s="119">
        <v>52</v>
      </c>
      <c r="D12" s="119">
        <v>583</v>
      </c>
      <c r="E12" s="108">
        <v>1035.78</v>
      </c>
      <c r="F12" s="113">
        <v>4544.1000000000004</v>
      </c>
      <c r="G12" s="110">
        <v>18187.599999999999</v>
      </c>
      <c r="H12" s="111">
        <f t="shared" si="0"/>
        <v>22731.699999999997</v>
      </c>
      <c r="I12" s="112">
        <v>7642</v>
      </c>
      <c r="J12" s="112">
        <f t="shared" si="3"/>
        <v>15089.699999999997</v>
      </c>
      <c r="K12" s="112">
        <f t="shared" si="4"/>
        <v>7060031.8470000001</v>
      </c>
      <c r="L12" s="112">
        <f t="shared" si="1"/>
        <v>18838352.327999998</v>
      </c>
      <c r="M12" s="112">
        <f t="shared" si="2"/>
        <v>25898384.174999997</v>
      </c>
      <c r="N12" s="112">
        <f t="shared" si="5"/>
        <v>776951.52524999983</v>
      </c>
      <c r="O12" s="118">
        <f t="shared" si="6"/>
        <v>26675335.700249996</v>
      </c>
      <c r="P12" s="1"/>
      <c r="Q12" s="1"/>
      <c r="R12" s="1"/>
      <c r="S12" s="1"/>
      <c r="T12" s="1"/>
    </row>
    <row r="13" spans="2:20" s="2" customFormat="1" ht="50.1" customHeight="1" x14ac:dyDescent="0.3">
      <c r="B13" s="5">
        <v>44873</v>
      </c>
      <c r="C13" s="119">
        <v>56</v>
      </c>
      <c r="D13" s="119">
        <v>450</v>
      </c>
      <c r="E13" s="108">
        <v>1035.78</v>
      </c>
      <c r="F13" s="113">
        <v>3998.9</v>
      </c>
      <c r="G13" s="110">
        <v>16511.099999999999</v>
      </c>
      <c r="H13" s="111">
        <f t="shared" si="0"/>
        <v>20510</v>
      </c>
      <c r="I13" s="112">
        <v>7514</v>
      </c>
      <c r="J13" s="112">
        <f t="shared" si="3"/>
        <v>12996</v>
      </c>
      <c r="K13" s="112">
        <f t="shared" si="4"/>
        <v>6212970.9630000005</v>
      </c>
      <c r="L13" s="112">
        <f t="shared" si="1"/>
        <v>17101867.158</v>
      </c>
      <c r="M13" s="112">
        <f t="shared" si="2"/>
        <v>23314838.120999999</v>
      </c>
      <c r="N13" s="112">
        <f t="shared" si="5"/>
        <v>699445.14362999995</v>
      </c>
      <c r="O13" s="118">
        <f t="shared" si="6"/>
        <v>24014283.264630001</v>
      </c>
      <c r="P13" s="1"/>
      <c r="Q13" s="1"/>
      <c r="R13" s="1"/>
      <c r="S13" s="1"/>
      <c r="T13" s="1"/>
    </row>
    <row r="14" spans="2:20" s="2" customFormat="1" ht="50.1" customHeight="1" x14ac:dyDescent="0.3">
      <c r="B14" s="5">
        <v>44874</v>
      </c>
      <c r="C14" s="119">
        <v>77</v>
      </c>
      <c r="D14" s="119">
        <v>549</v>
      </c>
      <c r="E14" s="108">
        <v>1035.78</v>
      </c>
      <c r="F14" s="113">
        <v>3679.2</v>
      </c>
      <c r="G14" s="110">
        <v>17861.8</v>
      </c>
      <c r="H14" s="111">
        <f t="shared" si="0"/>
        <v>21541</v>
      </c>
      <c r="I14" s="112">
        <v>8103</v>
      </c>
      <c r="J14" s="112">
        <f t="shared" si="3"/>
        <v>13438</v>
      </c>
      <c r="K14" s="112">
        <f t="shared" si="4"/>
        <v>5716262.6639999989</v>
      </c>
      <c r="L14" s="112">
        <f t="shared" si="1"/>
        <v>18500895.204</v>
      </c>
      <c r="M14" s="112">
        <f t="shared" si="2"/>
        <v>24217157.868000001</v>
      </c>
      <c r="N14" s="112">
        <f t="shared" si="5"/>
        <v>726514.73603999999</v>
      </c>
      <c r="O14" s="118">
        <f t="shared" si="6"/>
        <v>24943672.604040001</v>
      </c>
      <c r="P14" s="1"/>
      <c r="Q14" s="1"/>
      <c r="R14" s="1"/>
      <c r="S14" s="1"/>
      <c r="T14" s="1"/>
    </row>
    <row r="15" spans="2:20" s="2" customFormat="1" ht="50.1" customHeight="1" x14ac:dyDescent="0.3">
      <c r="B15" s="5">
        <v>44875</v>
      </c>
      <c r="C15" s="119">
        <v>85</v>
      </c>
      <c r="D15" s="119">
        <v>489</v>
      </c>
      <c r="E15" s="108">
        <v>1035.78</v>
      </c>
      <c r="F15" s="113">
        <v>3802</v>
      </c>
      <c r="G15" s="110">
        <v>17808.2</v>
      </c>
      <c r="H15" s="111">
        <f t="shared" si="0"/>
        <v>21610.2</v>
      </c>
      <c r="I15" s="112">
        <v>8046</v>
      </c>
      <c r="J15" s="112">
        <f t="shared" si="3"/>
        <v>13564.2</v>
      </c>
      <c r="K15" s="112">
        <f t="shared" si="4"/>
        <v>5907053.3399999999</v>
      </c>
      <c r="L15" s="112">
        <f t="shared" si="1"/>
        <v>18445377.396000002</v>
      </c>
      <c r="M15" s="112">
        <f t="shared" si="2"/>
        <v>24352430.736000001</v>
      </c>
      <c r="N15" s="112">
        <f t="shared" si="5"/>
        <v>730572.92208000005</v>
      </c>
      <c r="O15" s="118">
        <f t="shared" si="6"/>
        <v>25083003.65808</v>
      </c>
      <c r="P15" s="1"/>
      <c r="Q15" s="1"/>
      <c r="R15" s="1"/>
      <c r="S15" s="1"/>
      <c r="T15" s="1"/>
    </row>
    <row r="16" spans="2:20" s="2" customFormat="1" ht="50.1" customHeight="1" x14ac:dyDescent="0.3">
      <c r="B16" s="5">
        <v>44876</v>
      </c>
      <c r="C16" s="119">
        <v>99</v>
      </c>
      <c r="D16" s="119">
        <v>653</v>
      </c>
      <c r="E16" s="108">
        <v>1035.78</v>
      </c>
      <c r="F16" s="113">
        <v>3685.3</v>
      </c>
      <c r="G16" s="110">
        <v>16841.099999999999</v>
      </c>
      <c r="H16" s="111">
        <f t="shared" si="0"/>
        <v>20526.399999999998</v>
      </c>
      <c r="I16" s="112">
        <v>9164</v>
      </c>
      <c r="J16" s="112">
        <f t="shared" si="3"/>
        <v>11362.399999999998</v>
      </c>
      <c r="K16" s="112">
        <f t="shared" si="4"/>
        <v>5725740.0510000009</v>
      </c>
      <c r="L16" s="112">
        <f t="shared" si="1"/>
        <v>17443674.557999998</v>
      </c>
      <c r="M16" s="112">
        <f t="shared" si="2"/>
        <v>23169414.608999997</v>
      </c>
      <c r="N16" s="112">
        <f t="shared" si="5"/>
        <v>695082.43826999993</v>
      </c>
      <c r="O16" s="118">
        <f t="shared" si="6"/>
        <v>23864497.047269996</v>
      </c>
      <c r="P16" s="1"/>
      <c r="Q16" s="1"/>
      <c r="R16" s="1"/>
      <c r="S16" s="1"/>
      <c r="T16" s="1"/>
    </row>
    <row r="17" spans="2:20" s="2" customFormat="1" ht="50.1" customHeight="1" x14ac:dyDescent="0.3">
      <c r="B17" s="5">
        <v>44877</v>
      </c>
      <c r="C17" s="119">
        <v>98</v>
      </c>
      <c r="D17" s="119">
        <v>543</v>
      </c>
      <c r="E17" s="108">
        <v>1035.78</v>
      </c>
      <c r="F17" s="113">
        <v>4564.6000000000004</v>
      </c>
      <c r="G17" s="110">
        <v>18766.7</v>
      </c>
      <c r="H17" s="111">
        <f t="shared" si="0"/>
        <v>23331.300000000003</v>
      </c>
      <c r="I17" s="112">
        <v>10314</v>
      </c>
      <c r="J17" s="112">
        <f t="shared" si="3"/>
        <v>13017.300000000003</v>
      </c>
      <c r="K17" s="112">
        <f t="shared" si="4"/>
        <v>7091882.0820000004</v>
      </c>
      <c r="L17" s="112">
        <f t="shared" si="1"/>
        <v>19438172.526000001</v>
      </c>
      <c r="M17" s="112">
        <f t="shared" si="2"/>
        <v>26530054.608000003</v>
      </c>
      <c r="N17" s="112">
        <f t="shared" si="5"/>
        <v>795901.63824</v>
      </c>
      <c r="O17" s="118">
        <f t="shared" si="6"/>
        <v>27325956.246240001</v>
      </c>
      <c r="P17" s="1"/>
      <c r="Q17" s="1"/>
      <c r="R17" s="1"/>
      <c r="S17" s="1"/>
      <c r="T17" s="1"/>
    </row>
    <row r="18" spans="2:20" s="2" customFormat="1" ht="50.1" customHeight="1" x14ac:dyDescent="0.3">
      <c r="B18" s="5">
        <v>44878</v>
      </c>
      <c r="C18" s="119">
        <v>84</v>
      </c>
      <c r="D18" s="119">
        <v>389</v>
      </c>
      <c r="E18" s="108">
        <v>1035.78</v>
      </c>
      <c r="F18" s="113">
        <v>4082</v>
      </c>
      <c r="G18" s="110">
        <v>18865</v>
      </c>
      <c r="H18" s="111">
        <f t="shared" si="0"/>
        <v>22947</v>
      </c>
      <c r="I18" s="112">
        <v>7254</v>
      </c>
      <c r="J18" s="112">
        <f t="shared" si="3"/>
        <v>15693</v>
      </c>
      <c r="K18" s="112">
        <f t="shared" si="4"/>
        <v>6342080.9399999995</v>
      </c>
      <c r="L18" s="112">
        <f t="shared" si="1"/>
        <v>19539989.699999999</v>
      </c>
      <c r="M18" s="112">
        <f t="shared" si="2"/>
        <v>25882070.640000001</v>
      </c>
      <c r="N18" s="112">
        <f t="shared" si="5"/>
        <v>776462.11919999996</v>
      </c>
      <c r="O18" s="118">
        <f t="shared" si="6"/>
        <v>26658532.759199999</v>
      </c>
      <c r="P18" s="1"/>
      <c r="Q18" s="1"/>
      <c r="R18" s="1"/>
      <c r="S18" s="1"/>
      <c r="T18" s="1"/>
    </row>
    <row r="19" spans="2:20" s="2" customFormat="1" ht="50.1" customHeight="1" x14ac:dyDescent="0.3">
      <c r="B19" s="5">
        <v>44879</v>
      </c>
      <c r="C19" s="119">
        <v>61</v>
      </c>
      <c r="D19" s="119">
        <v>608</v>
      </c>
      <c r="E19" s="108">
        <v>1035.78</v>
      </c>
      <c r="F19" s="113">
        <v>3493.4</v>
      </c>
      <c r="G19" s="110">
        <v>17641.2</v>
      </c>
      <c r="H19" s="111">
        <f t="shared" si="0"/>
        <v>21134.600000000002</v>
      </c>
      <c r="I19" s="112">
        <v>8924</v>
      </c>
      <c r="J19" s="112">
        <f t="shared" si="3"/>
        <v>12210.600000000002</v>
      </c>
      <c r="K19" s="112">
        <f t="shared" si="4"/>
        <v>5427590.7779999999</v>
      </c>
      <c r="L19" s="112">
        <f t="shared" si="1"/>
        <v>18272402.136</v>
      </c>
      <c r="M19" s="112">
        <f t="shared" si="2"/>
        <v>23699992.914000001</v>
      </c>
      <c r="N19" s="112">
        <f t="shared" si="5"/>
        <v>710999.78741999995</v>
      </c>
      <c r="O19" s="118">
        <f t="shared" si="6"/>
        <v>24410992.701420002</v>
      </c>
      <c r="P19" s="1"/>
      <c r="Q19" s="1"/>
      <c r="R19" s="1"/>
      <c r="S19" s="1"/>
      <c r="T19" s="1"/>
    </row>
    <row r="20" spans="2:20" s="2" customFormat="1" ht="50.1" customHeight="1" x14ac:dyDescent="0.3">
      <c r="B20" s="5">
        <v>44880</v>
      </c>
      <c r="C20" s="119">
        <v>80</v>
      </c>
      <c r="D20" s="119">
        <v>495</v>
      </c>
      <c r="E20" s="108">
        <v>1035.78</v>
      </c>
      <c r="F20" s="113">
        <v>4397.2</v>
      </c>
      <c r="G20" s="110">
        <v>19108</v>
      </c>
      <c r="H20" s="111">
        <f t="shared" si="0"/>
        <v>23505.200000000001</v>
      </c>
      <c r="I20" s="112">
        <v>7789</v>
      </c>
      <c r="J20" s="112">
        <f t="shared" si="3"/>
        <v>15716.2</v>
      </c>
      <c r="K20" s="112">
        <f t="shared" si="4"/>
        <v>6831797.7239999995</v>
      </c>
      <c r="L20" s="112">
        <f t="shared" si="1"/>
        <v>19791684.239999998</v>
      </c>
      <c r="M20" s="112">
        <f t="shared" si="2"/>
        <v>26623481.963999998</v>
      </c>
      <c r="N20" s="112">
        <f t="shared" si="5"/>
        <v>798704.45891999989</v>
      </c>
      <c r="O20" s="118">
        <f t="shared" si="6"/>
        <v>27422186.422919996</v>
      </c>
      <c r="P20" s="1"/>
      <c r="Q20" s="1"/>
      <c r="R20" s="1"/>
      <c r="S20" s="1"/>
      <c r="T20" s="1"/>
    </row>
    <row r="21" spans="2:20" s="2" customFormat="1" ht="50.1" customHeight="1" x14ac:dyDescent="0.3">
      <c r="B21" s="5">
        <v>44881</v>
      </c>
      <c r="C21" s="119">
        <v>64</v>
      </c>
      <c r="D21" s="119">
        <v>597</v>
      </c>
      <c r="E21" s="108">
        <v>1035.78</v>
      </c>
      <c r="F21" s="113">
        <v>3764.5</v>
      </c>
      <c r="G21" s="110">
        <v>17408.3</v>
      </c>
      <c r="H21" s="111">
        <f t="shared" si="0"/>
        <v>21172.799999999999</v>
      </c>
      <c r="I21" s="112">
        <v>9369</v>
      </c>
      <c r="J21" s="112">
        <f t="shared" si="3"/>
        <v>11803.8</v>
      </c>
      <c r="K21" s="112">
        <f t="shared" si="4"/>
        <v>5848790.7149999999</v>
      </c>
      <c r="L21" s="112">
        <f t="shared" si="1"/>
        <v>18031168.973999999</v>
      </c>
      <c r="M21" s="112">
        <f t="shared" si="2"/>
        <v>23879959.688999999</v>
      </c>
      <c r="N21" s="112">
        <f t="shared" si="5"/>
        <v>716398.7906699999</v>
      </c>
      <c r="O21" s="118">
        <f t="shared" si="6"/>
        <v>24596358.479669999</v>
      </c>
      <c r="P21" s="1"/>
      <c r="Q21" s="1"/>
      <c r="R21" s="1"/>
      <c r="S21" s="1"/>
      <c r="T21" s="1"/>
    </row>
    <row r="22" spans="2:20" s="2" customFormat="1" ht="50.1" customHeight="1" x14ac:dyDescent="0.3">
      <c r="B22" s="5">
        <v>44882</v>
      </c>
      <c r="C22" s="119">
        <v>76</v>
      </c>
      <c r="D22" s="119">
        <v>609</v>
      </c>
      <c r="E22" s="108">
        <v>1035.78</v>
      </c>
      <c r="F22" s="113">
        <v>4510.1000000000004</v>
      </c>
      <c r="G22" s="110">
        <v>17720.900000000001</v>
      </c>
      <c r="H22" s="111">
        <f t="shared" si="0"/>
        <v>22231</v>
      </c>
      <c r="I22" s="112">
        <v>7884</v>
      </c>
      <c r="J22" s="112">
        <f t="shared" si="3"/>
        <v>14347</v>
      </c>
      <c r="K22" s="112">
        <f t="shared" si="4"/>
        <v>7007207.0670000007</v>
      </c>
      <c r="L22" s="112">
        <f t="shared" si="1"/>
        <v>18354953.802000001</v>
      </c>
      <c r="M22" s="112">
        <f t="shared" si="2"/>
        <v>25362160.869000003</v>
      </c>
      <c r="N22" s="112">
        <f t="shared" si="5"/>
        <v>760864.82607000007</v>
      </c>
      <c r="O22" s="118">
        <f t="shared" si="6"/>
        <v>26123025.695070002</v>
      </c>
      <c r="P22" s="1"/>
      <c r="Q22" s="1"/>
      <c r="R22" s="1"/>
      <c r="S22" s="1"/>
      <c r="T22" s="1"/>
    </row>
    <row r="23" spans="2:20" s="2" customFormat="1" ht="50.1" customHeight="1" x14ac:dyDescent="0.3">
      <c r="B23" s="5">
        <v>44883</v>
      </c>
      <c r="C23" s="119">
        <v>67</v>
      </c>
      <c r="D23" s="119">
        <v>772</v>
      </c>
      <c r="E23" s="108">
        <v>1035.78</v>
      </c>
      <c r="F23" s="113">
        <v>3963.9</v>
      </c>
      <c r="G23" s="110">
        <v>17906.099999999999</v>
      </c>
      <c r="H23" s="111">
        <f t="shared" si="0"/>
        <v>21870</v>
      </c>
      <c r="I23" s="112">
        <v>9672</v>
      </c>
      <c r="J23" s="112">
        <f t="shared" si="3"/>
        <v>12198</v>
      </c>
      <c r="K23" s="112">
        <f t="shared" si="4"/>
        <v>6158592.5130000003</v>
      </c>
      <c r="L23" s="112">
        <f t="shared" si="1"/>
        <v>18546780.257999998</v>
      </c>
      <c r="M23" s="112">
        <f t="shared" si="2"/>
        <v>24705372.770999998</v>
      </c>
      <c r="N23" s="112">
        <f t="shared" si="5"/>
        <v>741161.1831299999</v>
      </c>
      <c r="O23" s="118">
        <f t="shared" si="6"/>
        <v>25446533.954129998</v>
      </c>
      <c r="P23" s="1"/>
      <c r="Q23" s="1"/>
      <c r="R23" s="1"/>
      <c r="S23" s="1"/>
      <c r="T23" s="1"/>
    </row>
    <row r="24" spans="2:20" s="2" customFormat="1" ht="50.1" customHeight="1" x14ac:dyDescent="0.3">
      <c r="B24" s="5">
        <v>44884</v>
      </c>
      <c r="C24" s="119">
        <v>57</v>
      </c>
      <c r="D24" s="119">
        <v>553</v>
      </c>
      <c r="E24" s="108">
        <v>1035.78</v>
      </c>
      <c r="F24" s="113">
        <v>4525.3999999999996</v>
      </c>
      <c r="G24" s="110">
        <v>18861.599999999999</v>
      </c>
      <c r="H24" s="111">
        <f t="shared" si="0"/>
        <v>23387</v>
      </c>
      <c r="I24" s="112">
        <v>9148</v>
      </c>
      <c r="J24" s="112">
        <f t="shared" si="3"/>
        <v>14239</v>
      </c>
      <c r="K24" s="112">
        <f t="shared" si="4"/>
        <v>7030978.2179999994</v>
      </c>
      <c r="L24" s="112">
        <f t="shared" si="1"/>
        <v>19536468.047999997</v>
      </c>
      <c r="M24" s="112">
        <f t="shared" si="2"/>
        <v>26567446.265999995</v>
      </c>
      <c r="N24" s="112">
        <f t="shared" si="5"/>
        <v>797023.38797999988</v>
      </c>
      <c r="O24" s="118">
        <f t="shared" si="6"/>
        <v>27364469.653979994</v>
      </c>
      <c r="P24" s="1"/>
      <c r="Q24" s="1"/>
      <c r="R24" s="1"/>
      <c r="S24" s="1"/>
      <c r="T24" s="1"/>
    </row>
    <row r="25" spans="2:20" s="2" customFormat="1" ht="50.1" customHeight="1" x14ac:dyDescent="0.3">
      <c r="B25" s="5">
        <v>44885</v>
      </c>
      <c r="C25" s="119">
        <v>71</v>
      </c>
      <c r="D25" s="119">
        <v>354</v>
      </c>
      <c r="E25" s="108">
        <v>1035.78</v>
      </c>
      <c r="F25" s="113">
        <v>4647.8999999999996</v>
      </c>
      <c r="G25" s="110">
        <v>16342.8</v>
      </c>
      <c r="H25" s="111">
        <f t="shared" si="0"/>
        <v>20990.699999999997</v>
      </c>
      <c r="I25" s="112">
        <v>8091</v>
      </c>
      <c r="J25" s="112">
        <f t="shared" si="3"/>
        <v>12899.699999999997</v>
      </c>
      <c r="K25" s="112">
        <f t="shared" si="4"/>
        <v>7221302.7929999996</v>
      </c>
      <c r="L25" s="112">
        <f t="shared" si="1"/>
        <v>16927545.384</v>
      </c>
      <c r="M25" s="112">
        <f t="shared" si="2"/>
        <v>24148848.177000001</v>
      </c>
      <c r="N25" s="112">
        <f t="shared" si="5"/>
        <v>724465.44530999998</v>
      </c>
      <c r="O25" s="118">
        <f t="shared" si="6"/>
        <v>24873313.622310001</v>
      </c>
      <c r="P25" s="1"/>
      <c r="Q25" s="1"/>
      <c r="R25" s="1"/>
      <c r="S25" s="1"/>
      <c r="T25" s="1"/>
    </row>
    <row r="26" spans="2:20" s="2" customFormat="1" ht="50.1" customHeight="1" x14ac:dyDescent="0.3">
      <c r="B26" s="5">
        <v>44886</v>
      </c>
      <c r="C26" s="119">
        <v>100</v>
      </c>
      <c r="D26" s="119">
        <v>857</v>
      </c>
      <c r="E26" s="108">
        <v>1035.78</v>
      </c>
      <c r="F26" s="113">
        <v>3885.8</v>
      </c>
      <c r="G26" s="110">
        <v>18452</v>
      </c>
      <c r="H26" s="111">
        <f t="shared" si="0"/>
        <v>22337.8</v>
      </c>
      <c r="I26" s="112">
        <v>10082</v>
      </c>
      <c r="J26" s="112">
        <f t="shared" si="3"/>
        <v>12255.8</v>
      </c>
      <c r="K26" s="112">
        <f t="shared" si="4"/>
        <v>6037250.8860000009</v>
      </c>
      <c r="L26" s="112">
        <f t="shared" si="1"/>
        <v>19112212.559999999</v>
      </c>
      <c r="M26" s="112">
        <f t="shared" si="2"/>
        <v>25149463.445999999</v>
      </c>
      <c r="N26" s="112">
        <f t="shared" si="5"/>
        <v>754483.90337999992</v>
      </c>
      <c r="O26" s="118">
        <f t="shared" si="6"/>
        <v>25903947.349379998</v>
      </c>
      <c r="P26" s="1"/>
      <c r="Q26" s="1"/>
      <c r="R26" s="1"/>
      <c r="S26" s="1"/>
      <c r="T26" s="1"/>
    </row>
    <row r="27" spans="2:20" s="2" customFormat="1" ht="50.1" customHeight="1" x14ac:dyDescent="0.3">
      <c r="B27" s="5">
        <v>44887</v>
      </c>
      <c r="C27" s="119">
        <v>83</v>
      </c>
      <c r="D27" s="119">
        <v>653</v>
      </c>
      <c r="E27" s="108">
        <v>1035.78</v>
      </c>
      <c r="F27" s="113">
        <v>4677.7</v>
      </c>
      <c r="G27" s="110">
        <v>18849.2</v>
      </c>
      <c r="H27" s="111">
        <f t="shared" si="0"/>
        <v>23526.9</v>
      </c>
      <c r="I27" s="112">
        <v>8121</v>
      </c>
      <c r="J27" s="112">
        <f t="shared" si="3"/>
        <v>15405.900000000001</v>
      </c>
      <c r="K27" s="112">
        <f t="shared" si="4"/>
        <v>7267602.1589999991</v>
      </c>
      <c r="L27" s="112">
        <f t="shared" si="1"/>
        <v>19523624.376000002</v>
      </c>
      <c r="M27" s="112">
        <f t="shared" si="2"/>
        <v>26791226.535</v>
      </c>
      <c r="N27" s="112">
        <f t="shared" si="5"/>
        <v>803736.79605</v>
      </c>
      <c r="O27" s="118">
        <f t="shared" si="6"/>
        <v>27594963.331050001</v>
      </c>
      <c r="P27" s="1"/>
      <c r="Q27" s="1"/>
      <c r="R27" s="1"/>
      <c r="S27" s="1"/>
      <c r="T27" s="1"/>
    </row>
    <row r="28" spans="2:20" s="2" customFormat="1" ht="50.1" customHeight="1" x14ac:dyDescent="0.3">
      <c r="B28" s="5">
        <v>44888</v>
      </c>
      <c r="C28" s="119">
        <v>106</v>
      </c>
      <c r="D28" s="119">
        <v>646</v>
      </c>
      <c r="E28" s="108">
        <v>1035.78</v>
      </c>
      <c r="F28" s="113">
        <v>3780.1</v>
      </c>
      <c r="G28" s="110">
        <v>17660.400000000001</v>
      </c>
      <c r="H28" s="111">
        <f t="shared" si="0"/>
        <v>21440.5</v>
      </c>
      <c r="I28" s="112">
        <v>8201</v>
      </c>
      <c r="J28" s="112">
        <f t="shared" si="3"/>
        <v>13239.5</v>
      </c>
      <c r="K28" s="112">
        <f t="shared" si="4"/>
        <v>5873027.9669999992</v>
      </c>
      <c r="L28" s="112">
        <f t="shared" si="1"/>
        <v>18292289.112</v>
      </c>
      <c r="M28" s="112">
        <f t="shared" si="2"/>
        <v>24165317.079</v>
      </c>
      <c r="N28" s="112">
        <f t="shared" si="5"/>
        <v>724959.51237000001</v>
      </c>
      <c r="O28" s="118">
        <f t="shared" si="6"/>
        <v>24890276.591370001</v>
      </c>
      <c r="P28" s="1"/>
      <c r="Q28" s="1"/>
      <c r="R28" s="1"/>
      <c r="S28" s="1"/>
      <c r="T28" s="1"/>
    </row>
    <row r="29" spans="2:20" s="2" customFormat="1" ht="50.1" customHeight="1" x14ac:dyDescent="0.3">
      <c r="B29" s="5">
        <v>44889</v>
      </c>
      <c r="C29" s="119">
        <v>100</v>
      </c>
      <c r="D29" s="119">
        <v>600</v>
      </c>
      <c r="E29" s="108">
        <v>1035.78</v>
      </c>
      <c r="F29" s="113">
        <v>4088.8</v>
      </c>
      <c r="G29" s="110">
        <v>18736.099999999999</v>
      </c>
      <c r="H29" s="111">
        <f t="shared" si="0"/>
        <v>22824.899999999998</v>
      </c>
      <c r="I29" s="112">
        <v>8352</v>
      </c>
      <c r="J29" s="112">
        <f t="shared" si="3"/>
        <v>14472.899999999998</v>
      </c>
      <c r="K29" s="112">
        <f t="shared" si="4"/>
        <v>6352645.8960000006</v>
      </c>
      <c r="L29" s="112">
        <f t="shared" si="1"/>
        <v>19406477.658</v>
      </c>
      <c r="M29" s="112">
        <f t="shared" si="2"/>
        <v>25759123.554000001</v>
      </c>
      <c r="N29" s="112">
        <f t="shared" si="5"/>
        <v>772773.70662000007</v>
      </c>
      <c r="O29" s="118">
        <f t="shared" si="6"/>
        <v>26531897.260620002</v>
      </c>
      <c r="P29" s="1"/>
      <c r="Q29" s="1"/>
      <c r="R29" s="1"/>
      <c r="S29" s="1"/>
      <c r="T29" s="1"/>
    </row>
    <row r="30" spans="2:20" s="2" customFormat="1" ht="50.1" customHeight="1" x14ac:dyDescent="0.3">
      <c r="B30" s="5">
        <v>44890</v>
      </c>
      <c r="C30" s="119">
        <v>108</v>
      </c>
      <c r="D30" s="119">
        <v>677</v>
      </c>
      <c r="E30" s="108">
        <v>1035.78</v>
      </c>
      <c r="F30" s="113">
        <v>3905.5</v>
      </c>
      <c r="G30" s="110">
        <v>15473.1</v>
      </c>
      <c r="H30" s="111">
        <f t="shared" si="0"/>
        <v>19378.599999999999</v>
      </c>
      <c r="I30" s="112">
        <v>10104</v>
      </c>
      <c r="J30" s="112">
        <f t="shared" si="3"/>
        <v>9274.5999999999985</v>
      </c>
      <c r="K30" s="112">
        <f t="shared" si="4"/>
        <v>6067858.1849999996</v>
      </c>
      <c r="L30" s="112">
        <f t="shared" si="1"/>
        <v>16026727.517999999</v>
      </c>
      <c r="M30" s="112">
        <f t="shared" si="2"/>
        <v>22094585.702999998</v>
      </c>
      <c r="N30" s="112">
        <f t="shared" si="5"/>
        <v>662837.57108999987</v>
      </c>
      <c r="O30" s="118">
        <f t="shared" si="6"/>
        <v>22757423.274089999</v>
      </c>
      <c r="P30" s="1"/>
      <c r="Q30" s="1"/>
      <c r="R30" s="1"/>
      <c r="S30" s="1"/>
      <c r="T30" s="1"/>
    </row>
    <row r="31" spans="2:20" s="2" customFormat="1" ht="50.1" customHeight="1" x14ac:dyDescent="0.3">
      <c r="B31" s="5">
        <v>44891</v>
      </c>
      <c r="C31" s="119">
        <v>68</v>
      </c>
      <c r="D31" s="119">
        <v>438</v>
      </c>
      <c r="E31" s="108">
        <v>1035.78</v>
      </c>
      <c r="F31" s="113">
        <v>4788.3999999999996</v>
      </c>
      <c r="G31" s="110">
        <v>22846.9</v>
      </c>
      <c r="H31" s="111">
        <f t="shared" si="0"/>
        <v>27635.300000000003</v>
      </c>
      <c r="I31" s="112">
        <v>7709</v>
      </c>
      <c r="J31" s="112">
        <f t="shared" si="3"/>
        <v>19926.300000000003</v>
      </c>
      <c r="K31" s="112">
        <f t="shared" ref="K31:K33" si="7">F31*1.5*E31</f>
        <v>7439593.4279999994</v>
      </c>
      <c r="L31" s="112">
        <f t="shared" ref="L31:L33" si="8">G31*E31</f>
        <v>23664362.082000002</v>
      </c>
      <c r="M31" s="112">
        <f t="shared" ref="M31:M33" si="9">L31+K31</f>
        <v>31103955.510000002</v>
      </c>
      <c r="N31" s="112">
        <f t="shared" ref="N31:N33" si="10">M31*0.03</f>
        <v>933118.66529999999</v>
      </c>
      <c r="O31" s="118">
        <f t="shared" ref="O31:O33" si="11">M31+N31</f>
        <v>32037074.175300002</v>
      </c>
      <c r="P31" s="1"/>
      <c r="Q31" s="1"/>
      <c r="R31" s="1"/>
      <c r="S31" s="1"/>
      <c r="T31" s="1"/>
    </row>
    <row r="32" spans="2:20" s="2" customFormat="1" ht="50.1" customHeight="1" x14ac:dyDescent="0.3">
      <c r="B32" s="5">
        <v>44892</v>
      </c>
      <c r="C32" s="119">
        <v>45</v>
      </c>
      <c r="D32" s="119">
        <v>287</v>
      </c>
      <c r="E32" s="108">
        <v>1035.78</v>
      </c>
      <c r="F32" s="113">
        <v>3699.8</v>
      </c>
      <c r="G32" s="110">
        <v>17628.2</v>
      </c>
      <c r="H32" s="111">
        <f t="shared" si="0"/>
        <v>21328</v>
      </c>
      <c r="I32" s="112">
        <v>7854</v>
      </c>
      <c r="J32" s="112">
        <f t="shared" si="3"/>
        <v>13474</v>
      </c>
      <c r="K32" s="112">
        <f t="shared" si="7"/>
        <v>5748268.2660000008</v>
      </c>
      <c r="L32" s="112">
        <f t="shared" si="8"/>
        <v>18258936.995999999</v>
      </c>
      <c r="M32" s="112">
        <f t="shared" si="9"/>
        <v>24007205.262000002</v>
      </c>
      <c r="N32" s="112">
        <f t="shared" si="10"/>
        <v>720216.15786000004</v>
      </c>
      <c r="O32" s="118">
        <f t="shared" si="11"/>
        <v>24727421.419860002</v>
      </c>
      <c r="P32" s="1"/>
      <c r="Q32" s="1"/>
      <c r="R32" s="1"/>
      <c r="S32" s="1"/>
      <c r="T32" s="1"/>
    </row>
    <row r="33" spans="2:20" s="2" customFormat="1" ht="50.1" customHeight="1" x14ac:dyDescent="0.3">
      <c r="B33" s="5">
        <v>44893</v>
      </c>
      <c r="C33" s="119">
        <v>75</v>
      </c>
      <c r="D33" s="119">
        <v>447</v>
      </c>
      <c r="E33" s="108">
        <v>1035.78</v>
      </c>
      <c r="F33" s="113">
        <v>3556.5</v>
      </c>
      <c r="G33" s="110">
        <v>16714.900000000001</v>
      </c>
      <c r="H33" s="111">
        <f t="shared" si="0"/>
        <v>20271.400000000001</v>
      </c>
      <c r="I33" s="112">
        <v>8072</v>
      </c>
      <c r="J33" s="112">
        <f t="shared" si="3"/>
        <v>12199.400000000001</v>
      </c>
      <c r="K33" s="112">
        <f t="shared" si="7"/>
        <v>5525627.3549999995</v>
      </c>
      <c r="L33" s="112">
        <f t="shared" si="8"/>
        <v>17312959.122000001</v>
      </c>
      <c r="M33" s="112">
        <f t="shared" si="9"/>
        <v>22838586.477000002</v>
      </c>
      <c r="N33" s="112">
        <f t="shared" si="10"/>
        <v>685157.59431000007</v>
      </c>
      <c r="O33" s="118">
        <f t="shared" si="11"/>
        <v>23523744.071310002</v>
      </c>
      <c r="P33" s="1"/>
      <c r="Q33" s="1"/>
      <c r="R33" s="1"/>
      <c r="S33" s="1"/>
      <c r="T33" s="1"/>
    </row>
    <row r="34" spans="2:20" s="2" customFormat="1" ht="50.1" customHeight="1" x14ac:dyDescent="0.3">
      <c r="B34" s="5">
        <v>44894</v>
      </c>
      <c r="C34" s="119">
        <v>84</v>
      </c>
      <c r="D34" s="119">
        <v>548</v>
      </c>
      <c r="E34" s="108">
        <v>1035.78</v>
      </c>
      <c r="F34" s="113">
        <v>3726.7</v>
      </c>
      <c r="G34" s="110">
        <v>17554.900000000001</v>
      </c>
      <c r="H34" s="111">
        <f t="shared" si="0"/>
        <v>21281.600000000002</v>
      </c>
      <c r="I34" s="112">
        <v>8042</v>
      </c>
      <c r="J34" s="112">
        <f t="shared" ref="J34" si="12">+H34-I34</f>
        <v>13239.600000000002</v>
      </c>
      <c r="K34" s="112">
        <f t="shared" ref="K34" si="13">F34*1.5*E34</f>
        <v>5790061.9889999991</v>
      </c>
      <c r="L34" s="112">
        <f t="shared" ref="L34" si="14">G34*E34</f>
        <v>18183014.322000001</v>
      </c>
      <c r="M34" s="112">
        <f t="shared" ref="M34" si="15">L34+K34</f>
        <v>23973076.311000001</v>
      </c>
      <c r="N34" s="112">
        <f t="shared" ref="N34" si="16">M34*0.03</f>
        <v>719192.28932999994</v>
      </c>
      <c r="O34" s="118">
        <f t="shared" ref="O34" si="17">M34+N34</f>
        <v>24692268.600329999</v>
      </c>
      <c r="P34" s="1"/>
      <c r="Q34" s="1"/>
      <c r="R34" s="1"/>
      <c r="S34" s="1"/>
      <c r="T34" s="1"/>
    </row>
    <row r="35" spans="2:20" s="2" customFormat="1" ht="50.1" customHeight="1" x14ac:dyDescent="0.3">
      <c r="B35" s="5">
        <v>44895</v>
      </c>
      <c r="C35" s="119">
        <v>93</v>
      </c>
      <c r="D35" s="119">
        <v>557</v>
      </c>
      <c r="E35" s="108">
        <v>1035.78</v>
      </c>
      <c r="F35" s="113">
        <v>3870.3</v>
      </c>
      <c r="G35" s="110">
        <v>18192.3</v>
      </c>
      <c r="H35" s="111">
        <f t="shared" ref="H35" si="18">G35+F35</f>
        <v>22062.6</v>
      </c>
      <c r="I35" s="112">
        <v>8065</v>
      </c>
      <c r="J35" s="112">
        <f t="shared" ref="J35" si="19">+H35-I35</f>
        <v>13997.599999999999</v>
      </c>
      <c r="K35" s="112">
        <f t="shared" ref="K35" si="20">F35*1.5*E35</f>
        <v>6013169.0010000002</v>
      </c>
      <c r="L35" s="112">
        <f t="shared" ref="L35" si="21">G35*E35</f>
        <v>18843220.493999999</v>
      </c>
      <c r="M35" s="112">
        <f t="shared" ref="M35" si="22">L35+K35</f>
        <v>24856389.494999997</v>
      </c>
      <c r="N35" s="112">
        <f t="shared" ref="N35" si="23">M35*0.03</f>
        <v>745691.68484999985</v>
      </c>
      <c r="O35" s="118">
        <f t="shared" ref="O35" si="24">M35+N35</f>
        <v>25602081.179849997</v>
      </c>
      <c r="P35" s="1"/>
      <c r="Q35" s="1"/>
      <c r="R35" s="1"/>
      <c r="S35" s="1"/>
      <c r="T35" s="1"/>
    </row>
    <row r="36" spans="2:20" s="1" customFormat="1" x14ac:dyDescent="0.3">
      <c r="B36" s="10"/>
      <c r="C36" s="13">
        <f>SUM(C6:C35)</f>
        <v>2489</v>
      </c>
      <c r="D36" s="13">
        <f>SUM(D6:D35)</f>
        <v>16389</v>
      </c>
      <c r="E36" s="146" t="s">
        <v>2</v>
      </c>
      <c r="F36" s="147">
        <f t="shared" ref="F36:O36" si="25">SUM(F5:F35)</f>
        <v>120672.49999999999</v>
      </c>
      <c r="G36" s="147">
        <f t="shared" si="25"/>
        <v>542398.20000000007</v>
      </c>
      <c r="H36" s="147">
        <f t="shared" si="25"/>
        <v>663070.70000000007</v>
      </c>
      <c r="I36" s="147">
        <f t="shared" si="25"/>
        <v>255603</v>
      </c>
      <c r="J36" s="147">
        <f t="shared" si="25"/>
        <v>407467.69999999995</v>
      </c>
      <c r="K36" s="147">
        <f t="shared" si="25"/>
        <v>187485243.07499999</v>
      </c>
      <c r="L36" s="147">
        <f t="shared" si="25"/>
        <v>561805207.59599984</v>
      </c>
      <c r="M36" s="147">
        <f t="shared" si="25"/>
        <v>749290450.67099977</v>
      </c>
      <c r="N36" s="147">
        <f t="shared" si="25"/>
        <v>22478713.520129997</v>
      </c>
      <c r="O36" s="147">
        <f t="shared" si="25"/>
        <v>771769164.19113004</v>
      </c>
    </row>
    <row r="37" spans="2:20" s="1" customFormat="1" x14ac:dyDescent="0.3">
      <c r="B37" s="10"/>
      <c r="C37" s="10"/>
      <c r="D37" s="10"/>
      <c r="E37" s="11"/>
      <c r="F37" s="64"/>
      <c r="G37" s="64"/>
      <c r="H37" s="65"/>
      <c r="I37" s="65"/>
      <c r="J37" s="65"/>
      <c r="K37" s="13"/>
      <c r="M37" s="14"/>
      <c r="N37" s="41"/>
      <c r="O37" s="8"/>
    </row>
    <row r="38" spans="2:20" s="1" customFormat="1" x14ac:dyDescent="0.3">
      <c r="B38" s="10"/>
      <c r="C38" s="10"/>
      <c r="D38" s="10"/>
      <c r="E38" s="15"/>
      <c r="F38" s="64"/>
      <c r="G38" s="66"/>
      <c r="H38" s="65"/>
      <c r="I38" s="65"/>
      <c r="J38" s="65"/>
      <c r="K38" s="12"/>
      <c r="L38" s="16"/>
      <c r="M38" s="17"/>
      <c r="N38" s="41"/>
      <c r="O38" s="9"/>
      <c r="Q38" s="10"/>
    </row>
    <row r="39" spans="2:20" s="1" customFormat="1" x14ac:dyDescent="0.3">
      <c r="B39" s="10"/>
      <c r="C39" s="10"/>
      <c r="D39" s="10"/>
      <c r="F39" s="64"/>
      <c r="G39" s="67"/>
      <c r="H39" s="65"/>
      <c r="I39" s="65"/>
      <c r="J39" s="65"/>
      <c r="K39" s="13"/>
      <c r="M39" s="18"/>
      <c r="N39" s="10"/>
      <c r="O39" s="19"/>
      <c r="Q39" s="10"/>
    </row>
    <row r="40" spans="2:20" s="1" customFormat="1" x14ac:dyDescent="0.3">
      <c r="B40" s="10"/>
      <c r="C40" s="10"/>
      <c r="D40" s="10"/>
      <c r="E40" s="10"/>
      <c r="F40" s="64"/>
      <c r="G40" s="66"/>
      <c r="H40" s="65"/>
      <c r="I40" s="65"/>
      <c r="J40" s="65"/>
      <c r="K40" s="13"/>
      <c r="M40" s="44"/>
      <c r="N40" s="145"/>
      <c r="O40" s="7"/>
      <c r="Q40" s="10"/>
    </row>
    <row r="41" spans="2:20" s="1" customFormat="1" x14ac:dyDescent="0.3">
      <c r="B41" s="10"/>
      <c r="C41" s="10"/>
      <c r="D41" s="10"/>
      <c r="E41" s="10"/>
      <c r="F41" s="64"/>
      <c r="G41" s="66"/>
      <c r="H41" s="65"/>
      <c r="I41" s="65"/>
      <c r="J41" s="65"/>
      <c r="K41" s="13"/>
      <c r="M41" s="46"/>
      <c r="N41" s="145"/>
      <c r="O41" s="7"/>
      <c r="Q41" s="10"/>
    </row>
    <row r="42" spans="2:20" s="1" customFormat="1" x14ac:dyDescent="0.3">
      <c r="B42" s="10"/>
      <c r="C42" s="10"/>
      <c r="D42" s="10"/>
      <c r="E42" s="20"/>
      <c r="F42" s="64"/>
      <c r="G42" s="64"/>
      <c r="H42" s="65"/>
      <c r="I42" s="65"/>
      <c r="J42" s="65"/>
      <c r="K42" s="13"/>
      <c r="M42" s="21"/>
      <c r="N42" s="41"/>
      <c r="O42" s="7"/>
      <c r="Q42" s="10"/>
    </row>
    <row r="43" spans="2:20" s="1" customFormat="1" x14ac:dyDescent="0.3">
      <c r="B43" s="10"/>
      <c r="C43" s="10"/>
      <c r="D43" s="10"/>
      <c r="F43" s="65"/>
      <c r="G43" s="65"/>
      <c r="H43" s="65"/>
      <c r="I43" s="65"/>
      <c r="J43" s="65"/>
      <c r="M43" s="42"/>
      <c r="N43" s="145"/>
      <c r="O43" s="19"/>
      <c r="Q43" s="10"/>
    </row>
    <row r="44" spans="2:20" s="1" customFormat="1" x14ac:dyDescent="0.3">
      <c r="B44" s="10"/>
      <c r="C44" s="10"/>
      <c r="D44" s="10"/>
      <c r="E44" s="15"/>
      <c r="F44" s="68"/>
      <c r="G44" s="68"/>
      <c r="H44" s="69" t="s">
        <v>9</v>
      </c>
      <c r="I44" s="69"/>
      <c r="J44" s="69"/>
      <c r="K44" s="13"/>
      <c r="M44" s="18"/>
      <c r="N44" s="10"/>
      <c r="P44" s="22"/>
      <c r="Q44" s="10"/>
    </row>
    <row r="45" spans="2:20" s="1" customFormat="1" ht="21" x14ac:dyDescent="0.3">
      <c r="B45" s="10"/>
      <c r="C45" s="10"/>
      <c r="D45" s="10"/>
      <c r="E45" s="10"/>
      <c r="F45" s="65"/>
      <c r="G45" s="65"/>
      <c r="H45" s="70"/>
      <c r="I45" s="70"/>
      <c r="J45" s="70"/>
      <c r="K45" s="10"/>
      <c r="M45" s="43"/>
      <c r="N45" s="10"/>
      <c r="O45" s="23"/>
      <c r="Q45" s="10"/>
    </row>
    <row r="46" spans="2:20" s="1" customFormat="1" x14ac:dyDescent="0.3">
      <c r="E46" s="24"/>
      <c r="F46" s="71"/>
      <c r="G46" s="65"/>
      <c r="H46" s="63"/>
      <c r="I46" s="63"/>
      <c r="J46" s="63"/>
      <c r="P46" s="45"/>
      <c r="Q46" s="10"/>
    </row>
    <row r="47" spans="2:20" s="1" customFormat="1" x14ac:dyDescent="0.3">
      <c r="F47" s="65"/>
      <c r="G47" s="65"/>
      <c r="H47" s="63"/>
      <c r="I47" s="63"/>
      <c r="J47" s="63"/>
      <c r="O47" s="25"/>
    </row>
    <row r="48" spans="2:20" s="1" customFormat="1" x14ac:dyDescent="0.3">
      <c r="F48" s="65"/>
      <c r="G48" s="65"/>
      <c r="H48" s="72"/>
      <c r="I48" s="72"/>
      <c r="J48" s="72"/>
      <c r="O48" s="25"/>
    </row>
    <row r="49" spans="2:15" s="1" customFormat="1" x14ac:dyDescent="0.3">
      <c r="B49" s="26"/>
      <c r="C49" s="26"/>
      <c r="D49" s="26"/>
      <c r="E49" s="26"/>
      <c r="F49" s="73"/>
      <c r="G49" s="73"/>
      <c r="H49" s="74"/>
      <c r="I49" s="74"/>
      <c r="J49" s="74"/>
      <c r="K49" s="26"/>
      <c r="L49" s="26"/>
      <c r="M49" s="26"/>
      <c r="N49" s="26"/>
      <c r="O49" s="27"/>
    </row>
    <row r="50" spans="2:15" s="26" customFormat="1" x14ac:dyDescent="0.3">
      <c r="F50" s="73"/>
      <c r="G50" s="73"/>
      <c r="H50" s="75"/>
      <c r="I50" s="75"/>
      <c r="J50" s="75"/>
    </row>
    <row r="51" spans="2:15" s="26" customFormat="1" x14ac:dyDescent="0.3">
      <c r="F51" s="73"/>
      <c r="G51" s="73"/>
      <c r="H51" s="73"/>
      <c r="I51" s="73"/>
      <c r="J51" s="73"/>
    </row>
    <row r="52" spans="2:15" s="26" customFormat="1" x14ac:dyDescent="0.3">
      <c r="F52" s="73"/>
      <c r="G52" s="73"/>
      <c r="H52" s="75"/>
      <c r="I52" s="75"/>
      <c r="J52" s="75"/>
    </row>
    <row r="53" spans="2:15" s="26" customFormat="1" x14ac:dyDescent="0.3">
      <c r="F53" s="73"/>
      <c r="G53" s="73"/>
      <c r="H53" s="73"/>
      <c r="I53" s="73"/>
      <c r="J53" s="73"/>
    </row>
    <row r="54" spans="2:15" s="26" customFormat="1" x14ac:dyDescent="0.3">
      <c r="B54" s="28"/>
      <c r="C54" s="28"/>
      <c r="D54" s="28"/>
      <c r="E54" s="28"/>
      <c r="F54" s="76"/>
      <c r="G54" s="76"/>
      <c r="H54" s="76"/>
      <c r="I54" s="76"/>
      <c r="J54" s="76"/>
      <c r="K54" s="28"/>
      <c r="L54" s="28"/>
      <c r="M54" s="28"/>
      <c r="N54" s="28"/>
      <c r="O54" s="28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5">
    <cfRule type="cellIs" dxfId="7" priority="130" operator="greaterThan">
      <formula>$H$46</formula>
    </cfRule>
  </conditionalFormatting>
  <conditionalFormatting sqref="H6:H35">
    <cfRule type="cellIs" dxfId="6" priority="129" operator="greaterThan">
      <formula>$H$46</formula>
    </cfRule>
  </conditionalFormatting>
  <conditionalFormatting sqref="F6:F29">
    <cfRule type="cellIs" dxfId="5" priority="8" operator="greaterThan">
      <formula>$D$46</formula>
    </cfRule>
  </conditionalFormatting>
  <conditionalFormatting sqref="G6:G29">
    <cfRule type="cellIs" dxfId="4" priority="7" operator="greaterThan">
      <formula>$E$46</formula>
    </cfRule>
  </conditionalFormatting>
  <conditionalFormatting sqref="F30:F35">
    <cfRule type="cellIs" dxfId="3" priority="6" operator="greaterThan">
      <formula>$D$46</formula>
    </cfRule>
  </conditionalFormatting>
  <conditionalFormatting sqref="G30:G35">
    <cfRule type="cellIs" dxfId="2" priority="5" operator="greaterThan">
      <formula>$E$46</formula>
    </cfRule>
  </conditionalFormatting>
  <conditionalFormatting sqref="I6:I28">
    <cfRule type="cellIs" dxfId="1" priority="2" operator="greaterThan">
      <formula>$G$46</formula>
    </cfRule>
  </conditionalFormatting>
  <conditionalFormatting sqref="I29:I35">
    <cfRule type="cellIs" dxfId="0" priority="1" operator="greaterThan">
      <formula>$G$46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="90" zoomScaleNormal="90" workbookViewId="0">
      <selection activeCell="C35" sqref="C35"/>
    </sheetView>
  </sheetViews>
  <sheetFormatPr defaultColWidth="9.109375" defaultRowHeight="14.4" x14ac:dyDescent="0.3"/>
  <cols>
    <col min="1" max="2" width="9.109375" style="32"/>
    <col min="3" max="3" width="29" style="32" customWidth="1"/>
    <col min="4" max="7" width="33.109375" style="122" customWidth="1"/>
    <col min="8" max="8" width="13.44140625" style="32" bestFit="1" customWidth="1"/>
    <col min="9" max="9" width="11.5546875" style="32" bestFit="1" customWidth="1"/>
    <col min="10" max="43" width="9.109375" style="32"/>
    <col min="44" max="16384" width="9.109375" style="130"/>
  </cols>
  <sheetData>
    <row r="1" spans="1:43" ht="15" customHeight="1" x14ac:dyDescent="0.3">
      <c r="B1" s="166" t="s">
        <v>4</v>
      </c>
      <c r="C1" s="166"/>
      <c r="D1" s="166"/>
      <c r="E1" s="166"/>
      <c r="F1" s="166"/>
      <c r="G1" s="166"/>
    </row>
    <row r="2" spans="1:43" ht="15" customHeight="1" x14ac:dyDescent="0.3">
      <c r="B2" s="166"/>
      <c r="C2" s="166"/>
      <c r="D2" s="166"/>
      <c r="E2" s="166"/>
      <c r="F2" s="166"/>
      <c r="G2" s="166"/>
    </row>
    <row r="3" spans="1:43" s="133" customFormat="1" ht="27" customHeight="1" x14ac:dyDescent="0.35">
      <c r="A3" s="131"/>
      <c r="B3" s="167" t="s">
        <v>0</v>
      </c>
      <c r="C3" s="132" t="s">
        <v>32</v>
      </c>
      <c r="D3" s="168" t="s">
        <v>34</v>
      </c>
      <c r="E3" s="168"/>
      <c r="F3" s="168"/>
      <c r="G3" s="168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</row>
    <row r="4" spans="1:43" s="133" customFormat="1" ht="27" customHeight="1" x14ac:dyDescent="0.35">
      <c r="A4" s="131"/>
      <c r="B4" s="167"/>
      <c r="C4" s="132" t="s">
        <v>33</v>
      </c>
      <c r="D4" s="132" t="s">
        <v>31</v>
      </c>
      <c r="E4" s="134" t="s">
        <v>8</v>
      </c>
      <c r="F4" s="132" t="s">
        <v>42</v>
      </c>
      <c r="G4" s="132" t="s">
        <v>5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</row>
    <row r="5" spans="1:43" ht="15.6" x14ac:dyDescent="0.3">
      <c r="B5" s="30">
        <v>44866</v>
      </c>
      <c r="C5" s="104">
        <f>+SUM(D5:F5)</f>
        <v>322.04000000001543</v>
      </c>
      <c r="D5" s="105">
        <f>'[1]Clean water &amp; recycle water log'!N173</f>
        <v>54.600000000005821</v>
      </c>
      <c r="E5" s="106">
        <f>'[1]Clean water &amp; recycle water log'!O173</f>
        <v>249.50000000000728</v>
      </c>
      <c r="F5" s="106">
        <f>G5*0.2</f>
        <v>17.940000000002328</v>
      </c>
      <c r="G5" s="106">
        <f>'[1]Clean water &amp; recycle water log'!R173</f>
        <v>89.700000000011642</v>
      </c>
    </row>
    <row r="6" spans="1:43" ht="15.6" x14ac:dyDescent="0.3">
      <c r="B6" s="30">
        <v>44867</v>
      </c>
      <c r="C6" s="104">
        <f t="shared" ref="C6:C34" si="0">+SUM(D6:F6)</f>
        <v>150.83999999998341</v>
      </c>
      <c r="D6" s="105">
        <f>'[1]Clean water &amp; recycle water log'!N174</f>
        <v>34.599999999991269</v>
      </c>
      <c r="E6" s="106">
        <f>'[1]Clean water &amp; recycle water log'!O174</f>
        <v>100.29999999999563</v>
      </c>
      <c r="F6" s="106">
        <f t="shared" ref="F6:F34" si="1">G6*0.2</f>
        <v>15.939999999996509</v>
      </c>
      <c r="G6" s="106">
        <f>'[1]Clean water &amp; recycle water log'!R174</f>
        <v>79.699999999982538</v>
      </c>
    </row>
    <row r="7" spans="1:43" ht="15.6" x14ac:dyDescent="0.3">
      <c r="B7" s="30">
        <v>44868</v>
      </c>
      <c r="C7" s="104">
        <f t="shared" si="0"/>
        <v>150.78000000000901</v>
      </c>
      <c r="D7" s="105">
        <f>'[1]Clean water &amp; recycle water log'!N175</f>
        <v>35.100000000005821</v>
      </c>
      <c r="E7" s="106">
        <f>'[1]Clean water &amp; recycle water log'!O175</f>
        <v>103.70000000000437</v>
      </c>
      <c r="F7" s="106">
        <f t="shared" si="1"/>
        <v>11.979999999998837</v>
      </c>
      <c r="G7" s="106">
        <f>'[1]Clean water &amp; recycle water log'!R175</f>
        <v>59.899999999994179</v>
      </c>
    </row>
    <row r="8" spans="1:43" ht="15.6" x14ac:dyDescent="0.3">
      <c r="B8" s="30">
        <v>44869</v>
      </c>
      <c r="C8" s="104">
        <f t="shared" si="0"/>
        <v>136.93999999999795</v>
      </c>
      <c r="D8" s="105">
        <f>'[1]Clean water &amp; recycle water log'!N176</f>
        <v>45.80000000000291</v>
      </c>
      <c r="E8" s="106">
        <f>'[1]Clean water &amp; recycle water log'!O176</f>
        <v>86.499999999992724</v>
      </c>
      <c r="F8" s="106">
        <f t="shared" si="1"/>
        <v>4.6400000000023285</v>
      </c>
      <c r="G8" s="106">
        <f>'[1]Clean water &amp; recycle water log'!R176</f>
        <v>23.200000000011642</v>
      </c>
    </row>
    <row r="9" spans="1:43" ht="15.6" x14ac:dyDescent="0.3">
      <c r="B9" s="30">
        <v>44870</v>
      </c>
      <c r="C9" s="104">
        <f t="shared" si="0"/>
        <v>92.020000000004075</v>
      </c>
      <c r="D9" s="105">
        <f>'[1]Clean water &amp; recycle water log'!N177</f>
        <v>44.399999999994179</v>
      </c>
      <c r="E9" s="106">
        <f>'[1]Clean water &amp; recycle water log'!O177</f>
        <v>34.400000000008731</v>
      </c>
      <c r="F9" s="106">
        <f t="shared" si="1"/>
        <v>13.220000000001164</v>
      </c>
      <c r="G9" s="106">
        <f>'[1]Clean water &amp; recycle water log'!R177</f>
        <v>66.100000000005821</v>
      </c>
    </row>
    <row r="10" spans="1:43" ht="15.6" x14ac:dyDescent="0.3">
      <c r="B10" s="30">
        <v>44871</v>
      </c>
      <c r="C10" s="104">
        <f t="shared" si="0"/>
        <v>157.83999999999213</v>
      </c>
      <c r="D10" s="105">
        <f>'[1]Clean water &amp; recycle water log'!N178</f>
        <v>26.69999999999709</v>
      </c>
      <c r="E10" s="106">
        <f>'[1]Clean water &amp; recycle water log'!O178</f>
        <v>115.09999999999854</v>
      </c>
      <c r="F10" s="106">
        <f t="shared" si="1"/>
        <v>16.039999999996507</v>
      </c>
      <c r="G10" s="106">
        <f>'[1]Clean water &amp; recycle water log'!R178</f>
        <v>80.199999999982538</v>
      </c>
    </row>
    <row r="11" spans="1:43" ht="15.6" x14ac:dyDescent="0.3">
      <c r="B11" s="30">
        <v>44872</v>
      </c>
      <c r="C11" s="104">
        <f t="shared" si="0"/>
        <v>193.47999999999882</v>
      </c>
      <c r="D11" s="105">
        <f>'[1]Clean water &amp; recycle water log'!N179</f>
        <v>42</v>
      </c>
      <c r="E11" s="106">
        <f>'[1]Clean water &amp; recycle water log'!O179</f>
        <v>130.39999999999418</v>
      </c>
      <c r="F11" s="106">
        <f t="shared" si="1"/>
        <v>21.080000000004659</v>
      </c>
      <c r="G11" s="106">
        <f>'[1]Clean water &amp; recycle water log'!R179</f>
        <v>105.40000000002328</v>
      </c>
    </row>
    <row r="12" spans="1:43" ht="15.6" x14ac:dyDescent="0.3">
      <c r="B12" s="30">
        <v>44873</v>
      </c>
      <c r="C12" s="104">
        <f t="shared" si="0"/>
        <v>125.80000000000291</v>
      </c>
      <c r="D12" s="105">
        <f>'[1]Clean water &amp; recycle water log'!N180</f>
        <v>16.900000000008731</v>
      </c>
      <c r="E12" s="106">
        <f>'[1]Clean water &amp; recycle water log'!O180</f>
        <v>96.899999999994179</v>
      </c>
      <c r="F12" s="106">
        <f t="shared" si="1"/>
        <v>12</v>
      </c>
      <c r="G12" s="106">
        <f>'[1]Clean water &amp; recycle water log'!R180</f>
        <v>60</v>
      </c>
    </row>
    <row r="13" spans="1:43" ht="15.6" x14ac:dyDescent="0.3">
      <c r="B13" s="30">
        <v>44874</v>
      </c>
      <c r="C13" s="104">
        <f t="shared" si="0"/>
        <v>141.0199999999837</v>
      </c>
      <c r="D13" s="105">
        <f>'[1]Clean water &amp; recycle water log'!N181</f>
        <v>34.799999999988358</v>
      </c>
      <c r="E13" s="106">
        <f>'[1]Clean water &amp; recycle water log'!O181</f>
        <v>91.5</v>
      </c>
      <c r="F13" s="106">
        <f t="shared" si="1"/>
        <v>14.719999999995345</v>
      </c>
      <c r="G13" s="106">
        <f>'[1]Clean water &amp; recycle water log'!R181</f>
        <v>73.599999999976717</v>
      </c>
    </row>
    <row r="14" spans="1:43" ht="15.6" x14ac:dyDescent="0.3">
      <c r="B14" s="30">
        <v>44875</v>
      </c>
      <c r="C14" s="104">
        <f t="shared" si="0"/>
        <v>127.14000000001542</v>
      </c>
      <c r="D14" s="105">
        <f>'[1]Clean water &amp; recycle water log'!N182</f>
        <v>35.600000000005821</v>
      </c>
      <c r="E14" s="106">
        <f>'[1]Clean water &amp; recycle water log'!O182</f>
        <v>80.000000000007276</v>
      </c>
      <c r="F14" s="106">
        <f t="shared" si="1"/>
        <v>11.54000000000233</v>
      </c>
      <c r="G14" s="106">
        <f>'[1]Clean water &amp; recycle water log'!R182</f>
        <v>57.700000000011642</v>
      </c>
    </row>
    <row r="15" spans="1:43" ht="15.6" x14ac:dyDescent="0.3">
      <c r="B15" s="30">
        <v>44876</v>
      </c>
      <c r="C15" s="104">
        <f t="shared" si="0"/>
        <v>156.10000000000144</v>
      </c>
      <c r="D15" s="105">
        <f>'[1]Clean water &amp; recycle water log'!N183</f>
        <v>34.19999999999709</v>
      </c>
      <c r="E15" s="106">
        <f>'[1]Clean water &amp; recycle water log'!O183</f>
        <v>105.70000000000437</v>
      </c>
      <c r="F15" s="106">
        <f t="shared" si="1"/>
        <v>16.2</v>
      </c>
      <c r="G15" s="106">
        <f>'[1]Clean water &amp; recycle water log'!R183</f>
        <v>81</v>
      </c>
    </row>
    <row r="16" spans="1:43" ht="15.6" x14ac:dyDescent="0.3">
      <c r="B16" s="30">
        <v>44877</v>
      </c>
      <c r="C16" s="104">
        <f t="shared" si="0"/>
        <v>197.75999999999766</v>
      </c>
      <c r="D16" s="105">
        <f>'[1]Clean water &amp; recycle water log'!N184</f>
        <v>52.900000000008731</v>
      </c>
      <c r="E16" s="106">
        <f>'[1]Clean water &amp; recycle water log'!O184</f>
        <v>129.09999999999127</v>
      </c>
      <c r="F16" s="106">
        <f t="shared" si="1"/>
        <v>15.759999999997673</v>
      </c>
      <c r="G16" s="106">
        <f>'[1]Clean water &amp; recycle water log'!R184</f>
        <v>78.799999999988358</v>
      </c>
    </row>
    <row r="17" spans="2:7" ht="15.6" x14ac:dyDescent="0.3">
      <c r="B17" s="30">
        <v>44878</v>
      </c>
      <c r="C17" s="104">
        <f t="shared" si="0"/>
        <v>143.04000000000377</v>
      </c>
      <c r="D17" s="105">
        <f>'[1]Clean water &amp; recycle water log'!N185</f>
        <v>36.599999999991269</v>
      </c>
      <c r="E17" s="106">
        <f>'[1]Clean water &amp; recycle water log'!O185</f>
        <v>94.300000000010186</v>
      </c>
      <c r="F17" s="106">
        <f t="shared" si="1"/>
        <v>12.140000000002329</v>
      </c>
      <c r="G17" s="106">
        <f>'[1]Clean water &amp; recycle water log'!R185</f>
        <v>60.700000000011642</v>
      </c>
    </row>
    <row r="18" spans="2:7" ht="15.6" x14ac:dyDescent="0.3">
      <c r="B18" s="30">
        <v>44879</v>
      </c>
      <c r="C18" s="104">
        <f t="shared" si="0"/>
        <v>164.69999999999271</v>
      </c>
      <c r="D18" s="105">
        <f>'[1]Clean water &amp; recycle water log'!N186</f>
        <v>40.5</v>
      </c>
      <c r="E18" s="106">
        <f>'[1]Clean water &amp; recycle water log'!O186</f>
        <v>105.49999999999272</v>
      </c>
      <c r="F18" s="106">
        <f t="shared" si="1"/>
        <v>18.7</v>
      </c>
      <c r="G18" s="106">
        <f>'[1]Clean water &amp; recycle water log'!R186</f>
        <v>93.5</v>
      </c>
    </row>
    <row r="19" spans="2:7" ht="15.6" x14ac:dyDescent="0.3">
      <c r="B19" s="30">
        <v>44880</v>
      </c>
      <c r="C19" s="104">
        <f t="shared" si="0"/>
        <v>162.97999999998865</v>
      </c>
      <c r="D19" s="105">
        <f>'[1]Clean water &amp; recycle water log'!N187</f>
        <v>39.69999999999709</v>
      </c>
      <c r="E19" s="106">
        <f>'[1]Clean water &amp; recycle water log'!O187</f>
        <v>108.99999999999272</v>
      </c>
      <c r="F19" s="106">
        <f t="shared" si="1"/>
        <v>14.279999999998836</v>
      </c>
      <c r="G19" s="106">
        <f>'[1]Clean water &amp; recycle water log'!R187</f>
        <v>71.399999999994179</v>
      </c>
    </row>
    <row r="20" spans="2:7" ht="15.6" x14ac:dyDescent="0.3">
      <c r="B20" s="30">
        <v>44881</v>
      </c>
      <c r="C20" s="104">
        <f t="shared" si="0"/>
        <v>166.12000000001572</v>
      </c>
      <c r="D20" s="105">
        <f>'[1]Clean water &amp; recycle water log'!N188</f>
        <v>40.100000000005821</v>
      </c>
      <c r="E20" s="106">
        <f>'[1]Clean water &amp; recycle water log'!O188</f>
        <v>111.90000000000873</v>
      </c>
      <c r="F20" s="106">
        <f t="shared" si="1"/>
        <v>14.120000000001165</v>
      </c>
      <c r="G20" s="106">
        <f>'[1]Clean water &amp; recycle water log'!R188</f>
        <v>70.600000000005821</v>
      </c>
    </row>
    <row r="21" spans="2:7" ht="15.6" x14ac:dyDescent="0.3">
      <c r="B21" s="30">
        <v>44882</v>
      </c>
      <c r="C21" s="104">
        <f t="shared" si="0"/>
        <v>144.19999999999419</v>
      </c>
      <c r="D21" s="105">
        <f>'[1]Clean water &amp; recycle water log'!N189</f>
        <v>23.19999999999709</v>
      </c>
      <c r="E21" s="106">
        <f>'[1]Clean water &amp; recycle water log'!O189</f>
        <v>106.19999999999709</v>
      </c>
      <c r="F21" s="106">
        <f t="shared" si="1"/>
        <v>14.8</v>
      </c>
      <c r="G21" s="106">
        <f>'[1]Clean water &amp; recycle water log'!R189</f>
        <v>74</v>
      </c>
    </row>
    <row r="22" spans="2:7" ht="15.6" x14ac:dyDescent="0.3">
      <c r="B22" s="30">
        <v>44883</v>
      </c>
      <c r="C22" s="104">
        <f t="shared" si="0"/>
        <v>152.59999999999417</v>
      </c>
      <c r="D22" s="105">
        <f>'[1]Clean water &amp; recycle water log'!N190</f>
        <v>31.80000000000291</v>
      </c>
      <c r="E22" s="106">
        <f>'[1]Clean water &amp; recycle water log'!O190</f>
        <v>106.09999999999127</v>
      </c>
      <c r="F22" s="106">
        <f t="shared" si="1"/>
        <v>14.700000000000001</v>
      </c>
      <c r="G22" s="106">
        <f>'[1]Clean water &amp; recycle water log'!R190</f>
        <v>73.5</v>
      </c>
    </row>
    <row r="23" spans="2:7" ht="15.6" x14ac:dyDescent="0.3">
      <c r="B23" s="30">
        <v>44884</v>
      </c>
      <c r="C23" s="104">
        <f t="shared" si="0"/>
        <v>198.76000000001369</v>
      </c>
      <c r="D23" s="105">
        <f>'[1]Clean water &amp; recycle water log'!N191</f>
        <v>52.80000000000291</v>
      </c>
      <c r="E23" s="106">
        <f>'[1]Clean water &amp; recycle water log'!O191</f>
        <v>130.1000000000131</v>
      </c>
      <c r="F23" s="106">
        <f t="shared" si="1"/>
        <v>15.859999999997672</v>
      </c>
      <c r="G23" s="106">
        <f>'[1]Clean water &amp; recycle water log'!R191</f>
        <v>79.299999999988358</v>
      </c>
    </row>
    <row r="24" spans="2:7" ht="15.6" x14ac:dyDescent="0.3">
      <c r="B24" s="30">
        <v>44885</v>
      </c>
      <c r="C24" s="104">
        <f t="shared" si="0"/>
        <v>134.4800000000003</v>
      </c>
      <c r="D24" s="105">
        <f>'[1]Clean water &amp; recycle water log'!N192</f>
        <v>37.099999999991269</v>
      </c>
      <c r="E24" s="106">
        <f>'[1]Clean water &amp; recycle water log'!O192</f>
        <v>85.200000000004366</v>
      </c>
      <c r="F24" s="106">
        <f t="shared" si="1"/>
        <v>12.180000000004657</v>
      </c>
      <c r="G24" s="106">
        <f>'[1]Clean water &amp; recycle water log'!R192</f>
        <v>60.900000000023283</v>
      </c>
    </row>
    <row r="25" spans="2:7" ht="15.6" x14ac:dyDescent="0.3">
      <c r="B25" s="30">
        <v>44886</v>
      </c>
      <c r="C25" s="104">
        <f t="shared" si="0"/>
        <v>148.56000000000495</v>
      </c>
      <c r="D25" s="105">
        <f>'[1]Clean water &amp; recycle water log'!N193</f>
        <v>40.200000000011642</v>
      </c>
      <c r="E25" s="106">
        <f>'[1]Clean water &amp; recycle water log'!O193</f>
        <v>90.299999999995634</v>
      </c>
      <c r="F25" s="106">
        <f t="shared" si="1"/>
        <v>18.059999999997672</v>
      </c>
      <c r="G25" s="106">
        <f>'[1]Clean water &amp; recycle water log'!R193</f>
        <v>90.299999999988358</v>
      </c>
    </row>
    <row r="26" spans="2:7" ht="15.6" x14ac:dyDescent="0.3">
      <c r="B26" s="30">
        <v>44887</v>
      </c>
      <c r="C26" s="104">
        <f t="shared" si="0"/>
        <v>152.21999999999099</v>
      </c>
      <c r="D26" s="105">
        <f>'[1]Clean water &amp; recycle water log'!N194</f>
        <v>36.599999999991269</v>
      </c>
      <c r="E26" s="106">
        <f>'[1]Clean water &amp; recycle water log'!O194</f>
        <v>99.099999999998545</v>
      </c>
      <c r="F26" s="106">
        <f t="shared" si="1"/>
        <v>16.520000000001165</v>
      </c>
      <c r="G26" s="106">
        <f>'[1]Clean water &amp; recycle water log'!R194</f>
        <v>82.600000000005821</v>
      </c>
    </row>
    <row r="27" spans="2:7" ht="15.6" x14ac:dyDescent="0.3">
      <c r="B27" s="30">
        <v>44888</v>
      </c>
      <c r="C27" s="104">
        <f t="shared" si="0"/>
        <v>159.17999999999012</v>
      </c>
      <c r="D27" s="105">
        <f>'[1]Clean water &amp; recycle water log'!N195</f>
        <v>37</v>
      </c>
      <c r="E27" s="106">
        <f>'[1]Clean water &amp; recycle water log'!O195</f>
        <v>105.59999999999127</v>
      </c>
      <c r="F27" s="106">
        <f t="shared" si="1"/>
        <v>16.579999999998837</v>
      </c>
      <c r="G27" s="106">
        <f>'[1]Clean water &amp; recycle water log'!R195</f>
        <v>82.899999999994179</v>
      </c>
    </row>
    <row r="28" spans="2:7" ht="15.6" x14ac:dyDescent="0.3">
      <c r="B28" s="30">
        <v>44889</v>
      </c>
      <c r="C28" s="104">
        <f t="shared" si="0"/>
        <v>156.88000000001048</v>
      </c>
      <c r="D28" s="105">
        <f>'[1]Clean water &amp; recycle water log'!N196</f>
        <v>37.30000000000291</v>
      </c>
      <c r="E28" s="106">
        <f>'[1]Clean water &amp; recycle water log'!O196</f>
        <v>102.90000000000873</v>
      </c>
      <c r="F28" s="106">
        <f t="shared" si="1"/>
        <v>16.679999999998838</v>
      </c>
      <c r="G28" s="106">
        <f>'[1]Clean water &amp; recycle water log'!R196</f>
        <v>83.399999999994179</v>
      </c>
    </row>
    <row r="29" spans="2:7" ht="15.6" x14ac:dyDescent="0.3">
      <c r="B29" s="30">
        <v>44890</v>
      </c>
      <c r="C29" s="104">
        <f t="shared" si="0"/>
        <v>190.53999999999942</v>
      </c>
      <c r="D29" s="105">
        <f>'[1]Clean water &amp; recycle water log'!N197</f>
        <v>37.30000000000291</v>
      </c>
      <c r="E29" s="106">
        <f>'[1]Clean water &amp; recycle water log'!O197</f>
        <v>143.89999999999418</v>
      </c>
      <c r="F29" s="106">
        <f t="shared" si="1"/>
        <v>9.3400000000023287</v>
      </c>
      <c r="G29" s="106">
        <f>'[1]Clean water &amp; recycle water log'!R197</f>
        <v>46.700000000011642</v>
      </c>
    </row>
    <row r="30" spans="2:7" ht="15.6" x14ac:dyDescent="0.3">
      <c r="B30" s="30">
        <v>44891</v>
      </c>
      <c r="C30" s="104">
        <f t="shared" si="0"/>
        <v>142.68000000000319</v>
      </c>
      <c r="D30" s="105">
        <f>'[1]Clean water &amp; recycle water log'!N198</f>
        <v>37.30000000000291</v>
      </c>
      <c r="E30" s="106">
        <f>'[1]Clean water &amp; recycle water log'!O198</f>
        <v>87.400000000001455</v>
      </c>
      <c r="F30" s="106">
        <f t="shared" si="1"/>
        <v>17.979999999998835</v>
      </c>
      <c r="G30" s="106">
        <f>'[1]Clean water &amp; recycle water log'!R198</f>
        <v>89.899999999994179</v>
      </c>
    </row>
    <row r="31" spans="2:7" ht="15.6" x14ac:dyDescent="0.3">
      <c r="B31" s="30">
        <v>44892</v>
      </c>
      <c r="C31" s="104">
        <f t="shared" si="0"/>
        <v>149.0399999999907</v>
      </c>
      <c r="D31" s="105">
        <f>'[1]Clean water &amp; recycle water log'!N199</f>
        <v>37.299999999988358</v>
      </c>
      <c r="E31" s="106">
        <f>'[1]Clean water &amp; recycle water log'!O199</f>
        <v>97.5</v>
      </c>
      <c r="F31" s="106">
        <f t="shared" si="1"/>
        <v>14.240000000002329</v>
      </c>
      <c r="G31" s="106">
        <f>'[1]Clean water &amp; recycle water log'!R199</f>
        <v>71.200000000011642</v>
      </c>
    </row>
    <row r="32" spans="2:7" ht="15.6" x14ac:dyDescent="0.3">
      <c r="B32" s="30">
        <v>44893</v>
      </c>
      <c r="C32" s="104">
        <f t="shared" si="0"/>
        <v>147.14000000000669</v>
      </c>
      <c r="D32" s="105">
        <f>'[1]Clean water &amp; recycle water log'!N200</f>
        <v>37.30000000000291</v>
      </c>
      <c r="E32" s="106">
        <f>'[1]Clean water &amp; recycle water log'!O200</f>
        <v>98.500000000007276</v>
      </c>
      <c r="F32" s="106">
        <f t="shared" si="1"/>
        <v>11.339999999996508</v>
      </c>
      <c r="G32" s="106">
        <f>'[1]Clean water &amp; recycle water log'!R200</f>
        <v>56.699999999982538</v>
      </c>
    </row>
    <row r="33" spans="2:9" ht="15.6" x14ac:dyDescent="0.3">
      <c r="B33" s="30">
        <v>44894</v>
      </c>
      <c r="C33" s="104">
        <f t="shared" si="0"/>
        <v>139.73999999999941</v>
      </c>
      <c r="D33" s="105">
        <f>'[1]Clean water &amp; recycle water log'!N201</f>
        <v>37.30000000000291</v>
      </c>
      <c r="E33" s="106">
        <f>'[1]Clean water &amp; recycle water log'!O201</f>
        <v>84.899999999994179</v>
      </c>
      <c r="F33" s="106">
        <f t="shared" si="1"/>
        <v>17.54000000000233</v>
      </c>
      <c r="G33" s="106">
        <f>'[1]Clean water &amp; recycle water log'!R201</f>
        <v>87.700000000011642</v>
      </c>
    </row>
    <row r="34" spans="2:9" ht="15.6" x14ac:dyDescent="0.3">
      <c r="B34" s="30">
        <v>44895</v>
      </c>
      <c r="C34" s="104">
        <f t="shared" si="0"/>
        <v>114.35999999999476</v>
      </c>
      <c r="D34" s="105">
        <f>'[1]Clean water &amp; recycle water log'!N202</f>
        <v>37.30000000000291</v>
      </c>
      <c r="E34" s="106">
        <f>'[1]Clean water &amp; recycle water log'!O202</f>
        <v>61.899999999994179</v>
      </c>
      <c r="F34" s="106">
        <f t="shared" si="1"/>
        <v>15.159999999997673</v>
      </c>
      <c r="G34" s="106">
        <f>'[1]Clean water &amp; recycle water log'!R202</f>
        <v>75.799999999988358</v>
      </c>
    </row>
    <row r="35" spans="2:9" x14ac:dyDescent="0.3">
      <c r="B35" s="135"/>
      <c r="C35" s="135"/>
      <c r="D35" s="120"/>
      <c r="E35" s="120"/>
      <c r="F35" s="120"/>
      <c r="G35" s="120"/>
    </row>
    <row r="36" spans="2:9" ht="21" x14ac:dyDescent="0.4">
      <c r="B36" s="136"/>
      <c r="C36" s="78">
        <f>+D36+E36+F36</f>
        <v>4718.9799999999959</v>
      </c>
      <c r="D36" s="35">
        <f>SUM(D5:D34)</f>
        <v>1134.3000000000029</v>
      </c>
      <c r="E36" s="35">
        <f>SUM(E5:E34)</f>
        <v>3143.3999999999942</v>
      </c>
      <c r="F36" s="35">
        <f>SUM(F5:F34)</f>
        <v>441.27999999999884</v>
      </c>
      <c r="G36" s="35">
        <f>SUM(G5:G34)</f>
        <v>2206.3999999999942</v>
      </c>
    </row>
    <row r="37" spans="2:9" x14ac:dyDescent="0.3">
      <c r="I37" s="137"/>
    </row>
    <row r="38" spans="2:9" x14ac:dyDescent="0.3">
      <c r="I38" s="137"/>
    </row>
    <row r="39" spans="2:9" ht="15" thickBot="1" x14ac:dyDescent="0.35"/>
    <row r="40" spans="2:9" ht="21.6" thickBot="1" x14ac:dyDescent="0.45">
      <c r="B40" s="138" t="s">
        <v>35</v>
      </c>
      <c r="C40" s="138"/>
      <c r="D40" s="123"/>
      <c r="E40" s="124"/>
      <c r="F40" s="124"/>
      <c r="G40" s="139">
        <f>+D36+E36+F36</f>
        <v>4718.9799999999959</v>
      </c>
      <c r="H40" s="140"/>
    </row>
    <row r="41" spans="2:9" x14ac:dyDescent="0.3">
      <c r="G41" s="141"/>
    </row>
    <row r="42" spans="2:9" x14ac:dyDescent="0.3">
      <c r="G42" s="141"/>
    </row>
    <row r="43" spans="2:9" ht="15.6" x14ac:dyDescent="0.3">
      <c r="B43" s="142" t="s">
        <v>6</v>
      </c>
      <c r="C43" s="142"/>
      <c r="E43" s="122" t="s">
        <v>36</v>
      </c>
      <c r="G43" s="143">
        <v>12500</v>
      </c>
      <c r="H43" s="140"/>
    </row>
    <row r="44" spans="2:9" ht="15.6" x14ac:dyDescent="0.3">
      <c r="B44" s="142"/>
      <c r="C44" s="142"/>
      <c r="G44" s="141"/>
      <c r="H44" s="140"/>
    </row>
    <row r="45" spans="2:9" ht="16.2" thickBot="1" x14ac:dyDescent="0.35">
      <c r="B45" s="142"/>
      <c r="C45" s="142"/>
      <c r="G45" s="141"/>
      <c r="H45" s="140"/>
    </row>
    <row r="46" spans="2:9" ht="26.4" thickBot="1" x14ac:dyDescent="0.35">
      <c r="B46" s="142" t="s">
        <v>7</v>
      </c>
      <c r="C46" s="142"/>
      <c r="G46" s="148">
        <f>(D36+E36)*G43</f>
        <v>53471249.999999963</v>
      </c>
      <c r="H46" s="144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6"/>
  <sheetViews>
    <sheetView topLeftCell="A19" workbookViewId="0">
      <selection activeCell="J39" sqref="J39"/>
    </sheetView>
  </sheetViews>
  <sheetFormatPr defaultRowHeight="14.4" x14ac:dyDescent="0.3"/>
  <cols>
    <col min="1" max="2" width="9.109375" style="29"/>
    <col min="3" max="4" width="34.109375" style="36" customWidth="1"/>
    <col min="5" max="8" width="27.6640625" style="36" customWidth="1"/>
    <col min="9" max="9" width="9.109375" style="29"/>
    <col min="10" max="10" width="13.44140625" style="29" bestFit="1" customWidth="1"/>
    <col min="11" max="11" width="11.5546875" style="29" bestFit="1" customWidth="1"/>
    <col min="12" max="45" width="9.109375" style="29"/>
  </cols>
  <sheetData>
    <row r="1" spans="1:45" ht="15" customHeight="1" x14ac:dyDescent="0.3">
      <c r="B1" s="169" t="s">
        <v>59</v>
      </c>
      <c r="C1" s="169"/>
      <c r="D1" s="169"/>
      <c r="E1" s="169"/>
      <c r="F1" s="169"/>
      <c r="G1" s="169"/>
      <c r="H1" s="169"/>
    </row>
    <row r="2" spans="1:45" ht="15" customHeight="1" x14ac:dyDescent="0.3">
      <c r="B2" s="169"/>
      <c r="C2" s="169"/>
      <c r="D2" s="169"/>
      <c r="E2" s="169"/>
      <c r="F2" s="169"/>
      <c r="G2" s="169"/>
      <c r="H2" s="169"/>
    </row>
    <row r="3" spans="1:45" s="80" customFormat="1" ht="33" customHeight="1" x14ac:dyDescent="0.45">
      <c r="A3" s="79"/>
      <c r="B3" s="170" t="s">
        <v>0</v>
      </c>
      <c r="C3" s="174" t="s">
        <v>30</v>
      </c>
      <c r="D3" s="175"/>
      <c r="E3" s="171" t="s">
        <v>38</v>
      </c>
      <c r="F3" s="172"/>
      <c r="G3" s="172"/>
      <c r="H3" s="173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</row>
    <row r="4" spans="1:45" s="80" customFormat="1" ht="33" customHeight="1" x14ac:dyDescent="0.45">
      <c r="A4" s="79"/>
      <c r="B4" s="170"/>
      <c r="C4" s="81" t="s">
        <v>37</v>
      </c>
      <c r="D4" s="81" t="s">
        <v>39</v>
      </c>
      <c r="E4" s="82" t="s">
        <v>26</v>
      </c>
      <c r="F4" s="82" t="s">
        <v>29</v>
      </c>
      <c r="G4" s="82" t="s">
        <v>27</v>
      </c>
      <c r="H4" s="81" t="s">
        <v>28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</row>
    <row r="5" spans="1:45" ht="15.6" x14ac:dyDescent="0.3">
      <c r="B5" s="30">
        <v>44866</v>
      </c>
      <c r="C5" s="116">
        <v>7.76</v>
      </c>
      <c r="D5" s="116">
        <v>213.72</v>
      </c>
      <c r="E5" s="31"/>
      <c r="F5" s="31"/>
      <c r="G5" s="31"/>
      <c r="H5" s="31"/>
      <c r="I5" s="32"/>
    </row>
    <row r="6" spans="1:45" ht="15.6" x14ac:dyDescent="0.3">
      <c r="B6" s="30">
        <v>44867</v>
      </c>
      <c r="C6" s="116">
        <v>8.2100000000000009</v>
      </c>
      <c r="D6" s="116">
        <v>226.06</v>
      </c>
      <c r="E6" s="31"/>
      <c r="F6" s="31"/>
      <c r="G6" s="31"/>
      <c r="H6" s="31"/>
      <c r="I6" s="32"/>
    </row>
    <row r="7" spans="1:45" ht="15.6" x14ac:dyDescent="0.3">
      <c r="B7" s="30">
        <v>44868</v>
      </c>
      <c r="C7" s="116">
        <v>7.09</v>
      </c>
      <c r="D7" s="116">
        <v>195.12</v>
      </c>
      <c r="E7" s="31"/>
      <c r="F7" s="31"/>
      <c r="G7" s="31"/>
      <c r="H7" s="31"/>
      <c r="I7" s="32"/>
    </row>
    <row r="8" spans="1:45" ht="15.6" x14ac:dyDescent="0.3">
      <c r="B8" s="30">
        <v>44869</v>
      </c>
      <c r="C8" s="116">
        <v>7.1</v>
      </c>
      <c r="D8" s="116">
        <v>195.98</v>
      </c>
      <c r="E8" s="31"/>
      <c r="F8" s="31"/>
      <c r="G8" s="31"/>
      <c r="H8" s="31"/>
      <c r="I8" s="32"/>
    </row>
    <row r="9" spans="1:45" ht="15.6" x14ac:dyDescent="0.3">
      <c r="B9" s="30">
        <v>44870</v>
      </c>
      <c r="C9" s="116">
        <v>7.51</v>
      </c>
      <c r="D9" s="116">
        <v>206.73</v>
      </c>
      <c r="E9" s="31"/>
      <c r="F9" s="31"/>
      <c r="G9" s="31"/>
      <c r="H9" s="31"/>
      <c r="I9" s="32"/>
    </row>
    <row r="10" spans="1:45" ht="15.6" x14ac:dyDescent="0.3">
      <c r="B10" s="30">
        <v>44871</v>
      </c>
      <c r="C10" s="116">
        <v>6.23</v>
      </c>
      <c r="D10" s="116">
        <v>171.22</v>
      </c>
      <c r="E10" s="31"/>
      <c r="F10" s="31"/>
      <c r="G10" s="31"/>
      <c r="H10" s="31"/>
      <c r="I10" s="32"/>
    </row>
    <row r="11" spans="1:45" ht="15.6" x14ac:dyDescent="0.3">
      <c r="B11" s="30">
        <v>44872</v>
      </c>
      <c r="C11" s="116">
        <v>8.08</v>
      </c>
      <c r="D11" s="116">
        <v>222.08</v>
      </c>
      <c r="E11" s="31"/>
      <c r="F11" s="31"/>
      <c r="G11" s="31"/>
      <c r="H11" s="31"/>
      <c r="I11" s="32"/>
    </row>
    <row r="12" spans="1:45" ht="15.6" x14ac:dyDescent="0.3">
      <c r="B12" s="30">
        <v>44873</v>
      </c>
      <c r="C12" s="116">
        <v>7.51</v>
      </c>
      <c r="D12" s="116">
        <v>205.89</v>
      </c>
      <c r="E12" s="31"/>
      <c r="F12" s="31"/>
      <c r="G12" s="31"/>
      <c r="H12" s="31"/>
      <c r="I12" s="32"/>
    </row>
    <row r="13" spans="1:45" ht="15.6" x14ac:dyDescent="0.3">
      <c r="B13" s="30">
        <v>44874</v>
      </c>
      <c r="C13" s="116">
        <v>7.59</v>
      </c>
      <c r="D13" s="116">
        <v>209.24</v>
      </c>
      <c r="E13" s="31"/>
      <c r="F13" s="31"/>
      <c r="G13" s="31"/>
      <c r="H13" s="31"/>
      <c r="I13" s="32"/>
    </row>
    <row r="14" spans="1:45" ht="15.6" x14ac:dyDescent="0.3">
      <c r="B14" s="30">
        <v>44875</v>
      </c>
      <c r="C14" s="116">
        <v>6.44</v>
      </c>
      <c r="D14" s="116">
        <v>177.35</v>
      </c>
      <c r="E14" s="31"/>
      <c r="F14" s="31"/>
      <c r="G14" s="31"/>
      <c r="H14" s="31"/>
      <c r="I14" s="32"/>
    </row>
    <row r="15" spans="1:45" ht="15.6" x14ac:dyDescent="0.3">
      <c r="B15" s="30">
        <v>44876</v>
      </c>
      <c r="C15" s="116">
        <v>8.5500000000000007</v>
      </c>
      <c r="D15" s="116">
        <v>235.2</v>
      </c>
      <c r="E15" s="31"/>
      <c r="F15" s="31"/>
      <c r="G15" s="31"/>
      <c r="H15" s="31"/>
      <c r="I15" s="32"/>
    </row>
    <row r="16" spans="1:45" ht="15.6" x14ac:dyDescent="0.3">
      <c r="B16" s="30">
        <v>44877</v>
      </c>
      <c r="C16" s="116">
        <v>8.2100000000000009</v>
      </c>
      <c r="D16" s="116">
        <v>226.72</v>
      </c>
      <c r="E16" s="31"/>
      <c r="F16" s="31"/>
      <c r="G16" s="31"/>
      <c r="H16" s="31"/>
      <c r="I16" s="32"/>
    </row>
    <row r="17" spans="2:9" ht="15.6" x14ac:dyDescent="0.3">
      <c r="B17" s="30">
        <v>44878</v>
      </c>
      <c r="C17" s="116">
        <v>4</v>
      </c>
      <c r="D17" s="116">
        <v>110.16</v>
      </c>
      <c r="E17" s="31"/>
      <c r="F17" s="31"/>
      <c r="G17" s="31"/>
      <c r="H17" s="31"/>
      <c r="I17" s="32"/>
    </row>
    <row r="18" spans="2:9" ht="15.6" x14ac:dyDescent="0.3">
      <c r="B18" s="30">
        <v>44879</v>
      </c>
      <c r="C18" s="116">
        <v>8.31</v>
      </c>
      <c r="D18" s="116">
        <v>229.49</v>
      </c>
      <c r="E18" s="31"/>
      <c r="F18" s="31"/>
      <c r="G18" s="31"/>
      <c r="H18" s="31"/>
      <c r="I18" s="32"/>
    </row>
    <row r="19" spans="2:9" ht="15.6" x14ac:dyDescent="0.3">
      <c r="B19" s="30">
        <v>44880</v>
      </c>
      <c r="C19" s="116">
        <v>7.64</v>
      </c>
      <c r="D19" s="116">
        <v>210.86</v>
      </c>
      <c r="E19" s="31"/>
      <c r="F19" s="31"/>
      <c r="G19" s="31"/>
      <c r="H19" s="31"/>
      <c r="I19" s="32"/>
    </row>
    <row r="20" spans="2:9" ht="15.6" x14ac:dyDescent="0.3">
      <c r="B20" s="30">
        <v>44881</v>
      </c>
      <c r="C20" s="116">
        <v>8.7799999999999994</v>
      </c>
      <c r="D20" s="116">
        <v>242.46</v>
      </c>
      <c r="E20" s="31"/>
      <c r="F20" s="31"/>
      <c r="G20" s="31"/>
      <c r="H20" s="31"/>
      <c r="I20" s="32"/>
    </row>
    <row r="21" spans="2:9" ht="15.6" x14ac:dyDescent="0.3">
      <c r="B21" s="30">
        <v>44882</v>
      </c>
      <c r="C21" s="116">
        <v>8.73</v>
      </c>
      <c r="D21" s="116">
        <v>241.06</v>
      </c>
      <c r="E21" s="31"/>
      <c r="F21" s="31"/>
      <c r="G21" s="31"/>
      <c r="H21" s="31"/>
      <c r="I21" s="32"/>
    </row>
    <row r="22" spans="2:9" ht="15.6" x14ac:dyDescent="0.3">
      <c r="B22" s="30">
        <v>44883</v>
      </c>
      <c r="C22" s="116">
        <v>8.94</v>
      </c>
      <c r="D22" s="116">
        <v>246.9</v>
      </c>
      <c r="E22" s="31"/>
      <c r="F22" s="31"/>
      <c r="G22" s="31"/>
      <c r="H22" s="31"/>
      <c r="I22" s="32"/>
    </row>
    <row r="23" spans="2:9" ht="15.6" x14ac:dyDescent="0.3">
      <c r="B23" s="30">
        <v>44884</v>
      </c>
      <c r="C23" s="116">
        <v>6.94</v>
      </c>
      <c r="D23" s="116">
        <v>191.67</v>
      </c>
      <c r="E23" s="31"/>
      <c r="F23" s="31"/>
      <c r="G23" s="31"/>
      <c r="H23" s="31"/>
      <c r="I23" s="32"/>
    </row>
    <row r="24" spans="2:9" ht="15.6" x14ac:dyDescent="0.3">
      <c r="B24" s="30">
        <v>44885</v>
      </c>
      <c r="C24" s="116">
        <v>6.5</v>
      </c>
      <c r="D24" s="116">
        <v>179.39</v>
      </c>
      <c r="E24" s="31"/>
      <c r="F24" s="31"/>
      <c r="G24" s="31"/>
      <c r="H24" s="31"/>
      <c r="I24" s="32"/>
    </row>
    <row r="25" spans="2:9" ht="15.6" x14ac:dyDescent="0.3">
      <c r="B25" s="30">
        <v>44886</v>
      </c>
      <c r="C25" s="117">
        <v>8.9</v>
      </c>
      <c r="D25" s="117">
        <v>245.65</v>
      </c>
      <c r="E25" s="31"/>
      <c r="F25" s="31"/>
      <c r="G25" s="31"/>
      <c r="H25" s="31"/>
      <c r="I25" s="32"/>
    </row>
    <row r="26" spans="2:9" ht="15.6" x14ac:dyDescent="0.3">
      <c r="B26" s="30">
        <v>44887</v>
      </c>
      <c r="C26" s="116">
        <v>8.19</v>
      </c>
      <c r="D26" s="116">
        <v>226.22</v>
      </c>
      <c r="E26" s="31"/>
      <c r="F26" s="31"/>
      <c r="G26" s="31"/>
      <c r="H26" s="31"/>
      <c r="I26" s="32"/>
    </row>
    <row r="27" spans="2:9" ht="15.6" x14ac:dyDescent="0.3">
      <c r="B27" s="30">
        <v>44888</v>
      </c>
      <c r="C27" s="116">
        <v>8.5</v>
      </c>
      <c r="D27" s="116">
        <v>234.58</v>
      </c>
      <c r="E27" s="31"/>
      <c r="F27" s="31"/>
      <c r="G27" s="31"/>
      <c r="H27" s="31"/>
      <c r="I27" s="32"/>
    </row>
    <row r="28" spans="2:9" ht="15.6" x14ac:dyDescent="0.3">
      <c r="B28" s="30">
        <v>44889</v>
      </c>
      <c r="C28" s="116">
        <v>7.96</v>
      </c>
      <c r="D28" s="116">
        <v>219.65</v>
      </c>
      <c r="E28" s="31"/>
      <c r="F28" s="31"/>
      <c r="G28" s="31"/>
      <c r="H28" s="31"/>
      <c r="I28" s="32"/>
    </row>
    <row r="29" spans="2:9" ht="15.6" x14ac:dyDescent="0.3">
      <c r="B29" s="30">
        <v>44890</v>
      </c>
      <c r="C29" s="116">
        <v>8.1</v>
      </c>
      <c r="D29" s="116">
        <v>223.5</v>
      </c>
      <c r="E29" s="31"/>
      <c r="F29" s="31"/>
      <c r="G29" s="31"/>
      <c r="H29" s="31"/>
      <c r="I29" s="32"/>
    </row>
    <row r="30" spans="2:9" ht="15.6" x14ac:dyDescent="0.3">
      <c r="B30" s="30">
        <v>44891</v>
      </c>
      <c r="C30" s="116">
        <v>5.51</v>
      </c>
      <c r="D30" s="116">
        <v>152.16</v>
      </c>
      <c r="E30" s="31"/>
      <c r="F30" s="31"/>
      <c r="G30" s="31"/>
      <c r="H30" s="31"/>
      <c r="I30" s="32"/>
    </row>
    <row r="31" spans="2:9" ht="15.6" x14ac:dyDescent="0.3">
      <c r="B31" s="30">
        <v>44892</v>
      </c>
      <c r="C31" s="116">
        <v>4.09</v>
      </c>
      <c r="D31" s="116">
        <v>112.78</v>
      </c>
      <c r="E31" s="31"/>
      <c r="F31" s="31"/>
      <c r="G31" s="31"/>
      <c r="H31" s="31"/>
      <c r="I31" s="32"/>
    </row>
    <row r="32" spans="2:9" ht="15.6" x14ac:dyDescent="0.3">
      <c r="B32" s="30">
        <v>44893</v>
      </c>
      <c r="C32" s="116">
        <v>8.01</v>
      </c>
      <c r="D32" s="116">
        <v>221.11</v>
      </c>
      <c r="E32" s="31"/>
      <c r="F32" s="31"/>
      <c r="G32" s="31"/>
      <c r="H32" s="31"/>
      <c r="I32" s="32"/>
    </row>
    <row r="33" spans="2:12" ht="15.6" x14ac:dyDescent="0.3">
      <c r="B33" s="30">
        <v>44894</v>
      </c>
      <c r="C33" s="116">
        <v>9</v>
      </c>
      <c r="D33" s="116">
        <v>247.11</v>
      </c>
      <c r="E33" s="31"/>
      <c r="F33" s="31"/>
      <c r="G33" s="31"/>
      <c r="H33" s="31"/>
      <c r="I33" s="32"/>
    </row>
    <row r="34" spans="2:12" ht="15.6" x14ac:dyDescent="0.3">
      <c r="B34" s="30">
        <v>44895</v>
      </c>
      <c r="C34" s="116">
        <v>8.7799999999999994</v>
      </c>
      <c r="D34" s="116">
        <v>236.57</v>
      </c>
      <c r="E34" s="31"/>
      <c r="F34" s="31"/>
      <c r="G34" s="31"/>
      <c r="H34" s="31"/>
      <c r="I34" s="32"/>
    </row>
    <row r="35" spans="2:12" x14ac:dyDescent="0.3">
      <c r="B35" s="33"/>
      <c r="C35" s="120"/>
      <c r="D35" s="120"/>
      <c r="E35" s="120"/>
      <c r="F35" s="120"/>
      <c r="G35" s="120"/>
      <c r="H35" s="120"/>
    </row>
    <row r="36" spans="2:12" ht="18" x14ac:dyDescent="0.35">
      <c r="B36" s="34"/>
      <c r="C36" s="121">
        <f t="shared" ref="C36:H36" si="0">SUM(C5:C34)</f>
        <v>227.16</v>
      </c>
      <c r="D36" s="121">
        <f t="shared" si="0"/>
        <v>6256.6299999999974</v>
      </c>
      <c r="E36" s="121">
        <f t="shared" si="0"/>
        <v>0</v>
      </c>
      <c r="F36" s="121">
        <f t="shared" si="0"/>
        <v>0</v>
      </c>
      <c r="G36" s="121">
        <f t="shared" si="0"/>
        <v>0</v>
      </c>
      <c r="H36" s="121">
        <f t="shared" si="0"/>
        <v>0</v>
      </c>
      <c r="I36" s="32"/>
      <c r="L36" s="32"/>
    </row>
    <row r="37" spans="2:12" x14ac:dyDescent="0.3">
      <c r="C37" s="122"/>
      <c r="D37" s="122"/>
      <c r="E37" s="122"/>
      <c r="F37" s="122"/>
      <c r="G37" s="122"/>
      <c r="H37" s="122">
        <f>H36*80%</f>
        <v>0</v>
      </c>
      <c r="J37" s="32"/>
      <c r="K37" s="37"/>
    </row>
    <row r="38" spans="2:12" x14ac:dyDescent="0.3">
      <c r="C38" s="122"/>
      <c r="D38" s="122"/>
      <c r="E38" s="122"/>
      <c r="F38" s="122"/>
      <c r="G38" s="122"/>
      <c r="H38" s="122"/>
    </row>
    <row r="39" spans="2:12" ht="15.6" x14ac:dyDescent="0.3">
      <c r="B39" s="38"/>
      <c r="C39" s="123"/>
      <c r="D39" s="123"/>
      <c r="E39" s="124"/>
      <c r="F39" s="124"/>
      <c r="G39" s="124"/>
      <c r="H39" s="124"/>
      <c r="J39" s="39"/>
      <c r="K39" s="32"/>
    </row>
    <row r="40" spans="2:12" x14ac:dyDescent="0.3">
      <c r="C40" s="122"/>
      <c r="D40" s="122"/>
      <c r="E40" s="122"/>
      <c r="F40" s="122"/>
      <c r="G40" s="122"/>
      <c r="H40" s="122"/>
    </row>
    <row r="41" spans="2:12" x14ac:dyDescent="0.3">
      <c r="C41" s="122"/>
      <c r="D41" s="122"/>
      <c r="E41" s="122"/>
      <c r="F41" s="122"/>
      <c r="G41" s="122"/>
      <c r="H41" s="122"/>
    </row>
    <row r="42" spans="2:12" ht="21" x14ac:dyDescent="0.4">
      <c r="C42" s="125" t="s">
        <v>6</v>
      </c>
      <c r="D42" s="126" t="s">
        <v>40</v>
      </c>
      <c r="E42" s="127">
        <v>10.199999999999999</v>
      </c>
      <c r="F42" s="122"/>
      <c r="G42" s="122"/>
      <c r="H42" s="122"/>
      <c r="J42" s="40"/>
    </row>
    <row r="43" spans="2:12" ht="21" x14ac:dyDescent="0.4">
      <c r="C43" s="128" t="s">
        <v>41</v>
      </c>
      <c r="D43" s="126" t="s">
        <v>37</v>
      </c>
      <c r="E43" s="127">
        <v>350</v>
      </c>
      <c r="F43" s="122"/>
      <c r="G43" s="122"/>
      <c r="H43" s="122"/>
      <c r="J43" s="41"/>
    </row>
    <row r="44" spans="2:12" ht="21" x14ac:dyDescent="0.4">
      <c r="C44" s="128"/>
      <c r="D44" s="126"/>
      <c r="E44" s="127"/>
      <c r="F44" s="122"/>
      <c r="G44" s="122"/>
      <c r="H44" s="122"/>
    </row>
    <row r="45" spans="2:12" ht="21" x14ac:dyDescent="0.4">
      <c r="C45" s="125" t="s">
        <v>7</v>
      </c>
      <c r="D45" s="126" t="s">
        <v>40</v>
      </c>
      <c r="E45" s="129">
        <f>IF(C36&gt;E43,(C36*E42),(E43*E42))</f>
        <v>3569.9999999999995</v>
      </c>
      <c r="F45" s="122"/>
      <c r="G45" s="122"/>
      <c r="H45" s="122"/>
    </row>
    <row r="46" spans="2:12" x14ac:dyDescent="0.3">
      <c r="C46" s="122"/>
      <c r="D46" s="122"/>
      <c r="E46" s="122"/>
      <c r="F46" s="122"/>
      <c r="G46" s="122"/>
      <c r="H46" s="122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2023-01-03T09:45:17Z</dcterms:modified>
</cp:coreProperties>
</file>