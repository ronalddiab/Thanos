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ay.fawaz\Four Seasons Hotels Limited\ABS_Engineering_O365 - FSENG-Admin - FSENG-Admin\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35" i="2" l="1"/>
  <c r="AG35" i="2"/>
  <c r="AF35" i="2"/>
  <c r="W35" i="2"/>
  <c r="V35" i="2"/>
  <c r="Q35" i="2" l="1"/>
  <c r="P35" i="2"/>
  <c r="O35" i="2"/>
  <c r="N35" i="2"/>
  <c r="M35" i="2"/>
  <c r="J35" i="2"/>
  <c r="I35" i="2"/>
  <c r="H35" i="2"/>
  <c r="G35" i="2"/>
  <c r="F35" i="2"/>
  <c r="E35" i="2"/>
  <c r="D35" i="2"/>
  <c r="C35" i="2"/>
  <c r="B35" i="2"/>
  <c r="AH34" i="2" l="1"/>
  <c r="AG34" i="2"/>
  <c r="AF34" i="2"/>
  <c r="W34" i="2"/>
  <c r="V34" i="2"/>
  <c r="Q34" i="2" l="1"/>
  <c r="P34" i="2"/>
  <c r="O34" i="2"/>
  <c r="N34" i="2"/>
  <c r="M34" i="2"/>
  <c r="J34" i="2" l="1"/>
  <c r="I34" i="2"/>
  <c r="H34" i="2"/>
  <c r="G34" i="2"/>
  <c r="F34" i="2"/>
  <c r="E34" i="2"/>
  <c r="D34" i="2"/>
  <c r="C34" i="2"/>
  <c r="B34" i="2"/>
  <c r="AH33" i="2" l="1"/>
  <c r="AG33" i="2"/>
  <c r="AF33" i="2"/>
  <c r="W33" i="2"/>
  <c r="V33" i="2"/>
  <c r="Q33" i="2" l="1"/>
  <c r="P33" i="2"/>
  <c r="O33" i="2"/>
  <c r="N33" i="2"/>
  <c r="M33" i="2"/>
  <c r="J33" i="2" l="1"/>
  <c r="I33" i="2"/>
  <c r="H33" i="2"/>
  <c r="G33" i="2"/>
  <c r="F33" i="2"/>
  <c r="E33" i="2"/>
  <c r="D33" i="2"/>
  <c r="C33" i="2"/>
  <c r="B33" i="2"/>
  <c r="AH32" i="2" l="1"/>
  <c r="AG32" i="2"/>
  <c r="AF32" i="2"/>
  <c r="W32" i="2"/>
  <c r="V32" i="2"/>
  <c r="Q32" i="2" l="1"/>
  <c r="P32" i="2"/>
  <c r="O32" i="2"/>
  <c r="N32" i="2"/>
  <c r="M32" i="2"/>
  <c r="J32" i="2" l="1"/>
  <c r="I32" i="2"/>
  <c r="H32" i="2"/>
  <c r="G32" i="2"/>
  <c r="F32" i="2"/>
  <c r="E32" i="2"/>
  <c r="D32" i="2"/>
  <c r="C32" i="2"/>
  <c r="B32" i="2"/>
  <c r="AH31" i="2" l="1"/>
  <c r="AG31" i="2"/>
  <c r="AF31" i="2"/>
  <c r="AH30" i="2"/>
  <c r="AG30" i="2"/>
  <c r="AF30" i="2"/>
  <c r="W31" i="2"/>
  <c r="V31" i="2"/>
  <c r="W30" i="2"/>
  <c r="V30" i="2"/>
  <c r="Q31" i="2" l="1"/>
  <c r="P31" i="2"/>
  <c r="Q30" i="2"/>
  <c r="P30" i="2"/>
  <c r="O31" i="2"/>
  <c r="N31" i="2"/>
  <c r="M31" i="2"/>
  <c r="O30" i="2"/>
  <c r="N30" i="2"/>
  <c r="M30" i="2"/>
  <c r="J31" i="2" l="1"/>
  <c r="I31" i="2"/>
  <c r="H31" i="2"/>
  <c r="G31" i="2"/>
  <c r="F31" i="2"/>
  <c r="E31" i="2"/>
  <c r="D31" i="2"/>
  <c r="C31" i="2"/>
  <c r="B31" i="2"/>
  <c r="J30" i="2"/>
  <c r="I30" i="2"/>
  <c r="H30" i="2"/>
  <c r="G30" i="2"/>
  <c r="F30" i="2"/>
  <c r="E30" i="2"/>
  <c r="D30" i="2"/>
  <c r="C30" i="2"/>
  <c r="B30" i="2"/>
  <c r="AH29" i="2" l="1"/>
  <c r="AG29" i="2"/>
  <c r="AF29" i="2"/>
  <c r="W29" i="2"/>
  <c r="V29" i="2"/>
  <c r="Q29" i="2" l="1"/>
  <c r="P29" i="2"/>
  <c r="O29" i="2"/>
  <c r="N29" i="2"/>
  <c r="M29" i="2"/>
  <c r="J29" i="2" l="1"/>
  <c r="I29" i="2"/>
  <c r="H29" i="2"/>
  <c r="G29" i="2"/>
  <c r="F29" i="2"/>
  <c r="E29" i="2"/>
  <c r="D29" i="2"/>
  <c r="C29" i="2"/>
  <c r="B29" i="2"/>
  <c r="AH28" i="2" l="1"/>
  <c r="AG28" i="2"/>
  <c r="AF28" i="2"/>
  <c r="W28" i="2"/>
  <c r="V28" i="2"/>
  <c r="Q28" i="2" l="1"/>
  <c r="P28" i="2"/>
  <c r="O28" i="2"/>
  <c r="N28" i="2"/>
  <c r="M28" i="2"/>
  <c r="J28" i="2" l="1"/>
  <c r="I28" i="2"/>
  <c r="H28" i="2"/>
  <c r="G28" i="2"/>
  <c r="F28" i="2"/>
  <c r="E28" i="2"/>
  <c r="D28" i="2"/>
  <c r="C28" i="2"/>
  <c r="B28" i="2"/>
  <c r="AH27" i="2" l="1"/>
  <c r="AG27" i="2"/>
  <c r="AF27" i="2"/>
  <c r="W27" i="2"/>
  <c r="V27" i="2"/>
  <c r="Q27" i="2" l="1"/>
  <c r="P27" i="2"/>
  <c r="O27" i="2"/>
  <c r="N27" i="2"/>
  <c r="M27" i="2"/>
  <c r="J27" i="2" l="1"/>
  <c r="I27" i="2"/>
  <c r="H27" i="2"/>
  <c r="G27" i="2"/>
  <c r="F27" i="2"/>
  <c r="E27" i="2"/>
  <c r="D27" i="2"/>
  <c r="C27" i="2"/>
  <c r="B27" i="2"/>
  <c r="AH26" i="2" l="1"/>
  <c r="AG26" i="2"/>
  <c r="AF26" i="2"/>
  <c r="W26" i="2"/>
  <c r="V26" i="2"/>
  <c r="Q26" i="2" l="1"/>
  <c r="P26" i="2"/>
  <c r="O26" i="2"/>
  <c r="N26" i="2"/>
  <c r="M26" i="2"/>
  <c r="J26" i="2" l="1"/>
  <c r="I26" i="2"/>
  <c r="H26" i="2"/>
  <c r="G26" i="2"/>
  <c r="F26" i="2"/>
  <c r="E26" i="2"/>
  <c r="D26" i="2"/>
  <c r="C26" i="2"/>
  <c r="B26" i="2"/>
  <c r="AH25" i="2" l="1"/>
  <c r="AG25" i="2"/>
  <c r="AF25" i="2"/>
  <c r="W25" i="2"/>
  <c r="V25" i="2"/>
  <c r="Q25" i="2" l="1"/>
  <c r="P25" i="2"/>
  <c r="O25" i="2"/>
  <c r="N25" i="2"/>
  <c r="M25" i="2"/>
  <c r="J25" i="2" l="1"/>
  <c r="I25" i="2"/>
  <c r="H25" i="2"/>
  <c r="G25" i="2"/>
  <c r="F25" i="2"/>
  <c r="E25" i="2"/>
  <c r="D25" i="2"/>
  <c r="C25" i="2"/>
  <c r="B25" i="2"/>
  <c r="W23" i="2" l="1"/>
  <c r="AH24" i="2" l="1"/>
  <c r="AG24" i="2"/>
  <c r="AF24" i="2"/>
  <c r="AH23" i="2"/>
  <c r="AG23" i="2"/>
  <c r="AF23" i="2"/>
  <c r="W24" i="2"/>
  <c r="V24" i="2"/>
  <c r="V23" i="2"/>
  <c r="Q24" i="2" l="1"/>
  <c r="P24" i="2"/>
  <c r="Q23" i="2"/>
  <c r="P23" i="2"/>
  <c r="O24" i="2"/>
  <c r="N24" i="2"/>
  <c r="M24" i="2"/>
  <c r="O23" i="2"/>
  <c r="N23" i="2"/>
  <c r="M23" i="2"/>
  <c r="J24" i="2" l="1"/>
  <c r="I24" i="2"/>
  <c r="H24" i="2"/>
  <c r="G24" i="2"/>
  <c r="F24" i="2"/>
  <c r="E24" i="2"/>
  <c r="D24" i="2"/>
  <c r="C24" i="2"/>
  <c r="B24" i="2"/>
  <c r="J23" i="2"/>
  <c r="I23" i="2"/>
  <c r="H23" i="2"/>
  <c r="G23" i="2"/>
  <c r="F23" i="2"/>
  <c r="E23" i="2"/>
  <c r="D23" i="2"/>
  <c r="C23" i="2"/>
  <c r="B23" i="2"/>
  <c r="AH22" i="2" l="1"/>
  <c r="AG22" i="2"/>
  <c r="AF22" i="2"/>
  <c r="W22" i="2"/>
  <c r="V22" i="2"/>
  <c r="Q22" i="2"/>
  <c r="P22" i="2"/>
  <c r="O22" i="2"/>
  <c r="N22" i="2"/>
  <c r="M22" i="2"/>
  <c r="J22" i="2" l="1"/>
  <c r="I22" i="2"/>
  <c r="H22" i="2"/>
  <c r="G22" i="2"/>
  <c r="F22" i="2"/>
  <c r="E22" i="2"/>
  <c r="D22" i="2"/>
  <c r="C22" i="2"/>
  <c r="B22" i="2"/>
  <c r="AH21" i="2" l="1"/>
  <c r="AG21" i="2"/>
  <c r="AF21" i="2"/>
  <c r="W21" i="2"/>
  <c r="V21" i="2"/>
  <c r="Q21" i="2" l="1"/>
  <c r="P21" i="2"/>
  <c r="O21" i="2"/>
  <c r="N21" i="2"/>
  <c r="M21" i="2"/>
  <c r="J21" i="2" l="1"/>
  <c r="I21" i="2"/>
  <c r="H21" i="2"/>
  <c r="G21" i="2"/>
  <c r="F21" i="2"/>
  <c r="E21" i="2"/>
  <c r="D21" i="2"/>
  <c r="C21" i="2"/>
  <c r="B21" i="2"/>
  <c r="AH20" i="2" l="1"/>
  <c r="AG20" i="2"/>
  <c r="AF20" i="2"/>
  <c r="W20" i="2"/>
  <c r="V20" i="2"/>
  <c r="Q20" i="2" l="1"/>
  <c r="P20" i="2"/>
  <c r="O20" i="2"/>
  <c r="N20" i="2"/>
  <c r="M20" i="2"/>
  <c r="J20" i="2" l="1"/>
  <c r="I20" i="2"/>
  <c r="H20" i="2"/>
  <c r="G20" i="2"/>
  <c r="F20" i="2"/>
  <c r="E20" i="2"/>
  <c r="D20" i="2"/>
  <c r="C20" i="2"/>
  <c r="B20" i="2"/>
  <c r="AH19" i="2" l="1"/>
  <c r="AG19" i="2"/>
  <c r="AF19" i="2"/>
  <c r="W19" i="2"/>
  <c r="V19" i="2"/>
  <c r="Q19" i="2" l="1"/>
  <c r="P19" i="2"/>
  <c r="O19" i="2"/>
  <c r="N19" i="2"/>
  <c r="M19" i="2"/>
  <c r="J19" i="2" l="1"/>
  <c r="I19" i="2"/>
  <c r="H19" i="2"/>
  <c r="G19" i="2"/>
  <c r="F19" i="2"/>
  <c r="E19" i="2"/>
  <c r="D19" i="2"/>
  <c r="C19" i="2"/>
  <c r="B19" i="2"/>
  <c r="AH18" i="2" l="1"/>
  <c r="AG18" i="2"/>
  <c r="AF18" i="2"/>
  <c r="W18" i="2"/>
  <c r="V18" i="2"/>
  <c r="Q18" i="2" l="1"/>
  <c r="P18" i="2"/>
  <c r="O18" i="2"/>
  <c r="N18" i="2"/>
  <c r="M18" i="2"/>
  <c r="J18" i="2" l="1"/>
  <c r="I18" i="2"/>
  <c r="H18" i="2"/>
  <c r="G18" i="2"/>
  <c r="F18" i="2"/>
  <c r="E18" i="2"/>
  <c r="D18" i="2"/>
  <c r="C18" i="2"/>
  <c r="B18" i="2"/>
  <c r="AH17" i="2" l="1"/>
  <c r="AG17" i="2"/>
  <c r="AF17" i="2"/>
  <c r="AH16" i="2"/>
  <c r="AG16" i="2"/>
  <c r="AF16" i="2"/>
  <c r="W17" i="2"/>
  <c r="V17" i="2"/>
  <c r="W16" i="2"/>
  <c r="V16" i="2"/>
  <c r="Q17" i="2" l="1"/>
  <c r="P17" i="2"/>
  <c r="Q16" i="2"/>
  <c r="P16" i="2"/>
  <c r="O17" i="2"/>
  <c r="N17" i="2"/>
  <c r="M17" i="2"/>
  <c r="O16" i="2"/>
  <c r="N16" i="2"/>
  <c r="M16" i="2"/>
  <c r="J17" i="2" l="1"/>
  <c r="I17" i="2"/>
  <c r="H17" i="2"/>
  <c r="G17" i="2"/>
  <c r="F17" i="2"/>
  <c r="E17" i="2"/>
  <c r="D17" i="2"/>
  <c r="C17" i="2"/>
  <c r="B17" i="2"/>
  <c r="J16" i="2"/>
  <c r="I16" i="2"/>
  <c r="H16" i="2"/>
  <c r="G16" i="2"/>
  <c r="F16" i="2"/>
  <c r="E16" i="2"/>
  <c r="D16" i="2"/>
  <c r="C16" i="2"/>
  <c r="B16" i="2"/>
  <c r="AH15" i="2" l="1"/>
  <c r="AG15" i="2"/>
  <c r="AF15" i="2"/>
  <c r="W15" i="2"/>
  <c r="V15" i="2"/>
  <c r="Q15" i="2" l="1"/>
  <c r="P15" i="2"/>
  <c r="O15" i="2"/>
  <c r="N15" i="2"/>
  <c r="M15" i="2"/>
  <c r="J15" i="2" l="1"/>
  <c r="I15" i="2"/>
  <c r="H15" i="2"/>
  <c r="G15" i="2"/>
  <c r="F15" i="2"/>
  <c r="E15" i="2"/>
  <c r="D15" i="2"/>
  <c r="C15" i="2"/>
  <c r="B15" i="2"/>
  <c r="AH14" i="2" l="1"/>
  <c r="AG14" i="2"/>
  <c r="AF14" i="2"/>
  <c r="W14" i="2"/>
  <c r="V14" i="2"/>
  <c r="Q14" i="2" l="1"/>
  <c r="P14" i="2"/>
  <c r="O14" i="2"/>
  <c r="N14" i="2"/>
  <c r="M14" i="2"/>
  <c r="J14" i="2" l="1"/>
  <c r="I14" i="2"/>
  <c r="H14" i="2"/>
  <c r="G14" i="2"/>
  <c r="F14" i="2"/>
  <c r="E14" i="2"/>
  <c r="D14" i="2"/>
  <c r="C14" i="2"/>
  <c r="B14" i="2"/>
  <c r="AH13" i="2" l="1"/>
  <c r="AG13" i="2"/>
  <c r="AF13" i="2"/>
  <c r="W13" i="2"/>
  <c r="V13" i="2"/>
  <c r="Q13" i="2" l="1"/>
  <c r="P13" i="2"/>
  <c r="O13" i="2"/>
  <c r="N13" i="2"/>
  <c r="M13" i="2"/>
  <c r="J13" i="2"/>
  <c r="I13" i="2"/>
  <c r="H13" i="2"/>
  <c r="G13" i="2"/>
  <c r="F13" i="2"/>
  <c r="E13" i="2"/>
  <c r="D13" i="2"/>
  <c r="C13" i="2"/>
  <c r="B13" i="2"/>
  <c r="AH12" i="2" l="1"/>
  <c r="AG12" i="2"/>
  <c r="AF12" i="2"/>
  <c r="W12" i="2"/>
  <c r="V12" i="2"/>
  <c r="Q12" i="2"/>
  <c r="P12" i="2"/>
  <c r="O12" i="2"/>
  <c r="N12" i="2"/>
  <c r="M12" i="2"/>
  <c r="J12" i="2" l="1"/>
  <c r="I12" i="2"/>
  <c r="H12" i="2"/>
  <c r="G12" i="2"/>
  <c r="F12" i="2"/>
  <c r="E12" i="2"/>
  <c r="D12" i="2"/>
  <c r="C12" i="2"/>
  <c r="B12" i="2"/>
  <c r="AH11" i="2" l="1"/>
  <c r="AG11" i="2"/>
  <c r="AF11" i="2"/>
  <c r="W11" i="2"/>
  <c r="V11" i="2"/>
  <c r="Q11" i="2" l="1"/>
  <c r="P11" i="2"/>
  <c r="O11" i="2"/>
  <c r="N11" i="2"/>
  <c r="M11" i="2"/>
  <c r="J11" i="2" l="1"/>
  <c r="I11" i="2"/>
  <c r="H11" i="2"/>
  <c r="G11" i="2"/>
  <c r="F11" i="2"/>
  <c r="E11" i="2"/>
  <c r="D11" i="2"/>
  <c r="C11" i="2"/>
  <c r="B11" i="2"/>
  <c r="AH10" i="2" l="1"/>
  <c r="AG10" i="2"/>
  <c r="AF10" i="2"/>
  <c r="AH9" i="2"/>
  <c r="AG9" i="2"/>
  <c r="AF9" i="2"/>
  <c r="W10" i="2"/>
  <c r="V10" i="2"/>
  <c r="W9" i="2"/>
  <c r="V9" i="2"/>
  <c r="Q10" i="2" l="1"/>
  <c r="P10" i="2"/>
  <c r="Q9" i="2"/>
  <c r="P9" i="2"/>
  <c r="O10" i="2"/>
  <c r="N10" i="2"/>
  <c r="M10" i="2"/>
  <c r="O9" i="2"/>
  <c r="N9" i="2"/>
  <c r="M9" i="2"/>
  <c r="J10" i="2" l="1"/>
  <c r="I10" i="2"/>
  <c r="H10" i="2"/>
  <c r="G10" i="2"/>
  <c r="F10" i="2"/>
  <c r="E10" i="2"/>
  <c r="D10" i="2"/>
  <c r="C10" i="2"/>
  <c r="B10" i="2"/>
  <c r="J9" i="2"/>
  <c r="I9" i="2"/>
  <c r="H9" i="2"/>
  <c r="G9" i="2"/>
  <c r="F9" i="2"/>
  <c r="E9" i="2"/>
  <c r="D9" i="2"/>
  <c r="C9" i="2"/>
  <c r="B9" i="2"/>
  <c r="AH8" i="2" l="1"/>
  <c r="AG8" i="2"/>
  <c r="AF8" i="2"/>
  <c r="W8" i="2"/>
  <c r="V8" i="2"/>
  <c r="Q8" i="2" l="1"/>
  <c r="P8" i="2"/>
  <c r="O8" i="2"/>
  <c r="N8" i="2"/>
  <c r="M8" i="2"/>
  <c r="J8" i="2" l="1"/>
  <c r="I8" i="2"/>
  <c r="H8" i="2"/>
  <c r="G8" i="2"/>
  <c r="F8" i="2"/>
  <c r="E8" i="2"/>
  <c r="D8" i="2"/>
  <c r="C8" i="2"/>
  <c r="B8" i="2"/>
  <c r="AH7" i="2" l="1"/>
  <c r="AG7" i="2"/>
  <c r="AF7" i="2"/>
  <c r="W7" i="2"/>
  <c r="V7" i="2"/>
  <c r="Q7" i="2"/>
  <c r="P7" i="2"/>
  <c r="O7" i="2"/>
  <c r="N7" i="2"/>
  <c r="M7" i="2"/>
  <c r="J7" i="2" l="1"/>
  <c r="I7" i="2"/>
  <c r="H7" i="2"/>
  <c r="G7" i="2"/>
  <c r="F7" i="2"/>
  <c r="E7" i="2"/>
  <c r="D7" i="2"/>
  <c r="C7" i="2"/>
  <c r="B7" i="2"/>
  <c r="AH6" i="2" l="1"/>
  <c r="AG6" i="2"/>
  <c r="AF6" i="2"/>
  <c r="W6" i="2"/>
  <c r="V6" i="2"/>
  <c r="Q6" i="2" l="1"/>
  <c r="P6" i="2"/>
  <c r="O6" i="2"/>
  <c r="N6" i="2"/>
  <c r="M6" i="2"/>
  <c r="J6" i="2" l="1"/>
  <c r="I6" i="2"/>
  <c r="H6" i="2"/>
  <c r="G6" i="2"/>
  <c r="F6" i="2"/>
  <c r="E6" i="2"/>
  <c r="D6" i="2"/>
  <c r="C6" i="2"/>
  <c r="B6" i="2"/>
  <c r="N31" i="1" l="1"/>
  <c r="U31" i="3"/>
  <c r="V31" i="3"/>
  <c r="W31" i="3"/>
  <c r="M31" i="1"/>
  <c r="E31" i="3"/>
  <c r="F31" i="3"/>
  <c r="G31" i="3"/>
  <c r="H31" i="3"/>
  <c r="I31" i="3"/>
  <c r="J31" i="3"/>
  <c r="K31" i="3"/>
  <c r="L31" i="3"/>
  <c r="M31" i="3"/>
  <c r="Q31" i="3"/>
  <c r="R31" i="3"/>
  <c r="AI35" i="2"/>
  <c r="AK35" i="2" s="1"/>
  <c r="AL35" i="2" s="1"/>
  <c r="AM35" i="2" s="1"/>
  <c r="AC35" i="2"/>
  <c r="AD35" i="2" s="1"/>
  <c r="AE35" i="2" s="1"/>
  <c r="Z35" i="2"/>
  <c r="AA35" i="2" s="1"/>
  <c r="T35" i="2"/>
  <c r="N31" i="3" s="1"/>
  <c r="R35" i="2"/>
  <c r="O31" i="3" s="1"/>
  <c r="S35" i="2"/>
  <c r="K35" i="2"/>
  <c r="L35" i="2"/>
  <c r="U35" i="2" l="1"/>
  <c r="K31" i="1"/>
  <c r="E31" i="1"/>
  <c r="P31" i="3"/>
  <c r="G31" i="1" s="1"/>
  <c r="AO35" i="2"/>
  <c r="X31" i="3"/>
  <c r="T31" i="3"/>
  <c r="I31" i="1" s="1"/>
  <c r="S31" i="3"/>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7" i="2"/>
  <c r="AI6" i="2" l="1"/>
  <c r="AC6" i="2"/>
  <c r="AN36" i="2" l="1"/>
  <c r="AH36" i="2"/>
  <c r="AG36" i="2"/>
  <c r="AF36" i="2"/>
  <c r="J36" i="2"/>
  <c r="I36" i="2"/>
  <c r="H36" i="2"/>
  <c r="G36" i="2"/>
  <c r="D36" i="2"/>
  <c r="Z32" i="3"/>
  <c r="Z7" i="2"/>
  <c r="K6" i="2" l="1"/>
  <c r="L6" i="2" l="1"/>
  <c r="M4" i="1"/>
  <c r="M5" i="1"/>
  <c r="M6" i="1"/>
  <c r="M8" i="1"/>
  <c r="M9" i="1"/>
  <c r="M10" i="1"/>
  <c r="M11" i="1"/>
  <c r="M12" i="1"/>
  <c r="M13" i="1"/>
  <c r="M14" i="1"/>
  <c r="M16" i="1"/>
  <c r="M17" i="1"/>
  <c r="M18" i="1"/>
  <c r="M19" i="1"/>
  <c r="M20" i="1"/>
  <c r="M21" i="1"/>
  <c r="M22" i="1"/>
  <c r="M24" i="1"/>
  <c r="M25" i="1"/>
  <c r="M26" i="1"/>
  <c r="M28" i="1"/>
  <c r="M29" i="1"/>
  <c r="M30" i="1"/>
  <c r="M3"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5" i="1"/>
  <c r="M23" i="1"/>
  <c r="M27" i="1"/>
  <c r="N32" i="1" l="1"/>
  <c r="Z9" i="2"/>
  <c r="P5" i="3" s="1"/>
  <c r="G5" i="1" s="1"/>
  <c r="Z10" i="2"/>
  <c r="AA10" i="2" s="1"/>
  <c r="Z11" i="2"/>
  <c r="AA11" i="2" s="1"/>
  <c r="Z12" i="2"/>
  <c r="Z13" i="2"/>
  <c r="AA13" i="2" s="1"/>
  <c r="Z14" i="2"/>
  <c r="AA14" i="2" s="1"/>
  <c r="Z15" i="2"/>
  <c r="AA15" i="2" s="1"/>
  <c r="Z16" i="2"/>
  <c r="AA16" i="2" s="1"/>
  <c r="AD17" i="2"/>
  <c r="R15" i="2"/>
  <c r="O11" i="3" s="1"/>
  <c r="R16" i="2"/>
  <c r="O12" i="3" s="1"/>
  <c r="R17" i="2"/>
  <c r="O13" i="3" s="1"/>
  <c r="R18" i="2"/>
  <c r="O14" i="3" s="1"/>
  <c r="R19" i="2"/>
  <c r="O15" i="3" s="1"/>
  <c r="R20" i="2"/>
  <c r="O16" i="3" s="1"/>
  <c r="R21" i="2"/>
  <c r="O17" i="3" s="1"/>
  <c r="R22" i="2"/>
  <c r="R23" i="2"/>
  <c r="O19" i="3" s="1"/>
  <c r="R24" i="2"/>
  <c r="O20" i="3" s="1"/>
  <c r="R25" i="2"/>
  <c r="O21" i="3" s="1"/>
  <c r="R26" i="2"/>
  <c r="R27" i="2"/>
  <c r="O23" i="3" s="1"/>
  <c r="R28" i="2"/>
  <c r="O24" i="3" s="1"/>
  <c r="R29" i="2"/>
  <c r="O25" i="3" s="1"/>
  <c r="R30" i="2"/>
  <c r="O26" i="3" s="1"/>
  <c r="R31" i="2"/>
  <c r="O27" i="3" s="1"/>
  <c r="R32" i="2"/>
  <c r="O28" i="3" s="1"/>
  <c r="R33" i="2"/>
  <c r="O29" i="3" s="1"/>
  <c r="R34" i="2"/>
  <c r="O30" i="3" s="1"/>
  <c r="R6" i="2"/>
  <c r="R7" i="2"/>
  <c r="O3" i="3" s="1"/>
  <c r="R8" i="2"/>
  <c r="O4" i="3" s="1"/>
  <c r="R9" i="2"/>
  <c r="O5" i="3" s="1"/>
  <c r="R10" i="2"/>
  <c r="O6" i="3" s="1"/>
  <c r="R11" i="2"/>
  <c r="O7" i="3" s="1"/>
  <c r="R12" i="2"/>
  <c r="O8" i="3" s="1"/>
  <c r="R13" i="2"/>
  <c r="R14" i="2"/>
  <c r="O10" i="3" s="1"/>
  <c r="AK11" i="2"/>
  <c r="X7" i="3" s="1"/>
  <c r="AK12" i="2"/>
  <c r="X8" i="3" s="1"/>
  <c r="AK15" i="2"/>
  <c r="AK16" i="2"/>
  <c r="AL16" i="2" s="1"/>
  <c r="AM16" i="2" s="1"/>
  <c r="AK20" i="2"/>
  <c r="AK24" i="2"/>
  <c r="X20" i="3" s="1"/>
  <c r="AK28" i="2"/>
  <c r="AK31" i="2"/>
  <c r="AL31" i="2" s="1"/>
  <c r="AM31" i="2" s="1"/>
  <c r="AK32" i="2"/>
  <c r="AK34" i="2"/>
  <c r="AD10" i="2"/>
  <c r="AE10" i="2" s="1"/>
  <c r="AD13" i="2"/>
  <c r="AE13" i="2" s="1"/>
  <c r="AD14" i="2"/>
  <c r="AE14" i="2" s="1"/>
  <c r="AD19" i="2"/>
  <c r="AE19" i="2" s="1"/>
  <c r="AD22" i="2"/>
  <c r="AE22" i="2" s="1"/>
  <c r="AD26" i="2"/>
  <c r="AE26" i="2" s="1"/>
  <c r="AD27" i="2"/>
  <c r="AE27" i="2" s="1"/>
  <c r="AD28" i="2"/>
  <c r="AE28" i="2" s="1"/>
  <c r="AD29" i="2"/>
  <c r="AE29" i="2" s="1"/>
  <c r="AD31" i="2"/>
  <c r="AE31" i="2" s="1"/>
  <c r="AD33" i="2"/>
  <c r="AE33" i="2" s="1"/>
  <c r="AK7" i="2"/>
  <c r="AL7" i="2" s="1"/>
  <c r="AM7" i="2" s="1"/>
  <c r="AD8" i="2"/>
  <c r="AE8" i="2" s="1"/>
  <c r="AD7" i="2"/>
  <c r="AE7" i="2" s="1"/>
  <c r="AD6" i="2"/>
  <c r="AE6" i="2" s="1"/>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D30" i="2"/>
  <c r="AE30" i="2" s="1"/>
  <c r="AD32" i="2"/>
  <c r="AD34" i="2"/>
  <c r="AE34" i="2" s="1"/>
  <c r="AD41" i="2"/>
  <c r="D37" i="2"/>
  <c r="D38" i="2" s="1"/>
  <c r="G3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G30" i="1" s="1"/>
  <c r="P3" i="3"/>
  <c r="Z8" i="2"/>
  <c r="AA8" i="2" s="1"/>
  <c r="P9" i="3"/>
  <c r="G9" i="1"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O9" i="3"/>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S33" i="2"/>
  <c r="S32" i="2"/>
  <c r="S31" i="2"/>
  <c r="S30" i="2"/>
  <c r="S29" i="2"/>
  <c r="S28" i="2"/>
  <c r="S27" i="2"/>
  <c r="S26" i="2"/>
  <c r="O22" i="3"/>
  <c r="S25" i="2"/>
  <c r="S24" i="2"/>
  <c r="S23" i="2"/>
  <c r="S22" i="2"/>
  <c r="O18" i="3"/>
  <c r="S21" i="2"/>
  <c r="S20" i="2"/>
  <c r="S19" i="2"/>
  <c r="S18" i="2"/>
  <c r="B3" i="3"/>
  <c r="B4" i="3" s="1"/>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D39" i="2"/>
  <c r="N29" i="3"/>
  <c r="U19" i="2"/>
  <c r="T23" i="3"/>
  <c r="P28" i="3" l="1"/>
  <c r="G28" i="1" s="1"/>
  <c r="U32" i="2"/>
  <c r="N24" i="3"/>
  <c r="K24" i="1" s="1"/>
  <c r="AL25" i="2"/>
  <c r="AM25" i="2" s="1"/>
  <c r="U15" i="2"/>
  <c r="AO15" i="2" s="1"/>
  <c r="N3" i="3"/>
  <c r="K3" i="1" s="1"/>
  <c r="K28" i="1"/>
  <c r="P17" i="3"/>
  <c r="G17" i="1" s="1"/>
  <c r="P15" i="3"/>
  <c r="G15" i="1" s="1"/>
  <c r="P27" i="3"/>
  <c r="P19" i="3"/>
  <c r="G19" i="1" s="1"/>
  <c r="T28" i="3"/>
  <c r="AE32" i="2"/>
  <c r="AO32" i="2" s="1"/>
  <c r="T27" i="3"/>
  <c r="N19" i="3"/>
  <c r="T12" i="3"/>
  <c r="T22" i="3"/>
  <c r="I22" i="1" s="1"/>
  <c r="T21" i="3"/>
  <c r="AE25" i="2"/>
  <c r="T13" i="3"/>
  <c r="AE17" i="2"/>
  <c r="T30" i="3"/>
  <c r="P11" i="3"/>
  <c r="G11" i="1" s="1"/>
  <c r="X18" i="3"/>
  <c r="T17" i="3"/>
  <c r="I17" i="1" s="1"/>
  <c r="X9" i="3"/>
  <c r="N10" i="3"/>
  <c r="K10" i="1" s="1"/>
  <c r="U11" i="2"/>
  <c r="AO11" i="2" s="1"/>
  <c r="P26" i="3"/>
  <c r="G26" i="1" s="1"/>
  <c r="U17" i="2"/>
  <c r="T3" i="3"/>
  <c r="S27" i="3"/>
  <c r="P24" i="3"/>
  <c r="G24" i="1" s="1"/>
  <c r="U16" i="2"/>
  <c r="AO16" i="2" s="1"/>
  <c r="U30" i="2"/>
  <c r="M32" i="3"/>
  <c r="V32" i="3"/>
  <c r="I32" i="3"/>
  <c r="T7" i="3"/>
  <c r="I7" i="1" s="1"/>
  <c r="U9" i="2"/>
  <c r="K32" i="3"/>
  <c r="J32" i="3"/>
  <c r="W32" i="3"/>
  <c r="U32" i="3"/>
  <c r="T5" i="3"/>
  <c r="I5" i="1" s="1"/>
  <c r="Q32" i="3"/>
  <c r="U8" i="2"/>
  <c r="T36" i="2"/>
  <c r="U36" i="2" s="1"/>
  <c r="L32" i="3"/>
  <c r="X27" i="3"/>
  <c r="AL11" i="2"/>
  <c r="AM11" i="2" s="1"/>
  <c r="X10" i="3"/>
  <c r="T20" i="3"/>
  <c r="I20" i="1" s="1"/>
  <c r="P4" i="3"/>
  <c r="G4" i="1" s="1"/>
  <c r="R32" i="3"/>
  <c r="L7" i="2"/>
  <c r="L36" i="2" s="1"/>
  <c r="K36" i="2"/>
  <c r="X2" i="3"/>
  <c r="AK36" i="2"/>
  <c r="AD36" i="2"/>
  <c r="AE36" i="2" s="1"/>
  <c r="AA6" i="2"/>
  <c r="Z36" i="2"/>
  <c r="O2" i="3"/>
  <c r="O32" i="3" s="1"/>
  <c r="R36" i="2"/>
  <c r="R38" i="2" s="1"/>
  <c r="S5" i="3"/>
  <c r="E30" i="1"/>
  <c r="E17" i="1"/>
  <c r="N2" i="3"/>
  <c r="U6" i="2"/>
  <c r="AL6" i="2"/>
  <c r="AM6" i="2" s="1"/>
  <c r="G3" i="1"/>
  <c r="S3" i="3"/>
  <c r="P2" i="3"/>
  <c r="AA7" i="2"/>
  <c r="U25" i="2"/>
  <c r="I21" i="1"/>
  <c r="N18" i="3"/>
  <c r="K18" i="1" s="1"/>
  <c r="S23" i="3"/>
  <c r="K30" i="1"/>
  <c r="E29" i="1"/>
  <c r="K7" i="1"/>
  <c r="S30" i="3"/>
  <c r="X26" i="3"/>
  <c r="X13" i="3"/>
  <c r="AL21" i="2"/>
  <c r="AM21" i="2" s="1"/>
  <c r="T25" i="3"/>
  <c r="I25" i="1" s="1"/>
  <c r="T11" i="3"/>
  <c r="T16" i="3"/>
  <c r="AA17" i="2"/>
  <c r="K15" i="1"/>
  <c r="K11" i="1"/>
  <c r="K8" i="1"/>
  <c r="K4" i="1"/>
  <c r="K25" i="1"/>
  <c r="K29" i="1"/>
  <c r="E24" i="1"/>
  <c r="E13" i="1"/>
  <c r="E6" i="1"/>
  <c r="X30" i="3"/>
  <c r="AL34" i="2"/>
  <c r="AM34" i="2" s="1"/>
  <c r="AL24" i="2"/>
  <c r="AM24" i="2" s="1"/>
  <c r="AL9" i="2"/>
  <c r="AM9" i="2" s="1"/>
  <c r="X4" i="3"/>
  <c r="X19" i="3"/>
  <c r="T8" i="3"/>
  <c r="I8" i="1" s="1"/>
  <c r="T24" i="3"/>
  <c r="G13" i="1"/>
  <c r="S13" i="3"/>
  <c r="AO33" i="2"/>
  <c r="S14" i="3"/>
  <c r="P29" i="3"/>
  <c r="AA9" i="2"/>
  <c r="P10" i="3"/>
  <c r="P25" i="3"/>
  <c r="G25" i="1" s="1"/>
  <c r="N9" i="3"/>
  <c r="K9" i="1" s="1"/>
  <c r="N16" i="3"/>
  <c r="K16" i="1" s="1"/>
  <c r="N27" i="3"/>
  <c r="K27" i="1" s="1"/>
  <c r="K26" i="1"/>
  <c r="K13" i="1"/>
  <c r="N23" i="3"/>
  <c r="K23" i="1" s="1"/>
  <c r="K19" i="1"/>
  <c r="AO28" i="2"/>
  <c r="K5" i="1"/>
  <c r="K12" i="1"/>
  <c r="N20" i="3"/>
  <c r="K20" i="1" s="1"/>
  <c r="AO31" i="2"/>
  <c r="K21" i="1"/>
  <c r="U12" i="2"/>
  <c r="K6" i="1"/>
  <c r="AO20" i="2"/>
  <c r="E12" i="1"/>
  <c r="E9" i="1"/>
  <c r="E7" i="1"/>
  <c r="E4" i="1"/>
  <c r="E3" i="1"/>
  <c r="E23" i="1"/>
  <c r="E18" i="1"/>
  <c r="E16" i="1"/>
  <c r="E15" i="1"/>
  <c r="E14" i="1"/>
  <c r="E25" i="1"/>
  <c r="AO21" i="2"/>
  <c r="E28" i="1"/>
  <c r="E27" i="1"/>
  <c r="E26" i="1"/>
  <c r="E22" i="1"/>
  <c r="E21" i="1"/>
  <c r="E20" i="1"/>
  <c r="E19" i="1"/>
  <c r="E11" i="1"/>
  <c r="E10" i="1"/>
  <c r="E8" i="1"/>
  <c r="E5" i="1"/>
  <c r="E2" i="1"/>
  <c r="AO30" i="2"/>
  <c r="T4" i="3"/>
  <c r="AO19" i="2"/>
  <c r="T15" i="3"/>
  <c r="AO13" i="2"/>
  <c r="T9" i="3"/>
  <c r="AL15" i="2"/>
  <c r="AM15" i="2" s="1"/>
  <c r="X11" i="3"/>
  <c r="T18" i="3"/>
  <c r="S22" i="3"/>
  <c r="S21" i="3"/>
  <c r="G21" i="1"/>
  <c r="AO23" i="2"/>
  <c r="T10" i="3"/>
  <c r="AO14" i="2"/>
  <c r="AL32" i="2"/>
  <c r="AM32" i="2" s="1"/>
  <c r="X28" i="3"/>
  <c r="AL28" i="2"/>
  <c r="AM28" i="2" s="1"/>
  <c r="X24" i="3"/>
  <c r="X16" i="3"/>
  <c r="AL20" i="2"/>
  <c r="AM20" i="2" s="1"/>
  <c r="T6" i="3"/>
  <c r="AO22" i="2"/>
  <c r="X3" i="3"/>
  <c r="X12" i="3"/>
  <c r="I12" i="1" s="1"/>
  <c r="AA26" i="2"/>
  <c r="AO26" i="2" s="1"/>
  <c r="N22" i="3"/>
  <c r="K22" i="1" s="1"/>
  <c r="N17" i="3"/>
  <c r="K17" i="1" s="1"/>
  <c r="T19" i="3"/>
  <c r="P18" i="3"/>
  <c r="P7" i="3"/>
  <c r="AA25" i="2"/>
  <c r="P12" i="3"/>
  <c r="S9" i="3"/>
  <c r="T26" i="3"/>
  <c r="AL26" i="2"/>
  <c r="AM26" i="2" s="1"/>
  <c r="S28" i="3"/>
  <c r="T29" i="3"/>
  <c r="I29" i="1" s="1"/>
  <c r="AL29" i="2"/>
  <c r="AM29" i="2" s="1"/>
  <c r="AA24" i="2"/>
  <c r="AO24" i="2" s="1"/>
  <c r="P20" i="3"/>
  <c r="AA34" i="2"/>
  <c r="AA18" i="2"/>
  <c r="AO18" i="2" s="1"/>
  <c r="AA12" i="2"/>
  <c r="P8" i="3"/>
  <c r="AL33" i="2"/>
  <c r="AM33" i="2" s="1"/>
  <c r="AL12" i="2"/>
  <c r="AM12" i="2" s="1"/>
  <c r="T2" i="3"/>
  <c r="G27" i="1"/>
  <c r="N14" i="3"/>
  <c r="K14" i="1" s="1"/>
  <c r="X23" i="3"/>
  <c r="I23" i="1" s="1"/>
  <c r="T14" i="3"/>
  <c r="I14" i="1" s="1"/>
  <c r="U34" i="2"/>
  <c r="U29" i="2"/>
  <c r="AO29" i="2" s="1"/>
  <c r="X6" i="3"/>
  <c r="X15" i="3"/>
  <c r="U10" i="2"/>
  <c r="AO10" i="2" s="1"/>
  <c r="AL18" i="2"/>
  <c r="AM18" i="2" s="1"/>
  <c r="P6" i="3"/>
  <c r="P16" i="3"/>
  <c r="AA27" i="2"/>
  <c r="AO27" i="2" s="1"/>
  <c r="I28" i="1" l="1"/>
  <c r="I27" i="1"/>
  <c r="S11" i="3"/>
  <c r="AO9" i="2"/>
  <c r="S15" i="3"/>
  <c r="AO17" i="2"/>
  <c r="AO7" i="2"/>
  <c r="S17" i="3"/>
  <c r="S26" i="3"/>
  <c r="I13" i="1"/>
  <c r="I10" i="1"/>
  <c r="S19" i="3"/>
  <c r="S24" i="3"/>
  <c r="I18" i="1"/>
  <c r="I24" i="1"/>
  <c r="S4" i="3"/>
  <c r="I9" i="1"/>
  <c r="AO8" i="2"/>
  <c r="I3" i="1"/>
  <c r="I30" i="1"/>
  <c r="T32" i="3"/>
  <c r="AO25" i="2"/>
  <c r="AM36" i="2"/>
  <c r="AL36" i="2"/>
  <c r="AO6" i="2"/>
  <c r="AA36" i="2"/>
  <c r="G2" i="1"/>
  <c r="P32" i="3"/>
  <c r="K2" i="1"/>
  <c r="N32" i="3"/>
  <c r="S25" i="3"/>
  <c r="I16" i="1"/>
  <c r="S2" i="3"/>
  <c r="I4" i="1"/>
  <c r="I26" i="1"/>
  <c r="I19" i="1"/>
  <c r="I11" i="1"/>
  <c r="AO34" i="2"/>
  <c r="S29" i="3"/>
  <c r="G29" i="1"/>
  <c r="G10" i="1"/>
  <c r="S10" i="3"/>
  <c r="U37" i="2"/>
  <c r="X32" i="3" s="1"/>
  <c r="AO12" i="2"/>
  <c r="G20" i="1"/>
  <c r="S20" i="3"/>
  <c r="G18" i="1"/>
  <c r="S18" i="3"/>
  <c r="S12" i="3"/>
  <c r="G12" i="1"/>
  <c r="S16" i="3"/>
  <c r="G16" i="1"/>
  <c r="I2" i="1"/>
  <c r="S8" i="3"/>
  <c r="G8" i="1"/>
  <c r="I15" i="1"/>
  <c r="G6" i="1"/>
  <c r="S6" i="3"/>
  <c r="S7" i="3"/>
  <c r="G7" i="1"/>
  <c r="I6" i="1"/>
  <c r="S32" i="3" l="1"/>
  <c r="AO36" i="2"/>
  <c r="U38" i="2"/>
  <c r="M2" i="1" l="1"/>
  <c r="M32" i="1" s="1"/>
  <c r="Y32"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<sst xmlns="http://schemas.openxmlformats.org/spreadsheetml/2006/main" count="217" uniqueCount="103">
  <si>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</si>
  <si>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</si>
  <si>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</si>
  <si>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</si>
  <si>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</si>
  <si>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</si>
  <si>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</si>
  <si>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</si>
  <si>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</si>
  <si>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</si>
  <si>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</si>
  <si>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</si>
  <si>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</si>
  <si>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</si>
  <si>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</si>
  <si>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</si>
  <si>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</si>
  <si>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</si>
  <si>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</si>
  <si>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</si>
  <si>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</si>
  <si>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</si>
  <si>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</si>
  <si>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</si>
  <si>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</si>
  <si>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</si>
  <si>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</si>
  <si>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</si>
  <si>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</si>
  <si>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</si>
  <si>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</si>
  <si>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</si>
  <si>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</si>
  <si>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</si>
  <si>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</si>
  <si>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</si>
  <si>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</si>
  <si>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</si>
  <si>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</si>
  <si>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</si>
  <si>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</si>
  <si>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</si>
  <si>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</si>
  <si>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</si>
  <si>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</si>
  <si>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</si>
  <si>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</si>
  <si>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</si>
  <si>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</si>
  <si>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</si>
  <si>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</si>
  <si>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</si>
  <si>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</si>
  <si>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</si>
  <si>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</si>
  <si>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</si>
  <si>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</si>
  <si>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</si>
  <si>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</si>
  <si>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</si>
  <si>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</si>
  <si>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</si>
  <si>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</si>
  <si>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</si>
  <si>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</si>
  <si>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</si>
  <si>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</si>
  <si>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</si>
  <si>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</si>
  <si>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</si>
  <si>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</si>
  <si>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</si>
  <si>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</si>
  <si>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</si>
  <si>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</si>
  <si>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</si>
  <si>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</si>
  <si>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</si>
  <si>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</si>
  <si>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</si>
  <si>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</si>
  <si>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</si>
  <si>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</si>
  <si>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</si>
  <si>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</si>
  <si>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</si>
  <si>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</si>
  <si>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</si>
  <si>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</si>
  <si>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</si>
  <si>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</si>
  <si>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</si>
  <si>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</si>
  <si>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</si>
  <si>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</si>
  <si>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</si>
  <si>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</si>
  <si>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</si>
  <si>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</si>
  <si>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</si>
  <si>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</si>
  <si>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</si>
  <si>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AED. 0.332195/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</si>
</sst>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32">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19"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1" fillId="0" borderId="19"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1" fontId="0" fillId="0" borderId="20" xfId="0" applyNumberFormat="1" applyBorder="1" applyAlignment="1">
      <alignment horizont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2"/>
  <sheetViews>
    <sheetView workbookViewId="0">
      <selection activeCell="D28" sqref="D28"/>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0" t="s">
        <v>0</v>
      </c>
      <c r="B1" s="111" t="s">
        <v>1</v>
      </c>
      <c r="C1" s="112" t="s">
        <v>2</v>
      </c>
      <c r="D1" s="111" t="s">
        <v>3</v>
      </c>
      <c r="E1" s="113" t="s">
        <v>4</v>
      </c>
      <c r="F1" s="114" t="s">
        <v>5</v>
      </c>
      <c r="G1" s="113" t="s">
        <v>10</v>
      </c>
      <c r="H1" s="114" t="s">
        <v>11</v>
      </c>
      <c r="I1" s="115" t="s">
        <v>82</v>
      </c>
      <c r="J1" s="116" t="s">
        <v>83</v>
      </c>
      <c r="K1" s="113" t="s">
        <v>6</v>
      </c>
      <c r="L1" s="117" t="s">
        <v>7</v>
      </c>
      <c r="M1" s="113" t="s">
        <v>8</v>
      </c>
      <c r="N1" s="118" t="s">
        <v>9</v>
      </c>
    </row>
    <row r="2" spans="1:15" x14ac:dyDescent="0.25">
      <c r="A2" s="105" t="s">
        <v>80</v>
      </c>
      <c r="B2" s="106">
        <v>1</v>
      </c>
      <c r="C2" s="107">
        <v>11</v>
      </c>
      <c r="D2" s="106">
        <v>2021</v>
      </c>
      <c r="E2" s="101">
        <f>Submetering!E2+Submetering!F2+Submetering!G2+Submetering!H2+Submetering!I2+Submetering!J2+Submetering!K2</f>
        <v>33002</v>
      </c>
      <c r="F2" s="108">
        <v>0.2</v>
      </c>
      <c r="G2" s="101">
        <f>Submetering!P2</f>
        <v>766</v>
      </c>
      <c r="H2" s="108">
        <v>6.47</v>
      </c>
      <c r="I2" s="101">
        <f>Submetering!T2-Submetering!T2*15%-Submetering!X2</f>
        <v>46099.608839998196</v>
      </c>
      <c r="J2" s="100">
        <v>0.21</v>
      </c>
      <c r="K2" s="101">
        <f>Submetering!N2-Submetering!O2</f>
        <v>83.684999999993124</v>
      </c>
      <c r="L2" s="108">
        <v>7.84</v>
      </c>
      <c r="M2" s="101">
        <f>Submetering!Y2</f>
        <v>157</v>
      </c>
      <c r="N2" s="102">
        <f>Submetering!Z2</f>
        <v>197</v>
      </c>
    </row>
    <row r="3" spans="1:15" x14ac:dyDescent="0.25">
      <c r="A3" s="109" t="s">
        <v>80</v>
      </c>
      <c r="B3" s="72">
        <f>B2+1</f>
        <v>2</v>
      </c>
      <c r="C3" s="73">
        <v>11</v>
      </c>
      <c r="D3" s="72">
        <v>2021</v>
      </c>
      <c r="E3" s="71">
        <f>Submetering!E3+Submetering!F3+Submetering!G3+Submetering!H3+Submetering!I3+Submetering!J3+Submetering!K3</f>
        <v>33904</v>
      </c>
      <c r="F3" s="74">
        <v>0.2</v>
      </c>
      <c r="G3" s="71">
        <f>Submetering!P3</f>
        <v>791</v>
      </c>
      <c r="H3" s="74">
        <v>6.47</v>
      </c>
      <c r="I3" s="71">
        <f>Submetering!T3-Submetering!T3*15%-Submetering!X3</f>
        <v>50501.676879999577</v>
      </c>
      <c r="J3" s="70">
        <v>0.21</v>
      </c>
      <c r="K3" s="71">
        <f>Submetering!N3-Submetering!O3</f>
        <v>101.65200000000095</v>
      </c>
      <c r="L3" s="74">
        <v>7.84</v>
      </c>
      <c r="M3" s="71">
        <f>Submetering!Y3</f>
        <v>142</v>
      </c>
      <c r="N3" s="104">
        <f>Submetering!Z3</f>
        <v>183</v>
      </c>
    </row>
    <row r="4" spans="1:15" x14ac:dyDescent="0.25">
      <c r="A4" s="109" t="s">
        <v>80</v>
      </c>
      <c r="B4" s="72">
        <f t="shared" ref="B4:B31" si="0">B3+1</f>
        <v>3</v>
      </c>
      <c r="C4" s="73">
        <v>11</v>
      </c>
      <c r="D4" s="72">
        <v>2021</v>
      </c>
      <c r="E4" s="71">
        <f>Submetering!E4+Submetering!F4+Submetering!G4+Submetering!H4+Submetering!I4+Submetering!J4+Submetering!K4</f>
        <v>33327</v>
      </c>
      <c r="F4" s="74">
        <v>0.2</v>
      </c>
      <c r="G4" s="71">
        <f>Submetering!P4</f>
        <v>794</v>
      </c>
      <c r="H4" s="74">
        <v>6.47</v>
      </c>
      <c r="I4" s="71">
        <f>Submetering!T4-Submetering!T4*15%-Submetering!X4</f>
        <v>45468.4791799964</v>
      </c>
      <c r="J4" s="70">
        <v>0.21</v>
      </c>
      <c r="K4" s="71">
        <f>Submetering!N4-Submetering!O4</f>
        <v>121.69500000000971</v>
      </c>
      <c r="L4" s="74">
        <v>7.84</v>
      </c>
      <c r="M4" s="71">
        <f>Submetering!Y4</f>
        <v>161</v>
      </c>
      <c r="N4" s="104">
        <f>Submetering!Z4</f>
        <v>223</v>
      </c>
    </row>
    <row r="5" spans="1:15" x14ac:dyDescent="0.25">
      <c r="A5" s="109" t="s">
        <v>80</v>
      </c>
      <c r="B5" s="72">
        <f t="shared" si="0"/>
        <v>4</v>
      </c>
      <c r="C5" s="73">
        <v>11</v>
      </c>
      <c r="D5" s="72">
        <v>2021</v>
      </c>
      <c r="E5" s="71">
        <f>Submetering!E5+Submetering!F5+Submetering!G5+Submetering!H5+Submetering!I5+Submetering!J5+Submetering!K5</f>
        <v>33582</v>
      </c>
      <c r="F5" s="74">
        <v>0.2</v>
      </c>
      <c r="G5" s="71">
        <f>Submetering!P5</f>
        <v>815</v>
      </c>
      <c r="H5" s="74">
        <v>6.47</v>
      </c>
      <c r="I5" s="71">
        <f>Submetering!T5-Submetering!T5*15%-Submetering!X5</f>
        <v>39307.446500004356</v>
      </c>
      <c r="J5" s="70">
        <v>0.21</v>
      </c>
      <c r="K5" s="81">
        <f>Submetering!N5-Submetering!O5</f>
        <v>119.51699999997891</v>
      </c>
      <c r="L5" s="74">
        <v>7.84</v>
      </c>
      <c r="M5" s="71">
        <f>Submetering!Y5</f>
        <v>134</v>
      </c>
      <c r="N5" s="104">
        <f>Submetering!Z5</f>
        <v>204</v>
      </c>
    </row>
    <row r="6" spans="1:15" x14ac:dyDescent="0.25">
      <c r="A6" s="109" t="s">
        <v>80</v>
      </c>
      <c r="B6" s="72">
        <f t="shared" si="0"/>
        <v>5</v>
      </c>
      <c r="C6" s="73">
        <v>11</v>
      </c>
      <c r="D6" s="72">
        <v>2021</v>
      </c>
      <c r="E6" s="71">
        <f>Submetering!E6+Submetering!F6+Submetering!G6+Submetering!H6+Submetering!I6+Submetering!J6+Submetering!K6</f>
        <v>33914</v>
      </c>
      <c r="F6" s="74">
        <v>0.2</v>
      </c>
      <c r="G6" s="71">
        <f>Submetering!P6</f>
        <v>841</v>
      </c>
      <c r="H6" s="74">
        <v>6.47</v>
      </c>
      <c r="I6" s="71">
        <f>Submetering!T6-Submetering!T6*15%-Submetering!X6</f>
        <v>36455.746039998194</v>
      </c>
      <c r="J6" s="70">
        <v>0.21</v>
      </c>
      <c r="K6" s="71">
        <f>Submetering!N6-Submetering!O6</f>
        <v>114.41100000000915</v>
      </c>
      <c r="L6" s="74">
        <v>7.84</v>
      </c>
      <c r="M6" s="71">
        <f>Submetering!Y6</f>
        <v>119</v>
      </c>
      <c r="N6" s="104">
        <f>Submetering!Z6</f>
        <v>194</v>
      </c>
    </row>
    <row r="7" spans="1:15" x14ac:dyDescent="0.25">
      <c r="A7" s="109" t="s">
        <v>80</v>
      </c>
      <c r="B7" s="72">
        <f t="shared" si="0"/>
        <v>6</v>
      </c>
      <c r="C7" s="73">
        <v>11</v>
      </c>
      <c r="D7" s="72">
        <v>2021</v>
      </c>
      <c r="E7" s="71">
        <f>Submetering!E7+Submetering!F7+Submetering!G7+Submetering!H7+Submetering!I7+Submetering!J7+Submetering!K7</f>
        <v>32816</v>
      </c>
      <c r="F7" s="74">
        <v>0.2</v>
      </c>
      <c r="G7" s="71">
        <f>Submetering!P7</f>
        <v>734</v>
      </c>
      <c r="H7" s="74">
        <v>6.47</v>
      </c>
      <c r="I7" s="71">
        <f>Submetering!T7-Submetering!T7*15%-Submetering!X7</f>
        <v>34872.024239995546</v>
      </c>
      <c r="J7" s="70">
        <v>0.21</v>
      </c>
      <c r="K7" s="71">
        <f>Submetering!N7-Submetering!O7</f>
        <v>118.16100000000915</v>
      </c>
      <c r="L7" s="74">
        <v>7.84</v>
      </c>
      <c r="M7" s="71">
        <f>Submetering!Y7</f>
        <v>113</v>
      </c>
      <c r="N7" s="104">
        <f>Submetering!Z7</f>
        <v>159</v>
      </c>
    </row>
    <row r="8" spans="1:15" x14ac:dyDescent="0.25">
      <c r="A8" s="109" t="s">
        <v>80</v>
      </c>
      <c r="B8" s="72">
        <f t="shared" si="0"/>
        <v>7</v>
      </c>
      <c r="C8" s="73">
        <v>11</v>
      </c>
      <c r="D8" s="72">
        <v>2021</v>
      </c>
      <c r="E8" s="71">
        <f>Submetering!E8+Submetering!F8+Submetering!G8+Submetering!H8+Submetering!I8+Submetering!J8+Submetering!K8</f>
        <v>32857</v>
      </c>
      <c r="F8" s="74">
        <v>0.2</v>
      </c>
      <c r="G8" s="71">
        <f>Submetering!P8</f>
        <v>793</v>
      </c>
      <c r="H8" s="74">
        <v>6.47</v>
      </c>
      <c r="I8" s="71">
        <f>Submetering!T8-Submetering!T8*15%-Submetering!X8</f>
        <v>28564.391060008813</v>
      </c>
      <c r="J8" s="70">
        <v>0.21</v>
      </c>
      <c r="K8" s="71">
        <f>Submetering!N8-Submetering!O8</f>
        <v>97.882999999992535</v>
      </c>
      <c r="L8" s="74">
        <v>7.84</v>
      </c>
      <c r="M8" s="71">
        <f>Submetering!Y8</f>
        <v>136</v>
      </c>
      <c r="N8" s="104">
        <f>Submetering!Z8</f>
        <v>178</v>
      </c>
    </row>
    <row r="9" spans="1:15" x14ac:dyDescent="0.25">
      <c r="A9" s="109" t="s">
        <v>80</v>
      </c>
      <c r="B9" s="72">
        <f t="shared" si="0"/>
        <v>8</v>
      </c>
      <c r="C9" s="73">
        <v>11</v>
      </c>
      <c r="D9" s="72">
        <v>2021</v>
      </c>
      <c r="E9" s="71">
        <f>Submetering!E9+Submetering!F9+Submetering!G9+Submetering!H9+Submetering!I9+Submetering!J9+Submetering!K9</f>
        <v>32693</v>
      </c>
      <c r="F9" s="74">
        <v>0.2</v>
      </c>
      <c r="G9" s="71">
        <f>Submetering!P9</f>
        <v>874</v>
      </c>
      <c r="H9" s="74">
        <v>6.47</v>
      </c>
      <c r="I9" s="71">
        <f>Submetering!T9-Submetering!T9*15%-Submetering!X9</f>
        <v>26789.579619996322</v>
      </c>
      <c r="J9" s="70">
        <v>0.21</v>
      </c>
      <c r="K9" s="71">
        <f>Submetering!N9-Submetering!O9</f>
        <v>98.788999999989755</v>
      </c>
      <c r="L9" s="74">
        <v>7.84</v>
      </c>
      <c r="M9" s="71">
        <f>Submetering!Y9</f>
        <v>160</v>
      </c>
      <c r="N9" s="104">
        <f>Submetering!Z9</f>
        <v>197</v>
      </c>
      <c r="O9" s="1" t="s">
        <v>12</v>
      </c>
    </row>
    <row r="10" spans="1:15" x14ac:dyDescent="0.25">
      <c r="A10" s="109" t="s">
        <v>80</v>
      </c>
      <c r="B10" s="72">
        <f t="shared" si="0"/>
        <v>9</v>
      </c>
      <c r="C10" s="73">
        <v>11</v>
      </c>
      <c r="D10" s="72">
        <v>2021</v>
      </c>
      <c r="E10" s="71">
        <f>Submetering!E10+Submetering!F10+Submetering!G10+Submetering!H10+Submetering!I10+Submetering!J10+Submetering!K10</f>
        <v>34393</v>
      </c>
      <c r="F10" s="74">
        <v>0.2</v>
      </c>
      <c r="G10" s="71">
        <f>Submetering!P10</f>
        <v>910</v>
      </c>
      <c r="H10" s="74">
        <v>6.47</v>
      </c>
      <c r="I10" s="71">
        <f>Submetering!T10-Submetering!T10*15%-Submetering!X10</f>
        <v>31497.171799998541</v>
      </c>
      <c r="J10" s="70">
        <v>0.21</v>
      </c>
      <c r="K10" s="71">
        <f>Submetering!N10-Submetering!O10</f>
        <v>139.5670000000091</v>
      </c>
      <c r="L10" s="74">
        <v>7.84</v>
      </c>
      <c r="M10" s="71">
        <f>Submetering!Y10</f>
        <v>168</v>
      </c>
      <c r="N10" s="104">
        <f>Submetering!Z10</f>
        <v>207</v>
      </c>
    </row>
    <row r="11" spans="1:15" x14ac:dyDescent="0.25">
      <c r="A11" s="109" t="s">
        <v>80</v>
      </c>
      <c r="B11" s="72">
        <f t="shared" si="0"/>
        <v>10</v>
      </c>
      <c r="C11" s="73">
        <v>11</v>
      </c>
      <c r="D11" s="72">
        <v>2021</v>
      </c>
      <c r="E11" s="71">
        <f>Submetering!E11+Submetering!F11+Submetering!G11+Submetering!H11+Submetering!I11+Submetering!J11+Submetering!K11</f>
        <v>32751</v>
      </c>
      <c r="F11" s="74">
        <v>0.2</v>
      </c>
      <c r="G11" s="71">
        <f>Submetering!P11</f>
        <v>867</v>
      </c>
      <c r="H11" s="74">
        <v>6.47</v>
      </c>
      <c r="I11" s="71">
        <f>Submetering!T11-Submetering!T11*15%-Submetering!X11</f>
        <v>31495.289419994864</v>
      </c>
      <c r="J11" s="70">
        <v>0.21</v>
      </c>
      <c r="K11" s="71">
        <f>Submetering!N11-Submetering!O11</f>
        <v>135.44799999999395</v>
      </c>
      <c r="L11" s="74">
        <v>7.84</v>
      </c>
      <c r="M11" s="71">
        <f>Submetering!Y11</f>
        <v>160</v>
      </c>
      <c r="N11" s="104">
        <f>Submetering!Z11</f>
        <v>209</v>
      </c>
    </row>
    <row r="12" spans="1:15" x14ac:dyDescent="0.25">
      <c r="A12" s="109" t="s">
        <v>80</v>
      </c>
      <c r="B12" s="72">
        <f t="shared" si="0"/>
        <v>11</v>
      </c>
      <c r="C12" s="73">
        <v>11</v>
      </c>
      <c r="D12" s="72">
        <v>2021</v>
      </c>
      <c r="E12" s="71">
        <f>Submetering!E12+Submetering!F12+Submetering!G12+Submetering!H12+Submetering!I12+Submetering!J12+Submetering!K12</f>
        <v>32031</v>
      </c>
      <c r="F12" s="74">
        <v>0.2</v>
      </c>
      <c r="G12" s="71">
        <f>Submetering!P12</f>
        <v>809</v>
      </c>
      <c r="H12" s="74">
        <v>6.47</v>
      </c>
      <c r="I12" s="71">
        <f>Submetering!T12-Submetering!T12*15%-Submetering!X12</f>
        <v>29156.543600005825</v>
      </c>
      <c r="J12" s="70">
        <v>0.21</v>
      </c>
      <c r="K12" s="71">
        <f>Submetering!N12-Submetering!O12</f>
        <v>119.56500000001142</v>
      </c>
      <c r="L12" s="74">
        <v>7.84</v>
      </c>
      <c r="M12" s="71">
        <f>Submetering!Y12</f>
        <v>140</v>
      </c>
      <c r="N12" s="104">
        <f>Submetering!Z12</f>
        <v>200</v>
      </c>
    </row>
    <row r="13" spans="1:15" x14ac:dyDescent="0.25">
      <c r="A13" s="109" t="s">
        <v>80</v>
      </c>
      <c r="B13" s="72">
        <f t="shared" si="0"/>
        <v>12</v>
      </c>
      <c r="C13" s="73">
        <v>11</v>
      </c>
      <c r="D13" s="72">
        <v>2021</v>
      </c>
      <c r="E13" s="71">
        <f>Submetering!E13+Submetering!F13+Submetering!G13+Submetering!H13+Submetering!I13+Submetering!J13+Submetering!K13</f>
        <v>32109</v>
      </c>
      <c r="F13" s="74">
        <v>0.2</v>
      </c>
      <c r="G13" s="71">
        <f>Submetering!P13</f>
        <v>829</v>
      </c>
      <c r="H13" s="74">
        <v>6.47</v>
      </c>
      <c r="I13" s="71">
        <f>Submetering!T13-Submetering!T13*15%-Submetering!X13</f>
        <v>28600.386799998552</v>
      </c>
      <c r="J13" s="70">
        <v>0.21</v>
      </c>
      <c r="K13" s="71">
        <f>Submetering!N13-Submetering!O13</f>
        <v>84.544999999999163</v>
      </c>
      <c r="L13" s="74">
        <v>7.84</v>
      </c>
      <c r="M13" s="71">
        <f>Submetering!Y13</f>
        <v>117</v>
      </c>
      <c r="N13" s="104">
        <f>Submetering!Z13</f>
        <v>177</v>
      </c>
    </row>
    <row r="14" spans="1:15" x14ac:dyDescent="0.25">
      <c r="A14" s="109" t="s">
        <v>80</v>
      </c>
      <c r="B14" s="72">
        <f t="shared" si="0"/>
        <v>13</v>
      </c>
      <c r="C14" s="73">
        <v>11</v>
      </c>
      <c r="D14" s="72">
        <v>2021</v>
      </c>
      <c r="E14" s="71">
        <f>Submetering!E14+Submetering!F14+Submetering!G14+Submetering!H14+Submetering!I14+Submetering!J14+Submetering!K14</f>
        <v>32293</v>
      </c>
      <c r="F14" s="74">
        <v>0.2</v>
      </c>
      <c r="G14" s="71">
        <f>Submetering!P14</f>
        <v>743</v>
      </c>
      <c r="H14" s="74">
        <v>6.47</v>
      </c>
      <c r="I14" s="71">
        <f>Submetering!T14-Submetering!T14*15%-Submetering!X14</f>
        <v>31158.459760001548</v>
      </c>
      <c r="J14" s="70">
        <v>0.21</v>
      </c>
      <c r="K14" s="71">
        <f>Submetering!N14-Submetering!O14</f>
        <v>80.946999999991021</v>
      </c>
      <c r="L14" s="74">
        <v>7.84</v>
      </c>
      <c r="M14" s="71">
        <f>Submetering!Y14</f>
        <v>93</v>
      </c>
      <c r="N14" s="104">
        <f>Submetering!Z14</f>
        <v>130</v>
      </c>
    </row>
    <row r="15" spans="1:15" x14ac:dyDescent="0.25">
      <c r="A15" s="109" t="s">
        <v>80</v>
      </c>
      <c r="B15" s="72">
        <f t="shared" si="0"/>
        <v>14</v>
      </c>
      <c r="C15" s="73">
        <v>11</v>
      </c>
      <c r="D15" s="72">
        <v>2021</v>
      </c>
      <c r="E15" s="71">
        <f>Submetering!E15+Submetering!F15+Submetering!G15+Submetering!H15+Submetering!I15+Submetering!J15+Submetering!K15</f>
        <v>33605</v>
      </c>
      <c r="F15" s="74">
        <v>0.2</v>
      </c>
      <c r="G15" s="71">
        <f>Submetering!P15</f>
        <v>831</v>
      </c>
      <c r="H15" s="74">
        <v>6.47</v>
      </c>
      <c r="I15" s="71">
        <f>Submetering!T15-Submetering!T15*15%-Submetering!X15</f>
        <v>27928.27722000068</v>
      </c>
      <c r="J15" s="70">
        <v>0.21</v>
      </c>
      <c r="K15" s="81">
        <f>Submetering!N15-Submetering!O15</f>
        <v>102.26900000000205</v>
      </c>
      <c r="L15" s="74">
        <v>7.84</v>
      </c>
      <c r="M15" s="71">
        <f>Submetering!Y15</f>
        <v>140</v>
      </c>
      <c r="N15" s="104">
        <f>Submetering!Z15</f>
        <v>166</v>
      </c>
    </row>
    <row r="16" spans="1:15" x14ac:dyDescent="0.25">
      <c r="A16" s="109" t="s">
        <v>80</v>
      </c>
      <c r="B16" s="72">
        <f t="shared" si="0"/>
        <v>15</v>
      </c>
      <c r="C16" s="73">
        <v>11</v>
      </c>
      <c r="D16" s="72">
        <v>2021</v>
      </c>
      <c r="E16" s="71">
        <f>Submetering!E16+Submetering!F16+Submetering!G16+Submetering!H16+Submetering!I16+Submetering!J16+Submetering!K16</f>
        <v>32757</v>
      </c>
      <c r="F16" s="74">
        <v>0.2</v>
      </c>
      <c r="G16" s="71">
        <f>Submetering!P16</f>
        <v>806</v>
      </c>
      <c r="H16" s="74">
        <v>6.47</v>
      </c>
      <c r="I16" s="71">
        <f>Submetering!T16-Submetering!T16*15%-Submetering!X16</f>
        <v>30843.880600001459</v>
      </c>
      <c r="J16" s="70">
        <v>0.21</v>
      </c>
      <c r="K16" s="71">
        <f>Submetering!N16-Submetering!O16</f>
        <v>108.23299999999745</v>
      </c>
      <c r="L16" s="74">
        <v>7.84</v>
      </c>
      <c r="M16" s="71">
        <f>Submetering!Y16</f>
        <v>180</v>
      </c>
      <c r="N16" s="104">
        <f>Submetering!Z16</f>
        <v>212</v>
      </c>
    </row>
    <row r="17" spans="1:14" x14ac:dyDescent="0.25">
      <c r="A17" s="109" t="s">
        <v>80</v>
      </c>
      <c r="B17" s="72">
        <f t="shared" si="0"/>
        <v>16</v>
      </c>
      <c r="C17" s="73">
        <v>11</v>
      </c>
      <c r="D17" s="72">
        <v>2021</v>
      </c>
      <c r="E17" s="71">
        <f>Submetering!E17+Submetering!F17+Submetering!G17+Submetering!H17+Submetering!I17+Submetering!J17+Submetering!K17</f>
        <v>33095</v>
      </c>
      <c r="F17" s="74">
        <v>0.2</v>
      </c>
      <c r="G17" s="71">
        <f>Submetering!P17</f>
        <v>827</v>
      </c>
      <c r="H17" s="74">
        <v>6.47</v>
      </c>
      <c r="I17" s="71">
        <f>Submetering!T17-Submetering!T17*15%-Submetering!X17</f>
        <v>31481.604519991961</v>
      </c>
      <c r="J17" s="70">
        <v>0.21</v>
      </c>
      <c r="K17" s="71">
        <f>Submetering!N17-Submetering!O17</f>
        <v>107.92800000000261</v>
      </c>
      <c r="L17" s="74">
        <v>7.84</v>
      </c>
      <c r="M17" s="71">
        <f>Submetering!Y17</f>
        <v>181</v>
      </c>
      <c r="N17" s="104">
        <f>Submetering!Z17</f>
        <v>214</v>
      </c>
    </row>
    <row r="18" spans="1:14" x14ac:dyDescent="0.25">
      <c r="A18" s="109" t="s">
        <v>80</v>
      </c>
      <c r="B18" s="72">
        <f t="shared" si="0"/>
        <v>17</v>
      </c>
      <c r="C18" s="73">
        <v>11</v>
      </c>
      <c r="D18" s="72">
        <v>2021</v>
      </c>
      <c r="E18" s="71">
        <f>Submetering!E18+Submetering!F18+Submetering!G18+Submetering!H18+Submetering!I18+Submetering!J18+Submetering!K18</f>
        <v>32837</v>
      </c>
      <c r="F18" s="74">
        <v>0.2</v>
      </c>
      <c r="G18" s="71">
        <f>Submetering!P18</f>
        <v>823</v>
      </c>
      <c r="H18" s="74">
        <v>6.47</v>
      </c>
      <c r="I18" s="71">
        <f>Submetering!T18-Submetering!T18*15%-Submetering!X18</f>
        <v>31084.364140005484</v>
      </c>
      <c r="J18" s="70">
        <v>0.21</v>
      </c>
      <c r="K18" s="71">
        <f>Submetering!N18-Submetering!O18</f>
        <v>128.72700000000714</v>
      </c>
      <c r="L18" s="74">
        <v>7.84</v>
      </c>
      <c r="M18" s="71">
        <f>Submetering!Y18</f>
        <v>148</v>
      </c>
      <c r="N18" s="104">
        <f>Submetering!Z18</f>
        <v>191</v>
      </c>
    </row>
    <row r="19" spans="1:14" x14ac:dyDescent="0.25">
      <c r="A19" s="109" t="s">
        <v>80</v>
      </c>
      <c r="B19" s="72">
        <f t="shared" si="0"/>
        <v>18</v>
      </c>
      <c r="C19" s="73">
        <v>11</v>
      </c>
      <c r="D19" s="72">
        <v>2021</v>
      </c>
      <c r="E19" s="71">
        <f>Submetering!E19+Submetering!F19+Submetering!G19+Submetering!H19+Submetering!I19+Submetering!J19+Submetering!K19</f>
        <v>33008</v>
      </c>
      <c r="F19" s="74">
        <v>0.2</v>
      </c>
      <c r="G19" s="71">
        <f>Submetering!P19</f>
        <v>820</v>
      </c>
      <c r="H19" s="74">
        <v>6.47</v>
      </c>
      <c r="I19" s="71">
        <f>Submetering!T19-Submetering!T19*15%-Submetering!X19</f>
        <v>31555.965220000435</v>
      </c>
      <c r="J19" s="70">
        <v>0.21</v>
      </c>
      <c r="K19" s="71">
        <f>Submetering!N19-Submetering!O19</f>
        <v>194.75600000000941</v>
      </c>
      <c r="L19" s="74">
        <v>7.84</v>
      </c>
      <c r="M19" s="71">
        <f>Submetering!Y19</f>
        <v>100</v>
      </c>
      <c r="N19" s="104">
        <f>Submetering!Z19</f>
        <v>137</v>
      </c>
    </row>
    <row r="20" spans="1:14" x14ac:dyDescent="0.25">
      <c r="A20" s="109" t="s">
        <v>80</v>
      </c>
      <c r="B20" s="72">
        <f t="shared" si="0"/>
        <v>19</v>
      </c>
      <c r="C20" s="73">
        <v>11</v>
      </c>
      <c r="D20" s="72">
        <v>2021</v>
      </c>
      <c r="E20" s="71">
        <f>Submetering!E20+Submetering!F20+Submetering!G20+Submetering!H20+Submetering!I20+Submetering!J20+Submetering!K20</f>
        <v>32755</v>
      </c>
      <c r="F20" s="74">
        <v>0.2</v>
      </c>
      <c r="G20" s="71">
        <f>Submetering!P20</f>
        <v>873</v>
      </c>
      <c r="H20" s="74">
        <v>6.47</v>
      </c>
      <c r="I20" s="71">
        <f>Submetering!T20-Submetering!T20*15%-Submetering!X20</f>
        <v>31198.591319999221</v>
      </c>
      <c r="J20" s="70">
        <v>0.21</v>
      </c>
      <c r="K20" s="71">
        <f>Submetering!N20-Submetering!O20</f>
        <v>195.75599999999142</v>
      </c>
      <c r="L20" s="74">
        <v>7.84</v>
      </c>
      <c r="M20" s="71">
        <f>Submetering!Y20</f>
        <v>99</v>
      </c>
      <c r="N20" s="104">
        <f>Submetering!Z20</f>
        <v>155</v>
      </c>
    </row>
    <row r="21" spans="1:14" x14ac:dyDescent="0.25">
      <c r="A21" s="109" t="s">
        <v>80</v>
      </c>
      <c r="B21" s="72">
        <f t="shared" si="0"/>
        <v>20</v>
      </c>
      <c r="C21" s="73">
        <v>11</v>
      </c>
      <c r="D21" s="72">
        <v>2021</v>
      </c>
      <c r="E21" s="71">
        <f>Submetering!E21+Submetering!F21+Submetering!G21+Submetering!H21+Submetering!I21+Submetering!J21+Submetering!K21</f>
        <v>32629</v>
      </c>
      <c r="F21" s="74">
        <v>0.2</v>
      </c>
      <c r="G21" s="71">
        <f>Submetering!P21</f>
        <v>805</v>
      </c>
      <c r="H21" s="74">
        <v>6.47</v>
      </c>
      <c r="I21" s="71">
        <f>Submetering!T21-Submetering!T21*15%-Submetering!X21</f>
        <v>28044.312000000005</v>
      </c>
      <c r="J21" s="70">
        <v>0.21</v>
      </c>
      <c r="K21" s="71">
        <f>Submetering!N21-Submetering!O21</f>
        <v>68.630000000002326</v>
      </c>
      <c r="L21" s="74">
        <v>7.84</v>
      </c>
      <c r="M21" s="71">
        <f>Submetering!Y21</f>
        <v>106</v>
      </c>
      <c r="N21" s="104">
        <f>Submetering!Z21</f>
        <v>151</v>
      </c>
    </row>
    <row r="22" spans="1:14" x14ac:dyDescent="0.25">
      <c r="A22" s="109" t="s">
        <v>80</v>
      </c>
      <c r="B22" s="72">
        <f t="shared" si="0"/>
        <v>21</v>
      </c>
      <c r="C22" s="73">
        <v>11</v>
      </c>
      <c r="D22" s="72">
        <v>2021</v>
      </c>
      <c r="E22" s="71">
        <f>Submetering!E22+Submetering!F22+Submetering!G22+Submetering!H22+Submetering!I22+Submetering!J22+Submetering!K22</f>
        <v>31474</v>
      </c>
      <c r="F22" s="74">
        <v>0.2</v>
      </c>
      <c r="G22" s="71">
        <f>Submetering!P22</f>
        <v>801</v>
      </c>
      <c r="H22" s="74">
        <v>6.47</v>
      </c>
      <c r="I22" s="71">
        <f>Submetering!T22-Submetering!T22*15%-Submetering!X22</f>
        <v>28747.064400001458</v>
      </c>
      <c r="J22" s="70">
        <v>0.21</v>
      </c>
      <c r="K22" s="71">
        <f>Submetering!N22-Submetering!O22</f>
        <v>121.15500000000475</v>
      </c>
      <c r="L22" s="74">
        <v>7.84</v>
      </c>
      <c r="M22" s="71">
        <f>Submetering!Y22</f>
        <v>129</v>
      </c>
      <c r="N22" s="104">
        <f>Submetering!Z22</f>
        <v>185</v>
      </c>
    </row>
    <row r="23" spans="1:14" x14ac:dyDescent="0.25">
      <c r="A23" s="109" t="s">
        <v>80</v>
      </c>
      <c r="B23" s="72">
        <f t="shared" si="0"/>
        <v>22</v>
      </c>
      <c r="C23" s="73">
        <v>11</v>
      </c>
      <c r="D23" s="72">
        <v>2021</v>
      </c>
      <c r="E23" s="71">
        <f>Submetering!E23+Submetering!F23+Submetering!G23+Submetering!H23+Submetering!I23+Submetering!J23+Submetering!K23</f>
        <v>33581</v>
      </c>
      <c r="F23" s="74">
        <v>0.2</v>
      </c>
      <c r="G23" s="71">
        <f>Submetering!P23</f>
        <v>771</v>
      </c>
      <c r="H23" s="74">
        <v>6.47</v>
      </c>
      <c r="I23" s="71">
        <f>Submetering!T23-Submetering!T23*15%-Submetering!X23</f>
        <v>32501.649800001454</v>
      </c>
      <c r="J23" s="70">
        <v>0.21</v>
      </c>
      <c r="K23" s="71">
        <f>Submetering!N23-Submetering!O23</f>
        <v>115.57099999999599</v>
      </c>
      <c r="L23" s="74">
        <v>7.84</v>
      </c>
      <c r="M23" s="71">
        <f>Submetering!Y23</f>
        <v>166</v>
      </c>
      <c r="N23" s="104">
        <f>Submetering!Z23</f>
        <v>221</v>
      </c>
    </row>
    <row r="24" spans="1:14" x14ac:dyDescent="0.25">
      <c r="A24" s="109" t="s">
        <v>80</v>
      </c>
      <c r="B24" s="72">
        <f t="shared" si="0"/>
        <v>23</v>
      </c>
      <c r="C24" s="73">
        <v>11</v>
      </c>
      <c r="D24" s="72">
        <v>2021</v>
      </c>
      <c r="E24" s="71">
        <f>Submetering!E24+Submetering!F24+Submetering!G24+Submetering!H24+Submetering!I24+Submetering!J24+Submetering!K24</f>
        <v>34307</v>
      </c>
      <c r="F24" s="74">
        <v>0.2</v>
      </c>
      <c r="G24" s="71">
        <f>Submetering!P24</f>
        <v>748</v>
      </c>
      <c r="H24" s="74">
        <v>6.47</v>
      </c>
      <c r="I24" s="71">
        <f>Submetering!T24-Submetering!T24*15%-Submetering!X24</f>
        <v>38956.244999999995</v>
      </c>
      <c r="J24" s="70">
        <v>0.21</v>
      </c>
      <c r="K24" s="71">
        <f>Submetering!N24-Submetering!O24</f>
        <v>149.89399999999449</v>
      </c>
      <c r="L24" s="74">
        <v>7.84</v>
      </c>
      <c r="M24" s="71">
        <f>Submetering!Y24</f>
        <v>144</v>
      </c>
      <c r="N24" s="104">
        <f>Submetering!Z24</f>
        <v>193</v>
      </c>
    </row>
    <row r="25" spans="1:14" x14ac:dyDescent="0.25">
      <c r="A25" s="109" t="s">
        <v>80</v>
      </c>
      <c r="B25" s="72">
        <f t="shared" si="0"/>
        <v>24</v>
      </c>
      <c r="C25" s="73">
        <v>11</v>
      </c>
      <c r="D25" s="72">
        <v>2021</v>
      </c>
      <c r="E25" s="71">
        <f>Submetering!E25+Submetering!F25+Submetering!G25+Submetering!H25+Submetering!I25+Submetering!J25+Submetering!K25</f>
        <v>34513</v>
      </c>
      <c r="F25" s="74">
        <v>0.2</v>
      </c>
      <c r="G25" s="71">
        <f>Submetering!P25</f>
        <v>701</v>
      </c>
      <c r="H25" s="74">
        <v>6.47</v>
      </c>
      <c r="I25" s="71">
        <f>Submetering!T25-Submetering!T25*15%-Submetering!X25</f>
        <v>36984.159399997094</v>
      </c>
      <c r="J25" s="70">
        <v>0.21</v>
      </c>
      <c r="K25" s="71">
        <f>Submetering!N25-Submetering!O25</f>
        <v>114.31799999999765</v>
      </c>
      <c r="L25" s="74">
        <v>7.84</v>
      </c>
      <c r="M25" s="71">
        <f>Submetering!Y25</f>
        <v>132</v>
      </c>
      <c r="N25" s="104">
        <f>Submetering!Z25</f>
        <v>192</v>
      </c>
    </row>
    <row r="26" spans="1:14" x14ac:dyDescent="0.25">
      <c r="A26" s="109" t="s">
        <v>80</v>
      </c>
      <c r="B26" s="72">
        <f>B25+1</f>
        <v>25</v>
      </c>
      <c r="C26" s="73">
        <v>11</v>
      </c>
      <c r="D26" s="72">
        <v>2021</v>
      </c>
      <c r="E26" s="71">
        <f>Submetering!E26+Submetering!F26+Submetering!G26+Submetering!H26+Submetering!I26+Submetering!J26+Submetering!K26</f>
        <v>35119</v>
      </c>
      <c r="F26" s="74">
        <v>0.2</v>
      </c>
      <c r="G26" s="71">
        <f>Submetering!P26</f>
        <v>739</v>
      </c>
      <c r="H26" s="74">
        <v>6.47</v>
      </c>
      <c r="I26" s="71">
        <f>Submetering!T26-Submetering!T26*15%-Submetering!X26</f>
        <v>32843.058800002909</v>
      </c>
      <c r="J26" s="70">
        <v>0.21</v>
      </c>
      <c r="K26" s="71">
        <f>Submetering!N26-Submetering!O26</f>
        <v>97.968000000004395</v>
      </c>
      <c r="L26" s="74">
        <v>7.84</v>
      </c>
      <c r="M26" s="71">
        <f>Submetering!Y26</f>
        <v>123</v>
      </c>
      <c r="N26" s="104">
        <f>Submetering!Z26</f>
        <v>190</v>
      </c>
    </row>
    <row r="27" spans="1:14" x14ac:dyDescent="0.25">
      <c r="A27" s="109" t="s">
        <v>80</v>
      </c>
      <c r="B27" s="72">
        <f t="shared" si="0"/>
        <v>26</v>
      </c>
      <c r="C27" s="73">
        <v>11</v>
      </c>
      <c r="D27" s="72">
        <v>2021</v>
      </c>
      <c r="E27" s="71">
        <f>Submetering!E27+Submetering!F27+Submetering!G27+Submetering!H27+Submetering!I27+Submetering!J27+Submetering!K27</f>
        <v>34311</v>
      </c>
      <c r="F27" s="74">
        <v>0.2</v>
      </c>
      <c r="G27" s="71">
        <f>Submetering!P27</f>
        <v>787</v>
      </c>
      <c r="H27" s="74">
        <v>6.47</v>
      </c>
      <c r="I27" s="71">
        <f>Submetering!T27-Submetering!T27*15%-Submetering!X27</f>
        <v>35734.215999995642</v>
      </c>
      <c r="J27" s="70">
        <v>0.21</v>
      </c>
      <c r="K27" s="71">
        <f>Submetering!N27-Submetering!O27</f>
        <v>88.815999999993892</v>
      </c>
      <c r="L27" s="74">
        <v>7.84</v>
      </c>
      <c r="M27" s="71">
        <f>Submetering!Y27</f>
        <v>123</v>
      </c>
      <c r="N27" s="104">
        <f>Submetering!Z27</f>
        <v>209</v>
      </c>
    </row>
    <row r="28" spans="1:14" x14ac:dyDescent="0.25">
      <c r="A28" s="109" t="s">
        <v>80</v>
      </c>
      <c r="B28" s="72">
        <f t="shared" si="0"/>
        <v>27</v>
      </c>
      <c r="C28" s="73">
        <v>11</v>
      </c>
      <c r="D28" s="72">
        <v>2021</v>
      </c>
      <c r="E28" s="71">
        <f>Submetering!E28+Submetering!F28+Submetering!G28+Submetering!H28+Submetering!I28+Submetering!J28+Submetering!K28</f>
        <v>33844</v>
      </c>
      <c r="F28" s="74">
        <v>0.2</v>
      </c>
      <c r="G28" s="71">
        <f>Submetering!P28</f>
        <v>724</v>
      </c>
      <c r="H28" s="74">
        <v>6.47</v>
      </c>
      <c r="I28" s="71">
        <f>Submetering!T28-Submetering!T28*15%-Submetering!X28</f>
        <v>37061.667799998555</v>
      </c>
      <c r="J28" s="70">
        <v>0.21</v>
      </c>
      <c r="K28" s="71">
        <f>Submetering!N28-Submetering!O28</f>
        <v>93.002000000013481</v>
      </c>
      <c r="L28" s="74">
        <v>7.84</v>
      </c>
      <c r="M28" s="71">
        <f>Submetering!Y28</f>
        <v>125</v>
      </c>
      <c r="N28" s="104">
        <f>Submetering!Z28</f>
        <v>193</v>
      </c>
    </row>
    <row r="29" spans="1:14" x14ac:dyDescent="0.25">
      <c r="A29" s="109" t="s">
        <v>80</v>
      </c>
      <c r="B29" s="72">
        <f t="shared" si="0"/>
        <v>28</v>
      </c>
      <c r="C29" s="73">
        <v>11</v>
      </c>
      <c r="D29" s="72">
        <v>2021</v>
      </c>
      <c r="E29" s="71">
        <f>Submetering!E29+Submetering!F29+Submetering!G29+Submetering!H29+Submetering!I29+Submetering!J29+Submetering!K29</f>
        <v>33535</v>
      </c>
      <c r="F29" s="74">
        <v>0.2</v>
      </c>
      <c r="G29" s="71">
        <f>Submetering!P29</f>
        <v>686</v>
      </c>
      <c r="H29" s="74">
        <v>6.47</v>
      </c>
      <c r="I29" s="71">
        <f>Submetering!T29-Submetering!T29*15%-Submetering!X29</f>
        <v>31946.951200001451</v>
      </c>
      <c r="J29" s="70">
        <v>0.21</v>
      </c>
      <c r="K29" s="71">
        <f>Submetering!N29-Submetering!O29</f>
        <v>100.47200000000157</v>
      </c>
      <c r="L29" s="74">
        <v>7.84</v>
      </c>
      <c r="M29" s="71">
        <f>Submetering!Y29</f>
        <v>124</v>
      </c>
      <c r="N29" s="104">
        <f>Submetering!Z29</f>
        <v>176</v>
      </c>
    </row>
    <row r="30" spans="1:14" x14ac:dyDescent="0.25">
      <c r="A30" s="109" t="s">
        <v>80</v>
      </c>
      <c r="B30" s="72">
        <f t="shared" si="0"/>
        <v>29</v>
      </c>
      <c r="C30" s="73">
        <v>11</v>
      </c>
      <c r="D30" s="72">
        <v>2021</v>
      </c>
      <c r="E30" s="71">
        <f>Submetering!E30+Submetering!F30+Submetering!G30+Submetering!H30+Submetering!I30+Submetering!J30+Submetering!K30</f>
        <v>34478</v>
      </c>
      <c r="F30" s="74">
        <v>0.2</v>
      </c>
      <c r="G30" s="71">
        <f>Submetering!P30</f>
        <v>709</v>
      </c>
      <c r="H30" s="74">
        <v>6.47</v>
      </c>
      <c r="I30" s="71">
        <f>Submetering!T30-Submetering!T30*15%-Submetering!X30</f>
        <v>27213.399199998545</v>
      </c>
      <c r="J30" s="70">
        <v>0.21</v>
      </c>
      <c r="K30" s="71">
        <f>Submetering!N30-Submetering!O30</f>
        <v>98.062999999988392</v>
      </c>
      <c r="L30" s="74">
        <v>7.84</v>
      </c>
      <c r="M30" s="71">
        <f>Submetering!Y30</f>
        <v>109</v>
      </c>
      <c r="N30" s="104">
        <f>Submetering!Z30</f>
        <v>160</v>
      </c>
    </row>
    <row r="31" spans="1:14" x14ac:dyDescent="0.25">
      <c r="A31" s="109" t="s">
        <v>80</v>
      </c>
      <c r="B31" s="72">
        <f t="shared" si="0"/>
        <v>30</v>
      </c>
      <c r="C31" s="73">
        <v>11</v>
      </c>
      <c r="D31" s="72">
        <v>2021</v>
      </c>
      <c r="E31" s="71">
        <f>Submetering!E31+Submetering!F31+Submetering!G31+Submetering!H31+Submetering!I31+Submetering!J31+Submetering!K31</f>
        <v>33466</v>
      </c>
      <c r="F31" s="74">
        <v>0.2</v>
      </c>
      <c r="G31" s="71">
        <f>Submetering!P31</f>
        <v>696</v>
      </c>
      <c r="H31" s="74">
        <v>6.47</v>
      </c>
      <c r="I31" s="71">
        <f>Submetering!T31-Submetering!T31*15%-Submetering!X31</f>
        <v>28193.937200005821</v>
      </c>
      <c r="J31" s="70">
        <v>0.21</v>
      </c>
      <c r="K31" s="71">
        <f>Submetering!N31-Submetering!O31</f>
        <v>91.63600000000406</v>
      </c>
      <c r="L31" s="74">
        <v>7.84</v>
      </c>
      <c r="M31" s="71">
        <f>Submetering!Y31</f>
        <v>86</v>
      </c>
      <c r="N31" s="104">
        <f>Submetering!Z31</f>
        <v>148</v>
      </c>
    </row>
    <row r="32" spans="1:14" x14ac:dyDescent="0.25">
      <c r="M32" s="4">
        <f>SUM(M2:M31)</f>
        <v>4015</v>
      </c>
      <c r="N32" s="4">
        <f>SUM(N2:N31)</f>
        <v>5551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pane xSplit="2" ySplit="1" topLeftCell="H11" activePane="bottomRight" state="frozen"/>
      <selection pane="topRight" activeCell="C1" sqref="C1"/>
      <selection pane="bottomLeft" activeCell="A2" sqref="A2"/>
      <selection pane="bottomRight" activeCell="Y22" sqref="Y22:Y31"/>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11</v>
      </c>
      <c r="D2" s="99">
        <v>2021</v>
      </c>
      <c r="E2" s="101">
        <f>'FS-AD Daily '!B6</f>
        <v>6191</v>
      </c>
      <c r="F2" s="101">
        <f>'FS-AD Daily '!C6</f>
        <v>4180</v>
      </c>
      <c r="G2" s="101">
        <f>'FS-AD Daily '!D6</f>
        <v>951</v>
      </c>
      <c r="H2" s="101">
        <f>'FS-AD Daily '!E6</f>
        <v>6016</v>
      </c>
      <c r="I2" s="101">
        <f>'FS-AD Daily '!F6</f>
        <v>6103</v>
      </c>
      <c r="J2" s="101">
        <f>'FS-AD Daily '!G6</f>
        <v>2959</v>
      </c>
      <c r="K2" s="101">
        <f>'FS-AD Daily '!H6</f>
        <v>6602</v>
      </c>
      <c r="L2" s="101">
        <f>'FS-AD Daily '!I6</f>
        <v>2481</v>
      </c>
      <c r="M2" s="101">
        <f>'FS-AD Daily '!J6</f>
        <v>7149</v>
      </c>
      <c r="N2" s="101">
        <f>'FS-AD Daily '!T6</f>
        <v>159.93100000000413</v>
      </c>
      <c r="O2" s="101">
        <f>'FS-AD Daily '!R6</f>
        <v>76.246000000011009</v>
      </c>
      <c r="P2" s="101">
        <f>'FS-AD Daily '!Z6</f>
        <v>766</v>
      </c>
      <c r="Q2" s="101">
        <f>'FS-AD Daily '!V6</f>
        <v>235.40000000002328</v>
      </c>
      <c r="R2" s="101">
        <f>'FS-AD Daily '!W6</f>
        <v>161.10000000000582</v>
      </c>
      <c r="S2" s="101">
        <f>P2-Q2-R2</f>
        <v>369.4999999999709</v>
      </c>
      <c r="T2" s="101">
        <f>'FS-AD Daily '!AD6*3.516</f>
        <v>95176.010400001309</v>
      </c>
      <c r="U2" s="101">
        <f>('FS-AD Daily '!AF6)*1000</f>
        <v>43699.99999999709</v>
      </c>
      <c r="V2" s="101">
        <f>('FS-AD Daily '!AG6)*1000</f>
        <v>32900.000000001455</v>
      </c>
      <c r="W2" s="101">
        <f>'FS-AD Daily '!AH6*1000</f>
        <v>12200.000000000728</v>
      </c>
      <c r="X2" s="101">
        <f>('FS-AD Daily '!AK6)*1000</f>
        <v>34800.00000000291</v>
      </c>
      <c r="Y2" s="101">
        <v>157</v>
      </c>
      <c r="Z2" s="102">
        <v>197</v>
      </c>
    </row>
    <row r="3" spans="1:26" x14ac:dyDescent="0.25">
      <c r="A3" s="103" t="s">
        <v>80</v>
      </c>
      <c r="B3" s="69">
        <f>B2+1</f>
        <v>2</v>
      </c>
      <c r="C3" s="70">
        <v>11</v>
      </c>
      <c r="D3" s="69">
        <v>2021</v>
      </c>
      <c r="E3" s="71">
        <f>'FS-AD Daily '!B7</f>
        <v>6499</v>
      </c>
      <c r="F3" s="71">
        <f>'FS-AD Daily '!C7</f>
        <v>4055</v>
      </c>
      <c r="G3" s="71">
        <f>'FS-AD Daily '!D7</f>
        <v>922</v>
      </c>
      <c r="H3" s="71">
        <f>'FS-AD Daily '!E7</f>
        <v>6084</v>
      </c>
      <c r="I3" s="71">
        <f>'FS-AD Daily '!F7</f>
        <v>6355</v>
      </c>
      <c r="J3" s="71">
        <f>'FS-AD Daily '!G7</f>
        <v>3258</v>
      </c>
      <c r="K3" s="71">
        <f>'FS-AD Daily '!H7</f>
        <v>6731</v>
      </c>
      <c r="L3" s="71">
        <f>'FS-AD Daily '!I7</f>
        <v>2340</v>
      </c>
      <c r="M3" s="71">
        <f>'FS-AD Daily '!J7</f>
        <v>7361</v>
      </c>
      <c r="N3" s="71">
        <f>'FS-AD Daily '!T7</f>
        <v>180.10099999999511</v>
      </c>
      <c r="O3" s="71">
        <f>'FS-AD Daily '!R7</f>
        <v>78.448999999994157</v>
      </c>
      <c r="P3" s="71">
        <f>'FS-AD Daily '!Z7</f>
        <v>791</v>
      </c>
      <c r="Q3" s="71">
        <f>'FS-AD Daily '!V7</f>
        <v>244.40000000002328</v>
      </c>
      <c r="R3" s="71">
        <f>'FS-AD Daily '!W7</f>
        <v>163.98000000001048</v>
      </c>
      <c r="S3" s="71">
        <f t="shared" ref="S3:S30" si="0">P3-Q3-R3</f>
        <v>382.61999999996624</v>
      </c>
      <c r="T3" s="71">
        <f>'FS-AD Daily '!AD7*3.516</f>
        <v>102001.97279999607</v>
      </c>
      <c r="U3" s="71">
        <f>('FS-AD Daily '!AF7)*1000</f>
        <v>48400.000000008731</v>
      </c>
      <c r="V3" s="71">
        <f>('FS-AD Daily '!AG7)*1000</f>
        <v>20599.999999998545</v>
      </c>
      <c r="W3" s="71">
        <f>'FS-AD Daily '!AH7*1000</f>
        <v>12799.999999999272</v>
      </c>
      <c r="X3" s="71">
        <f>('FS-AD Daily '!AK7)*1000</f>
        <v>36199.99999999709</v>
      </c>
      <c r="Y3" s="71">
        <v>142</v>
      </c>
      <c r="Z3" s="104">
        <v>183</v>
      </c>
    </row>
    <row r="4" spans="1:26" x14ac:dyDescent="0.25">
      <c r="A4" s="103" t="s">
        <v>80</v>
      </c>
      <c r="B4" s="69">
        <f t="shared" ref="B4:B31" si="1">B3+1</f>
        <v>3</v>
      </c>
      <c r="C4" s="70">
        <v>11</v>
      </c>
      <c r="D4" s="69">
        <v>2021</v>
      </c>
      <c r="E4" s="71">
        <f>'FS-AD Daily '!B8</f>
        <v>6436</v>
      </c>
      <c r="F4" s="71">
        <f>'FS-AD Daily '!C8</f>
        <v>4093</v>
      </c>
      <c r="G4" s="71">
        <f>'FS-AD Daily '!D8</f>
        <v>905</v>
      </c>
      <c r="H4" s="71">
        <f>'FS-AD Daily '!E8</f>
        <v>5989</v>
      </c>
      <c r="I4" s="71">
        <f>'FS-AD Daily '!F8</f>
        <v>6139</v>
      </c>
      <c r="J4" s="71">
        <f>'FS-AD Daily '!G8</f>
        <v>3149</v>
      </c>
      <c r="K4" s="71">
        <f>'FS-AD Daily '!H8</f>
        <v>6616</v>
      </c>
      <c r="L4" s="71">
        <f>'FS-AD Daily '!I8</f>
        <v>2431</v>
      </c>
      <c r="M4" s="71">
        <f>'FS-AD Daily '!J8</f>
        <v>7247</v>
      </c>
      <c r="N4" s="71">
        <f>'FS-AD Daily '!T8</f>
        <v>202.02500000000873</v>
      </c>
      <c r="O4" s="71">
        <f>'FS-AD Daily '!R8</f>
        <v>80.329999999999018</v>
      </c>
      <c r="P4" s="71">
        <f>'FS-AD Daily '!Z8</f>
        <v>794</v>
      </c>
      <c r="Q4" s="71">
        <f>'FS-AD Daily '!V8</f>
        <v>245.79999999998836</v>
      </c>
      <c r="R4" s="71">
        <f>'FS-AD Daily '!W8</f>
        <v>169.57999999998719</v>
      </c>
      <c r="S4" s="71">
        <f t="shared" si="0"/>
        <v>378.62000000002445</v>
      </c>
      <c r="T4" s="71">
        <f>'FS-AD Daily '!AD8*3.516</f>
        <v>94198.21080000262</v>
      </c>
      <c r="U4" s="71">
        <f>('FS-AD Daily '!AF8)*1000</f>
        <v>44399.999999994179</v>
      </c>
      <c r="V4" s="71">
        <f>('FS-AD Daily '!AG8)*1000</f>
        <v>21099.999999998545</v>
      </c>
      <c r="W4" s="71">
        <f>'FS-AD Daily '!AH8*1000</f>
        <v>12299.999999999272</v>
      </c>
      <c r="X4" s="71">
        <f>('FS-AD Daily '!AK8)*1000</f>
        <v>34600.000000005821</v>
      </c>
      <c r="Y4" s="71">
        <v>161</v>
      </c>
      <c r="Z4" s="104">
        <v>223</v>
      </c>
    </row>
    <row r="5" spans="1:26" x14ac:dyDescent="0.25">
      <c r="A5" s="103" t="s">
        <v>80</v>
      </c>
      <c r="B5" s="69">
        <f t="shared" si="1"/>
        <v>4</v>
      </c>
      <c r="C5" s="70">
        <v>11</v>
      </c>
      <c r="D5" s="69">
        <v>2021</v>
      </c>
      <c r="E5" s="71">
        <f>'FS-AD Daily '!B9</f>
        <v>6490</v>
      </c>
      <c r="F5" s="71">
        <f>'FS-AD Daily '!C9</f>
        <v>4153</v>
      </c>
      <c r="G5" s="71">
        <f>'FS-AD Daily '!D9</f>
        <v>920</v>
      </c>
      <c r="H5" s="71">
        <f>'FS-AD Daily '!E9</f>
        <v>6036</v>
      </c>
      <c r="I5" s="71">
        <f>'FS-AD Daily '!F9</f>
        <v>6380</v>
      </c>
      <c r="J5" s="71">
        <f>'FS-AD Daily '!G9</f>
        <v>2991</v>
      </c>
      <c r="K5" s="71">
        <f>'FS-AD Daily '!H9</f>
        <v>6612</v>
      </c>
      <c r="L5" s="71">
        <f>'FS-AD Daily '!I9</f>
        <v>2426</v>
      </c>
      <c r="M5" s="71">
        <f>'FS-AD Daily '!J9</f>
        <v>7272</v>
      </c>
      <c r="N5" s="71">
        <f>'FS-AD Daily '!T9</f>
        <v>204.59399999998641</v>
      </c>
      <c r="O5" s="71">
        <f>'FS-AD Daily '!R9</f>
        <v>85.077000000007502</v>
      </c>
      <c r="P5" s="71">
        <f>'FS-AD Daily '!Z9</f>
        <v>815</v>
      </c>
      <c r="Q5" s="71">
        <f>'FS-AD Daily '!V9</f>
        <v>256.20000000001164</v>
      </c>
      <c r="R5" s="71">
        <f>'FS-AD Daily '!W9</f>
        <v>162.76000000000931</v>
      </c>
      <c r="S5" s="71">
        <f t="shared" si="0"/>
        <v>396.03999999997905</v>
      </c>
      <c r="T5" s="71">
        <f>'FS-AD Daily '!AD9*3.516</f>
        <v>84832.29</v>
      </c>
      <c r="U5" s="71">
        <f>('FS-AD Daily '!AF9)*1000</f>
        <v>39899.999999994179</v>
      </c>
      <c r="V5" s="71">
        <f>('FS-AD Daily '!AG9)*1000</f>
        <v>11599.999999998545</v>
      </c>
      <c r="W5" s="71">
        <f>'FS-AD Daily '!AH9*1000</f>
        <v>11700.000000000728</v>
      </c>
      <c r="X5" s="71">
        <f>('FS-AD Daily '!AK9)*1000</f>
        <v>32799.999999995634</v>
      </c>
      <c r="Y5" s="71">
        <v>134</v>
      </c>
      <c r="Z5" s="104">
        <v>204</v>
      </c>
    </row>
    <row r="6" spans="1:26" x14ac:dyDescent="0.25">
      <c r="A6" s="103" t="s">
        <v>80</v>
      </c>
      <c r="B6" s="69">
        <f t="shared" si="1"/>
        <v>5</v>
      </c>
      <c r="C6" s="70">
        <v>11</v>
      </c>
      <c r="D6" s="69">
        <v>2021</v>
      </c>
      <c r="E6" s="71">
        <f>'FS-AD Daily '!B10</f>
        <v>6747</v>
      </c>
      <c r="F6" s="71">
        <f>'FS-AD Daily '!C10</f>
        <v>4275</v>
      </c>
      <c r="G6" s="71">
        <f>'FS-AD Daily '!D10</f>
        <v>945</v>
      </c>
      <c r="H6" s="71">
        <f>'FS-AD Daily '!E10</f>
        <v>6044</v>
      </c>
      <c r="I6" s="71">
        <f>'FS-AD Daily '!F10</f>
        <v>6325</v>
      </c>
      <c r="J6" s="71">
        <f>'FS-AD Daily '!G10</f>
        <v>3033</v>
      </c>
      <c r="K6" s="71">
        <f>'FS-AD Daily '!H10</f>
        <v>6545</v>
      </c>
      <c r="L6" s="71">
        <f>'FS-AD Daily '!I10</f>
        <v>2351</v>
      </c>
      <c r="M6" s="71">
        <f>'FS-AD Daily '!J10</f>
        <v>7162</v>
      </c>
      <c r="N6" s="71">
        <f>'FS-AD Daily '!T10</f>
        <v>204.27300000000105</v>
      </c>
      <c r="O6" s="71">
        <f>'FS-AD Daily '!R10</f>
        <v>89.861999999991895</v>
      </c>
      <c r="P6" s="71">
        <f>'FS-AD Daily '!Z10</f>
        <v>841</v>
      </c>
      <c r="Q6" s="71">
        <f>'FS-AD Daily '!V10</f>
        <v>257.29999999998836</v>
      </c>
      <c r="R6" s="71">
        <f>'FS-AD Daily '!W10</f>
        <v>157.80999999999767</v>
      </c>
      <c r="S6" s="71">
        <f t="shared" si="0"/>
        <v>425.89000000001397</v>
      </c>
      <c r="T6" s="71">
        <f>'FS-AD Daily '!AD10*3.516</f>
        <v>79712.642400001307</v>
      </c>
      <c r="U6" s="71">
        <f>('FS-AD Daily '!AF10)*1000</f>
        <v>38300.00000000291</v>
      </c>
      <c r="V6" s="71">
        <f>('FS-AD Daily '!AG10)*1000</f>
        <v>2100.0000000058208</v>
      </c>
      <c r="W6" s="71">
        <f>'FS-AD Daily '!AH10*1000</f>
        <v>11200.000000000728</v>
      </c>
      <c r="X6" s="71">
        <f>('FS-AD Daily '!AK10)*1000</f>
        <v>31300.00000000291</v>
      </c>
      <c r="Y6" s="71">
        <v>119</v>
      </c>
      <c r="Z6" s="104">
        <v>194</v>
      </c>
    </row>
    <row r="7" spans="1:26" x14ac:dyDescent="0.25">
      <c r="A7" s="103" t="s">
        <v>80</v>
      </c>
      <c r="B7" s="69">
        <f t="shared" si="1"/>
        <v>6</v>
      </c>
      <c r="C7" s="70">
        <v>11</v>
      </c>
      <c r="D7" s="69">
        <v>2021</v>
      </c>
      <c r="E7" s="71">
        <f>'FS-AD Daily '!B11</f>
        <v>6548</v>
      </c>
      <c r="F7" s="71">
        <f>'FS-AD Daily '!C11</f>
        <v>4091</v>
      </c>
      <c r="G7" s="71">
        <f>'FS-AD Daily '!D11</f>
        <v>933</v>
      </c>
      <c r="H7" s="71">
        <f>'FS-AD Daily '!E11</f>
        <v>5975</v>
      </c>
      <c r="I7" s="71">
        <f>'FS-AD Daily '!F11</f>
        <v>5852</v>
      </c>
      <c r="J7" s="71">
        <f>'FS-AD Daily '!G11</f>
        <v>2983</v>
      </c>
      <c r="K7" s="71">
        <f>'FS-AD Daily '!H11</f>
        <v>6434</v>
      </c>
      <c r="L7" s="71">
        <f>'FS-AD Daily '!I11</f>
        <v>2415</v>
      </c>
      <c r="M7" s="71">
        <f>'FS-AD Daily '!J11</f>
        <v>7120</v>
      </c>
      <c r="N7" s="71">
        <f>'FS-AD Daily '!T11</f>
        <v>194.60200000000623</v>
      </c>
      <c r="O7" s="71">
        <f>'FS-AD Daily '!R11</f>
        <v>76.440999999997075</v>
      </c>
      <c r="P7" s="71">
        <f>'FS-AD Daily '!Z11</f>
        <v>734</v>
      </c>
      <c r="Q7" s="71">
        <f>'FS-AD Daily '!V11</f>
        <v>240.20000000001164</v>
      </c>
      <c r="R7" s="71">
        <f>'FS-AD Daily '!W11</f>
        <v>163.55999999999767</v>
      </c>
      <c r="S7" s="71">
        <f t="shared" si="0"/>
        <v>330.23999999999069</v>
      </c>
      <c r="T7" s="71">
        <f>'FS-AD Daily '!AD11*3.516</f>
        <v>78084.734399994762</v>
      </c>
      <c r="U7" s="71">
        <f>('FS-AD Daily '!AF11)*1000</f>
        <v>36300.00000000291</v>
      </c>
      <c r="V7" s="71">
        <f>('FS-AD Daily '!AG11)*1000</f>
        <v>2799.9999999956344</v>
      </c>
      <c r="W7" s="71">
        <f>'FS-AD Daily '!AH11*1000</f>
        <v>11500</v>
      </c>
      <c r="X7" s="71">
        <f>('FS-AD Daily '!AK11)*1000</f>
        <v>31500</v>
      </c>
      <c r="Y7" s="71">
        <v>113</v>
      </c>
      <c r="Z7" s="104">
        <v>159</v>
      </c>
    </row>
    <row r="8" spans="1:26" x14ac:dyDescent="0.25">
      <c r="A8" s="103" t="s">
        <v>80</v>
      </c>
      <c r="B8" s="69">
        <f t="shared" si="1"/>
        <v>7</v>
      </c>
      <c r="C8" s="70">
        <v>11</v>
      </c>
      <c r="D8" s="69">
        <v>2021</v>
      </c>
      <c r="E8" s="71">
        <f>'FS-AD Daily '!B12</f>
        <v>6482</v>
      </c>
      <c r="F8" s="71">
        <f>'FS-AD Daily '!C12</f>
        <v>4165</v>
      </c>
      <c r="G8" s="71">
        <f>'FS-AD Daily '!D12</f>
        <v>914</v>
      </c>
      <c r="H8" s="71">
        <f>'FS-AD Daily '!E12</f>
        <v>5915</v>
      </c>
      <c r="I8" s="71">
        <f>'FS-AD Daily '!F12</f>
        <v>5990</v>
      </c>
      <c r="J8" s="71">
        <f>'FS-AD Daily '!G12</f>
        <v>2977</v>
      </c>
      <c r="K8" s="71">
        <f>'FS-AD Daily '!H12</f>
        <v>6414</v>
      </c>
      <c r="L8" s="71">
        <f>'FS-AD Daily '!I12</f>
        <v>2392</v>
      </c>
      <c r="M8" s="71">
        <f>'FS-AD Daily '!J12</f>
        <v>6934</v>
      </c>
      <c r="N8" s="71">
        <f>'FS-AD Daily '!T12</f>
        <v>171.3739999999998</v>
      </c>
      <c r="O8" s="71">
        <f>'FS-AD Daily '!R12</f>
        <v>73.491000000007261</v>
      </c>
      <c r="P8" s="71">
        <f>'FS-AD Daily '!Z12</f>
        <v>793</v>
      </c>
      <c r="Q8" s="71">
        <f>'FS-AD Daily '!V12</f>
        <v>276.39999999996508</v>
      </c>
      <c r="R8" s="71">
        <f>'FS-AD Daily '!W12</f>
        <v>150.32999999998719</v>
      </c>
      <c r="S8" s="71">
        <f t="shared" si="0"/>
        <v>366.27000000004773</v>
      </c>
      <c r="T8" s="71">
        <f>'FS-AD Daily '!AD12*3.516</f>
        <v>66899.283600005234</v>
      </c>
      <c r="U8" s="71">
        <f>('FS-AD Daily '!AF12)*1000</f>
        <v>31100.000000005821</v>
      </c>
      <c r="V8" s="71">
        <f>('FS-AD Daily '!AG12)*1000</f>
        <v>2099.9999999985448</v>
      </c>
      <c r="W8" s="71">
        <f>'FS-AD Daily '!AH12*1000</f>
        <v>10700.000000000728</v>
      </c>
      <c r="X8" s="71">
        <f>('FS-AD Daily '!AK12)*1000</f>
        <v>28299.999999995634</v>
      </c>
      <c r="Y8" s="71">
        <v>136</v>
      </c>
      <c r="Z8" s="104">
        <v>178</v>
      </c>
    </row>
    <row r="9" spans="1:26" x14ac:dyDescent="0.25">
      <c r="A9" s="103" t="s">
        <v>80</v>
      </c>
      <c r="B9" s="69">
        <f t="shared" si="1"/>
        <v>8</v>
      </c>
      <c r="C9" s="70">
        <v>11</v>
      </c>
      <c r="D9" s="69">
        <v>2021</v>
      </c>
      <c r="E9" s="71">
        <f>'FS-AD Daily '!B13</f>
        <v>6528</v>
      </c>
      <c r="F9" s="71">
        <f>'FS-AD Daily '!C13</f>
        <v>3976</v>
      </c>
      <c r="G9" s="71">
        <f>'FS-AD Daily '!D13</f>
        <v>917</v>
      </c>
      <c r="H9" s="71">
        <f>'FS-AD Daily '!E13</f>
        <v>5908</v>
      </c>
      <c r="I9" s="71">
        <f>'FS-AD Daily '!F13</f>
        <v>6126</v>
      </c>
      <c r="J9" s="71">
        <f>'FS-AD Daily '!G13</f>
        <v>3073</v>
      </c>
      <c r="K9" s="71">
        <f>'FS-AD Daily '!H13</f>
        <v>6165</v>
      </c>
      <c r="L9" s="71">
        <f>'FS-AD Daily '!I13</f>
        <v>2384</v>
      </c>
      <c r="M9" s="71">
        <f>'FS-AD Daily '!J13</f>
        <v>6894</v>
      </c>
      <c r="N9" s="71">
        <f>'FS-AD Daily '!T13</f>
        <v>176.31999999999243</v>
      </c>
      <c r="O9" s="71">
        <f>'FS-AD Daily '!R13</f>
        <v>77.531000000002678</v>
      </c>
      <c r="P9" s="71">
        <f>'FS-AD Daily '!Z13</f>
        <v>874</v>
      </c>
      <c r="Q9" s="71">
        <f>'FS-AD Daily '!V13</f>
        <v>317.20000000001164</v>
      </c>
      <c r="R9" s="71">
        <f>'FS-AD Daily '!W13</f>
        <v>157.98000000001048</v>
      </c>
      <c r="S9" s="71">
        <f t="shared" si="0"/>
        <v>398.81999999997788</v>
      </c>
      <c r="T9" s="71">
        <f>'FS-AD Daily '!AD13*3.516</f>
        <v>64928.917199997384</v>
      </c>
      <c r="U9" s="71">
        <f>('FS-AD Daily '!AF13)*1000</f>
        <v>30799.999999988358</v>
      </c>
      <c r="V9" s="71">
        <f>('FS-AD Daily '!AG13)*1000</f>
        <v>600.00000000582077</v>
      </c>
      <c r="W9" s="71">
        <f>'FS-AD Daily '!AH13*1000</f>
        <v>10500</v>
      </c>
      <c r="X9" s="71">
        <f>('FS-AD Daily '!AK13)*1000</f>
        <v>28400.000000001455</v>
      </c>
      <c r="Y9" s="71">
        <v>160</v>
      </c>
      <c r="Z9" s="104">
        <v>197</v>
      </c>
    </row>
    <row r="10" spans="1:26" x14ac:dyDescent="0.25">
      <c r="A10" s="103" t="s">
        <v>80</v>
      </c>
      <c r="B10" s="69">
        <f t="shared" si="1"/>
        <v>9</v>
      </c>
      <c r="C10" s="70">
        <v>11</v>
      </c>
      <c r="D10" s="69">
        <v>2021</v>
      </c>
      <c r="E10" s="71">
        <f>'FS-AD Daily '!B14</f>
        <v>6753</v>
      </c>
      <c r="F10" s="71">
        <f>'FS-AD Daily '!C14</f>
        <v>4598</v>
      </c>
      <c r="G10" s="71">
        <f>'FS-AD Daily '!D14</f>
        <v>904</v>
      </c>
      <c r="H10" s="71">
        <f>'FS-AD Daily '!E14</f>
        <v>6095</v>
      </c>
      <c r="I10" s="71">
        <f>'FS-AD Daily '!F14</f>
        <v>6364</v>
      </c>
      <c r="J10" s="71">
        <f>'FS-AD Daily '!G14</f>
        <v>3137</v>
      </c>
      <c r="K10" s="71">
        <f>'FS-AD Daily '!H14</f>
        <v>6542</v>
      </c>
      <c r="L10" s="71">
        <f>'FS-AD Daily '!I14</f>
        <v>2451</v>
      </c>
      <c r="M10" s="71">
        <f>'FS-AD Daily '!J14</f>
        <v>7132</v>
      </c>
      <c r="N10" s="71">
        <f>'FS-AD Daily '!T14</f>
        <v>227.34300000000439</v>
      </c>
      <c r="O10" s="71">
        <f>'FS-AD Daily '!R14</f>
        <v>87.775999999995292</v>
      </c>
      <c r="P10" s="71">
        <f>'FS-AD Daily '!Z14</f>
        <v>910</v>
      </c>
      <c r="Q10" s="71">
        <f>'FS-AD Daily '!V14</f>
        <v>300.70000000001164</v>
      </c>
      <c r="R10" s="71">
        <f>'FS-AD Daily '!W14</f>
        <v>160.60000000000582</v>
      </c>
      <c r="S10" s="71">
        <f t="shared" si="0"/>
        <v>448.69999999998254</v>
      </c>
      <c r="T10" s="71">
        <f>'FS-AD Daily '!AD14*3.516</f>
        <v>74584.907999999996</v>
      </c>
      <c r="U10" s="71">
        <f>('FS-AD Daily '!AF14)*1000</f>
        <v>35100.000000005821</v>
      </c>
      <c r="V10" s="71">
        <f>('FS-AD Daily '!AG14)*1000</f>
        <v>399.99999999417923</v>
      </c>
      <c r="W10" s="71">
        <f>'FS-AD Daily '!AH14*1000</f>
        <v>11399.999999997817</v>
      </c>
      <c r="X10" s="71">
        <f>('FS-AD Daily '!AK14)*1000</f>
        <v>31900.000000001455</v>
      </c>
      <c r="Y10" s="71">
        <v>168</v>
      </c>
      <c r="Z10" s="104">
        <v>207</v>
      </c>
    </row>
    <row r="11" spans="1:26" x14ac:dyDescent="0.25">
      <c r="A11" s="103" t="s">
        <v>80</v>
      </c>
      <c r="B11" s="69">
        <f t="shared" si="1"/>
        <v>10</v>
      </c>
      <c r="C11" s="70">
        <v>11</v>
      </c>
      <c r="D11" s="69">
        <v>2021</v>
      </c>
      <c r="E11" s="71">
        <f>'FS-AD Daily '!B15</f>
        <v>6372</v>
      </c>
      <c r="F11" s="71">
        <f>'FS-AD Daily '!C15</f>
        <v>4514</v>
      </c>
      <c r="G11" s="71">
        <f>'FS-AD Daily '!D15</f>
        <v>910</v>
      </c>
      <c r="H11" s="71">
        <f>'FS-AD Daily '!E15</f>
        <v>6067</v>
      </c>
      <c r="I11" s="71">
        <f>'FS-AD Daily '!F15</f>
        <v>5994</v>
      </c>
      <c r="J11" s="71">
        <f>'FS-AD Daily '!G15</f>
        <v>3070</v>
      </c>
      <c r="K11" s="71">
        <f>'FS-AD Daily '!H15</f>
        <v>5824</v>
      </c>
      <c r="L11" s="71">
        <f>'FS-AD Daily '!I15</f>
        <v>2412</v>
      </c>
      <c r="M11" s="71">
        <f>'FS-AD Daily '!J15</f>
        <v>7098</v>
      </c>
      <c r="N11" s="71">
        <f>'FS-AD Daily '!T15</f>
        <v>216.93799999999828</v>
      </c>
      <c r="O11" s="71">
        <f>'FS-AD Daily '!R15</f>
        <v>81.490000000004329</v>
      </c>
      <c r="P11" s="71">
        <f>'FS-AD Daily '!Z15</f>
        <v>867</v>
      </c>
      <c r="Q11" s="71">
        <f>'FS-AD Daily '!V15</f>
        <v>298.70000000001164</v>
      </c>
      <c r="R11" s="71">
        <f>'FS-AD Daily '!W15</f>
        <v>174.23999999999069</v>
      </c>
      <c r="S11" s="71">
        <f t="shared" si="0"/>
        <v>394.05999999999767</v>
      </c>
      <c r="T11" s="71">
        <f>'FS-AD Daily '!AD15*3.516</f>
        <v>72112.105199997386</v>
      </c>
      <c r="U11" s="71">
        <f>('FS-AD Daily '!AF15)*1000</f>
        <v>35199.99999999709</v>
      </c>
      <c r="V11" s="71">
        <f>('FS-AD Daily '!AG15)*1000</f>
        <v>1400.0000000014552</v>
      </c>
      <c r="W11" s="71">
        <f>'FS-AD Daily '!AH15*1000</f>
        <v>10300.00000000291</v>
      </c>
      <c r="X11" s="71">
        <f>('FS-AD Daily '!AK15)*1000</f>
        <v>29800.00000000291</v>
      </c>
      <c r="Y11" s="71">
        <v>160</v>
      </c>
      <c r="Z11" s="104">
        <v>209</v>
      </c>
    </row>
    <row r="12" spans="1:26" x14ac:dyDescent="0.25">
      <c r="A12" s="103" t="s">
        <v>80</v>
      </c>
      <c r="B12" s="69">
        <f t="shared" si="1"/>
        <v>11</v>
      </c>
      <c r="C12" s="70">
        <v>11</v>
      </c>
      <c r="D12" s="69">
        <v>2021</v>
      </c>
      <c r="E12" s="71">
        <f>'FS-AD Daily '!B16</f>
        <v>5916</v>
      </c>
      <c r="F12" s="71">
        <f>'FS-AD Daily '!C16</f>
        <v>4437</v>
      </c>
      <c r="G12" s="71">
        <f>'FS-AD Daily '!D16</f>
        <v>904</v>
      </c>
      <c r="H12" s="71">
        <f>'FS-AD Daily '!E16</f>
        <v>6144</v>
      </c>
      <c r="I12" s="71">
        <f>'FS-AD Daily '!F16</f>
        <v>6025</v>
      </c>
      <c r="J12" s="71">
        <f>'FS-AD Daily '!G16</f>
        <v>2935</v>
      </c>
      <c r="K12" s="71">
        <f>'FS-AD Daily '!H16</f>
        <v>5670</v>
      </c>
      <c r="L12" s="71">
        <f>'FS-AD Daily '!I16</f>
        <v>2261</v>
      </c>
      <c r="M12" s="71">
        <f>'FS-AD Daily '!J16</f>
        <v>7048</v>
      </c>
      <c r="N12" s="71">
        <f>'FS-AD Daily '!T16</f>
        <v>207.01299999999901</v>
      </c>
      <c r="O12" s="71">
        <f>'FS-AD Daily '!R16</f>
        <v>87.447999999987587</v>
      </c>
      <c r="P12" s="71">
        <f>'FS-AD Daily '!Z16</f>
        <v>809</v>
      </c>
      <c r="Q12" s="71">
        <f>'FS-AD Daily '!V16</f>
        <v>247.89999999996508</v>
      </c>
      <c r="R12" s="71">
        <f>'FS-AD Daily '!W16</f>
        <v>139.73000000001048</v>
      </c>
      <c r="S12" s="71">
        <f t="shared" si="0"/>
        <v>421.37000000002445</v>
      </c>
      <c r="T12" s="71">
        <f>'FS-AD Daily '!AD16*3.516</f>
        <v>68301.816000000006</v>
      </c>
      <c r="U12" s="71">
        <f>('FS-AD Daily '!AF16)*1000</f>
        <v>33199.99999999709</v>
      </c>
      <c r="V12" s="71">
        <f>('FS-AD Daily '!AG16)*1000</f>
        <v>0</v>
      </c>
      <c r="W12" s="71">
        <f>'FS-AD Daily '!AH16*1000</f>
        <v>10299.999999999272</v>
      </c>
      <c r="X12" s="71">
        <f>('FS-AD Daily '!AK16)*1000</f>
        <v>28899.999999994179</v>
      </c>
      <c r="Y12" s="71">
        <v>140</v>
      </c>
      <c r="Z12" s="104">
        <v>200</v>
      </c>
    </row>
    <row r="13" spans="1:26" x14ac:dyDescent="0.25">
      <c r="A13" s="103" t="s">
        <v>80</v>
      </c>
      <c r="B13" s="69">
        <f t="shared" si="1"/>
        <v>12</v>
      </c>
      <c r="C13" s="70">
        <v>11</v>
      </c>
      <c r="D13" s="69">
        <v>2021</v>
      </c>
      <c r="E13" s="71">
        <f>'FS-AD Daily '!B17</f>
        <v>5702</v>
      </c>
      <c r="F13" s="71">
        <f>'FS-AD Daily '!C17</f>
        <v>4114</v>
      </c>
      <c r="G13" s="71">
        <f>'FS-AD Daily '!D17</f>
        <v>903</v>
      </c>
      <c r="H13" s="71">
        <f>'FS-AD Daily '!E17</f>
        <v>6231</v>
      </c>
      <c r="I13" s="71">
        <f>'FS-AD Daily '!F17</f>
        <v>6249</v>
      </c>
      <c r="J13" s="71">
        <f>'FS-AD Daily '!G17</f>
        <v>3178</v>
      </c>
      <c r="K13" s="71">
        <f>'FS-AD Daily '!H17</f>
        <v>5732</v>
      </c>
      <c r="L13" s="71">
        <f>'FS-AD Daily '!I17</f>
        <v>2267</v>
      </c>
      <c r="M13" s="71">
        <f>'FS-AD Daily '!J17</f>
        <v>7272</v>
      </c>
      <c r="N13" s="71">
        <f>'FS-AD Daily '!T17</f>
        <v>175.91300000001138</v>
      </c>
      <c r="O13" s="71">
        <f>'FS-AD Daily '!R17</f>
        <v>91.368000000012216</v>
      </c>
      <c r="P13" s="71">
        <f>'FS-AD Daily '!Z17</f>
        <v>829</v>
      </c>
      <c r="Q13" s="71">
        <f>'FS-AD Daily '!V17</f>
        <v>272.70000000001164</v>
      </c>
      <c r="R13" s="71">
        <f>'FS-AD Daily '!W17</f>
        <v>148.85999999998603</v>
      </c>
      <c r="S13" s="71">
        <f t="shared" si="0"/>
        <v>407.44000000000233</v>
      </c>
      <c r="T13" s="71">
        <f>'FS-AD Daily '!AD17*3.516</f>
        <v>65882.808000000005</v>
      </c>
      <c r="U13" s="71">
        <f>('FS-AD Daily '!AF17)*1000</f>
        <v>31300.00000000291</v>
      </c>
      <c r="V13" s="71">
        <f>('FS-AD Daily '!AG17)*1000</f>
        <v>0</v>
      </c>
      <c r="W13" s="71">
        <f>'FS-AD Daily '!AH17*1000</f>
        <v>9399.9999999978172</v>
      </c>
      <c r="X13" s="71">
        <f>('FS-AD Daily '!AK17)*1000</f>
        <v>27400.000000001455</v>
      </c>
      <c r="Y13" s="71">
        <v>117</v>
      </c>
      <c r="Z13" s="104">
        <v>177</v>
      </c>
    </row>
    <row r="14" spans="1:26" x14ac:dyDescent="0.25">
      <c r="A14" s="103" t="s">
        <v>80</v>
      </c>
      <c r="B14" s="69">
        <f t="shared" si="1"/>
        <v>13</v>
      </c>
      <c r="C14" s="70">
        <v>11</v>
      </c>
      <c r="D14" s="69">
        <v>2021</v>
      </c>
      <c r="E14" s="71">
        <f>'FS-AD Daily '!B18</f>
        <v>6217</v>
      </c>
      <c r="F14" s="71">
        <f>'FS-AD Daily '!C18</f>
        <v>4022</v>
      </c>
      <c r="G14" s="71">
        <f>'FS-AD Daily '!D18</f>
        <v>916</v>
      </c>
      <c r="H14" s="71">
        <f>'FS-AD Daily '!E18</f>
        <v>6227</v>
      </c>
      <c r="I14" s="71">
        <f>'FS-AD Daily '!F18</f>
        <v>6036</v>
      </c>
      <c r="J14" s="71">
        <f>'FS-AD Daily '!G18</f>
        <v>3015</v>
      </c>
      <c r="K14" s="71">
        <f>'FS-AD Daily '!H18</f>
        <v>5860</v>
      </c>
      <c r="L14" s="71">
        <f>'FS-AD Daily '!I18</f>
        <v>2368</v>
      </c>
      <c r="M14" s="71">
        <f>'FS-AD Daily '!J18</f>
        <v>7259</v>
      </c>
      <c r="N14" s="71">
        <f>'FS-AD Daily '!T18</f>
        <v>162.07299999999304</v>
      </c>
      <c r="O14" s="71">
        <f>'FS-AD Daily '!R18</f>
        <v>81.126000000002023</v>
      </c>
      <c r="P14" s="71">
        <f>'FS-AD Daily '!Z18</f>
        <v>743</v>
      </c>
      <c r="Q14" s="71">
        <f>'FS-AD Daily '!V18</f>
        <v>241.29999999998836</v>
      </c>
      <c r="R14" s="71">
        <f>'FS-AD Daily '!W18</f>
        <v>132.10000000000582</v>
      </c>
      <c r="S14" s="71">
        <f t="shared" si="0"/>
        <v>369.60000000000582</v>
      </c>
      <c r="T14" s="71">
        <f>'FS-AD Daily '!AD18*3.516</f>
        <v>72892.305600005246</v>
      </c>
      <c r="U14" s="71">
        <f>('FS-AD Daily '!AF18)*1000</f>
        <v>35500</v>
      </c>
      <c r="V14" s="71">
        <f>('FS-AD Daily '!AG18)*1000</f>
        <v>1500</v>
      </c>
      <c r="W14" s="71">
        <f>'FS-AD Daily '!AH18*1000</f>
        <v>10400.000000001455</v>
      </c>
      <c r="X14" s="71">
        <f>('FS-AD Daily '!AK18)*1000</f>
        <v>30800.00000000291</v>
      </c>
      <c r="Y14" s="71">
        <v>93</v>
      </c>
      <c r="Z14" s="104">
        <v>130</v>
      </c>
    </row>
    <row r="15" spans="1:26" x14ac:dyDescent="0.25">
      <c r="A15" s="103" t="s">
        <v>80</v>
      </c>
      <c r="B15" s="69">
        <f t="shared" si="1"/>
        <v>14</v>
      </c>
      <c r="C15" s="70">
        <v>11</v>
      </c>
      <c r="D15" s="69">
        <v>2021</v>
      </c>
      <c r="E15" s="71">
        <f>'FS-AD Daily '!B19</f>
        <v>7622</v>
      </c>
      <c r="F15" s="71">
        <f>'FS-AD Daily '!C19</f>
        <v>3968</v>
      </c>
      <c r="G15" s="71">
        <f>'FS-AD Daily '!D19</f>
        <v>946</v>
      </c>
      <c r="H15" s="71">
        <f>'FS-AD Daily '!E19</f>
        <v>6312</v>
      </c>
      <c r="I15" s="71">
        <f>'FS-AD Daily '!F19</f>
        <v>5979</v>
      </c>
      <c r="J15" s="71">
        <f>'FS-AD Daily '!G19</f>
        <v>3029</v>
      </c>
      <c r="K15" s="71">
        <f>'FS-AD Daily '!H19</f>
        <v>5749</v>
      </c>
      <c r="L15" s="71">
        <f>'FS-AD Daily '!I19</f>
        <v>2394</v>
      </c>
      <c r="M15" s="71">
        <f>'FS-AD Daily '!J19</f>
        <v>7117</v>
      </c>
      <c r="N15" s="71">
        <f>'FS-AD Daily '!T19</f>
        <v>177.68500000000131</v>
      </c>
      <c r="O15" s="71">
        <f>'FS-AD Daily '!R19</f>
        <v>75.415999999999258</v>
      </c>
      <c r="P15" s="71">
        <f>'FS-AD Daily '!Z19</f>
        <v>831</v>
      </c>
      <c r="Q15" s="71">
        <f>'FS-AD Daily '!V19</f>
        <v>289.20000000001164</v>
      </c>
      <c r="R15" s="71">
        <f>'FS-AD Daily '!W19</f>
        <v>155.41000000000349</v>
      </c>
      <c r="S15" s="71">
        <f t="shared" si="0"/>
        <v>386.38999999998487</v>
      </c>
      <c r="T15" s="71">
        <f>'FS-AD Daily '!AD19*3.516</f>
        <v>67797.973199997374</v>
      </c>
      <c r="U15" s="71">
        <f>('FS-AD Daily '!AF19)*1000</f>
        <v>34300.00000000291</v>
      </c>
      <c r="V15" s="71">
        <f>('FS-AD Daily '!AG19)*1000</f>
        <v>0</v>
      </c>
      <c r="W15" s="71">
        <f>'FS-AD Daily '!AH19*1000</f>
        <v>10599.999999998545</v>
      </c>
      <c r="X15" s="71">
        <f>('FS-AD Daily '!AK19)*1000</f>
        <v>29699.99999999709</v>
      </c>
      <c r="Y15" s="71">
        <v>140</v>
      </c>
      <c r="Z15" s="104">
        <v>166</v>
      </c>
    </row>
    <row r="16" spans="1:26" x14ac:dyDescent="0.25">
      <c r="A16" s="103" t="s">
        <v>80</v>
      </c>
      <c r="B16" s="69">
        <f t="shared" si="1"/>
        <v>15</v>
      </c>
      <c r="C16" s="70">
        <v>11</v>
      </c>
      <c r="D16" s="69">
        <v>2021</v>
      </c>
      <c r="E16" s="71">
        <f>'FS-AD Daily '!B20</f>
        <v>6901</v>
      </c>
      <c r="F16" s="71">
        <f>'FS-AD Daily '!C20</f>
        <v>3955</v>
      </c>
      <c r="G16" s="71">
        <f>'FS-AD Daily '!D20</f>
        <v>929</v>
      </c>
      <c r="H16" s="71">
        <f>'FS-AD Daily '!E20</f>
        <v>6276</v>
      </c>
      <c r="I16" s="71">
        <f>'FS-AD Daily '!F20</f>
        <v>6006</v>
      </c>
      <c r="J16" s="71">
        <f>'FS-AD Daily '!G20</f>
        <v>3045</v>
      </c>
      <c r="K16" s="71">
        <f>'FS-AD Daily '!H20</f>
        <v>5645</v>
      </c>
      <c r="L16" s="71">
        <f>'FS-AD Daily '!I20</f>
        <v>2360</v>
      </c>
      <c r="M16" s="71">
        <f>'FS-AD Daily '!J20</f>
        <v>7099</v>
      </c>
      <c r="N16" s="71">
        <f>'FS-AD Daily '!T20</f>
        <v>191.40199999999822</v>
      </c>
      <c r="O16" s="71">
        <f>'FS-AD Daily '!R20</f>
        <v>83.169000000000779</v>
      </c>
      <c r="P16" s="71">
        <f>'FS-AD Daily '!Z20</f>
        <v>806</v>
      </c>
      <c r="Q16" s="71">
        <f>'FS-AD Daily '!V20</f>
        <v>262.90000000002328</v>
      </c>
      <c r="R16" s="71">
        <f>'FS-AD Daily '!W20</f>
        <v>145.10000000000582</v>
      </c>
      <c r="S16" s="71">
        <f t="shared" si="0"/>
        <v>397.9999999999709</v>
      </c>
      <c r="T16" s="71">
        <f>'FS-AD Daily '!AD20*3.516</f>
        <v>67581.036000000007</v>
      </c>
      <c r="U16" s="71">
        <f>('FS-AD Daily '!AF20)*1000</f>
        <v>33000</v>
      </c>
      <c r="V16" s="71">
        <f>('FS-AD Daily '!AG20)*1000</f>
        <v>0</v>
      </c>
      <c r="W16" s="71">
        <f>'FS-AD Daily '!AH20*1000</f>
        <v>10500</v>
      </c>
      <c r="X16" s="71">
        <f>('FS-AD Daily '!AK20)*1000</f>
        <v>26599.999999998545</v>
      </c>
      <c r="Y16" s="71">
        <v>180</v>
      </c>
      <c r="Z16" s="104">
        <v>212</v>
      </c>
    </row>
    <row r="17" spans="1:26" x14ac:dyDescent="0.25">
      <c r="A17" s="103" t="s">
        <v>80</v>
      </c>
      <c r="B17" s="69">
        <f t="shared" si="1"/>
        <v>16</v>
      </c>
      <c r="C17" s="70">
        <v>11</v>
      </c>
      <c r="D17" s="69">
        <v>2021</v>
      </c>
      <c r="E17" s="71">
        <f>'FS-AD Daily '!B21</f>
        <v>6847</v>
      </c>
      <c r="F17" s="71">
        <f>'FS-AD Daily '!C21</f>
        <v>4099</v>
      </c>
      <c r="G17" s="71">
        <f>'FS-AD Daily '!D21</f>
        <v>931</v>
      </c>
      <c r="H17" s="71">
        <f>'FS-AD Daily '!E21</f>
        <v>6207</v>
      </c>
      <c r="I17" s="71">
        <f>'FS-AD Daily '!F21</f>
        <v>6200</v>
      </c>
      <c r="J17" s="71">
        <f>'FS-AD Daily '!G21</f>
        <v>3069</v>
      </c>
      <c r="K17" s="71">
        <f>'FS-AD Daily '!H21</f>
        <v>5742</v>
      </c>
      <c r="L17" s="71">
        <f>'FS-AD Daily '!I21</f>
        <v>2404</v>
      </c>
      <c r="M17" s="71">
        <f>'FS-AD Daily '!J21</f>
        <v>7258</v>
      </c>
      <c r="N17" s="71">
        <f>'FS-AD Daily '!T21</f>
        <v>200.19399999999587</v>
      </c>
      <c r="O17" s="71">
        <f>'FS-AD Daily '!R21</f>
        <v>92.265999999993255</v>
      </c>
      <c r="P17" s="71">
        <f>'FS-AD Daily '!Z21</f>
        <v>827</v>
      </c>
      <c r="Q17" s="71">
        <f>'FS-AD Daily '!V21</f>
        <v>273.19999999995343</v>
      </c>
      <c r="R17" s="71">
        <f>'FS-AD Daily '!W21</f>
        <v>153.23999999999069</v>
      </c>
      <c r="S17" s="71">
        <f t="shared" si="0"/>
        <v>400.56000000005588</v>
      </c>
      <c r="T17" s="71">
        <f>'FS-AD Daily '!AD21*3.516</f>
        <v>71860.711199997386</v>
      </c>
      <c r="U17" s="71">
        <f>('FS-AD Daily '!AF21)*1000</f>
        <v>35800.00000000291</v>
      </c>
      <c r="V17" s="71">
        <f>('FS-AD Daily '!AG21)*1000</f>
        <v>1700.0000000043656</v>
      </c>
      <c r="W17" s="71">
        <f>'FS-AD Daily '!AH21*1000</f>
        <v>11400.000000001455</v>
      </c>
      <c r="X17" s="71">
        <f>('FS-AD Daily '!AK21)*1000</f>
        <v>29600.000000005821</v>
      </c>
      <c r="Y17" s="71">
        <v>181</v>
      </c>
      <c r="Z17" s="104">
        <v>214</v>
      </c>
    </row>
    <row r="18" spans="1:26" x14ac:dyDescent="0.25">
      <c r="A18" s="103" t="s">
        <v>80</v>
      </c>
      <c r="B18" s="69">
        <f t="shared" si="1"/>
        <v>17</v>
      </c>
      <c r="C18" s="70">
        <v>11</v>
      </c>
      <c r="D18" s="69">
        <v>2021</v>
      </c>
      <c r="E18" s="71">
        <f>'FS-AD Daily '!B22</f>
        <v>6678</v>
      </c>
      <c r="F18" s="71">
        <f>'FS-AD Daily '!C22</f>
        <v>4121</v>
      </c>
      <c r="G18" s="71">
        <f>'FS-AD Daily '!D22</f>
        <v>899</v>
      </c>
      <c r="H18" s="71">
        <f>'FS-AD Daily '!E22</f>
        <v>6297</v>
      </c>
      <c r="I18" s="71">
        <f>'FS-AD Daily '!F22</f>
        <v>6151</v>
      </c>
      <c r="J18" s="71">
        <f>'FS-AD Daily '!G22</f>
        <v>3020</v>
      </c>
      <c r="K18" s="71">
        <f>'FS-AD Daily '!H22</f>
        <v>5671</v>
      </c>
      <c r="L18" s="71">
        <f>'FS-AD Daily '!I22</f>
        <v>2364</v>
      </c>
      <c r="M18" s="71">
        <f>'FS-AD Daily '!J22</f>
        <v>7219</v>
      </c>
      <c r="N18" s="71">
        <f>'FS-AD Daily '!T22</f>
        <v>206.65400000000227</v>
      </c>
      <c r="O18" s="71">
        <f>'FS-AD Daily '!R22</f>
        <v>77.926999999995132</v>
      </c>
      <c r="P18" s="71">
        <f>'FS-AD Daily '!Z22</f>
        <v>823</v>
      </c>
      <c r="Q18" s="71">
        <f>'FS-AD Daily '!V22</f>
        <v>283.20000000001164</v>
      </c>
      <c r="R18" s="71">
        <f>'FS-AD Daily '!W22</f>
        <v>150.05999999999767</v>
      </c>
      <c r="S18" s="71">
        <f t="shared" si="0"/>
        <v>389.73999999999069</v>
      </c>
      <c r="T18" s="71">
        <f>'FS-AD Daily '!AD22*3.516</f>
        <v>71040.428400001314</v>
      </c>
      <c r="U18" s="71">
        <f>('FS-AD Daily '!AF22)*1000</f>
        <v>34300.00000000291</v>
      </c>
      <c r="V18" s="71">
        <f>('FS-AD Daily '!AG22)*1000</f>
        <v>1199.9999999970896</v>
      </c>
      <c r="W18" s="71">
        <f>'FS-AD Daily '!AH22*1000</f>
        <v>10200.000000000728</v>
      </c>
      <c r="X18" s="71">
        <f>('FS-AD Daily '!AK22)*1000</f>
        <v>29299.999999995634</v>
      </c>
      <c r="Y18" s="71">
        <v>148</v>
      </c>
      <c r="Z18" s="104">
        <v>191</v>
      </c>
    </row>
    <row r="19" spans="1:26" x14ac:dyDescent="0.25">
      <c r="A19" s="103" t="s">
        <v>80</v>
      </c>
      <c r="B19" s="69">
        <f t="shared" si="1"/>
        <v>18</v>
      </c>
      <c r="C19" s="70">
        <v>11</v>
      </c>
      <c r="D19" s="69">
        <v>2021</v>
      </c>
      <c r="E19" s="71">
        <f>'FS-AD Daily '!B23</f>
        <v>6587</v>
      </c>
      <c r="F19" s="71">
        <f>'FS-AD Daily '!C23</f>
        <v>4280</v>
      </c>
      <c r="G19" s="71">
        <f>'FS-AD Daily '!D23</f>
        <v>958</v>
      </c>
      <c r="H19" s="71">
        <f>'FS-AD Daily '!E23</f>
        <v>6167</v>
      </c>
      <c r="I19" s="71">
        <f>'FS-AD Daily '!F23</f>
        <v>6367</v>
      </c>
      <c r="J19" s="71">
        <f>'FS-AD Daily '!G23</f>
        <v>2987</v>
      </c>
      <c r="K19" s="71">
        <f>'FS-AD Daily '!H23</f>
        <v>5662</v>
      </c>
      <c r="L19" s="71">
        <f>'FS-AD Daily '!I23</f>
        <v>2418</v>
      </c>
      <c r="M19" s="71">
        <f>'FS-AD Daily '!J23</f>
        <v>7426</v>
      </c>
      <c r="N19" s="71">
        <f>'FS-AD Daily '!T23</f>
        <v>276.77300000001196</v>
      </c>
      <c r="O19" s="71">
        <f>'FS-AD Daily '!R23</f>
        <v>82.017000000002554</v>
      </c>
      <c r="P19" s="71">
        <f>'FS-AD Daily '!Z23</f>
        <v>820</v>
      </c>
      <c r="Q19" s="71">
        <f>'FS-AD Daily '!V23</f>
        <v>294.5</v>
      </c>
      <c r="R19" s="71">
        <f>'FS-AD Daily '!W23</f>
        <v>148.26000000000931</v>
      </c>
      <c r="S19" s="71">
        <f t="shared" si="0"/>
        <v>377.23999999999069</v>
      </c>
      <c r="T19" s="71">
        <f>'FS-AD Daily '!AD23*3.516</f>
        <v>71595.253200003935</v>
      </c>
      <c r="U19" s="71">
        <f>('FS-AD Daily '!AF23)*1000</f>
        <v>34699.99999999709</v>
      </c>
      <c r="V19" s="71">
        <f>('FS-AD Daily '!AG23)*1000</f>
        <v>0</v>
      </c>
      <c r="W19" s="71">
        <f>'FS-AD Daily '!AH23*1000</f>
        <v>10000</v>
      </c>
      <c r="X19" s="71">
        <f>('FS-AD Daily '!AK23)*1000</f>
        <v>29300.00000000291</v>
      </c>
      <c r="Y19" s="71">
        <v>100</v>
      </c>
      <c r="Z19" s="104">
        <v>137</v>
      </c>
    </row>
    <row r="20" spans="1:26" x14ac:dyDescent="0.25">
      <c r="A20" s="103" t="s">
        <v>80</v>
      </c>
      <c r="B20" s="69">
        <f t="shared" si="1"/>
        <v>19</v>
      </c>
      <c r="C20" s="70">
        <v>11</v>
      </c>
      <c r="D20" s="69">
        <v>2021</v>
      </c>
      <c r="E20" s="71">
        <f>'FS-AD Daily '!B24</f>
        <v>6819</v>
      </c>
      <c r="F20" s="71">
        <f>'FS-AD Daily '!C24</f>
        <v>4022</v>
      </c>
      <c r="G20" s="71">
        <f>'FS-AD Daily '!D24</f>
        <v>913</v>
      </c>
      <c r="H20" s="71">
        <f>'FS-AD Daily '!E24</f>
        <v>6323</v>
      </c>
      <c r="I20" s="71">
        <f>'FS-AD Daily '!F24</f>
        <v>6193</v>
      </c>
      <c r="J20" s="71">
        <f>'FS-AD Daily '!G24</f>
        <v>2889</v>
      </c>
      <c r="K20" s="71">
        <f>'FS-AD Daily '!H24</f>
        <v>5596</v>
      </c>
      <c r="L20" s="71">
        <f>'FS-AD Daily '!I24</f>
        <v>2311</v>
      </c>
      <c r="M20" s="71">
        <f>'FS-AD Daily '!J24</f>
        <v>7201</v>
      </c>
      <c r="N20" s="71">
        <f>'FS-AD Daily '!T24</f>
        <v>290.91399999998976</v>
      </c>
      <c r="O20" s="71">
        <f>'FS-AD Daily '!R24</f>
        <v>95.157999999998339</v>
      </c>
      <c r="P20" s="71">
        <f>'FS-AD Daily '!Z24</f>
        <v>873</v>
      </c>
      <c r="Q20" s="71">
        <f>'FS-AD Daily '!V24</f>
        <v>290.60000000003492</v>
      </c>
      <c r="R20" s="71">
        <f>'FS-AD Daily '!W24</f>
        <v>151.47000000000116</v>
      </c>
      <c r="S20" s="71">
        <f t="shared" si="0"/>
        <v>430.92999999996391</v>
      </c>
      <c r="T20" s="71">
        <f>'FS-AD Daily '!AD24*3.516</f>
        <v>70939.519199997376</v>
      </c>
      <c r="U20" s="71">
        <f>('FS-AD Daily '!AF24)*1000</f>
        <v>34699.99999999709</v>
      </c>
      <c r="V20" s="71">
        <f>('FS-AD Daily '!AG24)*1000</f>
        <v>2000</v>
      </c>
      <c r="W20" s="71">
        <f>'FS-AD Daily '!AH24*1000</f>
        <v>10700.000000000728</v>
      </c>
      <c r="X20" s="71">
        <f>('FS-AD Daily '!AK24)*1000</f>
        <v>29099.999999998545</v>
      </c>
      <c r="Y20" s="71">
        <v>99</v>
      </c>
      <c r="Z20" s="104">
        <v>155</v>
      </c>
    </row>
    <row r="21" spans="1:26" x14ac:dyDescent="0.25">
      <c r="A21" s="103" t="s">
        <v>80</v>
      </c>
      <c r="B21" s="69">
        <f t="shared" si="1"/>
        <v>20</v>
      </c>
      <c r="C21" s="70">
        <v>11</v>
      </c>
      <c r="D21" s="69">
        <v>2021</v>
      </c>
      <c r="E21" s="71">
        <f>'FS-AD Daily '!B25</f>
        <v>6699</v>
      </c>
      <c r="F21" s="71">
        <f>'FS-AD Daily '!C25</f>
        <v>4124</v>
      </c>
      <c r="G21" s="71">
        <f>'FS-AD Daily '!D25</f>
        <v>924</v>
      </c>
      <c r="H21" s="71">
        <f>'FS-AD Daily '!E25</f>
        <v>6208</v>
      </c>
      <c r="I21" s="71">
        <f>'FS-AD Daily '!F25</f>
        <v>6046</v>
      </c>
      <c r="J21" s="71">
        <f>'FS-AD Daily '!G25</f>
        <v>2953</v>
      </c>
      <c r="K21" s="71">
        <f>'FS-AD Daily '!H25</f>
        <v>5675</v>
      </c>
      <c r="L21" s="71">
        <f>'FS-AD Daily '!I25</f>
        <v>2465</v>
      </c>
      <c r="M21" s="71">
        <f>'FS-AD Daily '!J25</f>
        <v>7254</v>
      </c>
      <c r="N21" s="71">
        <f>'FS-AD Daily '!T25</f>
        <v>150.61100000000442</v>
      </c>
      <c r="O21" s="71">
        <f>'FS-AD Daily '!R25</f>
        <v>81.981000000002098</v>
      </c>
      <c r="P21" s="71">
        <f>'FS-AD Daily '!Z25</f>
        <v>805</v>
      </c>
      <c r="Q21" s="71">
        <f>'FS-AD Daily '!V25</f>
        <v>264.19999999995343</v>
      </c>
      <c r="R21" s="71">
        <f>'FS-AD Daily '!W25</f>
        <v>157.94000000000233</v>
      </c>
      <c r="S21" s="71">
        <f t="shared" si="0"/>
        <v>382.86000000004424</v>
      </c>
      <c r="T21" s="71">
        <f>'FS-AD Daily '!AD25*3.516</f>
        <v>66522.720000000001</v>
      </c>
      <c r="U21" s="71">
        <f>('FS-AD Daily '!AF25)*1000</f>
        <v>32300.00000000291</v>
      </c>
      <c r="V21" s="71">
        <f>('FS-AD Daily '!AG25)*1000</f>
        <v>3199.9999999970896</v>
      </c>
      <c r="W21" s="71">
        <f>'FS-AD Daily '!AH25*1000</f>
        <v>10199.99999999709</v>
      </c>
      <c r="X21" s="71">
        <f>('FS-AD Daily '!AK25)*1000</f>
        <v>28500</v>
      </c>
      <c r="Y21" s="71">
        <v>106</v>
      </c>
      <c r="Z21" s="104">
        <v>151</v>
      </c>
    </row>
    <row r="22" spans="1:26" x14ac:dyDescent="0.25">
      <c r="A22" s="103" t="s">
        <v>80</v>
      </c>
      <c r="B22" s="69">
        <f t="shared" si="1"/>
        <v>21</v>
      </c>
      <c r="C22" s="70">
        <v>11</v>
      </c>
      <c r="D22" s="69">
        <v>2021</v>
      </c>
      <c r="E22" s="71">
        <f>'FS-AD Daily '!B26</f>
        <v>6378</v>
      </c>
      <c r="F22" s="71">
        <f>'FS-AD Daily '!C26</f>
        <v>3763</v>
      </c>
      <c r="G22" s="71">
        <f>'FS-AD Daily '!D26</f>
        <v>897</v>
      </c>
      <c r="H22" s="71">
        <f>'FS-AD Daily '!E26</f>
        <v>6151</v>
      </c>
      <c r="I22" s="71">
        <f>'FS-AD Daily '!F26</f>
        <v>5867</v>
      </c>
      <c r="J22" s="71">
        <f>'FS-AD Daily '!G26</f>
        <v>2900</v>
      </c>
      <c r="K22" s="71">
        <f>'FS-AD Daily '!H26</f>
        <v>5518</v>
      </c>
      <c r="L22" s="71">
        <f>'FS-AD Daily '!I26</f>
        <v>2415</v>
      </c>
      <c r="M22" s="71">
        <f>'FS-AD Daily '!J26</f>
        <v>6830</v>
      </c>
      <c r="N22" s="71">
        <f>'FS-AD Daily '!T26</f>
        <v>192.5380000000041</v>
      </c>
      <c r="O22" s="71">
        <f>'FS-AD Daily '!R26</f>
        <v>71.382999999999356</v>
      </c>
      <c r="P22" s="71">
        <f>'FS-AD Daily '!Z26</f>
        <v>801</v>
      </c>
      <c r="Q22" s="71">
        <f>'FS-AD Daily '!V26</f>
        <v>273.10000000003492</v>
      </c>
      <c r="R22" s="71">
        <f>'FS-AD Daily '!W26</f>
        <v>159.42999999999302</v>
      </c>
      <c r="S22" s="71">
        <f t="shared" si="0"/>
        <v>368.46999999997206</v>
      </c>
      <c r="T22" s="71">
        <f>'FS-AD Daily '!AD26*3.516</f>
        <v>66290.664000000004</v>
      </c>
      <c r="U22" s="71">
        <f>('FS-AD Daily '!AF26)*1000</f>
        <v>32500</v>
      </c>
      <c r="V22" s="71">
        <f>('FS-AD Daily '!AG26)*1000</f>
        <v>4000</v>
      </c>
      <c r="W22" s="71">
        <f>'FS-AD Daily '!AH26*1000</f>
        <v>9900.0000000014552</v>
      </c>
      <c r="X22" s="71">
        <f>('FS-AD Daily '!AK26)*1000</f>
        <v>27599.999999998545</v>
      </c>
      <c r="Y22" s="71">
        <v>129</v>
      </c>
      <c r="Z22" s="104">
        <v>185</v>
      </c>
    </row>
    <row r="23" spans="1:26" x14ac:dyDescent="0.25">
      <c r="A23" s="103" t="s">
        <v>80</v>
      </c>
      <c r="B23" s="69">
        <f t="shared" si="1"/>
        <v>22</v>
      </c>
      <c r="C23" s="70">
        <v>11</v>
      </c>
      <c r="D23" s="69">
        <v>2021</v>
      </c>
      <c r="E23" s="71">
        <f>'FS-AD Daily '!B27</f>
        <v>6287</v>
      </c>
      <c r="F23" s="71">
        <f>'FS-AD Daily '!C27</f>
        <v>4338</v>
      </c>
      <c r="G23" s="71">
        <f>'FS-AD Daily '!D27</f>
        <v>908</v>
      </c>
      <c r="H23" s="71">
        <f>'FS-AD Daily '!E27</f>
        <v>7058</v>
      </c>
      <c r="I23" s="71">
        <f>'FS-AD Daily '!F27</f>
        <v>6225</v>
      </c>
      <c r="J23" s="71">
        <f>'FS-AD Daily '!G27</f>
        <v>3114</v>
      </c>
      <c r="K23" s="71">
        <f>'FS-AD Daily '!H27</f>
        <v>5651</v>
      </c>
      <c r="L23" s="71">
        <f>'FS-AD Daily '!I27</f>
        <v>2476</v>
      </c>
      <c r="M23" s="71">
        <f>'FS-AD Daily '!J27</f>
        <v>7043</v>
      </c>
      <c r="N23" s="71">
        <f>'FS-AD Daily '!T27</f>
        <v>194.67199999999502</v>
      </c>
      <c r="O23" s="71">
        <f>'FS-AD Daily '!R27</f>
        <v>79.100999999999033</v>
      </c>
      <c r="P23" s="71">
        <f>'FS-AD Daily '!Z27</f>
        <v>771</v>
      </c>
      <c r="Q23" s="71">
        <f>'FS-AD Daily '!V27</f>
        <v>213.5</v>
      </c>
      <c r="R23" s="71">
        <f>'FS-AD Daily '!W27</f>
        <v>157.20999999999185</v>
      </c>
      <c r="S23" s="71">
        <f t="shared" si="0"/>
        <v>400.29000000000815</v>
      </c>
      <c r="T23" s="71">
        <f>'FS-AD Daily '!AD27*3.516</f>
        <v>70119.588000000003</v>
      </c>
      <c r="U23" s="71">
        <f>('FS-AD Daily '!AF27)*1000</f>
        <v>34899.999999994179</v>
      </c>
      <c r="V23" s="71">
        <f>('FS-AD Daily '!AG27)*1000</f>
        <v>4000</v>
      </c>
      <c r="W23" s="71">
        <f>'FS-AD Daily '!AH27*1000</f>
        <v>9900.0000000014552</v>
      </c>
      <c r="X23" s="71">
        <f>('FS-AD Daily '!AK27)*1000</f>
        <v>27099.999999998545</v>
      </c>
      <c r="Y23" s="71">
        <v>166</v>
      </c>
      <c r="Z23" s="104">
        <v>221</v>
      </c>
    </row>
    <row r="24" spans="1:26" x14ac:dyDescent="0.25">
      <c r="A24" s="103" t="s">
        <v>80</v>
      </c>
      <c r="B24" s="69">
        <f t="shared" si="1"/>
        <v>23</v>
      </c>
      <c r="C24" s="70">
        <v>11</v>
      </c>
      <c r="D24" s="69">
        <v>2021</v>
      </c>
      <c r="E24" s="71">
        <f>'FS-AD Daily '!B28</f>
        <v>6516</v>
      </c>
      <c r="F24" s="71">
        <f>'FS-AD Daily '!C28</f>
        <v>4427</v>
      </c>
      <c r="G24" s="71">
        <f>'FS-AD Daily '!D28</f>
        <v>918</v>
      </c>
      <c r="H24" s="71">
        <f>'FS-AD Daily '!E28</f>
        <v>7723</v>
      </c>
      <c r="I24" s="71">
        <f>'FS-AD Daily '!F28</f>
        <v>6110</v>
      </c>
      <c r="J24" s="71">
        <f>'FS-AD Daily '!G28</f>
        <v>3002</v>
      </c>
      <c r="K24" s="71">
        <f>'FS-AD Daily '!H28</f>
        <v>5611</v>
      </c>
      <c r="L24" s="71">
        <f>'FS-AD Daily '!I28</f>
        <v>2437</v>
      </c>
      <c r="M24" s="71">
        <f>'FS-AD Daily '!J28</f>
        <v>7117</v>
      </c>
      <c r="N24" s="71">
        <f>'FS-AD Daily '!T28</f>
        <v>231.29499999999462</v>
      </c>
      <c r="O24" s="71">
        <f>'FS-AD Daily '!R28</f>
        <v>81.401000000000124</v>
      </c>
      <c r="P24" s="71">
        <f>'FS-AD Daily '!Z28</f>
        <v>748</v>
      </c>
      <c r="Q24" s="71">
        <f>'FS-AD Daily '!V28</f>
        <v>153</v>
      </c>
      <c r="R24" s="71">
        <f>'FS-AD Daily '!W28</f>
        <v>171.99000000001979</v>
      </c>
      <c r="S24" s="71">
        <f t="shared" si="0"/>
        <v>423.00999999998021</v>
      </c>
      <c r="T24" s="71">
        <f>'FS-AD Daily '!AD28*3.516</f>
        <v>82889.7</v>
      </c>
      <c r="U24" s="71">
        <f>('FS-AD Daily '!AF28)*1000</f>
        <v>41500</v>
      </c>
      <c r="V24" s="71">
        <f>('FS-AD Daily '!AG28)*1000</f>
        <v>2900.0000000014552</v>
      </c>
      <c r="W24" s="71">
        <f>'FS-AD Daily '!AH28*1000</f>
        <v>11299.999999999272</v>
      </c>
      <c r="X24" s="71">
        <f>('FS-AD Daily '!AK28)*1000</f>
        <v>31500</v>
      </c>
      <c r="Y24" s="71">
        <v>144</v>
      </c>
      <c r="Z24" s="104">
        <v>193</v>
      </c>
    </row>
    <row r="25" spans="1:26" x14ac:dyDescent="0.25">
      <c r="A25" s="103" t="s">
        <v>80</v>
      </c>
      <c r="B25" s="69">
        <f t="shared" si="1"/>
        <v>24</v>
      </c>
      <c r="C25" s="70">
        <v>11</v>
      </c>
      <c r="D25" s="69">
        <v>2021</v>
      </c>
      <c r="E25" s="71">
        <f>'FS-AD Daily '!B29</f>
        <v>6861</v>
      </c>
      <c r="F25" s="71">
        <f>'FS-AD Daily '!C29</f>
        <v>4290</v>
      </c>
      <c r="G25" s="71">
        <f>'FS-AD Daily '!D29</f>
        <v>958</v>
      </c>
      <c r="H25" s="71">
        <f>'FS-AD Daily '!E29</f>
        <v>7498</v>
      </c>
      <c r="I25" s="71">
        <f>'FS-AD Daily '!F29</f>
        <v>6228</v>
      </c>
      <c r="J25" s="71">
        <f>'FS-AD Daily '!G29</f>
        <v>2952</v>
      </c>
      <c r="K25" s="71">
        <f>'FS-AD Daily '!H29</f>
        <v>5726</v>
      </c>
      <c r="L25" s="71">
        <f>'FS-AD Daily '!I29</f>
        <v>2475</v>
      </c>
      <c r="M25" s="71">
        <f>'FS-AD Daily '!J29</f>
        <v>7210</v>
      </c>
      <c r="N25" s="71">
        <f>'FS-AD Daily '!T29</f>
        <v>200.81599999999889</v>
      </c>
      <c r="O25" s="71">
        <f>'FS-AD Daily '!R29</f>
        <v>86.498000000001241</v>
      </c>
      <c r="P25" s="71">
        <f>'FS-AD Daily '!Z29</f>
        <v>701</v>
      </c>
      <c r="Q25" s="71">
        <f>'FS-AD Daily '!V29</f>
        <v>147.20000000001164</v>
      </c>
      <c r="R25" s="71">
        <f>'FS-AD Daily '!W29</f>
        <v>166.62999999997555</v>
      </c>
      <c r="S25" s="71">
        <f t="shared" si="0"/>
        <v>387.17000000001281</v>
      </c>
      <c r="T25" s="71">
        <f>'FS-AD Daily '!AD29*3.516</f>
        <v>77981.364000000001</v>
      </c>
      <c r="U25" s="71">
        <f>('FS-AD Daily '!AF29)*1000</f>
        <v>38199.99999999709</v>
      </c>
      <c r="V25" s="71">
        <f>('FS-AD Daily '!AG29)*1000</f>
        <v>4599.9999999985448</v>
      </c>
      <c r="W25" s="71">
        <f>'FS-AD Daily '!AH29*1000</f>
        <v>11000</v>
      </c>
      <c r="X25" s="71">
        <f>('FS-AD Daily '!AK29)*1000</f>
        <v>29300.00000000291</v>
      </c>
      <c r="Y25" s="71">
        <v>132</v>
      </c>
      <c r="Z25" s="104">
        <v>192</v>
      </c>
    </row>
    <row r="26" spans="1:26" x14ac:dyDescent="0.25">
      <c r="A26" s="103" t="s">
        <v>80</v>
      </c>
      <c r="B26" s="69">
        <f>B25+1</f>
        <v>25</v>
      </c>
      <c r="C26" s="70">
        <v>11</v>
      </c>
      <c r="D26" s="69">
        <v>2021</v>
      </c>
      <c r="E26" s="71">
        <f>'FS-AD Daily '!B30</f>
        <v>7092</v>
      </c>
      <c r="F26" s="71">
        <f>'FS-AD Daily '!C30</f>
        <v>4506</v>
      </c>
      <c r="G26" s="71">
        <f>'FS-AD Daily '!D30</f>
        <v>918</v>
      </c>
      <c r="H26" s="71">
        <f>'FS-AD Daily '!E30</f>
        <v>7532</v>
      </c>
      <c r="I26" s="71">
        <f>'FS-AD Daily '!F30</f>
        <v>6219</v>
      </c>
      <c r="J26" s="71">
        <f>'FS-AD Daily '!G30</f>
        <v>2970</v>
      </c>
      <c r="K26" s="71">
        <f>'FS-AD Daily '!H30</f>
        <v>5882</v>
      </c>
      <c r="L26" s="71">
        <f>'FS-AD Daily '!I30</f>
        <v>2436</v>
      </c>
      <c r="M26" s="71">
        <f>'FS-AD Daily '!J30</f>
        <v>7234</v>
      </c>
      <c r="N26" s="71">
        <f>'FS-AD Daily '!T30</f>
        <v>180.98100000000341</v>
      </c>
      <c r="O26" s="71">
        <f>'FS-AD Daily '!R30</f>
        <v>83.01299999999901</v>
      </c>
      <c r="P26" s="71">
        <f>'FS-AD Daily '!Z30</f>
        <v>739</v>
      </c>
      <c r="Q26" s="71">
        <f>'FS-AD Daily '!V30</f>
        <v>156.79999999998836</v>
      </c>
      <c r="R26" s="71">
        <f>'FS-AD Daily '!W30</f>
        <v>166.27000000001863</v>
      </c>
      <c r="S26" s="71">
        <f t="shared" si="0"/>
        <v>415.92999999999302</v>
      </c>
      <c r="T26" s="71">
        <f>'FS-AD Daily '!AD30*3.516</f>
        <v>71227.127999999997</v>
      </c>
      <c r="U26" s="71">
        <f>('FS-AD Daily '!AF30)*1000</f>
        <v>34900.000000008731</v>
      </c>
      <c r="V26" s="71">
        <f>('FS-AD Daily '!AG30)*1000</f>
        <v>5500</v>
      </c>
      <c r="W26" s="71">
        <f>'FS-AD Daily '!AH30*1000</f>
        <v>10299.999999999272</v>
      </c>
      <c r="X26" s="71">
        <f>('FS-AD Daily '!AK30)*1000</f>
        <v>27699.99999999709</v>
      </c>
      <c r="Y26" s="71">
        <v>123</v>
      </c>
      <c r="Z26" s="104">
        <v>190</v>
      </c>
    </row>
    <row r="27" spans="1:26" x14ac:dyDescent="0.25">
      <c r="A27" s="103" t="s">
        <v>80</v>
      </c>
      <c r="B27" s="69">
        <f t="shared" si="1"/>
        <v>26</v>
      </c>
      <c r="C27" s="70">
        <v>11</v>
      </c>
      <c r="D27" s="69">
        <v>2021</v>
      </c>
      <c r="E27" s="71">
        <f>'FS-AD Daily '!B31</f>
        <v>6755</v>
      </c>
      <c r="F27" s="71">
        <f>'FS-AD Daily '!C31</f>
        <v>4147</v>
      </c>
      <c r="G27" s="71">
        <f>'FS-AD Daily '!D31</f>
        <v>949</v>
      </c>
      <c r="H27" s="71">
        <f>'FS-AD Daily '!E31</f>
        <v>7427</v>
      </c>
      <c r="I27" s="71">
        <f>'FS-AD Daily '!F31</f>
        <v>6304</v>
      </c>
      <c r="J27" s="71">
        <f>'FS-AD Daily '!G31</f>
        <v>2942</v>
      </c>
      <c r="K27" s="71">
        <f>'FS-AD Daily '!H31</f>
        <v>5787</v>
      </c>
      <c r="L27" s="71">
        <f>'FS-AD Daily '!I31</f>
        <v>2347</v>
      </c>
      <c r="M27" s="71">
        <f>'FS-AD Daily '!J31</f>
        <v>7234</v>
      </c>
      <c r="N27" s="71">
        <f>'FS-AD Daily '!T31</f>
        <v>182.57699999999386</v>
      </c>
      <c r="O27" s="71">
        <f>'FS-AD Daily '!R31</f>
        <v>93.760999999999967</v>
      </c>
      <c r="P27" s="71">
        <f>'FS-AD Daily '!Z31</f>
        <v>787</v>
      </c>
      <c r="Q27" s="71">
        <f>'FS-AD Daily '!V31</f>
        <v>153</v>
      </c>
      <c r="R27" s="71">
        <f>'FS-AD Daily '!W31</f>
        <v>187.83999999999651</v>
      </c>
      <c r="S27" s="71">
        <f t="shared" si="0"/>
        <v>446.16000000000349</v>
      </c>
      <c r="T27" s="71">
        <f>'FS-AD Daily '!AD31*3.516</f>
        <v>75804.960000000006</v>
      </c>
      <c r="U27" s="71">
        <f>('FS-AD Daily '!AF31)*1000</f>
        <v>37099.999999991269</v>
      </c>
      <c r="V27" s="71">
        <f>('FS-AD Daily '!AG31)*1000</f>
        <v>7900.0000000014552</v>
      </c>
      <c r="W27" s="71">
        <f>'FS-AD Daily '!AH31*1000</f>
        <v>11400.000000001455</v>
      </c>
      <c r="X27" s="71">
        <f>('FS-AD Daily '!AK31)*1000</f>
        <v>28700.000000004366</v>
      </c>
      <c r="Y27" s="71">
        <v>123</v>
      </c>
      <c r="Z27" s="104">
        <v>209</v>
      </c>
    </row>
    <row r="28" spans="1:26" x14ac:dyDescent="0.25">
      <c r="A28" s="103" t="s">
        <v>80</v>
      </c>
      <c r="B28" s="69">
        <f t="shared" si="1"/>
        <v>27</v>
      </c>
      <c r="C28" s="70">
        <v>11</v>
      </c>
      <c r="D28" s="69">
        <v>2021</v>
      </c>
      <c r="E28" s="71">
        <f>'FS-AD Daily '!B32</f>
        <v>6782</v>
      </c>
      <c r="F28" s="71">
        <f>'FS-AD Daily '!C32</f>
        <v>4174</v>
      </c>
      <c r="G28" s="71">
        <f>'FS-AD Daily '!D32</f>
        <v>918</v>
      </c>
      <c r="H28" s="71">
        <f>'FS-AD Daily '!E32</f>
        <v>7410</v>
      </c>
      <c r="I28" s="71">
        <f>'FS-AD Daily '!F32</f>
        <v>6052</v>
      </c>
      <c r="J28" s="71">
        <f>'FS-AD Daily '!G32</f>
        <v>2952</v>
      </c>
      <c r="K28" s="71">
        <f>'FS-AD Daily '!H32</f>
        <v>5556</v>
      </c>
      <c r="L28" s="71">
        <f>'FS-AD Daily '!I32</f>
        <v>2412</v>
      </c>
      <c r="M28" s="71">
        <f>'FS-AD Daily '!J32</f>
        <v>7279</v>
      </c>
      <c r="N28" s="71">
        <f>'FS-AD Daily '!T32</f>
        <v>173.9090000000142</v>
      </c>
      <c r="O28" s="71">
        <f>'FS-AD Daily '!R32</f>
        <v>80.907000000000721</v>
      </c>
      <c r="P28" s="71">
        <f>'FS-AD Daily '!Z32</f>
        <v>724</v>
      </c>
      <c r="Q28" s="71">
        <f>'FS-AD Daily '!V32</f>
        <v>158.20000000001164</v>
      </c>
      <c r="R28" s="71">
        <f>'FS-AD Daily '!W32</f>
        <v>182.19000000000233</v>
      </c>
      <c r="S28" s="71">
        <f t="shared" si="0"/>
        <v>383.60999999998603</v>
      </c>
      <c r="T28" s="71">
        <f>'FS-AD Daily '!AD32*3.516</f>
        <v>79366.668000000005</v>
      </c>
      <c r="U28" s="71">
        <f>('FS-AD Daily '!AF32)*1000</f>
        <v>38600.000000005821</v>
      </c>
      <c r="V28" s="71">
        <f>('FS-AD Daily '!AG32)*1000</f>
        <v>8700.0000000043656</v>
      </c>
      <c r="W28" s="71">
        <f>'FS-AD Daily '!AH32*1000</f>
        <v>11799.999999999272</v>
      </c>
      <c r="X28" s="71">
        <f>('FS-AD Daily '!AK32)*1000</f>
        <v>30400.000000001455</v>
      </c>
      <c r="Y28" s="71">
        <v>125</v>
      </c>
      <c r="Z28" s="104">
        <v>193</v>
      </c>
    </row>
    <row r="29" spans="1:26" x14ac:dyDescent="0.25">
      <c r="A29" s="103" t="s">
        <v>80</v>
      </c>
      <c r="B29" s="69">
        <f t="shared" si="1"/>
        <v>28</v>
      </c>
      <c r="C29" s="70">
        <v>11</v>
      </c>
      <c r="D29" s="69">
        <v>2021</v>
      </c>
      <c r="E29" s="71">
        <f>'FS-AD Daily '!B33</f>
        <v>6833</v>
      </c>
      <c r="F29" s="71">
        <f>'FS-AD Daily '!C33</f>
        <v>4012</v>
      </c>
      <c r="G29" s="71">
        <f>'FS-AD Daily '!D33</f>
        <v>895</v>
      </c>
      <c r="H29" s="71">
        <f>'FS-AD Daily '!E33</f>
        <v>7338</v>
      </c>
      <c r="I29" s="71">
        <f>'FS-AD Daily '!F33</f>
        <v>5958</v>
      </c>
      <c r="J29" s="71">
        <f>'FS-AD Daily '!G33</f>
        <v>2962</v>
      </c>
      <c r="K29" s="71">
        <f>'FS-AD Daily '!H33</f>
        <v>5537</v>
      </c>
      <c r="L29" s="71">
        <f>'FS-AD Daily '!I33</f>
        <v>2461</v>
      </c>
      <c r="M29" s="71">
        <f>'FS-AD Daily '!J33</f>
        <v>6947</v>
      </c>
      <c r="N29" s="71">
        <f>'FS-AD Daily '!T33</f>
        <v>174.55900000000111</v>
      </c>
      <c r="O29" s="71">
        <f>'FS-AD Daily '!R33</f>
        <v>74.086999999999534</v>
      </c>
      <c r="P29" s="71">
        <f>'FS-AD Daily '!Z33</f>
        <v>686</v>
      </c>
      <c r="Q29" s="71">
        <f>'FS-AD Daily '!V33</f>
        <v>170.5</v>
      </c>
      <c r="R29" s="71">
        <f>'FS-AD Daily '!W33</f>
        <v>167.25</v>
      </c>
      <c r="S29" s="71">
        <f t="shared" si="0"/>
        <v>348.25</v>
      </c>
      <c r="T29" s="71">
        <f>'FS-AD Daily '!AD33*3.516</f>
        <v>70643.471999999994</v>
      </c>
      <c r="U29" s="71">
        <f>('FS-AD Daily '!AF33)*1000</f>
        <v>34399.999999994179</v>
      </c>
      <c r="V29" s="71">
        <f>('FS-AD Daily '!AG33)*1000</f>
        <v>7500</v>
      </c>
      <c r="W29" s="71">
        <f>'FS-AD Daily '!AH33*1000</f>
        <v>11099.999999998545</v>
      </c>
      <c r="X29" s="71">
        <f>('FS-AD Daily '!AK33)*1000</f>
        <v>28099.999999998545</v>
      </c>
      <c r="Y29" s="71">
        <v>124</v>
      </c>
      <c r="Z29" s="104">
        <v>176</v>
      </c>
    </row>
    <row r="30" spans="1:26" x14ac:dyDescent="0.25">
      <c r="A30" s="103" t="s">
        <v>80</v>
      </c>
      <c r="B30" s="69">
        <f t="shared" si="1"/>
        <v>29</v>
      </c>
      <c r="C30" s="70">
        <v>11</v>
      </c>
      <c r="D30" s="69">
        <v>2021</v>
      </c>
      <c r="E30" s="71">
        <f>'FS-AD Daily '!B34</f>
        <v>7676</v>
      </c>
      <c r="F30" s="71">
        <f>'FS-AD Daily '!C34</f>
        <v>4038</v>
      </c>
      <c r="G30" s="71">
        <f>'FS-AD Daily '!D34</f>
        <v>852</v>
      </c>
      <c r="H30" s="71">
        <f>'FS-AD Daily '!E34</f>
        <v>7444</v>
      </c>
      <c r="I30" s="71">
        <f>'FS-AD Daily '!F34</f>
        <v>6027</v>
      </c>
      <c r="J30" s="71">
        <f>'FS-AD Daily '!G34</f>
        <v>2981</v>
      </c>
      <c r="K30" s="71">
        <f>'FS-AD Daily '!H34</f>
        <v>5460</v>
      </c>
      <c r="L30" s="71">
        <f>'FS-AD Daily '!I34</f>
        <v>2374</v>
      </c>
      <c r="M30" s="71">
        <f>'FS-AD Daily '!J34</f>
        <v>6791</v>
      </c>
      <c r="N30" s="71">
        <f>'FS-AD Daily '!T34</f>
        <v>177.94299999998839</v>
      </c>
      <c r="O30" s="71">
        <f>'FS-AD Daily '!R34</f>
        <v>79.88</v>
      </c>
      <c r="P30" s="71">
        <f>'FS-AD Daily '!Z34</f>
        <v>709</v>
      </c>
      <c r="Q30" s="71">
        <f>'FS-AD Daily '!V34</f>
        <v>158.09999999997672</v>
      </c>
      <c r="R30" s="71">
        <f>'FS-AD Daily '!W34</f>
        <v>171.92999999999302</v>
      </c>
      <c r="S30" s="71">
        <f t="shared" si="0"/>
        <v>378.97000000003027</v>
      </c>
      <c r="T30" s="71">
        <f>'FS-AD Daily '!AD34*3.516</f>
        <v>62486.351999999999</v>
      </c>
      <c r="U30" s="71">
        <f>('FS-AD Daily '!AF34)*1000</f>
        <v>31300.00000000291</v>
      </c>
      <c r="V30" s="71">
        <f>('FS-AD Daily '!AG34)*1000</f>
        <v>7399.9999999941792</v>
      </c>
      <c r="W30" s="71">
        <f>'FS-AD Daily '!AH34*1000</f>
        <v>9700.0000000007276</v>
      </c>
      <c r="X30" s="71">
        <f>('FS-AD Daily '!AK34)*1000</f>
        <v>25900.000000001455</v>
      </c>
      <c r="Y30" s="71">
        <v>109</v>
      </c>
      <c r="Z30" s="104">
        <v>160</v>
      </c>
    </row>
    <row r="31" spans="1:26" x14ac:dyDescent="0.25">
      <c r="A31" s="103" t="s">
        <v>80</v>
      </c>
      <c r="B31" s="69">
        <f t="shared" si="1"/>
        <v>30</v>
      </c>
      <c r="C31" s="70">
        <v>11</v>
      </c>
      <c r="D31" s="69">
        <v>2021</v>
      </c>
      <c r="E31" s="71">
        <f>'FS-AD Daily '!B35</f>
        <v>6829</v>
      </c>
      <c r="F31" s="71">
        <f>'FS-AD Daily '!C35</f>
        <v>3660</v>
      </c>
      <c r="G31" s="71">
        <f>'FS-AD Daily '!D35</f>
        <v>926</v>
      </c>
      <c r="H31" s="71">
        <f>'FS-AD Daily '!E35</f>
        <v>7394</v>
      </c>
      <c r="I31" s="71">
        <f>'FS-AD Daily '!F35</f>
        <v>6092</v>
      </c>
      <c r="J31" s="71">
        <f>'FS-AD Daily '!G35</f>
        <v>3054</v>
      </c>
      <c r="K31" s="71">
        <f>'FS-AD Daily '!H35</f>
        <v>5511</v>
      </c>
      <c r="L31" s="71">
        <f>'FS-AD Daily '!I35</f>
        <v>2324</v>
      </c>
      <c r="M31" s="71">
        <f>'FS-AD Daily '!J35</f>
        <v>7125</v>
      </c>
      <c r="N31" s="71">
        <f>'FS-AD Daily '!T35</f>
        <v>178.86200000000463</v>
      </c>
      <c r="O31" s="71">
        <f>'FS-AD Daily '!R35</f>
        <v>87.226000000000568</v>
      </c>
      <c r="P31" s="71">
        <f>'FS-AD Daily '!Z35</f>
        <v>696</v>
      </c>
      <c r="Q31" s="71">
        <f>'FS-AD Daily '!V35</f>
        <v>168.79999999998836</v>
      </c>
      <c r="R31" s="71">
        <f>'FS-AD Daily '!W35</f>
        <v>158.12000000002445</v>
      </c>
      <c r="S31" s="71">
        <f t="shared" ref="S31" si="2">P31-Q31-R31</f>
        <v>369.07999999998719</v>
      </c>
      <c r="T31" s="71">
        <f>'FS-AD Daily '!AD35*3.516</f>
        <v>65404.631999999998</v>
      </c>
      <c r="U31" s="71">
        <f>('FS-AD Daily '!AF35)*1000</f>
        <v>32400.000000008731</v>
      </c>
      <c r="V31" s="71">
        <f>('FS-AD Daily '!AG35)*1000</f>
        <v>7800.0000000029104</v>
      </c>
      <c r="W31" s="71">
        <f>'FS-AD Daily '!AH35*1000</f>
        <v>10000</v>
      </c>
      <c r="X31" s="71">
        <f>('FS-AD Daily '!AK35)*1000</f>
        <v>27399.999999994179</v>
      </c>
      <c r="Y31" s="71">
        <v>86</v>
      </c>
      <c r="Z31" s="120">
        <v>148</v>
      </c>
    </row>
    <row r="32" spans="1:26" x14ac:dyDescent="0.25">
      <c r="I32" s="4">
        <f t="shared" ref="I32:W32" si="3">SUM(I2:I31)</f>
        <v>183962</v>
      </c>
      <c r="J32" s="4">
        <f t="shared" si="3"/>
        <v>90579</v>
      </c>
      <c r="K32" s="4">
        <f t="shared" si="3"/>
        <v>177726</v>
      </c>
      <c r="L32" s="4">
        <f t="shared" si="3"/>
        <v>71852</v>
      </c>
      <c r="M32" s="4">
        <f t="shared" si="3"/>
        <v>214332</v>
      </c>
      <c r="N32" s="4">
        <f t="shared" si="3"/>
        <v>5864.885000000002</v>
      </c>
      <c r="O32" s="4">
        <f t="shared" si="3"/>
        <v>2471.8260000000028</v>
      </c>
      <c r="P32" s="4">
        <f t="shared" si="3"/>
        <v>23713</v>
      </c>
      <c r="Q32" s="4">
        <f t="shared" si="3"/>
        <v>7144.2000000000116</v>
      </c>
      <c r="R32" s="4">
        <f t="shared" si="3"/>
        <v>4792.9700000000303</v>
      </c>
      <c r="S32" s="4">
        <f t="shared" si="3"/>
        <v>11775.829999999958</v>
      </c>
      <c r="T32" s="4">
        <f t="shared" si="3"/>
        <v>2229160.1735999989</v>
      </c>
      <c r="U32" s="4">
        <f t="shared" si="3"/>
        <v>1078100.0000000058</v>
      </c>
      <c r="V32" s="4">
        <f t="shared" si="3"/>
        <v>165500</v>
      </c>
      <c r="W32" s="4">
        <f t="shared" si="3"/>
        <v>324700.0000000007</v>
      </c>
      <c r="X32" s="4">
        <f>'FS-AD Daily '!U37</f>
        <v>26601.582559999995</v>
      </c>
      <c r="Y32" s="4">
        <f>SUM(Y2:Y31)</f>
        <v>4015</v>
      </c>
      <c r="Z32" s="4">
        <f>SUM(Z2:Z31)</f>
        <v>5551</v>
      </c>
    </row>
    <row r="33" spans="25:25" x14ac:dyDescent="0.25">
      <c r="Y33"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tabSelected="1" zoomScaleNormal="100" workbookViewId="0">
      <pane xSplit="7" ySplit="4" topLeftCell="AD20" activePane="bottomRight" state="frozen"/>
      <selection pane="topRight" activeCell="H1" sqref="H1"/>
      <selection pane="bottomLeft" activeCell="A5" sqref="A5"/>
      <selection pane="bottomRight" activeCell="AN26" sqref="AN26:AN35"/>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21" t="s">
        <v>14</v>
      </c>
      <c r="C1" s="121"/>
      <c r="D1" s="121"/>
      <c r="E1" s="121"/>
      <c r="F1" s="121"/>
      <c r="G1" s="121"/>
      <c r="H1" s="121"/>
      <c r="I1" s="121"/>
      <c r="J1" s="121"/>
      <c r="K1" s="25" t="s">
        <v>15</v>
      </c>
      <c r="L1" s="26" t="s">
        <v>16</v>
      </c>
      <c r="M1" s="27" t="s">
        <v>17</v>
      </c>
      <c r="N1" s="28" t="s">
        <v>18</v>
      </c>
      <c r="O1" s="28" t="s">
        <v>19</v>
      </c>
      <c r="P1" s="65" t="s">
        <v>20</v>
      </c>
      <c r="Q1" s="30" t="s">
        <v>21</v>
      </c>
      <c r="R1" s="31" t="s">
        <v>22</v>
      </c>
      <c r="S1" s="29" t="s">
        <v>23</v>
      </c>
      <c r="T1" s="32" t="s">
        <v>24</v>
      </c>
      <c r="U1" s="33" t="s">
        <v>25</v>
      </c>
      <c r="V1" s="32" t="s">
        <v>26</v>
      </c>
      <c r="W1" s="32" t="s">
        <v>27</v>
      </c>
      <c r="X1" s="122" t="s">
        <v>28</v>
      </c>
      <c r="Y1" s="122"/>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23" t="s">
        <v>41</v>
      </c>
      <c r="L2" s="125" t="s">
        <v>42</v>
      </c>
      <c r="M2" s="10"/>
      <c r="N2" s="10"/>
      <c r="O2" s="10"/>
      <c r="P2" s="10"/>
      <c r="Q2" s="10"/>
      <c r="R2" s="10"/>
      <c r="S2" s="127"/>
      <c r="T2" s="47"/>
      <c r="U2" s="128"/>
      <c r="V2" s="45"/>
      <c r="W2" s="45"/>
      <c r="X2" s="22">
        <v>1</v>
      </c>
      <c r="Y2" s="22">
        <v>2</v>
      </c>
      <c r="Z2" s="23"/>
      <c r="AA2" s="125" t="s">
        <v>100</v>
      </c>
      <c r="AB2" s="43"/>
      <c r="AC2" s="123" t="s">
        <v>43</v>
      </c>
      <c r="AD2" s="130"/>
      <c r="AE2" s="128" t="s">
        <v>102</v>
      </c>
      <c r="AF2" s="45"/>
      <c r="AG2" s="45"/>
      <c r="AH2" s="45"/>
      <c r="AI2" s="44"/>
      <c r="AJ2" s="44"/>
      <c r="AK2" s="44"/>
      <c r="AL2" s="44"/>
      <c r="AM2" s="128" t="s">
        <v>102</v>
      </c>
      <c r="AN2" s="131"/>
      <c r="AO2" s="129"/>
    </row>
    <row r="3" spans="1:44" ht="15" customHeight="1" x14ac:dyDescent="0.25">
      <c r="A3" s="9"/>
      <c r="B3" s="11" t="s">
        <v>44</v>
      </c>
      <c r="C3" s="11" t="s">
        <v>45</v>
      </c>
      <c r="D3" s="11" t="s">
        <v>46</v>
      </c>
      <c r="E3" s="11" t="s">
        <v>47</v>
      </c>
      <c r="F3" s="11" t="s">
        <v>48</v>
      </c>
      <c r="G3" s="11" t="s">
        <v>49</v>
      </c>
      <c r="H3" s="11" t="s">
        <v>50</v>
      </c>
      <c r="I3" s="11" t="s">
        <v>51</v>
      </c>
      <c r="J3" s="11" t="s">
        <v>52</v>
      </c>
      <c r="K3" s="124"/>
      <c r="L3" s="126"/>
      <c r="M3" s="10"/>
      <c r="N3" s="10"/>
      <c r="O3" s="10"/>
      <c r="P3" s="10"/>
      <c r="Q3" s="10"/>
      <c r="R3" s="10"/>
      <c r="S3" s="127"/>
      <c r="T3" s="47"/>
      <c r="U3" s="128"/>
      <c r="V3" s="45"/>
      <c r="W3" s="45"/>
      <c r="X3" s="11"/>
      <c r="Y3" s="11"/>
      <c r="Z3" s="12"/>
      <c r="AA3" s="125"/>
      <c r="AB3" s="43"/>
      <c r="AC3" s="123"/>
      <c r="AD3" s="130"/>
      <c r="AE3" s="128"/>
      <c r="AF3" s="45"/>
      <c r="AG3" s="45"/>
      <c r="AH3" s="45"/>
      <c r="AI3" s="13"/>
      <c r="AJ3" s="44"/>
      <c r="AK3" s="44"/>
      <c r="AL3" s="44"/>
      <c r="AM3" s="128"/>
      <c r="AN3" s="131"/>
      <c r="AO3" s="129"/>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27"/>
      <c r="T4" s="47"/>
      <c r="U4" s="128"/>
      <c r="V4" s="45"/>
      <c r="W4" s="45"/>
      <c r="X4" s="52"/>
      <c r="Y4" s="87">
        <v>918971</v>
      </c>
      <c r="Z4" s="12"/>
      <c r="AA4" s="125"/>
      <c r="AB4" s="86">
        <v>9561311.4000000004</v>
      </c>
      <c r="AC4" s="123"/>
      <c r="AD4" s="130"/>
      <c r="AE4" s="128"/>
      <c r="AF4" s="45"/>
      <c r="AG4" s="45"/>
      <c r="AH4" s="45"/>
      <c r="AI4" s="43">
        <v>48598.7</v>
      </c>
      <c r="AJ4" s="43"/>
      <c r="AK4" s="43"/>
      <c r="AL4" s="43"/>
      <c r="AM4" s="128"/>
      <c r="AN4" s="131"/>
      <c r="AO4" s="129"/>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44501</v>
      </c>
      <c r="B6" s="86">
        <f>12782574-12776383</f>
        <v>6191</v>
      </c>
      <c r="C6" s="86">
        <f>8207803-8203623</f>
        <v>4180</v>
      </c>
      <c r="D6" s="86">
        <f>1617195-1616244</f>
        <v>951</v>
      </c>
      <c r="E6" s="86">
        <f>12225553-12219537</f>
        <v>6016</v>
      </c>
      <c r="F6" s="86">
        <f>12170824-12164721</f>
        <v>6103</v>
      </c>
      <c r="G6" s="86">
        <f>8673865-8670906</f>
        <v>2959</v>
      </c>
      <c r="H6" s="86">
        <f>9347069-9340467</f>
        <v>6602</v>
      </c>
      <c r="I6" s="86">
        <f>5480487-5478006</f>
        <v>2481</v>
      </c>
      <c r="J6" s="86">
        <f>12353550-12346401</f>
        <v>7149</v>
      </c>
      <c r="K6" s="63">
        <f>SUM(B6:H6)</f>
        <v>33002</v>
      </c>
      <c r="L6" s="40">
        <f>K6*0.2</f>
        <v>6600.4000000000005</v>
      </c>
      <c r="M6" s="83">
        <f>94463.751-94315.666</f>
        <v>148.0850000000064</v>
      </c>
      <c r="N6" s="83">
        <f>4582.857-4581.593</f>
        <v>1.2640000000001237</v>
      </c>
      <c r="O6" s="83">
        <f>10347.854-10347.75</f>
        <v>0.10399999999935972</v>
      </c>
      <c r="P6" s="82">
        <f>98700.1-98625.222</f>
        <v>74.878000000011525</v>
      </c>
      <c r="Q6" s="83">
        <f>25993.28-25981.434</f>
        <v>11.84599999999773</v>
      </c>
      <c r="R6" s="84">
        <f t="shared" ref="R6:R34" si="0">N6+O6+P6</f>
        <v>76.246000000011009</v>
      </c>
      <c r="S6" s="84">
        <f t="shared" ref="S6:S34" si="1">(N6+O6+P6)*7.84</f>
        <v>597.76864000008629</v>
      </c>
      <c r="T6" s="64">
        <f t="shared" ref="T6:T34" si="2">M6+Q6</f>
        <v>159.93100000000413</v>
      </c>
      <c r="U6" s="84">
        <f>T6*7.84</f>
        <v>1253.8590400000323</v>
      </c>
      <c r="V6" s="84">
        <f>377499.5-377264.1</f>
        <v>235.40000000002328</v>
      </c>
      <c r="W6" s="84">
        <f>133037.5-132876.4</f>
        <v>161.10000000000582</v>
      </c>
      <c r="X6" s="85" t="s">
        <v>63</v>
      </c>
      <c r="Y6" s="75">
        <v>919737</v>
      </c>
      <c r="Z6" s="61">
        <f>IF((Y6-Y5&lt;0), "0",Y6-Y4)</f>
        <v>766</v>
      </c>
      <c r="AA6" s="90">
        <f>Z6*6.47</f>
        <v>4956.0199999999995</v>
      </c>
      <c r="AB6" s="75">
        <v>9588380.8000000007</v>
      </c>
      <c r="AC6" s="75">
        <f>AB4</f>
        <v>9561311.4000000004</v>
      </c>
      <c r="AD6" s="41">
        <f t="shared" ref="AD6:AD34" si="3">IF((AB6-AC6&lt;0), "0",AB6-AC6)</f>
        <v>27069.400000000373</v>
      </c>
      <c r="AE6" s="84">
        <f>AD6*0.332195</f>
        <v>8992.319333000125</v>
      </c>
      <c r="AF6" s="84">
        <f>93884.2-93840.5</f>
        <v>43.69999999999709</v>
      </c>
      <c r="AG6" s="84">
        <f>50336.9-50304</f>
        <v>32.900000000001455</v>
      </c>
      <c r="AH6" s="84">
        <f>29664.5-29652.3</f>
        <v>12.200000000000728</v>
      </c>
      <c r="AI6" s="75">
        <f>AI4</f>
        <v>48598.7</v>
      </c>
      <c r="AJ6" s="75">
        <v>48633.5</v>
      </c>
      <c r="AK6" s="59">
        <f>IF((AJ6-AI6)&lt;0, "0",AJ6-AI6)</f>
        <v>34.80000000000291</v>
      </c>
      <c r="AL6" s="119">
        <f t="shared" ref="AL6:AL34" si="4">AK6*(284.34513609)</f>
        <v>9895.2107359328274</v>
      </c>
      <c r="AM6" s="84">
        <f>AL6*0.332195</f>
        <v>3287.139530423206</v>
      </c>
      <c r="AN6" s="101">
        <v>157</v>
      </c>
      <c r="AO6" s="77">
        <f t="shared" ref="AO6:AO35" si="5">L6+U6+AA6+AE6</f>
        <v>21802.598373000157</v>
      </c>
    </row>
    <row r="7" spans="1:44" x14ac:dyDescent="0.25">
      <c r="A7" s="79">
        <v>44502</v>
      </c>
      <c r="B7" s="86">
        <f>12789073-12782574</f>
        <v>6499</v>
      </c>
      <c r="C7" s="86">
        <f>8211858-8207803</f>
        <v>4055</v>
      </c>
      <c r="D7" s="86">
        <f>1618117-1617195</f>
        <v>922</v>
      </c>
      <c r="E7" s="86">
        <f>12231637-12225553</f>
        <v>6084</v>
      </c>
      <c r="F7" s="86">
        <f>12177179-12170824</f>
        <v>6355</v>
      </c>
      <c r="G7" s="86">
        <f>8677123-8673865</f>
        <v>3258</v>
      </c>
      <c r="H7" s="86">
        <f>9353800-9347069</f>
        <v>6731</v>
      </c>
      <c r="I7" s="86">
        <f>5482827-5480487</f>
        <v>2340</v>
      </c>
      <c r="J7" s="86">
        <f>12360911-12353550</f>
        <v>7361</v>
      </c>
      <c r="K7" s="86">
        <f>SUM(B7:H7)</f>
        <v>33904</v>
      </c>
      <c r="L7" s="14">
        <f>K7*0.2</f>
        <v>6780.8</v>
      </c>
      <c r="M7" s="83">
        <f>94632.049-94463.751</f>
        <v>168.29799999999523</v>
      </c>
      <c r="N7" s="83">
        <f>4583.505-4582.857</f>
        <v>0.64800000000013824</v>
      </c>
      <c r="O7" s="83">
        <f>10348.759-10347.854</f>
        <v>0.90500000000065484</v>
      </c>
      <c r="P7" s="82">
        <f>98776.996-98700.1</f>
        <v>76.895999999993364</v>
      </c>
      <c r="Q7" s="83">
        <f>26005.083-25993.28</f>
        <v>11.802999999999884</v>
      </c>
      <c r="R7" s="83">
        <f t="shared" si="0"/>
        <v>78.448999999994157</v>
      </c>
      <c r="S7" s="83">
        <f>(N7+O7+P7)*7.84</f>
        <v>615.0401599999542</v>
      </c>
      <c r="T7" s="83">
        <f>M7+Q7</f>
        <v>180.10099999999511</v>
      </c>
      <c r="U7" s="83">
        <f>T7*7.84</f>
        <v>1411.9918399999617</v>
      </c>
      <c r="V7" s="83">
        <f>377743.9-377499.5</f>
        <v>244.40000000002328</v>
      </c>
      <c r="W7" s="83">
        <f>133201.48-133037.5</f>
        <v>163.98000000001048</v>
      </c>
      <c r="X7" s="86" t="s">
        <v>63</v>
      </c>
      <c r="Y7" s="87">
        <v>920528</v>
      </c>
      <c r="Z7" s="5">
        <f>IF((Y7-Y6&lt;0), "0",Y7-Y6)</f>
        <v>791</v>
      </c>
      <c r="AA7" s="14">
        <f t="shared" ref="AA7:AA34" si="6">Z7*6.47</f>
        <v>5117.7699999999995</v>
      </c>
      <c r="AB7" s="87">
        <v>9617391.5999999996</v>
      </c>
      <c r="AC7" s="87">
        <f>AB6</f>
        <v>9588380.8000000007</v>
      </c>
      <c r="AD7" s="5">
        <f t="shared" si="3"/>
        <v>29010.799999998882</v>
      </c>
      <c r="AE7" s="83">
        <f>AD7*0.332195</f>
        <v>9637.2427059996298</v>
      </c>
      <c r="AF7" s="83">
        <f>93932.6-93884.2</f>
        <v>48.400000000008731</v>
      </c>
      <c r="AG7" s="83">
        <f>50357.5-50336.9</f>
        <v>20.599999999998545</v>
      </c>
      <c r="AH7" s="83">
        <f>29677.3-29664.5</f>
        <v>12.799999999999272</v>
      </c>
      <c r="AI7" s="87">
        <f>AJ6</f>
        <v>48633.5</v>
      </c>
      <c r="AJ7" s="86">
        <v>48669.7</v>
      </c>
      <c r="AK7" s="48">
        <f t="shared" ref="AK7:AK34" si="7">IF((AJ7-AI7)&lt;0, "0",AJ7-AI7)</f>
        <v>36.19999999999709</v>
      </c>
      <c r="AL7" s="89">
        <f t="shared" si="4"/>
        <v>10293.293926457172</v>
      </c>
      <c r="AM7" s="83">
        <f>AL7*0.332195</f>
        <v>3419.3807758994408</v>
      </c>
      <c r="AN7" s="71">
        <v>142</v>
      </c>
      <c r="AO7" s="78">
        <f t="shared" si="5"/>
        <v>22947.804545999592</v>
      </c>
    </row>
    <row r="8" spans="1:44" x14ac:dyDescent="0.25">
      <c r="A8" s="79">
        <v>44503</v>
      </c>
      <c r="B8" s="86">
        <f>12795509-12789073</f>
        <v>6436</v>
      </c>
      <c r="C8" s="86">
        <f>8215951-8211858</f>
        <v>4093</v>
      </c>
      <c r="D8" s="86">
        <f>1619022-1618117</f>
        <v>905</v>
      </c>
      <c r="E8" s="86">
        <f>12237626-12231637</f>
        <v>5989</v>
      </c>
      <c r="F8" s="86">
        <f>12183318-12177179</f>
        <v>6139</v>
      </c>
      <c r="G8" s="86">
        <f>8680272-8677123</f>
        <v>3149</v>
      </c>
      <c r="H8" s="86">
        <f>9360416-9353800</f>
        <v>6616</v>
      </c>
      <c r="I8" s="86">
        <f>5485258-5482827</f>
        <v>2431</v>
      </c>
      <c r="J8" s="86">
        <f>12368158-12360911</f>
        <v>7247</v>
      </c>
      <c r="K8" s="86">
        <f>SUM(B8:H8)</f>
        <v>33327</v>
      </c>
      <c r="L8" s="14">
        <f t="shared" ref="L8:L34" si="8">K8*0.2</f>
        <v>6665.4000000000005</v>
      </c>
      <c r="M8" s="83">
        <f>94812.623-94632.049</f>
        <v>180.5740000000078</v>
      </c>
      <c r="N8" s="83">
        <f>4584.162-4583.505</f>
        <v>0.6570000000001528</v>
      </c>
      <c r="O8" s="83">
        <f>10350.459-10348.759</f>
        <v>1.7000000000007276</v>
      </c>
      <c r="P8" s="82">
        <f>98854.969-98776.996</f>
        <v>77.972999999998137</v>
      </c>
      <c r="Q8" s="83">
        <f>26026.534-26005.083</f>
        <v>21.451000000000931</v>
      </c>
      <c r="R8" s="83">
        <f t="shared" si="0"/>
        <v>80.329999999999018</v>
      </c>
      <c r="S8" s="83">
        <f>(N8+O8+P8)*7.84</f>
        <v>629.78719999999225</v>
      </c>
      <c r="T8" s="83">
        <f>M8+Q8</f>
        <v>202.02500000000873</v>
      </c>
      <c r="U8" s="83">
        <f>T8*7.84</f>
        <v>1583.8760000000684</v>
      </c>
      <c r="V8" s="83">
        <f>377989.7-377743.9</f>
        <v>245.79999999998836</v>
      </c>
      <c r="W8" s="83">
        <f>133371.06-133201.48</f>
        <v>169.57999999998719</v>
      </c>
      <c r="X8" s="86" t="s">
        <v>63</v>
      </c>
      <c r="Y8" s="87">
        <v>921322</v>
      </c>
      <c r="Z8" s="5">
        <f t="shared" ref="Z8:Z34" si="9">IF((Y8-Y7&lt;0), "0",Y8-Y7)</f>
        <v>794</v>
      </c>
      <c r="AA8" s="14">
        <f t="shared" si="6"/>
        <v>5137.1799999999994</v>
      </c>
      <c r="AB8" s="87">
        <v>9644182.9000000004</v>
      </c>
      <c r="AC8" s="87">
        <f t="shared" ref="AC8:AC34" si="10">AB7</f>
        <v>9617391.5999999996</v>
      </c>
      <c r="AD8" s="5">
        <f t="shared" si="3"/>
        <v>26791.300000000745</v>
      </c>
      <c r="AE8" s="83">
        <f t="shared" ref="AE8:AE35" si="11">AD8*0.332195</f>
        <v>8899.9359035002472</v>
      </c>
      <c r="AF8" s="83">
        <f>93977-93932.6</f>
        <v>44.399999999994179</v>
      </c>
      <c r="AG8" s="83">
        <f>50378.6-50357.5</f>
        <v>21.099999999998545</v>
      </c>
      <c r="AH8" s="83">
        <f>29689.6-29677.3</f>
        <v>12.299999999999272</v>
      </c>
      <c r="AI8" s="87">
        <f t="shared" ref="AI8:AI35" si="12">AJ7</f>
        <v>48669.7</v>
      </c>
      <c r="AJ8" s="86">
        <v>48704.3</v>
      </c>
      <c r="AK8" s="48">
        <f t="shared" si="7"/>
        <v>34.600000000005821</v>
      </c>
      <c r="AL8" s="89">
        <f t="shared" si="4"/>
        <v>9838.341708715654</v>
      </c>
      <c r="AM8" s="83">
        <f t="shared" ref="AM8:AM34" si="13">AL8*0.332195</f>
        <v>3268.2479239267968</v>
      </c>
      <c r="AN8" s="71">
        <v>161</v>
      </c>
      <c r="AO8" s="78">
        <f t="shared" si="5"/>
        <v>22286.391903500313</v>
      </c>
    </row>
    <row r="9" spans="1:44" x14ac:dyDescent="0.25">
      <c r="A9" s="79">
        <v>44504</v>
      </c>
      <c r="B9" s="86">
        <f>12801999-12795509</f>
        <v>6490</v>
      </c>
      <c r="C9" s="86">
        <f>8220104-8215951</f>
        <v>4153</v>
      </c>
      <c r="D9" s="86">
        <f>1619942-1619022</f>
        <v>920</v>
      </c>
      <c r="E9" s="86">
        <f>12243662-12237626</f>
        <v>6036</v>
      </c>
      <c r="F9" s="86">
        <f>12189698-12183318</f>
        <v>6380</v>
      </c>
      <c r="G9" s="86">
        <f>8683263-8680272</f>
        <v>2991</v>
      </c>
      <c r="H9" s="86">
        <f>9367028-9360416</f>
        <v>6612</v>
      </c>
      <c r="I9" s="86">
        <f>5487684-5485258</f>
        <v>2426</v>
      </c>
      <c r="J9" s="86">
        <f>12375430-12368158</f>
        <v>7272</v>
      </c>
      <c r="K9" s="86">
        <f t="shared" ref="K9:K34" si="14">SUM(B9:H9)</f>
        <v>33582</v>
      </c>
      <c r="L9" s="14">
        <f t="shared" si="8"/>
        <v>6716.4000000000005</v>
      </c>
      <c r="M9" s="83">
        <f>95005.449-94812.623</f>
        <v>192.82599999998638</v>
      </c>
      <c r="N9" s="83">
        <f>4585.674-4584.162</f>
        <v>1.5119999999997162</v>
      </c>
      <c r="O9" s="83">
        <f>10353.692-10350.459</f>
        <v>3.2329999999983556</v>
      </c>
      <c r="P9" s="82">
        <f>98935.301-98854.969</f>
        <v>80.33200000000943</v>
      </c>
      <c r="Q9" s="83">
        <f>26038.302-26026.534</f>
        <v>11.768000000000029</v>
      </c>
      <c r="R9" s="83">
        <f t="shared" si="0"/>
        <v>85.077000000007502</v>
      </c>
      <c r="S9" s="83">
        <f t="shared" si="1"/>
        <v>667.00368000005881</v>
      </c>
      <c r="T9" s="83">
        <f t="shared" si="2"/>
        <v>204.59399999998641</v>
      </c>
      <c r="U9" s="83">
        <f t="shared" ref="U9:U36" si="15">T9*7.84</f>
        <v>1604.0169599998935</v>
      </c>
      <c r="V9" s="83">
        <f>378245.9-377989.7</f>
        <v>256.20000000001164</v>
      </c>
      <c r="W9" s="83">
        <f>133533.82-133371.06</f>
        <v>162.76000000000931</v>
      </c>
      <c r="X9" s="86" t="s">
        <v>63</v>
      </c>
      <c r="Y9" s="87">
        <v>922137</v>
      </c>
      <c r="Z9" s="5">
        <f t="shared" si="9"/>
        <v>815</v>
      </c>
      <c r="AA9" s="14">
        <f t="shared" si="6"/>
        <v>5273.05</v>
      </c>
      <c r="AB9" s="87">
        <v>9668310.4000000004</v>
      </c>
      <c r="AC9" s="87">
        <f t="shared" si="10"/>
        <v>9644182.9000000004</v>
      </c>
      <c r="AD9" s="5">
        <f t="shared" si="3"/>
        <v>24127.5</v>
      </c>
      <c r="AE9" s="83">
        <f t="shared" si="11"/>
        <v>8015.0348625000006</v>
      </c>
      <c r="AF9" s="83">
        <f>94016.9-93977</f>
        <v>39.899999999994179</v>
      </c>
      <c r="AG9" s="83">
        <f>50390.2-50378.6</f>
        <v>11.599999999998545</v>
      </c>
      <c r="AH9" s="83">
        <f>29701.3-29689.6</f>
        <v>11.700000000000728</v>
      </c>
      <c r="AI9" s="87">
        <f t="shared" si="12"/>
        <v>48704.3</v>
      </c>
      <c r="AJ9" s="86">
        <v>48737.1</v>
      </c>
      <c r="AK9" s="48">
        <f t="shared" si="7"/>
        <v>32.799999999995634</v>
      </c>
      <c r="AL9" s="89">
        <f t="shared" si="4"/>
        <v>9326.5204637507577</v>
      </c>
      <c r="AM9" s="83">
        <f t="shared" si="13"/>
        <v>3098.2234654556833</v>
      </c>
      <c r="AN9" s="71">
        <v>134</v>
      </c>
      <c r="AO9" s="78">
        <f t="shared" si="5"/>
        <v>21608.501822499893</v>
      </c>
    </row>
    <row r="10" spans="1:44" x14ac:dyDescent="0.25">
      <c r="A10" s="79">
        <v>44505</v>
      </c>
      <c r="B10" s="86">
        <f>12808746-12801999</f>
        <v>6747</v>
      </c>
      <c r="C10" s="86">
        <f>8224379-8220104</f>
        <v>4275</v>
      </c>
      <c r="D10" s="86">
        <f>1620887-1619942</f>
        <v>945</v>
      </c>
      <c r="E10" s="86">
        <f>12249706-12243662</f>
        <v>6044</v>
      </c>
      <c r="F10" s="86">
        <f>12196023-12189698</f>
        <v>6325</v>
      </c>
      <c r="G10" s="86">
        <f>8686296-8683263</f>
        <v>3033</v>
      </c>
      <c r="H10" s="86">
        <f>9373573-9367028</f>
        <v>6545</v>
      </c>
      <c r="I10" s="86">
        <f>5490035-5487684</f>
        <v>2351</v>
      </c>
      <c r="J10" s="86">
        <f>12382592-12375430</f>
        <v>7162</v>
      </c>
      <c r="K10" s="86">
        <f t="shared" si="14"/>
        <v>33914</v>
      </c>
      <c r="L10" s="14">
        <f t="shared" si="8"/>
        <v>6782.8</v>
      </c>
      <c r="M10" s="83">
        <f>95199.093-95005.449</f>
        <v>193.64400000000023</v>
      </c>
      <c r="N10" s="83">
        <f>4586.569-4585.674</f>
        <v>0.89500000000043656</v>
      </c>
      <c r="O10" s="83">
        <f>10355.279-10353.692</f>
        <v>1.5870000000013533</v>
      </c>
      <c r="P10" s="82">
        <f>99022.681-98935.301</f>
        <v>87.379999999990105</v>
      </c>
      <c r="Q10" s="83">
        <f>26048.931-26038.302</f>
        <v>10.629000000000815</v>
      </c>
      <c r="R10" s="83">
        <f t="shared" si="0"/>
        <v>89.861999999991895</v>
      </c>
      <c r="S10" s="83">
        <f t="shared" si="1"/>
        <v>704.51807999993639</v>
      </c>
      <c r="T10" s="83">
        <f t="shared" si="2"/>
        <v>204.27300000000105</v>
      </c>
      <c r="U10" s="83">
        <f t="shared" si="15"/>
        <v>1601.5003200000083</v>
      </c>
      <c r="V10" s="83">
        <f>378503.2-378245.9</f>
        <v>257.29999999998836</v>
      </c>
      <c r="W10" s="83">
        <f>133691.63-133533.82</f>
        <v>157.80999999999767</v>
      </c>
      <c r="X10" s="86" t="s">
        <v>63</v>
      </c>
      <c r="Y10" s="87">
        <v>922978</v>
      </c>
      <c r="Z10" s="5">
        <f t="shared" si="9"/>
        <v>841</v>
      </c>
      <c r="AA10" s="14">
        <f t="shared" si="6"/>
        <v>5441.2699999999995</v>
      </c>
      <c r="AB10" s="87">
        <v>9690981.8000000007</v>
      </c>
      <c r="AC10" s="87">
        <f t="shared" si="10"/>
        <v>9668310.4000000004</v>
      </c>
      <c r="AD10" s="5">
        <f t="shared" si="3"/>
        <v>22671.400000000373</v>
      </c>
      <c r="AE10" s="83">
        <f t="shared" si="11"/>
        <v>7531.3257230001245</v>
      </c>
      <c r="AF10" s="83">
        <f>94055.2-94016.9</f>
        <v>38.30000000000291</v>
      </c>
      <c r="AG10" s="83">
        <f>50392.3-50390.2</f>
        <v>2.1000000000058208</v>
      </c>
      <c r="AH10" s="83">
        <f>29712.5-29701.3</f>
        <v>11.200000000000728</v>
      </c>
      <c r="AI10" s="87">
        <f t="shared" si="12"/>
        <v>48737.1</v>
      </c>
      <c r="AJ10" s="87">
        <v>48768.4</v>
      </c>
      <c r="AK10" s="48">
        <f t="shared" si="7"/>
        <v>31.30000000000291</v>
      </c>
      <c r="AL10" s="89">
        <f t="shared" si="4"/>
        <v>8900.0027596178279</v>
      </c>
      <c r="AM10" s="83">
        <f t="shared" si="13"/>
        <v>2956.5364167312446</v>
      </c>
      <c r="AN10" s="71">
        <v>119</v>
      </c>
      <c r="AO10" s="78">
        <f t="shared" si="5"/>
        <v>21356.896043000135</v>
      </c>
    </row>
    <row r="11" spans="1:44" x14ac:dyDescent="0.25">
      <c r="A11" s="79">
        <v>44506</v>
      </c>
      <c r="B11" s="86">
        <f>12815294-12808746</f>
        <v>6548</v>
      </c>
      <c r="C11" s="86">
        <f>8228470-8224379</f>
        <v>4091</v>
      </c>
      <c r="D11" s="86">
        <f>1621820-1620887</f>
        <v>933</v>
      </c>
      <c r="E11" s="86">
        <f>12255681-12249706</f>
        <v>5975</v>
      </c>
      <c r="F11" s="86">
        <f>12201875-12196023</f>
        <v>5852</v>
      </c>
      <c r="G11" s="86">
        <f>8689279-8686296</f>
        <v>2983</v>
      </c>
      <c r="H11" s="86">
        <f>9380007-9373573</f>
        <v>6434</v>
      </c>
      <c r="I11" s="86">
        <f>5492450-5490035</f>
        <v>2415</v>
      </c>
      <c r="J11" s="86">
        <f>12389712-12382592</f>
        <v>7120</v>
      </c>
      <c r="K11" s="86">
        <f t="shared" si="14"/>
        <v>32816</v>
      </c>
      <c r="L11" s="14">
        <f t="shared" si="8"/>
        <v>6563.2000000000007</v>
      </c>
      <c r="M11" s="83">
        <f>95380.902-95199.093</f>
        <v>181.80900000000838</v>
      </c>
      <c r="N11" s="83">
        <f>4587.307-4586.569</f>
        <v>0.73799999999937427</v>
      </c>
      <c r="O11" s="83">
        <f>10356.543-10355.279</f>
        <v>1.2639999999992142</v>
      </c>
      <c r="P11" s="82">
        <f>99097.12-99022.681</f>
        <v>74.438999999998487</v>
      </c>
      <c r="Q11" s="83">
        <f>26061.724-26048.931</f>
        <v>12.792999999997846</v>
      </c>
      <c r="R11" s="83">
        <f t="shared" si="0"/>
        <v>76.440999999997075</v>
      </c>
      <c r="S11" s="83">
        <f t="shared" si="1"/>
        <v>599.29743999997709</v>
      </c>
      <c r="T11" s="83">
        <f t="shared" si="2"/>
        <v>194.60200000000623</v>
      </c>
      <c r="U11" s="83">
        <f t="shared" si="15"/>
        <v>1525.6796800000488</v>
      </c>
      <c r="V11" s="83">
        <f>378743.4-378503.2</f>
        <v>240.20000000001164</v>
      </c>
      <c r="W11" s="83">
        <f>133855.19-133691.63</f>
        <v>163.55999999999767</v>
      </c>
      <c r="X11" s="86" t="s">
        <v>63</v>
      </c>
      <c r="Y11" s="87">
        <v>923712</v>
      </c>
      <c r="Z11" s="5">
        <f t="shared" si="9"/>
        <v>734</v>
      </c>
      <c r="AA11" s="14">
        <f t="shared" si="6"/>
        <v>4748.9799999999996</v>
      </c>
      <c r="AB11" s="87">
        <v>9713190.1999999993</v>
      </c>
      <c r="AC11" s="86">
        <f t="shared" si="10"/>
        <v>9690981.8000000007</v>
      </c>
      <c r="AD11" s="5">
        <f t="shared" si="3"/>
        <v>22208.39999999851</v>
      </c>
      <c r="AE11" s="83">
        <f t="shared" si="11"/>
        <v>7377.5194379995055</v>
      </c>
      <c r="AF11" s="83">
        <f>94091.5-94055.2</f>
        <v>36.30000000000291</v>
      </c>
      <c r="AG11" s="83">
        <f>50395.1-50392.3</f>
        <v>2.7999999999956344</v>
      </c>
      <c r="AH11" s="83">
        <f>29724-29712.5</f>
        <v>11.5</v>
      </c>
      <c r="AI11" s="87">
        <f t="shared" si="12"/>
        <v>48768.4</v>
      </c>
      <c r="AJ11" s="87">
        <v>48799.9</v>
      </c>
      <c r="AK11" s="48">
        <f t="shared" si="7"/>
        <v>31.5</v>
      </c>
      <c r="AL11" s="89">
        <f t="shared" si="4"/>
        <v>8956.8717868349995</v>
      </c>
      <c r="AM11" s="83">
        <f t="shared" si="13"/>
        <v>2975.4280232276528</v>
      </c>
      <c r="AN11" s="71">
        <v>113</v>
      </c>
      <c r="AO11" s="78">
        <f t="shared" si="5"/>
        <v>20215.379117999553</v>
      </c>
    </row>
    <row r="12" spans="1:44" x14ac:dyDescent="0.25">
      <c r="A12" s="79">
        <v>44507</v>
      </c>
      <c r="B12" s="86">
        <f>12821776-12815294</f>
        <v>6482</v>
      </c>
      <c r="C12" s="86">
        <f>8232635-8228470</f>
        <v>4165</v>
      </c>
      <c r="D12" s="86">
        <f>1622734-1621820</f>
        <v>914</v>
      </c>
      <c r="E12" s="86">
        <f>12261596-12255681</f>
        <v>5915</v>
      </c>
      <c r="F12" s="86">
        <f>12207865-12201875</f>
        <v>5990</v>
      </c>
      <c r="G12" s="86">
        <f>8692256-8689279</f>
        <v>2977</v>
      </c>
      <c r="H12" s="86">
        <f>9386421-9380007</f>
        <v>6414</v>
      </c>
      <c r="I12" s="86">
        <f>5494842-5492450</f>
        <v>2392</v>
      </c>
      <c r="J12" s="86">
        <f>12396646-12389712</f>
        <v>6934</v>
      </c>
      <c r="K12" s="86">
        <f t="shared" si="14"/>
        <v>32857</v>
      </c>
      <c r="L12" s="14">
        <f t="shared" si="8"/>
        <v>6571.4000000000005</v>
      </c>
      <c r="M12" s="83">
        <f>95532-95380.902</f>
        <v>151.09799999999814</v>
      </c>
      <c r="N12" s="83">
        <f>4588.333-4587.307</f>
        <v>1.0259999999998399</v>
      </c>
      <c r="O12" s="83">
        <f>10358.866-10356.543</f>
        <v>2.3230000000003201</v>
      </c>
      <c r="P12" s="82">
        <f>99167.262-99097.12</f>
        <v>70.142000000007101</v>
      </c>
      <c r="Q12" s="83">
        <f>26082-26061.724</f>
        <v>20.276000000001659</v>
      </c>
      <c r="R12" s="83">
        <f t="shared" si="0"/>
        <v>73.491000000007261</v>
      </c>
      <c r="S12" s="83">
        <f t="shared" si="1"/>
        <v>576.16944000005697</v>
      </c>
      <c r="T12" s="83">
        <f t="shared" si="2"/>
        <v>171.3739999999998</v>
      </c>
      <c r="U12" s="83">
        <f t="shared" si="15"/>
        <v>1343.5721599999983</v>
      </c>
      <c r="V12" s="83">
        <f>379019.8-378743.4</f>
        <v>276.39999999996508</v>
      </c>
      <c r="W12" s="83">
        <f>134005.52-133855.19</f>
        <v>150.32999999998719</v>
      </c>
      <c r="X12" s="86" t="s">
        <v>63</v>
      </c>
      <c r="Y12" s="87">
        <v>924505</v>
      </c>
      <c r="Z12" s="5">
        <f t="shared" si="9"/>
        <v>793</v>
      </c>
      <c r="AA12" s="14">
        <f t="shared" si="6"/>
        <v>5130.71</v>
      </c>
      <c r="AB12" s="87">
        <v>9732217.3000000007</v>
      </c>
      <c r="AC12" s="86">
        <f t="shared" si="10"/>
        <v>9713190.1999999993</v>
      </c>
      <c r="AD12" s="5">
        <f t="shared" si="3"/>
        <v>19027.10000000149</v>
      </c>
      <c r="AE12" s="83">
        <f t="shared" si="11"/>
        <v>6320.7074845004954</v>
      </c>
      <c r="AF12" s="83">
        <f>94122.6-94091.5</f>
        <v>31.100000000005821</v>
      </c>
      <c r="AG12" s="83">
        <f>50397.2-50395.1</f>
        <v>2.0999999999985448</v>
      </c>
      <c r="AH12" s="83">
        <f>29734.7-29724</f>
        <v>10.700000000000728</v>
      </c>
      <c r="AI12" s="87">
        <f t="shared" si="12"/>
        <v>48799.9</v>
      </c>
      <c r="AJ12" s="87">
        <v>48828.2</v>
      </c>
      <c r="AK12" s="48">
        <f t="shared" si="7"/>
        <v>28.299999999995634</v>
      </c>
      <c r="AL12" s="89">
        <f t="shared" si="4"/>
        <v>8046.9673513457583</v>
      </c>
      <c r="AM12" s="83">
        <f t="shared" si="13"/>
        <v>2673.1623192803045</v>
      </c>
      <c r="AN12" s="71">
        <v>136</v>
      </c>
      <c r="AO12" s="78">
        <f t="shared" si="5"/>
        <v>19366.389644500494</v>
      </c>
    </row>
    <row r="13" spans="1:44" x14ac:dyDescent="0.25">
      <c r="A13" s="79">
        <v>44508</v>
      </c>
      <c r="B13" s="86">
        <f>12828304-12821776</f>
        <v>6528</v>
      </c>
      <c r="C13" s="86">
        <f>8236611-8232635</f>
        <v>3976</v>
      </c>
      <c r="D13" s="86">
        <f>1623651-1622734</f>
        <v>917</v>
      </c>
      <c r="E13" s="86">
        <f>12267504-12261596</f>
        <v>5908</v>
      </c>
      <c r="F13" s="86">
        <f>12213991-12207865</f>
        <v>6126</v>
      </c>
      <c r="G13" s="86">
        <f>8695329-8692256</f>
        <v>3073</v>
      </c>
      <c r="H13" s="86">
        <f>9392586-9386421</f>
        <v>6165</v>
      </c>
      <c r="I13" s="86">
        <f>5497226-5494842</f>
        <v>2384</v>
      </c>
      <c r="J13" s="86">
        <f>12403540-12396646</f>
        <v>6894</v>
      </c>
      <c r="K13" s="86">
        <f t="shared" si="14"/>
        <v>32693</v>
      </c>
      <c r="L13" s="14">
        <f t="shared" si="8"/>
        <v>6538.6</v>
      </c>
      <c r="M13" s="83">
        <f>95696.4-95532</f>
        <v>164.39999999999418</v>
      </c>
      <c r="N13" s="83">
        <f>4589.315-4588.333</f>
        <v>0.9819999999999709</v>
      </c>
      <c r="O13" s="83">
        <f>10360.062-10358.866</f>
        <v>1.1959999999999127</v>
      </c>
      <c r="P13" s="82">
        <f>99242.615-99167.262</f>
        <v>75.353000000002794</v>
      </c>
      <c r="Q13" s="83">
        <f>26093.92-26082</f>
        <v>11.919999999998254</v>
      </c>
      <c r="R13" s="83">
        <f t="shared" si="0"/>
        <v>77.531000000002678</v>
      </c>
      <c r="S13" s="83">
        <f t="shared" si="1"/>
        <v>607.84304000002101</v>
      </c>
      <c r="T13" s="83">
        <f t="shared" si="2"/>
        <v>176.31999999999243</v>
      </c>
      <c r="U13" s="83">
        <f t="shared" si="15"/>
        <v>1382.3487999999406</v>
      </c>
      <c r="V13" s="83">
        <f>379337-379019.8</f>
        <v>317.20000000001164</v>
      </c>
      <c r="W13" s="83">
        <f>134163.5-134005.52</f>
        <v>157.98000000001048</v>
      </c>
      <c r="X13" s="86" t="s">
        <v>63</v>
      </c>
      <c r="Y13" s="87">
        <v>925379</v>
      </c>
      <c r="Z13" s="5">
        <f t="shared" si="9"/>
        <v>874</v>
      </c>
      <c r="AA13" s="14">
        <f t="shared" si="6"/>
        <v>5654.78</v>
      </c>
      <c r="AB13" s="87">
        <v>9750684</v>
      </c>
      <c r="AC13" s="86">
        <f t="shared" si="10"/>
        <v>9732217.3000000007</v>
      </c>
      <c r="AD13" s="5">
        <f t="shared" si="3"/>
        <v>18466.699999999255</v>
      </c>
      <c r="AE13" s="83">
        <f t="shared" si="11"/>
        <v>6134.545406499753</v>
      </c>
      <c r="AF13" s="83">
        <f>94153.4-94122.6</f>
        <v>30.799999999988358</v>
      </c>
      <c r="AG13" s="83">
        <f>50397.8-50397.2</f>
        <v>0.60000000000582077</v>
      </c>
      <c r="AH13" s="83">
        <f>29745.2-29734.7</f>
        <v>10.5</v>
      </c>
      <c r="AI13" s="87">
        <f t="shared" si="12"/>
        <v>48828.2</v>
      </c>
      <c r="AJ13" s="87">
        <v>48856.6</v>
      </c>
      <c r="AK13" s="48">
        <f t="shared" si="7"/>
        <v>28.400000000001455</v>
      </c>
      <c r="AL13" s="89">
        <f t="shared" si="4"/>
        <v>8075.4018649564132</v>
      </c>
      <c r="AM13" s="83">
        <f t="shared" si="13"/>
        <v>2682.608122529196</v>
      </c>
      <c r="AN13" s="71">
        <v>160</v>
      </c>
      <c r="AO13" s="78">
        <f t="shared" si="5"/>
        <v>19710.274206499693</v>
      </c>
    </row>
    <row r="14" spans="1:44" x14ac:dyDescent="0.25">
      <c r="A14" s="79">
        <v>44509</v>
      </c>
      <c r="B14" s="86">
        <f>12835057-12828304</f>
        <v>6753</v>
      </c>
      <c r="C14" s="86">
        <f>8241209-8236611</f>
        <v>4598</v>
      </c>
      <c r="D14" s="86">
        <f>1624555-1623651</f>
        <v>904</v>
      </c>
      <c r="E14" s="86">
        <f>12273599-12267504</f>
        <v>6095</v>
      </c>
      <c r="F14" s="86">
        <f>12220355-12213991</f>
        <v>6364</v>
      </c>
      <c r="G14" s="86">
        <f>8698466-8695329</f>
        <v>3137</v>
      </c>
      <c r="H14" s="86">
        <f>9399128-9392586</f>
        <v>6542</v>
      </c>
      <c r="I14" s="86">
        <f>5499677-5497226</f>
        <v>2451</v>
      </c>
      <c r="J14" s="86">
        <f>12410672-12403540</f>
        <v>7132</v>
      </c>
      <c r="K14" s="86">
        <f t="shared" si="14"/>
        <v>34393</v>
      </c>
      <c r="L14" s="14">
        <f t="shared" si="8"/>
        <v>6878.6</v>
      </c>
      <c r="M14" s="83">
        <f>95911.7-95696.4</f>
        <v>215.30000000000291</v>
      </c>
      <c r="N14" s="83">
        <f>4590.865-4589.315</f>
        <v>1.5500000000001819</v>
      </c>
      <c r="O14" s="83">
        <f>10364.005-10360.062</f>
        <v>3.9429999999993015</v>
      </c>
      <c r="P14" s="82">
        <f>99324.898-99242.615</f>
        <v>82.282999999995809</v>
      </c>
      <c r="Q14" s="83">
        <f>26105.963-26093.92</f>
        <v>12.043000000001484</v>
      </c>
      <c r="R14" s="83">
        <f>N14+O14+P14</f>
        <v>87.775999999995292</v>
      </c>
      <c r="S14" s="83">
        <f t="shared" si="1"/>
        <v>688.1638399999631</v>
      </c>
      <c r="T14" s="83">
        <f t="shared" si="2"/>
        <v>227.34300000000439</v>
      </c>
      <c r="U14" s="83">
        <f t="shared" si="15"/>
        <v>1782.3691200000344</v>
      </c>
      <c r="V14" s="83">
        <f>379637.7-379337</f>
        <v>300.70000000001164</v>
      </c>
      <c r="W14" s="83">
        <f>134324.1-134163.5</f>
        <v>160.60000000000582</v>
      </c>
      <c r="X14" s="86" t="s">
        <v>63</v>
      </c>
      <c r="Y14" s="87">
        <v>926289</v>
      </c>
      <c r="Z14" s="5">
        <f>IF((Y14-Y13&lt;0), "0",Y14-Y13)</f>
        <v>910</v>
      </c>
      <c r="AA14" s="14">
        <f t="shared" si="6"/>
        <v>5887.7</v>
      </c>
      <c r="AB14" s="87">
        <v>9771897</v>
      </c>
      <c r="AC14" s="86">
        <f t="shared" si="10"/>
        <v>9750684</v>
      </c>
      <c r="AD14" s="5">
        <f t="shared" si="3"/>
        <v>21213</v>
      </c>
      <c r="AE14" s="83">
        <f t="shared" si="11"/>
        <v>7046.852535</v>
      </c>
      <c r="AF14" s="83">
        <f>94188.5-94153.4</f>
        <v>35.100000000005821</v>
      </c>
      <c r="AG14" s="83">
        <f>50398.2-50397.8</f>
        <v>0.39999999999417923</v>
      </c>
      <c r="AH14" s="83">
        <f>29756.6-29745.2</f>
        <v>11.399999999997817</v>
      </c>
      <c r="AI14" s="87">
        <f t="shared" si="12"/>
        <v>48856.6</v>
      </c>
      <c r="AJ14" s="87">
        <v>48888.5</v>
      </c>
      <c r="AK14" s="48">
        <f t="shared" si="7"/>
        <v>31.900000000001455</v>
      </c>
      <c r="AL14" s="89">
        <f t="shared" si="4"/>
        <v>9070.6098412714127</v>
      </c>
      <c r="AM14" s="83">
        <f t="shared" si="13"/>
        <v>3013.2112362211569</v>
      </c>
      <c r="AN14" s="71">
        <v>168</v>
      </c>
      <c r="AO14" s="78">
        <f t="shared" si="5"/>
        <v>21595.521655000033</v>
      </c>
    </row>
    <row r="15" spans="1:44" x14ac:dyDescent="0.25">
      <c r="A15" s="79">
        <v>44510</v>
      </c>
      <c r="B15" s="86">
        <f>12841429-12835057</f>
        <v>6372</v>
      </c>
      <c r="C15" s="86">
        <f>8245723-8241209</f>
        <v>4514</v>
      </c>
      <c r="D15" s="86">
        <f>1625465-1624555</f>
        <v>910</v>
      </c>
      <c r="E15" s="86">
        <f>12279666-12273599</f>
        <v>6067</v>
      </c>
      <c r="F15" s="86">
        <f>12226349-12220355</f>
        <v>5994</v>
      </c>
      <c r="G15" s="86">
        <f>8701536-8698466</f>
        <v>3070</v>
      </c>
      <c r="H15" s="86">
        <f>9404952-9399128</f>
        <v>5824</v>
      </c>
      <c r="I15" s="86">
        <f>5502089-5499677</f>
        <v>2412</v>
      </c>
      <c r="J15" s="86">
        <f>12417770-12410672</f>
        <v>7098</v>
      </c>
      <c r="K15" s="86">
        <f t="shared" si="14"/>
        <v>32751</v>
      </c>
      <c r="L15" s="14">
        <f t="shared" si="8"/>
        <v>6550.2000000000007</v>
      </c>
      <c r="M15" s="83">
        <f>96103.749-95911.7</f>
        <v>192.04899999999907</v>
      </c>
      <c r="N15" s="83">
        <f>4591.663-4590.865</f>
        <v>0.79799999999977445</v>
      </c>
      <c r="O15" s="83">
        <f>10365.98-10364.005</f>
        <v>1.9750000000003638</v>
      </c>
      <c r="P15" s="82">
        <f>99403.615-99324.898</f>
        <v>78.717000000004191</v>
      </c>
      <c r="Q15" s="83">
        <f>26130.852-26105.963</f>
        <v>24.888999999999214</v>
      </c>
      <c r="R15" s="83">
        <f t="shared" si="0"/>
        <v>81.490000000004329</v>
      </c>
      <c r="S15" s="83">
        <f t="shared" si="1"/>
        <v>638.88160000003393</v>
      </c>
      <c r="T15" s="83">
        <f t="shared" si="2"/>
        <v>216.93799999999828</v>
      </c>
      <c r="U15" s="83">
        <f t="shared" si="15"/>
        <v>1700.7939199999864</v>
      </c>
      <c r="V15" s="83">
        <f>379936.4-379637.7</f>
        <v>298.70000000001164</v>
      </c>
      <c r="W15" s="83">
        <f>134498.34-134324.1</f>
        <v>174.23999999999069</v>
      </c>
      <c r="X15" s="86" t="s">
        <v>63</v>
      </c>
      <c r="Y15" s="87">
        <v>927156</v>
      </c>
      <c r="Z15" s="5">
        <f t="shared" si="9"/>
        <v>867</v>
      </c>
      <c r="AA15" s="14">
        <f t="shared" si="6"/>
        <v>5609.49</v>
      </c>
      <c r="AB15" s="87">
        <v>9792406.6999999993</v>
      </c>
      <c r="AC15" s="86">
        <f t="shared" si="10"/>
        <v>9771897</v>
      </c>
      <c r="AD15" s="5">
        <f t="shared" si="3"/>
        <v>20509.699999999255</v>
      </c>
      <c r="AE15" s="83">
        <f t="shared" si="11"/>
        <v>6813.2197914997532</v>
      </c>
      <c r="AF15" s="83">
        <f>94223.7-94188.5</f>
        <v>35.19999999999709</v>
      </c>
      <c r="AG15" s="83">
        <f>50399.6-50398.2</f>
        <v>1.4000000000014552</v>
      </c>
      <c r="AH15" s="83">
        <f>29766.9-29756.6</f>
        <v>10.30000000000291</v>
      </c>
      <c r="AI15" s="87">
        <f t="shared" si="12"/>
        <v>48888.5</v>
      </c>
      <c r="AJ15" s="87">
        <v>48918.3</v>
      </c>
      <c r="AK15" s="48">
        <f t="shared" si="7"/>
        <v>29.80000000000291</v>
      </c>
      <c r="AL15" s="89">
        <f t="shared" si="4"/>
        <v>8473.4850554828263</v>
      </c>
      <c r="AM15" s="83">
        <f t="shared" si="13"/>
        <v>2814.8493680061179</v>
      </c>
      <c r="AN15" s="71">
        <v>160</v>
      </c>
      <c r="AO15" s="88">
        <f t="shared" si="5"/>
        <v>20673.70371149974</v>
      </c>
    </row>
    <row r="16" spans="1:44" x14ac:dyDescent="0.25">
      <c r="A16" s="79">
        <v>44511</v>
      </c>
      <c r="B16" s="86">
        <f>12847345-12841429</f>
        <v>5916</v>
      </c>
      <c r="C16" s="86">
        <f>8250160-8245723</f>
        <v>4437</v>
      </c>
      <c r="D16" s="86">
        <f>1626369-1625465</f>
        <v>904</v>
      </c>
      <c r="E16" s="86">
        <f>12285810-12279666</f>
        <v>6144</v>
      </c>
      <c r="F16" s="86">
        <f>12232374-12226349</f>
        <v>6025</v>
      </c>
      <c r="G16" s="86">
        <f>8704471-8701536</f>
        <v>2935</v>
      </c>
      <c r="H16" s="86">
        <f>9410622-9404952</f>
        <v>5670</v>
      </c>
      <c r="I16" s="86">
        <f>5504350-5502089</f>
        <v>2261</v>
      </c>
      <c r="J16" s="86">
        <f>12424818-12417770</f>
        <v>7048</v>
      </c>
      <c r="K16" s="86">
        <f t="shared" si="14"/>
        <v>32031</v>
      </c>
      <c r="L16" s="14">
        <f t="shared" si="8"/>
        <v>6406.2000000000007</v>
      </c>
      <c r="M16" s="83">
        <f>96296.468-96103.749</f>
        <v>192.71899999999732</v>
      </c>
      <c r="N16" s="83">
        <f>4593.174-4591.663</f>
        <v>1.511000000000422</v>
      </c>
      <c r="O16" s="83">
        <f>10367.996-10365.98</f>
        <v>2.0159999999996217</v>
      </c>
      <c r="P16" s="82">
        <f>99487.536-99403.615</f>
        <v>83.920999999987544</v>
      </c>
      <c r="Q16" s="83">
        <f>26145.146-26130.852</f>
        <v>14.294000000001688</v>
      </c>
      <c r="R16" s="83">
        <f t="shared" si="0"/>
        <v>87.447999999987587</v>
      </c>
      <c r="S16" s="83">
        <f t="shared" si="1"/>
        <v>685.59231999990266</v>
      </c>
      <c r="T16" s="83">
        <f t="shared" si="2"/>
        <v>207.01299999999901</v>
      </c>
      <c r="U16" s="83">
        <f t="shared" si="15"/>
        <v>1622.9819199999922</v>
      </c>
      <c r="V16" s="83">
        <f>380184.3-379936.4</f>
        <v>247.89999999996508</v>
      </c>
      <c r="W16" s="83">
        <f>134638.07-134498.34</f>
        <v>139.73000000001048</v>
      </c>
      <c r="X16" s="86" t="s">
        <v>63</v>
      </c>
      <c r="Y16" s="87">
        <v>927965</v>
      </c>
      <c r="Z16" s="5">
        <f t="shared" si="9"/>
        <v>809</v>
      </c>
      <c r="AA16" s="14">
        <f t="shared" si="6"/>
        <v>5234.2299999999996</v>
      </c>
      <c r="AB16" s="87">
        <v>9811832.6999999993</v>
      </c>
      <c r="AC16" s="86">
        <f t="shared" si="10"/>
        <v>9792406.6999999993</v>
      </c>
      <c r="AD16" s="5">
        <f t="shared" si="3"/>
        <v>19426</v>
      </c>
      <c r="AE16" s="83">
        <f t="shared" si="11"/>
        <v>6453.2200700000003</v>
      </c>
      <c r="AF16" s="83">
        <f>94256.9-94223.7</f>
        <v>33.19999999999709</v>
      </c>
      <c r="AG16" s="83">
        <f>50399.6-50399.6</f>
        <v>0</v>
      </c>
      <c r="AH16" s="83">
        <f>29777.2-29766.9</f>
        <v>10.299999999999272</v>
      </c>
      <c r="AI16" s="87">
        <f t="shared" si="12"/>
        <v>48918.3</v>
      </c>
      <c r="AJ16" s="87">
        <v>48947.199999999997</v>
      </c>
      <c r="AK16" s="48">
        <f t="shared" si="7"/>
        <v>28.899999999994179</v>
      </c>
      <c r="AL16" s="89">
        <f t="shared" si="4"/>
        <v>8217.5744329993449</v>
      </c>
      <c r="AM16" s="83">
        <f t="shared" si="13"/>
        <v>2729.8371387702177</v>
      </c>
      <c r="AN16" s="71">
        <v>140</v>
      </c>
      <c r="AO16" s="78">
        <f t="shared" si="5"/>
        <v>19716.631989999991</v>
      </c>
    </row>
    <row r="17" spans="1:41" x14ac:dyDescent="0.25">
      <c r="A17" s="79">
        <v>44512</v>
      </c>
      <c r="B17" s="86">
        <f>12853047-12847345</f>
        <v>5702</v>
      </c>
      <c r="C17" s="86">
        <f>8254274-8250160</f>
        <v>4114</v>
      </c>
      <c r="D17" s="86">
        <f>1627272-1626369</f>
        <v>903</v>
      </c>
      <c r="E17" s="86">
        <f>12292041-12285810</f>
        <v>6231</v>
      </c>
      <c r="F17" s="86">
        <f>12238623-12232374</f>
        <v>6249</v>
      </c>
      <c r="G17" s="86">
        <f>8707649-8704471</f>
        <v>3178</v>
      </c>
      <c r="H17" s="86">
        <f>9416354-9410622</f>
        <v>5732</v>
      </c>
      <c r="I17" s="86">
        <f>5506617-5504350</f>
        <v>2267</v>
      </c>
      <c r="J17" s="86">
        <f>12432090-12424818</f>
        <v>7272</v>
      </c>
      <c r="K17" s="86">
        <f t="shared" si="14"/>
        <v>32109</v>
      </c>
      <c r="L17" s="14">
        <f t="shared" si="8"/>
        <v>6421.8</v>
      </c>
      <c r="M17" s="83">
        <f>96460.024-96296.468</f>
        <v>163.55600000001141</v>
      </c>
      <c r="N17" s="83">
        <f>4594.109-4593.174</f>
        <v>0.93500000000040018</v>
      </c>
      <c r="O17" s="83">
        <f>10369.998-10367.996</f>
        <v>2.0020000000004075</v>
      </c>
      <c r="P17" s="82">
        <f>99575.967-99487.536</f>
        <v>88.431000000011409</v>
      </c>
      <c r="Q17" s="83">
        <f>26157.503-26145.146</f>
        <v>12.356999999999971</v>
      </c>
      <c r="R17" s="83">
        <f t="shared" si="0"/>
        <v>91.368000000012216</v>
      </c>
      <c r="S17" s="83">
        <f t="shared" si="1"/>
        <v>716.32512000009581</v>
      </c>
      <c r="T17" s="83">
        <f t="shared" si="2"/>
        <v>175.91300000001138</v>
      </c>
      <c r="U17" s="83">
        <f t="shared" si="15"/>
        <v>1379.1579200000892</v>
      </c>
      <c r="V17" s="83">
        <f>380457-380184.3</f>
        <v>272.70000000001164</v>
      </c>
      <c r="W17" s="83">
        <f>134786.93-134638.07</f>
        <v>148.85999999998603</v>
      </c>
      <c r="X17" s="86" t="s">
        <v>63</v>
      </c>
      <c r="Y17" s="87">
        <v>928794</v>
      </c>
      <c r="Z17" s="5">
        <f t="shared" si="9"/>
        <v>829</v>
      </c>
      <c r="AA17" s="14">
        <f t="shared" si="6"/>
        <v>5363.63</v>
      </c>
      <c r="AB17" s="87">
        <v>9830570.6999999993</v>
      </c>
      <c r="AC17" s="86">
        <f t="shared" si="10"/>
        <v>9811832.6999999993</v>
      </c>
      <c r="AD17" s="5">
        <f t="shared" si="3"/>
        <v>18738</v>
      </c>
      <c r="AE17" s="83">
        <f t="shared" si="11"/>
        <v>6224.6699100000005</v>
      </c>
      <c r="AF17" s="83">
        <f>94288.2-94256.9</f>
        <v>31.30000000000291</v>
      </c>
      <c r="AG17" s="83">
        <f>50399.6-50399.6</f>
        <v>0</v>
      </c>
      <c r="AH17" s="83">
        <f>29786.6-29777.2</f>
        <v>9.3999999999978172</v>
      </c>
      <c r="AI17" s="87">
        <f t="shared" si="12"/>
        <v>48947.199999999997</v>
      </c>
      <c r="AJ17" s="87">
        <v>48974.6</v>
      </c>
      <c r="AK17" s="48">
        <f t="shared" si="7"/>
        <v>27.400000000001455</v>
      </c>
      <c r="AL17" s="89">
        <f t="shared" si="4"/>
        <v>7791.0567288664133</v>
      </c>
      <c r="AM17" s="83">
        <f t="shared" si="13"/>
        <v>2588.1500900457781</v>
      </c>
      <c r="AN17" s="71">
        <v>117</v>
      </c>
      <c r="AO17" s="78">
        <f t="shared" si="5"/>
        <v>19389.25783000009</v>
      </c>
    </row>
    <row r="18" spans="1:41" x14ac:dyDescent="0.25">
      <c r="A18" s="79">
        <v>44513</v>
      </c>
      <c r="B18" s="86">
        <f>12859264-12853047</f>
        <v>6217</v>
      </c>
      <c r="C18" s="86">
        <f>8258296-8254274</f>
        <v>4022</v>
      </c>
      <c r="D18" s="86">
        <f>1628188-1627272</f>
        <v>916</v>
      </c>
      <c r="E18" s="86">
        <f>12298268-12292041</f>
        <v>6227</v>
      </c>
      <c r="F18" s="86">
        <f>12244659-12238623</f>
        <v>6036</v>
      </c>
      <c r="G18" s="86">
        <f>8710664-8707649</f>
        <v>3015</v>
      </c>
      <c r="H18" s="86">
        <f>9422214-9416354</f>
        <v>5860</v>
      </c>
      <c r="I18" s="86">
        <f>5508985-5506617</f>
        <v>2368</v>
      </c>
      <c r="J18" s="86">
        <f>12439349-12432090</f>
        <v>7259</v>
      </c>
      <c r="K18" s="86">
        <f t="shared" si="14"/>
        <v>32293</v>
      </c>
      <c r="L18" s="14">
        <f t="shared" si="8"/>
        <v>6458.6</v>
      </c>
      <c r="M18" s="83">
        <f>96600.204-96460.024</f>
        <v>140.17999999999302</v>
      </c>
      <c r="N18" s="83">
        <f>4594.784-4594.109</f>
        <v>0.6749999999992724</v>
      </c>
      <c r="O18" s="83">
        <f>10371.024-10369.998</f>
        <v>1.0259999999998399</v>
      </c>
      <c r="P18" s="82">
        <f>99655.392-99575.967</f>
        <v>79.42500000000291</v>
      </c>
      <c r="Q18" s="83">
        <f>26179.396-26157.503</f>
        <v>21.893000000000029</v>
      </c>
      <c r="R18" s="83">
        <f t="shared" si="0"/>
        <v>81.126000000002023</v>
      </c>
      <c r="S18" s="83">
        <f t="shared" si="1"/>
        <v>636.02784000001589</v>
      </c>
      <c r="T18" s="83">
        <f t="shared" si="2"/>
        <v>162.07299999999304</v>
      </c>
      <c r="U18" s="83">
        <f t="shared" si="15"/>
        <v>1270.6523199999453</v>
      </c>
      <c r="V18" s="83">
        <f>380698.3-380457</f>
        <v>241.29999999998836</v>
      </c>
      <c r="W18" s="83">
        <f>134919.03-134786.93</f>
        <v>132.10000000000582</v>
      </c>
      <c r="X18" s="86" t="s">
        <v>63</v>
      </c>
      <c r="Y18" s="87">
        <v>929537</v>
      </c>
      <c r="Z18" s="5">
        <f t="shared" si="9"/>
        <v>743</v>
      </c>
      <c r="AA18" s="14">
        <f t="shared" si="6"/>
        <v>4807.21</v>
      </c>
      <c r="AB18" s="87">
        <v>9851302.3000000007</v>
      </c>
      <c r="AC18" s="86">
        <f t="shared" si="10"/>
        <v>9830570.6999999993</v>
      </c>
      <c r="AD18" s="5">
        <f t="shared" si="3"/>
        <v>20731.60000000149</v>
      </c>
      <c r="AE18" s="83">
        <f t="shared" si="11"/>
        <v>6886.9338620004955</v>
      </c>
      <c r="AF18" s="82">
        <f>94323.7-94288.2</f>
        <v>35.5</v>
      </c>
      <c r="AG18" s="82">
        <f>50401.1-50399.6</f>
        <v>1.5</v>
      </c>
      <c r="AH18" s="82">
        <f>29797-29786.6</f>
        <v>10.400000000001455</v>
      </c>
      <c r="AI18" s="87">
        <f t="shared" si="12"/>
        <v>48974.6</v>
      </c>
      <c r="AJ18" s="87">
        <v>49005.4</v>
      </c>
      <c r="AK18" s="48">
        <f t="shared" si="7"/>
        <v>30.80000000000291</v>
      </c>
      <c r="AL18" s="89">
        <f t="shared" si="4"/>
        <v>8757.8301915728262</v>
      </c>
      <c r="AM18" s="83">
        <f t="shared" si="13"/>
        <v>2909.3074004895352</v>
      </c>
      <c r="AN18" s="71">
        <v>93</v>
      </c>
      <c r="AO18" s="78">
        <f t="shared" si="5"/>
        <v>19423.396182000441</v>
      </c>
    </row>
    <row r="19" spans="1:41" x14ac:dyDescent="0.25">
      <c r="A19" s="79">
        <v>44514</v>
      </c>
      <c r="B19" s="86">
        <f>12866886-12859264</f>
        <v>7622</v>
      </c>
      <c r="C19" s="86">
        <f>8262264-8258296</f>
        <v>3968</v>
      </c>
      <c r="D19" s="86">
        <f>1629134-1628188</f>
        <v>946</v>
      </c>
      <c r="E19" s="86">
        <f>12304580-12298268</f>
        <v>6312</v>
      </c>
      <c r="F19" s="86">
        <f>12250638-12244659</f>
        <v>5979</v>
      </c>
      <c r="G19" s="86">
        <f>8713693-8710664</f>
        <v>3029</v>
      </c>
      <c r="H19" s="86">
        <f>9427963-9422214</f>
        <v>5749</v>
      </c>
      <c r="I19" s="86">
        <f>5511379-5508985</f>
        <v>2394</v>
      </c>
      <c r="J19" s="86">
        <f>12446466-12439349</f>
        <v>7117</v>
      </c>
      <c r="K19" s="86">
        <f t="shared" si="14"/>
        <v>33605</v>
      </c>
      <c r="L19" s="14">
        <f t="shared" si="8"/>
        <v>6721</v>
      </c>
      <c r="M19" s="83">
        <f>96764.576-96600.204</f>
        <v>164.37200000000303</v>
      </c>
      <c r="N19" s="83">
        <f>4595.58-4594.784</f>
        <v>0.79600000000027649</v>
      </c>
      <c r="O19" s="83">
        <f>10373.023-10371.024</f>
        <v>1.9989999999997963</v>
      </c>
      <c r="P19" s="82">
        <f>99728.013-99655.392</f>
        <v>72.620999999999185</v>
      </c>
      <c r="Q19" s="83">
        <f>26192.709-26179.396</f>
        <v>13.312999999998283</v>
      </c>
      <c r="R19" s="83">
        <f t="shared" si="0"/>
        <v>75.415999999999258</v>
      </c>
      <c r="S19" s="83">
        <f t="shared" si="1"/>
        <v>591.2614399999942</v>
      </c>
      <c r="T19" s="83">
        <f t="shared" si="2"/>
        <v>177.68500000000131</v>
      </c>
      <c r="U19" s="83">
        <f t="shared" si="15"/>
        <v>1393.0504000000103</v>
      </c>
      <c r="V19" s="83">
        <f>380987.5-380698.3</f>
        <v>289.20000000001164</v>
      </c>
      <c r="W19" s="83">
        <f>135074.44-134919.03</f>
        <v>155.41000000000349</v>
      </c>
      <c r="X19" s="86" t="s">
        <v>63</v>
      </c>
      <c r="Y19" s="87">
        <v>930368</v>
      </c>
      <c r="Z19" s="5">
        <f t="shared" si="9"/>
        <v>831</v>
      </c>
      <c r="AA19" s="14">
        <f t="shared" si="6"/>
        <v>5376.57</v>
      </c>
      <c r="AB19" s="87">
        <v>9870585</v>
      </c>
      <c r="AC19" s="86">
        <f t="shared" si="10"/>
        <v>9851302.3000000007</v>
      </c>
      <c r="AD19" s="5">
        <f t="shared" si="3"/>
        <v>19282.699999999255</v>
      </c>
      <c r="AE19" s="83">
        <f t="shared" si="11"/>
        <v>6405.6165264997526</v>
      </c>
      <c r="AF19" s="83">
        <f>94358-94323.7</f>
        <v>34.30000000000291</v>
      </c>
      <c r="AG19" s="83">
        <f>50401.1-50401.1</f>
        <v>0</v>
      </c>
      <c r="AH19" s="83">
        <f>29807.6-29797</f>
        <v>10.599999999998545</v>
      </c>
      <c r="AI19" s="87">
        <f t="shared" si="12"/>
        <v>49005.4</v>
      </c>
      <c r="AJ19" s="87">
        <v>49035.1</v>
      </c>
      <c r="AK19" s="48">
        <f t="shared" si="7"/>
        <v>29.69999999999709</v>
      </c>
      <c r="AL19" s="89">
        <f t="shared" si="4"/>
        <v>8445.0505418721714</v>
      </c>
      <c r="AM19" s="83">
        <f t="shared" si="13"/>
        <v>2805.4035647572259</v>
      </c>
      <c r="AN19" s="71">
        <v>140</v>
      </c>
      <c r="AO19" s="78">
        <f t="shared" si="5"/>
        <v>19896.236926499761</v>
      </c>
    </row>
    <row r="20" spans="1:41" x14ac:dyDescent="0.25">
      <c r="A20" s="79">
        <v>44515</v>
      </c>
      <c r="B20" s="86">
        <f>12873787-12866886</f>
        <v>6901</v>
      </c>
      <c r="C20" s="86">
        <f>8266219-8262264</f>
        <v>3955</v>
      </c>
      <c r="D20" s="86">
        <f>1630063-1629134</f>
        <v>929</v>
      </c>
      <c r="E20" s="86">
        <f>12310856-12304580</f>
        <v>6276</v>
      </c>
      <c r="F20" s="86">
        <f>12256644-12250638</f>
        <v>6006</v>
      </c>
      <c r="G20" s="86">
        <f>8716738-8713693</f>
        <v>3045</v>
      </c>
      <c r="H20" s="86">
        <f>9433608-9427963</f>
        <v>5645</v>
      </c>
      <c r="I20" s="86">
        <f>5513739-5511379</f>
        <v>2360</v>
      </c>
      <c r="J20" s="86">
        <f>12453565-12446466</f>
        <v>7099</v>
      </c>
      <c r="K20" s="86">
        <f t="shared" si="14"/>
        <v>32757</v>
      </c>
      <c r="L20" s="14">
        <f t="shared" si="8"/>
        <v>6551.4000000000005</v>
      </c>
      <c r="M20" s="83">
        <f>96941.333-96764.576</f>
        <v>176.75699999999779</v>
      </c>
      <c r="N20" s="83">
        <f>4596.3-4595.58</f>
        <v>0.72000000000025466</v>
      </c>
      <c r="O20" s="83">
        <f>10374.222-10373.023</f>
        <v>1.1990000000005239</v>
      </c>
      <c r="P20" s="82">
        <f>99809.263-99728.013</f>
        <v>81.25</v>
      </c>
      <c r="Q20" s="83">
        <f>26207.354-26192.709</f>
        <v>14.645000000000437</v>
      </c>
      <c r="R20" s="83">
        <f t="shared" si="0"/>
        <v>83.169000000000779</v>
      </c>
      <c r="S20" s="83">
        <f t="shared" si="1"/>
        <v>652.04496000000609</v>
      </c>
      <c r="T20" s="83">
        <f t="shared" si="2"/>
        <v>191.40199999999822</v>
      </c>
      <c r="U20" s="83">
        <f t="shared" si="15"/>
        <v>1500.5916799999861</v>
      </c>
      <c r="V20" s="83">
        <f>381250.4-380987.5</f>
        <v>262.90000000002328</v>
      </c>
      <c r="W20" s="83">
        <f>135219.54-135074.44</f>
        <v>145.10000000000582</v>
      </c>
      <c r="X20" s="86" t="s">
        <v>63</v>
      </c>
      <c r="Y20" s="87">
        <v>931174</v>
      </c>
      <c r="Z20" s="5">
        <f t="shared" si="9"/>
        <v>806</v>
      </c>
      <c r="AA20" s="14">
        <f t="shared" si="6"/>
        <v>5214.82</v>
      </c>
      <c r="AB20" s="87">
        <v>9889806</v>
      </c>
      <c r="AC20" s="86">
        <f t="shared" si="10"/>
        <v>9870585</v>
      </c>
      <c r="AD20" s="5">
        <f t="shared" si="3"/>
        <v>19221</v>
      </c>
      <c r="AE20" s="83">
        <f t="shared" si="11"/>
        <v>6385.1200950000002</v>
      </c>
      <c r="AF20" s="83">
        <f>94391-94358</f>
        <v>33</v>
      </c>
      <c r="AG20" s="83">
        <f>50401.1-50401.1</f>
        <v>0</v>
      </c>
      <c r="AH20" s="83">
        <f>29818.1-29807.6</f>
        <v>10.5</v>
      </c>
      <c r="AI20" s="87">
        <f t="shared" si="12"/>
        <v>49035.1</v>
      </c>
      <c r="AJ20" s="87">
        <v>49061.7</v>
      </c>
      <c r="AK20" s="48">
        <f t="shared" si="7"/>
        <v>26.599999999998545</v>
      </c>
      <c r="AL20" s="89">
        <f t="shared" si="4"/>
        <v>7563.580619993586</v>
      </c>
      <c r="AM20" s="83">
        <f t="shared" si="13"/>
        <v>2512.5836640587695</v>
      </c>
      <c r="AN20" s="71">
        <v>180</v>
      </c>
      <c r="AO20" s="78">
        <f t="shared" si="5"/>
        <v>19651.931774999986</v>
      </c>
    </row>
    <row r="21" spans="1:41" x14ac:dyDescent="0.25">
      <c r="A21" s="79">
        <v>44516</v>
      </c>
      <c r="B21" s="86">
        <f>12880634-12873787</f>
        <v>6847</v>
      </c>
      <c r="C21" s="86">
        <f>8270318-8266219</f>
        <v>4099</v>
      </c>
      <c r="D21" s="86">
        <f>1630994-1630063</f>
        <v>931</v>
      </c>
      <c r="E21" s="86">
        <f>12317063-12310856</f>
        <v>6207</v>
      </c>
      <c r="F21" s="86">
        <f>12262844-12256644</f>
        <v>6200</v>
      </c>
      <c r="G21" s="86">
        <f>8719807-8716738</f>
        <v>3069</v>
      </c>
      <c r="H21" s="86">
        <f>9439350-9433608</f>
        <v>5742</v>
      </c>
      <c r="I21" s="86">
        <f>5516143-5513739</f>
        <v>2404</v>
      </c>
      <c r="J21" s="86">
        <f>12460823-12453565</f>
        <v>7258</v>
      </c>
      <c r="K21" s="86">
        <f t="shared" si="14"/>
        <v>33095</v>
      </c>
      <c r="L21" s="14">
        <f t="shared" si="8"/>
        <v>6619</v>
      </c>
      <c r="M21" s="83">
        <f>97123.843-96941.333</f>
        <v>182.50999999999476</v>
      </c>
      <c r="N21" s="83">
        <f>4596.947-4596.3</f>
        <v>0.64699999999993452</v>
      </c>
      <c r="O21" s="83">
        <f>10375.498-10374.222</f>
        <v>1.2759999999998399</v>
      </c>
      <c r="P21" s="82">
        <f>99899.606-99809.263</f>
        <v>90.342999999993481</v>
      </c>
      <c r="Q21" s="83">
        <f>26225.038-26207.354</f>
        <v>17.684000000001106</v>
      </c>
      <c r="R21" s="83">
        <f t="shared" si="0"/>
        <v>92.265999999993255</v>
      </c>
      <c r="S21" s="83">
        <f t="shared" si="1"/>
        <v>723.36543999994706</v>
      </c>
      <c r="T21" s="83">
        <f t="shared" si="2"/>
        <v>200.19399999999587</v>
      </c>
      <c r="U21" s="83">
        <f t="shared" si="15"/>
        <v>1569.5209599999675</v>
      </c>
      <c r="V21" s="83">
        <f>381523.6-381250.4</f>
        <v>273.19999999995343</v>
      </c>
      <c r="W21" s="83">
        <f>135372.78-135219.54</f>
        <v>153.23999999999069</v>
      </c>
      <c r="X21" s="86" t="s">
        <v>63</v>
      </c>
      <c r="Y21" s="87">
        <v>932001</v>
      </c>
      <c r="Z21" s="5">
        <f t="shared" si="9"/>
        <v>827</v>
      </c>
      <c r="AA21" s="14">
        <f t="shared" si="6"/>
        <v>5350.69</v>
      </c>
      <c r="AB21" s="87">
        <v>9910244.1999999993</v>
      </c>
      <c r="AC21" s="86">
        <f t="shared" si="10"/>
        <v>9889806</v>
      </c>
      <c r="AD21" s="5">
        <f t="shared" si="3"/>
        <v>20438.199999999255</v>
      </c>
      <c r="AE21" s="83">
        <f t="shared" si="11"/>
        <v>6789.4678489997532</v>
      </c>
      <c r="AF21" s="83">
        <f>94426.8-94391</f>
        <v>35.80000000000291</v>
      </c>
      <c r="AG21" s="83">
        <f>50402.8-50401.1</f>
        <v>1.7000000000043656</v>
      </c>
      <c r="AH21" s="83">
        <f>29829.5-29818.1</f>
        <v>11.400000000001455</v>
      </c>
      <c r="AI21" s="87">
        <f t="shared" si="12"/>
        <v>49061.7</v>
      </c>
      <c r="AJ21" s="87">
        <v>49091.3</v>
      </c>
      <c r="AK21" s="48">
        <f t="shared" si="7"/>
        <v>29.600000000005821</v>
      </c>
      <c r="AL21" s="89">
        <f t="shared" si="4"/>
        <v>8416.6160282656547</v>
      </c>
      <c r="AM21" s="83">
        <f t="shared" si="13"/>
        <v>2795.9577615097091</v>
      </c>
      <c r="AN21" s="71">
        <v>181</v>
      </c>
      <c r="AO21" s="78">
        <f t="shared" si="5"/>
        <v>20328.678808999721</v>
      </c>
    </row>
    <row r="22" spans="1:41" x14ac:dyDescent="0.25">
      <c r="A22" s="79">
        <v>44517</v>
      </c>
      <c r="B22" s="86">
        <f>12887312-12880634</f>
        <v>6678</v>
      </c>
      <c r="C22" s="86">
        <f>8274439-8270318</f>
        <v>4121</v>
      </c>
      <c r="D22" s="86">
        <f>1631893-1630994</f>
        <v>899</v>
      </c>
      <c r="E22" s="86">
        <f>12323360-12317063</f>
        <v>6297</v>
      </c>
      <c r="F22" s="86">
        <f>12268995-12262844</f>
        <v>6151</v>
      </c>
      <c r="G22" s="86">
        <f>8722827-8719807</f>
        <v>3020</v>
      </c>
      <c r="H22" s="86">
        <f>9445021-9439350</f>
        <v>5671</v>
      </c>
      <c r="I22" s="86">
        <f>5518507-5516143</f>
        <v>2364</v>
      </c>
      <c r="J22" s="86">
        <f>12468042-12460823</f>
        <v>7219</v>
      </c>
      <c r="K22" s="86">
        <f t="shared" si="14"/>
        <v>32837</v>
      </c>
      <c r="L22" s="14">
        <f t="shared" si="8"/>
        <v>6567.4000000000005</v>
      </c>
      <c r="M22" s="83">
        <f>97311.435-97123.843</f>
        <v>187.59200000000419</v>
      </c>
      <c r="N22" s="83">
        <f>4597.449-4596.947</f>
        <v>0.50199999999949796</v>
      </c>
      <c r="O22" s="83">
        <f>10376.875-10375.498</f>
        <v>1.3770000000004075</v>
      </c>
      <c r="P22" s="82">
        <f>99975.654-99899.606</f>
        <v>76.047999999995227</v>
      </c>
      <c r="Q22" s="83">
        <f>26244.1-26225.038</f>
        <v>19.061999999998079</v>
      </c>
      <c r="R22" s="83">
        <f t="shared" si="0"/>
        <v>77.926999999995132</v>
      </c>
      <c r="S22" s="83">
        <f t="shared" si="1"/>
        <v>610.94767999996179</v>
      </c>
      <c r="T22" s="83">
        <f t="shared" si="2"/>
        <v>206.65400000000227</v>
      </c>
      <c r="U22" s="83">
        <f t="shared" si="15"/>
        <v>1620.1673600000179</v>
      </c>
      <c r="V22" s="83">
        <f>381806.8-381523.6</f>
        <v>283.20000000001164</v>
      </c>
      <c r="W22" s="83">
        <f>135522.84-135372.78</f>
        <v>150.05999999999767</v>
      </c>
      <c r="X22" s="86" t="s">
        <v>63</v>
      </c>
      <c r="Y22" s="87">
        <v>932824</v>
      </c>
      <c r="Z22" s="5">
        <f t="shared" si="9"/>
        <v>823</v>
      </c>
      <c r="AA22" s="14">
        <f t="shared" si="6"/>
        <v>5324.8099999999995</v>
      </c>
      <c r="AB22" s="87">
        <v>9930449.0999999996</v>
      </c>
      <c r="AC22" s="86">
        <f t="shared" si="10"/>
        <v>9910244.1999999993</v>
      </c>
      <c r="AD22" s="5">
        <f t="shared" si="3"/>
        <v>20204.900000000373</v>
      </c>
      <c r="AE22" s="83">
        <f t="shared" si="11"/>
        <v>6711.9667555001242</v>
      </c>
      <c r="AF22" s="83">
        <f>94461.1-94426.8</f>
        <v>34.30000000000291</v>
      </c>
      <c r="AG22" s="83">
        <f>50404-50402.8</f>
        <v>1.1999999999970896</v>
      </c>
      <c r="AH22" s="83">
        <f>29839.7-29829.5</f>
        <v>10.200000000000728</v>
      </c>
      <c r="AI22" s="87">
        <f t="shared" si="12"/>
        <v>49091.3</v>
      </c>
      <c r="AJ22" s="87">
        <v>49120.6</v>
      </c>
      <c r="AK22" s="48">
        <f t="shared" si="7"/>
        <v>29.299999999995634</v>
      </c>
      <c r="AL22" s="89">
        <f t="shared" si="4"/>
        <v>8331.3124874357582</v>
      </c>
      <c r="AM22" s="83">
        <f t="shared" si="13"/>
        <v>2767.6203517637218</v>
      </c>
      <c r="AN22" s="71">
        <v>148</v>
      </c>
      <c r="AO22" s="78">
        <f t="shared" si="5"/>
        <v>20224.344115500142</v>
      </c>
    </row>
    <row r="23" spans="1:41" x14ac:dyDescent="0.25">
      <c r="A23" s="79">
        <v>44518</v>
      </c>
      <c r="B23" s="86">
        <f>12893899-12887312</f>
        <v>6587</v>
      </c>
      <c r="C23" s="86">
        <f>8278719-8274439</f>
        <v>4280</v>
      </c>
      <c r="D23" s="86">
        <f>1632851-1631893</f>
        <v>958</v>
      </c>
      <c r="E23" s="86">
        <f>12329527-12323360</f>
        <v>6167</v>
      </c>
      <c r="F23" s="86">
        <f>12275362-12268995</f>
        <v>6367</v>
      </c>
      <c r="G23" s="86">
        <f>8725814-8722827</f>
        <v>2987</v>
      </c>
      <c r="H23" s="86">
        <f>9450683-9445021</f>
        <v>5662</v>
      </c>
      <c r="I23" s="86">
        <f>5520925-5518507</f>
        <v>2418</v>
      </c>
      <c r="J23" s="86">
        <f>12475468-12468042</f>
        <v>7426</v>
      </c>
      <c r="K23" s="86">
        <f t="shared" si="14"/>
        <v>33008</v>
      </c>
      <c r="L23" s="14">
        <f t="shared" si="8"/>
        <v>6601.6</v>
      </c>
      <c r="M23" s="83">
        <f>97574.32-97311.435</f>
        <v>262.88500000000931</v>
      </c>
      <c r="N23" s="83">
        <f>4598.457-4597.449</f>
        <v>1.0080000000007203</v>
      </c>
      <c r="O23" s="83">
        <f>10379.179-10376.875</f>
        <v>2.3040000000000873</v>
      </c>
      <c r="P23" s="82">
        <f>100054.359-99975.654</f>
        <v>78.705000000001746</v>
      </c>
      <c r="Q23" s="83">
        <f>26257.988-26244.1</f>
        <v>13.888000000002648</v>
      </c>
      <c r="R23" s="83">
        <f t="shared" si="0"/>
        <v>82.017000000002554</v>
      </c>
      <c r="S23" s="83">
        <f t="shared" si="1"/>
        <v>643.01328000002002</v>
      </c>
      <c r="T23" s="83">
        <f t="shared" si="2"/>
        <v>276.77300000001196</v>
      </c>
      <c r="U23" s="83">
        <f t="shared" si="15"/>
        <v>2169.9003200000939</v>
      </c>
      <c r="V23" s="83">
        <f>382101.3-381806.8</f>
        <v>294.5</v>
      </c>
      <c r="W23" s="83">
        <f>135671.1-135522.84</f>
        <v>148.26000000000931</v>
      </c>
      <c r="X23" s="86" t="s">
        <v>63</v>
      </c>
      <c r="Y23" s="87">
        <v>933644</v>
      </c>
      <c r="Z23" s="5">
        <f t="shared" si="9"/>
        <v>820</v>
      </c>
      <c r="AA23" s="14">
        <f t="shared" si="6"/>
        <v>5305.4</v>
      </c>
      <c r="AB23" s="87">
        <v>9950811.8000000007</v>
      </c>
      <c r="AC23" s="86">
        <f t="shared" si="10"/>
        <v>9930449.0999999996</v>
      </c>
      <c r="AD23" s="5">
        <f t="shared" si="3"/>
        <v>20362.700000001118</v>
      </c>
      <c r="AE23" s="83">
        <f t="shared" si="11"/>
        <v>6764.3871265003718</v>
      </c>
      <c r="AF23" s="83">
        <f>94495.8-94461.1</f>
        <v>34.69999999999709</v>
      </c>
      <c r="AG23" s="83">
        <f>50404-50404</f>
        <v>0</v>
      </c>
      <c r="AH23" s="83">
        <f>29849.7-29839.7</f>
        <v>10</v>
      </c>
      <c r="AI23" s="87">
        <f t="shared" si="12"/>
        <v>49120.6</v>
      </c>
      <c r="AJ23" s="87">
        <v>49149.9</v>
      </c>
      <c r="AK23" s="48">
        <f t="shared" si="7"/>
        <v>29.30000000000291</v>
      </c>
      <c r="AL23" s="89">
        <f t="shared" si="4"/>
        <v>8331.3124874378263</v>
      </c>
      <c r="AM23" s="83">
        <f t="shared" si="13"/>
        <v>2767.620351764409</v>
      </c>
      <c r="AN23" s="71">
        <v>100</v>
      </c>
      <c r="AO23" s="78">
        <f t="shared" si="5"/>
        <v>20841.287446500464</v>
      </c>
    </row>
    <row r="24" spans="1:41" x14ac:dyDescent="0.25">
      <c r="A24" s="79">
        <v>44519</v>
      </c>
      <c r="B24" s="86">
        <f>12900718-12893899</f>
        <v>6819</v>
      </c>
      <c r="C24" s="86">
        <f>8282741-8278719</f>
        <v>4022</v>
      </c>
      <c r="D24" s="86">
        <f>1633764-1632851</f>
        <v>913</v>
      </c>
      <c r="E24" s="86">
        <f>12335850-12329527</f>
        <v>6323</v>
      </c>
      <c r="F24" s="86">
        <f>12281555-12275362</f>
        <v>6193</v>
      </c>
      <c r="G24" s="86">
        <f>8728703-8725814</f>
        <v>2889</v>
      </c>
      <c r="H24" s="86">
        <f>9456279-9450683</f>
        <v>5596</v>
      </c>
      <c r="I24" s="86">
        <f>5523236-5520925</f>
        <v>2311</v>
      </c>
      <c r="J24" s="86">
        <f>12482669-12475468</f>
        <v>7201</v>
      </c>
      <c r="K24" s="86">
        <f t="shared" si="14"/>
        <v>32755</v>
      </c>
      <c r="L24" s="14">
        <f t="shared" si="8"/>
        <v>6551</v>
      </c>
      <c r="M24" s="83">
        <f>97853.458-97574.32</f>
        <v>279.13799999999173</v>
      </c>
      <c r="N24" s="83">
        <f>4599.199-4598.457</f>
        <v>0.74199999999927968</v>
      </c>
      <c r="O24" s="83">
        <f>10381.469-10379.179</f>
        <v>2.2899999999990541</v>
      </c>
      <c r="P24" s="82">
        <f>146.485-54.359</f>
        <v>92.126000000000005</v>
      </c>
      <c r="Q24" s="83">
        <f>26269.764-26257.988</f>
        <v>11.775999999998021</v>
      </c>
      <c r="R24" s="83">
        <f t="shared" si="0"/>
        <v>95.157999999998339</v>
      </c>
      <c r="S24" s="83">
        <f t="shared" si="1"/>
        <v>746.03871999998694</v>
      </c>
      <c r="T24" s="83">
        <f t="shared" si="2"/>
        <v>290.91399999998976</v>
      </c>
      <c r="U24" s="83">
        <f t="shared" si="15"/>
        <v>2280.7657599999197</v>
      </c>
      <c r="V24" s="83">
        <f>382391.9-382101.3</f>
        <v>290.60000000003492</v>
      </c>
      <c r="W24" s="83">
        <f>135822.57-135671.1</f>
        <v>151.47000000000116</v>
      </c>
      <c r="X24" s="86" t="s">
        <v>63</v>
      </c>
      <c r="Y24" s="87">
        <v>934517</v>
      </c>
      <c r="Z24" s="5">
        <f t="shared" si="9"/>
        <v>873</v>
      </c>
      <c r="AA24" s="14">
        <f t="shared" si="6"/>
        <v>5648.3099999999995</v>
      </c>
      <c r="AB24" s="87">
        <v>9970988</v>
      </c>
      <c r="AC24" s="86">
        <f t="shared" si="10"/>
        <v>9950811.8000000007</v>
      </c>
      <c r="AD24" s="5">
        <f t="shared" si="3"/>
        <v>20176.199999999255</v>
      </c>
      <c r="AE24" s="83">
        <f t="shared" si="11"/>
        <v>6702.4327589997529</v>
      </c>
      <c r="AF24" s="83">
        <f>94530.5-94495.8</f>
        <v>34.69999999999709</v>
      </c>
      <c r="AG24" s="83">
        <f>50406-50404</f>
        <v>2</v>
      </c>
      <c r="AH24" s="83">
        <f>29860.4-29849.7</f>
        <v>10.700000000000728</v>
      </c>
      <c r="AI24" s="87">
        <f t="shared" si="12"/>
        <v>49149.9</v>
      </c>
      <c r="AJ24" s="87">
        <v>49179</v>
      </c>
      <c r="AK24" s="48">
        <f t="shared" si="7"/>
        <v>29.099999999998545</v>
      </c>
      <c r="AL24" s="89">
        <f t="shared" si="4"/>
        <v>8274.4434602185866</v>
      </c>
      <c r="AM24" s="83">
        <f t="shared" si="13"/>
        <v>2748.7287452673136</v>
      </c>
      <c r="AN24" s="71">
        <v>99</v>
      </c>
      <c r="AO24" s="78">
        <f t="shared" si="5"/>
        <v>21182.508518999672</v>
      </c>
    </row>
    <row r="25" spans="1:41" x14ac:dyDescent="0.25">
      <c r="A25" s="79">
        <v>44520</v>
      </c>
      <c r="B25" s="86">
        <f>12907417-12900718</f>
        <v>6699</v>
      </c>
      <c r="C25" s="86">
        <f>8286865-8282741</f>
        <v>4124</v>
      </c>
      <c r="D25" s="86">
        <f>1634688-1633764</f>
        <v>924</v>
      </c>
      <c r="E25" s="86">
        <f>12342058-12335850</f>
        <v>6208</v>
      </c>
      <c r="F25" s="86">
        <f>12287601-12281555</f>
        <v>6046</v>
      </c>
      <c r="G25" s="86">
        <f>8731656-8728703</f>
        <v>2953</v>
      </c>
      <c r="H25" s="86">
        <f>9461954-9456279</f>
        <v>5675</v>
      </c>
      <c r="I25" s="86">
        <f>5525701-5523236</f>
        <v>2465</v>
      </c>
      <c r="J25" s="86">
        <f>12489923-12482669</f>
        <v>7254</v>
      </c>
      <c r="K25" s="86">
        <f t="shared" si="14"/>
        <v>32629</v>
      </c>
      <c r="L25" s="14">
        <f t="shared" si="8"/>
        <v>6525.8</v>
      </c>
      <c r="M25" s="83">
        <f>97988.948-97853.458</f>
        <v>135.49000000000524</v>
      </c>
      <c r="N25" s="83">
        <f>4599.728-4599.199</f>
        <v>0.52900000000045111</v>
      </c>
      <c r="O25" s="83">
        <f>10383.629-10381.469</f>
        <v>2.1600000000016735</v>
      </c>
      <c r="P25" s="82">
        <f>225.777-146.485</f>
        <v>79.291999999999973</v>
      </c>
      <c r="Q25" s="83">
        <f>26284.885-26269.764</f>
        <v>15.120999999999185</v>
      </c>
      <c r="R25" s="83">
        <f t="shared" si="0"/>
        <v>81.981000000002098</v>
      </c>
      <c r="S25" s="83">
        <f t="shared" si="1"/>
        <v>642.73104000001638</v>
      </c>
      <c r="T25" s="83">
        <f t="shared" si="2"/>
        <v>150.61100000000442</v>
      </c>
      <c r="U25" s="83">
        <f t="shared" si="15"/>
        <v>1180.7902400000346</v>
      </c>
      <c r="V25" s="83">
        <f>382656.1-382391.9</f>
        <v>264.19999999995343</v>
      </c>
      <c r="W25" s="83">
        <f>135980.51-135822.57</f>
        <v>157.94000000000233</v>
      </c>
      <c r="X25" s="86" t="s">
        <v>63</v>
      </c>
      <c r="Y25" s="87">
        <v>935322</v>
      </c>
      <c r="Z25" s="5">
        <f t="shared" si="9"/>
        <v>805</v>
      </c>
      <c r="AA25" s="14">
        <f t="shared" si="6"/>
        <v>5208.3499999999995</v>
      </c>
      <c r="AB25" s="87">
        <v>9989908</v>
      </c>
      <c r="AC25" s="86">
        <f t="shared" si="10"/>
        <v>9970988</v>
      </c>
      <c r="AD25" s="5">
        <f t="shared" si="3"/>
        <v>18920</v>
      </c>
      <c r="AE25" s="83">
        <f t="shared" si="11"/>
        <v>6285.1294000000007</v>
      </c>
      <c r="AF25" s="83">
        <f>94562.8-94530.5</f>
        <v>32.30000000000291</v>
      </c>
      <c r="AG25" s="83">
        <f>50409.2-50406</f>
        <v>3.1999999999970896</v>
      </c>
      <c r="AH25" s="83">
        <f>29870.6-29860.4</f>
        <v>10.19999999999709</v>
      </c>
      <c r="AI25" s="87">
        <f t="shared" si="12"/>
        <v>49179</v>
      </c>
      <c r="AJ25" s="87">
        <v>49207.5</v>
      </c>
      <c r="AK25" s="48">
        <f t="shared" si="7"/>
        <v>28.5</v>
      </c>
      <c r="AL25" s="89">
        <f t="shared" si="4"/>
        <v>8103.8363785649999</v>
      </c>
      <c r="AM25" s="83">
        <f t="shared" si="13"/>
        <v>2692.0539257774003</v>
      </c>
      <c r="AN25" s="71">
        <v>106</v>
      </c>
      <c r="AO25" s="78">
        <f t="shared" si="5"/>
        <v>19200.069640000034</v>
      </c>
    </row>
    <row r="26" spans="1:41" x14ac:dyDescent="0.25">
      <c r="A26" s="79">
        <v>44521</v>
      </c>
      <c r="B26" s="86">
        <f>12913795-12907417</f>
        <v>6378</v>
      </c>
      <c r="C26" s="86">
        <f>8290628-8286865</f>
        <v>3763</v>
      </c>
      <c r="D26" s="86">
        <f>1635585-1634688</f>
        <v>897</v>
      </c>
      <c r="E26" s="86">
        <f>12348209-12342058</f>
        <v>6151</v>
      </c>
      <c r="F26" s="86">
        <f>12293468-12287601</f>
        <v>5867</v>
      </c>
      <c r="G26" s="86">
        <f>8734556-8731656</f>
        <v>2900</v>
      </c>
      <c r="H26" s="86">
        <f>9467472-9461954</f>
        <v>5518</v>
      </c>
      <c r="I26" s="86">
        <f>5528116-5525701</f>
        <v>2415</v>
      </c>
      <c r="J26" s="86">
        <f>12496753-12489923</f>
        <v>6830</v>
      </c>
      <c r="K26" s="86">
        <f t="shared" si="14"/>
        <v>31474</v>
      </c>
      <c r="L26" s="14">
        <f t="shared" si="8"/>
        <v>6294.8</v>
      </c>
      <c r="M26" s="83">
        <f>98167.638-97988.948</f>
        <v>178.69000000000233</v>
      </c>
      <c r="N26" s="83">
        <f>4600.547-4599.728</f>
        <v>0.81899999999950523</v>
      </c>
      <c r="O26" s="83">
        <f>10385.387-10383.629</f>
        <v>1.7579999999998108</v>
      </c>
      <c r="P26" s="82">
        <f>294.583-225.777</f>
        <v>68.80600000000004</v>
      </c>
      <c r="Q26" s="83">
        <f>26298.733-26284.885</f>
        <v>13.848000000001775</v>
      </c>
      <c r="R26" s="83">
        <f t="shared" si="0"/>
        <v>71.382999999999356</v>
      </c>
      <c r="S26" s="83">
        <f t="shared" si="1"/>
        <v>559.64271999999494</v>
      </c>
      <c r="T26" s="83">
        <f t="shared" si="2"/>
        <v>192.5380000000041</v>
      </c>
      <c r="U26" s="83">
        <f t="shared" si="15"/>
        <v>1509.4979200000321</v>
      </c>
      <c r="V26" s="83">
        <f>382929.2-382656.1</f>
        <v>273.10000000003492</v>
      </c>
      <c r="W26" s="83">
        <f>136139.94-135980.51</f>
        <v>159.42999999999302</v>
      </c>
      <c r="X26" s="86" t="s">
        <v>63</v>
      </c>
      <c r="Y26" s="87">
        <v>936123</v>
      </c>
      <c r="Z26" s="5">
        <f t="shared" si="9"/>
        <v>801</v>
      </c>
      <c r="AA26" s="14">
        <f t="shared" si="6"/>
        <v>5182.47</v>
      </c>
      <c r="AB26" s="87">
        <v>10008762</v>
      </c>
      <c r="AC26" s="86">
        <f t="shared" si="10"/>
        <v>9989908</v>
      </c>
      <c r="AD26" s="5">
        <f t="shared" si="3"/>
        <v>18854</v>
      </c>
      <c r="AE26" s="83">
        <f t="shared" si="11"/>
        <v>6263.20453</v>
      </c>
      <c r="AF26" s="83">
        <f>94595.3-94562.8</f>
        <v>32.5</v>
      </c>
      <c r="AG26" s="83">
        <f>50413.2-50409.2</f>
        <v>4</v>
      </c>
      <c r="AH26" s="83">
        <f>29880.5-29870.6</f>
        <v>9.9000000000014552</v>
      </c>
      <c r="AI26" s="87">
        <f t="shared" si="12"/>
        <v>49207.5</v>
      </c>
      <c r="AJ26" s="87">
        <v>49235.1</v>
      </c>
      <c r="AK26" s="48">
        <f t="shared" si="7"/>
        <v>27.599999999998545</v>
      </c>
      <c r="AL26" s="89">
        <f t="shared" si="4"/>
        <v>7847.9257560835858</v>
      </c>
      <c r="AM26" s="83">
        <f t="shared" si="13"/>
        <v>2607.0416965421869</v>
      </c>
      <c r="AN26" s="71">
        <v>129</v>
      </c>
      <c r="AO26" s="78">
        <f t="shared" si="5"/>
        <v>19249.97245000003</v>
      </c>
    </row>
    <row r="27" spans="1:41" x14ac:dyDescent="0.25">
      <c r="A27" s="79">
        <v>44522</v>
      </c>
      <c r="B27" s="86">
        <f>12920082-12913795</f>
        <v>6287</v>
      </c>
      <c r="C27" s="86">
        <f>8294966-8290628</f>
        <v>4338</v>
      </c>
      <c r="D27" s="86">
        <f>1636493-1635585</f>
        <v>908</v>
      </c>
      <c r="E27" s="86">
        <f>12355267-12348209</f>
        <v>7058</v>
      </c>
      <c r="F27" s="86">
        <f>12299693-12293468</f>
        <v>6225</v>
      </c>
      <c r="G27" s="86">
        <f>8737670-8734556</f>
        <v>3114</v>
      </c>
      <c r="H27" s="86">
        <f>9473123-9467472</f>
        <v>5651</v>
      </c>
      <c r="I27" s="86">
        <f>5530592-5528116</f>
        <v>2476</v>
      </c>
      <c r="J27" s="86">
        <f>12503796-12496753</f>
        <v>7043</v>
      </c>
      <c r="K27" s="86">
        <f t="shared" si="14"/>
        <v>33581</v>
      </c>
      <c r="L27" s="14">
        <f t="shared" si="8"/>
        <v>6716.2000000000007</v>
      </c>
      <c r="M27" s="83">
        <f>98347.777-98167.638</f>
        <v>180.13899999999558</v>
      </c>
      <c r="N27" s="83">
        <f>4601.351-4600.547</f>
        <v>0.80400000000008731</v>
      </c>
      <c r="O27" s="83">
        <f>10387.498-10385.387</f>
        <v>2.1109999999989668</v>
      </c>
      <c r="P27" s="82">
        <f>370.769-294.583</f>
        <v>76.185999999999979</v>
      </c>
      <c r="Q27" s="83">
        <f>26313.266-26298.733</f>
        <v>14.532999999999447</v>
      </c>
      <c r="R27" s="83">
        <f t="shared" si="0"/>
        <v>79.100999999999033</v>
      </c>
      <c r="S27" s="83">
        <f t="shared" si="1"/>
        <v>620.15183999999238</v>
      </c>
      <c r="T27" s="83">
        <f t="shared" si="2"/>
        <v>194.67199999999502</v>
      </c>
      <c r="U27" s="83">
        <f t="shared" si="15"/>
        <v>1526.2284799999609</v>
      </c>
      <c r="V27" s="83">
        <f>383142.7-382929.2</f>
        <v>213.5</v>
      </c>
      <c r="W27" s="83">
        <f>136297.15-136139.94</f>
        <v>157.20999999999185</v>
      </c>
      <c r="X27" s="86" t="s">
        <v>63</v>
      </c>
      <c r="Y27" s="87">
        <v>936894</v>
      </c>
      <c r="Z27" s="5">
        <f t="shared" si="9"/>
        <v>771</v>
      </c>
      <c r="AA27" s="14">
        <f t="shared" si="6"/>
        <v>4988.37</v>
      </c>
      <c r="AB27" s="87">
        <v>10028705</v>
      </c>
      <c r="AC27" s="86">
        <f t="shared" si="10"/>
        <v>10008762</v>
      </c>
      <c r="AD27" s="5">
        <f t="shared" si="3"/>
        <v>19943</v>
      </c>
      <c r="AE27" s="83">
        <f t="shared" si="11"/>
        <v>6624.9648850000003</v>
      </c>
      <c r="AF27" s="83">
        <f>94630.2-94595.3</f>
        <v>34.899999999994179</v>
      </c>
      <c r="AG27" s="83">
        <f>50417.2-50413.2</f>
        <v>4</v>
      </c>
      <c r="AH27" s="83">
        <f>29890.4-29880.5</f>
        <v>9.9000000000014552</v>
      </c>
      <c r="AI27" s="87">
        <f t="shared" si="12"/>
        <v>49235.1</v>
      </c>
      <c r="AJ27" s="87">
        <v>49262.2</v>
      </c>
      <c r="AK27" s="48">
        <f t="shared" si="7"/>
        <v>27.099999999998545</v>
      </c>
      <c r="AL27" s="89">
        <f t="shared" si="4"/>
        <v>7705.7531880385859</v>
      </c>
      <c r="AM27" s="83">
        <f t="shared" si="13"/>
        <v>2559.8126803004784</v>
      </c>
      <c r="AN27" s="71">
        <v>166</v>
      </c>
      <c r="AO27" s="78">
        <f t="shared" si="5"/>
        <v>19855.763364999963</v>
      </c>
    </row>
    <row r="28" spans="1:41" x14ac:dyDescent="0.25">
      <c r="A28" s="79">
        <v>44523</v>
      </c>
      <c r="B28" s="86">
        <f>12926598-12920082</f>
        <v>6516</v>
      </c>
      <c r="C28" s="86">
        <f>8299393-8294966</f>
        <v>4427</v>
      </c>
      <c r="D28" s="86">
        <f>1637411-1636493</f>
        <v>918</v>
      </c>
      <c r="E28" s="86">
        <f>12362990-12355267</f>
        <v>7723</v>
      </c>
      <c r="F28" s="86">
        <f>12305803-12299693</f>
        <v>6110</v>
      </c>
      <c r="G28" s="86">
        <f>8740672-8737670</f>
        <v>3002</v>
      </c>
      <c r="H28" s="86">
        <f>9478734-9473123</f>
        <v>5611</v>
      </c>
      <c r="I28" s="86">
        <f>5533029-5530592</f>
        <v>2437</v>
      </c>
      <c r="J28" s="86">
        <f>12510913-12503796</f>
        <v>7117</v>
      </c>
      <c r="K28" s="86">
        <f t="shared" si="14"/>
        <v>34307</v>
      </c>
      <c r="L28" s="14">
        <f t="shared" si="8"/>
        <v>6861.4000000000005</v>
      </c>
      <c r="M28" s="83">
        <f>98565.541-98347.777</f>
        <v>217.76399999999558</v>
      </c>
      <c r="N28" s="83">
        <f>4602.346-4601.351</f>
        <v>0.99499999999989086</v>
      </c>
      <c r="O28" s="83">
        <f>10389.508-10387.498</f>
        <v>2.0100000000002183</v>
      </c>
      <c r="P28" s="82">
        <f>449.165-370.769</f>
        <v>78.396000000000015</v>
      </c>
      <c r="Q28" s="83">
        <f>26326.797-26313.266</f>
        <v>13.53099999999904</v>
      </c>
      <c r="R28" s="83">
        <f t="shared" si="0"/>
        <v>81.401000000000124</v>
      </c>
      <c r="S28" s="83">
        <f t="shared" si="1"/>
        <v>638.18384000000094</v>
      </c>
      <c r="T28" s="83">
        <f t="shared" si="2"/>
        <v>231.29499999999462</v>
      </c>
      <c r="U28" s="83">
        <f t="shared" si="15"/>
        <v>1813.3527999999578</v>
      </c>
      <c r="V28" s="83">
        <f>383295.7-383142.7</f>
        <v>153</v>
      </c>
      <c r="W28" s="83">
        <f>136469.14-136297.15</f>
        <v>171.99000000001979</v>
      </c>
      <c r="X28" s="86" t="s">
        <v>63</v>
      </c>
      <c r="Y28" s="87">
        <v>937642</v>
      </c>
      <c r="Z28" s="5">
        <f t="shared" si="9"/>
        <v>748</v>
      </c>
      <c r="AA28" s="14">
        <f t="shared" si="6"/>
        <v>4839.5599999999995</v>
      </c>
      <c r="AB28" s="87">
        <v>10052280</v>
      </c>
      <c r="AC28" s="86">
        <f t="shared" si="10"/>
        <v>10028705</v>
      </c>
      <c r="AD28" s="5">
        <f t="shared" si="3"/>
        <v>23575</v>
      </c>
      <c r="AE28" s="83">
        <f t="shared" si="11"/>
        <v>7831.4971250000008</v>
      </c>
      <c r="AF28" s="83">
        <f>94671.7-94630.2</f>
        <v>41.5</v>
      </c>
      <c r="AG28" s="83">
        <f>50420.1-50417.2</f>
        <v>2.9000000000014552</v>
      </c>
      <c r="AH28" s="83">
        <f>29901.7-29890.4</f>
        <v>11.299999999999272</v>
      </c>
      <c r="AI28" s="87">
        <f t="shared" si="12"/>
        <v>49262.2</v>
      </c>
      <c r="AJ28" s="87">
        <v>49293.7</v>
      </c>
      <c r="AK28" s="48">
        <f t="shared" si="7"/>
        <v>31.5</v>
      </c>
      <c r="AL28" s="89">
        <f t="shared" si="4"/>
        <v>8956.8717868349995</v>
      </c>
      <c r="AM28" s="83">
        <f t="shared" si="13"/>
        <v>2975.4280232276528</v>
      </c>
      <c r="AN28" s="71">
        <v>144</v>
      </c>
      <c r="AO28" s="78">
        <f t="shared" si="5"/>
        <v>21345.809924999958</v>
      </c>
    </row>
    <row r="29" spans="1:41" x14ac:dyDescent="0.25">
      <c r="A29" s="79">
        <v>44524</v>
      </c>
      <c r="B29" s="86">
        <f>12933459-12926598</f>
        <v>6861</v>
      </c>
      <c r="C29" s="86">
        <f>8303683-8299393</f>
        <v>4290</v>
      </c>
      <c r="D29" s="86">
        <f>1638369-1637411</f>
        <v>958</v>
      </c>
      <c r="E29" s="86">
        <f>12370488-12362990</f>
        <v>7498</v>
      </c>
      <c r="F29" s="86">
        <f>12312031-12305803</f>
        <v>6228</v>
      </c>
      <c r="G29" s="86">
        <f>8743624-8740672</f>
        <v>2952</v>
      </c>
      <c r="H29" s="86">
        <f>9484460-9478734</f>
        <v>5726</v>
      </c>
      <c r="I29" s="86">
        <f>5535504-5533029</f>
        <v>2475</v>
      </c>
      <c r="J29" s="86">
        <f>12518123-12510913</f>
        <v>7210</v>
      </c>
      <c r="K29" s="86">
        <f t="shared" si="14"/>
        <v>34513</v>
      </c>
      <c r="L29" s="14">
        <f t="shared" si="8"/>
        <v>6902.6</v>
      </c>
      <c r="M29" s="83">
        <f>98753.029-98565.541</f>
        <v>187.48799999999756</v>
      </c>
      <c r="N29" s="83">
        <f>4603.682-4602.346</f>
        <v>1.3360000000002401</v>
      </c>
      <c r="O29" s="83">
        <f>10391.754-10389.508</f>
        <v>2.2460000000010041</v>
      </c>
      <c r="P29" s="82">
        <f>532.081-449.165</f>
        <v>82.915999999999997</v>
      </c>
      <c r="Q29" s="83">
        <f>26340.125-26326.797</f>
        <v>13.328000000001339</v>
      </c>
      <c r="R29" s="83">
        <f t="shared" si="0"/>
        <v>86.498000000001241</v>
      </c>
      <c r="S29" s="83">
        <f t="shared" si="1"/>
        <v>678.14432000000977</v>
      </c>
      <c r="T29" s="83">
        <f t="shared" si="2"/>
        <v>200.81599999999889</v>
      </c>
      <c r="U29" s="83">
        <f t="shared" si="15"/>
        <v>1574.3974399999913</v>
      </c>
      <c r="V29" s="83">
        <f>383442.9-383295.7</f>
        <v>147.20000000001164</v>
      </c>
      <c r="W29" s="83">
        <f>136635.77-136469.14</f>
        <v>166.62999999997555</v>
      </c>
      <c r="X29" s="86" t="s">
        <v>63</v>
      </c>
      <c r="Y29" s="87">
        <v>938343</v>
      </c>
      <c r="Z29" s="5">
        <f t="shared" si="9"/>
        <v>701</v>
      </c>
      <c r="AA29" s="14">
        <f t="shared" si="6"/>
        <v>4535.47</v>
      </c>
      <c r="AB29" s="87">
        <v>10074459</v>
      </c>
      <c r="AC29" s="86">
        <f t="shared" si="10"/>
        <v>10052280</v>
      </c>
      <c r="AD29" s="5">
        <f t="shared" si="3"/>
        <v>22179</v>
      </c>
      <c r="AE29" s="83">
        <f t="shared" si="11"/>
        <v>7367.7529050000003</v>
      </c>
      <c r="AF29" s="83">
        <f>94709.9-94671.7</f>
        <v>38.19999999999709</v>
      </c>
      <c r="AG29" s="83">
        <f>50424.7-50420.1</f>
        <v>4.5999999999985448</v>
      </c>
      <c r="AH29" s="83">
        <f>29912.7-29901.7</f>
        <v>11</v>
      </c>
      <c r="AI29" s="87">
        <f t="shared" si="12"/>
        <v>49293.7</v>
      </c>
      <c r="AJ29" s="87">
        <v>49323</v>
      </c>
      <c r="AK29" s="48">
        <f t="shared" si="7"/>
        <v>29.30000000000291</v>
      </c>
      <c r="AL29" s="89">
        <f t="shared" si="4"/>
        <v>8331.3124874378263</v>
      </c>
      <c r="AM29" s="83">
        <f t="shared" si="13"/>
        <v>2767.620351764409</v>
      </c>
      <c r="AN29" s="71">
        <v>132</v>
      </c>
      <c r="AO29" s="78">
        <f t="shared" si="5"/>
        <v>20380.220344999994</v>
      </c>
    </row>
    <row r="30" spans="1:41" x14ac:dyDescent="0.25">
      <c r="A30" s="79">
        <v>44525</v>
      </c>
      <c r="B30" s="86">
        <f>12940551-12933459</f>
        <v>7092</v>
      </c>
      <c r="C30" s="86">
        <f>8308189-8303683</f>
        <v>4506</v>
      </c>
      <c r="D30" s="86">
        <f>1639287-1638369</f>
        <v>918</v>
      </c>
      <c r="E30" s="86">
        <f>12378020-12370488</f>
        <v>7532</v>
      </c>
      <c r="F30" s="86">
        <f>12318250-12312031</f>
        <v>6219</v>
      </c>
      <c r="G30" s="86">
        <f>8746594-8743624</f>
        <v>2970</v>
      </c>
      <c r="H30" s="86">
        <f>9490342-9484460</f>
        <v>5882</v>
      </c>
      <c r="I30" s="86">
        <f>5537940-5535504</f>
        <v>2436</v>
      </c>
      <c r="J30" s="86">
        <f>12525357-12518123</f>
        <v>7234</v>
      </c>
      <c r="K30" s="86">
        <f t="shared" si="14"/>
        <v>35119</v>
      </c>
      <c r="L30" s="14">
        <f t="shared" si="8"/>
        <v>7023.8</v>
      </c>
      <c r="M30" s="83">
        <f>98916.882-98753.029</f>
        <v>163.85300000000279</v>
      </c>
      <c r="N30" s="83">
        <f>4605.565-4603.682</f>
        <v>1.8829999999998108</v>
      </c>
      <c r="O30" s="83">
        <f>10394.179-10391.754</f>
        <v>2.4249999999992724</v>
      </c>
      <c r="P30" s="82">
        <f>610.786-532.081</f>
        <v>78.704999999999927</v>
      </c>
      <c r="Q30" s="83">
        <f>26357.253-26340.125</f>
        <v>17.128000000000611</v>
      </c>
      <c r="R30" s="83">
        <f t="shared" si="0"/>
        <v>83.01299999999901</v>
      </c>
      <c r="S30" s="83">
        <f t="shared" si="1"/>
        <v>650.82191999999225</v>
      </c>
      <c r="T30" s="83">
        <f t="shared" si="2"/>
        <v>180.98100000000341</v>
      </c>
      <c r="U30" s="83">
        <f t="shared" si="15"/>
        <v>1418.8910400000266</v>
      </c>
      <c r="V30" s="83">
        <f>383599.7-383442.9</f>
        <v>156.79999999998836</v>
      </c>
      <c r="W30" s="83">
        <f>136802.04-136635.77</f>
        <v>166.27000000001863</v>
      </c>
      <c r="X30" s="86" t="s">
        <v>63</v>
      </c>
      <c r="Y30" s="87">
        <v>939082</v>
      </c>
      <c r="Z30" s="5">
        <f t="shared" si="9"/>
        <v>739</v>
      </c>
      <c r="AA30" s="14">
        <f t="shared" si="6"/>
        <v>4781.33</v>
      </c>
      <c r="AB30" s="87">
        <v>10094717</v>
      </c>
      <c r="AC30" s="86">
        <f t="shared" si="10"/>
        <v>10074459</v>
      </c>
      <c r="AD30" s="5">
        <f t="shared" si="3"/>
        <v>20258</v>
      </c>
      <c r="AE30" s="83">
        <f t="shared" si="11"/>
        <v>6729.6063100000001</v>
      </c>
      <c r="AF30" s="83">
        <f>94744.8-94709.9</f>
        <v>34.900000000008731</v>
      </c>
      <c r="AG30" s="83">
        <f>50430.2-50424.7</f>
        <v>5.5</v>
      </c>
      <c r="AH30" s="83">
        <f>29923-29912.7</f>
        <v>10.299999999999272</v>
      </c>
      <c r="AI30" s="87">
        <f t="shared" si="12"/>
        <v>49323</v>
      </c>
      <c r="AJ30" s="87">
        <v>49350.7</v>
      </c>
      <c r="AK30" s="48">
        <f t="shared" si="7"/>
        <v>27.69999999999709</v>
      </c>
      <c r="AL30" s="89">
        <f t="shared" si="4"/>
        <v>7876.3602696921716</v>
      </c>
      <c r="AM30" s="83">
        <f t="shared" si="13"/>
        <v>2616.4874997903912</v>
      </c>
      <c r="AN30" s="71">
        <v>123</v>
      </c>
      <c r="AO30" s="78">
        <f t="shared" si="5"/>
        <v>19953.627350000028</v>
      </c>
    </row>
    <row r="31" spans="1:41" x14ac:dyDescent="0.25">
      <c r="A31" s="79">
        <v>44526</v>
      </c>
      <c r="B31" s="86">
        <f>12947306-12940551</f>
        <v>6755</v>
      </c>
      <c r="C31" s="86">
        <f>8312336-8308189</f>
        <v>4147</v>
      </c>
      <c r="D31" s="86">
        <f>1640236-1639287</f>
        <v>949</v>
      </c>
      <c r="E31" s="86">
        <f>12385447-12378020</f>
        <v>7427</v>
      </c>
      <c r="F31" s="86">
        <f>12324554-12318250</f>
        <v>6304</v>
      </c>
      <c r="G31" s="86">
        <f>8749536-8746594</f>
        <v>2942</v>
      </c>
      <c r="H31" s="86">
        <f>9496129-9490342</f>
        <v>5787</v>
      </c>
      <c r="I31" s="86">
        <f>5540287-5537940</f>
        <v>2347</v>
      </c>
      <c r="J31" s="86">
        <f>12532591-12525357</f>
        <v>7234</v>
      </c>
      <c r="K31" s="86">
        <f t="shared" si="14"/>
        <v>34311</v>
      </c>
      <c r="L31" s="14">
        <f t="shared" si="8"/>
        <v>6862.2000000000007</v>
      </c>
      <c r="M31" s="83">
        <f>99087.862-98916.882</f>
        <v>170.97999999999593</v>
      </c>
      <c r="N31" s="83">
        <f>4606.071-4605.565</f>
        <v>0.50600000000031287</v>
      </c>
      <c r="O31" s="83">
        <f>10395.311-10394.179</f>
        <v>1.1319999999996071</v>
      </c>
      <c r="P31" s="82">
        <f>702.909-610.786</f>
        <v>92.123000000000047</v>
      </c>
      <c r="Q31" s="83">
        <f>26368.85-26357.253</f>
        <v>11.596999999997934</v>
      </c>
      <c r="R31" s="83">
        <f t="shared" si="0"/>
        <v>93.760999999999967</v>
      </c>
      <c r="S31" s="83">
        <f t="shared" si="1"/>
        <v>735.08623999999975</v>
      </c>
      <c r="T31" s="83">
        <f t="shared" si="2"/>
        <v>182.57699999999386</v>
      </c>
      <c r="U31" s="83">
        <f t="shared" si="15"/>
        <v>1431.4036799999519</v>
      </c>
      <c r="V31" s="83">
        <f>383752.7-383599.7</f>
        <v>153</v>
      </c>
      <c r="W31" s="83">
        <f>136990.24-136802.4</f>
        <v>187.83999999999651</v>
      </c>
      <c r="X31" s="86" t="s">
        <v>63</v>
      </c>
      <c r="Y31" s="87">
        <v>939869</v>
      </c>
      <c r="Z31" s="5">
        <f t="shared" si="9"/>
        <v>787</v>
      </c>
      <c r="AA31" s="14">
        <f t="shared" si="6"/>
        <v>5091.8899999999994</v>
      </c>
      <c r="AB31" s="87">
        <v>10116277</v>
      </c>
      <c r="AC31" s="86">
        <f t="shared" si="10"/>
        <v>10094717</v>
      </c>
      <c r="AD31" s="5">
        <f t="shared" si="3"/>
        <v>21560</v>
      </c>
      <c r="AE31" s="83">
        <f t="shared" si="11"/>
        <v>7162.1242000000002</v>
      </c>
      <c r="AF31" s="83">
        <f>94781.9-94744.8</f>
        <v>37.099999999991269</v>
      </c>
      <c r="AG31" s="83">
        <f>50438.1-50430.2</f>
        <v>7.9000000000014552</v>
      </c>
      <c r="AH31" s="83">
        <f>29934.4-29923</f>
        <v>11.400000000001455</v>
      </c>
      <c r="AI31" s="87">
        <f t="shared" si="12"/>
        <v>49350.7</v>
      </c>
      <c r="AJ31" s="87">
        <v>49379.4</v>
      </c>
      <c r="AK31" s="48">
        <f t="shared" si="7"/>
        <v>28.700000000004366</v>
      </c>
      <c r="AL31" s="89">
        <f t="shared" si="4"/>
        <v>8160.7054057842406</v>
      </c>
      <c r="AM31" s="83">
        <f t="shared" si="13"/>
        <v>2710.9455322744961</v>
      </c>
      <c r="AN31" s="71">
        <v>123</v>
      </c>
      <c r="AO31" s="78">
        <f t="shared" si="5"/>
        <v>20547.617879999954</v>
      </c>
    </row>
    <row r="32" spans="1:41" x14ac:dyDescent="0.25">
      <c r="A32" s="79">
        <v>44527</v>
      </c>
      <c r="B32" s="86">
        <f>12954088-12947306</f>
        <v>6782</v>
      </c>
      <c r="C32" s="86">
        <f>8316510-8312336</f>
        <v>4174</v>
      </c>
      <c r="D32" s="86">
        <f>1641154-1640236</f>
        <v>918</v>
      </c>
      <c r="E32" s="86">
        <f>12392857-12385447</f>
        <v>7410</v>
      </c>
      <c r="F32" s="86">
        <f>12330606-12324554</f>
        <v>6052</v>
      </c>
      <c r="G32" s="86">
        <f>8752488-8749536</f>
        <v>2952</v>
      </c>
      <c r="H32" s="86">
        <f>9501685-9496129</f>
        <v>5556</v>
      </c>
      <c r="I32" s="86">
        <f>5542699-5540287</f>
        <v>2412</v>
      </c>
      <c r="J32" s="86">
        <f>12539870-12532591</f>
        <v>7279</v>
      </c>
      <c r="K32" s="86">
        <f t="shared" si="14"/>
        <v>33844</v>
      </c>
      <c r="L32" s="14">
        <f t="shared" si="8"/>
        <v>6768.8</v>
      </c>
      <c r="M32" s="83">
        <f>99247.528-99087.862</f>
        <v>159.66600000001199</v>
      </c>
      <c r="N32" s="83">
        <f>4606.714-4606.071</f>
        <v>0.6430000000000291</v>
      </c>
      <c r="O32" s="83">
        <f>10396.886-10395.311</f>
        <v>1.5750000000007276</v>
      </c>
      <c r="P32" s="82">
        <f>781.598-702.909</f>
        <v>78.688999999999965</v>
      </c>
      <c r="Q32" s="83">
        <f>26383.093-26368.85</f>
        <v>14.243000000002212</v>
      </c>
      <c r="R32" s="83">
        <f t="shared" si="0"/>
        <v>80.907000000000721</v>
      </c>
      <c r="S32" s="83">
        <f t="shared" si="1"/>
        <v>634.31088000000568</v>
      </c>
      <c r="T32" s="83">
        <f t="shared" si="2"/>
        <v>173.9090000000142</v>
      </c>
      <c r="U32" s="83">
        <f t="shared" si="15"/>
        <v>1363.4465600001113</v>
      </c>
      <c r="V32" s="83">
        <f>383910.9-383752.7</f>
        <v>158.20000000001164</v>
      </c>
      <c r="W32" s="83">
        <f>137172.43-136990.24</f>
        <v>182.19000000000233</v>
      </c>
      <c r="X32" s="86" t="s">
        <v>63</v>
      </c>
      <c r="Y32" s="87">
        <v>940593</v>
      </c>
      <c r="Z32" s="5">
        <f t="shared" si="9"/>
        <v>724</v>
      </c>
      <c r="AA32" s="14">
        <f t="shared" si="6"/>
        <v>4684.28</v>
      </c>
      <c r="AB32" s="87">
        <v>10138850</v>
      </c>
      <c r="AC32" s="86">
        <f t="shared" si="10"/>
        <v>10116277</v>
      </c>
      <c r="AD32" s="5">
        <f t="shared" si="3"/>
        <v>22573</v>
      </c>
      <c r="AE32" s="83">
        <f t="shared" si="11"/>
        <v>7498.6377350000002</v>
      </c>
      <c r="AF32" s="83">
        <f>94820.5-94781.9</f>
        <v>38.600000000005821</v>
      </c>
      <c r="AG32" s="83">
        <f>50446.8-50438.1</f>
        <v>8.7000000000043656</v>
      </c>
      <c r="AH32" s="83">
        <f>29946.2-29934.4</f>
        <v>11.799999999999272</v>
      </c>
      <c r="AI32" s="87">
        <f t="shared" si="12"/>
        <v>49379.4</v>
      </c>
      <c r="AJ32" s="86">
        <v>49409.8</v>
      </c>
      <c r="AK32" s="48">
        <f t="shared" si="7"/>
        <v>30.400000000001455</v>
      </c>
      <c r="AL32" s="89">
        <f t="shared" si="4"/>
        <v>8644.0921371364129</v>
      </c>
      <c r="AM32" s="83">
        <f t="shared" si="13"/>
        <v>2871.5241874960307</v>
      </c>
      <c r="AN32" s="71">
        <v>125</v>
      </c>
      <c r="AO32" s="78">
        <f t="shared" si="5"/>
        <v>20315.164295000111</v>
      </c>
    </row>
    <row r="33" spans="1:41" x14ac:dyDescent="0.25">
      <c r="A33" s="79">
        <v>44528</v>
      </c>
      <c r="B33" s="86">
        <f>12960921-12954088</f>
        <v>6833</v>
      </c>
      <c r="C33" s="86">
        <f>8320522-8316510</f>
        <v>4012</v>
      </c>
      <c r="D33" s="86">
        <f>1642049-1641154</f>
        <v>895</v>
      </c>
      <c r="E33" s="86">
        <f>12400195-12392857</f>
        <v>7338</v>
      </c>
      <c r="F33" s="86">
        <f>12336564-12330606</f>
        <v>5958</v>
      </c>
      <c r="G33" s="86">
        <f>8755450-8752488</f>
        <v>2962</v>
      </c>
      <c r="H33" s="86">
        <f>9507222-9501685</f>
        <v>5537</v>
      </c>
      <c r="I33" s="86">
        <f>5545160-5542699</f>
        <v>2461</v>
      </c>
      <c r="J33" s="86">
        <f>12546817-12539870</f>
        <v>6947</v>
      </c>
      <c r="K33" s="86">
        <f t="shared" si="14"/>
        <v>33535</v>
      </c>
      <c r="L33" s="14">
        <f t="shared" si="8"/>
        <v>6707</v>
      </c>
      <c r="M33" s="83">
        <f>99407.479-99247.528</f>
        <v>159.95100000000093</v>
      </c>
      <c r="N33" s="83">
        <f>4607.474-4606.714</f>
        <v>0.76000000000021828</v>
      </c>
      <c r="O33" s="83">
        <f>10398.088-10396.886</f>
        <v>1.2019999999993161</v>
      </c>
      <c r="P33" s="82">
        <f>853.723-781.598</f>
        <v>72.125</v>
      </c>
      <c r="Q33" s="83">
        <f>26397.701-26383.093</f>
        <v>14.608000000000175</v>
      </c>
      <c r="R33" s="83">
        <f t="shared" si="0"/>
        <v>74.086999999999534</v>
      </c>
      <c r="S33" s="83">
        <f t="shared" si="1"/>
        <v>580.84207999999637</v>
      </c>
      <c r="T33" s="83">
        <f t="shared" si="2"/>
        <v>174.55900000000111</v>
      </c>
      <c r="U33" s="83">
        <f t="shared" si="15"/>
        <v>1368.5425600000087</v>
      </c>
      <c r="V33" s="83">
        <f>384081.4-383910.9</f>
        <v>170.5</v>
      </c>
      <c r="W33" s="83">
        <f>137339.68-137172.43</f>
        <v>167.25</v>
      </c>
      <c r="X33" s="86" t="s">
        <v>63</v>
      </c>
      <c r="Y33" s="87">
        <v>941279</v>
      </c>
      <c r="Z33" s="5">
        <f t="shared" si="9"/>
        <v>686</v>
      </c>
      <c r="AA33" s="14">
        <f t="shared" si="6"/>
        <v>4438.42</v>
      </c>
      <c r="AB33" s="87">
        <v>10158942</v>
      </c>
      <c r="AC33" s="86">
        <f t="shared" si="10"/>
        <v>10138850</v>
      </c>
      <c r="AD33" s="5">
        <f t="shared" si="3"/>
        <v>20092</v>
      </c>
      <c r="AE33" s="83">
        <f t="shared" si="11"/>
        <v>6674.4619400000001</v>
      </c>
      <c r="AF33" s="83">
        <f>94854.9-94820.5</f>
        <v>34.399999999994179</v>
      </c>
      <c r="AG33" s="83">
        <f>50454.3-50446.8</f>
        <v>7.5</v>
      </c>
      <c r="AH33" s="83">
        <f>29957.3-29946.2</f>
        <v>11.099999999998545</v>
      </c>
      <c r="AI33" s="87">
        <f t="shared" si="12"/>
        <v>49409.8</v>
      </c>
      <c r="AJ33" s="86">
        <v>49437.9</v>
      </c>
      <c r="AK33" s="48">
        <f t="shared" si="7"/>
        <v>28.099999999998545</v>
      </c>
      <c r="AL33" s="89">
        <f t="shared" si="4"/>
        <v>7990.0983241285858</v>
      </c>
      <c r="AM33" s="83">
        <f t="shared" si="13"/>
        <v>2654.2707127838958</v>
      </c>
      <c r="AN33" s="71">
        <v>124</v>
      </c>
      <c r="AO33" s="78">
        <f t="shared" si="5"/>
        <v>19188.424500000008</v>
      </c>
    </row>
    <row r="34" spans="1:41" x14ac:dyDescent="0.25">
      <c r="A34" s="79">
        <v>44529</v>
      </c>
      <c r="B34" s="86">
        <f>12968597-12960921</f>
        <v>7676</v>
      </c>
      <c r="C34" s="86">
        <f>8324560-8320522</f>
        <v>4038</v>
      </c>
      <c r="D34" s="86">
        <f>1642901-1642049</f>
        <v>852</v>
      </c>
      <c r="E34" s="86">
        <f>12407639-12400195</f>
        <v>7444</v>
      </c>
      <c r="F34" s="86">
        <f>12342591-12336564</f>
        <v>6027</v>
      </c>
      <c r="G34" s="86">
        <f>8758431-8755450</f>
        <v>2981</v>
      </c>
      <c r="H34" s="86">
        <f>9512682-9507222</f>
        <v>5460</v>
      </c>
      <c r="I34" s="86">
        <f>5547534-5545160</f>
        <v>2374</v>
      </c>
      <c r="J34" s="86">
        <f>12553608-12546817</f>
        <v>6791</v>
      </c>
      <c r="K34" s="86">
        <f t="shared" si="14"/>
        <v>34478</v>
      </c>
      <c r="L34" s="14">
        <f t="shared" si="8"/>
        <v>6895.6</v>
      </c>
      <c r="M34" s="83">
        <f>99563.844-99407.479</f>
        <v>156.36499999999069</v>
      </c>
      <c r="N34" s="83">
        <f>4608.163-4607.474</f>
        <v>0.6889999999993961</v>
      </c>
      <c r="O34" s="83">
        <f>10399.671-10398.088</f>
        <v>1.5830000000005384</v>
      </c>
      <c r="P34" s="82">
        <f>931.331-853.723</f>
        <v>77.608000000000061</v>
      </c>
      <c r="Q34" s="83">
        <f>26419.279-26397.701</f>
        <v>21.577999999997701</v>
      </c>
      <c r="R34" s="83">
        <f t="shared" si="0"/>
        <v>79.88</v>
      </c>
      <c r="S34" s="83">
        <f t="shared" si="1"/>
        <v>626.25919999999996</v>
      </c>
      <c r="T34" s="83">
        <f t="shared" si="2"/>
        <v>177.94299999998839</v>
      </c>
      <c r="U34" s="83">
        <f t="shared" si="15"/>
        <v>1395.0731199999088</v>
      </c>
      <c r="V34" s="83">
        <f>384239.5-384081.4</f>
        <v>158.09999999997672</v>
      </c>
      <c r="W34" s="83">
        <f>137511.61-137339.68</f>
        <v>171.92999999999302</v>
      </c>
      <c r="X34" s="86" t="s">
        <v>63</v>
      </c>
      <c r="Y34" s="87">
        <v>941988</v>
      </c>
      <c r="Z34" s="5">
        <f t="shared" si="9"/>
        <v>709</v>
      </c>
      <c r="AA34" s="14">
        <f t="shared" si="6"/>
        <v>4587.2299999999996</v>
      </c>
      <c r="AB34" s="87">
        <v>10176714</v>
      </c>
      <c r="AC34" s="86">
        <f t="shared" si="10"/>
        <v>10158942</v>
      </c>
      <c r="AD34" s="5">
        <f t="shared" si="3"/>
        <v>17772</v>
      </c>
      <c r="AE34" s="83">
        <f t="shared" si="11"/>
        <v>5903.7695400000002</v>
      </c>
      <c r="AF34" s="83">
        <f>94886.2-94854.9</f>
        <v>31.30000000000291</v>
      </c>
      <c r="AG34" s="83">
        <f>50461.7-50454.3</f>
        <v>7.3999999999941792</v>
      </c>
      <c r="AH34" s="83">
        <f>29967-29957.3</f>
        <v>9.7000000000007276</v>
      </c>
      <c r="AI34" s="87">
        <f t="shared" si="12"/>
        <v>49437.9</v>
      </c>
      <c r="AJ34" s="87">
        <v>49463.8</v>
      </c>
      <c r="AK34" s="48">
        <f t="shared" si="7"/>
        <v>25.900000000001455</v>
      </c>
      <c r="AL34" s="89">
        <f t="shared" si="4"/>
        <v>7364.5390247314135</v>
      </c>
      <c r="AM34" s="83">
        <f t="shared" si="13"/>
        <v>2446.4630413206519</v>
      </c>
      <c r="AN34" s="71">
        <v>109</v>
      </c>
      <c r="AO34" s="78">
        <f t="shared" si="5"/>
        <v>18781.672659999909</v>
      </c>
    </row>
    <row r="35" spans="1:41" x14ac:dyDescent="0.25">
      <c r="A35" s="79">
        <v>44530</v>
      </c>
      <c r="B35" s="86">
        <f>12975426-12968597</f>
        <v>6829</v>
      </c>
      <c r="C35" s="86">
        <f>8328220-8324560</f>
        <v>3660</v>
      </c>
      <c r="D35" s="86">
        <f>1643827-1642901</f>
        <v>926</v>
      </c>
      <c r="E35" s="86">
        <f>12415033-12407639</f>
        <v>7394</v>
      </c>
      <c r="F35" s="86">
        <f>12348683-12342591</f>
        <v>6092</v>
      </c>
      <c r="G35" s="86">
        <f>8761485-8758431</f>
        <v>3054</v>
      </c>
      <c r="H35" s="86">
        <f>9518193-9512682</f>
        <v>5511</v>
      </c>
      <c r="I35" s="86">
        <f>5549858-5547534</f>
        <v>2324</v>
      </c>
      <c r="J35" s="86">
        <f>12560733-12553608</f>
        <v>7125</v>
      </c>
      <c r="K35" s="86">
        <f t="shared" ref="K35" si="16">SUM(B35:H35)</f>
        <v>33466</v>
      </c>
      <c r="L35" s="14">
        <f t="shared" ref="L35" si="17">K35*0.2</f>
        <v>6693.2000000000007</v>
      </c>
      <c r="M35" s="83">
        <f>99726.576-99563.844</f>
        <v>162.73200000000361</v>
      </c>
      <c r="N35" s="83">
        <f>4608.842-4608.163</f>
        <v>0.67900000000008731</v>
      </c>
      <c r="O35" s="83">
        <f>10401.325-10399.671</f>
        <v>1.6540000000004511</v>
      </c>
      <c r="P35" s="82">
        <f>1016.224-931.331</f>
        <v>84.893000000000029</v>
      </c>
      <c r="Q35" s="83">
        <f>26435.409-26419.279</f>
        <v>16.130000000001019</v>
      </c>
      <c r="R35" s="83">
        <f t="shared" ref="R35" si="18">N35+O35+P35</f>
        <v>87.226000000000568</v>
      </c>
      <c r="S35" s="83">
        <f t="shared" ref="S35" si="19">(N35+O35+P35)*7.84</f>
        <v>683.85184000000447</v>
      </c>
      <c r="T35" s="83">
        <f t="shared" ref="T35" si="20">M35+Q35</f>
        <v>178.86200000000463</v>
      </c>
      <c r="U35" s="83">
        <f t="shared" ref="U35" si="21">T35*7.84</f>
        <v>1402.2780800000362</v>
      </c>
      <c r="V35" s="83">
        <f>384408.3-384239.5</f>
        <v>168.79999999998836</v>
      </c>
      <c r="W35" s="83">
        <f>137669.73-137511.61</f>
        <v>158.12000000002445</v>
      </c>
      <c r="X35" s="86" t="s">
        <v>63</v>
      </c>
      <c r="Y35" s="87">
        <v>942684</v>
      </c>
      <c r="Z35" s="5">
        <f t="shared" ref="Z35" si="22">IF((Y35-Y34&lt;0), "0",Y35-Y34)</f>
        <v>696</v>
      </c>
      <c r="AA35" s="14">
        <f t="shared" ref="AA35" si="23">Z35*6.47</f>
        <v>4503.12</v>
      </c>
      <c r="AB35" s="87">
        <v>10195316</v>
      </c>
      <c r="AC35" s="86">
        <f t="shared" ref="AC35" si="24">AB34</f>
        <v>10176714</v>
      </c>
      <c r="AD35" s="5">
        <f t="shared" ref="AD35" si="25">IF((AB35-AC35&lt;0), "0",AB35-AC35)</f>
        <v>18602</v>
      </c>
      <c r="AE35" s="83">
        <f t="shared" si="11"/>
        <v>6179.4913900000001</v>
      </c>
      <c r="AF35" s="83">
        <f>94918.6-94886.2</f>
        <v>32.400000000008731</v>
      </c>
      <c r="AG35" s="83">
        <f>50469.5-50461.7</f>
        <v>7.8000000000029104</v>
      </c>
      <c r="AH35" s="83">
        <f>29977-29967</f>
        <v>10</v>
      </c>
      <c r="AI35" s="87">
        <f t="shared" si="12"/>
        <v>49463.8</v>
      </c>
      <c r="AJ35" s="87">
        <v>49491.199999999997</v>
      </c>
      <c r="AK35" s="48">
        <f t="shared" ref="AK35" si="26">IF((AJ35-AI35)&lt;0, "0",AJ35-AI35)</f>
        <v>27.399999999994179</v>
      </c>
      <c r="AL35" s="89">
        <f t="shared" ref="AL35" si="27">AK35*(284.34513609)</f>
        <v>7791.0567288643442</v>
      </c>
      <c r="AM35" s="83">
        <f t="shared" ref="AM35" si="28">AL35*0.332195</f>
        <v>2588.150090045091</v>
      </c>
      <c r="AN35" s="71">
        <v>86</v>
      </c>
      <c r="AO35" s="78">
        <f t="shared" si="5"/>
        <v>18778.089470000035</v>
      </c>
    </row>
    <row r="36" spans="1:41" x14ac:dyDescent="0.25">
      <c r="A36" s="76"/>
      <c r="D36" s="6">
        <f>SUM(D6:D35)</f>
        <v>27583</v>
      </c>
      <c r="E36" s="6" t="s">
        <v>93</v>
      </c>
      <c r="G36" s="6">
        <f t="shared" ref="G36:L36" si="29">SUM(G6:G35)</f>
        <v>90579</v>
      </c>
      <c r="H36" s="6">
        <f t="shared" si="29"/>
        <v>177726</v>
      </c>
      <c r="I36" s="6">
        <f t="shared" si="29"/>
        <v>71852</v>
      </c>
      <c r="J36" s="6">
        <f t="shared" si="29"/>
        <v>214332</v>
      </c>
      <c r="K36" s="6">
        <f t="shared" si="29"/>
        <v>998986</v>
      </c>
      <c r="L36" s="15">
        <f t="shared" si="29"/>
        <v>199797.2</v>
      </c>
      <c r="R36" s="16">
        <f>SUM(R6:R35)</f>
        <v>2471.8260000000028</v>
      </c>
      <c r="T36" s="16">
        <f>SUM(T6:T35)</f>
        <v>5864.885000000002</v>
      </c>
      <c r="U36" s="16">
        <f t="shared" si="15"/>
        <v>45980.698400000016</v>
      </c>
      <c r="Z36" s="17">
        <f>SUM(Z6:Z35)</f>
        <v>23713</v>
      </c>
      <c r="AA36" s="17">
        <f>SUM(AA6:AA35)</f>
        <v>153423.11000000002</v>
      </c>
      <c r="AD36" s="17">
        <f>SUM(AD6:AD35)</f>
        <v>634004.59999999963</v>
      </c>
      <c r="AE36" s="16">
        <f>AD36*0.334569</f>
        <v>212118.28501739987</v>
      </c>
      <c r="AF36" s="16">
        <f>SUM(AF6:AF35)</f>
        <v>1078.1000000000058</v>
      </c>
      <c r="AG36" s="16">
        <f>SUM(AG6:AG35)</f>
        <v>165.5</v>
      </c>
      <c r="AH36" s="16">
        <f>SUM(AH6:AH35)</f>
        <v>324.70000000000073</v>
      </c>
      <c r="AK36" s="42">
        <f>SUM(AK6:AK35)</f>
        <v>892.5</v>
      </c>
      <c r="AL36" s="42">
        <f>SUM(AL6:AL35)</f>
        <v>253778.03396032497</v>
      </c>
      <c r="AM36" s="42">
        <f>SUM(AM6:AM35)</f>
        <v>84303.793991450148</v>
      </c>
      <c r="AN36" s="42">
        <f>SUM(AN6:AN35)</f>
        <v>4015</v>
      </c>
      <c r="AO36" s="42">
        <f>SUM(AO6:AO35)</f>
        <v>609814.16649699991</v>
      </c>
    </row>
    <row r="37" spans="1:41" x14ac:dyDescent="0.25">
      <c r="D37" s="6" t="e">
        <f>#REF!*24</f>
        <v>#REF!</v>
      </c>
      <c r="E37" s="6" t="s">
        <v>1</v>
      </c>
      <c r="R37" s="16">
        <v>7.84</v>
      </c>
      <c r="T37" s="16" t="s">
        <v>99</v>
      </c>
      <c r="U37" s="16">
        <f>U36-R38</f>
        <v>26601.582559999995</v>
      </c>
    </row>
    <row r="38" spans="1:41" x14ac:dyDescent="0.25">
      <c r="D38" s="6" t="e">
        <f>D37*31</f>
        <v>#REF!</v>
      </c>
      <c r="E38" s="6" t="s">
        <v>2</v>
      </c>
      <c r="F38" s="6" t="s">
        <v>94</v>
      </c>
      <c r="G38" s="6" t="e">
        <f>D38*0.2</f>
        <v>#REF!</v>
      </c>
      <c r="R38" s="16">
        <f>R36*R37</f>
        <v>19379.11584000002</v>
      </c>
      <c r="U38" s="16">
        <f>U37/R37</f>
        <v>3393.0589999999993</v>
      </c>
    </row>
    <row r="39" spans="1:41" x14ac:dyDescent="0.25">
      <c r="D39" s="15" t="e">
        <f>D38*0.2</f>
        <v>#REF!</v>
      </c>
    </row>
    <row r="40" spans="1:41" x14ac:dyDescent="0.25">
      <c r="E40" s="68" t="s">
        <v>98</v>
      </c>
    </row>
    <row r="41" spans="1:41" x14ac:dyDescent="0.25">
      <c r="AD41" s="6">
        <f>G41*0.2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AABCC40F5CFC45BBCE981A278A7C4E" ma:contentTypeVersion="2" ma:contentTypeDescription="Create a new document." ma:contentTypeScope="" ma:versionID="bc0025a27685b6da4e60bbad1fd721bf">
  <xsd:schema xmlns:xsd="http://www.w3.org/2001/XMLSchema" xmlns:xs="http://www.w3.org/2001/XMLSchema" xmlns:p="http://schemas.microsoft.com/office/2006/metadata/properties" xmlns:ns2="999013b5-db2e-47f1-85a9-df7f954d7a13" targetNamespace="http://schemas.microsoft.com/office/2006/metadata/properties" ma:root="true" ma:fieldsID="ae7e7fb75df0ee9c270c1d99bc55ead2" ns2:_="">
    <xsd:import namespace="999013b5-db2e-47f1-85a9-df7f954d7a13"/>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9013b5-db2e-47f1-85a9-df7f954d7a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75D986-E530-4897-9EB9-4707F4034AF1}">
  <ds:schemaRefs>
    <ds:schemaRef ds:uri="http://purl.org/dc/terms/"/>
    <ds:schemaRef ds:uri="http://schemas.microsoft.com/office/infopath/2007/PartnerControls"/>
    <ds:schemaRef ds:uri="999013b5-db2e-47f1-85a9-df7f954d7a13"/>
    <ds:schemaRef ds:uri="http://schemas.microsoft.com/office/2006/documentManagement/types"/>
    <ds:schemaRef ds:uri="http://schemas.openxmlformats.org/package/2006/metadata/core-properties"/>
    <ds:schemaRef ds:uri="http://www.w3.org/XML/1998/namespace"/>
    <ds:schemaRef ds:uri="http://purl.org/dc/elements/1.1/"/>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20A6E04A-0C1F-4E40-A5BC-0A09914DED74}">
  <ds:schemaRefs>
    <ds:schemaRef ds:uri="http://schemas.microsoft.com/sharepoint/v3/contenttype/forms"/>
  </ds:schemaRefs>
</ds:datastoreItem>
</file>

<file path=customXml/itemProps3.xml><?xml version="1.0" encoding="utf-8"?>
<ds:datastoreItem xmlns:ds="http://schemas.openxmlformats.org/officeDocument/2006/customXml" ds:itemID="{62E925D3-603D-4679-A6C8-E8A6833DB7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9013b5-db2e-47f1-85a9-df7f954d7a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2021-12-05T12:20:24Z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0x010100B8AABCC40F5CFC45BBCE981A278A7C4E</vt:lpwstr>
  </property>
  <property fmtid="{D5CDD505-2E9C-101B-9397-08002B2CF9AE}" pid="3" name="Order">
    <vt:r8>13400</vt:r8>
  </property>
</Properties>
</file>