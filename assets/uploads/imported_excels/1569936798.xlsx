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HEP\Four Seasons\Doha\"/>
    </mc:Choice>
  </mc:AlternateContent>
  <bookViews>
    <workbookView xWindow="0" yWindow="0" windowWidth="28800" windowHeight="12435"/>
  </bookViews>
  <sheets>
    <sheet name="TOTAL" sheetId="2" r:id="rId1"/>
    <sheet name="Submetering " sheetId="3" r:id="rId2"/>
    <sheet name="13 - Electrical Readings" sheetId="4" r:id="rId3"/>
    <sheet name="9 - Water Readings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66" i="5"/>
  <c r="K66" i="5"/>
  <c r="J66" i="5"/>
  <c r="I66" i="5"/>
  <c r="H66" i="5"/>
  <c r="M66" i="5" s="1"/>
  <c r="G66" i="5"/>
  <c r="E66" i="5"/>
  <c r="D66" i="5"/>
  <c r="C66" i="5"/>
  <c r="F66" i="5" s="1"/>
  <c r="N66" i="5" s="1"/>
  <c r="L64" i="5"/>
  <c r="K64" i="5"/>
  <c r="J64" i="5"/>
  <c r="I64" i="5"/>
  <c r="H64" i="5"/>
  <c r="M64" i="5" s="1"/>
  <c r="G64" i="5"/>
  <c r="E64" i="5"/>
  <c r="D64" i="5"/>
  <c r="C64" i="5"/>
  <c r="F64" i="5" s="1"/>
  <c r="N64" i="5" s="1"/>
  <c r="L62" i="5"/>
  <c r="K62" i="5"/>
  <c r="J62" i="5"/>
  <c r="I62" i="5"/>
  <c r="H62" i="5"/>
  <c r="M62" i="5" s="1"/>
  <c r="G62" i="5"/>
  <c r="E62" i="5"/>
  <c r="D62" i="5"/>
  <c r="C62" i="5"/>
  <c r="F62" i="5" s="1"/>
  <c r="N62" i="5" s="1"/>
  <c r="L60" i="5"/>
  <c r="K60" i="5"/>
  <c r="J60" i="5"/>
  <c r="I60" i="5"/>
  <c r="H60" i="5"/>
  <c r="M60" i="5" s="1"/>
  <c r="G60" i="5"/>
  <c r="E60" i="5"/>
  <c r="D60" i="5"/>
  <c r="C60" i="5"/>
  <c r="F60" i="5" s="1"/>
  <c r="N60" i="5" s="1"/>
  <c r="L58" i="5"/>
  <c r="K58" i="5"/>
  <c r="J58" i="5"/>
  <c r="I58" i="5"/>
  <c r="H58" i="5"/>
  <c r="M58" i="5" s="1"/>
  <c r="G58" i="5"/>
  <c r="E58" i="5"/>
  <c r="D58" i="5"/>
  <c r="C58" i="5"/>
  <c r="F58" i="5" s="1"/>
  <c r="N58" i="5" s="1"/>
  <c r="L56" i="5"/>
  <c r="K56" i="5"/>
  <c r="J56" i="5"/>
  <c r="I56" i="5"/>
  <c r="H56" i="5"/>
  <c r="M56" i="5" s="1"/>
  <c r="G56" i="5"/>
  <c r="E56" i="5"/>
  <c r="D56" i="5"/>
  <c r="C56" i="5"/>
  <c r="F56" i="5" s="1"/>
  <c r="N56" i="5" s="1"/>
  <c r="L54" i="5"/>
  <c r="K54" i="5"/>
  <c r="J54" i="5"/>
  <c r="I54" i="5"/>
  <c r="H54" i="5"/>
  <c r="M54" i="5" s="1"/>
  <c r="G54" i="5"/>
  <c r="E54" i="5"/>
  <c r="D54" i="5"/>
  <c r="C54" i="5"/>
  <c r="F54" i="5" s="1"/>
  <c r="N54" i="5" s="1"/>
  <c r="L52" i="5"/>
  <c r="K52" i="5"/>
  <c r="J52" i="5"/>
  <c r="I52" i="5"/>
  <c r="H52" i="5"/>
  <c r="M52" i="5" s="1"/>
  <c r="G52" i="5"/>
  <c r="E52" i="5"/>
  <c r="D52" i="5"/>
  <c r="C52" i="5"/>
  <c r="F52" i="5" s="1"/>
  <c r="N52" i="5" s="1"/>
  <c r="L50" i="5"/>
  <c r="K50" i="5"/>
  <c r="J50" i="5"/>
  <c r="I50" i="5"/>
  <c r="H50" i="5"/>
  <c r="M50" i="5" s="1"/>
  <c r="G50" i="5"/>
  <c r="E50" i="5"/>
  <c r="D50" i="5"/>
  <c r="C50" i="5"/>
  <c r="F50" i="5" s="1"/>
  <c r="N50" i="5" s="1"/>
  <c r="L48" i="5"/>
  <c r="K48" i="5"/>
  <c r="J48" i="5"/>
  <c r="I48" i="5"/>
  <c r="H48" i="5"/>
  <c r="M48" i="5" s="1"/>
  <c r="G48" i="5"/>
  <c r="E48" i="5"/>
  <c r="D48" i="5"/>
  <c r="C48" i="5"/>
  <c r="F48" i="5" s="1"/>
  <c r="N48" i="5" s="1"/>
  <c r="L46" i="5"/>
  <c r="K46" i="5"/>
  <c r="J46" i="5"/>
  <c r="I46" i="5"/>
  <c r="H46" i="5"/>
  <c r="M46" i="5" s="1"/>
  <c r="G46" i="5"/>
  <c r="E46" i="5"/>
  <c r="D46" i="5"/>
  <c r="C46" i="5"/>
  <c r="F46" i="5" s="1"/>
  <c r="N46" i="5" s="1"/>
  <c r="L44" i="5"/>
  <c r="K44" i="5"/>
  <c r="J44" i="5"/>
  <c r="I44" i="5"/>
  <c r="H44" i="5"/>
  <c r="M44" i="5" s="1"/>
  <c r="G44" i="5"/>
  <c r="E44" i="5"/>
  <c r="D44" i="5"/>
  <c r="C44" i="5"/>
  <c r="F44" i="5" s="1"/>
  <c r="N44" i="5" s="1"/>
  <c r="L42" i="5"/>
  <c r="K42" i="5"/>
  <c r="J42" i="5"/>
  <c r="I42" i="5"/>
  <c r="H42" i="5"/>
  <c r="M42" i="5" s="1"/>
  <c r="G42" i="5"/>
  <c r="E42" i="5"/>
  <c r="D42" i="5"/>
  <c r="C42" i="5"/>
  <c r="F42" i="5" s="1"/>
  <c r="N42" i="5" s="1"/>
  <c r="L40" i="5"/>
  <c r="K40" i="5"/>
  <c r="J40" i="5"/>
  <c r="I40" i="5"/>
  <c r="H40" i="5"/>
  <c r="M40" i="5" s="1"/>
  <c r="G40" i="5"/>
  <c r="E40" i="5"/>
  <c r="D40" i="5"/>
  <c r="C40" i="5"/>
  <c r="F40" i="5" s="1"/>
  <c r="N40" i="5" s="1"/>
  <c r="S38" i="5"/>
  <c r="R38" i="5"/>
  <c r="Q38" i="5"/>
  <c r="L38" i="5"/>
  <c r="K38" i="5"/>
  <c r="J38" i="5"/>
  <c r="I38" i="5"/>
  <c r="H38" i="5"/>
  <c r="G38" i="5"/>
  <c r="M38" i="5" s="1"/>
  <c r="E38" i="5"/>
  <c r="D38" i="5"/>
  <c r="C38" i="5"/>
  <c r="F38" i="5" s="1"/>
  <c r="L36" i="5"/>
  <c r="K36" i="5"/>
  <c r="J36" i="5"/>
  <c r="I36" i="5"/>
  <c r="H36" i="5"/>
  <c r="G36" i="5"/>
  <c r="M36" i="5" s="1"/>
  <c r="E36" i="5"/>
  <c r="D36" i="5"/>
  <c r="C36" i="5"/>
  <c r="F36" i="5" s="1"/>
  <c r="N36" i="5" s="1"/>
  <c r="L34" i="5"/>
  <c r="K34" i="5"/>
  <c r="J34" i="5"/>
  <c r="I34" i="5"/>
  <c r="H34" i="5"/>
  <c r="G34" i="5"/>
  <c r="M34" i="5" s="1"/>
  <c r="E34" i="5"/>
  <c r="D34" i="5"/>
  <c r="C34" i="5"/>
  <c r="F34" i="5" s="1"/>
  <c r="N34" i="5" s="1"/>
  <c r="L32" i="5"/>
  <c r="K32" i="5"/>
  <c r="J32" i="5"/>
  <c r="I32" i="5"/>
  <c r="H32" i="5"/>
  <c r="G32" i="5"/>
  <c r="M32" i="5" s="1"/>
  <c r="E32" i="5"/>
  <c r="D32" i="5"/>
  <c r="C32" i="5"/>
  <c r="F32" i="5" s="1"/>
  <c r="L30" i="5"/>
  <c r="K30" i="5"/>
  <c r="J30" i="5"/>
  <c r="I30" i="5"/>
  <c r="H30" i="5"/>
  <c r="G30" i="5"/>
  <c r="M30" i="5" s="1"/>
  <c r="E30" i="5"/>
  <c r="D30" i="5"/>
  <c r="C30" i="5"/>
  <c r="F30" i="5" s="1"/>
  <c r="L28" i="5"/>
  <c r="K28" i="5"/>
  <c r="J28" i="5"/>
  <c r="I28" i="5"/>
  <c r="H28" i="5"/>
  <c r="G28" i="5"/>
  <c r="M28" i="5" s="1"/>
  <c r="E28" i="5"/>
  <c r="D28" i="5"/>
  <c r="C28" i="5"/>
  <c r="F28" i="5" s="1"/>
  <c r="N28" i="5" s="1"/>
  <c r="L26" i="5"/>
  <c r="K26" i="5"/>
  <c r="J26" i="5"/>
  <c r="I26" i="5"/>
  <c r="H26" i="5"/>
  <c r="G26" i="5"/>
  <c r="M26" i="5" s="1"/>
  <c r="E26" i="5"/>
  <c r="D26" i="5"/>
  <c r="C26" i="5"/>
  <c r="F26" i="5" s="1"/>
  <c r="N26" i="5" s="1"/>
  <c r="L24" i="5"/>
  <c r="K24" i="5"/>
  <c r="J24" i="5"/>
  <c r="I24" i="5"/>
  <c r="H24" i="5"/>
  <c r="G24" i="5"/>
  <c r="M24" i="5" s="1"/>
  <c r="E24" i="5"/>
  <c r="D24" i="5"/>
  <c r="C24" i="5"/>
  <c r="F24" i="5" s="1"/>
  <c r="L22" i="5"/>
  <c r="J22" i="5"/>
  <c r="I22" i="5"/>
  <c r="H22" i="5"/>
  <c r="G22" i="5"/>
  <c r="M22" i="5" s="1"/>
  <c r="F22" i="5"/>
  <c r="N22" i="5" s="1"/>
  <c r="E22" i="5"/>
  <c r="D22" i="5"/>
  <c r="C22" i="5"/>
  <c r="L20" i="5"/>
  <c r="J20" i="5"/>
  <c r="I20" i="5"/>
  <c r="H20" i="5"/>
  <c r="G20" i="5"/>
  <c r="M20" i="5" s="1"/>
  <c r="E20" i="5"/>
  <c r="F20" i="5" s="1"/>
  <c r="D20" i="5"/>
  <c r="C20" i="5"/>
  <c r="L18" i="5"/>
  <c r="K18" i="5"/>
  <c r="J18" i="5"/>
  <c r="I18" i="5"/>
  <c r="M18" i="5" s="1"/>
  <c r="H18" i="5"/>
  <c r="G18" i="5"/>
  <c r="E18" i="5"/>
  <c r="F18" i="5" s="1"/>
  <c r="D18" i="5"/>
  <c r="C18" i="5"/>
  <c r="L16" i="5"/>
  <c r="K16" i="5"/>
  <c r="J16" i="5"/>
  <c r="I16" i="5"/>
  <c r="M16" i="5" s="1"/>
  <c r="H16" i="5"/>
  <c r="G16" i="5"/>
  <c r="E16" i="5"/>
  <c r="F16" i="5" s="1"/>
  <c r="D16" i="5"/>
  <c r="C16" i="5"/>
  <c r="M14" i="5"/>
  <c r="L14" i="5"/>
  <c r="K14" i="5"/>
  <c r="J14" i="5"/>
  <c r="I14" i="5"/>
  <c r="H14" i="5"/>
  <c r="G14" i="5"/>
  <c r="E14" i="5"/>
  <c r="F14" i="5" s="1"/>
  <c r="N14" i="5" s="1"/>
  <c r="D14" i="5"/>
  <c r="C14" i="5"/>
  <c r="L12" i="5"/>
  <c r="K12" i="5"/>
  <c r="J12" i="5"/>
  <c r="I12" i="5"/>
  <c r="M12" i="5" s="1"/>
  <c r="H12" i="5"/>
  <c r="G12" i="5"/>
  <c r="E12" i="5"/>
  <c r="F12" i="5" s="1"/>
  <c r="D12" i="5"/>
  <c r="C12" i="5"/>
  <c r="L10" i="5"/>
  <c r="K10" i="5"/>
  <c r="J10" i="5"/>
  <c r="I10" i="5"/>
  <c r="M10" i="5" s="1"/>
  <c r="H10" i="5"/>
  <c r="G10" i="5"/>
  <c r="E10" i="5"/>
  <c r="F10" i="5" s="1"/>
  <c r="D10" i="5"/>
  <c r="C10" i="5"/>
  <c r="M8" i="5"/>
  <c r="L8" i="5"/>
  <c r="J8" i="5"/>
  <c r="I8" i="5"/>
  <c r="F8" i="5"/>
  <c r="N8" i="5" s="1"/>
  <c r="E8" i="5"/>
  <c r="D8" i="5"/>
  <c r="C8" i="5"/>
  <c r="P66" i="4"/>
  <c r="O66" i="4"/>
  <c r="N66" i="4"/>
  <c r="M66" i="4"/>
  <c r="L66" i="4"/>
  <c r="K66" i="4"/>
  <c r="J66" i="4"/>
  <c r="I66" i="4"/>
  <c r="Q66" i="4" s="1"/>
  <c r="G66" i="4"/>
  <c r="F66" i="4"/>
  <c r="E66" i="4"/>
  <c r="D66" i="4"/>
  <c r="H66" i="4" s="1"/>
  <c r="R66" i="4" s="1"/>
  <c r="C66" i="4"/>
  <c r="P64" i="4"/>
  <c r="O64" i="4"/>
  <c r="N64" i="4"/>
  <c r="M64" i="4"/>
  <c r="L64" i="4"/>
  <c r="K64" i="4"/>
  <c r="J64" i="4"/>
  <c r="I64" i="4"/>
  <c r="Q64" i="4" s="1"/>
  <c r="G64" i="4"/>
  <c r="F64" i="4"/>
  <c r="E64" i="4"/>
  <c r="D64" i="4"/>
  <c r="H64" i="4" s="1"/>
  <c r="R64" i="4" s="1"/>
  <c r="C64" i="4"/>
  <c r="P62" i="4"/>
  <c r="O62" i="4"/>
  <c r="N62" i="4"/>
  <c r="M62" i="4"/>
  <c r="L62" i="4"/>
  <c r="K62" i="4"/>
  <c r="J62" i="4"/>
  <c r="I62" i="4"/>
  <c r="Q62" i="4" s="1"/>
  <c r="H62" i="4"/>
  <c r="R62" i="4" s="1"/>
  <c r="G62" i="4"/>
  <c r="F62" i="4"/>
  <c r="E62" i="4"/>
  <c r="D62" i="4"/>
  <c r="C62" i="4"/>
  <c r="P60" i="4"/>
  <c r="O60" i="4"/>
  <c r="N60" i="4"/>
  <c r="M60" i="4"/>
  <c r="L60" i="4"/>
  <c r="K60" i="4"/>
  <c r="J60" i="4"/>
  <c r="I60" i="4"/>
  <c r="Q60" i="4" s="1"/>
  <c r="H60" i="4"/>
  <c r="R60" i="4" s="1"/>
  <c r="G60" i="4"/>
  <c r="F60" i="4"/>
  <c r="E60" i="4"/>
  <c r="D60" i="4"/>
  <c r="C60" i="4"/>
  <c r="P58" i="4"/>
  <c r="O58" i="4"/>
  <c r="N58" i="4"/>
  <c r="M58" i="4"/>
  <c r="L58" i="4"/>
  <c r="K58" i="4"/>
  <c r="J58" i="4"/>
  <c r="I58" i="4"/>
  <c r="Q58" i="4" s="1"/>
  <c r="G58" i="4"/>
  <c r="F58" i="4"/>
  <c r="E58" i="4"/>
  <c r="D58" i="4"/>
  <c r="H58" i="4" s="1"/>
  <c r="R58" i="4" s="1"/>
  <c r="C58" i="4"/>
  <c r="P56" i="4"/>
  <c r="O56" i="4"/>
  <c r="N56" i="4"/>
  <c r="M56" i="4"/>
  <c r="L56" i="4"/>
  <c r="K56" i="4"/>
  <c r="J56" i="4"/>
  <c r="I56" i="4"/>
  <c r="Q56" i="4" s="1"/>
  <c r="G56" i="4"/>
  <c r="F56" i="4"/>
  <c r="E56" i="4"/>
  <c r="D56" i="4"/>
  <c r="H56" i="4" s="1"/>
  <c r="R56" i="4" s="1"/>
  <c r="C56" i="4"/>
  <c r="P54" i="4"/>
  <c r="O54" i="4"/>
  <c r="N54" i="4"/>
  <c r="M54" i="4"/>
  <c r="L54" i="4"/>
  <c r="K54" i="4"/>
  <c r="J54" i="4"/>
  <c r="I54" i="4"/>
  <c r="Q54" i="4" s="1"/>
  <c r="G54" i="4"/>
  <c r="F54" i="4"/>
  <c r="E54" i="4"/>
  <c r="D54" i="4"/>
  <c r="H54" i="4" s="1"/>
  <c r="R54" i="4" s="1"/>
  <c r="C54" i="4"/>
  <c r="P52" i="4"/>
  <c r="O52" i="4"/>
  <c r="N52" i="4"/>
  <c r="M52" i="4"/>
  <c r="L52" i="4"/>
  <c r="K52" i="4"/>
  <c r="J52" i="4"/>
  <c r="I52" i="4"/>
  <c r="Q52" i="4" s="1"/>
  <c r="G52" i="4"/>
  <c r="F52" i="4"/>
  <c r="E52" i="4"/>
  <c r="D52" i="4"/>
  <c r="H52" i="4" s="1"/>
  <c r="R52" i="4" s="1"/>
  <c r="C52" i="4"/>
  <c r="P50" i="4"/>
  <c r="O50" i="4"/>
  <c r="N50" i="4"/>
  <c r="M50" i="4"/>
  <c r="L50" i="4"/>
  <c r="K50" i="4"/>
  <c r="J50" i="4"/>
  <c r="I50" i="4"/>
  <c r="Q50" i="4" s="1"/>
  <c r="G50" i="4"/>
  <c r="F50" i="4"/>
  <c r="E50" i="4"/>
  <c r="D50" i="4"/>
  <c r="H50" i="4" s="1"/>
  <c r="R50" i="4" s="1"/>
  <c r="C50" i="4"/>
  <c r="P48" i="4"/>
  <c r="O48" i="4"/>
  <c r="N48" i="4"/>
  <c r="M48" i="4"/>
  <c r="L48" i="4"/>
  <c r="K48" i="4"/>
  <c r="J48" i="4"/>
  <c r="I48" i="4"/>
  <c r="Q48" i="4" s="1"/>
  <c r="H48" i="4"/>
  <c r="G48" i="4"/>
  <c r="F48" i="4"/>
  <c r="E48" i="4"/>
  <c r="D48" i="4"/>
  <c r="C48" i="4"/>
  <c r="P46" i="4"/>
  <c r="O46" i="4"/>
  <c r="N46" i="4"/>
  <c r="M46" i="4"/>
  <c r="L46" i="4"/>
  <c r="K46" i="4"/>
  <c r="J46" i="4"/>
  <c r="I46" i="4"/>
  <c r="Q46" i="4" s="1"/>
  <c r="H46" i="4"/>
  <c r="R46" i="4" s="1"/>
  <c r="G46" i="4"/>
  <c r="F46" i="4"/>
  <c r="E46" i="4"/>
  <c r="D46" i="4"/>
  <c r="C46" i="4"/>
  <c r="P44" i="4"/>
  <c r="O44" i="4"/>
  <c r="N44" i="4"/>
  <c r="M44" i="4"/>
  <c r="L44" i="4"/>
  <c r="K44" i="4"/>
  <c r="J44" i="4"/>
  <c r="I44" i="4"/>
  <c r="Q44" i="4" s="1"/>
  <c r="H44" i="4"/>
  <c r="G44" i="4"/>
  <c r="F44" i="4"/>
  <c r="E44" i="4"/>
  <c r="D44" i="4"/>
  <c r="C44" i="4"/>
  <c r="P42" i="4"/>
  <c r="O42" i="4"/>
  <c r="N42" i="4"/>
  <c r="M42" i="4"/>
  <c r="L42" i="4"/>
  <c r="K42" i="4"/>
  <c r="J42" i="4"/>
  <c r="I42" i="4"/>
  <c r="Q42" i="4" s="1"/>
  <c r="G42" i="4"/>
  <c r="F42" i="4"/>
  <c r="E42" i="4"/>
  <c r="D42" i="4"/>
  <c r="H42" i="4" s="1"/>
  <c r="R42" i="4" s="1"/>
  <c r="C42" i="4"/>
  <c r="P40" i="4"/>
  <c r="O40" i="4"/>
  <c r="N40" i="4"/>
  <c r="M40" i="4"/>
  <c r="L40" i="4"/>
  <c r="K40" i="4"/>
  <c r="J40" i="4"/>
  <c r="I40" i="4"/>
  <c r="Q40" i="4" s="1"/>
  <c r="G40" i="4"/>
  <c r="F40" i="4"/>
  <c r="E40" i="4"/>
  <c r="D40" i="4"/>
  <c r="H40" i="4" s="1"/>
  <c r="R40" i="4" s="1"/>
  <c r="C40" i="4"/>
  <c r="P38" i="4"/>
  <c r="O38" i="4"/>
  <c r="N38" i="4"/>
  <c r="M38" i="4"/>
  <c r="L38" i="4"/>
  <c r="K38" i="4"/>
  <c r="J38" i="4"/>
  <c r="I38" i="4"/>
  <c r="Q38" i="4" s="1"/>
  <c r="G38" i="4"/>
  <c r="F38" i="4"/>
  <c r="E38" i="4"/>
  <c r="D38" i="4"/>
  <c r="H38" i="4" s="1"/>
  <c r="R38" i="4" s="1"/>
  <c r="C38" i="4"/>
  <c r="P36" i="4"/>
  <c r="O36" i="4"/>
  <c r="N36" i="4"/>
  <c r="M36" i="4"/>
  <c r="L36" i="4"/>
  <c r="K36" i="4"/>
  <c r="J36" i="4"/>
  <c r="I36" i="4"/>
  <c r="Q36" i="4" s="1"/>
  <c r="G36" i="4"/>
  <c r="F36" i="4"/>
  <c r="E36" i="4"/>
  <c r="D36" i="4"/>
  <c r="H36" i="4" s="1"/>
  <c r="R36" i="4" s="1"/>
  <c r="C36" i="4"/>
  <c r="P34" i="4"/>
  <c r="O34" i="4"/>
  <c r="N34" i="4"/>
  <c r="M34" i="4"/>
  <c r="L34" i="4"/>
  <c r="K34" i="4"/>
  <c r="J34" i="4"/>
  <c r="I34" i="4"/>
  <c r="Q34" i="4" s="1"/>
  <c r="G34" i="4"/>
  <c r="F34" i="4"/>
  <c r="E34" i="4"/>
  <c r="D34" i="4"/>
  <c r="H34" i="4" s="1"/>
  <c r="R34" i="4" s="1"/>
  <c r="C34" i="4"/>
  <c r="P32" i="4"/>
  <c r="O32" i="4"/>
  <c r="N32" i="4"/>
  <c r="M32" i="4"/>
  <c r="L32" i="4"/>
  <c r="K32" i="4"/>
  <c r="J32" i="4"/>
  <c r="I32" i="4"/>
  <c r="Q32" i="4" s="1"/>
  <c r="G32" i="4"/>
  <c r="F32" i="4"/>
  <c r="E32" i="4"/>
  <c r="D32" i="4"/>
  <c r="H32" i="4" s="1"/>
  <c r="R32" i="4" s="1"/>
  <c r="C32" i="4"/>
  <c r="P30" i="4"/>
  <c r="O30" i="4"/>
  <c r="N30" i="4"/>
  <c r="M30" i="4"/>
  <c r="L30" i="4"/>
  <c r="K30" i="4"/>
  <c r="J30" i="4"/>
  <c r="I30" i="4"/>
  <c r="Q30" i="4" s="1"/>
  <c r="G30" i="4"/>
  <c r="F30" i="4"/>
  <c r="E30" i="4"/>
  <c r="D30" i="4"/>
  <c r="H30" i="4" s="1"/>
  <c r="R30" i="4" s="1"/>
  <c r="C30" i="4"/>
  <c r="P28" i="4"/>
  <c r="O28" i="4"/>
  <c r="N28" i="4"/>
  <c r="M28" i="4"/>
  <c r="L28" i="4"/>
  <c r="K28" i="4"/>
  <c r="J28" i="4"/>
  <c r="I28" i="4"/>
  <c r="Q28" i="4" s="1"/>
  <c r="G28" i="4"/>
  <c r="F28" i="4"/>
  <c r="E28" i="4"/>
  <c r="D28" i="4"/>
  <c r="H28" i="4" s="1"/>
  <c r="R28" i="4" s="1"/>
  <c r="C28" i="4"/>
  <c r="P26" i="4"/>
  <c r="O26" i="4"/>
  <c r="N26" i="4"/>
  <c r="M26" i="4"/>
  <c r="L26" i="4"/>
  <c r="K26" i="4"/>
  <c r="J26" i="4"/>
  <c r="I26" i="4"/>
  <c r="Q26" i="4" s="1"/>
  <c r="G26" i="4"/>
  <c r="F26" i="4"/>
  <c r="E26" i="4"/>
  <c r="D26" i="4"/>
  <c r="H26" i="4" s="1"/>
  <c r="R26" i="4" s="1"/>
  <c r="C26" i="4"/>
  <c r="P24" i="4"/>
  <c r="O24" i="4"/>
  <c r="N24" i="4"/>
  <c r="M24" i="4"/>
  <c r="L24" i="4"/>
  <c r="K24" i="4"/>
  <c r="J24" i="4"/>
  <c r="I24" i="4"/>
  <c r="Q24" i="4" s="1"/>
  <c r="G24" i="4"/>
  <c r="F24" i="4"/>
  <c r="E24" i="4"/>
  <c r="D24" i="4"/>
  <c r="H24" i="4" s="1"/>
  <c r="R24" i="4" s="1"/>
  <c r="C24" i="4"/>
  <c r="P22" i="4"/>
  <c r="O22" i="4"/>
  <c r="N22" i="4"/>
  <c r="M22" i="4"/>
  <c r="L22" i="4"/>
  <c r="K22" i="4"/>
  <c r="J22" i="4"/>
  <c r="I22" i="4"/>
  <c r="Q22" i="4" s="1"/>
  <c r="G22" i="4"/>
  <c r="F22" i="4"/>
  <c r="E22" i="4"/>
  <c r="D22" i="4"/>
  <c r="H22" i="4" s="1"/>
  <c r="R22" i="4" s="1"/>
  <c r="C22" i="4"/>
  <c r="P20" i="4"/>
  <c r="O20" i="4"/>
  <c r="N20" i="4"/>
  <c r="M20" i="4"/>
  <c r="L20" i="4"/>
  <c r="K20" i="4"/>
  <c r="J20" i="4"/>
  <c r="I20" i="4"/>
  <c r="Q20" i="4" s="1"/>
  <c r="G20" i="4"/>
  <c r="F20" i="4"/>
  <c r="E20" i="4"/>
  <c r="D20" i="4"/>
  <c r="H20" i="4" s="1"/>
  <c r="R20" i="4" s="1"/>
  <c r="C20" i="4"/>
  <c r="P18" i="4"/>
  <c r="O18" i="4"/>
  <c r="N18" i="4"/>
  <c r="M18" i="4"/>
  <c r="L18" i="4"/>
  <c r="K18" i="4"/>
  <c r="J18" i="4"/>
  <c r="I18" i="4"/>
  <c r="Q18" i="4" s="1"/>
  <c r="H18" i="4"/>
  <c r="R18" i="4" s="1"/>
  <c r="G18" i="4"/>
  <c r="F18" i="4"/>
  <c r="E18" i="4"/>
  <c r="D18" i="4"/>
  <c r="C18" i="4"/>
  <c r="P16" i="4"/>
  <c r="O16" i="4"/>
  <c r="N16" i="4"/>
  <c r="M16" i="4"/>
  <c r="L16" i="4"/>
  <c r="K16" i="4"/>
  <c r="J16" i="4"/>
  <c r="I16" i="4"/>
  <c r="Q16" i="4" s="1"/>
  <c r="G16" i="4"/>
  <c r="F16" i="4"/>
  <c r="E16" i="4"/>
  <c r="D16" i="4"/>
  <c r="H16" i="4" s="1"/>
  <c r="R16" i="4" s="1"/>
  <c r="C16" i="4"/>
  <c r="P14" i="4"/>
  <c r="O14" i="4"/>
  <c r="N14" i="4"/>
  <c r="M14" i="4"/>
  <c r="L14" i="4"/>
  <c r="K14" i="4"/>
  <c r="J14" i="4"/>
  <c r="I14" i="4"/>
  <c r="Q14" i="4" s="1"/>
  <c r="G14" i="4"/>
  <c r="F14" i="4"/>
  <c r="E14" i="4"/>
  <c r="D14" i="4"/>
  <c r="H14" i="4" s="1"/>
  <c r="R14" i="4" s="1"/>
  <c r="C14" i="4"/>
  <c r="P12" i="4"/>
  <c r="O12" i="4"/>
  <c r="N12" i="4"/>
  <c r="M12" i="4"/>
  <c r="L12" i="4"/>
  <c r="K12" i="4"/>
  <c r="J12" i="4"/>
  <c r="I12" i="4"/>
  <c r="Q12" i="4" s="1"/>
  <c r="G12" i="4"/>
  <c r="F12" i="4"/>
  <c r="E12" i="4"/>
  <c r="D12" i="4"/>
  <c r="H12" i="4" s="1"/>
  <c r="R12" i="4" s="1"/>
  <c r="C12" i="4"/>
  <c r="P10" i="4"/>
  <c r="O10" i="4"/>
  <c r="N10" i="4"/>
  <c r="M10" i="4"/>
  <c r="L10" i="4"/>
  <c r="K10" i="4"/>
  <c r="J10" i="4"/>
  <c r="I10" i="4"/>
  <c r="Q10" i="4" s="1"/>
  <c r="G10" i="4"/>
  <c r="F10" i="4"/>
  <c r="E10" i="4"/>
  <c r="D10" i="4"/>
  <c r="H10" i="4" s="1"/>
  <c r="R10" i="4" s="1"/>
  <c r="C10" i="4"/>
  <c r="P8" i="4"/>
  <c r="O8" i="4"/>
  <c r="N8" i="4"/>
  <c r="M8" i="4"/>
  <c r="L8" i="4"/>
  <c r="K8" i="4"/>
  <c r="J8" i="4"/>
  <c r="I8" i="4"/>
  <c r="Q8" i="4" s="1"/>
  <c r="G8" i="4"/>
  <c r="F8" i="4"/>
  <c r="E8" i="4"/>
  <c r="D8" i="4"/>
  <c r="H8" i="4" s="1"/>
  <c r="R8" i="4" s="1"/>
  <c r="C8" i="4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3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2"/>
  <c r="N20" i="5" l="1"/>
  <c r="N10" i="5"/>
  <c r="N16" i="5"/>
  <c r="N30" i="5"/>
  <c r="N38" i="5"/>
  <c r="N12" i="5"/>
  <c r="N18" i="5"/>
  <c r="N24" i="5"/>
  <c r="N32" i="5"/>
  <c r="R44" i="4"/>
  <c r="R48" i="4"/>
</calcChain>
</file>

<file path=xl/comments1.xml><?xml version="1.0" encoding="utf-8"?>
<comments xmlns="http://schemas.openxmlformats.org/spreadsheetml/2006/main">
  <authors>
    <author>Central Plant Eng.</author>
    <author>Srikanth</author>
  </authors>
  <commentList>
    <comment ref="G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3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3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3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3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3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3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3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3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3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3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3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3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3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3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3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4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4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4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4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4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4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4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4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4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4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4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4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4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4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4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5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5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5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5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5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5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5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5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5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5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5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5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5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5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5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6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6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6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6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6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6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6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6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6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</commentList>
</comments>
</file>

<file path=xl/sharedStrings.xml><?xml version="1.0" encoding="utf-8"?>
<sst xmlns="http://schemas.openxmlformats.org/spreadsheetml/2006/main" count="206" uniqueCount="67">
  <si>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</si>
  <si>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</si>
  <si>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</si>
  <si>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</si>
  <si>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</si>
  <si>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</si>
  <si>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</si>
  <si>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</si>
  <si>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</si>
  <si>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</si>
  <si>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</si>
  <si>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</si>
  <si>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</si>
  <si>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</si>
  <si>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</si>
  <si>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</si>
  <si>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</si>
  <si>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</si>
  <si>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</si>
  <si>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</si>
  <si>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</si>
  <si>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</si>
  <si>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</si>
  <si>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</si>
  <si>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</si>
  <si>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</si>
  <si>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</si>
  <si>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</si>
  <si>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</si>
  <si>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</si>
  <si>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</si>
  <si>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</si>
  <si>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</si>
  <si>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</si>
  <si>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</si>
  <si>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</si>
  <si>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Month:SEPTEMBER  2019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</si>
  <si>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</si>
  <si>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</si>
  <si>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</si>
  <si>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</si>
  <si>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</si>
  <si>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</si>
  <si>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</si>
  <si>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</si>
  <si>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</si>
  <si>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</si>
  <si>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</si>
  <si>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Daily Water Meter Readings</t>
  </si>
  <si>
    <t>Month: SEPTEMBER 2019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</si>
  <si>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</si>
  <si>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</si>
  <si>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</si>
  <si>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</si>
  <si>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</si>
  <si>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</si>
  <si>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</si>
  <si>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</si>
  <si>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</si>
  <si>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</si>
  <si>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</si>
  <si>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Note: The following water meters are not working</t>
  </si>
  <si>
    <t># Town House -130464</t>
  </si>
  <si>
    <t># Spa B - 130456</t>
  </si>
  <si>
    <t># CCW Hotel B - 130459</t>
  </si>
  <si>
    <t>Note: Hotel clossed for renovation from 15 th June 2019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</si>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</sst>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sz val="12"/>
      <color rgb="FFFF0000"/>
      <name val="Calibri"/>
      <family val="2"/>
      <scheme val="minor"/>
    </font>
    <font>
      <b/>
      <sz val="8"/>
      <color indexed="81"/>
      <name val="Tahoma"/>
      <family val="2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1" xfId="0" applyFont="1" applyBorder="1"/>
    <xf numFmtId="1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2" fontId="2" fillId="0" borderId="1" xfId="0" applyNumberFormat="1" applyFont="1" applyBorder="1" applyAlignment="1">
      <alignment wrapText="1"/>
    </xf>
    <xf numFmtId="0" fontId="2" fillId="0" borderId="0" xfId="0" applyFont="1"/>
    <xf numFmtId="1" fontId="0" fillId="2" borderId="0" xfId="0" quotePrefix="1" applyNumberFormat="1" applyFill="1"/>
    <xf numFmtId="0" fontId="0" fillId="2" borderId="0" xfId="0" quotePrefix="1" applyFill="1"/>
    <xf numFmtId="2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4" borderId="1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right"/>
    </xf>
    <xf numFmtId="0" fontId="3" fillId="4" borderId="13" xfId="0" applyFont="1" applyFill="1" applyBorder="1" applyAlignment="1">
      <alignment horizontal="right"/>
    </xf>
    <xf numFmtId="0" fontId="6" fillId="5" borderId="14" xfId="0" applyFont="1" applyFill="1" applyBorder="1" applyAlignment="1">
      <alignment horizontal="right"/>
    </xf>
    <xf numFmtId="0" fontId="6" fillId="5" borderId="14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0" fillId="0" borderId="20" xfId="0" applyFill="1" applyBorder="1" applyAlignment="1">
      <alignment horizontal="right"/>
    </xf>
    <xf numFmtId="0" fontId="3" fillId="2" borderId="13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1" xfId="0" applyBorder="1"/>
    <xf numFmtId="0" fontId="10" fillId="0" borderId="0" xfId="0" applyFont="1" applyAlignment="1">
      <alignment horizontal="left" vertical="center"/>
    </xf>
    <xf numFmtId="0" fontId="3" fillId="2" borderId="13" xfId="0" applyFont="1" applyFill="1" applyBorder="1" applyAlignment="1">
      <alignment horizontal="right"/>
    </xf>
    <xf numFmtId="0" fontId="6" fillId="7" borderId="21" xfId="0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6" fillId="7" borderId="14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6" fillId="7" borderId="14" xfId="0" applyFont="1" applyFill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0" fillId="3" borderId="1" xfId="0" applyFill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3</xdr:col>
      <xdr:colOff>228600</xdr:colOff>
      <xdr:row>2</xdr:row>
      <xdr:rowOff>257175</xdr:rowOff>
    </xdr:to>
    <xdr:pic>
      <xdr:nvPicPr>
        <xdr:cNvPr id="2" name="Picture 1" descr="C:\Users\hannah.villanueva\Desktop\DOH_White_BOX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38100" y="0"/>
          <a:ext cx="16097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2" name="Picture 1" descr="C:\Users\hannah.villanueva\Desktop\DOH_White_BOX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K7" sqref="K7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9" customWidth="1"/>
    <col min="6" max="6" width="12.5703125" customWidth="1"/>
    <col min="7" max="7" width="11.5703125" customWidth="1"/>
    <col min="8" max="8" width="11.5703125" style="8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11</v>
      </c>
      <c r="B2">
        <v>1</v>
      </c>
      <c r="C2">
        <v>9</v>
      </c>
      <c r="D2">
        <v>2019</v>
      </c>
      <c r="E2" s="6">
        <f>0.75*INDEX('13 - Electrical Readings'!$H$8:$H$988,1+(2*(ROWS(A$1:A1)-1)))+INDEX('13 - Electrical Readings'!$Q$8:$Q$988,1+(2*(ROWS(A$1:A1)-1)))</f>
        <v>58123.25</v>
      </c>
      <c r="F2">
        <v>4.1000000000000002E-2</v>
      </c>
      <c r="G2" s="7">
        <f>0.75*INDEX('9 - Water Readings'!$F$8:$F$988,1+(2*(ROWS(A$1:A1)-1)))+INDEX('9 - Water Readings'!$M$8:$M$988,1+(2*(ROWS(A$1:A1)-1)))</f>
        <v>222.75</v>
      </c>
      <c r="H2" s="8">
        <v>1.5571912601017661</v>
      </c>
      <c r="I2" s="8">
        <f>'Submetering '!AA2</f>
        <v>0</v>
      </c>
      <c r="J2">
        <f>'Submetering '!AB2</f>
        <v>0</v>
      </c>
      <c r="K2">
        <f>'Submetering '!AC2</f>
        <v>17.3</v>
      </c>
    </row>
    <row r="3" spans="1:11" x14ac:dyDescent="0.25">
      <c r="A3" t="s">
        <v>11</v>
      </c>
      <c r="B3">
        <f>B2+1</f>
        <v>2</v>
      </c>
      <c r="C3">
        <v>9</v>
      </c>
      <c r="D3">
        <v>2019</v>
      </c>
      <c r="E3" s="6">
        <f>0.75*INDEX('13 - Electrical Readings'!$H$8:$H$988,1+(2*(ROWS(A$1:A2)-1)))+INDEX('13 - Electrical Readings'!$Q$8:$Q$988,1+(2*(ROWS(A$1:A2)-1)))</f>
        <v>64887</v>
      </c>
      <c r="F3">
        <v>4.1000000000000002E-2</v>
      </c>
      <c r="G3" s="7">
        <f>0.75*INDEX('9 - Water Readings'!$F$8:$F$988,1+(2*(ROWS(A$1:A2)-1)))+INDEX('9 - Water Readings'!$M$8:$M$988,1+(2*(ROWS(A$1:A2)-1)))</f>
        <v>209</v>
      </c>
      <c r="H3" s="8">
        <v>1.5571912601017661</v>
      </c>
      <c r="I3" s="8">
        <f>'Submetering '!AA3</f>
        <v>0</v>
      </c>
      <c r="J3">
        <f>'Submetering '!AB3</f>
        <v>0</v>
      </c>
      <c r="K3">
        <f>'Submetering '!AC3</f>
        <v>15</v>
      </c>
    </row>
    <row r="4" spans="1:11" x14ac:dyDescent="0.25">
      <c r="A4" t="s">
        <v>11</v>
      </c>
      <c r="B4">
        <f t="shared" ref="B4:B31" si="0">B3+1</f>
        <v>3</v>
      </c>
      <c r="C4">
        <v>9</v>
      </c>
      <c r="D4">
        <v>2019</v>
      </c>
      <c r="E4" s="6">
        <f>0.75*INDEX('13 - Electrical Readings'!$H$8:$H$988,1+(2*(ROWS(A$1:A3)-1)))+INDEX('13 - Electrical Readings'!$Q$8:$Q$988,1+(2*(ROWS(A$1:A3)-1)))</f>
        <v>62838.5</v>
      </c>
      <c r="F4">
        <v>4.1000000000000002E-2</v>
      </c>
      <c r="G4" s="7">
        <f>0.75*INDEX('9 - Water Readings'!$F$8:$F$988,1+(2*(ROWS(A$1:A3)-1)))+INDEX('9 - Water Readings'!$M$8:$M$988,1+(2*(ROWS(A$1:A3)-1)))</f>
        <v>200</v>
      </c>
      <c r="H4" s="8">
        <v>1.5571912601017661</v>
      </c>
      <c r="I4" s="8">
        <f>'Submetering '!AA4</f>
        <v>0</v>
      </c>
      <c r="J4">
        <f>'Submetering '!AB4</f>
        <v>0</v>
      </c>
      <c r="K4">
        <f>'Submetering '!AC4</f>
        <v>14</v>
      </c>
    </row>
    <row r="5" spans="1:11" x14ac:dyDescent="0.25">
      <c r="A5" t="s">
        <v>11</v>
      </c>
      <c r="B5">
        <f t="shared" si="0"/>
        <v>4</v>
      </c>
      <c r="C5">
        <v>9</v>
      </c>
      <c r="D5">
        <v>2019</v>
      </c>
      <c r="E5" s="6">
        <f>0.75*INDEX('13 - Electrical Readings'!$H$8:$H$988,1+(2*(ROWS(A$1:A4)-1)))+INDEX('13 - Electrical Readings'!$Q$8:$Q$988,1+(2*(ROWS(A$1:A4)-1)))</f>
        <v>62533.75</v>
      </c>
      <c r="F5">
        <v>4.1000000000000002E-2</v>
      </c>
      <c r="G5" s="7">
        <f>0.75*INDEX('9 - Water Readings'!$F$8:$F$988,1+(2*(ROWS(A$1:A4)-1)))+INDEX('9 - Water Readings'!$M$8:$M$988,1+(2*(ROWS(A$1:A4)-1)))</f>
        <v>222.25</v>
      </c>
      <c r="H5" s="8">
        <v>1.5571912601017661</v>
      </c>
      <c r="I5" s="8">
        <f>'Submetering '!AA5</f>
        <v>0</v>
      </c>
      <c r="J5">
        <f>'Submetering '!AB5</f>
        <v>0</v>
      </c>
      <c r="K5">
        <f>'Submetering '!AC5</f>
        <v>16.600000000000001</v>
      </c>
    </row>
    <row r="6" spans="1:11" x14ac:dyDescent="0.25">
      <c r="A6" t="s">
        <v>11</v>
      </c>
      <c r="B6">
        <f t="shared" si="0"/>
        <v>5</v>
      </c>
      <c r="C6">
        <v>9</v>
      </c>
      <c r="D6">
        <v>2019</v>
      </c>
      <c r="E6" s="6">
        <f>0.75*INDEX('13 - Electrical Readings'!$H$8:$H$988,1+(2*(ROWS(A$1:A5)-1)))+INDEX('13 - Electrical Readings'!$Q$8:$Q$988,1+(2*(ROWS(A$1:A5)-1)))</f>
        <v>62443.75</v>
      </c>
      <c r="F6">
        <v>4.1000000000000002E-2</v>
      </c>
      <c r="G6" s="7">
        <f>0.75*INDEX('9 - Water Readings'!$F$8:$F$988,1+(2*(ROWS(A$1:A5)-1)))+INDEX('9 - Water Readings'!$M$8:$M$988,1+(2*(ROWS(A$1:A5)-1)))</f>
        <v>207.25</v>
      </c>
      <c r="H6" s="8">
        <v>1.5571912601017661</v>
      </c>
      <c r="I6" s="8">
        <f>'Submetering '!AA6</f>
        <v>0</v>
      </c>
      <c r="J6">
        <f>'Submetering '!AB6</f>
        <v>0</v>
      </c>
      <c r="K6">
        <f>'Submetering '!AC6</f>
        <v>15.5</v>
      </c>
    </row>
    <row r="7" spans="1:11" x14ac:dyDescent="0.25">
      <c r="A7" t="s">
        <v>11</v>
      </c>
      <c r="B7">
        <f t="shared" si="0"/>
        <v>6</v>
      </c>
      <c r="C7">
        <v>9</v>
      </c>
      <c r="D7">
        <v>2019</v>
      </c>
      <c r="E7" s="6">
        <f>0.75*INDEX('13 - Electrical Readings'!$H$8:$H$988,1+(2*(ROWS(A$1:A6)-1)))+INDEX('13 - Electrical Readings'!$Q$8:$Q$988,1+(2*(ROWS(A$1:A6)-1)))</f>
        <v>64085.25</v>
      </c>
      <c r="F7">
        <v>4.1000000000000002E-2</v>
      </c>
      <c r="G7" s="7">
        <f>0.75*INDEX('9 - Water Readings'!$F$8:$F$988,1+(2*(ROWS(A$1:A6)-1)))+INDEX('9 - Water Readings'!$M$8:$M$988,1+(2*(ROWS(A$1:A6)-1)))</f>
        <v>225.5</v>
      </c>
      <c r="H7" s="8">
        <v>1.5571912601017661</v>
      </c>
      <c r="I7" s="8">
        <f>'Submetering '!AA7</f>
        <v>0</v>
      </c>
      <c r="J7">
        <f>'Submetering '!AB7</f>
        <v>0</v>
      </c>
      <c r="K7">
        <f>'Submetering '!AC7</f>
        <v>14.4</v>
      </c>
    </row>
    <row r="8" spans="1:11" x14ac:dyDescent="0.25">
      <c r="A8" t="s">
        <v>11</v>
      </c>
      <c r="B8">
        <f t="shared" si="0"/>
        <v>7</v>
      </c>
      <c r="C8">
        <v>9</v>
      </c>
      <c r="D8">
        <v>2019</v>
      </c>
      <c r="E8" s="6">
        <f>0.75*INDEX('13 - Electrical Readings'!$H$8:$H$988,1+(2*(ROWS(A$1:A7)-1)))+INDEX('13 - Electrical Readings'!$Q$8:$Q$988,1+(2*(ROWS(A$1:A7)-1)))</f>
        <v>59646.25</v>
      </c>
      <c r="F8">
        <v>4.1000000000000002E-2</v>
      </c>
      <c r="G8" s="7">
        <f>0.75*INDEX('9 - Water Readings'!$F$8:$F$988,1+(2*(ROWS(A$1:A7)-1)))+INDEX('9 - Water Readings'!$M$8:$M$988,1+(2*(ROWS(A$1:A7)-1)))</f>
        <v>203.75</v>
      </c>
      <c r="H8" s="8">
        <v>1.5571912601017661</v>
      </c>
      <c r="I8" s="8">
        <f>'Submetering '!AA8</f>
        <v>0</v>
      </c>
      <c r="J8">
        <f>'Submetering '!AB8</f>
        <v>0</v>
      </c>
      <c r="K8">
        <f>'Submetering '!AC8</f>
        <v>17.8</v>
      </c>
    </row>
    <row r="9" spans="1:11" x14ac:dyDescent="0.25">
      <c r="A9" t="s">
        <v>11</v>
      </c>
      <c r="B9">
        <f t="shared" si="0"/>
        <v>8</v>
      </c>
      <c r="C9">
        <v>9</v>
      </c>
      <c r="D9">
        <v>2019</v>
      </c>
      <c r="E9" s="6">
        <f>0.75*INDEX('13 - Electrical Readings'!$H$8:$H$988,1+(2*(ROWS(A$1:A8)-1)))+INDEX('13 - Electrical Readings'!$Q$8:$Q$988,1+(2*(ROWS(A$1:A8)-1)))</f>
        <v>55413</v>
      </c>
      <c r="F9">
        <v>4.1000000000000002E-2</v>
      </c>
      <c r="G9" s="7">
        <f>0.75*INDEX('9 - Water Readings'!$F$8:$F$988,1+(2*(ROWS(A$1:A8)-1)))+INDEX('9 - Water Readings'!$M$8:$M$988,1+(2*(ROWS(A$1:A8)-1)))</f>
        <v>194.25</v>
      </c>
      <c r="H9" s="8">
        <v>1.5571912601017661</v>
      </c>
      <c r="I9" s="8">
        <f>'Submetering '!AA9</f>
        <v>0</v>
      </c>
      <c r="J9">
        <f>'Submetering '!AB9</f>
        <v>0</v>
      </c>
      <c r="K9">
        <f>'Submetering '!AC9</f>
        <v>17</v>
      </c>
    </row>
    <row r="10" spans="1:11" x14ac:dyDescent="0.25">
      <c r="A10" t="s">
        <v>11</v>
      </c>
      <c r="B10">
        <f t="shared" si="0"/>
        <v>9</v>
      </c>
      <c r="C10">
        <v>9</v>
      </c>
      <c r="D10">
        <v>2019</v>
      </c>
      <c r="E10" s="6">
        <f>0.75*INDEX('13 - Electrical Readings'!$H$8:$H$988,1+(2*(ROWS(A$1:A9)-1)))+INDEX('13 - Electrical Readings'!$Q$8:$Q$988,1+(2*(ROWS(A$1:A9)-1)))</f>
        <v>51165.5</v>
      </c>
      <c r="F10">
        <v>4.1000000000000002E-2</v>
      </c>
      <c r="G10" s="7">
        <f>0.75*INDEX('9 - Water Readings'!$F$8:$F$988,1+(2*(ROWS(A$1:A9)-1)))+INDEX('9 - Water Readings'!$M$8:$M$988,1+(2*(ROWS(A$1:A9)-1)))</f>
        <v>116</v>
      </c>
      <c r="H10" s="8">
        <v>1.5571912601017661</v>
      </c>
      <c r="I10" s="8">
        <f>'Submetering '!AA10</f>
        <v>0</v>
      </c>
      <c r="J10">
        <f>'Submetering '!AB10</f>
        <v>0</v>
      </c>
      <c r="K10">
        <f>'Submetering '!AC10</f>
        <v>15.9</v>
      </c>
    </row>
    <row r="11" spans="1:11" x14ac:dyDescent="0.25">
      <c r="A11" t="s">
        <v>11</v>
      </c>
      <c r="B11">
        <f t="shared" si="0"/>
        <v>10</v>
      </c>
      <c r="C11">
        <v>9</v>
      </c>
      <c r="D11">
        <v>2019</v>
      </c>
      <c r="E11" s="6">
        <f>0.75*INDEX('13 - Electrical Readings'!$H$8:$H$988,1+(2*(ROWS(A$1:A10)-1)))+INDEX('13 - Electrical Readings'!$Q$8:$Q$988,1+(2*(ROWS(A$1:A10)-1)))</f>
        <v>53007.75</v>
      </c>
      <c r="F11">
        <v>4.1000000000000002E-2</v>
      </c>
      <c r="G11" s="7">
        <f>0.75*INDEX('9 - Water Readings'!$F$8:$F$988,1+(2*(ROWS(A$1:A10)-1)))+INDEX('9 - Water Readings'!$M$8:$M$988,1+(2*(ROWS(A$1:A10)-1)))</f>
        <v>132.25</v>
      </c>
      <c r="H11" s="8">
        <v>1.5571912601017661</v>
      </c>
      <c r="I11" s="8">
        <f>'Submetering '!AA11</f>
        <v>0</v>
      </c>
      <c r="J11">
        <f>'Submetering '!AB11</f>
        <v>0</v>
      </c>
      <c r="K11">
        <f>'Submetering '!AC11</f>
        <v>14.2</v>
      </c>
    </row>
    <row r="12" spans="1:11" x14ac:dyDescent="0.25">
      <c r="A12" t="s">
        <v>11</v>
      </c>
      <c r="B12">
        <f t="shared" si="0"/>
        <v>11</v>
      </c>
      <c r="C12">
        <v>9</v>
      </c>
      <c r="D12">
        <v>2019</v>
      </c>
      <c r="E12" s="6">
        <f>0.75*INDEX('13 - Electrical Readings'!$H$8:$H$988,1+(2*(ROWS(A$1:A11)-1)))+INDEX('13 - Electrical Readings'!$Q$8:$Q$988,1+(2*(ROWS(A$1:A11)-1)))</f>
        <v>57097.25</v>
      </c>
      <c r="F12">
        <v>4.1000000000000002E-2</v>
      </c>
      <c r="G12" s="7">
        <f>0.75*INDEX('9 - Water Readings'!$F$8:$F$988,1+(2*(ROWS(A$1:A11)-1)))+INDEX('9 - Water Readings'!$M$8:$M$988,1+(2*(ROWS(A$1:A11)-1)))</f>
        <v>107</v>
      </c>
      <c r="H12" s="8">
        <v>1.5571912601017661</v>
      </c>
      <c r="I12" s="8">
        <f>'Submetering '!AA12</f>
        <v>0</v>
      </c>
      <c r="J12">
        <f>'Submetering '!AB12</f>
        <v>0</v>
      </c>
      <c r="K12">
        <f>'Submetering '!AC12</f>
        <v>14.4</v>
      </c>
    </row>
    <row r="13" spans="1:11" x14ac:dyDescent="0.25">
      <c r="A13" t="s">
        <v>11</v>
      </c>
      <c r="B13">
        <f t="shared" si="0"/>
        <v>12</v>
      </c>
      <c r="C13">
        <v>9</v>
      </c>
      <c r="D13">
        <v>2019</v>
      </c>
      <c r="E13" s="6">
        <f>0.75*INDEX('13 - Electrical Readings'!$H$8:$H$988,1+(2*(ROWS(A$1:A12)-1)))+INDEX('13 - Electrical Readings'!$Q$8:$Q$988,1+(2*(ROWS(A$1:A12)-1)))</f>
        <v>59779.5</v>
      </c>
      <c r="F13">
        <v>4.1000000000000002E-2</v>
      </c>
      <c r="G13" s="7">
        <f>0.75*INDEX('9 - Water Readings'!$F$8:$F$988,1+(2*(ROWS(A$1:A12)-1)))+INDEX('9 - Water Readings'!$M$8:$M$988,1+(2*(ROWS(A$1:A12)-1)))</f>
        <v>99.25</v>
      </c>
      <c r="H13" s="8">
        <v>1.5571912601017661</v>
      </c>
      <c r="I13" s="8">
        <f>'Submetering '!AA13</f>
        <v>0</v>
      </c>
      <c r="J13">
        <f>'Submetering '!AB13</f>
        <v>0</v>
      </c>
      <c r="K13">
        <f>'Submetering '!AC13</f>
        <v>14.4</v>
      </c>
    </row>
    <row r="14" spans="1:11" x14ac:dyDescent="0.25">
      <c r="A14" t="s">
        <v>11</v>
      </c>
      <c r="B14">
        <f t="shared" si="0"/>
        <v>13</v>
      </c>
      <c r="C14">
        <v>9</v>
      </c>
      <c r="D14">
        <v>2019</v>
      </c>
      <c r="E14" s="6">
        <f>0.75*INDEX('13 - Electrical Readings'!$H$8:$H$988,1+(2*(ROWS(A$1:A13)-1)))+INDEX('13 - Electrical Readings'!$Q$8:$Q$988,1+(2*(ROWS(A$1:A13)-1)))</f>
        <v>62459</v>
      </c>
      <c r="F14">
        <v>4.1000000000000002E-2</v>
      </c>
      <c r="G14" s="7">
        <f>0.75*INDEX('9 - Water Readings'!$F$8:$F$988,1+(2*(ROWS(A$1:A13)-1)))+INDEX('9 - Water Readings'!$M$8:$M$988,1+(2*(ROWS(A$1:A13)-1)))</f>
        <v>132</v>
      </c>
      <c r="H14" s="8">
        <v>1.5571912601017661</v>
      </c>
      <c r="I14" s="8">
        <f>'Submetering '!AA14</f>
        <v>0</v>
      </c>
      <c r="J14">
        <f>'Submetering '!AB14</f>
        <v>0</v>
      </c>
      <c r="K14">
        <f>'Submetering '!AC14</f>
        <v>14</v>
      </c>
    </row>
    <row r="15" spans="1:11" x14ac:dyDescent="0.25">
      <c r="A15" t="s">
        <v>11</v>
      </c>
      <c r="B15">
        <f t="shared" si="0"/>
        <v>14</v>
      </c>
      <c r="C15">
        <v>9</v>
      </c>
      <c r="D15">
        <v>2019</v>
      </c>
      <c r="E15" s="6">
        <f>0.75*INDEX('13 - Electrical Readings'!$H$8:$H$988,1+(2*(ROWS(A$1:A14)-1)))+INDEX('13 - Electrical Readings'!$Q$8:$Q$988,1+(2*(ROWS(A$1:A14)-1)))</f>
        <v>56571</v>
      </c>
      <c r="F15">
        <v>4.1000000000000002E-2</v>
      </c>
      <c r="G15" s="7">
        <f>0.75*INDEX('9 - Water Readings'!$F$8:$F$988,1+(2*(ROWS(A$1:A14)-1)))+INDEX('9 - Water Readings'!$M$8:$M$988,1+(2*(ROWS(A$1:A14)-1)))</f>
        <v>68</v>
      </c>
      <c r="H15" s="8">
        <v>1.5571912601017661</v>
      </c>
      <c r="I15" s="8">
        <f>'Submetering '!AA15</f>
        <v>0</v>
      </c>
      <c r="J15">
        <f>'Submetering '!AB15</f>
        <v>0</v>
      </c>
      <c r="K15">
        <f>'Submetering '!AC15</f>
        <v>14.3</v>
      </c>
    </row>
    <row r="16" spans="1:11" x14ac:dyDescent="0.25">
      <c r="A16" t="s">
        <v>11</v>
      </c>
      <c r="B16">
        <f t="shared" si="0"/>
        <v>15</v>
      </c>
      <c r="C16">
        <v>9</v>
      </c>
      <c r="D16">
        <v>2019</v>
      </c>
      <c r="E16" s="6">
        <f>0.75*INDEX('13 - Electrical Readings'!$H$8:$H$988,1+(2*(ROWS(A$1:A15)-1)))+INDEX('13 - Electrical Readings'!$Q$8:$Q$988,1+(2*(ROWS(A$1:A15)-1)))</f>
        <v>62824.75</v>
      </c>
      <c r="F16">
        <v>4.1000000000000002E-2</v>
      </c>
      <c r="G16" s="7">
        <f>0.75*INDEX('9 - Water Readings'!$F$8:$F$988,1+(2*(ROWS(A$1:A15)-1)))+INDEX('9 - Water Readings'!$M$8:$M$988,1+(2*(ROWS(A$1:A15)-1)))</f>
        <v>76</v>
      </c>
      <c r="H16" s="8">
        <v>1.5571912601017661</v>
      </c>
      <c r="I16" s="8">
        <f>'Submetering '!AA16</f>
        <v>0</v>
      </c>
      <c r="J16">
        <f>'Submetering '!AB16</f>
        <v>0</v>
      </c>
      <c r="K16">
        <f>'Submetering '!AC16</f>
        <v>12.8</v>
      </c>
    </row>
    <row r="17" spans="1:11" x14ac:dyDescent="0.25">
      <c r="A17" t="s">
        <v>11</v>
      </c>
      <c r="B17">
        <f t="shared" si="0"/>
        <v>16</v>
      </c>
      <c r="C17">
        <v>9</v>
      </c>
      <c r="D17">
        <v>2019</v>
      </c>
      <c r="E17" s="6">
        <f>0.75*INDEX('13 - Electrical Readings'!$H$8:$H$988,1+(2*(ROWS(A$1:A16)-1)))+INDEX('13 - Electrical Readings'!$Q$8:$Q$988,1+(2*(ROWS(A$1:A16)-1)))</f>
        <v>56871.5</v>
      </c>
      <c r="F17">
        <v>4.1000000000000002E-2</v>
      </c>
      <c r="G17" s="7">
        <f>0.75*INDEX('9 - Water Readings'!$F$8:$F$988,1+(2*(ROWS(A$1:A16)-1)))+INDEX('9 - Water Readings'!$M$8:$M$988,1+(2*(ROWS(A$1:A16)-1)))</f>
        <v>97.75</v>
      </c>
      <c r="H17" s="8">
        <v>1.5571912601017661</v>
      </c>
      <c r="I17" s="8">
        <f>'Submetering '!AA17</f>
        <v>0</v>
      </c>
      <c r="J17">
        <f>'Submetering '!AB17</f>
        <v>0</v>
      </c>
      <c r="K17">
        <f>'Submetering '!AC17</f>
        <v>13.4</v>
      </c>
    </row>
    <row r="18" spans="1:11" x14ac:dyDescent="0.25">
      <c r="A18" t="s">
        <v>11</v>
      </c>
      <c r="B18">
        <f t="shared" si="0"/>
        <v>17</v>
      </c>
      <c r="C18">
        <v>9</v>
      </c>
      <c r="D18">
        <v>2019</v>
      </c>
      <c r="E18" s="6">
        <f>0.75*INDEX('13 - Electrical Readings'!$H$8:$H$988,1+(2*(ROWS(A$1:A17)-1)))+INDEX('13 - Electrical Readings'!$Q$8:$Q$988,1+(2*(ROWS(A$1:A17)-1)))</f>
        <v>58169.25</v>
      </c>
      <c r="F18">
        <v>4.1000000000000002E-2</v>
      </c>
      <c r="G18" s="7">
        <f>0.75*INDEX('9 - Water Readings'!$F$8:$F$988,1+(2*(ROWS(A$1:A17)-1)))+INDEX('9 - Water Readings'!$M$8:$M$988,1+(2*(ROWS(A$1:A17)-1)))</f>
        <v>84.75</v>
      </c>
      <c r="H18" s="8">
        <v>1.5571912601017661</v>
      </c>
      <c r="I18" s="8">
        <f>'Submetering '!AA18</f>
        <v>0</v>
      </c>
      <c r="J18">
        <f>'Submetering '!AB18</f>
        <v>0</v>
      </c>
      <c r="K18">
        <f>'Submetering '!AC18</f>
        <v>13.6</v>
      </c>
    </row>
    <row r="19" spans="1:11" x14ac:dyDescent="0.25">
      <c r="A19" t="s">
        <v>11</v>
      </c>
      <c r="B19">
        <f t="shared" si="0"/>
        <v>18</v>
      </c>
      <c r="C19">
        <v>9</v>
      </c>
      <c r="D19">
        <v>2019</v>
      </c>
      <c r="E19" s="6">
        <f>0.75*INDEX('13 - Electrical Readings'!$H$8:$H$988,1+(2*(ROWS(A$1:A18)-1)))+INDEX('13 - Electrical Readings'!$Q$8:$Q$988,1+(2*(ROWS(A$1:A18)-1)))</f>
        <v>56776.5</v>
      </c>
      <c r="F19">
        <v>4.1000000000000002E-2</v>
      </c>
      <c r="G19" s="7">
        <f>0.75*INDEX('9 - Water Readings'!$F$8:$F$988,1+(2*(ROWS(A$1:A18)-1)))+INDEX('9 - Water Readings'!$M$8:$M$988,1+(2*(ROWS(A$1:A18)-1)))</f>
        <v>89</v>
      </c>
      <c r="H19" s="8">
        <v>1.5571912601017661</v>
      </c>
      <c r="I19" s="8">
        <f>'Submetering '!AA19</f>
        <v>0</v>
      </c>
      <c r="J19">
        <f>'Submetering '!AB19</f>
        <v>0</v>
      </c>
      <c r="K19">
        <f>'Submetering '!AC19</f>
        <v>14.3</v>
      </c>
    </row>
    <row r="20" spans="1:11" x14ac:dyDescent="0.25">
      <c r="A20" t="s">
        <v>11</v>
      </c>
      <c r="B20">
        <f t="shared" si="0"/>
        <v>19</v>
      </c>
      <c r="C20">
        <v>9</v>
      </c>
      <c r="D20">
        <v>2019</v>
      </c>
      <c r="E20" s="6">
        <f>0.75*INDEX('13 - Electrical Readings'!$H$8:$H$988,1+(2*(ROWS(A$1:A19)-1)))+INDEX('13 - Electrical Readings'!$Q$8:$Q$988,1+(2*(ROWS(A$1:A19)-1)))</f>
        <v>63798</v>
      </c>
      <c r="F20">
        <v>4.1000000000000002E-2</v>
      </c>
      <c r="G20" s="7">
        <f>0.75*INDEX('9 - Water Readings'!$F$8:$F$988,1+(2*(ROWS(A$1:A19)-1)))+INDEX('9 - Water Readings'!$M$8:$M$988,1+(2*(ROWS(A$1:A19)-1)))</f>
        <v>195</v>
      </c>
      <c r="H20" s="8">
        <v>1.5571912601017661</v>
      </c>
      <c r="I20" s="8">
        <f>'Submetering '!AA20</f>
        <v>0</v>
      </c>
      <c r="J20">
        <f>'Submetering '!AB20</f>
        <v>0</v>
      </c>
      <c r="K20">
        <f>'Submetering '!AC20</f>
        <v>13.6</v>
      </c>
    </row>
    <row r="21" spans="1:11" x14ac:dyDescent="0.25">
      <c r="A21" t="s">
        <v>11</v>
      </c>
      <c r="B21">
        <f t="shared" si="0"/>
        <v>20</v>
      </c>
      <c r="C21">
        <v>9</v>
      </c>
      <c r="D21">
        <v>2019</v>
      </c>
      <c r="E21" s="6">
        <f>0.75*INDEX('13 - Electrical Readings'!$H$8:$H$988,1+(2*(ROWS(A$1:A20)-1)))+INDEX('13 - Electrical Readings'!$Q$8:$Q$988,1+(2*(ROWS(A$1:A20)-1)))</f>
        <v>58179.25</v>
      </c>
      <c r="F21">
        <v>4.1000000000000002E-2</v>
      </c>
      <c r="G21" s="7">
        <f>0.75*INDEX('9 - Water Readings'!$F$8:$F$988,1+(2*(ROWS(A$1:A20)-1)))+INDEX('9 - Water Readings'!$M$8:$M$988,1+(2*(ROWS(A$1:A20)-1)))</f>
        <v>169</v>
      </c>
      <c r="H21" s="8">
        <v>1.5571912601017661</v>
      </c>
      <c r="I21" s="8">
        <f>'Submetering '!AA21</f>
        <v>0</v>
      </c>
      <c r="J21">
        <f>'Submetering '!AB21</f>
        <v>0</v>
      </c>
      <c r="K21">
        <f>'Submetering '!AC21</f>
        <v>13.4</v>
      </c>
    </row>
    <row r="22" spans="1:11" x14ac:dyDescent="0.25">
      <c r="A22" t="s">
        <v>11</v>
      </c>
      <c r="B22">
        <f t="shared" si="0"/>
        <v>21</v>
      </c>
      <c r="C22">
        <v>9</v>
      </c>
      <c r="D22">
        <v>2019</v>
      </c>
      <c r="E22" s="6">
        <f>0.75*INDEX('13 - Electrical Readings'!$H$8:$H$988,1+(2*(ROWS(A$1:A21)-1)))+INDEX('13 - Electrical Readings'!$Q$8:$Q$988,1+(2*(ROWS(A$1:A21)-1)))</f>
        <v>56754.25</v>
      </c>
      <c r="F22">
        <v>4.1000000000000002E-2</v>
      </c>
      <c r="G22" s="7">
        <f>0.75*INDEX('9 - Water Readings'!$F$8:$F$988,1+(2*(ROWS(A$1:A21)-1)))+INDEX('9 - Water Readings'!$M$8:$M$988,1+(2*(ROWS(A$1:A21)-1)))</f>
        <v>173</v>
      </c>
      <c r="H22" s="8">
        <v>1.5571912601017661</v>
      </c>
      <c r="I22" s="8">
        <f>'Submetering '!AA22</f>
        <v>0</v>
      </c>
      <c r="J22">
        <f>'Submetering '!AB22</f>
        <v>0</v>
      </c>
      <c r="K22">
        <f>'Submetering '!AC22</f>
        <v>14.4</v>
      </c>
    </row>
    <row r="23" spans="1:11" x14ac:dyDescent="0.25">
      <c r="A23" t="s">
        <v>11</v>
      </c>
      <c r="B23">
        <f t="shared" si="0"/>
        <v>22</v>
      </c>
      <c r="C23">
        <v>9</v>
      </c>
      <c r="D23">
        <v>2019</v>
      </c>
      <c r="E23" s="6">
        <f>0.75*INDEX('13 - Electrical Readings'!$H$8:$H$988,1+(2*(ROWS(A$1:A22)-1)))+INDEX('13 - Electrical Readings'!$Q$8:$Q$988,1+(2*(ROWS(A$1:A22)-1)))</f>
        <v>60184.25</v>
      </c>
      <c r="F23">
        <v>4.1000000000000002E-2</v>
      </c>
      <c r="G23" s="7">
        <f>0.75*INDEX('9 - Water Readings'!$F$8:$F$988,1+(2*(ROWS(A$1:A22)-1)))+INDEX('9 - Water Readings'!$M$8:$M$988,1+(2*(ROWS(A$1:A22)-1)))</f>
        <v>155.75</v>
      </c>
      <c r="H23" s="8">
        <v>1.5571912601017661</v>
      </c>
      <c r="I23" s="8">
        <f>'Submetering '!AA23</f>
        <v>0</v>
      </c>
      <c r="J23">
        <f>'Submetering '!AB23</f>
        <v>0</v>
      </c>
      <c r="K23">
        <f>'Submetering '!AC23</f>
        <v>13.8</v>
      </c>
    </row>
    <row r="24" spans="1:11" x14ac:dyDescent="0.25">
      <c r="A24" t="s">
        <v>11</v>
      </c>
      <c r="B24">
        <f t="shared" si="0"/>
        <v>23</v>
      </c>
      <c r="C24">
        <v>9</v>
      </c>
      <c r="D24">
        <v>2019</v>
      </c>
      <c r="E24" s="6">
        <f>0.75*INDEX('13 - Electrical Readings'!$H$8:$H$988,1+(2*(ROWS(A$1:A23)-1)))+INDEX('13 - Electrical Readings'!$Q$8:$Q$988,1+(2*(ROWS(A$1:A23)-1)))</f>
        <v>54183.25</v>
      </c>
      <c r="F24">
        <v>4.1000000000000002E-2</v>
      </c>
      <c r="G24" s="7">
        <f>0.75*INDEX('9 - Water Readings'!$F$8:$F$988,1+(2*(ROWS(A$1:A23)-1)))+INDEX('9 - Water Readings'!$M$8:$M$988,1+(2*(ROWS(A$1:A23)-1)))</f>
        <v>225</v>
      </c>
      <c r="H24" s="8">
        <v>1.5571912601017661</v>
      </c>
      <c r="I24" s="8">
        <f>'Submetering '!AA24</f>
        <v>0</v>
      </c>
      <c r="J24">
        <f>'Submetering '!AB24</f>
        <v>0</v>
      </c>
      <c r="K24">
        <f>'Submetering '!AC24</f>
        <v>14.5</v>
      </c>
    </row>
    <row r="25" spans="1:11" x14ac:dyDescent="0.25">
      <c r="A25" t="s">
        <v>11</v>
      </c>
      <c r="B25">
        <f t="shared" si="0"/>
        <v>24</v>
      </c>
      <c r="C25">
        <v>9</v>
      </c>
      <c r="D25">
        <v>2019</v>
      </c>
      <c r="E25" s="6">
        <f>0.75*INDEX('13 - Electrical Readings'!$H$8:$H$988,1+(2*(ROWS(A$1:A24)-1)))+INDEX('13 - Electrical Readings'!$Q$8:$Q$988,1+(2*(ROWS(A$1:A24)-1)))</f>
        <v>52816.75</v>
      </c>
      <c r="F25">
        <v>4.1000000000000002E-2</v>
      </c>
      <c r="G25" s="7">
        <f>0.75*INDEX('9 - Water Readings'!$F$8:$F$988,1+(2*(ROWS(A$1:A24)-1)))+INDEX('9 - Water Readings'!$M$8:$M$988,1+(2*(ROWS(A$1:A24)-1)))</f>
        <v>210.25</v>
      </c>
      <c r="H25" s="8">
        <v>1.5571912601017661</v>
      </c>
      <c r="I25" s="8">
        <f>'Submetering '!AA25</f>
        <v>0</v>
      </c>
      <c r="J25">
        <f>'Submetering '!AB25</f>
        <v>0</v>
      </c>
      <c r="K25">
        <f>'Submetering '!AC25</f>
        <v>13.2</v>
      </c>
    </row>
    <row r="26" spans="1:11" x14ac:dyDescent="0.25">
      <c r="A26" t="s">
        <v>11</v>
      </c>
      <c r="B26">
        <f>B25+1</f>
        <v>25</v>
      </c>
      <c r="C26">
        <v>9</v>
      </c>
      <c r="D26">
        <v>2019</v>
      </c>
      <c r="E26" s="6">
        <f>0.75*INDEX('13 - Electrical Readings'!$H$8:$H$988,1+(2*(ROWS(A$1:A25)-1)))+INDEX('13 - Electrical Readings'!$Q$8:$Q$988,1+(2*(ROWS(A$1:A25)-1)))</f>
        <v>56743</v>
      </c>
      <c r="F26">
        <v>4.1000000000000002E-2</v>
      </c>
      <c r="G26" s="7">
        <f>0.75*INDEX('9 - Water Readings'!$F$8:$F$988,1+(2*(ROWS(A$1:A25)-1)))+INDEX('9 - Water Readings'!$M$8:$M$988,1+(2*(ROWS(A$1:A25)-1)))</f>
        <v>185</v>
      </c>
      <c r="H26" s="8">
        <v>1.5571912601017661</v>
      </c>
      <c r="I26" s="8">
        <f>'Submetering '!AA26</f>
        <v>0</v>
      </c>
      <c r="J26">
        <f>'Submetering '!AB26</f>
        <v>0</v>
      </c>
      <c r="K26">
        <f>'Submetering '!AC26</f>
        <v>13.4</v>
      </c>
    </row>
    <row r="27" spans="1:11" x14ac:dyDescent="0.25">
      <c r="A27" t="s">
        <v>11</v>
      </c>
      <c r="B27">
        <f t="shared" si="0"/>
        <v>26</v>
      </c>
      <c r="C27">
        <v>9</v>
      </c>
      <c r="D27">
        <v>2019</v>
      </c>
      <c r="E27" s="6">
        <f>0.75*INDEX('13 - Electrical Readings'!$H$8:$H$988,1+(2*(ROWS(A$1:A26)-1)))+INDEX('13 - Electrical Readings'!$Q$8:$Q$988,1+(2*(ROWS(A$1:A26)-1)))</f>
        <v>56295</v>
      </c>
      <c r="F27">
        <v>4.1000000000000002E-2</v>
      </c>
      <c r="G27" s="7">
        <f>0.75*INDEX('9 - Water Readings'!$F$8:$F$988,1+(2*(ROWS(A$1:A26)-1)))+INDEX('9 - Water Readings'!$M$8:$M$988,1+(2*(ROWS(A$1:A26)-1)))</f>
        <v>168</v>
      </c>
      <c r="H27" s="8">
        <v>1.5571912601017661</v>
      </c>
      <c r="I27" s="8">
        <f>'Submetering '!AA27</f>
        <v>0</v>
      </c>
      <c r="J27">
        <f>'Submetering '!AB27</f>
        <v>0</v>
      </c>
      <c r="K27">
        <f>'Submetering '!AC27</f>
        <v>13.6</v>
      </c>
    </row>
    <row r="28" spans="1:11" x14ac:dyDescent="0.25">
      <c r="A28" t="s">
        <v>11</v>
      </c>
      <c r="B28">
        <f t="shared" si="0"/>
        <v>27</v>
      </c>
      <c r="C28">
        <v>9</v>
      </c>
      <c r="D28">
        <v>2019</v>
      </c>
      <c r="E28" s="6">
        <f>0.75*INDEX('13 - Electrical Readings'!$H$8:$H$988,1+(2*(ROWS(A$1:A27)-1)))+INDEX('13 - Electrical Readings'!$Q$8:$Q$988,1+(2*(ROWS(A$1:A27)-1)))</f>
        <v>53851.5</v>
      </c>
      <c r="F28">
        <v>4.1000000000000002E-2</v>
      </c>
      <c r="G28" s="7">
        <f>0.75*INDEX('9 - Water Readings'!$F$8:$F$988,1+(2*(ROWS(A$1:A27)-1)))+INDEX('9 - Water Readings'!$M$8:$M$988,1+(2*(ROWS(A$1:A27)-1)))</f>
        <v>173</v>
      </c>
      <c r="H28" s="8">
        <v>1.5571912601017661</v>
      </c>
      <c r="I28" s="8">
        <f>'Submetering '!AA28</f>
        <v>0</v>
      </c>
      <c r="J28">
        <f>'Submetering '!AB28</f>
        <v>0</v>
      </c>
      <c r="K28">
        <f>'Submetering '!AC28</f>
        <v>13.4</v>
      </c>
    </row>
    <row r="29" spans="1:11" x14ac:dyDescent="0.25">
      <c r="A29" t="s">
        <v>11</v>
      </c>
      <c r="B29">
        <f t="shared" si="0"/>
        <v>28</v>
      </c>
      <c r="C29">
        <v>9</v>
      </c>
      <c r="D29">
        <v>2019</v>
      </c>
      <c r="E29" s="6">
        <f>0.75*INDEX('13 - Electrical Readings'!$H$8:$H$988,1+(2*(ROWS(A$1:A28)-1)))+INDEX('13 - Electrical Readings'!$Q$8:$Q$988,1+(2*(ROWS(A$1:A28)-1)))</f>
        <v>53020.25</v>
      </c>
      <c r="F29">
        <v>4.1000000000000002E-2</v>
      </c>
      <c r="G29" s="7">
        <f>0.75*INDEX('9 - Water Readings'!$F$8:$F$988,1+(2*(ROWS(A$1:A28)-1)))+INDEX('9 - Water Readings'!$M$8:$M$988,1+(2*(ROWS(A$1:A28)-1)))</f>
        <v>167</v>
      </c>
      <c r="H29" s="8">
        <v>1.5571912601017661</v>
      </c>
      <c r="I29" s="8">
        <f>'Submetering '!AA29</f>
        <v>0</v>
      </c>
      <c r="J29">
        <f>'Submetering '!AB29</f>
        <v>0</v>
      </c>
      <c r="K29">
        <f>'Submetering '!AC29</f>
        <v>13.7</v>
      </c>
    </row>
    <row r="30" spans="1:11" x14ac:dyDescent="0.25">
      <c r="A30" t="s">
        <v>11</v>
      </c>
      <c r="B30">
        <f t="shared" si="0"/>
        <v>29</v>
      </c>
      <c r="C30">
        <v>9</v>
      </c>
      <c r="D30">
        <v>2019</v>
      </c>
      <c r="E30" s="6">
        <f>0.75*INDEX('13 - Electrical Readings'!$H$8:$H$988,1+(2*(ROWS(A$1:A29)-1)))+INDEX('13 - Electrical Readings'!$Q$8:$Q$988,1+(2*(ROWS(A$1:A29)-1)))</f>
        <v>52653.25</v>
      </c>
      <c r="F30">
        <v>4.1000000000000002E-2</v>
      </c>
      <c r="G30" s="7">
        <f>0.75*INDEX('9 - Water Readings'!$F$8:$F$988,1+(2*(ROWS(A$1:A29)-1)))+INDEX('9 - Water Readings'!$M$8:$M$988,1+(2*(ROWS(A$1:A29)-1)))</f>
        <v>162</v>
      </c>
      <c r="H30" s="8">
        <v>1.5571912601017661</v>
      </c>
      <c r="I30" s="8">
        <f>'Submetering '!AA30</f>
        <v>0</v>
      </c>
      <c r="J30">
        <f>'Submetering '!AB30</f>
        <v>0</v>
      </c>
      <c r="K30">
        <f>'Submetering '!AC30</f>
        <v>14.2</v>
      </c>
    </row>
    <row r="31" spans="1:11" x14ac:dyDescent="0.25">
      <c r="A31" t="s">
        <v>11</v>
      </c>
      <c r="B31">
        <f t="shared" si="0"/>
        <v>30</v>
      </c>
      <c r="C31">
        <v>9</v>
      </c>
      <c r="D31">
        <v>2019</v>
      </c>
      <c r="E31" s="6">
        <f>0.75*INDEX('13 - Electrical Readings'!$H$8:$H$988,1+(2*(ROWS(A$1:A30)-1)))+INDEX('13 - Electrical Readings'!$Q$8:$Q$988,1+(2*(ROWS(A$1:A30)-1)))</f>
        <v>52600</v>
      </c>
      <c r="F31">
        <v>4.1000000000000002E-2</v>
      </c>
      <c r="G31" s="7">
        <f>0.75*INDEX('9 - Water Readings'!$F$8:$F$988,1+(2*(ROWS(A$1:A30)-1)))+INDEX('9 - Water Readings'!$M$8:$M$988,1+(2*(ROWS(A$1:A30)-1)))</f>
        <v>170</v>
      </c>
      <c r="H31" s="8">
        <v>1.5571912601017661</v>
      </c>
      <c r="I31" s="8">
        <f>'Submetering '!AA31</f>
        <v>0</v>
      </c>
      <c r="J31">
        <f>'Submetering '!AB31</f>
        <v>0</v>
      </c>
      <c r="K31">
        <f>'Submetering '!AC31</f>
        <v>14</v>
      </c>
    </row>
    <row r="32" spans="1:11" x14ac:dyDescent="0.25">
      <c r="G32" s="9"/>
      <c r="H32" s="9"/>
      <c r="I32" s="9"/>
      <c r="J32" s="9"/>
      <c r="K32" s="9"/>
    </row>
    <row r="33" spans="5:9" x14ac:dyDescent="0.25">
      <c r="E33"/>
      <c r="I33" s="8"/>
    </row>
    <row r="34" spans="5:9" x14ac:dyDescent="0.25">
      <c r="E34"/>
    </row>
    <row r="35" spans="5:9" x14ac:dyDescent="0.25">
      <c r="E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topLeftCell="H1" workbookViewId="0">
      <selection activeCell="AC10" sqref="AC10"/>
    </sheetView>
  </sheetViews>
  <sheetFormatPr defaultColWidth="11.5703125" defaultRowHeight="15" x14ac:dyDescent="0.25"/>
  <cols>
    <col min="1" max="3" width="11.5703125" style="17" customWidth="1"/>
    <col min="4" max="4" width="13.42578125" style="18" customWidth="1"/>
    <col min="5" max="6" width="12.5703125" style="19" customWidth="1"/>
    <col min="7" max="14" width="12.5703125" style="18" customWidth="1"/>
    <col min="15" max="26" width="11.5703125" style="19" customWidth="1"/>
    <col min="27" max="16384" width="11.5703125" style="18"/>
  </cols>
  <sheetData>
    <row r="1" spans="1:29" s="16" customFormat="1" ht="45.75" thickTop="1" x14ac:dyDescent="0.25">
      <c r="A1" s="10" t="s">
        <v>0</v>
      </c>
      <c r="B1" s="10" t="s">
        <v>1</v>
      </c>
      <c r="C1" s="10" t="s">
        <v>2</v>
      </c>
      <c r="D1" s="11" t="s">
        <v>3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3" t="s">
        <v>18</v>
      </c>
      <c r="L1" s="13" t="s">
        <v>19</v>
      </c>
      <c r="M1" s="13" t="s">
        <v>20</v>
      </c>
      <c r="N1" s="13" t="s">
        <v>21</v>
      </c>
      <c r="O1" s="14" t="s">
        <v>22</v>
      </c>
      <c r="P1" s="14" t="s">
        <v>23</v>
      </c>
      <c r="Q1" s="14" t="s">
        <v>24</v>
      </c>
      <c r="R1" s="14" t="s">
        <v>25</v>
      </c>
      <c r="S1" s="14" t="s">
        <v>26</v>
      </c>
      <c r="T1" s="14" t="s">
        <v>27</v>
      </c>
      <c r="U1" s="14" t="s">
        <v>28</v>
      </c>
      <c r="V1" s="14" t="s">
        <v>29</v>
      </c>
      <c r="W1" s="14" t="s">
        <v>30</v>
      </c>
      <c r="X1" s="14" t="s">
        <v>31</v>
      </c>
      <c r="Y1" s="14" t="s">
        <v>32</v>
      </c>
      <c r="Z1" s="14" t="s">
        <v>33</v>
      </c>
      <c r="AA1" s="15" t="s">
        <v>8</v>
      </c>
      <c r="AB1" s="15" t="s">
        <v>9</v>
      </c>
      <c r="AC1" s="15" t="s">
        <v>10</v>
      </c>
    </row>
    <row r="2" spans="1:29" x14ac:dyDescent="0.25">
      <c r="A2" s="17" t="s">
        <v>11</v>
      </c>
      <c r="B2" s="17">
        <v>1</v>
      </c>
      <c r="C2" s="17">
        <v>9</v>
      </c>
      <c r="D2" s="18">
        <v>2019</v>
      </c>
      <c r="E2" s="19">
        <f>INDEX('13 - Electrical Readings'!$C$8:$C$988,1+(2*(ROWS(A$1:A1)-1)))</f>
        <v>9121</v>
      </c>
      <c r="F2" s="19">
        <f>INDEX('13 - Electrical Readings'!$D$6:$D$988,1+(2*(ROWS(A$1:A2)-1)))</f>
        <v>11322</v>
      </c>
      <c r="G2" s="18">
        <f>INDEX('13 - Electrical Readings'!$E$6:$E$988,1+(2*(ROWS(A$1:A2)-1)))</f>
        <v>9316</v>
      </c>
      <c r="H2" s="18">
        <f>INDEX('13 - Electrical Readings'!$F$6:$F$988,1+(2*(ROWS(A$1:A2)-1)))</f>
        <v>5296</v>
      </c>
      <c r="I2" s="19">
        <f>INDEX('13 - Electrical Readings'!$G$6:$G$988,1+(2*(ROWS(A$1:A2)-1)))</f>
        <v>12</v>
      </c>
      <c r="J2" s="18">
        <f>INDEX('13 - Electrical Readings'!$I$6:$I$988,1+(2*(ROWS(A$1:A2)-1)))</f>
        <v>1999</v>
      </c>
      <c r="K2" s="18">
        <f>INDEX('13 - Electrical Readings'!$J$6:$J$988,1+(2*(ROWS(B$1:B2)-1)))</f>
        <v>5166</v>
      </c>
      <c r="L2" s="18">
        <f>INDEX('13 - Electrical Readings'!$K$6:$K$988,1+(2*(ROWS(C$1:C2)-1)))</f>
        <v>1966</v>
      </c>
      <c r="M2" s="18">
        <f>INDEX('13 - Electrical Readings'!$L$6:$L$988,1+(2*(ROWS(D$1:D2)-1)))</f>
        <v>2570</v>
      </c>
      <c r="N2" s="18">
        <f>INDEX('13 - Electrical Readings'!$M$6:$M$988,1+(2*(ROWS(E$1:E2)-1)))</f>
        <v>6019</v>
      </c>
      <c r="O2" s="19">
        <f>INDEX('13 - Electrical Readings'!$N$6:$N$988,1+(2*(ROWS(E$1:E2)-1)))</f>
        <v>8719</v>
      </c>
      <c r="P2" s="19">
        <f>INDEX('13 - Electrical Readings'!$O$6:$O$988,1+(2*(ROWS(E$1:E2)-1)))</f>
        <v>3454</v>
      </c>
      <c r="Q2" s="19">
        <f>INDEX('13 - Electrical Readings'!$P$6:$P$988,1+(2*(ROWS(F$1:F2)-1)))</f>
        <v>1930</v>
      </c>
      <c r="R2" s="19">
        <f>INDEX('9 - Water Readings'!$C$8:$C$988,1+(2*(ROWS(A$1:A1)-1)))</f>
        <v>0</v>
      </c>
      <c r="S2" s="19">
        <f>INDEX('9 - Water Readings'!$D$8:$D$987,1+(2*(ROWS(A$1:A1)-1)))</f>
        <v>0</v>
      </c>
      <c r="T2" s="19">
        <f>INDEX('9 - Water Readings'!$E$8:$E$988,1+(2*(ROWS(A$1:A1)-1)))</f>
        <v>5</v>
      </c>
      <c r="U2" s="19">
        <f>INDEX('9 - Water Readings'!$G$8:$G$987,1+(2*(ROWS(A$1:A1)-1)))</f>
        <v>0</v>
      </c>
      <c r="V2" s="19">
        <f>INDEX('9 - Water Readings'!$H$8:$H$988,1+(2*(ROWS(A$1:A1)-1)))</f>
        <v>0</v>
      </c>
      <c r="W2" s="19">
        <f>INDEX('9 - Water Readings'!$I$8:$I$988,1+(2*(ROWS(A$1:A1)-1)))</f>
        <v>58</v>
      </c>
      <c r="X2" s="19">
        <f>INDEX('9 - Water Readings'!$J$8:$J$988,1+(2*(ROWS(A$1:A1)-1)))</f>
        <v>127</v>
      </c>
      <c r="Y2" s="19">
        <f>INDEX('9 - Water Readings'!$K$8:$K$988,1+(2*(ROWS(A$1:A1)-1)))</f>
        <v>0</v>
      </c>
      <c r="Z2" s="19">
        <f>INDEX('9 - Water Readings'!$L$8:$L$988,1+(2*(ROWS(A$1:A1)-1)))</f>
        <v>34</v>
      </c>
      <c r="AA2" s="20">
        <f>'9 - Water Readings'!Q7</f>
        <v>0</v>
      </c>
      <c r="AB2" s="18">
        <f>'9 - Water Readings'!R7</f>
        <v>0</v>
      </c>
      <c r="AC2">
        <f>'9 - Water Readings'!S7</f>
        <v>17.3</v>
      </c>
    </row>
    <row r="3" spans="1:29" x14ac:dyDescent="0.25">
      <c r="A3" s="17" t="s">
        <v>11</v>
      </c>
      <c r="B3" s="17">
        <f>B2+1</f>
        <v>2</v>
      </c>
      <c r="C3" s="17">
        <v>9</v>
      </c>
      <c r="D3" s="18">
        <v>2019</v>
      </c>
      <c r="E3" s="19">
        <f>INDEX('13 - Electrical Readings'!$C$8:$C$988,1+(2*(ROWS(A$1:A2)-1)))</f>
        <v>19878</v>
      </c>
      <c r="F3" s="19">
        <f>INDEX('13 - Electrical Readings'!$D$6:$D$988,1+(2*(ROWS(A$1:A3)-1)))</f>
        <v>13404</v>
      </c>
      <c r="G3" s="18">
        <f>INDEX('13 - Electrical Readings'!$E$6:$E$988,1+(2*(ROWS(A$1:A3)-1)))</f>
        <v>4691</v>
      </c>
      <c r="H3" s="18">
        <f>INDEX('13 - Electrical Readings'!$F$6:$F$988,1+(2*(ROWS(A$1:A3)-1)))</f>
        <v>5356</v>
      </c>
      <c r="I3" s="19">
        <f>INDEX('13 - Electrical Readings'!$G$6:$G$988,1+(2*(ROWS(A$1:A3)-1)))</f>
        <v>15</v>
      </c>
      <c r="J3" s="18">
        <f>INDEX('13 - Electrical Readings'!$I$6:$I$988,1+(2*(ROWS(A$1:A3)-1)))</f>
        <v>2023</v>
      </c>
      <c r="K3" s="18">
        <f>INDEX('13 - Electrical Readings'!$J$6:$J$988,1+(2*(ROWS(B$1:B3)-1)))</f>
        <v>5238</v>
      </c>
      <c r="L3" s="18">
        <f>INDEX('13 - Electrical Readings'!$K$6:$K$988,1+(2*(ROWS(C$1:C3)-1)))</f>
        <v>1855</v>
      </c>
      <c r="M3" s="18">
        <f>INDEX('13 - Electrical Readings'!$L$6:$L$988,1+(2*(ROWS(D$1:D3)-1)))</f>
        <v>2530</v>
      </c>
      <c r="N3" s="18">
        <f>INDEX('13 - Electrical Readings'!$M$6:$M$988,1+(2*(ROWS(E$1:E3)-1)))</f>
        <v>5966</v>
      </c>
      <c r="O3" s="19">
        <f>INDEX('13 - Electrical Readings'!$N$6:$N$988,1+(2*(ROWS(E$1:E3)-1)))</f>
        <v>8779</v>
      </c>
      <c r="P3" s="19">
        <f>INDEX('13 - Electrical Readings'!$O$6:$O$988,1+(2*(ROWS(E$1:E3)-1)))</f>
        <v>3448</v>
      </c>
      <c r="Q3" s="19">
        <f>INDEX('13 - Electrical Readings'!$P$6:$P$988,1+(2*(ROWS(F$1:F3)-1)))</f>
        <v>2540</v>
      </c>
      <c r="R3" s="19">
        <f>INDEX('9 - Water Readings'!$C$8:$C$988,1+(2*(ROWS(A$1:A2)-1)))</f>
        <v>0</v>
      </c>
      <c r="S3" s="19">
        <f>INDEX('9 - Water Readings'!$D$8:$D$987,1+(2*(ROWS(A$1:A2)-1)))</f>
        <v>0</v>
      </c>
      <c r="T3" s="19">
        <f>INDEX('9 - Water Readings'!$E$8:$E$988,1+(2*(ROWS(A$1:A2)-1)))</f>
        <v>8</v>
      </c>
      <c r="U3" s="19">
        <f>INDEX('9 - Water Readings'!$G$8:$G$987,1+(2*(ROWS(A$1:A2)-1)))</f>
        <v>0</v>
      </c>
      <c r="V3" s="19">
        <f>INDEX('9 - Water Readings'!$H$8:$H$988,1+(2*(ROWS(A$1:A2)-1)))</f>
        <v>0</v>
      </c>
      <c r="W3" s="19">
        <f>INDEX('9 - Water Readings'!$I$8:$I$988,1+(2*(ROWS(A$1:A2)-1)))</f>
        <v>53</v>
      </c>
      <c r="X3" s="19">
        <f>INDEX('9 - Water Readings'!$J$8:$J$988,1+(2*(ROWS(A$1:A2)-1)))</f>
        <v>104</v>
      </c>
      <c r="Y3" s="19">
        <f>INDEX('9 - Water Readings'!$K$8:$K$988,1+(2*(ROWS(A$1:A2)-1)))</f>
        <v>0</v>
      </c>
      <c r="Z3" s="19">
        <f>INDEX('9 - Water Readings'!$L$8:$L$988,1+(2*(ROWS(A$1:A2)-1)))</f>
        <v>46</v>
      </c>
      <c r="AA3" s="20">
        <f>'9 - Water Readings'!Q8</f>
        <v>0</v>
      </c>
      <c r="AB3" s="18">
        <f>'9 - Water Readings'!R8</f>
        <v>0</v>
      </c>
      <c r="AC3">
        <f>'9 - Water Readings'!S8</f>
        <v>15</v>
      </c>
    </row>
    <row r="4" spans="1:29" x14ac:dyDescent="0.25">
      <c r="A4" s="17" t="s">
        <v>11</v>
      </c>
      <c r="B4" s="17">
        <f t="shared" ref="B4:B31" si="0">B3+1</f>
        <v>3</v>
      </c>
      <c r="C4" s="17">
        <v>9</v>
      </c>
      <c r="D4" s="18">
        <v>2019</v>
      </c>
      <c r="E4" s="19">
        <f>INDEX('13 - Electrical Readings'!$C$8:$C$988,1+(2*(ROWS(A$1:A3)-1)))</f>
        <v>18933</v>
      </c>
      <c r="F4" s="19">
        <f>INDEX('13 - Electrical Readings'!$D$6:$D$988,1+(2*(ROWS(A$1:A4)-1)))</f>
        <v>12726</v>
      </c>
      <c r="G4" s="18">
        <f>INDEX('13 - Electrical Readings'!$E$6:$E$988,1+(2*(ROWS(A$1:A4)-1)))</f>
        <v>4511</v>
      </c>
      <c r="H4" s="18">
        <f>INDEX('13 - Electrical Readings'!$F$6:$F$988,1+(2*(ROWS(A$1:A4)-1)))</f>
        <v>5282</v>
      </c>
      <c r="I4" s="19">
        <f>INDEX('13 - Electrical Readings'!$G$6:$G$988,1+(2*(ROWS(A$1:A4)-1)))</f>
        <v>14</v>
      </c>
      <c r="J4" s="18">
        <f>INDEX('13 - Electrical Readings'!$I$6:$I$988,1+(2*(ROWS(A$1:A4)-1)))</f>
        <v>1981</v>
      </c>
      <c r="K4" s="18">
        <f>INDEX('13 - Electrical Readings'!$J$6:$J$988,1+(2*(ROWS(B$1:B4)-1)))</f>
        <v>5187</v>
      </c>
      <c r="L4" s="18">
        <f>INDEX('13 - Electrical Readings'!$K$6:$K$988,1+(2*(ROWS(C$1:C4)-1)))</f>
        <v>1824</v>
      </c>
      <c r="M4" s="18">
        <f>INDEX('13 - Electrical Readings'!$L$6:$L$988,1+(2*(ROWS(D$1:D4)-1)))</f>
        <v>2317</v>
      </c>
      <c r="N4" s="18">
        <f>INDEX('13 - Electrical Readings'!$M$6:$M$988,1+(2*(ROWS(E$1:E4)-1)))</f>
        <v>5847</v>
      </c>
      <c r="O4" s="19">
        <f>INDEX('13 - Electrical Readings'!$N$6:$N$988,1+(2*(ROWS(E$1:E4)-1)))</f>
        <v>8161</v>
      </c>
      <c r="P4" s="19">
        <f>INDEX('13 - Electrical Readings'!$O$6:$O$988,1+(2*(ROWS(E$1:E4)-1)))</f>
        <v>3932</v>
      </c>
      <c r="Q4" s="19">
        <f>INDEX('13 - Electrical Readings'!$P$6:$P$988,1+(2*(ROWS(F$1:F4)-1)))</f>
        <v>2490</v>
      </c>
      <c r="R4" s="19">
        <f>INDEX('9 - Water Readings'!$C$8:$C$988,1+(2*(ROWS(A$1:A3)-1)))</f>
        <v>0</v>
      </c>
      <c r="S4" s="19">
        <f>INDEX('9 - Water Readings'!$D$8:$D$987,1+(2*(ROWS(A$1:A3)-1)))</f>
        <v>0</v>
      </c>
      <c r="T4" s="19">
        <f>INDEX('9 - Water Readings'!$E$8:$E$988,1+(2*(ROWS(A$1:A3)-1)))</f>
        <v>4</v>
      </c>
      <c r="U4" s="19">
        <f>INDEX('9 - Water Readings'!$G$8:$G$987,1+(2*(ROWS(A$1:A3)-1)))</f>
        <v>0</v>
      </c>
      <c r="V4" s="19">
        <f>INDEX('9 - Water Readings'!$H$8:$H$988,1+(2*(ROWS(A$1:A3)-1)))</f>
        <v>0</v>
      </c>
      <c r="W4" s="19">
        <f>INDEX('9 - Water Readings'!$I$8:$I$988,1+(2*(ROWS(A$1:A3)-1)))</f>
        <v>49</v>
      </c>
      <c r="X4" s="19">
        <f>INDEX('9 - Water Readings'!$J$8:$J$988,1+(2*(ROWS(A$1:A3)-1)))</f>
        <v>110</v>
      </c>
      <c r="Y4" s="19">
        <f>INDEX('9 - Water Readings'!$K$8:$K$988,1+(2*(ROWS(A$1:A3)-1)))</f>
        <v>0</v>
      </c>
      <c r="Z4" s="19">
        <f>INDEX('9 - Water Readings'!$L$8:$L$988,1+(2*(ROWS(A$1:A3)-1)))</f>
        <v>38</v>
      </c>
      <c r="AA4" s="20">
        <f>'9 - Water Readings'!Q9</f>
        <v>0</v>
      </c>
      <c r="AB4" s="18">
        <f>'9 - Water Readings'!R9</f>
        <v>0</v>
      </c>
      <c r="AC4">
        <f>'9 - Water Readings'!S9</f>
        <v>14</v>
      </c>
    </row>
    <row r="5" spans="1:29" x14ac:dyDescent="0.25">
      <c r="A5" s="17" t="s">
        <v>11</v>
      </c>
      <c r="B5" s="17">
        <f t="shared" si="0"/>
        <v>4</v>
      </c>
      <c r="C5" s="17">
        <v>9</v>
      </c>
      <c r="D5" s="18">
        <v>2019</v>
      </c>
      <c r="E5" s="19">
        <f>INDEX('13 - Electrical Readings'!$C$8:$C$988,1+(2*(ROWS(A$1:A4)-1)))</f>
        <v>17434</v>
      </c>
      <c r="F5" s="19">
        <f>INDEX('13 - Electrical Readings'!$D$6:$D$988,1+(2*(ROWS(A$1:A5)-1)))</f>
        <v>11736</v>
      </c>
      <c r="G5" s="18">
        <f>INDEX('13 - Electrical Readings'!$E$6:$E$988,1+(2*(ROWS(A$1:A5)-1)))</f>
        <v>4650</v>
      </c>
      <c r="H5" s="18">
        <f>INDEX('13 - Electrical Readings'!$F$6:$F$988,1+(2*(ROWS(A$1:A5)-1)))</f>
        <v>5416</v>
      </c>
      <c r="I5" s="19">
        <f>INDEX('13 - Electrical Readings'!$G$6:$G$988,1+(2*(ROWS(A$1:A5)-1)))</f>
        <v>13</v>
      </c>
      <c r="J5" s="18">
        <f>INDEX('13 - Electrical Readings'!$I$6:$I$988,1+(2*(ROWS(A$1:A5)-1)))</f>
        <v>2104</v>
      </c>
      <c r="K5" s="18">
        <f>INDEX('13 - Electrical Readings'!$J$6:$J$988,1+(2*(ROWS(B$1:B5)-1)))</f>
        <v>5349</v>
      </c>
      <c r="L5" s="18">
        <f>INDEX('13 - Electrical Readings'!$K$6:$K$988,1+(2*(ROWS(C$1:C5)-1)))</f>
        <v>1824</v>
      </c>
      <c r="M5" s="18">
        <f>INDEX('13 - Electrical Readings'!$L$6:$L$988,1+(2*(ROWS(D$1:D5)-1)))</f>
        <v>2411</v>
      </c>
      <c r="N5" s="18">
        <f>INDEX('13 - Electrical Readings'!$M$6:$M$988,1+(2*(ROWS(E$1:E5)-1)))</f>
        <v>6047</v>
      </c>
      <c r="O5" s="19">
        <f>INDEX('13 - Electrical Readings'!$N$6:$N$988,1+(2*(ROWS(E$1:E5)-1)))</f>
        <v>8736</v>
      </c>
      <c r="P5" s="19">
        <f>INDEX('13 - Electrical Readings'!$O$6:$O$988,1+(2*(ROWS(E$1:E5)-1)))</f>
        <v>4066</v>
      </c>
      <c r="Q5" s="19">
        <f>INDEX('13 - Electrical Readings'!$P$6:$P$988,1+(2*(ROWS(F$1:F5)-1)))</f>
        <v>2560</v>
      </c>
      <c r="R5" s="19">
        <f>INDEX('9 - Water Readings'!$C$8:$C$988,1+(2*(ROWS(A$1:A4)-1)))</f>
        <v>0</v>
      </c>
      <c r="S5" s="19">
        <f>INDEX('9 - Water Readings'!$D$8:$D$987,1+(2*(ROWS(A$1:A4)-1)))</f>
        <v>0</v>
      </c>
      <c r="T5" s="19">
        <f>INDEX('9 - Water Readings'!$E$8:$E$988,1+(2*(ROWS(A$1:A4)-1)))</f>
        <v>3</v>
      </c>
      <c r="U5" s="19">
        <f>INDEX('9 - Water Readings'!$G$8:$G$987,1+(2*(ROWS(A$1:A4)-1)))</f>
        <v>0</v>
      </c>
      <c r="V5" s="19">
        <f>INDEX('9 - Water Readings'!$H$8:$H$988,1+(2*(ROWS(A$1:A4)-1)))</f>
        <v>0</v>
      </c>
      <c r="W5" s="19">
        <f>INDEX('9 - Water Readings'!$I$8:$I$988,1+(2*(ROWS(A$1:A4)-1)))</f>
        <v>59</v>
      </c>
      <c r="X5" s="19">
        <f>INDEX('9 - Water Readings'!$J$8:$J$988,1+(2*(ROWS(A$1:A4)-1)))</f>
        <v>119</v>
      </c>
      <c r="Y5" s="19">
        <f>INDEX('9 - Water Readings'!$K$8:$K$988,1+(2*(ROWS(A$1:A4)-1)))</f>
        <v>0</v>
      </c>
      <c r="Z5" s="19">
        <f>INDEX('9 - Water Readings'!$L$8:$L$988,1+(2*(ROWS(A$1:A4)-1)))</f>
        <v>42</v>
      </c>
      <c r="AA5" s="20">
        <f>'9 - Water Readings'!Q10</f>
        <v>0</v>
      </c>
      <c r="AB5" s="18">
        <f>'9 - Water Readings'!R10</f>
        <v>0</v>
      </c>
      <c r="AC5">
        <f>'9 - Water Readings'!S10</f>
        <v>16.600000000000001</v>
      </c>
    </row>
    <row r="6" spans="1:29" x14ac:dyDescent="0.25">
      <c r="A6" s="17" t="s">
        <v>11</v>
      </c>
      <c r="B6" s="17">
        <f t="shared" si="0"/>
        <v>5</v>
      </c>
      <c r="C6" s="17">
        <v>9</v>
      </c>
      <c r="D6" s="18">
        <v>2019</v>
      </c>
      <c r="E6" s="19">
        <f>INDEX('13 - Electrical Readings'!$C$8:$C$988,1+(2*(ROWS(A$1:A5)-1)))</f>
        <v>18010</v>
      </c>
      <c r="F6" s="19">
        <f>INDEX('13 - Electrical Readings'!$D$6:$D$988,1+(2*(ROWS(A$1:A6)-1)))</f>
        <v>6534</v>
      </c>
      <c r="G6" s="18">
        <f>INDEX('13 - Electrical Readings'!$E$6:$E$988,1+(2*(ROWS(A$1:A6)-1)))</f>
        <v>4516</v>
      </c>
      <c r="H6" s="18">
        <f>INDEX('13 - Electrical Readings'!$F$6:$F$988,1+(2*(ROWS(A$1:A6)-1)))</f>
        <v>10733</v>
      </c>
      <c r="I6" s="19">
        <f>INDEX('13 - Electrical Readings'!$G$6:$G$988,1+(2*(ROWS(A$1:A6)-1)))</f>
        <v>12</v>
      </c>
      <c r="J6" s="18">
        <f>INDEX('13 - Electrical Readings'!$I$6:$I$988,1+(2*(ROWS(A$1:A6)-1)))</f>
        <v>1966</v>
      </c>
      <c r="K6" s="18">
        <f>INDEX('13 - Electrical Readings'!$J$6:$J$988,1+(2*(ROWS(B$1:B6)-1)))</f>
        <v>5210</v>
      </c>
      <c r="L6" s="18">
        <f>INDEX('13 - Electrical Readings'!$K$6:$K$988,1+(2*(ROWS(C$1:C6)-1)))</f>
        <v>1790</v>
      </c>
      <c r="M6" s="18">
        <f>INDEX('13 - Electrical Readings'!$L$6:$L$988,1+(2*(ROWS(D$1:D6)-1)))</f>
        <v>2320</v>
      </c>
      <c r="N6" s="18">
        <f>INDEX('13 - Electrical Readings'!$M$6:$M$988,1+(2*(ROWS(E$1:E6)-1)))</f>
        <v>5893</v>
      </c>
      <c r="O6" s="19">
        <f>INDEX('13 - Electrical Readings'!$N$6:$N$988,1+(2*(ROWS(E$1:E6)-1)))</f>
        <v>8761</v>
      </c>
      <c r="P6" s="19">
        <f>INDEX('13 - Electrical Readings'!$O$6:$O$988,1+(2*(ROWS(E$1:E6)-1)))</f>
        <v>3770</v>
      </c>
      <c r="Q6" s="19">
        <f>INDEX('13 - Electrical Readings'!$P$6:$P$988,1+(2*(ROWS(F$1:F6)-1)))</f>
        <v>2880</v>
      </c>
      <c r="R6" s="19">
        <f>INDEX('9 - Water Readings'!$C$8:$C$988,1+(2*(ROWS(A$1:A5)-1)))</f>
        <v>0</v>
      </c>
      <c r="S6" s="19">
        <f>INDEX('9 - Water Readings'!$D$8:$D$987,1+(2*(ROWS(A$1:A5)-1)))</f>
        <v>4</v>
      </c>
      <c r="T6" s="19">
        <f>INDEX('9 - Water Readings'!$E$8:$E$988,1+(2*(ROWS(A$1:A5)-1)))</f>
        <v>3</v>
      </c>
      <c r="U6" s="19">
        <f>INDEX('9 - Water Readings'!$G$8:$G$987,1+(2*(ROWS(A$1:A5)-1)))</f>
        <v>0</v>
      </c>
      <c r="V6" s="19">
        <f>INDEX('9 - Water Readings'!$H$8:$H$988,1+(2*(ROWS(A$1:A5)-1)))</f>
        <v>0</v>
      </c>
      <c r="W6" s="19">
        <f>INDEX('9 - Water Readings'!$I$8:$I$988,1+(2*(ROWS(A$1:A5)-1)))</f>
        <v>57</v>
      </c>
      <c r="X6" s="19">
        <f>INDEX('9 - Water Readings'!$J$8:$J$988,1+(2*(ROWS(A$1:A5)-1)))</f>
        <v>105</v>
      </c>
      <c r="Y6" s="19">
        <f>INDEX('9 - Water Readings'!$K$8:$K$988,1+(2*(ROWS(A$1:A5)-1)))</f>
        <v>0</v>
      </c>
      <c r="Z6" s="19">
        <f>INDEX('9 - Water Readings'!$L$8:$L$988,1+(2*(ROWS(A$1:A5)-1)))</f>
        <v>40</v>
      </c>
      <c r="AA6" s="20">
        <f>'9 - Water Readings'!Q11</f>
        <v>0</v>
      </c>
      <c r="AB6" s="18">
        <f>'9 - Water Readings'!R11</f>
        <v>0</v>
      </c>
      <c r="AC6">
        <f>'9 - Water Readings'!S11</f>
        <v>15.5</v>
      </c>
    </row>
    <row r="7" spans="1:29" x14ac:dyDescent="0.25">
      <c r="A7" s="17" t="s">
        <v>11</v>
      </c>
      <c r="B7" s="17">
        <f t="shared" si="0"/>
        <v>6</v>
      </c>
      <c r="C7" s="17">
        <v>9</v>
      </c>
      <c r="D7" s="18">
        <v>2019</v>
      </c>
      <c r="E7" s="19">
        <f>INDEX('13 - Electrical Readings'!$C$8:$C$988,1+(2*(ROWS(A$1:A6)-1)))</f>
        <v>18982</v>
      </c>
      <c r="F7" s="19">
        <f>INDEX('13 - Electrical Readings'!$D$6:$D$988,1+(2*(ROWS(A$1:A7)-1)))</f>
        <v>587</v>
      </c>
      <c r="G7" s="18">
        <f>INDEX('13 - Electrical Readings'!$E$6:$E$988,1+(2*(ROWS(A$1:A7)-1)))</f>
        <v>4547</v>
      </c>
      <c r="H7" s="18">
        <f>INDEX('13 - Electrical Readings'!$F$6:$F$988,1+(2*(ROWS(A$1:A7)-1)))</f>
        <v>17159</v>
      </c>
      <c r="I7" s="19">
        <f>INDEX('13 - Electrical Readings'!$G$6:$G$988,1+(2*(ROWS(A$1:A7)-1)))</f>
        <v>12</v>
      </c>
      <c r="J7" s="18">
        <f>INDEX('13 - Electrical Readings'!$I$6:$I$988,1+(2*(ROWS(A$1:A7)-1)))</f>
        <v>2058</v>
      </c>
      <c r="K7" s="18">
        <f>INDEX('13 - Electrical Readings'!$J$6:$J$988,1+(2*(ROWS(B$1:B7)-1)))</f>
        <v>5426</v>
      </c>
      <c r="L7" s="18">
        <f>INDEX('13 - Electrical Readings'!$K$6:$K$988,1+(2*(ROWS(C$1:C7)-1)))</f>
        <v>1862</v>
      </c>
      <c r="M7" s="18">
        <f>INDEX('13 - Electrical Readings'!$L$6:$L$988,1+(2*(ROWS(D$1:D7)-1)))</f>
        <v>2456</v>
      </c>
      <c r="N7" s="18">
        <f>INDEX('13 - Electrical Readings'!$M$6:$M$988,1+(2*(ROWS(E$1:E7)-1)))</f>
        <v>5401</v>
      </c>
      <c r="O7" s="19">
        <f>INDEX('13 - Electrical Readings'!$N$6:$N$988,1+(2*(ROWS(E$1:E7)-1)))</f>
        <v>9247</v>
      </c>
      <c r="P7" s="19">
        <f>INDEX('13 - Electrical Readings'!$O$6:$O$988,1+(2*(ROWS(E$1:E7)-1)))</f>
        <v>3660</v>
      </c>
      <c r="Q7" s="19">
        <f>INDEX('13 - Electrical Readings'!$P$6:$P$988,1+(2*(ROWS(F$1:F7)-1)))</f>
        <v>3010</v>
      </c>
      <c r="R7" s="19">
        <f>INDEX('9 - Water Readings'!$C$8:$C$988,1+(2*(ROWS(A$1:A6)-1)))</f>
        <v>0</v>
      </c>
      <c r="S7" s="19">
        <f>INDEX('9 - Water Readings'!$D$8:$D$987,1+(2*(ROWS(A$1:A6)-1)))</f>
        <v>0</v>
      </c>
      <c r="T7" s="19">
        <f>INDEX('9 - Water Readings'!$E$8:$E$988,1+(2*(ROWS(A$1:A6)-1)))</f>
        <v>6</v>
      </c>
      <c r="U7" s="19">
        <f>INDEX('9 - Water Readings'!$G$8:$G$987,1+(2*(ROWS(A$1:A6)-1)))</f>
        <v>0</v>
      </c>
      <c r="V7" s="19">
        <f>INDEX('9 - Water Readings'!$H$8:$H$988,1+(2*(ROWS(A$1:A6)-1)))</f>
        <v>0</v>
      </c>
      <c r="W7" s="19">
        <f>INDEX('9 - Water Readings'!$I$8:$I$988,1+(2*(ROWS(A$1:A6)-1)))</f>
        <v>75</v>
      </c>
      <c r="X7" s="19">
        <f>INDEX('9 - Water Readings'!$J$8:$J$988,1+(2*(ROWS(A$1:A6)-1)))</f>
        <v>97</v>
      </c>
      <c r="Y7" s="19">
        <f>INDEX('9 - Water Readings'!$K$8:$K$988,1+(2*(ROWS(A$1:A6)-1)))</f>
        <v>0</v>
      </c>
      <c r="Z7" s="19">
        <f>INDEX('9 - Water Readings'!$L$8:$L$988,1+(2*(ROWS(A$1:A6)-1)))</f>
        <v>49</v>
      </c>
      <c r="AA7" s="20">
        <f>'9 - Water Readings'!Q12</f>
        <v>0</v>
      </c>
      <c r="AB7" s="18">
        <f>'9 - Water Readings'!R12</f>
        <v>0</v>
      </c>
      <c r="AC7">
        <f>'9 - Water Readings'!S12</f>
        <v>14.4</v>
      </c>
    </row>
    <row r="8" spans="1:29" x14ac:dyDescent="0.25">
      <c r="A8" s="17" t="s">
        <v>11</v>
      </c>
      <c r="B8" s="17">
        <f t="shared" si="0"/>
        <v>7</v>
      </c>
      <c r="C8" s="17">
        <v>9</v>
      </c>
      <c r="D8" s="18">
        <v>2019</v>
      </c>
      <c r="E8" s="19">
        <f>INDEX('13 - Electrical Readings'!$C$8:$C$988,1+(2*(ROWS(A$1:A7)-1)))</f>
        <v>16562</v>
      </c>
      <c r="F8" s="19">
        <f>INDEX('13 - Electrical Readings'!$D$6:$D$988,1+(2*(ROWS(A$1:A8)-1)))</f>
        <v>621</v>
      </c>
      <c r="G8" s="18">
        <f>INDEX('13 - Electrical Readings'!$E$6:$E$988,1+(2*(ROWS(A$1:A8)-1)))</f>
        <v>4491</v>
      </c>
      <c r="H8" s="18">
        <f>INDEX('13 - Electrical Readings'!$F$6:$F$988,1+(2*(ROWS(A$1:A8)-1)))</f>
        <v>16063</v>
      </c>
      <c r="I8" s="19">
        <f>INDEX('13 - Electrical Readings'!$G$6:$G$988,1+(2*(ROWS(A$1:A8)-1)))</f>
        <v>18</v>
      </c>
      <c r="J8" s="18">
        <f>INDEX('13 - Electrical Readings'!$I$6:$I$988,1+(2*(ROWS(A$1:A8)-1)))</f>
        <v>1976</v>
      </c>
      <c r="K8" s="18">
        <f>INDEX('13 - Electrical Readings'!$J$6:$J$988,1+(2*(ROWS(B$1:B8)-1)))</f>
        <v>4887</v>
      </c>
      <c r="L8" s="18">
        <f>INDEX('13 - Electrical Readings'!$K$6:$K$988,1+(2*(ROWS(C$1:C8)-1)))</f>
        <v>1747</v>
      </c>
      <c r="M8" s="18">
        <f>INDEX('13 - Electrical Readings'!$L$6:$L$988,1+(2*(ROWS(D$1:D8)-1)))</f>
        <v>2312</v>
      </c>
      <c r="N8" s="18">
        <f>INDEX('13 - Electrical Readings'!$M$6:$M$988,1+(2*(ROWS(E$1:E8)-1)))</f>
        <v>5461</v>
      </c>
      <c r="O8" s="19">
        <f>INDEX('13 - Electrical Readings'!$N$6:$N$988,1+(2*(ROWS(E$1:E8)-1)))</f>
        <v>8292</v>
      </c>
      <c r="P8" s="19">
        <f>INDEX('13 - Electrical Readings'!$O$6:$O$988,1+(2*(ROWS(E$1:E8)-1)))</f>
        <v>3915</v>
      </c>
      <c r="Q8" s="19">
        <f>INDEX('13 - Electrical Readings'!$P$6:$P$988,1+(2*(ROWS(F$1:F8)-1)))</f>
        <v>2740</v>
      </c>
      <c r="R8" s="19">
        <f>INDEX('9 - Water Readings'!$C$8:$C$988,1+(2*(ROWS(A$1:A7)-1)))</f>
        <v>1</v>
      </c>
      <c r="S8" s="19">
        <f>INDEX('9 - Water Readings'!$D$8:$D$987,1+(2*(ROWS(A$1:A7)-1)))</f>
        <v>0</v>
      </c>
      <c r="T8" s="19">
        <f>INDEX('9 - Water Readings'!$E$8:$E$988,1+(2*(ROWS(A$1:A7)-1)))</f>
        <v>4</v>
      </c>
      <c r="U8" s="19">
        <f>INDEX('9 - Water Readings'!$G$8:$G$987,1+(2*(ROWS(A$1:A7)-1)))</f>
        <v>0</v>
      </c>
      <c r="V8" s="19">
        <f>INDEX('9 - Water Readings'!$H$8:$H$988,1+(2*(ROWS(A$1:A7)-1)))</f>
        <v>0</v>
      </c>
      <c r="W8" s="19">
        <f>INDEX('9 - Water Readings'!$I$8:$I$988,1+(2*(ROWS(A$1:A7)-1)))</f>
        <v>39</v>
      </c>
      <c r="X8" s="19">
        <f>INDEX('9 - Water Readings'!$J$8:$J$988,1+(2*(ROWS(A$1:A7)-1)))</f>
        <v>113</v>
      </c>
      <c r="Y8" s="19">
        <f>INDEX('9 - Water Readings'!$K$8:$K$988,1+(2*(ROWS(A$1:A7)-1)))</f>
        <v>0</v>
      </c>
      <c r="Z8" s="19">
        <f>INDEX('9 - Water Readings'!$L$8:$L$988,1+(2*(ROWS(A$1:A7)-1)))</f>
        <v>48</v>
      </c>
      <c r="AA8" s="20">
        <f>'9 - Water Readings'!Q13</f>
        <v>0</v>
      </c>
      <c r="AB8" s="18">
        <f>'9 - Water Readings'!R13</f>
        <v>0</v>
      </c>
      <c r="AC8">
        <f>'9 - Water Readings'!S13</f>
        <v>17.8</v>
      </c>
    </row>
    <row r="9" spans="1:29" x14ac:dyDescent="0.25">
      <c r="A9" s="17" t="s">
        <v>11</v>
      </c>
      <c r="B9" s="17">
        <f t="shared" si="0"/>
        <v>8</v>
      </c>
      <c r="C9" s="17">
        <v>9</v>
      </c>
      <c r="D9" s="18">
        <v>2019</v>
      </c>
      <c r="E9" s="19">
        <f>INDEX('13 - Electrical Readings'!$C$8:$C$988,1+(2*(ROWS(A$1:A8)-1)))</f>
        <v>11029</v>
      </c>
      <c r="F9" s="19">
        <f>INDEX('13 - Electrical Readings'!$D$6:$D$988,1+(2*(ROWS(A$1:A9)-1)))</f>
        <v>594</v>
      </c>
      <c r="G9" s="18">
        <f>INDEX('13 - Electrical Readings'!$E$6:$E$988,1+(2*(ROWS(A$1:A9)-1)))</f>
        <v>3879</v>
      </c>
      <c r="H9" s="18">
        <f>INDEX('13 - Electrical Readings'!$F$6:$F$988,1+(2*(ROWS(A$1:A9)-1)))</f>
        <v>16741</v>
      </c>
      <c r="I9" s="19">
        <f>INDEX('13 - Electrical Readings'!$G$6:$G$988,1+(2*(ROWS(A$1:A9)-1)))</f>
        <v>17</v>
      </c>
      <c r="J9" s="18">
        <f>INDEX('13 - Electrical Readings'!$I$6:$I$988,1+(2*(ROWS(A$1:A9)-1)))</f>
        <v>2027</v>
      </c>
      <c r="K9" s="18">
        <f>INDEX('13 - Electrical Readings'!$J$6:$J$988,1+(2*(ROWS(B$1:B9)-1)))</f>
        <v>4919</v>
      </c>
      <c r="L9" s="18">
        <f>INDEX('13 - Electrical Readings'!$K$6:$K$988,1+(2*(ROWS(C$1:C9)-1)))</f>
        <v>1820</v>
      </c>
      <c r="M9" s="18">
        <f>INDEX('13 - Electrical Readings'!$L$6:$L$988,1+(2*(ROWS(D$1:D9)-1)))</f>
        <v>2416</v>
      </c>
      <c r="N9" s="18">
        <f>INDEX('13 - Electrical Readings'!$M$6:$M$988,1+(2*(ROWS(E$1:E9)-1)))</f>
        <v>5791</v>
      </c>
      <c r="O9" s="19">
        <f>INDEX('13 - Electrical Readings'!$N$6:$N$988,1+(2*(ROWS(E$1:E9)-1)))</f>
        <v>7737</v>
      </c>
      <c r="P9" s="19">
        <f>INDEX('13 - Electrical Readings'!$O$6:$O$988,1+(2*(ROWS(E$1:E9)-1)))</f>
        <v>3888</v>
      </c>
      <c r="Q9" s="19">
        <f>INDEX('13 - Electrical Readings'!$P$6:$P$988,1+(2*(ROWS(F$1:F9)-1)))</f>
        <v>2620</v>
      </c>
      <c r="R9" s="19">
        <f>INDEX('9 - Water Readings'!$C$8:$C$988,1+(2*(ROWS(A$1:A8)-1)))</f>
        <v>0</v>
      </c>
      <c r="S9" s="19">
        <f>INDEX('9 - Water Readings'!$D$8:$D$987,1+(2*(ROWS(A$1:A8)-1)))</f>
        <v>0</v>
      </c>
      <c r="T9" s="19">
        <f>INDEX('9 - Water Readings'!$E$8:$E$988,1+(2*(ROWS(A$1:A8)-1)))</f>
        <v>7</v>
      </c>
      <c r="U9" s="19">
        <f>INDEX('9 - Water Readings'!$G$8:$G$987,1+(2*(ROWS(A$1:A8)-1)))</f>
        <v>0</v>
      </c>
      <c r="V9" s="19">
        <f>INDEX('9 - Water Readings'!$H$8:$H$988,1+(2*(ROWS(A$1:A8)-1)))</f>
        <v>0</v>
      </c>
      <c r="W9" s="19">
        <f>INDEX('9 - Water Readings'!$I$8:$I$988,1+(2*(ROWS(A$1:A8)-1)))</f>
        <v>7</v>
      </c>
      <c r="X9" s="19">
        <f>INDEX('9 - Water Readings'!$J$8:$J$988,1+(2*(ROWS(A$1:A8)-1)))</f>
        <v>117</v>
      </c>
      <c r="Y9" s="19">
        <f>INDEX('9 - Water Readings'!$K$8:$K$988,1+(2*(ROWS(A$1:A8)-1)))</f>
        <v>0</v>
      </c>
      <c r="Z9" s="19">
        <f>INDEX('9 - Water Readings'!$L$8:$L$988,1+(2*(ROWS(A$1:A8)-1)))</f>
        <v>65</v>
      </c>
      <c r="AA9" s="20">
        <f>'9 - Water Readings'!Q14</f>
        <v>0</v>
      </c>
      <c r="AB9" s="18">
        <f>'9 - Water Readings'!R14</f>
        <v>0</v>
      </c>
      <c r="AC9">
        <f>'9 - Water Readings'!S14</f>
        <v>17</v>
      </c>
    </row>
    <row r="10" spans="1:29" x14ac:dyDescent="0.25">
      <c r="A10" s="17" t="s">
        <v>11</v>
      </c>
      <c r="B10" s="17">
        <f t="shared" si="0"/>
        <v>9</v>
      </c>
      <c r="C10" s="17">
        <v>9</v>
      </c>
      <c r="D10" s="18">
        <v>2019</v>
      </c>
      <c r="E10" s="19">
        <f>INDEX('13 - Electrical Readings'!$C$8:$C$988,1+(2*(ROWS(A$1:A9)-1)))</f>
        <v>5</v>
      </c>
      <c r="F10" s="19">
        <f>INDEX('13 - Electrical Readings'!$D$6:$D$988,1+(2*(ROWS(A$1:A10)-1)))</f>
        <v>6528</v>
      </c>
      <c r="G10" s="18">
        <f>INDEX('13 - Electrical Readings'!$E$6:$E$988,1+(2*(ROWS(A$1:A10)-1)))</f>
        <v>7544</v>
      </c>
      <c r="H10" s="18">
        <f>INDEX('13 - Electrical Readings'!$F$6:$F$988,1+(2*(ROWS(A$1:A10)-1)))</f>
        <v>12428</v>
      </c>
      <c r="I10" s="19">
        <f>INDEX('13 - Electrical Readings'!$G$6:$G$988,1+(2*(ROWS(A$1:A10)-1)))</f>
        <v>13</v>
      </c>
      <c r="J10" s="18">
        <f>INDEX('13 - Electrical Readings'!$I$6:$I$988,1+(2*(ROWS(A$1:A10)-1)))</f>
        <v>2086</v>
      </c>
      <c r="K10" s="18">
        <f>INDEX('13 - Electrical Readings'!$J$6:$J$988,1+(2*(ROWS(B$1:B10)-1)))</f>
        <v>5248</v>
      </c>
      <c r="L10" s="18">
        <f>INDEX('13 - Electrical Readings'!$K$6:$K$988,1+(2*(ROWS(C$1:C10)-1)))</f>
        <v>1554</v>
      </c>
      <c r="M10" s="18">
        <f>INDEX('13 - Electrical Readings'!$L$6:$L$988,1+(2*(ROWS(D$1:D10)-1)))</f>
        <v>2343</v>
      </c>
      <c r="N10" s="18">
        <f>INDEX('13 - Electrical Readings'!$M$6:$M$988,1+(2*(ROWS(E$1:E10)-1)))</f>
        <v>5795</v>
      </c>
      <c r="O10" s="19">
        <f>INDEX('13 - Electrical Readings'!$N$6:$N$988,1+(2*(ROWS(E$1:E10)-1)))</f>
        <v>7756</v>
      </c>
      <c r="P10" s="19">
        <f>INDEX('13 - Electrical Readings'!$O$6:$O$988,1+(2*(ROWS(E$1:E10)-1)))</f>
        <v>3895</v>
      </c>
      <c r="Q10" s="19">
        <f>INDEX('13 - Electrical Readings'!$P$6:$P$988,1+(2*(ROWS(F$1:F10)-1)))</f>
        <v>2600</v>
      </c>
      <c r="R10" s="19">
        <f>INDEX('9 - Water Readings'!$C$8:$C$988,1+(2*(ROWS(A$1:A9)-1)))</f>
        <v>0</v>
      </c>
      <c r="S10" s="19">
        <f>INDEX('9 - Water Readings'!$D$8:$D$987,1+(2*(ROWS(A$1:A9)-1)))</f>
        <v>0</v>
      </c>
      <c r="T10" s="19">
        <f>INDEX('9 - Water Readings'!$E$8:$E$988,1+(2*(ROWS(A$1:A9)-1)))</f>
        <v>4</v>
      </c>
      <c r="U10" s="19">
        <f>INDEX('9 - Water Readings'!$G$8:$G$987,1+(2*(ROWS(A$1:A9)-1)))</f>
        <v>0</v>
      </c>
      <c r="V10" s="19">
        <f>INDEX('9 - Water Readings'!$H$8:$H$988,1+(2*(ROWS(A$1:A9)-1)))</f>
        <v>0</v>
      </c>
      <c r="W10" s="19">
        <f>INDEX('9 - Water Readings'!$I$8:$I$988,1+(2*(ROWS(A$1:A9)-1)))</f>
        <v>8</v>
      </c>
      <c r="X10" s="19">
        <f>INDEX('9 - Water Readings'!$J$8:$J$988,1+(2*(ROWS(A$1:A9)-1)))</f>
        <v>47</v>
      </c>
      <c r="Y10" s="19">
        <f>INDEX('9 - Water Readings'!$K$8:$K$988,1+(2*(ROWS(A$1:A9)-1)))</f>
        <v>0</v>
      </c>
      <c r="Z10" s="19">
        <f>INDEX('9 - Water Readings'!$L$8:$L$988,1+(2*(ROWS(A$1:A9)-1)))</f>
        <v>58</v>
      </c>
      <c r="AA10" s="20">
        <f>'9 - Water Readings'!Q15</f>
        <v>0</v>
      </c>
      <c r="AB10" s="18">
        <f>'9 - Water Readings'!R15</f>
        <v>0</v>
      </c>
      <c r="AC10">
        <f>'9 - Water Readings'!S15</f>
        <v>15.9</v>
      </c>
    </row>
    <row r="11" spans="1:29" x14ac:dyDescent="0.25">
      <c r="A11" s="17" t="s">
        <v>11</v>
      </c>
      <c r="B11" s="17">
        <f t="shared" si="0"/>
        <v>10</v>
      </c>
      <c r="C11" s="17">
        <v>9</v>
      </c>
      <c r="D11" s="18">
        <v>2019</v>
      </c>
      <c r="E11" s="19">
        <f>INDEX('13 - Electrical Readings'!$C$8:$C$988,1+(2*(ROWS(A$1:A10)-1)))</f>
        <v>4</v>
      </c>
      <c r="F11" s="19">
        <f>INDEX('13 - Electrical Readings'!$D$6:$D$988,1+(2*(ROWS(A$1:A11)-1)))</f>
        <v>12708</v>
      </c>
      <c r="G11" s="18">
        <f>INDEX('13 - Electrical Readings'!$E$6:$E$988,1+(2*(ROWS(A$1:A11)-1)))</f>
        <v>11199</v>
      </c>
      <c r="H11" s="18">
        <f>INDEX('13 - Electrical Readings'!$F$6:$F$988,1+(2*(ROWS(A$1:A11)-1)))</f>
        <v>5238</v>
      </c>
      <c r="I11" s="19">
        <f>INDEX('13 - Electrical Readings'!$G$6:$G$988,1+(2*(ROWS(A$1:A11)-1)))</f>
        <v>16</v>
      </c>
      <c r="J11" s="18">
        <f>INDEX('13 - Electrical Readings'!$I$6:$I$988,1+(2*(ROWS(A$1:A11)-1)))</f>
        <v>1993</v>
      </c>
      <c r="K11" s="18">
        <f>INDEX('13 - Electrical Readings'!$J$6:$J$988,1+(2*(ROWS(B$1:B11)-1)))</f>
        <v>5269</v>
      </c>
      <c r="L11" s="18">
        <f>INDEX('13 - Electrical Readings'!$K$6:$K$988,1+(2*(ROWS(C$1:C11)-1)))</f>
        <v>1602</v>
      </c>
      <c r="M11" s="18">
        <f>INDEX('13 - Electrical Readings'!$L$6:$L$988,1+(2*(ROWS(D$1:D11)-1)))</f>
        <v>2228</v>
      </c>
      <c r="N11" s="18">
        <f>INDEX('13 - Electrical Readings'!$M$6:$M$988,1+(2*(ROWS(E$1:E11)-1)))</f>
        <v>5725</v>
      </c>
      <c r="O11" s="19">
        <f>INDEX('13 - Electrical Readings'!$N$6:$N$988,1+(2*(ROWS(E$1:E11)-1)))</f>
        <v>7790</v>
      </c>
      <c r="P11" s="19">
        <f>INDEX('13 - Electrical Readings'!$O$6:$O$988,1+(2*(ROWS(E$1:E11)-1)))</f>
        <v>3617</v>
      </c>
      <c r="Q11" s="19">
        <f>INDEX('13 - Electrical Readings'!$P$6:$P$988,1+(2*(ROWS(F$1:F11)-1)))</f>
        <v>2910</v>
      </c>
      <c r="R11" s="19">
        <f>INDEX('9 - Water Readings'!$C$8:$C$988,1+(2*(ROWS(A$1:A10)-1)))</f>
        <v>0</v>
      </c>
      <c r="S11" s="19">
        <f>INDEX('9 - Water Readings'!$D$8:$D$987,1+(2*(ROWS(A$1:A10)-1)))</f>
        <v>0</v>
      </c>
      <c r="T11" s="19">
        <f>INDEX('9 - Water Readings'!$E$8:$E$988,1+(2*(ROWS(A$1:A10)-1)))</f>
        <v>3</v>
      </c>
      <c r="U11" s="19">
        <f>INDEX('9 - Water Readings'!$G$8:$G$987,1+(2*(ROWS(A$1:A10)-1)))</f>
        <v>0</v>
      </c>
      <c r="V11" s="19">
        <f>INDEX('9 - Water Readings'!$H$8:$H$988,1+(2*(ROWS(A$1:A10)-1)))</f>
        <v>0</v>
      </c>
      <c r="W11" s="19">
        <f>INDEX('9 - Water Readings'!$I$8:$I$988,1+(2*(ROWS(A$1:A10)-1)))</f>
        <v>13</v>
      </c>
      <c r="X11" s="19">
        <f>INDEX('9 - Water Readings'!$J$8:$J$988,1+(2*(ROWS(A$1:A10)-1)))</f>
        <v>0</v>
      </c>
      <c r="Y11" s="19">
        <f>INDEX('9 - Water Readings'!$K$8:$K$988,1+(2*(ROWS(A$1:A10)-1)))</f>
        <v>0</v>
      </c>
      <c r="Z11" s="19">
        <f>INDEX('9 - Water Readings'!$L$8:$L$988,1+(2*(ROWS(A$1:A10)-1)))</f>
        <v>117</v>
      </c>
      <c r="AA11" s="20">
        <f>'9 - Water Readings'!Q16</f>
        <v>0</v>
      </c>
      <c r="AB11" s="18">
        <f>'9 - Water Readings'!R16</f>
        <v>0</v>
      </c>
      <c r="AC11">
        <f>'9 - Water Readings'!S16</f>
        <v>14.2</v>
      </c>
    </row>
    <row r="12" spans="1:29" x14ac:dyDescent="0.25">
      <c r="A12" s="17" t="s">
        <v>11</v>
      </c>
      <c r="B12" s="17">
        <f t="shared" si="0"/>
        <v>11</v>
      </c>
      <c r="C12" s="17">
        <v>9</v>
      </c>
      <c r="D12" s="18">
        <v>2019</v>
      </c>
      <c r="E12" s="19">
        <f>INDEX('13 - Electrical Readings'!$C$8:$C$988,1+(2*(ROWS(A$1:A11)-1)))</f>
        <v>7436</v>
      </c>
      <c r="F12" s="19">
        <f>INDEX('13 - Electrical Readings'!$D$6:$D$988,1+(2*(ROWS(A$1:A12)-1)))</f>
        <v>5253</v>
      </c>
      <c r="G12" s="18">
        <f>INDEX('13 - Electrical Readings'!$E$6:$E$988,1+(2*(ROWS(A$1:A12)-1)))</f>
        <v>8849</v>
      </c>
      <c r="H12" s="18">
        <f>INDEX('13 - Electrical Readings'!$F$6:$F$988,1+(2*(ROWS(A$1:A12)-1)))</f>
        <v>5108</v>
      </c>
      <c r="I12" s="19">
        <f>INDEX('13 - Electrical Readings'!$G$6:$G$988,1+(2*(ROWS(A$1:A12)-1)))</f>
        <v>8925</v>
      </c>
      <c r="J12" s="18">
        <f>INDEX('13 - Electrical Readings'!$I$6:$I$988,1+(2*(ROWS(A$1:A12)-1)))</f>
        <v>1989</v>
      </c>
      <c r="K12" s="18">
        <f>INDEX('13 - Electrical Readings'!$J$6:$J$988,1+(2*(ROWS(B$1:B12)-1)))</f>
        <v>5286</v>
      </c>
      <c r="L12" s="18">
        <f>INDEX('13 - Electrical Readings'!$K$6:$K$988,1+(2*(ROWS(C$1:C12)-1)))</f>
        <v>1568</v>
      </c>
      <c r="M12" s="18">
        <f>INDEX('13 - Electrical Readings'!$L$6:$L$988,1+(2*(ROWS(D$1:D12)-1)))</f>
        <v>2195</v>
      </c>
      <c r="N12" s="18">
        <f>INDEX('13 - Electrical Readings'!$M$6:$M$988,1+(2*(ROWS(E$1:E12)-1)))</f>
        <v>5789</v>
      </c>
      <c r="O12" s="19">
        <f>INDEX('13 - Electrical Readings'!$N$6:$N$988,1+(2*(ROWS(E$1:E12)-1)))</f>
        <v>7881</v>
      </c>
      <c r="P12" s="19">
        <f>INDEX('13 - Electrical Readings'!$O$6:$O$988,1+(2*(ROWS(E$1:E12)-1)))</f>
        <v>3691</v>
      </c>
      <c r="Q12" s="19">
        <f>INDEX('13 - Electrical Readings'!$P$6:$P$988,1+(2*(ROWS(F$1:F12)-1)))</f>
        <v>2020</v>
      </c>
      <c r="R12" s="19">
        <f>INDEX('9 - Water Readings'!$C$8:$C$988,1+(2*(ROWS(A$1:A11)-1)))</f>
        <v>1</v>
      </c>
      <c r="S12" s="19">
        <f>INDEX('9 - Water Readings'!$D$8:$D$987,1+(2*(ROWS(A$1:A11)-1)))</f>
        <v>0</v>
      </c>
      <c r="T12" s="19">
        <f>INDEX('9 - Water Readings'!$E$8:$E$988,1+(2*(ROWS(A$1:A11)-1)))</f>
        <v>3</v>
      </c>
      <c r="U12" s="19">
        <f>INDEX('9 - Water Readings'!$G$8:$G$987,1+(2*(ROWS(A$1:A11)-1)))</f>
        <v>0</v>
      </c>
      <c r="V12" s="19">
        <f>INDEX('9 - Water Readings'!$H$8:$H$988,1+(2*(ROWS(A$1:A11)-1)))</f>
        <v>0</v>
      </c>
      <c r="W12" s="19">
        <f>INDEX('9 - Water Readings'!$I$8:$I$988,1+(2*(ROWS(A$1:A11)-1)))</f>
        <v>12</v>
      </c>
      <c r="X12" s="19">
        <f>INDEX('9 - Water Readings'!$J$8:$J$988,1+(2*(ROWS(A$1:A11)-1)))</f>
        <v>0</v>
      </c>
      <c r="Y12" s="19">
        <f>INDEX('9 - Water Readings'!$K$8:$K$988,1+(2*(ROWS(A$1:A11)-1)))</f>
        <v>0</v>
      </c>
      <c r="Z12" s="19">
        <f>INDEX('9 - Water Readings'!$L$8:$L$988,1+(2*(ROWS(A$1:A11)-1)))</f>
        <v>92</v>
      </c>
      <c r="AA12" s="20">
        <f>'9 - Water Readings'!Q17</f>
        <v>0</v>
      </c>
      <c r="AB12" s="18">
        <f>'9 - Water Readings'!R17</f>
        <v>0</v>
      </c>
      <c r="AC12">
        <f>'9 - Water Readings'!S17</f>
        <v>14.4</v>
      </c>
    </row>
    <row r="13" spans="1:29" x14ac:dyDescent="0.25">
      <c r="A13" s="17" t="s">
        <v>11</v>
      </c>
      <c r="B13" s="17">
        <f t="shared" si="0"/>
        <v>12</v>
      </c>
      <c r="C13" s="17">
        <v>9</v>
      </c>
      <c r="D13" s="18">
        <v>2019</v>
      </c>
      <c r="E13" s="19">
        <f>INDEX('13 - Electrical Readings'!$C$8:$C$988,1+(2*(ROWS(A$1:A12)-1)))</f>
        <v>10787</v>
      </c>
      <c r="F13" s="19">
        <f>INDEX('13 - Electrical Readings'!$D$6:$D$988,1+(2*(ROWS(A$1:A13)-1)))</f>
        <v>637</v>
      </c>
      <c r="G13" s="18">
        <f>INDEX('13 - Electrical Readings'!$E$6:$E$988,1+(2*(ROWS(A$1:A13)-1)))</f>
        <v>3890</v>
      </c>
      <c r="H13" s="18">
        <f>INDEX('13 - Electrical Readings'!$F$6:$F$988,1+(2*(ROWS(A$1:A13)-1)))</f>
        <v>5036</v>
      </c>
      <c r="I13" s="19">
        <f>INDEX('13 - Electrical Readings'!$G$6:$G$988,1+(2*(ROWS(A$1:A13)-1)))</f>
        <v>18708</v>
      </c>
      <c r="J13" s="18">
        <f>INDEX('13 - Electrical Readings'!$I$6:$I$988,1+(2*(ROWS(A$1:A13)-1)))</f>
        <v>2017</v>
      </c>
      <c r="K13" s="18">
        <f>INDEX('13 - Electrical Readings'!$J$6:$J$988,1+(2*(ROWS(B$1:B13)-1)))</f>
        <v>5215</v>
      </c>
      <c r="L13" s="18">
        <f>INDEX('13 - Electrical Readings'!$K$6:$K$988,1+(2*(ROWS(C$1:C13)-1)))</f>
        <v>1502</v>
      </c>
      <c r="M13" s="18">
        <f>INDEX('13 - Electrical Readings'!$L$6:$L$988,1+(2*(ROWS(D$1:D13)-1)))</f>
        <v>2068</v>
      </c>
      <c r="N13" s="18">
        <f>INDEX('13 - Electrical Readings'!$M$6:$M$988,1+(2*(ROWS(E$1:E13)-1)))</f>
        <v>5750</v>
      </c>
      <c r="O13" s="19">
        <f>INDEX('13 - Electrical Readings'!$N$6:$N$988,1+(2*(ROWS(E$1:E13)-1)))</f>
        <v>7820</v>
      </c>
      <c r="P13" s="19">
        <f>INDEX('13 - Electrical Readings'!$O$6:$O$988,1+(2*(ROWS(E$1:E13)-1)))</f>
        <v>3514</v>
      </c>
      <c r="Q13" s="19">
        <f>INDEX('13 - Electrical Readings'!$P$6:$P$988,1+(2*(ROWS(F$1:F13)-1)))</f>
        <v>2600</v>
      </c>
      <c r="R13" s="19">
        <f>INDEX('9 - Water Readings'!$C$8:$C$988,1+(2*(ROWS(A$1:A12)-1)))</f>
        <v>0</v>
      </c>
      <c r="S13" s="19">
        <f>INDEX('9 - Water Readings'!$D$8:$D$987,1+(2*(ROWS(A$1:A12)-1)))</f>
        <v>0</v>
      </c>
      <c r="T13" s="19">
        <f>INDEX('9 - Water Readings'!$E$8:$E$988,1+(2*(ROWS(A$1:A12)-1)))</f>
        <v>3</v>
      </c>
      <c r="U13" s="19">
        <f>INDEX('9 - Water Readings'!$G$8:$G$987,1+(2*(ROWS(A$1:A12)-1)))</f>
        <v>0</v>
      </c>
      <c r="V13" s="19">
        <f>INDEX('9 - Water Readings'!$H$8:$H$988,1+(2*(ROWS(A$1:A12)-1)))</f>
        <v>0</v>
      </c>
      <c r="W13" s="19">
        <f>INDEX('9 - Water Readings'!$I$8:$I$988,1+(2*(ROWS(A$1:A12)-1)))</f>
        <v>14</v>
      </c>
      <c r="X13" s="19">
        <f>INDEX('9 - Water Readings'!$J$8:$J$988,1+(2*(ROWS(A$1:A12)-1)))</f>
        <v>0</v>
      </c>
      <c r="Y13" s="19">
        <f>INDEX('9 - Water Readings'!$K$8:$K$988,1+(2*(ROWS(A$1:A12)-1)))</f>
        <v>0</v>
      </c>
      <c r="Z13" s="19">
        <f>INDEX('9 - Water Readings'!$L$8:$L$988,1+(2*(ROWS(A$1:A12)-1)))</f>
        <v>83</v>
      </c>
      <c r="AA13" s="20">
        <f>'9 - Water Readings'!Q18</f>
        <v>0</v>
      </c>
      <c r="AB13" s="18">
        <f>'9 - Water Readings'!R18</f>
        <v>0</v>
      </c>
      <c r="AC13">
        <f>'9 - Water Readings'!S18</f>
        <v>14.4</v>
      </c>
    </row>
    <row r="14" spans="1:29" x14ac:dyDescent="0.25">
      <c r="A14" s="17" t="s">
        <v>11</v>
      </c>
      <c r="B14" s="17">
        <f t="shared" si="0"/>
        <v>13</v>
      </c>
      <c r="C14" s="17">
        <v>9</v>
      </c>
      <c r="D14" s="18">
        <v>2019</v>
      </c>
      <c r="E14" s="19">
        <f>INDEX('13 - Electrical Readings'!$C$8:$C$988,1+(2*(ROWS(A$1:A13)-1)))</f>
        <v>16073</v>
      </c>
      <c r="F14" s="19">
        <f>INDEX('13 - Electrical Readings'!$D$6:$D$988,1+(2*(ROWS(A$1:A14)-1)))</f>
        <v>4000</v>
      </c>
      <c r="G14" s="18">
        <f>INDEX('13 - Electrical Readings'!$E$6:$E$988,1+(2*(ROWS(A$1:A14)-1)))</f>
        <v>4615</v>
      </c>
      <c r="H14" s="18">
        <f>INDEX('13 - Electrical Readings'!$F$6:$F$988,1+(2*(ROWS(A$1:A14)-1)))</f>
        <v>4750</v>
      </c>
      <c r="I14" s="19">
        <f>INDEX('13 - Electrical Readings'!$G$6:$G$988,1+(2*(ROWS(A$1:A14)-1)))</f>
        <v>10026</v>
      </c>
      <c r="J14" s="18">
        <f>INDEX('13 - Electrical Readings'!$I$6:$I$988,1+(2*(ROWS(A$1:A14)-1)))</f>
        <v>2254</v>
      </c>
      <c r="K14" s="18">
        <f>INDEX('13 - Electrical Readings'!$J$6:$J$988,1+(2*(ROWS(B$1:B14)-1)))</f>
        <v>5825</v>
      </c>
      <c r="L14" s="18">
        <f>INDEX('13 - Electrical Readings'!$K$6:$K$988,1+(2*(ROWS(C$1:C14)-1)))</f>
        <v>1494</v>
      </c>
      <c r="M14" s="18">
        <f>INDEX('13 - Electrical Readings'!$L$6:$L$988,1+(2*(ROWS(D$1:D14)-1)))</f>
        <v>2218</v>
      </c>
      <c r="N14" s="18">
        <f>INDEX('13 - Electrical Readings'!$M$6:$M$988,1+(2*(ROWS(E$1:E14)-1)))</f>
        <v>5578</v>
      </c>
      <c r="O14" s="19">
        <f>INDEX('13 - Electrical Readings'!$N$6:$N$988,1+(2*(ROWS(E$1:E14)-1)))</f>
        <v>8735</v>
      </c>
      <c r="P14" s="19">
        <f>INDEX('13 - Electrical Readings'!$O$6:$O$988,1+(2*(ROWS(E$1:E14)-1)))</f>
        <v>3647</v>
      </c>
      <c r="Q14" s="19">
        <f>INDEX('13 - Electrical Readings'!$P$6:$P$988,1+(2*(ROWS(F$1:F14)-1)))</f>
        <v>3110</v>
      </c>
      <c r="R14" s="19">
        <f>INDEX('9 - Water Readings'!$C$8:$C$988,1+(2*(ROWS(A$1:A13)-1)))</f>
        <v>0</v>
      </c>
      <c r="S14" s="19">
        <f>INDEX('9 - Water Readings'!$D$8:$D$987,1+(2*(ROWS(A$1:A13)-1)))</f>
        <v>25</v>
      </c>
      <c r="T14" s="19">
        <f>INDEX('9 - Water Readings'!$E$8:$E$988,1+(2*(ROWS(A$1:A13)-1)))</f>
        <v>3</v>
      </c>
      <c r="U14" s="19">
        <f>INDEX('9 - Water Readings'!$G$8:$G$987,1+(2*(ROWS(A$1:A13)-1)))</f>
        <v>0</v>
      </c>
      <c r="V14" s="19">
        <f>INDEX('9 - Water Readings'!$H$8:$H$988,1+(2*(ROWS(A$1:A13)-1)))</f>
        <v>0</v>
      </c>
      <c r="W14" s="19">
        <f>INDEX('9 - Water Readings'!$I$8:$I$988,1+(2*(ROWS(A$1:A13)-1)))</f>
        <v>16</v>
      </c>
      <c r="X14" s="19">
        <f>INDEX('9 - Water Readings'!$J$8:$J$988,1+(2*(ROWS(A$1:A13)-1)))</f>
        <v>0</v>
      </c>
      <c r="Y14" s="19">
        <f>INDEX('9 - Water Readings'!$K$8:$K$988,1+(2*(ROWS(A$1:A13)-1)))</f>
        <v>0</v>
      </c>
      <c r="Z14" s="19">
        <f>INDEX('9 - Water Readings'!$L$8:$L$988,1+(2*(ROWS(A$1:A13)-1)))</f>
        <v>95</v>
      </c>
      <c r="AA14" s="20">
        <f>'9 - Water Readings'!Q19</f>
        <v>0</v>
      </c>
      <c r="AB14" s="18">
        <f>'9 - Water Readings'!R19</f>
        <v>0</v>
      </c>
      <c r="AC14">
        <f>'9 - Water Readings'!S19</f>
        <v>14</v>
      </c>
    </row>
    <row r="15" spans="1:29" x14ac:dyDescent="0.25">
      <c r="A15" s="17" t="s">
        <v>11</v>
      </c>
      <c r="B15" s="17">
        <f t="shared" si="0"/>
        <v>14</v>
      </c>
      <c r="C15" s="17">
        <v>9</v>
      </c>
      <c r="D15" s="18">
        <v>2019</v>
      </c>
      <c r="E15" s="19">
        <f>INDEX('13 - Electrical Readings'!$C$8:$C$988,1+(2*(ROWS(A$1:A14)-1)))</f>
        <v>18121</v>
      </c>
      <c r="F15" s="19">
        <f>INDEX('13 - Electrical Readings'!$D$6:$D$988,1+(2*(ROWS(A$1:A15)-1)))</f>
        <v>1839</v>
      </c>
      <c r="G15" s="18">
        <f>INDEX('13 - Electrical Readings'!$E$6:$E$988,1+(2*(ROWS(A$1:A15)-1)))</f>
        <v>4184</v>
      </c>
      <c r="H15" s="18">
        <f>INDEX('13 - Electrical Readings'!$F$6:$F$988,1+(2*(ROWS(A$1:A15)-1)))</f>
        <v>4796</v>
      </c>
      <c r="I15" s="19">
        <f>INDEX('13 - Electrical Readings'!$G$6:$G$988,1+(2*(ROWS(A$1:A15)-1)))</f>
        <v>11148</v>
      </c>
      <c r="J15" s="18">
        <f>INDEX('13 - Electrical Readings'!$I$6:$I$988,1+(2*(ROWS(A$1:A15)-1)))</f>
        <v>1830</v>
      </c>
      <c r="K15" s="18">
        <f>INDEX('13 - Electrical Readings'!$J$6:$J$988,1+(2*(ROWS(B$1:B15)-1)))</f>
        <v>4409</v>
      </c>
      <c r="L15" s="18">
        <f>INDEX('13 - Electrical Readings'!$K$6:$K$988,1+(2*(ROWS(C$1:C15)-1)))</f>
        <v>1397</v>
      </c>
      <c r="M15" s="18">
        <f>INDEX('13 - Electrical Readings'!$L$6:$L$988,1+(2*(ROWS(D$1:D15)-1)))</f>
        <v>1757</v>
      </c>
      <c r="N15" s="18">
        <f>INDEX('13 - Electrical Readings'!$M$6:$M$988,1+(2*(ROWS(E$1:E15)-1)))</f>
        <v>5111</v>
      </c>
      <c r="O15" s="19">
        <f>INDEX('13 - Electrical Readings'!$N$6:$N$988,1+(2*(ROWS(E$1:E15)-1)))</f>
        <v>6815</v>
      </c>
      <c r="P15" s="19">
        <f>INDEX('13 - Electrical Readings'!$O$6:$O$988,1+(2*(ROWS(E$1:E15)-1)))</f>
        <v>2886</v>
      </c>
      <c r="Q15" s="19">
        <f>INDEX('13 - Electrical Readings'!$P$6:$P$988,1+(2*(ROWS(F$1:F15)-1)))</f>
        <v>2300</v>
      </c>
      <c r="R15" s="19">
        <f>INDEX('9 - Water Readings'!$C$8:$C$988,1+(2*(ROWS(A$1:A14)-1)))</f>
        <v>0</v>
      </c>
      <c r="S15" s="19">
        <f>INDEX('9 - Water Readings'!$D$8:$D$987,1+(2*(ROWS(A$1:A14)-1)))</f>
        <v>0</v>
      </c>
      <c r="T15" s="19">
        <f>INDEX('9 - Water Readings'!$E$8:$E$988,1+(2*(ROWS(A$1:A14)-1)))</f>
        <v>4</v>
      </c>
      <c r="U15" s="19">
        <f>INDEX('9 - Water Readings'!$G$8:$G$987,1+(2*(ROWS(A$1:A14)-1)))</f>
        <v>0</v>
      </c>
      <c r="V15" s="19">
        <f>INDEX('9 - Water Readings'!$H$8:$H$988,1+(2*(ROWS(A$1:A14)-1)))</f>
        <v>0</v>
      </c>
      <c r="W15" s="19">
        <f>INDEX('9 - Water Readings'!$I$8:$I$988,1+(2*(ROWS(A$1:A14)-1)))</f>
        <v>8</v>
      </c>
      <c r="X15" s="19">
        <f>INDEX('9 - Water Readings'!$J$8:$J$988,1+(2*(ROWS(A$1:A14)-1)))</f>
        <v>0</v>
      </c>
      <c r="Y15" s="19">
        <f>INDEX('9 - Water Readings'!$K$8:$K$988,1+(2*(ROWS(A$1:A14)-1)))</f>
        <v>0</v>
      </c>
      <c r="Z15" s="19">
        <f>INDEX('9 - Water Readings'!$L$8:$L$988,1+(2*(ROWS(A$1:A14)-1)))</f>
        <v>57</v>
      </c>
      <c r="AA15" s="20">
        <f>'9 - Water Readings'!Q20</f>
        <v>0</v>
      </c>
      <c r="AB15" s="18">
        <f>'9 - Water Readings'!R20</f>
        <v>0</v>
      </c>
      <c r="AC15">
        <f>'9 - Water Readings'!S20</f>
        <v>14.3</v>
      </c>
    </row>
    <row r="16" spans="1:29" x14ac:dyDescent="0.25">
      <c r="A16" s="17" t="s">
        <v>11</v>
      </c>
      <c r="B16" s="17">
        <f t="shared" si="0"/>
        <v>15</v>
      </c>
      <c r="C16" s="17">
        <v>9</v>
      </c>
      <c r="D16" s="18">
        <v>2019</v>
      </c>
      <c r="E16" s="19">
        <f>INDEX('13 - Electrical Readings'!$C$8:$C$988,1+(2*(ROWS(A$1:A15)-1)))</f>
        <v>6884</v>
      </c>
      <c r="F16" s="19">
        <f>INDEX('13 - Electrical Readings'!$D$6:$D$988,1+(2*(ROWS(A$1:A16)-1)))</f>
        <v>821</v>
      </c>
      <c r="G16" s="18">
        <f>INDEX('13 - Electrical Readings'!$E$6:$E$988,1+(2*(ROWS(A$1:A16)-1)))</f>
        <v>4812</v>
      </c>
      <c r="H16" s="18">
        <f>INDEX('13 - Electrical Readings'!$F$6:$F$988,1+(2*(ROWS(A$1:A16)-1)))</f>
        <v>11647</v>
      </c>
      <c r="I16" s="19">
        <f>INDEX('13 - Electrical Readings'!$G$6:$G$988,1+(2*(ROWS(A$1:A16)-1)))</f>
        <v>18073</v>
      </c>
      <c r="J16" s="18">
        <f>INDEX('13 - Electrical Readings'!$I$6:$I$988,1+(2*(ROWS(A$1:A16)-1)))</f>
        <v>2228</v>
      </c>
      <c r="K16" s="18">
        <f>INDEX('13 - Electrical Readings'!$J$6:$J$988,1+(2*(ROWS(B$1:B16)-1)))</f>
        <v>5243</v>
      </c>
      <c r="L16" s="18">
        <f>INDEX('13 - Electrical Readings'!$K$6:$K$988,1+(2*(ROWS(C$1:C16)-1)))</f>
        <v>1502</v>
      </c>
      <c r="M16" s="18">
        <f>INDEX('13 - Electrical Readings'!$L$6:$L$988,1+(2*(ROWS(D$1:D16)-1)))</f>
        <v>2184</v>
      </c>
      <c r="N16" s="18">
        <f>INDEX('13 - Electrical Readings'!$M$6:$M$988,1+(2*(ROWS(E$1:E16)-1)))</f>
        <v>6032</v>
      </c>
      <c r="O16" s="19">
        <f>INDEX('13 - Electrical Readings'!$N$6:$N$988,1+(2*(ROWS(E$1:E16)-1)))</f>
        <v>7977</v>
      </c>
      <c r="P16" s="19">
        <f>INDEX('13 - Electrical Readings'!$O$6:$O$988,1+(2*(ROWS(E$1:E16)-1)))</f>
        <v>3331</v>
      </c>
      <c r="Q16" s="19">
        <f>INDEX('13 - Electrical Readings'!$P$6:$P$988,1+(2*(ROWS(F$1:F16)-1)))</f>
        <v>2650</v>
      </c>
      <c r="R16" s="19">
        <f>INDEX('9 - Water Readings'!$C$8:$C$988,1+(2*(ROWS(A$1:A15)-1)))</f>
        <v>0</v>
      </c>
      <c r="S16" s="19">
        <f>INDEX('9 - Water Readings'!$D$8:$D$987,1+(2*(ROWS(A$1:A15)-1)))</f>
        <v>0</v>
      </c>
      <c r="T16" s="19">
        <f>INDEX('9 - Water Readings'!$E$8:$E$988,1+(2*(ROWS(A$1:A15)-1)))</f>
        <v>0</v>
      </c>
      <c r="U16" s="19">
        <f>INDEX('9 - Water Readings'!$G$8:$G$987,1+(2*(ROWS(A$1:A15)-1)))</f>
        <v>0</v>
      </c>
      <c r="V16" s="19">
        <f>INDEX('9 - Water Readings'!$H$8:$H$988,1+(2*(ROWS(A$1:A15)-1)))</f>
        <v>0</v>
      </c>
      <c r="W16" s="19">
        <f>INDEX('9 - Water Readings'!$I$8:$I$988,1+(2*(ROWS(A$1:A15)-1)))</f>
        <v>11</v>
      </c>
      <c r="X16" s="19">
        <f>INDEX('9 - Water Readings'!$J$8:$J$988,1+(2*(ROWS(A$1:A15)-1)))</f>
        <v>0</v>
      </c>
      <c r="Y16" s="19">
        <f>INDEX('9 - Water Readings'!$K$8:$K$988,1+(2*(ROWS(A$1:A15)-1)))</f>
        <v>0</v>
      </c>
      <c r="Z16" s="19">
        <f>INDEX('9 - Water Readings'!$L$8:$L$988,1+(2*(ROWS(A$1:A15)-1)))</f>
        <v>65</v>
      </c>
      <c r="AA16" s="20">
        <f>'9 - Water Readings'!Q21</f>
        <v>0</v>
      </c>
      <c r="AB16" s="18">
        <f>'9 - Water Readings'!R21</f>
        <v>0</v>
      </c>
      <c r="AC16">
        <f>'9 - Water Readings'!S21</f>
        <v>12.8</v>
      </c>
    </row>
    <row r="17" spans="1:29" x14ac:dyDescent="0.25">
      <c r="A17" s="17" t="s">
        <v>11</v>
      </c>
      <c r="B17" s="17">
        <f t="shared" si="0"/>
        <v>16</v>
      </c>
      <c r="C17" s="17">
        <v>9</v>
      </c>
      <c r="D17" s="18">
        <v>2019</v>
      </c>
      <c r="E17" s="19">
        <f>INDEX('13 - Electrical Readings'!$C$8:$C$988,1+(2*(ROWS(A$1:A16)-1)))</f>
        <v>6</v>
      </c>
      <c r="F17" s="19">
        <f>INDEX('13 - Electrical Readings'!$D$6:$D$988,1+(2*(ROWS(A$1:A17)-1)))</f>
        <v>699</v>
      </c>
      <c r="G17" s="18">
        <f>INDEX('13 - Electrical Readings'!$E$6:$E$988,1+(2*(ROWS(A$1:A17)-1)))</f>
        <v>4434</v>
      </c>
      <c r="H17" s="18">
        <f>INDEX('13 - Electrical Readings'!$F$6:$F$988,1+(2*(ROWS(A$1:A17)-1)))</f>
        <v>14387</v>
      </c>
      <c r="I17" s="19">
        <f>INDEX('13 - Electrical Readings'!$G$6:$G$988,1+(2*(ROWS(A$1:A17)-1)))</f>
        <v>16232</v>
      </c>
      <c r="J17" s="18">
        <f>INDEX('13 - Electrical Readings'!$I$6:$I$988,1+(2*(ROWS(A$1:A17)-1)))</f>
        <v>1966</v>
      </c>
      <c r="K17" s="18">
        <f>INDEX('13 - Electrical Readings'!$J$6:$J$988,1+(2*(ROWS(B$1:B17)-1)))</f>
        <v>5035</v>
      </c>
      <c r="L17" s="18">
        <f>INDEX('13 - Electrical Readings'!$K$6:$K$988,1+(2*(ROWS(C$1:C17)-1)))</f>
        <v>1331</v>
      </c>
      <c r="M17" s="18">
        <f>INDEX('13 - Electrical Readings'!$L$6:$L$988,1+(2*(ROWS(D$1:D17)-1)))</f>
        <v>2133</v>
      </c>
      <c r="N17" s="18">
        <f>INDEX('13 - Electrical Readings'!$M$6:$M$988,1+(2*(ROWS(E$1:E17)-1)))</f>
        <v>5811</v>
      </c>
      <c r="O17" s="19">
        <f>INDEX('13 - Electrical Readings'!$N$6:$N$988,1+(2*(ROWS(E$1:E17)-1)))</f>
        <v>7870</v>
      </c>
      <c r="P17" s="19">
        <f>INDEX('13 - Electrical Readings'!$O$6:$O$988,1+(2*(ROWS(E$1:E17)-1)))</f>
        <v>3247</v>
      </c>
      <c r="Q17" s="19">
        <f>INDEX('13 - Electrical Readings'!$P$6:$P$988,1+(2*(ROWS(F$1:F17)-1)))</f>
        <v>2660</v>
      </c>
      <c r="R17" s="19">
        <f>INDEX('9 - Water Readings'!$C$8:$C$988,1+(2*(ROWS(A$1:A16)-1)))</f>
        <v>1</v>
      </c>
      <c r="S17" s="19">
        <f>INDEX('9 - Water Readings'!$D$8:$D$987,1+(2*(ROWS(A$1:A16)-1)))</f>
        <v>0</v>
      </c>
      <c r="T17" s="19">
        <f>INDEX('9 - Water Readings'!$E$8:$E$988,1+(2*(ROWS(A$1:A16)-1)))</f>
        <v>0</v>
      </c>
      <c r="U17" s="19">
        <f>INDEX('9 - Water Readings'!$G$8:$G$987,1+(2*(ROWS(A$1:A16)-1)))</f>
        <v>0</v>
      </c>
      <c r="V17" s="19">
        <f>INDEX('9 - Water Readings'!$H$8:$H$988,1+(2*(ROWS(A$1:A16)-1)))</f>
        <v>0</v>
      </c>
      <c r="W17" s="19">
        <f>INDEX('9 - Water Readings'!$I$8:$I$988,1+(2*(ROWS(A$1:A16)-1)))</f>
        <v>26</v>
      </c>
      <c r="X17" s="19">
        <f>INDEX('9 - Water Readings'!$J$8:$J$988,1+(2*(ROWS(A$1:A16)-1)))</f>
        <v>0</v>
      </c>
      <c r="Y17" s="19">
        <f>INDEX('9 - Water Readings'!$K$8:$K$988,1+(2*(ROWS(A$1:A16)-1)))</f>
        <v>0</v>
      </c>
      <c r="Z17" s="19">
        <f>INDEX('9 - Water Readings'!$L$8:$L$988,1+(2*(ROWS(A$1:A16)-1)))</f>
        <v>71</v>
      </c>
      <c r="AA17" s="20">
        <f>'9 - Water Readings'!Q22</f>
        <v>0</v>
      </c>
      <c r="AB17" s="18">
        <f>'9 - Water Readings'!R22</f>
        <v>0</v>
      </c>
      <c r="AC17">
        <f>'9 - Water Readings'!S22</f>
        <v>13.4</v>
      </c>
    </row>
    <row r="18" spans="1:29" x14ac:dyDescent="0.25">
      <c r="A18" s="17" t="s">
        <v>11</v>
      </c>
      <c r="B18" s="17">
        <f t="shared" si="0"/>
        <v>17</v>
      </c>
      <c r="C18" s="17">
        <v>9</v>
      </c>
      <c r="D18" s="18">
        <v>2019</v>
      </c>
      <c r="E18" s="19">
        <f>INDEX('13 - Electrical Readings'!$C$8:$C$988,1+(2*(ROWS(A$1:A17)-1)))</f>
        <v>5</v>
      </c>
      <c r="F18" s="19">
        <f>INDEX('13 - Electrical Readings'!$D$6:$D$988,1+(2*(ROWS(A$1:A18)-1)))</f>
        <v>722</v>
      </c>
      <c r="G18" s="18">
        <f>INDEX('13 - Electrical Readings'!$E$6:$E$988,1+(2*(ROWS(A$1:A18)-1)))</f>
        <v>4326</v>
      </c>
      <c r="H18" s="18">
        <f>INDEX('13 - Electrical Readings'!$F$6:$F$988,1+(2*(ROWS(A$1:A18)-1)))</f>
        <v>16574</v>
      </c>
      <c r="I18" s="19">
        <f>INDEX('13 - Electrical Readings'!$G$6:$G$988,1+(2*(ROWS(A$1:A18)-1)))</f>
        <v>14884</v>
      </c>
      <c r="J18" s="18">
        <f>INDEX('13 - Electrical Readings'!$I$6:$I$988,1+(2*(ROWS(A$1:A18)-1)))</f>
        <v>2096</v>
      </c>
      <c r="K18" s="18">
        <f>INDEX('13 - Electrical Readings'!$J$6:$J$988,1+(2*(ROWS(B$1:B18)-1)))</f>
        <v>5238</v>
      </c>
      <c r="L18" s="18">
        <f>INDEX('13 - Electrical Readings'!$K$6:$K$988,1+(2*(ROWS(C$1:C18)-1)))</f>
        <v>1360</v>
      </c>
      <c r="M18" s="18">
        <f>INDEX('13 - Electrical Readings'!$L$6:$L$988,1+(2*(ROWS(D$1:D18)-1)))</f>
        <v>2143</v>
      </c>
      <c r="N18" s="18">
        <f>INDEX('13 - Electrical Readings'!$M$6:$M$988,1+(2*(ROWS(E$1:E18)-1)))</f>
        <v>5959</v>
      </c>
      <c r="O18" s="19">
        <f>INDEX('13 - Electrical Readings'!$N$6:$N$988,1+(2*(ROWS(E$1:E18)-1)))</f>
        <v>8137</v>
      </c>
      <c r="P18" s="19">
        <f>INDEX('13 - Electrical Readings'!$O$6:$O$988,1+(2*(ROWS(E$1:E18)-1)))</f>
        <v>3163</v>
      </c>
      <c r="Q18" s="19">
        <f>INDEX('13 - Electrical Readings'!$P$6:$P$988,1+(2*(ROWS(F$1:F18)-1)))</f>
        <v>2690</v>
      </c>
      <c r="R18" s="19">
        <f>INDEX('9 - Water Readings'!$C$8:$C$988,1+(2*(ROWS(A$1:A17)-1)))</f>
        <v>0</v>
      </c>
      <c r="S18" s="19">
        <f>INDEX('9 - Water Readings'!$D$8:$D$987,1+(2*(ROWS(A$1:A17)-1)))</f>
        <v>1</v>
      </c>
      <c r="T18" s="19">
        <f>INDEX('9 - Water Readings'!$E$8:$E$988,1+(2*(ROWS(A$1:A17)-1)))</f>
        <v>0</v>
      </c>
      <c r="U18" s="19">
        <f>INDEX('9 - Water Readings'!$G$8:$G$987,1+(2*(ROWS(A$1:A17)-1)))</f>
        <v>0</v>
      </c>
      <c r="V18" s="19">
        <f>INDEX('9 - Water Readings'!$H$8:$H$988,1+(2*(ROWS(A$1:A17)-1)))</f>
        <v>0</v>
      </c>
      <c r="W18" s="19">
        <f>INDEX('9 - Water Readings'!$I$8:$I$988,1+(2*(ROWS(A$1:A17)-1)))</f>
        <v>24</v>
      </c>
      <c r="X18" s="19">
        <f>INDEX('9 - Water Readings'!$J$8:$J$988,1+(2*(ROWS(A$1:A17)-1)))</f>
        <v>0</v>
      </c>
      <c r="Y18" s="19">
        <f>INDEX('9 - Water Readings'!$K$8:$K$988,1+(2*(ROWS(A$1:A17)-1)))</f>
        <v>0</v>
      </c>
      <c r="Z18" s="19">
        <f>INDEX('9 - Water Readings'!$L$8:$L$988,1+(2*(ROWS(A$1:A17)-1)))</f>
        <v>60</v>
      </c>
      <c r="AA18" s="20">
        <f>'9 - Water Readings'!Q23</f>
        <v>0</v>
      </c>
      <c r="AB18" s="18">
        <f>'9 - Water Readings'!R23</f>
        <v>0</v>
      </c>
      <c r="AC18">
        <f>'9 - Water Readings'!S23</f>
        <v>13.6</v>
      </c>
    </row>
    <row r="19" spans="1:29" x14ac:dyDescent="0.25">
      <c r="A19" s="17" t="s">
        <v>11</v>
      </c>
      <c r="B19" s="17">
        <f t="shared" si="0"/>
        <v>18</v>
      </c>
      <c r="C19" s="17">
        <v>9</v>
      </c>
      <c r="D19" s="18">
        <v>2019</v>
      </c>
      <c r="E19" s="19">
        <f>INDEX('13 - Electrical Readings'!$C$8:$C$988,1+(2*(ROWS(A$1:A18)-1)))</f>
        <v>10</v>
      </c>
      <c r="F19" s="19">
        <f>INDEX('13 - Electrical Readings'!$D$6:$D$988,1+(2*(ROWS(A$1:A19)-1)))</f>
        <v>714</v>
      </c>
      <c r="G19" s="18">
        <f>INDEX('13 - Electrical Readings'!$E$6:$E$988,1+(2*(ROWS(A$1:A19)-1)))</f>
        <v>4253</v>
      </c>
      <c r="H19" s="18">
        <f>INDEX('13 - Electrical Readings'!$F$6:$F$988,1+(2*(ROWS(A$1:A19)-1)))</f>
        <v>15499</v>
      </c>
      <c r="I19" s="19">
        <f>INDEX('13 - Electrical Readings'!$G$6:$G$988,1+(2*(ROWS(A$1:A19)-1)))</f>
        <v>14122</v>
      </c>
      <c r="J19" s="18">
        <f>INDEX('13 - Electrical Readings'!$I$6:$I$988,1+(2*(ROWS(A$1:A19)-1)))</f>
        <v>2010</v>
      </c>
      <c r="K19" s="18">
        <f>INDEX('13 - Electrical Readings'!$J$6:$J$988,1+(2*(ROWS(B$1:B19)-1)))</f>
        <v>5250</v>
      </c>
      <c r="L19" s="18">
        <f>INDEX('13 - Electrical Readings'!$K$6:$K$988,1+(2*(ROWS(C$1:C19)-1)))</f>
        <v>1511</v>
      </c>
      <c r="M19" s="18">
        <f>INDEX('13 - Electrical Readings'!$L$6:$L$988,1+(2*(ROWS(D$1:D19)-1)))</f>
        <v>2144</v>
      </c>
      <c r="N19" s="18">
        <f>INDEX('13 - Electrical Readings'!$M$6:$M$988,1+(2*(ROWS(E$1:E19)-1)))</f>
        <v>5926</v>
      </c>
      <c r="O19" s="19">
        <f>INDEX('13 - Electrical Readings'!$N$6:$N$988,1+(2*(ROWS(E$1:E19)-1)))</f>
        <v>8473</v>
      </c>
      <c r="P19" s="19">
        <f>INDEX('13 - Electrical Readings'!$O$6:$O$988,1+(2*(ROWS(E$1:E19)-1)))</f>
        <v>2954</v>
      </c>
      <c r="Q19" s="19">
        <f>INDEX('13 - Electrical Readings'!$P$6:$P$988,1+(2*(ROWS(F$1:F19)-1)))</f>
        <v>2560</v>
      </c>
      <c r="R19" s="19">
        <f>INDEX('9 - Water Readings'!$C$8:$C$988,1+(2*(ROWS(A$1:A18)-1)))</f>
        <v>8</v>
      </c>
      <c r="S19" s="19">
        <f>INDEX('9 - Water Readings'!$D$8:$D$987,1+(2*(ROWS(A$1:A18)-1)))</f>
        <v>0</v>
      </c>
      <c r="T19" s="19">
        <f>INDEX('9 - Water Readings'!$E$8:$E$988,1+(2*(ROWS(A$1:A18)-1)))</f>
        <v>0</v>
      </c>
      <c r="U19" s="19">
        <f>INDEX('9 - Water Readings'!$G$8:$G$987,1+(2*(ROWS(A$1:A18)-1)))</f>
        <v>0</v>
      </c>
      <c r="V19" s="19">
        <f>INDEX('9 - Water Readings'!$H$8:$H$988,1+(2*(ROWS(A$1:A18)-1)))</f>
        <v>0</v>
      </c>
      <c r="W19" s="19">
        <f>INDEX('9 - Water Readings'!$I$8:$I$988,1+(2*(ROWS(A$1:A18)-1)))</f>
        <v>10</v>
      </c>
      <c r="X19" s="19">
        <f>INDEX('9 - Water Readings'!$J$8:$J$988,1+(2*(ROWS(A$1:A18)-1)))</f>
        <v>0</v>
      </c>
      <c r="Y19" s="19">
        <f>INDEX('9 - Water Readings'!$K$8:$K$988,1+(2*(ROWS(A$1:A18)-1)))</f>
        <v>0</v>
      </c>
      <c r="Z19" s="19">
        <f>INDEX('9 - Water Readings'!$L$8:$L$988,1+(2*(ROWS(A$1:A18)-1)))</f>
        <v>73</v>
      </c>
      <c r="AA19" s="20">
        <f>'9 - Water Readings'!Q24</f>
        <v>0</v>
      </c>
      <c r="AB19" s="18">
        <f>'9 - Water Readings'!R24</f>
        <v>0</v>
      </c>
      <c r="AC19">
        <f>'9 - Water Readings'!S24</f>
        <v>14.3</v>
      </c>
    </row>
    <row r="20" spans="1:29" x14ac:dyDescent="0.25">
      <c r="A20" s="17" t="s">
        <v>11</v>
      </c>
      <c r="B20" s="17">
        <f t="shared" si="0"/>
        <v>19</v>
      </c>
      <c r="C20" s="17">
        <v>9</v>
      </c>
      <c r="D20" s="18">
        <v>2019</v>
      </c>
      <c r="E20" s="19">
        <f>INDEX('13 - Electrical Readings'!$C$8:$C$988,1+(2*(ROWS(A$1:A19)-1)))</f>
        <v>17</v>
      </c>
      <c r="F20" s="19">
        <f>INDEX('13 - Electrical Readings'!$D$6:$D$988,1+(2*(ROWS(A$1:A20)-1)))</f>
        <v>710</v>
      </c>
      <c r="G20" s="18">
        <f>INDEX('13 - Electrical Readings'!$E$6:$E$988,1+(2*(ROWS(A$1:A20)-1)))</f>
        <v>4765</v>
      </c>
      <c r="H20" s="18">
        <f>INDEX('13 - Electrical Readings'!$F$6:$F$988,1+(2*(ROWS(A$1:A20)-1)))</f>
        <v>16710</v>
      </c>
      <c r="I20" s="19">
        <f>INDEX('13 - Electrical Readings'!$G$6:$G$988,1+(2*(ROWS(A$1:A20)-1)))</f>
        <v>18998</v>
      </c>
      <c r="J20" s="18">
        <f>INDEX('13 - Electrical Readings'!$I$6:$I$988,1+(2*(ROWS(A$1:A20)-1)))</f>
        <v>2224</v>
      </c>
      <c r="K20" s="18">
        <f>INDEX('13 - Electrical Readings'!$J$6:$J$988,1+(2*(ROWS(B$1:B20)-1)))</f>
        <v>5326</v>
      </c>
      <c r="L20" s="18">
        <f>INDEX('13 - Electrical Readings'!$K$6:$K$988,1+(2*(ROWS(C$1:C20)-1)))</f>
        <v>1481</v>
      </c>
      <c r="M20" s="18">
        <f>INDEX('13 - Electrical Readings'!$L$6:$L$988,1+(2*(ROWS(D$1:D20)-1)))</f>
        <v>2097</v>
      </c>
      <c r="N20" s="18">
        <f>INDEX('13 - Electrical Readings'!$M$6:$M$988,1+(2*(ROWS(E$1:E20)-1)))</f>
        <v>6016</v>
      </c>
      <c r="O20" s="19">
        <f>INDEX('13 - Electrical Readings'!$N$6:$N$988,1+(2*(ROWS(E$1:E20)-1)))</f>
        <v>9327</v>
      </c>
      <c r="P20" s="19">
        <f>INDEX('13 - Electrical Readings'!$O$6:$O$988,1+(2*(ROWS(E$1:E20)-1)))</f>
        <v>3467</v>
      </c>
      <c r="Q20" s="19">
        <f>INDEX('13 - Electrical Readings'!$P$6:$P$988,1+(2*(ROWS(F$1:F20)-1)))</f>
        <v>2960</v>
      </c>
      <c r="R20" s="19">
        <f>INDEX('9 - Water Readings'!$C$8:$C$988,1+(2*(ROWS(A$1:A19)-1)))</f>
        <v>0</v>
      </c>
      <c r="S20" s="19">
        <f>INDEX('9 - Water Readings'!$D$8:$D$987,1+(2*(ROWS(A$1:A19)-1)))</f>
        <v>0</v>
      </c>
      <c r="T20" s="19">
        <f>INDEX('9 - Water Readings'!$E$8:$E$988,1+(2*(ROWS(A$1:A19)-1)))</f>
        <v>0</v>
      </c>
      <c r="U20" s="19">
        <f>INDEX('9 - Water Readings'!$G$8:$G$987,1+(2*(ROWS(A$1:A19)-1)))</f>
        <v>0</v>
      </c>
      <c r="V20" s="19">
        <f>INDEX('9 - Water Readings'!$H$8:$H$988,1+(2*(ROWS(A$1:A19)-1)))</f>
        <v>0</v>
      </c>
      <c r="W20" s="19">
        <f>INDEX('9 - Water Readings'!$I$8:$I$988,1+(2*(ROWS(A$1:A19)-1)))</f>
        <v>7</v>
      </c>
      <c r="X20" s="19">
        <f>INDEX('9 - Water Readings'!$J$8:$J$988,1+(2*(ROWS(A$1:A19)-1)))</f>
        <v>112</v>
      </c>
      <c r="Y20" s="19">
        <f>INDEX('9 - Water Readings'!$K$8:$K$988,1+(2*(ROWS(A$1:A19)-1)))</f>
        <v>0</v>
      </c>
      <c r="Z20" s="19">
        <f>INDEX('9 - Water Readings'!$L$8:$L$988,1+(2*(ROWS(A$1:A19)-1)))</f>
        <v>76</v>
      </c>
      <c r="AA20" s="20">
        <f>'9 - Water Readings'!Q25</f>
        <v>0</v>
      </c>
      <c r="AB20" s="18">
        <f>'9 - Water Readings'!R25</f>
        <v>0</v>
      </c>
      <c r="AC20">
        <f>'9 - Water Readings'!S25</f>
        <v>13.6</v>
      </c>
    </row>
    <row r="21" spans="1:29" x14ac:dyDescent="0.25">
      <c r="A21" s="17" t="s">
        <v>11</v>
      </c>
      <c r="B21" s="17">
        <f t="shared" si="0"/>
        <v>20</v>
      </c>
      <c r="C21" s="17">
        <v>9</v>
      </c>
      <c r="D21" s="18">
        <v>2019</v>
      </c>
      <c r="E21" s="19">
        <f>INDEX('13 - Electrical Readings'!$C$8:$C$988,1+(2*(ROWS(A$1:A20)-1)))</f>
        <v>12</v>
      </c>
      <c r="F21" s="19">
        <f>INDEX('13 - Electrical Readings'!$D$6:$D$988,1+(2*(ROWS(A$1:A21)-1)))</f>
        <v>703</v>
      </c>
      <c r="G21" s="18">
        <f>INDEX('13 - Electrical Readings'!$E$6:$E$988,1+(2*(ROWS(A$1:A21)-1)))</f>
        <v>4715</v>
      </c>
      <c r="H21" s="18">
        <f>INDEX('13 - Electrical Readings'!$F$6:$F$988,1+(2*(ROWS(A$1:A21)-1)))</f>
        <v>16387</v>
      </c>
      <c r="I21" s="19">
        <f>INDEX('13 - Electrical Readings'!$G$6:$G$988,1+(2*(ROWS(A$1:A21)-1)))</f>
        <v>18466</v>
      </c>
      <c r="J21" s="18">
        <f>INDEX('13 - Electrical Readings'!$I$6:$I$988,1+(2*(ROWS(A$1:A21)-1)))</f>
        <v>1911</v>
      </c>
      <c r="K21" s="18">
        <f>INDEX('13 - Electrical Readings'!$J$6:$J$988,1+(2*(ROWS(B$1:B21)-1)))</f>
        <v>4735</v>
      </c>
      <c r="L21" s="18">
        <f>INDEX('13 - Electrical Readings'!$K$6:$K$988,1+(2*(ROWS(C$1:C21)-1)))</f>
        <v>1105</v>
      </c>
      <c r="M21" s="18">
        <f>INDEX('13 - Electrical Readings'!$L$6:$L$988,1+(2*(ROWS(D$1:D21)-1)))</f>
        <v>1725</v>
      </c>
      <c r="N21" s="18">
        <f>INDEX('13 - Electrical Readings'!$M$6:$M$988,1+(2*(ROWS(E$1:E21)-1)))</f>
        <v>4659</v>
      </c>
      <c r="O21" s="19">
        <f>INDEX('13 - Electrical Readings'!$N$6:$N$988,1+(2*(ROWS(E$1:E21)-1)))</f>
        <v>7968</v>
      </c>
      <c r="P21" s="19">
        <f>INDEX('13 - Electrical Readings'!$O$6:$O$988,1+(2*(ROWS(E$1:E21)-1)))</f>
        <v>2894</v>
      </c>
      <c r="Q21" s="19">
        <f>INDEX('13 - Electrical Readings'!$P$6:$P$988,1+(2*(ROWS(F$1:F21)-1)))</f>
        <v>2970</v>
      </c>
      <c r="R21" s="19">
        <f>INDEX('9 - Water Readings'!$C$8:$C$988,1+(2*(ROWS(A$1:A20)-1)))</f>
        <v>0</v>
      </c>
      <c r="S21" s="19">
        <f>INDEX('9 - Water Readings'!$D$8:$D$987,1+(2*(ROWS(A$1:A20)-1)))</f>
        <v>0</v>
      </c>
      <c r="T21" s="19">
        <f>INDEX('9 - Water Readings'!$E$8:$E$988,1+(2*(ROWS(A$1:A20)-1)))</f>
        <v>0</v>
      </c>
      <c r="U21" s="19">
        <f>INDEX('9 - Water Readings'!$G$8:$G$987,1+(2*(ROWS(A$1:A20)-1)))</f>
        <v>0</v>
      </c>
      <c r="V21" s="19">
        <f>INDEX('9 - Water Readings'!$H$8:$H$988,1+(2*(ROWS(A$1:A20)-1)))</f>
        <v>0</v>
      </c>
      <c r="W21" s="19">
        <f>INDEX('9 - Water Readings'!$I$8:$I$988,1+(2*(ROWS(A$1:A20)-1)))</f>
        <v>9</v>
      </c>
      <c r="X21" s="19">
        <f>INDEX('9 - Water Readings'!$J$8:$J$988,1+(2*(ROWS(A$1:A20)-1)))</f>
        <v>88</v>
      </c>
      <c r="Y21" s="19">
        <f>INDEX('9 - Water Readings'!$K$8:$K$988,1+(2*(ROWS(A$1:A20)-1)))</f>
        <v>0</v>
      </c>
      <c r="Z21" s="19">
        <f>INDEX('9 - Water Readings'!$L$8:$L$988,1+(2*(ROWS(A$1:A20)-1)))</f>
        <v>72</v>
      </c>
      <c r="AA21" s="20">
        <f>'9 - Water Readings'!Q26</f>
        <v>0</v>
      </c>
      <c r="AB21" s="18">
        <f>'9 - Water Readings'!R26</f>
        <v>0</v>
      </c>
      <c r="AC21">
        <f>'9 - Water Readings'!S26</f>
        <v>13.4</v>
      </c>
    </row>
    <row r="22" spans="1:29" x14ac:dyDescent="0.25">
      <c r="A22" s="17" t="s">
        <v>11</v>
      </c>
      <c r="B22" s="17">
        <f t="shared" si="0"/>
        <v>21</v>
      </c>
      <c r="C22" s="17">
        <v>9</v>
      </c>
      <c r="D22" s="18">
        <v>2019</v>
      </c>
      <c r="E22" s="19">
        <f>INDEX('13 - Electrical Readings'!$C$8:$C$988,1+(2*(ROWS(A$1:A21)-1)))</f>
        <v>7</v>
      </c>
      <c r="F22" s="19">
        <f>INDEX('13 - Electrical Readings'!$D$6:$D$988,1+(2*(ROWS(A$1:A22)-1)))</f>
        <v>727</v>
      </c>
      <c r="G22" s="18">
        <f>INDEX('13 - Electrical Readings'!$E$6:$E$988,1+(2*(ROWS(A$1:A22)-1)))</f>
        <v>4612</v>
      </c>
      <c r="H22" s="18">
        <f>INDEX('13 - Electrical Readings'!$F$6:$F$988,1+(2*(ROWS(A$1:A22)-1)))</f>
        <v>14814</v>
      </c>
      <c r="I22" s="19">
        <f>INDEX('13 - Electrical Readings'!$G$6:$G$988,1+(2*(ROWS(A$1:A22)-1)))</f>
        <v>16351</v>
      </c>
      <c r="J22" s="18">
        <f>INDEX('13 - Electrical Readings'!$I$6:$I$988,1+(2*(ROWS(A$1:A22)-1)))</f>
        <v>1923</v>
      </c>
      <c r="K22" s="18">
        <f>INDEX('13 - Electrical Readings'!$J$6:$J$988,1+(2*(ROWS(B$1:B22)-1)))</f>
        <v>4855</v>
      </c>
      <c r="L22" s="18">
        <f>INDEX('13 - Electrical Readings'!$K$6:$K$988,1+(2*(ROWS(C$1:C22)-1)))</f>
        <v>1306</v>
      </c>
      <c r="M22" s="18">
        <f>INDEX('13 - Electrical Readings'!$L$6:$L$988,1+(2*(ROWS(D$1:D22)-1)))</f>
        <v>1847</v>
      </c>
      <c r="N22" s="18">
        <f>INDEX('13 - Electrical Readings'!$M$6:$M$988,1+(2*(ROWS(E$1:E22)-1)))</f>
        <v>5551</v>
      </c>
      <c r="O22" s="19">
        <f>INDEX('13 - Electrical Readings'!$N$6:$N$988,1+(2*(ROWS(E$1:E22)-1)))</f>
        <v>7999</v>
      </c>
      <c r="P22" s="19">
        <f>INDEX('13 - Electrical Readings'!$O$6:$O$988,1+(2*(ROWS(E$1:E22)-1)))</f>
        <v>3120</v>
      </c>
      <c r="Q22" s="19">
        <f>INDEX('13 - Electrical Readings'!$P$6:$P$988,1+(2*(ROWS(F$1:F22)-1)))</f>
        <v>2770</v>
      </c>
      <c r="R22" s="19">
        <f>INDEX('9 - Water Readings'!$C$8:$C$988,1+(2*(ROWS(A$1:A21)-1)))</f>
        <v>0</v>
      </c>
      <c r="S22" s="19">
        <f>INDEX('9 - Water Readings'!$D$8:$D$987,1+(2*(ROWS(A$1:A21)-1)))</f>
        <v>0</v>
      </c>
      <c r="T22" s="19">
        <f>INDEX('9 - Water Readings'!$E$8:$E$988,1+(2*(ROWS(A$1:A21)-1)))</f>
        <v>0</v>
      </c>
      <c r="U22" s="19">
        <f>INDEX('9 - Water Readings'!$G$8:$G$987,1+(2*(ROWS(A$1:A21)-1)))</f>
        <v>0</v>
      </c>
      <c r="V22" s="19">
        <f>INDEX('9 - Water Readings'!$H$8:$H$988,1+(2*(ROWS(A$1:A21)-1)))</f>
        <v>0</v>
      </c>
      <c r="W22" s="19">
        <f>INDEX('9 - Water Readings'!$I$8:$I$988,1+(2*(ROWS(A$1:A21)-1)))</f>
        <v>11</v>
      </c>
      <c r="X22" s="19">
        <f>INDEX('9 - Water Readings'!$J$8:$J$988,1+(2*(ROWS(A$1:A21)-1)))</f>
        <v>89</v>
      </c>
      <c r="Y22" s="19">
        <f>INDEX('9 - Water Readings'!$K$8:$K$988,1+(2*(ROWS(A$1:A21)-1)))</f>
        <v>0</v>
      </c>
      <c r="Z22" s="19">
        <f>INDEX('9 - Water Readings'!$L$8:$L$988,1+(2*(ROWS(A$1:A21)-1)))</f>
        <v>73</v>
      </c>
      <c r="AA22" s="20">
        <f>'9 - Water Readings'!Q27</f>
        <v>0</v>
      </c>
      <c r="AB22" s="18">
        <f>'9 - Water Readings'!R27</f>
        <v>0</v>
      </c>
      <c r="AC22">
        <f>'9 - Water Readings'!S27</f>
        <v>14.4</v>
      </c>
    </row>
    <row r="23" spans="1:29" x14ac:dyDescent="0.25">
      <c r="A23" s="17" t="s">
        <v>11</v>
      </c>
      <c r="B23" s="17">
        <f t="shared" si="0"/>
        <v>22</v>
      </c>
      <c r="C23" s="17">
        <v>9</v>
      </c>
      <c r="D23" s="18">
        <v>2019</v>
      </c>
      <c r="E23" s="19">
        <f>INDEX('13 - Electrical Readings'!$C$8:$C$988,1+(2*(ROWS(A$1:A22)-1)))</f>
        <v>13</v>
      </c>
      <c r="F23" s="19">
        <f>INDEX('13 - Electrical Readings'!$D$6:$D$988,1+(2*(ROWS(A$1:A23)-1)))</f>
        <v>835</v>
      </c>
      <c r="G23" s="18">
        <f>INDEX('13 - Electrical Readings'!$E$6:$E$988,1+(2*(ROWS(A$1:A23)-1)))</f>
        <v>12483</v>
      </c>
      <c r="H23" s="18">
        <f>INDEX('13 - Electrical Readings'!$F$6:$F$988,1+(2*(ROWS(A$1:A23)-1)))</f>
        <v>18144</v>
      </c>
      <c r="I23" s="19">
        <f>INDEX('13 - Electrical Readings'!$G$6:$G$988,1+(2*(ROWS(A$1:A23)-1)))</f>
        <v>8332</v>
      </c>
      <c r="J23" s="18">
        <f>INDEX('13 - Electrical Readings'!$I$6:$I$988,1+(2*(ROWS(A$1:A23)-1)))</f>
        <v>2091</v>
      </c>
      <c r="K23" s="18">
        <f>INDEX('13 - Electrical Readings'!$J$6:$J$988,1+(2*(ROWS(B$1:B23)-1)))</f>
        <v>5138</v>
      </c>
      <c r="L23" s="18">
        <f>INDEX('13 - Electrical Readings'!$K$6:$K$988,1+(2*(ROWS(C$1:C23)-1)))</f>
        <v>1351</v>
      </c>
      <c r="M23" s="18">
        <f>INDEX('13 - Electrical Readings'!$L$6:$L$988,1+(2*(ROWS(D$1:D23)-1)))</f>
        <v>2011</v>
      </c>
      <c r="N23" s="18">
        <f>INDEX('13 - Electrical Readings'!$M$6:$M$988,1+(2*(ROWS(E$1:E23)-1)))</f>
        <v>5707</v>
      </c>
      <c r="O23" s="19">
        <f>INDEX('13 - Electrical Readings'!$N$6:$N$988,1+(2*(ROWS(E$1:E23)-1)))</f>
        <v>8246</v>
      </c>
      <c r="P23" s="19">
        <f>INDEX('13 - Electrical Readings'!$O$6:$O$988,1+(2*(ROWS(E$1:E23)-1)))</f>
        <v>3375</v>
      </c>
      <c r="Q23" s="19">
        <f>INDEX('13 - Electrical Readings'!$P$6:$P$988,1+(2*(ROWS(F$1:F23)-1)))</f>
        <v>2410</v>
      </c>
      <c r="R23" s="19">
        <f>INDEX('9 - Water Readings'!$C$8:$C$988,1+(2*(ROWS(A$1:A22)-1)))</f>
        <v>1</v>
      </c>
      <c r="S23" s="19">
        <f>INDEX('9 - Water Readings'!$D$8:$D$987,1+(2*(ROWS(A$1:A22)-1)))</f>
        <v>0</v>
      </c>
      <c r="T23" s="19">
        <f>INDEX('9 - Water Readings'!$E$8:$E$988,1+(2*(ROWS(A$1:A22)-1)))</f>
        <v>0</v>
      </c>
      <c r="U23" s="19">
        <f>INDEX('9 - Water Readings'!$G$8:$G$987,1+(2*(ROWS(A$1:A22)-1)))</f>
        <v>0</v>
      </c>
      <c r="V23" s="19">
        <f>INDEX('9 - Water Readings'!$H$8:$H$988,1+(2*(ROWS(A$1:A22)-1)))</f>
        <v>0</v>
      </c>
      <c r="W23" s="19">
        <f>INDEX('9 - Water Readings'!$I$8:$I$988,1+(2*(ROWS(A$1:A22)-1)))</f>
        <v>8</v>
      </c>
      <c r="X23" s="19">
        <f>INDEX('9 - Water Readings'!$J$8:$J$988,1+(2*(ROWS(A$1:A22)-1)))</f>
        <v>86</v>
      </c>
      <c r="Y23" s="19">
        <f>INDEX('9 - Water Readings'!$K$8:$K$988,1+(2*(ROWS(A$1:A22)-1)))</f>
        <v>0</v>
      </c>
      <c r="Z23" s="19">
        <f>INDEX('9 - Water Readings'!$L$8:$L$988,1+(2*(ROWS(A$1:A22)-1)))</f>
        <v>61</v>
      </c>
      <c r="AA23" s="20">
        <f>'9 - Water Readings'!Q28</f>
        <v>0</v>
      </c>
      <c r="AB23" s="18">
        <f>'9 - Water Readings'!R28</f>
        <v>0</v>
      </c>
      <c r="AC23">
        <f>'9 - Water Readings'!S28</f>
        <v>13.8</v>
      </c>
    </row>
    <row r="24" spans="1:29" x14ac:dyDescent="0.25">
      <c r="A24" s="17" t="s">
        <v>11</v>
      </c>
      <c r="B24" s="17">
        <f t="shared" si="0"/>
        <v>23</v>
      </c>
      <c r="C24" s="17">
        <v>9</v>
      </c>
      <c r="D24" s="18">
        <v>2019</v>
      </c>
      <c r="E24" s="19">
        <f>INDEX('13 - Electrical Readings'!$C$8:$C$988,1+(2*(ROWS(A$1:A23)-1)))</f>
        <v>10</v>
      </c>
      <c r="F24" s="19">
        <f>INDEX('13 - Electrical Readings'!$D$6:$D$988,1+(2*(ROWS(A$1:A24)-1)))</f>
        <v>829</v>
      </c>
      <c r="G24" s="18">
        <f>INDEX('13 - Electrical Readings'!$E$6:$E$988,1+(2*(ROWS(A$1:A24)-1)))</f>
        <v>14830</v>
      </c>
      <c r="H24" s="18">
        <f>INDEX('13 - Electrical Readings'!$F$6:$F$988,1+(2*(ROWS(A$1:A24)-1)))</f>
        <v>15494</v>
      </c>
      <c r="I24" s="19">
        <f>INDEX('13 - Electrical Readings'!$G$6:$G$988,1+(2*(ROWS(A$1:A24)-1)))</f>
        <v>4</v>
      </c>
      <c r="J24" s="18">
        <f>INDEX('13 - Electrical Readings'!$I$6:$I$988,1+(2*(ROWS(A$1:A24)-1)))</f>
        <v>2038</v>
      </c>
      <c r="K24" s="18">
        <f>INDEX('13 - Electrical Readings'!$J$6:$J$988,1+(2*(ROWS(B$1:B24)-1)))</f>
        <v>5067</v>
      </c>
      <c r="L24" s="18">
        <f>INDEX('13 - Electrical Readings'!$K$6:$K$988,1+(2*(ROWS(C$1:C24)-1)))</f>
        <v>1361</v>
      </c>
      <c r="M24" s="18">
        <f>INDEX('13 - Electrical Readings'!$L$6:$L$988,1+(2*(ROWS(D$1:D24)-1)))</f>
        <v>1855</v>
      </c>
      <c r="N24" s="18">
        <f>INDEX('13 - Electrical Readings'!$M$6:$M$988,1+(2*(ROWS(E$1:E24)-1)))</f>
        <v>5688</v>
      </c>
      <c r="O24" s="19">
        <f>INDEX('13 - Electrical Readings'!$N$6:$N$988,1+(2*(ROWS(E$1:E24)-1)))</f>
        <v>8505</v>
      </c>
      <c r="P24" s="19">
        <f>INDEX('13 - Electrical Readings'!$O$6:$O$988,1+(2*(ROWS(E$1:E24)-1)))</f>
        <v>3334</v>
      </c>
      <c r="Q24" s="19">
        <f>INDEX('13 - Electrical Readings'!$P$6:$P$988,1+(2*(ROWS(F$1:F24)-1)))</f>
        <v>2960</v>
      </c>
      <c r="R24" s="19">
        <f>INDEX('9 - Water Readings'!$C$8:$C$988,1+(2*(ROWS(A$1:A23)-1)))</f>
        <v>0</v>
      </c>
      <c r="S24" s="19">
        <f>INDEX('9 - Water Readings'!$D$8:$D$987,1+(2*(ROWS(A$1:A23)-1)))</f>
        <v>0</v>
      </c>
      <c r="T24" s="19">
        <f>INDEX('9 - Water Readings'!$E$8:$E$988,1+(2*(ROWS(A$1:A23)-1)))</f>
        <v>0</v>
      </c>
      <c r="U24" s="19">
        <f>INDEX('9 - Water Readings'!$G$8:$G$987,1+(2*(ROWS(A$1:A23)-1)))</f>
        <v>0</v>
      </c>
      <c r="V24" s="19">
        <f>INDEX('9 - Water Readings'!$H$8:$H$988,1+(2*(ROWS(A$1:A23)-1)))</f>
        <v>0</v>
      </c>
      <c r="W24" s="19">
        <f>INDEX('9 - Water Readings'!$I$8:$I$988,1+(2*(ROWS(A$1:A23)-1)))</f>
        <v>66</v>
      </c>
      <c r="X24" s="19">
        <f>INDEX('9 - Water Readings'!$J$8:$J$988,1+(2*(ROWS(A$1:A23)-1)))</f>
        <v>96</v>
      </c>
      <c r="Y24" s="19">
        <f>INDEX('9 - Water Readings'!$K$8:$K$988,1+(2*(ROWS(A$1:A23)-1)))</f>
        <v>0</v>
      </c>
      <c r="Z24" s="19">
        <f>INDEX('9 - Water Readings'!$L$8:$L$988,1+(2*(ROWS(A$1:A23)-1)))</f>
        <v>63</v>
      </c>
      <c r="AA24" s="20">
        <f>'9 - Water Readings'!Q29</f>
        <v>0</v>
      </c>
      <c r="AB24" s="18">
        <f>'9 - Water Readings'!R29</f>
        <v>0</v>
      </c>
      <c r="AC24">
        <f>'9 - Water Readings'!S29</f>
        <v>14.5</v>
      </c>
    </row>
    <row r="25" spans="1:29" x14ac:dyDescent="0.25">
      <c r="A25" s="17" t="s">
        <v>11</v>
      </c>
      <c r="B25" s="17">
        <f t="shared" si="0"/>
        <v>24</v>
      </c>
      <c r="C25" s="17">
        <v>9</v>
      </c>
      <c r="D25" s="18">
        <v>2019</v>
      </c>
      <c r="E25" s="19">
        <f>INDEX('13 - Electrical Readings'!$C$8:$C$988,1+(2*(ROWS(A$1:A24)-1)))</f>
        <v>7</v>
      </c>
      <c r="F25" s="19">
        <f>INDEX('13 - Electrical Readings'!$D$6:$D$988,1+(2*(ROWS(A$1:A25)-1)))</f>
        <v>791</v>
      </c>
      <c r="G25" s="18">
        <f>INDEX('13 - Electrical Readings'!$E$6:$E$988,1+(2*(ROWS(A$1:A25)-1)))</f>
        <v>14968</v>
      </c>
      <c r="H25" s="18">
        <f>INDEX('13 - Electrical Readings'!$F$6:$F$988,1+(2*(ROWS(A$1:A25)-1)))</f>
        <v>15695</v>
      </c>
      <c r="I25" s="19">
        <f>INDEX('13 - Electrical Readings'!$G$6:$G$988,1+(2*(ROWS(A$1:A25)-1)))</f>
        <v>12</v>
      </c>
      <c r="J25" s="18">
        <f>INDEX('13 - Electrical Readings'!$I$6:$I$988,1+(2*(ROWS(A$1:A25)-1)))</f>
        <v>2033</v>
      </c>
      <c r="K25" s="18">
        <f>INDEX('13 - Electrical Readings'!$J$6:$J$988,1+(2*(ROWS(B$1:B25)-1)))</f>
        <v>4947</v>
      </c>
      <c r="L25" s="18">
        <f>INDEX('13 - Electrical Readings'!$K$6:$K$988,1+(2*(ROWS(C$1:C25)-1)))</f>
        <v>1086</v>
      </c>
      <c r="M25" s="18">
        <f>INDEX('13 - Electrical Readings'!$L$6:$L$988,1+(2*(ROWS(D$1:D25)-1)))</f>
        <v>1546</v>
      </c>
      <c r="N25" s="18">
        <f>INDEX('13 - Electrical Readings'!$M$6:$M$988,1+(2*(ROWS(E$1:E25)-1)))</f>
        <v>5528</v>
      </c>
      <c r="O25" s="19">
        <f>INDEX('13 - Electrical Readings'!$N$6:$N$988,1+(2*(ROWS(E$1:E25)-1)))</f>
        <v>8327</v>
      </c>
      <c r="P25" s="19">
        <f>INDEX('13 - Electrical Readings'!$O$6:$O$988,1+(2*(ROWS(E$1:E25)-1)))</f>
        <v>3255</v>
      </c>
      <c r="Q25" s="19">
        <f>INDEX('13 - Electrical Readings'!$P$6:$P$988,1+(2*(ROWS(F$1:F25)-1)))</f>
        <v>2490</v>
      </c>
      <c r="R25" s="19">
        <f>INDEX('9 - Water Readings'!$C$8:$C$988,1+(2*(ROWS(A$1:A24)-1)))</f>
        <v>15</v>
      </c>
      <c r="S25" s="19">
        <f>INDEX('9 - Water Readings'!$D$8:$D$987,1+(2*(ROWS(A$1:A24)-1)))</f>
        <v>0</v>
      </c>
      <c r="T25" s="19">
        <f>INDEX('9 - Water Readings'!$E$8:$E$988,1+(2*(ROWS(A$1:A24)-1)))</f>
        <v>0</v>
      </c>
      <c r="U25" s="19">
        <f>INDEX('9 - Water Readings'!$G$8:$G$987,1+(2*(ROWS(A$1:A24)-1)))</f>
        <v>0</v>
      </c>
      <c r="V25" s="19">
        <f>INDEX('9 - Water Readings'!$H$8:$H$988,1+(2*(ROWS(A$1:A24)-1)))</f>
        <v>0</v>
      </c>
      <c r="W25" s="19">
        <f>INDEX('9 - Water Readings'!$I$8:$I$988,1+(2*(ROWS(A$1:A24)-1)))</f>
        <v>65</v>
      </c>
      <c r="X25" s="19">
        <f>INDEX('9 - Water Readings'!$J$8:$J$988,1+(2*(ROWS(A$1:A24)-1)))</f>
        <v>86</v>
      </c>
      <c r="Y25" s="19">
        <f>INDEX('9 - Water Readings'!$K$8:$K$988,1+(2*(ROWS(A$1:A24)-1)))</f>
        <v>0</v>
      </c>
      <c r="Z25" s="19">
        <f>INDEX('9 - Water Readings'!$L$8:$L$988,1+(2*(ROWS(A$1:A24)-1)))</f>
        <v>48</v>
      </c>
      <c r="AA25" s="20">
        <f>'9 - Water Readings'!Q30</f>
        <v>0</v>
      </c>
      <c r="AB25" s="18">
        <f>'9 - Water Readings'!R30</f>
        <v>0</v>
      </c>
      <c r="AC25">
        <f>'9 - Water Readings'!S30</f>
        <v>13.2</v>
      </c>
    </row>
    <row r="26" spans="1:29" x14ac:dyDescent="0.25">
      <c r="A26" s="17" t="s">
        <v>11</v>
      </c>
      <c r="B26" s="17">
        <f>B25+1</f>
        <v>25</v>
      </c>
      <c r="C26" s="17">
        <v>9</v>
      </c>
      <c r="D26" s="18">
        <v>2019</v>
      </c>
      <c r="E26" s="19">
        <f>INDEX('13 - Electrical Readings'!$C$8:$C$988,1+(2*(ROWS(A$1:A25)-1)))</f>
        <v>13</v>
      </c>
      <c r="F26" s="19">
        <f>INDEX('13 - Electrical Readings'!$D$6:$D$988,1+(2*(ROWS(A$1:A26)-1)))</f>
        <v>836</v>
      </c>
      <c r="G26" s="18">
        <f>INDEX('13 - Electrical Readings'!$E$6:$E$988,1+(2*(ROWS(A$1:A26)-1)))</f>
        <v>16327</v>
      </c>
      <c r="H26" s="18">
        <f>INDEX('13 - Electrical Readings'!$F$6:$F$988,1+(2*(ROWS(A$1:A26)-1)))</f>
        <v>16994</v>
      </c>
      <c r="I26" s="19">
        <f>INDEX('13 - Electrical Readings'!$G$6:$G$988,1+(2*(ROWS(A$1:A26)-1)))</f>
        <v>14</v>
      </c>
      <c r="J26" s="18">
        <f>INDEX('13 - Electrical Readings'!$I$6:$I$988,1+(2*(ROWS(A$1:A26)-1)))</f>
        <v>2241</v>
      </c>
      <c r="K26" s="18">
        <f>INDEX('13 - Electrical Readings'!$J$6:$J$988,1+(2*(ROWS(B$1:B26)-1)))</f>
        <v>5284</v>
      </c>
      <c r="L26" s="18">
        <f>INDEX('13 - Electrical Readings'!$K$6:$K$988,1+(2*(ROWS(C$1:C26)-1)))</f>
        <v>791</v>
      </c>
      <c r="M26" s="18">
        <f>INDEX('13 - Electrical Readings'!$L$6:$L$988,1+(2*(ROWS(D$1:D26)-1)))</f>
        <v>1907</v>
      </c>
      <c r="N26" s="18">
        <f>INDEX('13 - Electrical Readings'!$M$6:$M$988,1+(2*(ROWS(E$1:E26)-1)))</f>
        <v>5957</v>
      </c>
      <c r="O26" s="19">
        <f>INDEX('13 - Electrical Readings'!$N$6:$N$988,1+(2*(ROWS(E$1:E26)-1)))</f>
        <v>9174</v>
      </c>
      <c r="P26" s="19">
        <f>INDEX('13 - Electrical Readings'!$O$6:$O$988,1+(2*(ROWS(E$1:E26)-1)))</f>
        <v>3151</v>
      </c>
      <c r="Q26" s="19">
        <f>INDEX('13 - Electrical Readings'!$P$6:$P$988,1+(2*(ROWS(F$1:F26)-1)))</f>
        <v>2600</v>
      </c>
      <c r="R26" s="19">
        <f>INDEX('9 - Water Readings'!$C$8:$C$988,1+(2*(ROWS(A$1:A25)-1)))</f>
        <v>8</v>
      </c>
      <c r="S26" s="19">
        <f>INDEX('9 - Water Readings'!$D$8:$D$987,1+(2*(ROWS(A$1:A25)-1)))</f>
        <v>0</v>
      </c>
      <c r="T26" s="19">
        <f>INDEX('9 - Water Readings'!$E$8:$E$988,1+(2*(ROWS(A$1:A25)-1)))</f>
        <v>0</v>
      </c>
      <c r="U26" s="19">
        <f>INDEX('9 - Water Readings'!$G$8:$G$987,1+(2*(ROWS(A$1:A25)-1)))</f>
        <v>0</v>
      </c>
      <c r="V26" s="19">
        <f>INDEX('9 - Water Readings'!$H$8:$H$988,1+(2*(ROWS(A$1:A25)-1)))</f>
        <v>0</v>
      </c>
      <c r="W26" s="19">
        <f>INDEX('9 - Water Readings'!$I$8:$I$988,1+(2*(ROWS(A$1:A25)-1)))</f>
        <v>10</v>
      </c>
      <c r="X26" s="19">
        <f>INDEX('9 - Water Readings'!$J$8:$J$988,1+(2*(ROWS(A$1:A25)-1)))</f>
        <v>108</v>
      </c>
      <c r="Y26" s="19">
        <f>INDEX('9 - Water Readings'!$K$8:$K$988,1+(2*(ROWS(A$1:A25)-1)))</f>
        <v>0</v>
      </c>
      <c r="Z26" s="19">
        <f>INDEX('9 - Water Readings'!$L$8:$L$988,1+(2*(ROWS(A$1:A25)-1)))</f>
        <v>61</v>
      </c>
      <c r="AA26" s="20">
        <f>'9 - Water Readings'!Q31</f>
        <v>0</v>
      </c>
      <c r="AB26" s="18">
        <f>'9 - Water Readings'!R31</f>
        <v>0</v>
      </c>
      <c r="AC26">
        <f>'9 - Water Readings'!S31</f>
        <v>13.4</v>
      </c>
    </row>
    <row r="27" spans="1:29" x14ac:dyDescent="0.25">
      <c r="A27" s="17" t="s">
        <v>11</v>
      </c>
      <c r="B27" s="17">
        <f t="shared" si="0"/>
        <v>26</v>
      </c>
      <c r="C27" s="17">
        <v>9</v>
      </c>
      <c r="D27" s="18">
        <v>2019</v>
      </c>
      <c r="E27" s="19">
        <f>INDEX('13 - Electrical Readings'!$C$8:$C$988,1+(2*(ROWS(A$1:A26)-1)))</f>
        <v>6</v>
      </c>
      <c r="F27" s="19">
        <f>INDEX('13 - Electrical Readings'!$D$6:$D$988,1+(2*(ROWS(A$1:A27)-1)))</f>
        <v>766</v>
      </c>
      <c r="G27" s="18">
        <f>INDEX('13 - Electrical Readings'!$E$6:$E$988,1+(2*(ROWS(A$1:A27)-1)))</f>
        <v>16664</v>
      </c>
      <c r="H27" s="18">
        <f>INDEX('13 - Electrical Readings'!$F$6:$F$988,1+(2*(ROWS(A$1:A27)-1)))</f>
        <v>17459</v>
      </c>
      <c r="I27" s="19">
        <f>INDEX('13 - Electrical Readings'!$G$6:$G$988,1+(2*(ROWS(A$1:A27)-1)))</f>
        <v>13</v>
      </c>
      <c r="J27" s="18">
        <f>INDEX('13 - Electrical Readings'!$I$6:$I$988,1+(2*(ROWS(A$1:A27)-1)))</f>
        <v>2011</v>
      </c>
      <c r="K27" s="18">
        <f>INDEX('13 - Electrical Readings'!$J$6:$J$988,1+(2*(ROWS(B$1:B27)-1)))</f>
        <v>5125</v>
      </c>
      <c r="L27" s="18">
        <f>INDEX('13 - Electrical Readings'!$K$6:$K$988,1+(2*(ROWS(C$1:C27)-1)))</f>
        <v>932</v>
      </c>
      <c r="M27" s="18">
        <f>INDEX('13 - Electrical Readings'!$L$6:$L$988,1+(2*(ROWS(D$1:D27)-1)))</f>
        <v>1869</v>
      </c>
      <c r="N27" s="18">
        <f>INDEX('13 - Electrical Readings'!$M$6:$M$988,1+(2*(ROWS(E$1:E27)-1)))</f>
        <v>4762</v>
      </c>
      <c r="O27" s="19">
        <f>INDEX('13 - Electrical Readings'!$N$6:$N$988,1+(2*(ROWS(E$1:E27)-1)))</f>
        <v>9165</v>
      </c>
      <c r="P27" s="19">
        <f>INDEX('13 - Electrical Readings'!$O$6:$O$988,1+(2*(ROWS(E$1:E27)-1)))</f>
        <v>3610</v>
      </c>
      <c r="Q27" s="19">
        <f>INDEX('13 - Electrical Readings'!$P$6:$P$988,1+(2*(ROWS(F$1:F27)-1)))</f>
        <v>2640</v>
      </c>
      <c r="R27" s="19">
        <f>INDEX('9 - Water Readings'!$C$8:$C$988,1+(2*(ROWS(A$1:A26)-1)))</f>
        <v>0</v>
      </c>
      <c r="S27" s="19">
        <f>INDEX('9 - Water Readings'!$D$8:$D$987,1+(2*(ROWS(A$1:A26)-1)))</f>
        <v>0</v>
      </c>
      <c r="T27" s="19">
        <f>INDEX('9 - Water Readings'!$E$8:$E$988,1+(2*(ROWS(A$1:A26)-1)))</f>
        <v>0</v>
      </c>
      <c r="U27" s="19">
        <f>INDEX('9 - Water Readings'!$G$8:$G$987,1+(2*(ROWS(A$1:A26)-1)))</f>
        <v>0</v>
      </c>
      <c r="V27" s="19">
        <f>INDEX('9 - Water Readings'!$H$8:$H$988,1+(2*(ROWS(A$1:A26)-1)))</f>
        <v>0</v>
      </c>
      <c r="W27" s="19">
        <f>INDEX('9 - Water Readings'!$I$8:$I$988,1+(2*(ROWS(A$1:A26)-1)))</f>
        <v>7</v>
      </c>
      <c r="X27" s="19">
        <f>INDEX('9 - Water Readings'!$J$8:$J$988,1+(2*(ROWS(A$1:A26)-1)))</f>
        <v>85</v>
      </c>
      <c r="Y27" s="19">
        <f>INDEX('9 - Water Readings'!$K$8:$K$988,1+(2*(ROWS(A$1:A26)-1)))</f>
        <v>0</v>
      </c>
      <c r="Z27" s="19">
        <f>INDEX('9 - Water Readings'!$L$8:$L$988,1+(2*(ROWS(A$1:A26)-1)))</f>
        <v>76</v>
      </c>
      <c r="AA27" s="20">
        <f>'9 - Water Readings'!Q32</f>
        <v>0</v>
      </c>
      <c r="AB27" s="18">
        <f>'9 - Water Readings'!R32</f>
        <v>0</v>
      </c>
      <c r="AC27">
        <f>'9 - Water Readings'!S32</f>
        <v>13.6</v>
      </c>
    </row>
    <row r="28" spans="1:29" x14ac:dyDescent="0.25">
      <c r="A28" s="17" t="s">
        <v>11</v>
      </c>
      <c r="B28" s="17">
        <f t="shared" si="0"/>
        <v>27</v>
      </c>
      <c r="C28" s="17">
        <v>9</v>
      </c>
      <c r="D28" s="18">
        <v>2019</v>
      </c>
      <c r="E28" s="19">
        <f>INDEX('13 - Electrical Readings'!$C$8:$C$988,1+(2*(ROWS(A$1:A27)-1)))</f>
        <v>10</v>
      </c>
      <c r="F28" s="19">
        <f>INDEX('13 - Electrical Readings'!$D$6:$D$988,1+(2*(ROWS(A$1:A28)-1)))</f>
        <v>724</v>
      </c>
      <c r="G28" s="18">
        <f>INDEX('13 - Electrical Readings'!$E$6:$E$988,1+(2*(ROWS(A$1:A28)-1)))</f>
        <v>15902</v>
      </c>
      <c r="H28" s="18">
        <f>INDEX('13 - Electrical Readings'!$F$6:$F$988,1+(2*(ROWS(A$1:A28)-1)))</f>
        <v>16678</v>
      </c>
      <c r="I28" s="19">
        <f>INDEX('13 - Electrical Readings'!$G$6:$G$988,1+(2*(ROWS(A$1:A28)-1)))</f>
        <v>16</v>
      </c>
      <c r="J28" s="18">
        <f>INDEX('13 - Electrical Readings'!$I$6:$I$988,1+(2*(ROWS(A$1:A28)-1)))</f>
        <v>1979</v>
      </c>
      <c r="K28" s="18">
        <f>INDEX('13 - Electrical Readings'!$J$6:$J$988,1+(2*(ROWS(B$1:B28)-1)))</f>
        <v>4877</v>
      </c>
      <c r="L28" s="18">
        <f>INDEX('13 - Electrical Readings'!$K$6:$K$988,1+(2*(ROWS(C$1:C28)-1)))</f>
        <v>883</v>
      </c>
      <c r="M28" s="18">
        <f>INDEX('13 - Electrical Readings'!$L$6:$L$988,1+(2*(ROWS(D$1:D28)-1)))</f>
        <v>1862</v>
      </c>
      <c r="N28" s="18">
        <f>INDEX('13 - Electrical Readings'!$M$6:$M$988,1+(2*(ROWS(E$1:E28)-1)))</f>
        <v>4339</v>
      </c>
      <c r="O28" s="19">
        <f>INDEX('13 - Electrical Readings'!$N$6:$N$988,1+(2*(ROWS(E$1:E28)-1)))</f>
        <v>8637</v>
      </c>
      <c r="P28" s="19">
        <f>INDEX('13 - Electrical Readings'!$O$6:$O$988,1+(2*(ROWS(E$1:E28)-1)))</f>
        <v>3077</v>
      </c>
      <c r="Q28" s="19">
        <f>INDEX('13 - Electrical Readings'!$P$6:$P$988,1+(2*(ROWS(F$1:F28)-1)))</f>
        <v>3200</v>
      </c>
      <c r="R28" s="19">
        <f>INDEX('9 - Water Readings'!$C$8:$C$988,1+(2*(ROWS(A$1:A27)-1)))</f>
        <v>0</v>
      </c>
      <c r="S28" s="19">
        <f>INDEX('9 - Water Readings'!$D$8:$D$987,1+(2*(ROWS(A$1:A27)-1)))</f>
        <v>0</v>
      </c>
      <c r="T28" s="19">
        <f>INDEX('9 - Water Readings'!$E$8:$E$988,1+(2*(ROWS(A$1:A27)-1)))</f>
        <v>0</v>
      </c>
      <c r="U28" s="19">
        <f>INDEX('9 - Water Readings'!$G$8:$G$987,1+(2*(ROWS(A$1:A27)-1)))</f>
        <v>0</v>
      </c>
      <c r="V28" s="19">
        <f>INDEX('9 - Water Readings'!$H$8:$H$988,1+(2*(ROWS(A$1:A27)-1)))</f>
        <v>0</v>
      </c>
      <c r="W28" s="19">
        <f>INDEX('9 - Water Readings'!$I$8:$I$988,1+(2*(ROWS(A$1:A27)-1)))</f>
        <v>29</v>
      </c>
      <c r="X28" s="19">
        <f>INDEX('9 - Water Readings'!$J$8:$J$988,1+(2*(ROWS(A$1:A27)-1)))</f>
        <v>84</v>
      </c>
      <c r="Y28" s="19">
        <f>INDEX('9 - Water Readings'!$K$8:$K$988,1+(2*(ROWS(A$1:A27)-1)))</f>
        <v>0</v>
      </c>
      <c r="Z28" s="19">
        <f>INDEX('9 - Water Readings'!$L$8:$L$988,1+(2*(ROWS(A$1:A27)-1)))</f>
        <v>60</v>
      </c>
      <c r="AA28" s="20">
        <f>'9 - Water Readings'!Q33</f>
        <v>0</v>
      </c>
      <c r="AB28" s="18">
        <f>'9 - Water Readings'!R33</f>
        <v>0</v>
      </c>
      <c r="AC28">
        <f>'9 - Water Readings'!S33</f>
        <v>13.4</v>
      </c>
    </row>
    <row r="29" spans="1:29" x14ac:dyDescent="0.25">
      <c r="A29" s="17" t="s">
        <v>11</v>
      </c>
      <c r="B29" s="17">
        <f t="shared" si="0"/>
        <v>28</v>
      </c>
      <c r="C29" s="17">
        <v>9</v>
      </c>
      <c r="D29" s="18">
        <v>2019</v>
      </c>
      <c r="E29" s="19">
        <f>INDEX('13 - Electrical Readings'!$C$8:$C$988,1+(2*(ROWS(A$1:A28)-1)))</f>
        <v>8</v>
      </c>
      <c r="F29" s="19">
        <f>INDEX('13 - Electrical Readings'!$D$6:$D$988,1+(2*(ROWS(A$1:A29)-1)))</f>
        <v>746</v>
      </c>
      <c r="G29" s="18">
        <f>INDEX('13 - Electrical Readings'!$E$6:$E$988,1+(2*(ROWS(A$1:A29)-1)))</f>
        <v>15829</v>
      </c>
      <c r="H29" s="18">
        <f>INDEX('13 - Electrical Readings'!$F$6:$F$988,1+(2*(ROWS(A$1:A29)-1)))</f>
        <v>16666</v>
      </c>
      <c r="I29" s="19">
        <f>INDEX('13 - Electrical Readings'!$G$6:$G$988,1+(2*(ROWS(A$1:A29)-1)))</f>
        <v>14</v>
      </c>
      <c r="J29" s="18">
        <f>INDEX('13 - Electrical Readings'!$I$6:$I$988,1+(2*(ROWS(A$1:A29)-1)))</f>
        <v>1879</v>
      </c>
      <c r="K29" s="18">
        <f>INDEX('13 - Electrical Readings'!$J$6:$J$988,1+(2*(ROWS(B$1:B29)-1)))</f>
        <v>4815</v>
      </c>
      <c r="L29" s="18">
        <f>INDEX('13 - Electrical Readings'!$K$6:$K$988,1+(2*(ROWS(C$1:C29)-1)))</f>
        <v>930</v>
      </c>
      <c r="M29" s="18">
        <f>INDEX('13 - Electrical Readings'!$L$6:$L$988,1+(2*(ROWS(D$1:D29)-1)))</f>
        <v>1970</v>
      </c>
      <c r="N29" s="18">
        <f>INDEX('13 - Electrical Readings'!$M$6:$M$988,1+(2*(ROWS(E$1:E29)-1)))</f>
        <v>4874</v>
      </c>
      <c r="O29" s="19">
        <f>INDEX('13 - Electrical Readings'!$N$6:$N$988,1+(2*(ROWS(E$1:E29)-1)))</f>
        <v>8282</v>
      </c>
      <c r="P29" s="19">
        <f>INDEX('13 - Electrical Readings'!$O$6:$O$988,1+(2*(ROWS(E$1:E29)-1)))</f>
        <v>2793</v>
      </c>
      <c r="Q29" s="19">
        <f>INDEX('13 - Electrical Readings'!$P$6:$P$988,1+(2*(ROWS(F$1:F29)-1)))</f>
        <v>2530</v>
      </c>
      <c r="R29" s="19">
        <f>INDEX('9 - Water Readings'!$C$8:$C$988,1+(2*(ROWS(A$1:A28)-1)))</f>
        <v>0</v>
      </c>
      <c r="S29" s="19">
        <f>INDEX('9 - Water Readings'!$D$8:$D$987,1+(2*(ROWS(A$1:A28)-1)))</f>
        <v>0</v>
      </c>
      <c r="T29" s="19">
        <f>INDEX('9 - Water Readings'!$E$8:$E$988,1+(2*(ROWS(A$1:A28)-1)))</f>
        <v>0</v>
      </c>
      <c r="U29" s="19">
        <f>INDEX('9 - Water Readings'!$G$8:$G$987,1+(2*(ROWS(A$1:A28)-1)))</f>
        <v>0</v>
      </c>
      <c r="V29" s="19">
        <f>INDEX('9 - Water Readings'!$H$8:$H$988,1+(2*(ROWS(A$1:A28)-1)))</f>
        <v>0</v>
      </c>
      <c r="W29" s="19">
        <f>INDEX('9 - Water Readings'!$I$8:$I$988,1+(2*(ROWS(A$1:A28)-1)))</f>
        <v>29</v>
      </c>
      <c r="X29" s="19">
        <f>INDEX('9 - Water Readings'!$J$8:$J$988,1+(2*(ROWS(A$1:A28)-1)))</f>
        <v>76</v>
      </c>
      <c r="Y29" s="19">
        <f>INDEX('9 - Water Readings'!$K$8:$K$988,1+(2*(ROWS(A$1:A28)-1)))</f>
        <v>0</v>
      </c>
      <c r="Z29" s="19">
        <f>INDEX('9 - Water Readings'!$L$8:$L$988,1+(2*(ROWS(A$1:A28)-1)))</f>
        <v>62</v>
      </c>
      <c r="AA29" s="20">
        <f>'9 - Water Readings'!Q34</f>
        <v>0</v>
      </c>
      <c r="AB29" s="18">
        <f>'9 - Water Readings'!R34</f>
        <v>0</v>
      </c>
      <c r="AC29">
        <f>'9 - Water Readings'!S34</f>
        <v>13.7</v>
      </c>
    </row>
    <row r="30" spans="1:29" x14ac:dyDescent="0.25">
      <c r="A30" s="17" t="s">
        <v>11</v>
      </c>
      <c r="B30" s="17">
        <f t="shared" si="0"/>
        <v>29</v>
      </c>
      <c r="C30" s="17">
        <v>9</v>
      </c>
      <c r="D30" s="18">
        <v>2019</v>
      </c>
      <c r="E30" s="19">
        <f>INDEX('13 - Electrical Readings'!$C$8:$C$988,1+(2*(ROWS(A$1:A29)-1)))</f>
        <v>9</v>
      </c>
      <c r="F30" s="19">
        <f>INDEX('13 - Electrical Readings'!$D$6:$D$988,1+(2*(ROWS(A$1:A30)-1)))</f>
        <v>6163</v>
      </c>
      <c r="G30" s="18">
        <f>INDEX('13 - Electrical Readings'!$E$6:$E$988,1+(2*(ROWS(A$1:A30)-1)))</f>
        <v>14476</v>
      </c>
      <c r="H30" s="18">
        <f>INDEX('13 - Electrical Readings'!$F$6:$F$988,1+(2*(ROWS(A$1:A30)-1)))</f>
        <v>9865</v>
      </c>
      <c r="I30" s="19">
        <f>INDEX('13 - Electrical Readings'!$G$6:$G$988,1+(2*(ROWS(A$1:A30)-1)))</f>
        <v>14</v>
      </c>
      <c r="J30" s="18">
        <f>INDEX('13 - Electrical Readings'!$I$6:$I$988,1+(2*(ROWS(A$1:A30)-1)))</f>
        <v>2295</v>
      </c>
      <c r="K30" s="18">
        <f>INDEX('13 - Electrical Readings'!$J$6:$J$988,1+(2*(ROWS(B$1:B30)-1)))</f>
        <v>3538</v>
      </c>
      <c r="L30" s="18">
        <f>INDEX('13 - Electrical Readings'!$K$6:$K$988,1+(2*(ROWS(C$1:C30)-1)))</f>
        <v>1179</v>
      </c>
      <c r="M30" s="18">
        <f>INDEX('13 - Electrical Readings'!$L$6:$L$988,1+(2*(ROWS(D$1:D30)-1)))</f>
        <v>2015</v>
      </c>
      <c r="N30" s="18">
        <f>INDEX('13 - Electrical Readings'!$M$6:$M$988,1+(2*(ROWS(E$1:E30)-1)))</f>
        <v>5705</v>
      </c>
      <c r="O30" s="19">
        <f>INDEX('13 - Electrical Readings'!$N$6:$N$988,1+(2*(ROWS(E$1:E30)-1)))</f>
        <v>9055</v>
      </c>
      <c r="P30" s="19">
        <f>INDEX('13 - Electrical Readings'!$O$6:$O$988,1+(2*(ROWS(E$1:E30)-1)))</f>
        <v>3461</v>
      </c>
      <c r="Q30" s="19">
        <f>INDEX('13 - Electrical Readings'!$P$6:$P$988,1+(2*(ROWS(F$1:F30)-1)))</f>
        <v>2510</v>
      </c>
      <c r="R30" s="19">
        <f>INDEX('9 - Water Readings'!$C$8:$C$988,1+(2*(ROWS(A$1:A29)-1)))</f>
        <v>0</v>
      </c>
      <c r="S30" s="19">
        <f>INDEX('9 - Water Readings'!$D$8:$D$987,1+(2*(ROWS(A$1:A29)-1)))</f>
        <v>0</v>
      </c>
      <c r="T30" s="19">
        <f>INDEX('9 - Water Readings'!$E$8:$E$988,1+(2*(ROWS(A$1:A29)-1)))</f>
        <v>0</v>
      </c>
      <c r="U30" s="19">
        <f>INDEX('9 - Water Readings'!$G$8:$G$987,1+(2*(ROWS(A$1:A29)-1)))</f>
        <v>0</v>
      </c>
      <c r="V30" s="19">
        <f>INDEX('9 - Water Readings'!$H$8:$H$988,1+(2*(ROWS(A$1:A29)-1)))</f>
        <v>0</v>
      </c>
      <c r="W30" s="19">
        <f>INDEX('9 - Water Readings'!$I$8:$I$988,1+(2*(ROWS(A$1:A29)-1)))</f>
        <v>32</v>
      </c>
      <c r="X30" s="19">
        <f>INDEX('9 - Water Readings'!$J$8:$J$988,1+(2*(ROWS(A$1:A29)-1)))</f>
        <v>76</v>
      </c>
      <c r="Y30" s="19">
        <f>INDEX('9 - Water Readings'!$K$8:$K$988,1+(2*(ROWS(A$1:A29)-1)))</f>
        <v>0</v>
      </c>
      <c r="Z30" s="19">
        <f>INDEX('9 - Water Readings'!$L$8:$L$988,1+(2*(ROWS(A$1:A29)-1)))</f>
        <v>54</v>
      </c>
      <c r="AA30" s="20">
        <f>'9 - Water Readings'!Q35</f>
        <v>0</v>
      </c>
      <c r="AB30" s="18">
        <f>'9 - Water Readings'!R35</f>
        <v>0</v>
      </c>
      <c r="AC30">
        <f>'9 - Water Readings'!S35</f>
        <v>14.2</v>
      </c>
    </row>
    <row r="31" spans="1:29" x14ac:dyDescent="0.25">
      <c r="A31" s="17" t="s">
        <v>11</v>
      </c>
      <c r="B31" s="17">
        <f t="shared" si="0"/>
        <v>30</v>
      </c>
      <c r="C31" s="17">
        <v>9</v>
      </c>
      <c r="D31" s="18">
        <v>2019</v>
      </c>
      <c r="E31" s="19">
        <f>INDEX('13 - Electrical Readings'!$C$8:$C$988,1+(2*(ROWS(A$1:A30)-1)))</f>
        <v>15</v>
      </c>
      <c r="F31" s="19">
        <f>INDEX('13 - Electrical Readings'!$D$6:$D$988,1+(2*(ROWS(A$1:A31)-1)))</f>
        <v>12114</v>
      </c>
      <c r="G31" s="18">
        <f>INDEX('13 - Electrical Readings'!$E$6:$E$988,1+(2*(ROWS(A$1:A31)-1)))</f>
        <v>15700</v>
      </c>
      <c r="H31" s="18">
        <f>INDEX('13 - Electrical Readings'!$F$6:$F$988,1+(2*(ROWS(A$1:A31)-1)))</f>
        <v>5310</v>
      </c>
      <c r="I31" s="19">
        <f>INDEX('13 - Electrical Readings'!$G$6:$G$988,1+(2*(ROWS(A$1:A31)-1)))</f>
        <v>17</v>
      </c>
      <c r="J31" s="18">
        <f>INDEX('13 - Electrical Readings'!$I$6:$I$988,1+(2*(ROWS(A$1:A31)-1)))</f>
        <v>1809</v>
      </c>
      <c r="K31" s="18">
        <f>INDEX('13 - Electrical Readings'!$J$6:$J$988,1+(2*(ROWS(B$1:B31)-1)))</f>
        <v>3113</v>
      </c>
      <c r="L31" s="18">
        <f>INDEX('13 - Electrical Readings'!$K$6:$K$988,1+(2*(ROWS(C$1:C31)-1)))</f>
        <v>1105</v>
      </c>
      <c r="M31" s="18">
        <f>INDEX('13 - Electrical Readings'!$L$6:$L$988,1+(2*(ROWS(D$1:D31)-1)))</f>
        <v>1808</v>
      </c>
      <c r="N31" s="18">
        <f>INDEX('13 - Electrical Readings'!$M$6:$M$988,1+(2*(ROWS(E$1:E31)-1)))</f>
        <v>5275</v>
      </c>
      <c r="O31" s="19">
        <f>INDEX('13 - Electrical Readings'!$N$6:$N$988,1+(2*(ROWS(E$1:E31)-1)))</f>
        <v>8476</v>
      </c>
      <c r="P31" s="19">
        <f>INDEX('13 - Electrical Readings'!$O$6:$O$988,1+(2*(ROWS(E$1:E31)-1)))</f>
        <v>3507</v>
      </c>
      <c r="Q31" s="19">
        <f>INDEX('13 - Electrical Readings'!$P$6:$P$988,1+(2*(ROWS(F$1:F31)-1)))</f>
        <v>2640</v>
      </c>
      <c r="R31" s="19">
        <f>INDEX('9 - Water Readings'!$C$8:$C$988,1+(2*(ROWS(A$1:A30)-1)))</f>
        <v>0</v>
      </c>
      <c r="S31" s="19">
        <f>INDEX('9 - Water Readings'!$D$8:$D$987,1+(2*(ROWS(A$1:A30)-1)))</f>
        <v>0</v>
      </c>
      <c r="T31" s="19">
        <f>INDEX('9 - Water Readings'!$E$8:$E$988,1+(2*(ROWS(A$1:A30)-1)))</f>
        <v>0</v>
      </c>
      <c r="U31" s="19">
        <f>INDEX('9 - Water Readings'!$G$8:$G$987,1+(2*(ROWS(A$1:A30)-1)))</f>
        <v>0</v>
      </c>
      <c r="V31" s="19">
        <f>INDEX('9 - Water Readings'!$H$8:$H$988,1+(2*(ROWS(A$1:A30)-1)))</f>
        <v>0</v>
      </c>
      <c r="W31" s="19">
        <f>INDEX('9 - Water Readings'!$I$8:$I$988,1+(2*(ROWS(A$1:A30)-1)))</f>
        <v>32</v>
      </c>
      <c r="X31" s="19">
        <f>INDEX('9 - Water Readings'!$J$8:$J$988,1+(2*(ROWS(A$1:A30)-1)))</f>
        <v>83</v>
      </c>
      <c r="Y31" s="19">
        <f>INDEX('9 - Water Readings'!$K$8:$K$988,1+(2*(ROWS(A$1:A30)-1)))</f>
        <v>0</v>
      </c>
      <c r="Z31" s="19">
        <f>INDEX('9 - Water Readings'!$L$8:$L$988,1+(2*(ROWS(A$1:A30)-1)))</f>
        <v>55</v>
      </c>
      <c r="AA31" s="20">
        <f>'9 - Water Readings'!Q36</f>
        <v>0</v>
      </c>
      <c r="AB31" s="18">
        <f>'9 - Water Readings'!R36</f>
        <v>0</v>
      </c>
      <c r="AC31">
        <f>'9 - Water Readings'!S36</f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6"/>
  <sheetViews>
    <sheetView zoomScale="90" zoomScaleNormal="90" zoomScaleSheetLayoutView="100" workbookViewId="0">
      <pane ySplit="6" topLeftCell="A7" activePane="bottomLeft" state="frozen"/>
      <selection pane="bottomLeft" activeCell="W55" sqref="W55"/>
    </sheetView>
  </sheetViews>
  <sheetFormatPr defaultRowHeight="15" x14ac:dyDescent="0.25"/>
  <cols>
    <col min="1" max="1" width="1" style="21" customWidth="1"/>
    <col min="2" max="2" width="10.5703125" style="21" customWidth="1"/>
    <col min="3" max="7" width="9.7109375" style="21" customWidth="1"/>
    <col min="8" max="8" width="13.5703125" style="21" bestFit="1" customWidth="1"/>
    <col min="9" max="16" width="9.7109375" style="21" customWidth="1"/>
    <col min="17" max="17" width="16.140625" style="21" bestFit="1" customWidth="1"/>
    <col min="18" max="18" width="17.140625" style="21" customWidth="1"/>
    <col min="19" max="16384" width="9.140625" style="21"/>
  </cols>
  <sheetData>
    <row r="1" spans="2:18" ht="12" customHeight="1" x14ac:dyDescent="0.25"/>
    <row r="2" spans="2:18" ht="19.5" customHeight="1" x14ac:dyDescent="0.25">
      <c r="F2" s="22" t="s">
        <v>34</v>
      </c>
      <c r="G2" s="22"/>
      <c r="H2" s="22"/>
      <c r="I2" s="22"/>
      <c r="J2" s="22"/>
      <c r="K2" s="22"/>
      <c r="L2" s="22"/>
      <c r="M2" s="22"/>
    </row>
    <row r="3" spans="2:18" ht="21" customHeight="1" x14ac:dyDescent="0.3">
      <c r="F3" s="23" t="s">
        <v>35</v>
      </c>
      <c r="G3" s="23"/>
      <c r="H3" s="23"/>
      <c r="I3" s="23"/>
      <c r="J3" s="23"/>
      <c r="K3" s="23"/>
      <c r="L3" s="23"/>
      <c r="M3" s="23"/>
      <c r="N3" s="24" t="s">
        <v>36</v>
      </c>
      <c r="O3" s="24"/>
      <c r="P3" s="24"/>
    </row>
    <row r="4" spans="2:18" ht="15" customHeight="1" thickBot="1" x14ac:dyDescent="0.3">
      <c r="N4" s="25"/>
      <c r="O4" s="25"/>
      <c r="P4" s="25"/>
    </row>
    <row r="5" spans="2:18" ht="30.75" thickTop="1" x14ac:dyDescent="0.25">
      <c r="B5" s="26" t="s">
        <v>37</v>
      </c>
      <c r="C5" s="27" t="s">
        <v>38</v>
      </c>
      <c r="D5" s="27" t="s">
        <v>38</v>
      </c>
      <c r="E5" s="27" t="s">
        <v>38</v>
      </c>
      <c r="F5" s="27" t="s">
        <v>38</v>
      </c>
      <c r="G5" s="27" t="s">
        <v>38</v>
      </c>
      <c r="H5" s="28" t="s">
        <v>39</v>
      </c>
      <c r="I5" s="27" t="s">
        <v>40</v>
      </c>
      <c r="J5" s="27" t="s">
        <v>41</v>
      </c>
      <c r="K5" s="27" t="s">
        <v>41</v>
      </c>
      <c r="L5" s="27" t="s">
        <v>41</v>
      </c>
      <c r="M5" s="27" t="s">
        <v>41</v>
      </c>
      <c r="N5" s="27" t="s">
        <v>42</v>
      </c>
      <c r="O5" s="27" t="s">
        <v>43</v>
      </c>
      <c r="P5" s="27" t="s">
        <v>44</v>
      </c>
      <c r="Q5" s="29" t="s">
        <v>45</v>
      </c>
      <c r="R5" s="30" t="s">
        <v>46</v>
      </c>
    </row>
    <row r="6" spans="2:18" x14ac:dyDescent="0.25">
      <c r="B6" s="31"/>
      <c r="C6" s="32">
        <v>157691</v>
      </c>
      <c r="D6" s="32">
        <v>157692</v>
      </c>
      <c r="E6" s="32">
        <v>157693</v>
      </c>
      <c r="F6" s="32">
        <v>157694</v>
      </c>
      <c r="G6" s="32">
        <v>167609</v>
      </c>
      <c r="H6" s="33"/>
      <c r="I6" s="32">
        <v>166443</v>
      </c>
      <c r="J6" s="32">
        <v>157687</v>
      </c>
      <c r="K6" s="32">
        <v>157688</v>
      </c>
      <c r="L6" s="32">
        <v>157689</v>
      </c>
      <c r="M6" s="32">
        <v>157690</v>
      </c>
      <c r="N6" s="32">
        <v>174390</v>
      </c>
      <c r="O6" s="32">
        <v>173992</v>
      </c>
      <c r="P6" s="32">
        <v>1180004</v>
      </c>
      <c r="Q6" s="34"/>
      <c r="R6" s="35"/>
    </row>
    <row r="7" spans="2:18" ht="17.25" customHeight="1" x14ac:dyDescent="0.25">
      <c r="B7" s="36">
        <v>1</v>
      </c>
      <c r="C7" s="37">
        <v>13967115</v>
      </c>
      <c r="D7" s="37">
        <v>10455328</v>
      </c>
      <c r="E7" s="37">
        <v>19078328</v>
      </c>
      <c r="F7" s="37">
        <v>18472906</v>
      </c>
      <c r="G7" s="37">
        <v>12631483</v>
      </c>
      <c r="H7" s="38"/>
      <c r="I7" s="37">
        <v>4300812</v>
      </c>
      <c r="J7" s="37">
        <v>19218459</v>
      </c>
      <c r="K7" s="37">
        <v>5576982</v>
      </c>
      <c r="L7" s="37">
        <v>9204085</v>
      </c>
      <c r="M7" s="37">
        <v>12517544</v>
      </c>
      <c r="N7" s="37">
        <v>18523298</v>
      </c>
      <c r="O7" s="37">
        <v>5629800</v>
      </c>
      <c r="P7" s="37">
        <v>4884720</v>
      </c>
      <c r="Q7" s="39"/>
      <c r="R7" s="40"/>
    </row>
    <row r="8" spans="2:18" ht="17.25" customHeight="1" x14ac:dyDescent="0.25">
      <c r="B8" s="41" t="s">
        <v>47</v>
      </c>
      <c r="C8" s="42">
        <f>C7-13957994</f>
        <v>9121</v>
      </c>
      <c r="D8" s="42">
        <f>D7-10444006</f>
        <v>11322</v>
      </c>
      <c r="E8" s="42">
        <f>E7-19069012</f>
        <v>9316</v>
      </c>
      <c r="F8" s="42">
        <f>F7-18467610</f>
        <v>5296</v>
      </c>
      <c r="G8" s="42">
        <f>G7-12631471</f>
        <v>12</v>
      </c>
      <c r="H8" s="38">
        <f>SUM(C8:G8)</f>
        <v>35067</v>
      </c>
      <c r="I8" s="42">
        <f>I7-4298813</f>
        <v>1999</v>
      </c>
      <c r="J8" s="42">
        <f>J7-19213293</f>
        <v>5166</v>
      </c>
      <c r="K8" s="42">
        <f>K7-5575016</f>
        <v>1966</v>
      </c>
      <c r="L8" s="42">
        <f>L7-9201515</f>
        <v>2570</v>
      </c>
      <c r="M8" s="42">
        <f>M7-12511525</f>
        <v>6019</v>
      </c>
      <c r="N8" s="42">
        <f>N7-18514579</f>
        <v>8719</v>
      </c>
      <c r="O8" s="42">
        <f>O7-5626346</f>
        <v>3454</v>
      </c>
      <c r="P8" s="42">
        <f>P7-4882790</f>
        <v>1930</v>
      </c>
      <c r="Q8" s="43">
        <f>SUM(I8:P8)</f>
        <v>31823</v>
      </c>
      <c r="R8" s="44">
        <f>SUM(H8,Q8)</f>
        <v>66890</v>
      </c>
    </row>
    <row r="9" spans="2:18" ht="17.25" customHeight="1" x14ac:dyDescent="0.25">
      <c r="B9" s="36">
        <v>2</v>
      </c>
      <c r="C9" s="37">
        <v>13986993</v>
      </c>
      <c r="D9" s="37">
        <v>10468732</v>
      </c>
      <c r="E9" s="37">
        <v>19083019</v>
      </c>
      <c r="F9" s="37">
        <v>18478262</v>
      </c>
      <c r="G9" s="37">
        <v>12631498</v>
      </c>
      <c r="H9" s="38"/>
      <c r="I9" s="37">
        <v>4302835</v>
      </c>
      <c r="J9" s="37">
        <v>19223697</v>
      </c>
      <c r="K9" s="37">
        <v>5578837</v>
      </c>
      <c r="L9" s="37">
        <v>9206615</v>
      </c>
      <c r="M9" s="37">
        <v>12523510</v>
      </c>
      <c r="N9" s="37">
        <v>18532077</v>
      </c>
      <c r="O9" s="37">
        <v>5633248</v>
      </c>
      <c r="P9" s="37">
        <v>4887260</v>
      </c>
      <c r="Q9" s="39"/>
      <c r="R9" s="45"/>
    </row>
    <row r="10" spans="2:18" ht="17.25" customHeight="1" x14ac:dyDescent="0.25">
      <c r="B10" s="41" t="s">
        <v>47</v>
      </c>
      <c r="C10" s="42">
        <f>C9-C7</f>
        <v>19878</v>
      </c>
      <c r="D10" s="42">
        <f>D9-D7</f>
        <v>13404</v>
      </c>
      <c r="E10" s="42">
        <f>E9-E7</f>
        <v>4691</v>
      </c>
      <c r="F10" s="42">
        <f>F9-F7</f>
        <v>5356</v>
      </c>
      <c r="G10" s="42">
        <f>G9-G7</f>
        <v>15</v>
      </c>
      <c r="H10" s="38">
        <f>SUM(C10:G10)</f>
        <v>43344</v>
      </c>
      <c r="I10" s="42">
        <f>I9-I7</f>
        <v>2023</v>
      </c>
      <c r="J10" s="42">
        <f t="shared" ref="J10:P22" si="0">J9-J7</f>
        <v>5238</v>
      </c>
      <c r="K10" s="42">
        <f t="shared" si="0"/>
        <v>1855</v>
      </c>
      <c r="L10" s="42">
        <f t="shared" si="0"/>
        <v>2530</v>
      </c>
      <c r="M10" s="42">
        <f t="shared" si="0"/>
        <v>5966</v>
      </c>
      <c r="N10" s="42">
        <f t="shared" si="0"/>
        <v>8779</v>
      </c>
      <c r="O10" s="42">
        <f t="shared" si="0"/>
        <v>3448</v>
      </c>
      <c r="P10" s="42">
        <f t="shared" si="0"/>
        <v>2540</v>
      </c>
      <c r="Q10" s="43">
        <f>SUM(I10:P10)</f>
        <v>32379</v>
      </c>
      <c r="R10" s="44">
        <f>SUM(H10,Q10)</f>
        <v>75723</v>
      </c>
    </row>
    <row r="11" spans="2:18" ht="17.25" customHeight="1" x14ac:dyDescent="0.25">
      <c r="B11" s="36">
        <v>3</v>
      </c>
      <c r="C11" s="37">
        <v>14005926</v>
      </c>
      <c r="D11" s="37">
        <v>10481458</v>
      </c>
      <c r="E11" s="37">
        <v>19087530</v>
      </c>
      <c r="F11" s="37">
        <v>18483544</v>
      </c>
      <c r="G11" s="37">
        <v>12631512</v>
      </c>
      <c r="H11" s="38"/>
      <c r="I11" s="37">
        <v>4304816</v>
      </c>
      <c r="J11" s="37">
        <v>19228884</v>
      </c>
      <c r="K11" s="37">
        <v>5580661</v>
      </c>
      <c r="L11" s="37">
        <v>9208932</v>
      </c>
      <c r="M11" s="37">
        <v>12529357</v>
      </c>
      <c r="N11" s="37">
        <v>18540238</v>
      </c>
      <c r="O11" s="37">
        <v>5637180</v>
      </c>
      <c r="P11" s="37">
        <v>4889750</v>
      </c>
      <c r="Q11" s="39"/>
      <c r="R11" s="40"/>
    </row>
    <row r="12" spans="2:18" ht="17.25" customHeight="1" x14ac:dyDescent="0.25">
      <c r="B12" s="41" t="s">
        <v>47</v>
      </c>
      <c r="C12" s="42">
        <f>C11-C9</f>
        <v>18933</v>
      </c>
      <c r="D12" s="42">
        <f>D11-D9</f>
        <v>12726</v>
      </c>
      <c r="E12" s="42">
        <f>E11-E9</f>
        <v>4511</v>
      </c>
      <c r="F12" s="42">
        <f>F11-F9</f>
        <v>5282</v>
      </c>
      <c r="G12" s="42">
        <f>G11-G9</f>
        <v>14</v>
      </c>
      <c r="H12" s="38">
        <f>SUM(C12:G12)</f>
        <v>41466</v>
      </c>
      <c r="I12" s="42">
        <f>I11-I9</f>
        <v>1981</v>
      </c>
      <c r="J12" s="42">
        <f t="shared" si="0"/>
        <v>5187</v>
      </c>
      <c r="K12" s="42">
        <f t="shared" si="0"/>
        <v>1824</v>
      </c>
      <c r="L12" s="42">
        <f t="shared" si="0"/>
        <v>2317</v>
      </c>
      <c r="M12" s="42">
        <f t="shared" si="0"/>
        <v>5847</v>
      </c>
      <c r="N12" s="42">
        <f t="shared" si="0"/>
        <v>8161</v>
      </c>
      <c r="O12" s="42">
        <f t="shared" si="0"/>
        <v>3932</v>
      </c>
      <c r="P12" s="42">
        <f t="shared" si="0"/>
        <v>2490</v>
      </c>
      <c r="Q12" s="43">
        <f>SUM(I12:P12)</f>
        <v>31739</v>
      </c>
      <c r="R12" s="44">
        <f>SUM(H12,Q12)</f>
        <v>73205</v>
      </c>
    </row>
    <row r="13" spans="2:18" ht="17.25" customHeight="1" x14ac:dyDescent="0.25">
      <c r="B13" s="36">
        <v>4</v>
      </c>
      <c r="C13" s="37">
        <v>14023360</v>
      </c>
      <c r="D13" s="37">
        <v>10493194</v>
      </c>
      <c r="E13" s="37">
        <v>19092180</v>
      </c>
      <c r="F13" s="37">
        <v>18488960</v>
      </c>
      <c r="G13" s="37">
        <v>12631525</v>
      </c>
      <c r="H13" s="38"/>
      <c r="I13" s="37">
        <v>4306920</v>
      </c>
      <c r="J13" s="37">
        <v>19234233</v>
      </c>
      <c r="K13" s="37">
        <v>5582485</v>
      </c>
      <c r="L13" s="37">
        <v>9211343</v>
      </c>
      <c r="M13" s="37">
        <v>12535404</v>
      </c>
      <c r="N13" s="37">
        <v>18548974</v>
      </c>
      <c r="O13" s="37">
        <v>5641246</v>
      </c>
      <c r="P13" s="37">
        <v>4892310</v>
      </c>
      <c r="Q13" s="39"/>
      <c r="R13" s="45"/>
    </row>
    <row r="14" spans="2:18" ht="17.25" customHeight="1" x14ac:dyDescent="0.25">
      <c r="B14" s="41" t="s">
        <v>47</v>
      </c>
      <c r="C14" s="42">
        <f>C13-C11</f>
        <v>17434</v>
      </c>
      <c r="D14" s="42">
        <f>D13-D11</f>
        <v>11736</v>
      </c>
      <c r="E14" s="42">
        <f>E13-E11</f>
        <v>4650</v>
      </c>
      <c r="F14" s="42">
        <f>F13-F11</f>
        <v>5416</v>
      </c>
      <c r="G14" s="42">
        <f>G13-G11</f>
        <v>13</v>
      </c>
      <c r="H14" s="38">
        <f>SUM(C14:G14)</f>
        <v>39249</v>
      </c>
      <c r="I14" s="42">
        <f>I13-I11</f>
        <v>2104</v>
      </c>
      <c r="J14" s="42">
        <f t="shared" si="0"/>
        <v>5349</v>
      </c>
      <c r="K14" s="42">
        <f t="shared" si="0"/>
        <v>1824</v>
      </c>
      <c r="L14" s="42">
        <f t="shared" si="0"/>
        <v>2411</v>
      </c>
      <c r="M14" s="42">
        <f t="shared" si="0"/>
        <v>6047</v>
      </c>
      <c r="N14" s="42">
        <f t="shared" si="0"/>
        <v>8736</v>
      </c>
      <c r="O14" s="42">
        <f t="shared" si="0"/>
        <v>4066</v>
      </c>
      <c r="P14" s="42">
        <f t="shared" si="0"/>
        <v>2560</v>
      </c>
      <c r="Q14" s="43">
        <f>SUM(I14:P14)</f>
        <v>33097</v>
      </c>
      <c r="R14" s="44">
        <f>SUM(H14,Q14)</f>
        <v>72346</v>
      </c>
    </row>
    <row r="15" spans="2:18" ht="17.25" customHeight="1" x14ac:dyDescent="0.25">
      <c r="B15" s="36">
        <v>5</v>
      </c>
      <c r="C15" s="37">
        <v>14041370</v>
      </c>
      <c r="D15" s="37">
        <v>10499728</v>
      </c>
      <c r="E15" s="37">
        <v>19096696</v>
      </c>
      <c r="F15" s="37">
        <v>18499693</v>
      </c>
      <c r="G15" s="37">
        <v>12631537</v>
      </c>
      <c r="H15" s="38"/>
      <c r="I15" s="37">
        <v>4308886</v>
      </c>
      <c r="J15" s="37">
        <v>19239443</v>
      </c>
      <c r="K15" s="37">
        <v>5584275</v>
      </c>
      <c r="L15" s="37">
        <v>9213663</v>
      </c>
      <c r="M15" s="37">
        <v>12541297</v>
      </c>
      <c r="N15" s="37">
        <v>18557735</v>
      </c>
      <c r="O15" s="37">
        <v>5645016</v>
      </c>
      <c r="P15" s="37">
        <v>4895190</v>
      </c>
      <c r="Q15" s="39"/>
      <c r="R15" s="40"/>
    </row>
    <row r="16" spans="2:18" ht="17.25" customHeight="1" x14ac:dyDescent="0.25">
      <c r="B16" s="41" t="s">
        <v>47</v>
      </c>
      <c r="C16" s="42">
        <f>C15-C13</f>
        <v>18010</v>
      </c>
      <c r="D16" s="42">
        <f>D15-D13</f>
        <v>6534</v>
      </c>
      <c r="E16" s="42">
        <f>E15-E13</f>
        <v>4516</v>
      </c>
      <c r="F16" s="42">
        <f>F15-F13</f>
        <v>10733</v>
      </c>
      <c r="G16" s="42">
        <f>G15-G13</f>
        <v>12</v>
      </c>
      <c r="H16" s="38">
        <f>SUM(C16:G16)</f>
        <v>39805</v>
      </c>
      <c r="I16" s="42">
        <f>I15-I13</f>
        <v>1966</v>
      </c>
      <c r="J16" s="42">
        <f t="shared" si="0"/>
        <v>5210</v>
      </c>
      <c r="K16" s="42">
        <f t="shared" si="0"/>
        <v>1790</v>
      </c>
      <c r="L16" s="42">
        <f t="shared" si="0"/>
        <v>2320</v>
      </c>
      <c r="M16" s="42">
        <f t="shared" si="0"/>
        <v>5893</v>
      </c>
      <c r="N16" s="42">
        <f t="shared" si="0"/>
        <v>8761</v>
      </c>
      <c r="O16" s="42">
        <f t="shared" si="0"/>
        <v>3770</v>
      </c>
      <c r="P16" s="42">
        <f t="shared" si="0"/>
        <v>2880</v>
      </c>
      <c r="Q16" s="43">
        <f>SUM(I16:P16)</f>
        <v>32590</v>
      </c>
      <c r="R16" s="44">
        <f>SUM(H16,Q16)</f>
        <v>72395</v>
      </c>
    </row>
    <row r="17" spans="2:18" ht="17.25" customHeight="1" x14ac:dyDescent="0.25">
      <c r="B17" s="36">
        <v>6</v>
      </c>
      <c r="C17" s="37">
        <v>14060352</v>
      </c>
      <c r="D17" s="37">
        <v>10500315</v>
      </c>
      <c r="E17" s="37">
        <v>19101243</v>
      </c>
      <c r="F17" s="37">
        <v>18516852</v>
      </c>
      <c r="G17" s="37">
        <v>12631549</v>
      </c>
      <c r="H17" s="38"/>
      <c r="I17" s="37">
        <v>4310944</v>
      </c>
      <c r="J17" s="37">
        <v>19244869</v>
      </c>
      <c r="K17" s="37">
        <v>5586137</v>
      </c>
      <c r="L17" s="37">
        <v>9216119</v>
      </c>
      <c r="M17" s="37">
        <v>12546698</v>
      </c>
      <c r="N17" s="37">
        <v>18566982</v>
      </c>
      <c r="O17" s="37">
        <v>5648676</v>
      </c>
      <c r="P17" s="37">
        <v>4898200</v>
      </c>
      <c r="Q17" s="39"/>
      <c r="R17" s="45"/>
    </row>
    <row r="18" spans="2:18" ht="17.25" customHeight="1" x14ac:dyDescent="0.25">
      <c r="B18" s="41" t="s">
        <v>47</v>
      </c>
      <c r="C18" s="42">
        <f>C17-C15</f>
        <v>18982</v>
      </c>
      <c r="D18" s="42">
        <f>D17-D15</f>
        <v>587</v>
      </c>
      <c r="E18" s="42">
        <f>E17-E15</f>
        <v>4547</v>
      </c>
      <c r="F18" s="42">
        <f>F17-F15</f>
        <v>17159</v>
      </c>
      <c r="G18" s="42">
        <f>G17-G15</f>
        <v>12</v>
      </c>
      <c r="H18" s="38">
        <f>SUM(C18:G18)</f>
        <v>41287</v>
      </c>
      <c r="I18" s="42">
        <f>I17-I15</f>
        <v>2058</v>
      </c>
      <c r="J18" s="42">
        <f t="shared" si="0"/>
        <v>5426</v>
      </c>
      <c r="K18" s="42">
        <f t="shared" si="0"/>
        <v>1862</v>
      </c>
      <c r="L18" s="42">
        <f t="shared" si="0"/>
        <v>2456</v>
      </c>
      <c r="M18" s="42">
        <f t="shared" si="0"/>
        <v>5401</v>
      </c>
      <c r="N18" s="42">
        <f t="shared" si="0"/>
        <v>9247</v>
      </c>
      <c r="O18" s="42">
        <f t="shared" si="0"/>
        <v>3660</v>
      </c>
      <c r="P18" s="42">
        <f t="shared" si="0"/>
        <v>3010</v>
      </c>
      <c r="Q18" s="43">
        <f>SUM(I18:P18)</f>
        <v>33120</v>
      </c>
      <c r="R18" s="44">
        <f>SUM(H18,Q18)</f>
        <v>74407</v>
      </c>
    </row>
    <row r="19" spans="2:18" ht="17.25" customHeight="1" x14ac:dyDescent="0.25">
      <c r="B19" s="36">
        <v>7</v>
      </c>
      <c r="C19" s="37">
        <v>14076914</v>
      </c>
      <c r="D19" s="37">
        <v>10500936</v>
      </c>
      <c r="E19" s="37">
        <v>19105734</v>
      </c>
      <c r="F19" s="37">
        <v>18532915</v>
      </c>
      <c r="G19" s="37">
        <v>12631567</v>
      </c>
      <c r="H19" s="38"/>
      <c r="I19" s="37">
        <v>4312920</v>
      </c>
      <c r="J19" s="37">
        <v>19249756</v>
      </c>
      <c r="K19" s="37">
        <v>5587884</v>
      </c>
      <c r="L19" s="37">
        <v>9218431</v>
      </c>
      <c r="M19" s="37">
        <v>12552159</v>
      </c>
      <c r="N19" s="37">
        <v>18575274</v>
      </c>
      <c r="O19" s="37">
        <v>5652591</v>
      </c>
      <c r="P19" s="37">
        <v>4900940</v>
      </c>
      <c r="Q19" s="39"/>
      <c r="R19" s="40"/>
    </row>
    <row r="20" spans="2:18" ht="17.25" customHeight="1" x14ac:dyDescent="0.25">
      <c r="B20" s="41" t="s">
        <v>47</v>
      </c>
      <c r="C20" s="42">
        <f>C19-C17</f>
        <v>16562</v>
      </c>
      <c r="D20" s="42">
        <f>D19-D17</f>
        <v>621</v>
      </c>
      <c r="E20" s="42">
        <f>E19-E17</f>
        <v>4491</v>
      </c>
      <c r="F20" s="42">
        <f>F19-F17</f>
        <v>16063</v>
      </c>
      <c r="G20" s="42">
        <f>G19-G17</f>
        <v>18</v>
      </c>
      <c r="H20" s="38">
        <f>SUM(C20:G20)</f>
        <v>37755</v>
      </c>
      <c r="I20" s="42">
        <f>I19-I17</f>
        <v>1976</v>
      </c>
      <c r="J20" s="42">
        <f t="shared" si="0"/>
        <v>4887</v>
      </c>
      <c r="K20" s="42">
        <f t="shared" si="0"/>
        <v>1747</v>
      </c>
      <c r="L20" s="42">
        <f t="shared" si="0"/>
        <v>2312</v>
      </c>
      <c r="M20" s="42">
        <f t="shared" si="0"/>
        <v>5461</v>
      </c>
      <c r="N20" s="42">
        <f t="shared" si="0"/>
        <v>8292</v>
      </c>
      <c r="O20" s="42">
        <f t="shared" si="0"/>
        <v>3915</v>
      </c>
      <c r="P20" s="42">
        <f t="shared" si="0"/>
        <v>2740</v>
      </c>
      <c r="Q20" s="43">
        <f>SUM(I20:P20)</f>
        <v>31330</v>
      </c>
      <c r="R20" s="44">
        <f>SUM(H20,Q20)</f>
        <v>69085</v>
      </c>
    </row>
    <row r="21" spans="2:18" ht="17.25" customHeight="1" x14ac:dyDescent="0.25">
      <c r="B21" s="36">
        <v>8</v>
      </c>
      <c r="C21" s="37">
        <v>14087943</v>
      </c>
      <c r="D21" s="37">
        <v>10501530</v>
      </c>
      <c r="E21" s="37">
        <v>19109613</v>
      </c>
      <c r="F21" s="37">
        <v>18549656</v>
      </c>
      <c r="G21" s="37">
        <v>12631584</v>
      </c>
      <c r="H21" s="38"/>
      <c r="I21" s="37">
        <v>4314947</v>
      </c>
      <c r="J21" s="37">
        <v>19254675</v>
      </c>
      <c r="K21" s="37">
        <v>5589704</v>
      </c>
      <c r="L21" s="37">
        <v>9220847</v>
      </c>
      <c r="M21" s="37">
        <v>12557950</v>
      </c>
      <c r="N21" s="37">
        <v>18583011</v>
      </c>
      <c r="O21" s="37">
        <v>5656479</v>
      </c>
      <c r="P21" s="37">
        <v>4903560</v>
      </c>
      <c r="Q21" s="39"/>
      <c r="R21" s="45"/>
    </row>
    <row r="22" spans="2:18" ht="17.25" customHeight="1" x14ac:dyDescent="0.25">
      <c r="B22" s="41" t="s">
        <v>47</v>
      </c>
      <c r="C22" s="42">
        <f>C21-C19</f>
        <v>11029</v>
      </c>
      <c r="D22" s="42">
        <f>D21-D19</f>
        <v>594</v>
      </c>
      <c r="E22" s="42">
        <f>E21-E19</f>
        <v>3879</v>
      </c>
      <c r="F22" s="42">
        <f>F21-F19</f>
        <v>16741</v>
      </c>
      <c r="G22" s="42">
        <f>G21-G19</f>
        <v>17</v>
      </c>
      <c r="H22" s="38">
        <f>SUM(C22:G22)</f>
        <v>32260</v>
      </c>
      <c r="I22" s="42">
        <f>I21-I19</f>
        <v>2027</v>
      </c>
      <c r="J22" s="42">
        <f t="shared" si="0"/>
        <v>4919</v>
      </c>
      <c r="K22" s="42">
        <f t="shared" si="0"/>
        <v>1820</v>
      </c>
      <c r="L22" s="42">
        <f t="shared" si="0"/>
        <v>2416</v>
      </c>
      <c r="M22" s="42">
        <f t="shared" si="0"/>
        <v>5791</v>
      </c>
      <c r="N22" s="42">
        <f t="shared" si="0"/>
        <v>7737</v>
      </c>
      <c r="O22" s="42">
        <f t="shared" si="0"/>
        <v>3888</v>
      </c>
      <c r="P22" s="42">
        <f t="shared" si="0"/>
        <v>2620</v>
      </c>
      <c r="Q22" s="43">
        <f>SUM(I22:P22)</f>
        <v>31218</v>
      </c>
      <c r="R22" s="44">
        <f>SUM(H22,Q22)</f>
        <v>63478</v>
      </c>
    </row>
    <row r="23" spans="2:18" ht="17.25" customHeight="1" x14ac:dyDescent="0.25">
      <c r="B23" s="36">
        <v>9</v>
      </c>
      <c r="C23" s="37">
        <v>14087948</v>
      </c>
      <c r="D23" s="37">
        <v>10508058</v>
      </c>
      <c r="E23" s="37">
        <v>19117157</v>
      </c>
      <c r="F23" s="37">
        <v>18562084</v>
      </c>
      <c r="G23" s="37">
        <v>12631597</v>
      </c>
      <c r="H23" s="38"/>
      <c r="I23" s="37">
        <v>4317033</v>
      </c>
      <c r="J23" s="37">
        <v>19259923</v>
      </c>
      <c r="K23" s="37">
        <v>5591258</v>
      </c>
      <c r="L23" s="42">
        <v>9223190</v>
      </c>
      <c r="M23" s="37">
        <v>12563745</v>
      </c>
      <c r="N23" s="37">
        <v>18590767</v>
      </c>
      <c r="O23" s="37">
        <v>5660374</v>
      </c>
      <c r="P23" s="37">
        <v>4906160</v>
      </c>
      <c r="Q23" s="39"/>
      <c r="R23" s="40"/>
    </row>
    <row r="24" spans="2:18" ht="17.25" customHeight="1" x14ac:dyDescent="0.25">
      <c r="B24" s="41" t="s">
        <v>47</v>
      </c>
      <c r="C24" s="42">
        <f>C23-C21</f>
        <v>5</v>
      </c>
      <c r="D24" s="42">
        <f>D23-D21</f>
        <v>6528</v>
      </c>
      <c r="E24" s="42">
        <f>E23-E21</f>
        <v>7544</v>
      </c>
      <c r="F24" s="42">
        <f>F23-F21</f>
        <v>12428</v>
      </c>
      <c r="G24" s="42">
        <f>G23-G21</f>
        <v>13</v>
      </c>
      <c r="H24" s="38">
        <f>SUM(C24:G24)</f>
        <v>26518</v>
      </c>
      <c r="I24" s="42">
        <f>I23-I21</f>
        <v>2086</v>
      </c>
      <c r="J24" s="42">
        <f t="shared" ref="J24:O36" si="1">J23-J21</f>
        <v>5248</v>
      </c>
      <c r="K24" s="42">
        <f t="shared" si="1"/>
        <v>1554</v>
      </c>
      <c r="L24" s="42">
        <f t="shared" si="1"/>
        <v>2343</v>
      </c>
      <c r="M24" s="42">
        <f t="shared" si="1"/>
        <v>5795</v>
      </c>
      <c r="N24" s="42">
        <f t="shared" si="1"/>
        <v>7756</v>
      </c>
      <c r="O24" s="42">
        <f t="shared" si="1"/>
        <v>3895</v>
      </c>
      <c r="P24" s="42">
        <f>P23-P21</f>
        <v>2600</v>
      </c>
      <c r="Q24" s="43">
        <f>SUM(I24:P24)</f>
        <v>31277</v>
      </c>
      <c r="R24" s="44">
        <f>SUM(H24,Q24)</f>
        <v>57795</v>
      </c>
    </row>
    <row r="25" spans="2:18" ht="17.25" customHeight="1" x14ac:dyDescent="0.25">
      <c r="B25" s="36">
        <v>10</v>
      </c>
      <c r="C25" s="37">
        <v>14087952</v>
      </c>
      <c r="D25" s="37">
        <v>10520766</v>
      </c>
      <c r="E25" s="37">
        <v>19128356</v>
      </c>
      <c r="F25" s="37">
        <v>18567322</v>
      </c>
      <c r="G25" s="37">
        <v>12631613</v>
      </c>
      <c r="H25" s="38"/>
      <c r="I25" s="37">
        <v>4319026</v>
      </c>
      <c r="J25" s="37">
        <v>19265192</v>
      </c>
      <c r="K25" s="37">
        <v>5592860</v>
      </c>
      <c r="L25" s="37">
        <v>9225418</v>
      </c>
      <c r="M25" s="37">
        <v>12569470</v>
      </c>
      <c r="N25" s="37">
        <v>18598557</v>
      </c>
      <c r="O25" s="37">
        <v>5663991</v>
      </c>
      <c r="P25" s="37">
        <v>4909070</v>
      </c>
      <c r="Q25" s="39"/>
      <c r="R25" s="45"/>
    </row>
    <row r="26" spans="2:18" ht="17.25" customHeight="1" x14ac:dyDescent="0.25">
      <c r="B26" s="41" t="s">
        <v>47</v>
      </c>
      <c r="C26" s="42">
        <f>C25-C23</f>
        <v>4</v>
      </c>
      <c r="D26" s="42">
        <f>D25-D23</f>
        <v>12708</v>
      </c>
      <c r="E26" s="42">
        <f>E25-E23</f>
        <v>11199</v>
      </c>
      <c r="F26" s="42">
        <f>F25-F23</f>
        <v>5238</v>
      </c>
      <c r="G26" s="42">
        <f>G25-G23</f>
        <v>16</v>
      </c>
      <c r="H26" s="38">
        <f>SUM(C26:G26)</f>
        <v>29165</v>
      </c>
      <c r="I26" s="42">
        <f>I25-I23</f>
        <v>1993</v>
      </c>
      <c r="J26" s="42">
        <f t="shared" si="1"/>
        <v>5269</v>
      </c>
      <c r="K26" s="42">
        <f t="shared" si="1"/>
        <v>1602</v>
      </c>
      <c r="L26" s="42">
        <f t="shared" si="1"/>
        <v>2228</v>
      </c>
      <c r="M26" s="42">
        <f t="shared" si="1"/>
        <v>5725</v>
      </c>
      <c r="N26" s="42">
        <f t="shared" si="1"/>
        <v>7790</v>
      </c>
      <c r="O26" s="42">
        <f t="shared" si="1"/>
        <v>3617</v>
      </c>
      <c r="P26" s="42">
        <f>P25-P23</f>
        <v>2910</v>
      </c>
      <c r="Q26" s="43">
        <f>SUM(I26:P26)</f>
        <v>31134</v>
      </c>
      <c r="R26" s="44">
        <f>SUM(H26,Q26)</f>
        <v>60299</v>
      </c>
    </row>
    <row r="27" spans="2:18" ht="17.25" customHeight="1" x14ac:dyDescent="0.25">
      <c r="B27" s="36">
        <v>11</v>
      </c>
      <c r="C27" s="37">
        <v>14095388</v>
      </c>
      <c r="D27" s="37">
        <v>10526019</v>
      </c>
      <c r="E27" s="37">
        <v>19137205</v>
      </c>
      <c r="F27" s="37">
        <v>18572430</v>
      </c>
      <c r="G27" s="37">
        <v>12640538</v>
      </c>
      <c r="H27" s="38"/>
      <c r="I27" s="37">
        <v>4321015</v>
      </c>
      <c r="J27" s="37">
        <v>19270478</v>
      </c>
      <c r="K27" s="37">
        <v>5594428</v>
      </c>
      <c r="L27" s="37">
        <v>9227613</v>
      </c>
      <c r="M27" s="37">
        <v>12575259</v>
      </c>
      <c r="N27" s="37">
        <v>18606438</v>
      </c>
      <c r="O27" s="37">
        <v>5667682</v>
      </c>
      <c r="P27" s="37">
        <v>4911090</v>
      </c>
      <c r="Q27" s="39"/>
      <c r="R27" s="40"/>
    </row>
    <row r="28" spans="2:18" ht="17.25" customHeight="1" x14ac:dyDescent="0.25">
      <c r="B28" s="41" t="s">
        <v>47</v>
      </c>
      <c r="C28" s="42">
        <f>C27-C25</f>
        <v>7436</v>
      </c>
      <c r="D28" s="42">
        <f>D27-D25</f>
        <v>5253</v>
      </c>
      <c r="E28" s="42">
        <f>E27-E25</f>
        <v>8849</v>
      </c>
      <c r="F28" s="42">
        <f>F27-F25</f>
        <v>5108</v>
      </c>
      <c r="G28" s="42">
        <f>G27-G25</f>
        <v>8925</v>
      </c>
      <c r="H28" s="38">
        <f>SUM(C28:G28)</f>
        <v>35571</v>
      </c>
      <c r="I28" s="42">
        <f>I27-I25</f>
        <v>1989</v>
      </c>
      <c r="J28" s="42">
        <f t="shared" si="1"/>
        <v>5286</v>
      </c>
      <c r="K28" s="42">
        <f t="shared" si="1"/>
        <v>1568</v>
      </c>
      <c r="L28" s="42">
        <f t="shared" si="1"/>
        <v>2195</v>
      </c>
      <c r="M28" s="42">
        <f t="shared" si="1"/>
        <v>5789</v>
      </c>
      <c r="N28" s="42">
        <f t="shared" si="1"/>
        <v>7881</v>
      </c>
      <c r="O28" s="42">
        <f t="shared" si="1"/>
        <v>3691</v>
      </c>
      <c r="P28" s="42">
        <f>P27-P25</f>
        <v>2020</v>
      </c>
      <c r="Q28" s="43">
        <f>SUM(I28:P28)</f>
        <v>30419</v>
      </c>
      <c r="R28" s="44">
        <f>SUM(H28,Q28)</f>
        <v>65990</v>
      </c>
    </row>
    <row r="29" spans="2:18" ht="17.25" customHeight="1" x14ac:dyDescent="0.25">
      <c r="B29" s="36">
        <v>12</v>
      </c>
      <c r="C29" s="37">
        <v>14106175</v>
      </c>
      <c r="D29" s="37">
        <v>10526656</v>
      </c>
      <c r="E29" s="37">
        <v>19141095</v>
      </c>
      <c r="F29" s="37">
        <v>18577466</v>
      </c>
      <c r="G29" s="37">
        <v>12659246</v>
      </c>
      <c r="H29" s="38"/>
      <c r="I29" s="37">
        <v>4323032</v>
      </c>
      <c r="J29" s="37">
        <v>19275693</v>
      </c>
      <c r="K29" s="37">
        <v>5595930</v>
      </c>
      <c r="L29" s="37">
        <v>9229681</v>
      </c>
      <c r="M29" s="37">
        <v>12581009</v>
      </c>
      <c r="N29" s="37">
        <v>18614258</v>
      </c>
      <c r="O29" s="37">
        <v>5671196</v>
      </c>
      <c r="P29" s="37">
        <v>4913690</v>
      </c>
      <c r="Q29" s="39"/>
      <c r="R29" s="45"/>
    </row>
    <row r="30" spans="2:18" ht="17.25" customHeight="1" x14ac:dyDescent="0.25">
      <c r="B30" s="41" t="s">
        <v>47</v>
      </c>
      <c r="C30" s="42">
        <f>C29-C27</f>
        <v>10787</v>
      </c>
      <c r="D30" s="42">
        <f>D29-D27</f>
        <v>637</v>
      </c>
      <c r="E30" s="42">
        <f>E29-E27</f>
        <v>3890</v>
      </c>
      <c r="F30" s="42">
        <f>F29-F27</f>
        <v>5036</v>
      </c>
      <c r="G30" s="42">
        <f>G29-G27</f>
        <v>18708</v>
      </c>
      <c r="H30" s="38">
        <f>SUM(C30:G30)</f>
        <v>39058</v>
      </c>
      <c r="I30" s="42">
        <f>I29-I27</f>
        <v>2017</v>
      </c>
      <c r="J30" s="42">
        <f t="shared" si="1"/>
        <v>5215</v>
      </c>
      <c r="K30" s="42">
        <f t="shared" si="1"/>
        <v>1502</v>
      </c>
      <c r="L30" s="42">
        <f t="shared" si="1"/>
        <v>2068</v>
      </c>
      <c r="M30" s="42">
        <f t="shared" si="1"/>
        <v>5750</v>
      </c>
      <c r="N30" s="42">
        <f t="shared" si="1"/>
        <v>7820</v>
      </c>
      <c r="O30" s="42">
        <f t="shared" si="1"/>
        <v>3514</v>
      </c>
      <c r="P30" s="42">
        <f>P29-P27</f>
        <v>2600</v>
      </c>
      <c r="Q30" s="43">
        <f>SUM(I30:P30)</f>
        <v>30486</v>
      </c>
      <c r="R30" s="44">
        <f>SUM(H30,Q30)</f>
        <v>69544</v>
      </c>
    </row>
    <row r="31" spans="2:18" ht="17.25" customHeight="1" x14ac:dyDescent="0.25">
      <c r="B31" s="36">
        <v>13</v>
      </c>
      <c r="C31" s="37">
        <v>14122248</v>
      </c>
      <c r="D31" s="37">
        <v>10530656</v>
      </c>
      <c r="E31" s="37">
        <v>19145710</v>
      </c>
      <c r="F31" s="37">
        <v>18582216</v>
      </c>
      <c r="G31" s="37">
        <v>12669272</v>
      </c>
      <c r="H31" s="38"/>
      <c r="I31" s="37">
        <v>4325286</v>
      </c>
      <c r="J31" s="37">
        <v>19281518</v>
      </c>
      <c r="K31" s="37">
        <v>5597424</v>
      </c>
      <c r="L31" s="37">
        <v>9231899</v>
      </c>
      <c r="M31" s="37">
        <v>12586587</v>
      </c>
      <c r="N31" s="37">
        <v>18622993</v>
      </c>
      <c r="O31" s="37">
        <v>5674843</v>
      </c>
      <c r="P31" s="37">
        <v>4916800</v>
      </c>
      <c r="Q31" s="39"/>
      <c r="R31" s="40"/>
    </row>
    <row r="32" spans="2:18" ht="17.25" customHeight="1" x14ac:dyDescent="0.25">
      <c r="B32" s="41" t="s">
        <v>47</v>
      </c>
      <c r="C32" s="42">
        <f>C31-C29</f>
        <v>16073</v>
      </c>
      <c r="D32" s="42">
        <f>D31-D29</f>
        <v>4000</v>
      </c>
      <c r="E32" s="42">
        <f>E31-E29</f>
        <v>4615</v>
      </c>
      <c r="F32" s="42">
        <f>F31-F29</f>
        <v>4750</v>
      </c>
      <c r="G32" s="42">
        <f>G31-G29</f>
        <v>10026</v>
      </c>
      <c r="H32" s="38">
        <f>SUM(C32:G32)</f>
        <v>39464</v>
      </c>
      <c r="I32" s="42">
        <f>I31-I29</f>
        <v>2254</v>
      </c>
      <c r="J32" s="42">
        <f t="shared" si="1"/>
        <v>5825</v>
      </c>
      <c r="K32" s="42">
        <f t="shared" si="1"/>
        <v>1494</v>
      </c>
      <c r="L32" s="42">
        <f t="shared" si="1"/>
        <v>2218</v>
      </c>
      <c r="M32" s="42">
        <f t="shared" si="1"/>
        <v>5578</v>
      </c>
      <c r="N32" s="42">
        <f t="shared" si="1"/>
        <v>8735</v>
      </c>
      <c r="O32" s="42">
        <f t="shared" si="1"/>
        <v>3647</v>
      </c>
      <c r="P32" s="42">
        <f>P31-P29</f>
        <v>3110</v>
      </c>
      <c r="Q32" s="43">
        <f>SUM(I32:P32)</f>
        <v>32861</v>
      </c>
      <c r="R32" s="44">
        <f>SUM(H32,Q32)</f>
        <v>72325</v>
      </c>
    </row>
    <row r="33" spans="2:18" ht="17.25" customHeight="1" x14ac:dyDescent="0.25">
      <c r="B33" s="36">
        <v>14</v>
      </c>
      <c r="C33" s="37">
        <v>14140369</v>
      </c>
      <c r="D33" s="37">
        <v>10532495</v>
      </c>
      <c r="E33" s="37">
        <v>19149894</v>
      </c>
      <c r="F33" s="37">
        <v>18587012</v>
      </c>
      <c r="G33" s="37">
        <v>12680420</v>
      </c>
      <c r="H33" s="38"/>
      <c r="I33" s="37">
        <v>4327116</v>
      </c>
      <c r="J33" s="37">
        <v>19285927</v>
      </c>
      <c r="K33" s="37">
        <v>5598821</v>
      </c>
      <c r="L33" s="37">
        <v>9233656</v>
      </c>
      <c r="M33" s="37">
        <v>12591698</v>
      </c>
      <c r="N33" s="37">
        <v>18629808</v>
      </c>
      <c r="O33" s="37">
        <v>5677729</v>
      </c>
      <c r="P33" s="37">
        <v>4919100</v>
      </c>
      <c r="Q33" s="39"/>
      <c r="R33" s="45"/>
    </row>
    <row r="34" spans="2:18" ht="17.25" customHeight="1" x14ac:dyDescent="0.25">
      <c r="B34" s="41" t="s">
        <v>47</v>
      </c>
      <c r="C34" s="42">
        <f>C33-C31</f>
        <v>18121</v>
      </c>
      <c r="D34" s="42">
        <f>D33-D31</f>
        <v>1839</v>
      </c>
      <c r="E34" s="42">
        <f>E33-E31</f>
        <v>4184</v>
      </c>
      <c r="F34" s="42">
        <f>F33-F31</f>
        <v>4796</v>
      </c>
      <c r="G34" s="42">
        <f>G33-G31</f>
        <v>11148</v>
      </c>
      <c r="H34" s="38">
        <f>SUM(C34:G34)</f>
        <v>40088</v>
      </c>
      <c r="I34" s="42">
        <f>I33-I31</f>
        <v>1830</v>
      </c>
      <c r="J34" s="42">
        <f t="shared" si="1"/>
        <v>4409</v>
      </c>
      <c r="K34" s="42">
        <f t="shared" si="1"/>
        <v>1397</v>
      </c>
      <c r="L34" s="42">
        <f t="shared" si="1"/>
        <v>1757</v>
      </c>
      <c r="M34" s="42">
        <f t="shared" si="1"/>
        <v>5111</v>
      </c>
      <c r="N34" s="42">
        <f t="shared" si="1"/>
        <v>6815</v>
      </c>
      <c r="O34" s="42">
        <f t="shared" si="1"/>
        <v>2886</v>
      </c>
      <c r="P34" s="42">
        <f>P33-P31</f>
        <v>2300</v>
      </c>
      <c r="Q34" s="43">
        <f>SUM(I34:P34)</f>
        <v>26505</v>
      </c>
      <c r="R34" s="44">
        <f>SUM(H34,Q34)</f>
        <v>66593</v>
      </c>
    </row>
    <row r="35" spans="2:18" ht="17.25" customHeight="1" x14ac:dyDescent="0.25">
      <c r="B35" s="36">
        <v>15</v>
      </c>
      <c r="C35" s="37">
        <v>14147253</v>
      </c>
      <c r="D35" s="37">
        <v>10533316</v>
      </c>
      <c r="E35" s="37">
        <v>19154706</v>
      </c>
      <c r="F35" s="37">
        <v>18598659</v>
      </c>
      <c r="G35" s="37">
        <v>12698493</v>
      </c>
      <c r="H35" s="38"/>
      <c r="I35" s="37">
        <v>4329344</v>
      </c>
      <c r="J35" s="37">
        <v>19291170</v>
      </c>
      <c r="K35" s="37">
        <v>5600323</v>
      </c>
      <c r="L35" s="37">
        <v>9235840</v>
      </c>
      <c r="M35" s="37">
        <v>12597730</v>
      </c>
      <c r="N35" s="37">
        <v>18637785</v>
      </c>
      <c r="O35" s="37">
        <v>5681060</v>
      </c>
      <c r="P35" s="37">
        <v>4921750</v>
      </c>
      <c r="Q35" s="39"/>
      <c r="R35" s="40"/>
    </row>
    <row r="36" spans="2:18" ht="17.25" customHeight="1" x14ac:dyDescent="0.25">
      <c r="B36" s="41" t="s">
        <v>47</v>
      </c>
      <c r="C36" s="42">
        <f>C35-C33</f>
        <v>6884</v>
      </c>
      <c r="D36" s="42">
        <f>D35-D33</f>
        <v>821</v>
      </c>
      <c r="E36" s="42">
        <f>E35-E33</f>
        <v>4812</v>
      </c>
      <c r="F36" s="42">
        <f>F35-F33</f>
        <v>11647</v>
      </c>
      <c r="G36" s="42">
        <f>G35-G33</f>
        <v>18073</v>
      </c>
      <c r="H36" s="38">
        <f>SUM(C36:G36)</f>
        <v>42237</v>
      </c>
      <c r="I36" s="42">
        <f>I35-I33</f>
        <v>2228</v>
      </c>
      <c r="J36" s="42">
        <f t="shared" si="1"/>
        <v>5243</v>
      </c>
      <c r="K36" s="42">
        <f t="shared" si="1"/>
        <v>1502</v>
      </c>
      <c r="L36" s="42">
        <f t="shared" si="1"/>
        <v>2184</v>
      </c>
      <c r="M36" s="42">
        <f t="shared" si="1"/>
        <v>6032</v>
      </c>
      <c r="N36" s="42">
        <f t="shared" si="1"/>
        <v>7977</v>
      </c>
      <c r="O36" s="42">
        <f t="shared" si="1"/>
        <v>3331</v>
      </c>
      <c r="P36" s="42">
        <f>P35-P33</f>
        <v>2650</v>
      </c>
      <c r="Q36" s="43">
        <f>SUM(I36:P36)</f>
        <v>31147</v>
      </c>
      <c r="R36" s="44">
        <f>SUM(H36,Q36)</f>
        <v>73384</v>
      </c>
    </row>
    <row r="37" spans="2:18" ht="17.25" customHeight="1" x14ac:dyDescent="0.25">
      <c r="B37" s="36">
        <v>16</v>
      </c>
      <c r="C37" s="37">
        <v>14147259</v>
      </c>
      <c r="D37" s="37">
        <v>10534015</v>
      </c>
      <c r="E37" s="37">
        <v>19159140</v>
      </c>
      <c r="F37" s="37">
        <v>18613046</v>
      </c>
      <c r="G37" s="37">
        <v>12714725</v>
      </c>
      <c r="H37" s="38"/>
      <c r="I37" s="37">
        <v>4331310</v>
      </c>
      <c r="J37" s="37">
        <v>19296205</v>
      </c>
      <c r="K37" s="37">
        <v>5601654</v>
      </c>
      <c r="L37" s="37">
        <v>9237973</v>
      </c>
      <c r="M37" s="37">
        <v>12603541</v>
      </c>
      <c r="N37" s="37">
        <v>18645655</v>
      </c>
      <c r="O37" s="37">
        <v>5684307</v>
      </c>
      <c r="P37" s="37">
        <v>4924410</v>
      </c>
      <c r="Q37" s="39"/>
      <c r="R37" s="45"/>
    </row>
    <row r="38" spans="2:18" ht="17.25" customHeight="1" x14ac:dyDescent="0.25">
      <c r="B38" s="41" t="s">
        <v>47</v>
      </c>
      <c r="C38" s="42">
        <f>C37-C35</f>
        <v>6</v>
      </c>
      <c r="D38" s="42">
        <f>D37-D35</f>
        <v>699</v>
      </c>
      <c r="E38" s="42">
        <f>E37-E35</f>
        <v>4434</v>
      </c>
      <c r="F38" s="42">
        <f>F37-F35</f>
        <v>14387</v>
      </c>
      <c r="G38" s="42">
        <f>G37-G35</f>
        <v>16232</v>
      </c>
      <c r="H38" s="38">
        <f>SUM(C38:G38)</f>
        <v>35758</v>
      </c>
      <c r="I38" s="42">
        <f>I37-I35</f>
        <v>1966</v>
      </c>
      <c r="J38" s="42">
        <f t="shared" ref="J38:P52" si="2">J37-J35</f>
        <v>5035</v>
      </c>
      <c r="K38" s="42">
        <f t="shared" si="2"/>
        <v>1331</v>
      </c>
      <c r="L38" s="42">
        <f t="shared" si="2"/>
        <v>2133</v>
      </c>
      <c r="M38" s="42">
        <f t="shared" si="2"/>
        <v>5811</v>
      </c>
      <c r="N38" s="42">
        <f t="shared" si="2"/>
        <v>7870</v>
      </c>
      <c r="O38" s="42">
        <f t="shared" si="2"/>
        <v>3247</v>
      </c>
      <c r="P38" s="42">
        <f t="shared" si="2"/>
        <v>2660</v>
      </c>
      <c r="Q38" s="43">
        <f>SUM(I38:P38)</f>
        <v>30053</v>
      </c>
      <c r="R38" s="44">
        <f>SUM(H38,Q38)</f>
        <v>65811</v>
      </c>
    </row>
    <row r="39" spans="2:18" ht="17.25" customHeight="1" x14ac:dyDescent="0.25">
      <c r="B39" s="36">
        <v>17</v>
      </c>
      <c r="C39" s="37">
        <v>14147264</v>
      </c>
      <c r="D39" s="37">
        <v>10534737</v>
      </c>
      <c r="E39" s="37">
        <v>19163466</v>
      </c>
      <c r="F39" s="37">
        <v>18629620</v>
      </c>
      <c r="G39" s="37">
        <v>12729609</v>
      </c>
      <c r="H39" s="38"/>
      <c r="I39" s="37">
        <v>4333406</v>
      </c>
      <c r="J39" s="37">
        <v>19301443</v>
      </c>
      <c r="K39" s="37">
        <v>5603014</v>
      </c>
      <c r="L39" s="37">
        <v>9240116</v>
      </c>
      <c r="M39" s="37">
        <v>12609500</v>
      </c>
      <c r="N39" s="37">
        <v>18653792</v>
      </c>
      <c r="O39" s="37">
        <v>5687470</v>
      </c>
      <c r="P39" s="37">
        <v>4927100</v>
      </c>
      <c r="Q39" s="39"/>
      <c r="R39" s="40"/>
    </row>
    <row r="40" spans="2:18" ht="17.25" customHeight="1" x14ac:dyDescent="0.25">
      <c r="B40" s="41" t="s">
        <v>47</v>
      </c>
      <c r="C40" s="42">
        <f>C39-C37</f>
        <v>5</v>
      </c>
      <c r="D40" s="42">
        <f>D39-D37</f>
        <v>722</v>
      </c>
      <c r="E40" s="42">
        <f>E39-E37</f>
        <v>4326</v>
      </c>
      <c r="F40" s="42">
        <f>F39-F37</f>
        <v>16574</v>
      </c>
      <c r="G40" s="42">
        <f>G39-G37</f>
        <v>14884</v>
      </c>
      <c r="H40" s="38">
        <f>SUM(C40:G40)</f>
        <v>36511</v>
      </c>
      <c r="I40" s="42">
        <f>I39-I37</f>
        <v>2096</v>
      </c>
      <c r="J40" s="42">
        <f t="shared" si="2"/>
        <v>5238</v>
      </c>
      <c r="K40" s="42">
        <f t="shared" si="2"/>
        <v>1360</v>
      </c>
      <c r="L40" s="42">
        <f t="shared" si="2"/>
        <v>2143</v>
      </c>
      <c r="M40" s="42">
        <f t="shared" si="2"/>
        <v>5959</v>
      </c>
      <c r="N40" s="42">
        <f t="shared" si="2"/>
        <v>8137</v>
      </c>
      <c r="O40" s="42">
        <f t="shared" si="2"/>
        <v>3163</v>
      </c>
      <c r="P40" s="42">
        <f t="shared" si="2"/>
        <v>2690</v>
      </c>
      <c r="Q40" s="43">
        <f>SUM(I40:P40)</f>
        <v>30786</v>
      </c>
      <c r="R40" s="44">
        <f>SUM(H40,Q40)</f>
        <v>67297</v>
      </c>
    </row>
    <row r="41" spans="2:18" ht="17.25" customHeight="1" x14ac:dyDescent="0.25">
      <c r="B41" s="36">
        <v>18</v>
      </c>
      <c r="C41" s="37">
        <v>14147274</v>
      </c>
      <c r="D41" s="37">
        <v>10535451</v>
      </c>
      <c r="E41" s="37">
        <v>19167719</v>
      </c>
      <c r="F41" s="37">
        <v>18645119</v>
      </c>
      <c r="G41" s="37">
        <v>12743731</v>
      </c>
      <c r="H41" s="38"/>
      <c r="I41" s="37">
        <v>4335416</v>
      </c>
      <c r="J41" s="37">
        <v>19306693</v>
      </c>
      <c r="K41" s="37">
        <v>5604525</v>
      </c>
      <c r="L41" s="37">
        <v>9242260</v>
      </c>
      <c r="M41" s="37">
        <v>12615426</v>
      </c>
      <c r="N41" s="37">
        <v>18662265</v>
      </c>
      <c r="O41" s="37">
        <v>5690424</v>
      </c>
      <c r="P41" s="37">
        <v>4929660</v>
      </c>
      <c r="Q41" s="39"/>
      <c r="R41" s="45"/>
    </row>
    <row r="42" spans="2:18" ht="17.25" customHeight="1" x14ac:dyDescent="0.25">
      <c r="B42" s="41" t="s">
        <v>47</v>
      </c>
      <c r="C42" s="42">
        <f>C41-C39</f>
        <v>10</v>
      </c>
      <c r="D42" s="42">
        <f>D41-D39</f>
        <v>714</v>
      </c>
      <c r="E42" s="42">
        <f>E41-E39</f>
        <v>4253</v>
      </c>
      <c r="F42" s="42">
        <f>F41-F39</f>
        <v>15499</v>
      </c>
      <c r="G42" s="42">
        <f>G41-G39</f>
        <v>14122</v>
      </c>
      <c r="H42" s="38">
        <f>SUM(C42:G42)</f>
        <v>34598</v>
      </c>
      <c r="I42" s="42">
        <f>I41-I39</f>
        <v>2010</v>
      </c>
      <c r="J42" s="42">
        <f t="shared" si="2"/>
        <v>5250</v>
      </c>
      <c r="K42" s="42">
        <f t="shared" si="2"/>
        <v>1511</v>
      </c>
      <c r="L42" s="42">
        <f t="shared" si="2"/>
        <v>2144</v>
      </c>
      <c r="M42" s="42">
        <f t="shared" si="2"/>
        <v>5926</v>
      </c>
      <c r="N42" s="42">
        <f t="shared" si="2"/>
        <v>8473</v>
      </c>
      <c r="O42" s="42">
        <f t="shared" si="2"/>
        <v>2954</v>
      </c>
      <c r="P42" s="42">
        <f t="shared" si="2"/>
        <v>2560</v>
      </c>
      <c r="Q42" s="43">
        <f>SUM(I42:P42)</f>
        <v>30828</v>
      </c>
      <c r="R42" s="44">
        <f>SUM(H42,Q42)</f>
        <v>65426</v>
      </c>
    </row>
    <row r="43" spans="2:18" ht="17.25" customHeight="1" x14ac:dyDescent="0.25">
      <c r="B43" s="36">
        <v>19</v>
      </c>
      <c r="C43" s="37">
        <v>14147291</v>
      </c>
      <c r="D43" s="37">
        <v>10536161</v>
      </c>
      <c r="E43" s="37">
        <v>19172484</v>
      </c>
      <c r="F43" s="37">
        <v>18661829</v>
      </c>
      <c r="G43" s="37">
        <v>12762729</v>
      </c>
      <c r="H43" s="38"/>
      <c r="I43" s="37">
        <v>4337640</v>
      </c>
      <c r="J43" s="37">
        <v>19312019</v>
      </c>
      <c r="K43" s="37">
        <v>5606006</v>
      </c>
      <c r="L43" s="37">
        <v>9244357</v>
      </c>
      <c r="M43" s="37">
        <v>12621442</v>
      </c>
      <c r="N43" s="37">
        <v>18671592</v>
      </c>
      <c r="O43" s="37">
        <v>5693891</v>
      </c>
      <c r="P43" s="37">
        <v>4932620</v>
      </c>
      <c r="Q43" s="39"/>
      <c r="R43" s="40"/>
    </row>
    <row r="44" spans="2:18" ht="17.25" customHeight="1" x14ac:dyDescent="0.25">
      <c r="B44" s="41" t="s">
        <v>47</v>
      </c>
      <c r="C44" s="42">
        <f>C43-C41</f>
        <v>17</v>
      </c>
      <c r="D44" s="42">
        <f>D43-D41</f>
        <v>710</v>
      </c>
      <c r="E44" s="42">
        <f>E43-E41</f>
        <v>4765</v>
      </c>
      <c r="F44" s="42">
        <f>F43-F41</f>
        <v>16710</v>
      </c>
      <c r="G44" s="42">
        <f>G43-G41</f>
        <v>18998</v>
      </c>
      <c r="H44" s="38">
        <f>SUM(C44:G44)</f>
        <v>41200</v>
      </c>
      <c r="I44" s="42">
        <f>I43-I41</f>
        <v>2224</v>
      </c>
      <c r="J44" s="42">
        <f t="shared" si="2"/>
        <v>5326</v>
      </c>
      <c r="K44" s="42">
        <f t="shared" si="2"/>
        <v>1481</v>
      </c>
      <c r="L44" s="42">
        <f t="shared" si="2"/>
        <v>2097</v>
      </c>
      <c r="M44" s="42">
        <f t="shared" si="2"/>
        <v>6016</v>
      </c>
      <c r="N44" s="42">
        <f t="shared" si="2"/>
        <v>9327</v>
      </c>
      <c r="O44" s="42">
        <f t="shared" si="2"/>
        <v>3467</v>
      </c>
      <c r="P44" s="42">
        <f t="shared" si="2"/>
        <v>2960</v>
      </c>
      <c r="Q44" s="43">
        <f>SUM(I44:P44)</f>
        <v>32898</v>
      </c>
      <c r="R44" s="44">
        <f>SUM(H44,Q44)</f>
        <v>74098</v>
      </c>
    </row>
    <row r="45" spans="2:18" ht="17.25" customHeight="1" x14ac:dyDescent="0.25">
      <c r="B45" s="36">
        <v>20</v>
      </c>
      <c r="C45" s="37">
        <v>14147303</v>
      </c>
      <c r="D45" s="37">
        <v>10536864</v>
      </c>
      <c r="E45" s="37">
        <v>19177199</v>
      </c>
      <c r="F45" s="37">
        <v>18678216</v>
      </c>
      <c r="G45" s="37">
        <v>12781195</v>
      </c>
      <c r="H45" s="38"/>
      <c r="I45" s="37">
        <v>4339551</v>
      </c>
      <c r="J45" s="37">
        <v>19316754</v>
      </c>
      <c r="K45" s="37">
        <v>5607111</v>
      </c>
      <c r="L45" s="37">
        <v>9246082</v>
      </c>
      <c r="M45" s="37">
        <v>12626101</v>
      </c>
      <c r="N45" s="37">
        <v>18679560</v>
      </c>
      <c r="O45" s="37">
        <v>5696785</v>
      </c>
      <c r="P45" s="37">
        <v>4935590</v>
      </c>
      <c r="Q45" s="39"/>
      <c r="R45" s="45"/>
    </row>
    <row r="46" spans="2:18" ht="17.25" customHeight="1" x14ac:dyDescent="0.25">
      <c r="B46" s="41" t="s">
        <v>47</v>
      </c>
      <c r="C46" s="42">
        <f>C45-C43</f>
        <v>12</v>
      </c>
      <c r="D46" s="42">
        <f>D45-D43</f>
        <v>703</v>
      </c>
      <c r="E46" s="42">
        <f>E45-E43</f>
        <v>4715</v>
      </c>
      <c r="F46" s="42">
        <f>F45-F43</f>
        <v>16387</v>
      </c>
      <c r="G46" s="42">
        <f>G45-G43</f>
        <v>18466</v>
      </c>
      <c r="H46" s="38">
        <f>SUM(C46:G46)</f>
        <v>40283</v>
      </c>
      <c r="I46" s="42">
        <f>I45-I43</f>
        <v>1911</v>
      </c>
      <c r="J46" s="42">
        <f t="shared" si="2"/>
        <v>4735</v>
      </c>
      <c r="K46" s="42">
        <f t="shared" si="2"/>
        <v>1105</v>
      </c>
      <c r="L46" s="42">
        <f t="shared" si="2"/>
        <v>1725</v>
      </c>
      <c r="M46" s="42">
        <f t="shared" si="2"/>
        <v>4659</v>
      </c>
      <c r="N46" s="42">
        <f t="shared" si="2"/>
        <v>7968</v>
      </c>
      <c r="O46" s="42">
        <f t="shared" si="2"/>
        <v>2894</v>
      </c>
      <c r="P46" s="42">
        <f t="shared" si="2"/>
        <v>2970</v>
      </c>
      <c r="Q46" s="43">
        <f>SUM(I46:P46)</f>
        <v>27967</v>
      </c>
      <c r="R46" s="44">
        <f>SUM(H46,Q46)</f>
        <v>68250</v>
      </c>
    </row>
    <row r="47" spans="2:18" ht="17.25" customHeight="1" x14ac:dyDescent="0.25">
      <c r="B47" s="36">
        <v>21</v>
      </c>
      <c r="C47" s="37">
        <v>14147310</v>
      </c>
      <c r="D47" s="37">
        <v>10537591</v>
      </c>
      <c r="E47" s="37">
        <v>19181811</v>
      </c>
      <c r="F47" s="37">
        <v>18693030</v>
      </c>
      <c r="G47" s="37">
        <v>12797546</v>
      </c>
      <c r="H47" s="38"/>
      <c r="I47" s="42">
        <v>4341474</v>
      </c>
      <c r="J47" s="37">
        <v>19321609</v>
      </c>
      <c r="K47" s="37">
        <v>5608417</v>
      </c>
      <c r="L47" s="37">
        <v>9247929</v>
      </c>
      <c r="M47" s="37">
        <v>12631652</v>
      </c>
      <c r="N47" s="37">
        <v>18687559</v>
      </c>
      <c r="O47" s="37">
        <v>5699905</v>
      </c>
      <c r="P47" s="37">
        <v>4938360</v>
      </c>
      <c r="Q47" s="39"/>
      <c r="R47" s="40"/>
    </row>
    <row r="48" spans="2:18" ht="17.25" customHeight="1" x14ac:dyDescent="0.25">
      <c r="B48" s="41" t="s">
        <v>47</v>
      </c>
      <c r="C48" s="42">
        <f>C47-C45</f>
        <v>7</v>
      </c>
      <c r="D48" s="42">
        <f>D47-D45</f>
        <v>727</v>
      </c>
      <c r="E48" s="42">
        <f>E47-E45</f>
        <v>4612</v>
      </c>
      <c r="F48" s="42">
        <f>F47-F45</f>
        <v>14814</v>
      </c>
      <c r="G48" s="42">
        <f>G47-G45</f>
        <v>16351</v>
      </c>
      <c r="H48" s="38">
        <f>SUM(C48:G48)</f>
        <v>36511</v>
      </c>
      <c r="I48" s="42">
        <f>I47-I45</f>
        <v>1923</v>
      </c>
      <c r="J48" s="42">
        <f t="shared" si="2"/>
        <v>4855</v>
      </c>
      <c r="K48" s="42">
        <f t="shared" si="2"/>
        <v>1306</v>
      </c>
      <c r="L48" s="42">
        <f t="shared" si="2"/>
        <v>1847</v>
      </c>
      <c r="M48" s="42">
        <f t="shared" si="2"/>
        <v>5551</v>
      </c>
      <c r="N48" s="42">
        <f t="shared" si="2"/>
        <v>7999</v>
      </c>
      <c r="O48" s="42">
        <f t="shared" si="2"/>
        <v>3120</v>
      </c>
      <c r="P48" s="42">
        <f t="shared" si="2"/>
        <v>2770</v>
      </c>
      <c r="Q48" s="43">
        <f>SUM(I48:P48)</f>
        <v>29371</v>
      </c>
      <c r="R48" s="44">
        <f>SUM(H48,Q48)</f>
        <v>65882</v>
      </c>
    </row>
    <row r="49" spans="2:18" ht="17.25" customHeight="1" x14ac:dyDescent="0.25">
      <c r="B49" s="36">
        <v>22</v>
      </c>
      <c r="C49" s="37">
        <v>14147323</v>
      </c>
      <c r="D49" s="37">
        <v>10538426</v>
      </c>
      <c r="E49" s="37">
        <v>19194294</v>
      </c>
      <c r="F49" s="37">
        <v>18711174</v>
      </c>
      <c r="G49" s="37">
        <v>12805878</v>
      </c>
      <c r="H49" s="38"/>
      <c r="I49" s="37">
        <v>4343565</v>
      </c>
      <c r="J49" s="37">
        <v>19326747</v>
      </c>
      <c r="K49" s="37">
        <v>5609768</v>
      </c>
      <c r="L49" s="37">
        <v>9249940</v>
      </c>
      <c r="M49" s="37">
        <v>12637359</v>
      </c>
      <c r="N49" s="37">
        <v>18695805</v>
      </c>
      <c r="O49" s="37">
        <v>5703280</v>
      </c>
      <c r="P49" s="37">
        <v>4940770</v>
      </c>
      <c r="Q49" s="39"/>
      <c r="R49" s="45"/>
    </row>
    <row r="50" spans="2:18" ht="17.25" customHeight="1" x14ac:dyDescent="0.25">
      <c r="B50" s="41" t="s">
        <v>47</v>
      </c>
      <c r="C50" s="42">
        <f>C49-C47</f>
        <v>13</v>
      </c>
      <c r="D50" s="42">
        <f>D49-D47</f>
        <v>835</v>
      </c>
      <c r="E50" s="42">
        <f>E49-E47</f>
        <v>12483</v>
      </c>
      <c r="F50" s="42">
        <f>F49-F47</f>
        <v>18144</v>
      </c>
      <c r="G50" s="42">
        <f>G49-G47</f>
        <v>8332</v>
      </c>
      <c r="H50" s="38">
        <f>SUM(C50:G50)</f>
        <v>39807</v>
      </c>
      <c r="I50" s="42">
        <f>I49-I47</f>
        <v>2091</v>
      </c>
      <c r="J50" s="42">
        <f t="shared" si="2"/>
        <v>5138</v>
      </c>
      <c r="K50" s="42">
        <f t="shared" si="2"/>
        <v>1351</v>
      </c>
      <c r="L50" s="42">
        <f t="shared" si="2"/>
        <v>2011</v>
      </c>
      <c r="M50" s="42">
        <f t="shared" si="2"/>
        <v>5707</v>
      </c>
      <c r="N50" s="42">
        <f t="shared" si="2"/>
        <v>8246</v>
      </c>
      <c r="O50" s="42">
        <f t="shared" si="2"/>
        <v>3375</v>
      </c>
      <c r="P50" s="42">
        <f t="shared" si="2"/>
        <v>2410</v>
      </c>
      <c r="Q50" s="43">
        <f>SUM(I50:P50)</f>
        <v>30329</v>
      </c>
      <c r="R50" s="44">
        <f>SUM(H50,Q50)</f>
        <v>70136</v>
      </c>
    </row>
    <row r="51" spans="2:18" ht="17.25" customHeight="1" x14ac:dyDescent="0.25">
      <c r="B51" s="36">
        <v>23</v>
      </c>
      <c r="C51" s="37">
        <v>14147333</v>
      </c>
      <c r="D51" s="37">
        <v>10539255</v>
      </c>
      <c r="E51" s="37">
        <v>19209124</v>
      </c>
      <c r="F51" s="37">
        <v>18726668</v>
      </c>
      <c r="G51" s="37">
        <v>12805882</v>
      </c>
      <c r="H51" s="38"/>
      <c r="I51" s="37">
        <v>4345603</v>
      </c>
      <c r="J51" s="37">
        <v>19331814</v>
      </c>
      <c r="K51" s="37">
        <v>5611129</v>
      </c>
      <c r="L51" s="37">
        <v>9251795</v>
      </c>
      <c r="M51" s="37">
        <v>12643047</v>
      </c>
      <c r="N51" s="37">
        <v>18704310</v>
      </c>
      <c r="O51" s="37">
        <v>5706614</v>
      </c>
      <c r="P51" s="37">
        <v>4943730</v>
      </c>
      <c r="Q51" s="39"/>
      <c r="R51" s="40"/>
    </row>
    <row r="52" spans="2:18" ht="17.25" customHeight="1" x14ac:dyDescent="0.25">
      <c r="B52" s="41" t="s">
        <v>47</v>
      </c>
      <c r="C52" s="42">
        <f>C51-C49</f>
        <v>10</v>
      </c>
      <c r="D52" s="42">
        <f>D51-D49</f>
        <v>829</v>
      </c>
      <c r="E52" s="42">
        <f>E51-E49</f>
        <v>14830</v>
      </c>
      <c r="F52" s="42">
        <f>F51-F49</f>
        <v>15494</v>
      </c>
      <c r="G52" s="42">
        <f>G51-G49</f>
        <v>4</v>
      </c>
      <c r="H52" s="38">
        <f>SUM(C52:G52)</f>
        <v>31167</v>
      </c>
      <c r="I52" s="42">
        <f>I51-I49</f>
        <v>2038</v>
      </c>
      <c r="J52" s="42">
        <f t="shared" si="2"/>
        <v>5067</v>
      </c>
      <c r="K52" s="42">
        <f t="shared" si="2"/>
        <v>1361</v>
      </c>
      <c r="L52" s="42">
        <f t="shared" si="2"/>
        <v>1855</v>
      </c>
      <c r="M52" s="42">
        <f t="shared" si="2"/>
        <v>5688</v>
      </c>
      <c r="N52" s="42">
        <f t="shared" si="2"/>
        <v>8505</v>
      </c>
      <c r="O52" s="42">
        <f t="shared" si="2"/>
        <v>3334</v>
      </c>
      <c r="P52" s="42">
        <f t="shared" si="2"/>
        <v>2960</v>
      </c>
      <c r="Q52" s="43">
        <f>SUM(I52:P52)</f>
        <v>30808</v>
      </c>
      <c r="R52" s="44">
        <f>SUM(H52,Q52)</f>
        <v>61975</v>
      </c>
    </row>
    <row r="53" spans="2:18" ht="17.25" customHeight="1" x14ac:dyDescent="0.25">
      <c r="B53" s="36">
        <v>24</v>
      </c>
      <c r="C53" s="37">
        <v>14147340</v>
      </c>
      <c r="D53" s="37">
        <v>10540046</v>
      </c>
      <c r="E53" s="37">
        <v>19224092</v>
      </c>
      <c r="F53" s="37">
        <v>18742363</v>
      </c>
      <c r="G53" s="37">
        <v>12805894</v>
      </c>
      <c r="H53" s="38"/>
      <c r="I53" s="37">
        <v>4347636</v>
      </c>
      <c r="J53" s="37">
        <v>19336761</v>
      </c>
      <c r="K53" s="37">
        <v>5612215</v>
      </c>
      <c r="L53" s="37">
        <v>9253341</v>
      </c>
      <c r="M53" s="37">
        <v>12648575</v>
      </c>
      <c r="N53" s="37">
        <v>18712637</v>
      </c>
      <c r="O53" s="37">
        <v>5709869</v>
      </c>
      <c r="P53" s="37">
        <v>4946220</v>
      </c>
      <c r="Q53" s="39"/>
      <c r="R53" s="45"/>
    </row>
    <row r="54" spans="2:18" ht="17.25" customHeight="1" x14ac:dyDescent="0.25">
      <c r="B54" s="41" t="s">
        <v>47</v>
      </c>
      <c r="C54" s="42">
        <f>C53-C51</f>
        <v>7</v>
      </c>
      <c r="D54" s="42">
        <f>D53-D51</f>
        <v>791</v>
      </c>
      <c r="E54" s="42">
        <f>E53-E51</f>
        <v>14968</v>
      </c>
      <c r="F54" s="42">
        <f>F53-F51</f>
        <v>15695</v>
      </c>
      <c r="G54" s="42">
        <f>G53-G51</f>
        <v>12</v>
      </c>
      <c r="H54" s="38">
        <f>SUM(C54:G54)</f>
        <v>31473</v>
      </c>
      <c r="I54" s="42">
        <f>I53-I51</f>
        <v>2033</v>
      </c>
      <c r="J54" s="42">
        <f t="shared" ref="J54:P62" si="3">J53-J51</f>
        <v>4947</v>
      </c>
      <c r="K54" s="42">
        <f t="shared" si="3"/>
        <v>1086</v>
      </c>
      <c r="L54" s="42">
        <f t="shared" si="3"/>
        <v>1546</v>
      </c>
      <c r="M54" s="42">
        <f t="shared" si="3"/>
        <v>5528</v>
      </c>
      <c r="N54" s="42">
        <f t="shared" si="3"/>
        <v>8327</v>
      </c>
      <c r="O54" s="42">
        <f t="shared" si="3"/>
        <v>3255</v>
      </c>
      <c r="P54" s="42">
        <f t="shared" si="3"/>
        <v>2490</v>
      </c>
      <c r="Q54" s="43">
        <f>SUM(I54:P54)</f>
        <v>29212</v>
      </c>
      <c r="R54" s="44">
        <f>SUM(H54,Q54)</f>
        <v>60685</v>
      </c>
    </row>
    <row r="55" spans="2:18" ht="17.25" customHeight="1" x14ac:dyDescent="0.25">
      <c r="B55" s="36">
        <v>25</v>
      </c>
      <c r="C55" s="37">
        <v>14147353</v>
      </c>
      <c r="D55" s="37">
        <v>10540882</v>
      </c>
      <c r="E55" s="37">
        <v>19240419</v>
      </c>
      <c r="F55" s="37">
        <v>18759357</v>
      </c>
      <c r="G55" s="37">
        <v>12805908</v>
      </c>
      <c r="H55" s="38"/>
      <c r="I55" s="37">
        <v>4349877</v>
      </c>
      <c r="J55" s="37">
        <v>19342045</v>
      </c>
      <c r="K55" s="37">
        <v>5613006</v>
      </c>
      <c r="L55" s="37">
        <v>9255248</v>
      </c>
      <c r="M55" s="37">
        <v>12654532</v>
      </c>
      <c r="N55" s="37">
        <v>18721811</v>
      </c>
      <c r="O55" s="37">
        <v>5713020</v>
      </c>
      <c r="P55" s="37">
        <v>4948820</v>
      </c>
      <c r="Q55" s="39"/>
      <c r="R55" s="40"/>
    </row>
    <row r="56" spans="2:18" ht="17.25" customHeight="1" x14ac:dyDescent="0.25">
      <c r="B56" s="41" t="s">
        <v>47</v>
      </c>
      <c r="C56" s="42">
        <f>C55-C53</f>
        <v>13</v>
      </c>
      <c r="D56" s="42">
        <f>D55-D53</f>
        <v>836</v>
      </c>
      <c r="E56" s="42">
        <f>E55-E53</f>
        <v>16327</v>
      </c>
      <c r="F56" s="42">
        <f>F55-F53</f>
        <v>16994</v>
      </c>
      <c r="G56" s="42">
        <f>G55-G53</f>
        <v>14</v>
      </c>
      <c r="H56" s="38">
        <f>SUM(C56:G56)</f>
        <v>34184</v>
      </c>
      <c r="I56" s="42">
        <f>I55-I53</f>
        <v>2241</v>
      </c>
      <c r="J56" s="42">
        <f t="shared" si="3"/>
        <v>5284</v>
      </c>
      <c r="K56" s="42">
        <f t="shared" si="3"/>
        <v>791</v>
      </c>
      <c r="L56" s="42">
        <f t="shared" si="3"/>
        <v>1907</v>
      </c>
      <c r="M56" s="42">
        <f t="shared" si="3"/>
        <v>5957</v>
      </c>
      <c r="N56" s="42">
        <f t="shared" si="3"/>
        <v>9174</v>
      </c>
      <c r="O56" s="42">
        <f t="shared" si="3"/>
        <v>3151</v>
      </c>
      <c r="P56" s="42">
        <f t="shared" si="3"/>
        <v>2600</v>
      </c>
      <c r="Q56" s="43">
        <f>SUM(I56:P56)</f>
        <v>31105</v>
      </c>
      <c r="R56" s="44">
        <f>SUM(H56,Q56)</f>
        <v>65289</v>
      </c>
    </row>
    <row r="57" spans="2:18" ht="17.25" customHeight="1" x14ac:dyDescent="0.25">
      <c r="B57" s="36">
        <v>26</v>
      </c>
      <c r="C57" s="37">
        <v>14147359</v>
      </c>
      <c r="D57" s="37">
        <v>10541648</v>
      </c>
      <c r="E57" s="37">
        <v>19257083</v>
      </c>
      <c r="F57" s="37">
        <v>18776816</v>
      </c>
      <c r="G57" s="37">
        <v>12805921</v>
      </c>
      <c r="H57" s="38"/>
      <c r="I57" s="37">
        <v>4351888</v>
      </c>
      <c r="J57" s="37">
        <v>19347170</v>
      </c>
      <c r="K57" s="37">
        <v>5613938</v>
      </c>
      <c r="L57" s="37">
        <v>9257117</v>
      </c>
      <c r="M57" s="37">
        <v>12659294</v>
      </c>
      <c r="N57" s="37">
        <v>18730976</v>
      </c>
      <c r="O57" s="37">
        <v>5716630</v>
      </c>
      <c r="P57" s="37">
        <v>4951460</v>
      </c>
      <c r="Q57" s="39"/>
      <c r="R57" s="45"/>
    </row>
    <row r="58" spans="2:18" ht="17.25" customHeight="1" x14ac:dyDescent="0.25">
      <c r="B58" s="41" t="s">
        <v>47</v>
      </c>
      <c r="C58" s="42">
        <f>C57-C55</f>
        <v>6</v>
      </c>
      <c r="D58" s="42">
        <f>D57-D55</f>
        <v>766</v>
      </c>
      <c r="E58" s="42">
        <f>E57-E55</f>
        <v>16664</v>
      </c>
      <c r="F58" s="42">
        <f>F57-F55</f>
        <v>17459</v>
      </c>
      <c r="G58" s="42">
        <f>G57-G55</f>
        <v>13</v>
      </c>
      <c r="H58" s="38">
        <f>SUM(C58:G58)</f>
        <v>34908</v>
      </c>
      <c r="I58" s="42">
        <f>I57-I55</f>
        <v>2011</v>
      </c>
      <c r="J58" s="42">
        <f t="shared" si="3"/>
        <v>5125</v>
      </c>
      <c r="K58" s="42">
        <f t="shared" si="3"/>
        <v>932</v>
      </c>
      <c r="L58" s="42">
        <f t="shared" si="3"/>
        <v>1869</v>
      </c>
      <c r="M58" s="42">
        <f t="shared" si="3"/>
        <v>4762</v>
      </c>
      <c r="N58" s="42">
        <f t="shared" si="3"/>
        <v>9165</v>
      </c>
      <c r="O58" s="42">
        <f t="shared" si="3"/>
        <v>3610</v>
      </c>
      <c r="P58" s="42">
        <f t="shared" si="3"/>
        <v>2640</v>
      </c>
      <c r="Q58" s="43">
        <f>SUM(I58:P58)</f>
        <v>30114</v>
      </c>
      <c r="R58" s="44">
        <f>SUM(H58,Q58)</f>
        <v>65022</v>
      </c>
    </row>
    <row r="59" spans="2:18" ht="17.25" customHeight="1" x14ac:dyDescent="0.25">
      <c r="B59" s="36">
        <v>27</v>
      </c>
      <c r="C59" s="37">
        <v>14147369</v>
      </c>
      <c r="D59" s="37">
        <v>10542372</v>
      </c>
      <c r="E59" s="37">
        <v>19272985</v>
      </c>
      <c r="F59" s="37">
        <v>18793494</v>
      </c>
      <c r="G59" s="37">
        <v>12805937</v>
      </c>
      <c r="H59" s="38"/>
      <c r="I59" s="37">
        <v>4353867</v>
      </c>
      <c r="J59" s="37">
        <v>19352047</v>
      </c>
      <c r="K59" s="37">
        <v>5614821</v>
      </c>
      <c r="L59" s="37">
        <v>9258979</v>
      </c>
      <c r="M59" s="37">
        <v>12663633</v>
      </c>
      <c r="N59" s="37">
        <v>18739613</v>
      </c>
      <c r="O59" s="37">
        <v>5719707</v>
      </c>
      <c r="P59" s="37">
        <v>4954660</v>
      </c>
      <c r="Q59" s="39"/>
      <c r="R59" s="40"/>
    </row>
    <row r="60" spans="2:18" ht="17.25" customHeight="1" x14ac:dyDescent="0.25">
      <c r="B60" s="41" t="s">
        <v>47</v>
      </c>
      <c r="C60" s="42">
        <f>C59-C57</f>
        <v>10</v>
      </c>
      <c r="D60" s="42">
        <f>D59-D57</f>
        <v>724</v>
      </c>
      <c r="E60" s="42">
        <f>E59-E57</f>
        <v>15902</v>
      </c>
      <c r="F60" s="42">
        <f>F59-F57</f>
        <v>16678</v>
      </c>
      <c r="G60" s="42">
        <f>G59-G57</f>
        <v>16</v>
      </c>
      <c r="H60" s="38">
        <f>SUM(C60:G60)</f>
        <v>33330</v>
      </c>
      <c r="I60" s="42">
        <f>I59-I57</f>
        <v>1979</v>
      </c>
      <c r="J60" s="42">
        <f t="shared" si="3"/>
        <v>4877</v>
      </c>
      <c r="K60" s="42">
        <f t="shared" si="3"/>
        <v>883</v>
      </c>
      <c r="L60" s="42">
        <f t="shared" si="3"/>
        <v>1862</v>
      </c>
      <c r="M60" s="42">
        <f t="shared" si="3"/>
        <v>4339</v>
      </c>
      <c r="N60" s="42">
        <f t="shared" si="3"/>
        <v>8637</v>
      </c>
      <c r="O60" s="42">
        <f t="shared" si="3"/>
        <v>3077</v>
      </c>
      <c r="P60" s="42">
        <f t="shared" si="3"/>
        <v>3200</v>
      </c>
      <c r="Q60" s="43">
        <f>SUM(I60:P60)</f>
        <v>28854</v>
      </c>
      <c r="R60" s="44">
        <f>SUM(H60,Q60)</f>
        <v>62184</v>
      </c>
    </row>
    <row r="61" spans="2:18" ht="17.25" customHeight="1" x14ac:dyDescent="0.25">
      <c r="B61" s="36">
        <v>28</v>
      </c>
      <c r="C61" s="37">
        <v>14147377</v>
      </c>
      <c r="D61" s="37">
        <v>10543118</v>
      </c>
      <c r="E61" s="37">
        <v>19288814</v>
      </c>
      <c r="F61" s="37">
        <v>18810160</v>
      </c>
      <c r="G61" s="37">
        <v>12805951</v>
      </c>
      <c r="H61" s="38"/>
      <c r="I61" s="37">
        <v>4355746</v>
      </c>
      <c r="J61" s="37">
        <v>19356862</v>
      </c>
      <c r="K61" s="37">
        <v>5615751</v>
      </c>
      <c r="L61" s="37">
        <v>9260949</v>
      </c>
      <c r="M61" s="37">
        <v>12668507</v>
      </c>
      <c r="N61" s="37">
        <v>18747895</v>
      </c>
      <c r="O61" s="37">
        <v>5722500</v>
      </c>
      <c r="P61" s="37">
        <v>4957190</v>
      </c>
      <c r="Q61" s="39"/>
      <c r="R61" s="45"/>
    </row>
    <row r="62" spans="2:18" ht="17.25" customHeight="1" x14ac:dyDescent="0.25">
      <c r="B62" s="41" t="s">
        <v>47</v>
      </c>
      <c r="C62" s="42">
        <f>C61-C59</f>
        <v>8</v>
      </c>
      <c r="D62" s="42">
        <f>D61-D59</f>
        <v>746</v>
      </c>
      <c r="E62" s="42">
        <f>E61-E59</f>
        <v>15829</v>
      </c>
      <c r="F62" s="42">
        <f>F61-F59</f>
        <v>16666</v>
      </c>
      <c r="G62" s="42">
        <f>G61-G59</f>
        <v>14</v>
      </c>
      <c r="H62" s="38">
        <f>SUM(C62:G62)</f>
        <v>33263</v>
      </c>
      <c r="I62" s="42">
        <f>I61-I59</f>
        <v>1879</v>
      </c>
      <c r="J62" s="42">
        <f t="shared" si="3"/>
        <v>4815</v>
      </c>
      <c r="K62" s="42">
        <f t="shared" si="3"/>
        <v>930</v>
      </c>
      <c r="L62" s="42">
        <f t="shared" si="3"/>
        <v>1970</v>
      </c>
      <c r="M62" s="42">
        <f t="shared" si="3"/>
        <v>4874</v>
      </c>
      <c r="N62" s="42">
        <f t="shared" si="3"/>
        <v>8282</v>
      </c>
      <c r="O62" s="42">
        <f t="shared" si="3"/>
        <v>2793</v>
      </c>
      <c r="P62" s="42">
        <f t="shared" si="3"/>
        <v>2530</v>
      </c>
      <c r="Q62" s="43">
        <f>SUM(I62:P62)</f>
        <v>28073</v>
      </c>
      <c r="R62" s="44">
        <f>SUM(H62,Q62)</f>
        <v>61336</v>
      </c>
    </row>
    <row r="63" spans="2:18" ht="17.25" customHeight="1" x14ac:dyDescent="0.25">
      <c r="B63" s="36">
        <v>29</v>
      </c>
      <c r="C63" s="37">
        <v>14147386</v>
      </c>
      <c r="D63" s="37">
        <v>10549281</v>
      </c>
      <c r="E63" s="37">
        <v>19303290</v>
      </c>
      <c r="F63" s="37">
        <v>18820025</v>
      </c>
      <c r="G63" s="37">
        <v>12805965</v>
      </c>
      <c r="H63" s="38"/>
      <c r="I63" s="37">
        <v>4358041</v>
      </c>
      <c r="J63" s="37">
        <v>19360400</v>
      </c>
      <c r="K63" s="37">
        <v>5616930</v>
      </c>
      <c r="L63" s="37">
        <v>9262964</v>
      </c>
      <c r="M63" s="37">
        <v>12674212</v>
      </c>
      <c r="N63" s="37">
        <v>18756950</v>
      </c>
      <c r="O63" s="37">
        <v>5725961</v>
      </c>
      <c r="P63" s="37">
        <v>4959700</v>
      </c>
      <c r="Q63" s="39"/>
      <c r="R63" s="45"/>
    </row>
    <row r="64" spans="2:18" ht="17.25" customHeight="1" x14ac:dyDescent="0.25">
      <c r="B64" s="41" t="s">
        <v>47</v>
      </c>
      <c r="C64" s="42">
        <f>C63-C61</f>
        <v>9</v>
      </c>
      <c r="D64" s="42">
        <f>D63-D61</f>
        <v>6163</v>
      </c>
      <c r="E64" s="42">
        <f>E63-E61</f>
        <v>14476</v>
      </c>
      <c r="F64" s="42">
        <f>F63-F61</f>
        <v>9865</v>
      </c>
      <c r="G64" s="42">
        <f>G63-G61</f>
        <v>14</v>
      </c>
      <c r="H64" s="38">
        <f>SUM(C64:G64)</f>
        <v>30527</v>
      </c>
      <c r="I64" s="42">
        <f>I63-I61</f>
        <v>2295</v>
      </c>
      <c r="J64" s="42">
        <f t="shared" ref="J64:P64" si="4">J63-J61</f>
        <v>3538</v>
      </c>
      <c r="K64" s="42">
        <f t="shared" si="4"/>
        <v>1179</v>
      </c>
      <c r="L64" s="42">
        <f t="shared" si="4"/>
        <v>2015</v>
      </c>
      <c r="M64" s="42">
        <f t="shared" si="4"/>
        <v>5705</v>
      </c>
      <c r="N64" s="42">
        <f t="shared" si="4"/>
        <v>9055</v>
      </c>
      <c r="O64" s="42">
        <f t="shared" si="4"/>
        <v>3461</v>
      </c>
      <c r="P64" s="42">
        <f t="shared" si="4"/>
        <v>2510</v>
      </c>
      <c r="Q64" s="43">
        <f>SUM(I64:P64)</f>
        <v>29758</v>
      </c>
      <c r="R64" s="44">
        <f>SUM(H64,Q64)</f>
        <v>60285</v>
      </c>
    </row>
    <row r="65" spans="2:18" ht="17.25" customHeight="1" x14ac:dyDescent="0.25">
      <c r="B65" s="36">
        <v>30</v>
      </c>
      <c r="C65" s="37">
        <v>14147401</v>
      </c>
      <c r="D65" s="37">
        <v>10561395</v>
      </c>
      <c r="E65" s="37">
        <v>19318990</v>
      </c>
      <c r="F65" s="37">
        <v>18825335</v>
      </c>
      <c r="G65" s="37">
        <v>12805982</v>
      </c>
      <c r="H65" s="38"/>
      <c r="I65" s="37">
        <v>4359850</v>
      </c>
      <c r="J65" s="37">
        <v>19363513</v>
      </c>
      <c r="K65" s="37">
        <v>5618035</v>
      </c>
      <c r="L65" s="37">
        <v>9264772</v>
      </c>
      <c r="M65" s="37">
        <v>12679487</v>
      </c>
      <c r="N65" s="37">
        <v>18765426</v>
      </c>
      <c r="O65" s="37">
        <v>5729468</v>
      </c>
      <c r="P65" s="37">
        <v>4962340</v>
      </c>
      <c r="Q65" s="39"/>
      <c r="R65" s="45"/>
    </row>
    <row r="66" spans="2:18" ht="17.25" customHeight="1" x14ac:dyDescent="0.25">
      <c r="B66" s="41" t="s">
        <v>47</v>
      </c>
      <c r="C66" s="42">
        <f>C65-C63</f>
        <v>15</v>
      </c>
      <c r="D66" s="42">
        <f>D65-D63</f>
        <v>12114</v>
      </c>
      <c r="E66" s="42">
        <f>E65-E63</f>
        <v>15700</v>
      </c>
      <c r="F66" s="42">
        <f>F65-F63</f>
        <v>5310</v>
      </c>
      <c r="G66" s="42">
        <f>G65-G63</f>
        <v>17</v>
      </c>
      <c r="H66" s="38">
        <f>SUM(C66:G66)</f>
        <v>33156</v>
      </c>
      <c r="I66" s="42">
        <f>I65-I63</f>
        <v>1809</v>
      </c>
      <c r="J66" s="42">
        <f t="shared" ref="J66:P66" si="5">J65-J63</f>
        <v>3113</v>
      </c>
      <c r="K66" s="42">
        <f t="shared" si="5"/>
        <v>1105</v>
      </c>
      <c r="L66" s="42">
        <f t="shared" si="5"/>
        <v>1808</v>
      </c>
      <c r="M66" s="42">
        <f t="shared" si="5"/>
        <v>5275</v>
      </c>
      <c r="N66" s="42">
        <f t="shared" si="5"/>
        <v>8476</v>
      </c>
      <c r="O66" s="42">
        <f t="shared" si="5"/>
        <v>3507</v>
      </c>
      <c r="P66" s="42">
        <f t="shared" si="5"/>
        <v>2640</v>
      </c>
      <c r="Q66" s="43">
        <f>SUM(I66:P66)</f>
        <v>27733</v>
      </c>
      <c r="R66" s="44">
        <f>SUM(H66,Q66)</f>
        <v>60889</v>
      </c>
    </row>
  </sheetData>
  <mergeCells count="7">
    <mergeCell ref="R5:R6"/>
    <mergeCell ref="F2:M2"/>
    <mergeCell ref="F3:M3"/>
    <mergeCell ref="N3:P4"/>
    <mergeCell ref="B5:B6"/>
    <mergeCell ref="H5:H6"/>
    <mergeCell ref="Q5:Q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6"/>
  <sheetViews>
    <sheetView zoomScaleNormal="100" zoomScaleSheetLayoutView="100" workbookViewId="0">
      <pane ySplit="6" topLeftCell="A7" activePane="bottomLeft" state="frozen"/>
      <selection activeCell="P33" sqref="P33"/>
      <selection pane="bottomLeft" activeCell="Y27" sqref="Y27"/>
    </sheetView>
  </sheetViews>
  <sheetFormatPr defaultRowHeight="15" x14ac:dyDescent="0.25"/>
  <cols>
    <col min="1" max="1" width="1" style="21" customWidth="1"/>
    <col min="2" max="5" width="10.5703125" style="21" customWidth="1"/>
    <col min="6" max="6" width="14.28515625" style="21" customWidth="1"/>
    <col min="7" max="12" width="10.5703125" style="21" customWidth="1"/>
    <col min="13" max="13" width="14.140625" style="21" customWidth="1"/>
    <col min="14" max="14" width="16.140625" style="21" bestFit="1" customWidth="1"/>
    <col min="15" max="16384" width="9.140625" style="21"/>
  </cols>
  <sheetData>
    <row r="1" spans="2:21" ht="12" customHeight="1" x14ac:dyDescent="0.25"/>
    <row r="2" spans="2:21" ht="19.5" customHeight="1" x14ac:dyDescent="0.25">
      <c r="F2" s="22" t="s">
        <v>34</v>
      </c>
      <c r="G2" s="22"/>
      <c r="H2" s="22"/>
      <c r="I2" s="22"/>
      <c r="J2" s="22"/>
      <c r="K2" s="46"/>
      <c r="L2" s="46"/>
    </row>
    <row r="3" spans="2:21" ht="21" customHeight="1" x14ac:dyDescent="0.25">
      <c r="F3" s="47" t="s">
        <v>48</v>
      </c>
      <c r="G3" s="47"/>
      <c r="H3" s="47"/>
      <c r="I3" s="47"/>
      <c r="J3" s="47"/>
      <c r="K3" s="48"/>
      <c r="L3" s="48"/>
      <c r="M3" s="49" t="s">
        <v>49</v>
      </c>
    </row>
    <row r="4" spans="2:21" ht="15" customHeight="1" thickBot="1" x14ac:dyDescent="0.3"/>
    <row r="5" spans="2:21" ht="30.75" customHeight="1" thickTop="1" x14ac:dyDescent="0.25">
      <c r="B5" s="50" t="s">
        <v>37</v>
      </c>
      <c r="C5" s="51" t="s">
        <v>50</v>
      </c>
      <c r="D5" s="51" t="s">
        <v>51</v>
      </c>
      <c r="E5" s="51" t="s">
        <v>52</v>
      </c>
      <c r="F5" s="52" t="s">
        <v>53</v>
      </c>
      <c r="G5" s="51" t="s">
        <v>54</v>
      </c>
      <c r="H5" s="51" t="s">
        <v>55</v>
      </c>
      <c r="I5" s="51" t="s">
        <v>56</v>
      </c>
      <c r="J5" s="51" t="s">
        <v>57</v>
      </c>
      <c r="K5" s="51" t="s">
        <v>58</v>
      </c>
      <c r="L5" s="51" t="s">
        <v>43</v>
      </c>
      <c r="M5" s="53" t="s">
        <v>59</v>
      </c>
      <c r="N5" s="54" t="s">
        <v>60</v>
      </c>
      <c r="O5" s="55"/>
      <c r="P5" s="56" t="s">
        <v>1</v>
      </c>
      <c r="Q5" s="56" t="s">
        <v>8</v>
      </c>
      <c r="R5" s="56" t="s">
        <v>9</v>
      </c>
      <c r="S5" s="56" t="s">
        <v>10</v>
      </c>
    </row>
    <row r="6" spans="2:21" ht="15.75" customHeight="1" x14ac:dyDescent="0.25">
      <c r="B6" s="57"/>
      <c r="C6" s="58">
        <v>130465</v>
      </c>
      <c r="D6" s="58">
        <v>130460</v>
      </c>
      <c r="E6" s="58">
        <v>130461</v>
      </c>
      <c r="F6" s="59"/>
      <c r="G6" s="58">
        <v>130464</v>
      </c>
      <c r="H6" s="58">
        <v>130456</v>
      </c>
      <c r="I6" s="58">
        <v>130457</v>
      </c>
      <c r="J6" s="58">
        <v>130458</v>
      </c>
      <c r="K6" s="58">
        <v>130459</v>
      </c>
      <c r="L6" s="58">
        <v>130466</v>
      </c>
      <c r="M6" s="60"/>
      <c r="N6" s="61"/>
      <c r="O6" s="55"/>
      <c r="P6" s="62"/>
      <c r="Q6" s="62"/>
      <c r="R6" s="62"/>
      <c r="S6" s="62"/>
    </row>
    <row r="7" spans="2:21" ht="17.25" customHeight="1" x14ac:dyDescent="0.25">
      <c r="B7" s="36">
        <v>1</v>
      </c>
      <c r="C7" s="37">
        <v>6519</v>
      </c>
      <c r="D7" s="37">
        <v>289</v>
      </c>
      <c r="E7" s="37">
        <v>43930</v>
      </c>
      <c r="F7" s="63"/>
      <c r="G7" s="64">
        <v>199618</v>
      </c>
      <c r="H7" s="64">
        <v>153768</v>
      </c>
      <c r="I7" s="65">
        <v>144582</v>
      </c>
      <c r="J7" s="65">
        <v>696970</v>
      </c>
      <c r="K7" s="64">
        <v>599391</v>
      </c>
      <c r="L7" s="37">
        <v>404635</v>
      </c>
      <c r="M7" s="66"/>
      <c r="N7" s="67"/>
      <c r="P7" s="68">
        <v>1</v>
      </c>
      <c r="Q7" s="69">
        <v>0</v>
      </c>
      <c r="R7" s="70">
        <v>0</v>
      </c>
      <c r="S7" s="71">
        <v>17.3</v>
      </c>
      <c r="U7" s="72" t="s">
        <v>61</v>
      </c>
    </row>
    <row r="8" spans="2:21" ht="17.25" customHeight="1" x14ac:dyDescent="0.25">
      <c r="B8" s="41" t="s">
        <v>47</v>
      </c>
      <c r="C8" s="42">
        <f>C7-6519</f>
        <v>0</v>
      </c>
      <c r="D8" s="42">
        <f>D7-289</f>
        <v>0</v>
      </c>
      <c r="E8" s="42">
        <f>E7-43925</f>
        <v>5</v>
      </c>
      <c r="F8" s="63">
        <f>SUM(C8:E8)</f>
        <v>5</v>
      </c>
      <c r="G8" s="42">
        <v>0</v>
      </c>
      <c r="H8" s="42">
        <v>0</v>
      </c>
      <c r="I8" s="42">
        <f>I7-144524</f>
        <v>58</v>
      </c>
      <c r="J8" s="42">
        <f>J7-696843</f>
        <v>127</v>
      </c>
      <c r="K8" s="42">
        <v>0</v>
      </c>
      <c r="L8" s="42">
        <f>L7-404601</f>
        <v>34</v>
      </c>
      <c r="M8" s="73">
        <f>SUM(G8:L8)</f>
        <v>219</v>
      </c>
      <c r="N8" s="74">
        <f>SUM(F8,M8)</f>
        <v>224</v>
      </c>
      <c r="P8" s="68">
        <v>2</v>
      </c>
      <c r="Q8" s="69">
        <v>0</v>
      </c>
      <c r="R8" s="70">
        <v>0</v>
      </c>
      <c r="S8" s="71">
        <v>15</v>
      </c>
      <c r="U8" s="75" t="s">
        <v>62</v>
      </c>
    </row>
    <row r="9" spans="2:21" ht="17.25" customHeight="1" x14ac:dyDescent="0.25">
      <c r="B9" s="36">
        <v>2</v>
      </c>
      <c r="C9" s="37">
        <v>6519</v>
      </c>
      <c r="D9" s="37">
        <v>289</v>
      </c>
      <c r="E9" s="37">
        <v>43938</v>
      </c>
      <c r="F9" s="63"/>
      <c r="G9" s="64">
        <v>199618</v>
      </c>
      <c r="H9" s="64">
        <v>153768</v>
      </c>
      <c r="I9" s="70">
        <v>144635</v>
      </c>
      <c r="J9" s="70">
        <v>697074</v>
      </c>
      <c r="K9" s="64">
        <v>599391</v>
      </c>
      <c r="L9" s="37">
        <v>404681</v>
      </c>
      <c r="M9" s="66"/>
      <c r="N9" s="76"/>
      <c r="P9" s="68">
        <v>3</v>
      </c>
      <c r="Q9" s="69">
        <v>0</v>
      </c>
      <c r="R9" s="70">
        <v>0</v>
      </c>
      <c r="S9" s="71">
        <v>14</v>
      </c>
      <c r="U9" s="77" t="s">
        <v>63</v>
      </c>
    </row>
    <row r="10" spans="2:21" ht="17.25" customHeight="1" x14ac:dyDescent="0.25">
      <c r="B10" s="41" t="s">
        <v>47</v>
      </c>
      <c r="C10" s="42">
        <f>C9-C7</f>
        <v>0</v>
      </c>
      <c r="D10" s="42">
        <f>D9-D7</f>
        <v>0</v>
      </c>
      <c r="E10" s="42">
        <f>E9-E7</f>
        <v>8</v>
      </c>
      <c r="F10" s="63">
        <f>SUM(C10:E10)</f>
        <v>8</v>
      </c>
      <c r="G10" s="42">
        <f t="shared" ref="G10:L10" si="0">G9-G7</f>
        <v>0</v>
      </c>
      <c r="H10" s="42">
        <f t="shared" si="0"/>
        <v>0</v>
      </c>
      <c r="I10" s="42">
        <f t="shared" si="0"/>
        <v>53</v>
      </c>
      <c r="J10" s="42">
        <f t="shared" si="0"/>
        <v>104</v>
      </c>
      <c r="K10" s="42">
        <f t="shared" si="0"/>
        <v>0</v>
      </c>
      <c r="L10" s="42">
        <f t="shared" si="0"/>
        <v>46</v>
      </c>
      <c r="M10" s="73">
        <f>SUM(G10:L10)</f>
        <v>203</v>
      </c>
      <c r="N10" s="78">
        <f>SUM(F10,M10)</f>
        <v>211</v>
      </c>
      <c r="P10" s="68">
        <v>4</v>
      </c>
      <c r="Q10" s="69">
        <v>0</v>
      </c>
      <c r="R10" s="70">
        <v>0</v>
      </c>
      <c r="S10" s="71">
        <v>16.600000000000001</v>
      </c>
      <c r="U10" s="75" t="s">
        <v>64</v>
      </c>
    </row>
    <row r="11" spans="2:21" ht="17.25" customHeight="1" x14ac:dyDescent="0.25">
      <c r="B11" s="36">
        <v>3</v>
      </c>
      <c r="C11" s="37">
        <v>6519</v>
      </c>
      <c r="D11" s="37">
        <v>289</v>
      </c>
      <c r="E11" s="37">
        <v>43942</v>
      </c>
      <c r="F11" s="63"/>
      <c r="G11" s="64">
        <v>199618</v>
      </c>
      <c r="H11" s="64">
        <v>153768</v>
      </c>
      <c r="I11" s="65">
        <v>144684</v>
      </c>
      <c r="J11" s="65">
        <v>697184</v>
      </c>
      <c r="K11" s="64">
        <v>599391</v>
      </c>
      <c r="L11" s="65">
        <v>404719</v>
      </c>
      <c r="M11" s="66"/>
      <c r="N11" s="76"/>
      <c r="P11" s="68">
        <v>5</v>
      </c>
      <c r="Q11" s="69">
        <v>0</v>
      </c>
      <c r="R11" s="70">
        <v>0</v>
      </c>
      <c r="S11" s="71">
        <v>15.5</v>
      </c>
    </row>
    <row r="12" spans="2:21" ht="17.25" customHeight="1" x14ac:dyDescent="0.25">
      <c r="B12" s="41" t="s">
        <v>47</v>
      </c>
      <c r="C12" s="42">
        <f>C11-C9</f>
        <v>0</v>
      </c>
      <c r="D12" s="42">
        <f>D11-D9</f>
        <v>0</v>
      </c>
      <c r="E12" s="42">
        <f>E11-E9</f>
        <v>4</v>
      </c>
      <c r="F12" s="63">
        <f>SUM(C12:E12)</f>
        <v>4</v>
      </c>
      <c r="G12" s="42">
        <f t="shared" ref="G12:L12" si="1">G11-G9</f>
        <v>0</v>
      </c>
      <c r="H12" s="42">
        <f t="shared" si="1"/>
        <v>0</v>
      </c>
      <c r="I12" s="42">
        <f t="shared" si="1"/>
        <v>49</v>
      </c>
      <c r="J12" s="42">
        <f t="shared" si="1"/>
        <v>110</v>
      </c>
      <c r="K12" s="42">
        <f t="shared" si="1"/>
        <v>0</v>
      </c>
      <c r="L12" s="42">
        <f t="shared" si="1"/>
        <v>38</v>
      </c>
      <c r="M12" s="73">
        <f>SUM(G12:L12)</f>
        <v>197</v>
      </c>
      <c r="N12" s="78">
        <f>SUM(F12,M12)</f>
        <v>201</v>
      </c>
      <c r="P12" s="68">
        <v>6</v>
      </c>
      <c r="Q12" s="69">
        <v>0</v>
      </c>
      <c r="R12" s="70">
        <v>0</v>
      </c>
      <c r="S12" s="71">
        <v>14.4</v>
      </c>
    </row>
    <row r="13" spans="2:21" ht="17.25" customHeight="1" x14ac:dyDescent="0.25">
      <c r="B13" s="36">
        <v>4</v>
      </c>
      <c r="C13" s="37">
        <v>6519</v>
      </c>
      <c r="D13" s="37">
        <v>289</v>
      </c>
      <c r="E13" s="37">
        <v>43945</v>
      </c>
      <c r="F13" s="63"/>
      <c r="G13" s="64">
        <v>199618</v>
      </c>
      <c r="H13" s="64">
        <v>153768</v>
      </c>
      <c r="I13" s="70">
        <v>144743</v>
      </c>
      <c r="J13" s="70">
        <v>697303</v>
      </c>
      <c r="K13" s="64">
        <v>599391</v>
      </c>
      <c r="L13" s="37">
        <v>404761</v>
      </c>
      <c r="M13" s="66"/>
      <c r="N13" s="76"/>
      <c r="P13" s="68">
        <v>7</v>
      </c>
      <c r="Q13" s="69">
        <v>0</v>
      </c>
      <c r="R13" s="70">
        <v>0</v>
      </c>
      <c r="S13" s="71">
        <v>17.8</v>
      </c>
    </row>
    <row r="14" spans="2:21" ht="17.25" customHeight="1" x14ac:dyDescent="0.25">
      <c r="B14" s="41" t="s">
        <v>47</v>
      </c>
      <c r="C14" s="42">
        <f>C13-C11</f>
        <v>0</v>
      </c>
      <c r="D14" s="42">
        <f>D13-D11</f>
        <v>0</v>
      </c>
      <c r="E14" s="42">
        <f>E13-E11</f>
        <v>3</v>
      </c>
      <c r="F14" s="63">
        <f>SUM(C14:E14)</f>
        <v>3</v>
      </c>
      <c r="G14" s="42">
        <f t="shared" ref="G14:L28" si="2">G13-G11</f>
        <v>0</v>
      </c>
      <c r="H14" s="42">
        <f t="shared" si="2"/>
        <v>0</v>
      </c>
      <c r="I14" s="42">
        <f t="shared" si="2"/>
        <v>59</v>
      </c>
      <c r="J14" s="42">
        <f t="shared" si="2"/>
        <v>119</v>
      </c>
      <c r="K14" s="42">
        <f t="shared" si="2"/>
        <v>0</v>
      </c>
      <c r="L14" s="42">
        <f t="shared" si="2"/>
        <v>42</v>
      </c>
      <c r="M14" s="73">
        <f>SUM(G14:L14)</f>
        <v>220</v>
      </c>
      <c r="N14" s="78">
        <f>SUM(F14,M14)</f>
        <v>223</v>
      </c>
      <c r="P14" s="68">
        <v>8</v>
      </c>
      <c r="Q14" s="69">
        <v>0</v>
      </c>
      <c r="R14" s="70">
        <v>0</v>
      </c>
      <c r="S14" s="71">
        <v>17</v>
      </c>
      <c r="U14" s="79" t="s">
        <v>65</v>
      </c>
    </row>
    <row r="15" spans="2:21" ht="17.25" customHeight="1" x14ac:dyDescent="0.25">
      <c r="B15" s="36">
        <v>5</v>
      </c>
      <c r="C15" s="37">
        <v>6519</v>
      </c>
      <c r="D15" s="37">
        <v>293</v>
      </c>
      <c r="E15" s="37">
        <v>43948</v>
      </c>
      <c r="F15" s="63"/>
      <c r="G15" s="64">
        <v>199618</v>
      </c>
      <c r="H15" s="64">
        <v>153768</v>
      </c>
      <c r="I15" s="65">
        <v>144800</v>
      </c>
      <c r="J15" s="65">
        <v>697408</v>
      </c>
      <c r="K15" s="64">
        <v>599391</v>
      </c>
      <c r="L15" s="65">
        <v>404801</v>
      </c>
      <c r="M15" s="66"/>
      <c r="N15" s="76"/>
      <c r="P15" s="68">
        <v>9</v>
      </c>
      <c r="Q15" s="69">
        <v>0</v>
      </c>
      <c r="R15" s="70">
        <v>0</v>
      </c>
      <c r="S15" s="71">
        <v>15.9</v>
      </c>
    </row>
    <row r="16" spans="2:21" ht="17.25" customHeight="1" x14ac:dyDescent="0.25">
      <c r="B16" s="41" t="s">
        <v>47</v>
      </c>
      <c r="C16" s="42">
        <f>C15-C13</f>
        <v>0</v>
      </c>
      <c r="D16" s="42">
        <f>D15-D13</f>
        <v>4</v>
      </c>
      <c r="E16" s="42">
        <f>E15-E13</f>
        <v>3</v>
      </c>
      <c r="F16" s="63">
        <f>SUM(C16:E16)</f>
        <v>7</v>
      </c>
      <c r="G16" s="42">
        <f t="shared" si="2"/>
        <v>0</v>
      </c>
      <c r="H16" s="42">
        <f t="shared" si="2"/>
        <v>0</v>
      </c>
      <c r="I16" s="42">
        <f t="shared" si="2"/>
        <v>57</v>
      </c>
      <c r="J16" s="42">
        <f t="shared" si="2"/>
        <v>105</v>
      </c>
      <c r="K16" s="42">
        <f t="shared" si="2"/>
        <v>0</v>
      </c>
      <c r="L16" s="42">
        <f t="shared" si="2"/>
        <v>40</v>
      </c>
      <c r="M16" s="73">
        <f>SUM(G16:L16)</f>
        <v>202</v>
      </c>
      <c r="N16" s="78">
        <f>SUM(F16,M16)</f>
        <v>209</v>
      </c>
      <c r="P16" s="68">
        <v>10</v>
      </c>
      <c r="Q16" s="69">
        <v>0</v>
      </c>
      <c r="R16" s="70">
        <v>0</v>
      </c>
      <c r="S16" s="71">
        <v>14.2</v>
      </c>
    </row>
    <row r="17" spans="2:19" ht="17.25" customHeight="1" x14ac:dyDescent="0.25">
      <c r="B17" s="36">
        <v>6</v>
      </c>
      <c r="C17" s="37">
        <v>6519</v>
      </c>
      <c r="D17" s="37">
        <v>293</v>
      </c>
      <c r="E17" s="37">
        <v>43954</v>
      </c>
      <c r="F17" s="63"/>
      <c r="G17" s="64">
        <v>199618</v>
      </c>
      <c r="H17" s="64">
        <v>153768</v>
      </c>
      <c r="I17" s="70">
        <v>144875</v>
      </c>
      <c r="J17" s="70">
        <v>697505</v>
      </c>
      <c r="K17" s="64">
        <v>599391</v>
      </c>
      <c r="L17" s="80">
        <v>404850</v>
      </c>
      <c r="M17" s="66"/>
      <c r="N17" s="76"/>
      <c r="P17" s="68">
        <v>11</v>
      </c>
      <c r="Q17" s="69">
        <v>0</v>
      </c>
      <c r="R17" s="70">
        <v>0</v>
      </c>
      <c r="S17" s="71">
        <v>14.4</v>
      </c>
    </row>
    <row r="18" spans="2:19" ht="17.25" customHeight="1" x14ac:dyDescent="0.25">
      <c r="B18" s="41" t="s">
        <v>47</v>
      </c>
      <c r="C18" s="42">
        <f>C17-C15</f>
        <v>0</v>
      </c>
      <c r="D18" s="42">
        <f>D17-D15</f>
        <v>0</v>
      </c>
      <c r="E18" s="42">
        <f>E17-E15</f>
        <v>6</v>
      </c>
      <c r="F18" s="63">
        <f>SUM(C18:E18)</f>
        <v>6</v>
      </c>
      <c r="G18" s="42">
        <f t="shared" si="2"/>
        <v>0</v>
      </c>
      <c r="H18" s="42">
        <f t="shared" si="2"/>
        <v>0</v>
      </c>
      <c r="I18" s="42">
        <f t="shared" si="2"/>
        <v>75</v>
      </c>
      <c r="J18" s="42">
        <f t="shared" si="2"/>
        <v>97</v>
      </c>
      <c r="K18" s="42">
        <f t="shared" si="2"/>
        <v>0</v>
      </c>
      <c r="L18" s="42">
        <f t="shared" si="2"/>
        <v>49</v>
      </c>
      <c r="M18" s="73">
        <f>SUM(G18:L18)</f>
        <v>221</v>
      </c>
      <c r="N18" s="78">
        <f>SUM(F18,M18)</f>
        <v>227</v>
      </c>
      <c r="P18" s="68">
        <v>12</v>
      </c>
      <c r="Q18" s="69">
        <v>0</v>
      </c>
      <c r="R18" s="70">
        <v>0</v>
      </c>
      <c r="S18" s="71">
        <v>14.4</v>
      </c>
    </row>
    <row r="19" spans="2:19" ht="17.25" customHeight="1" x14ac:dyDescent="0.25">
      <c r="B19" s="36">
        <v>7</v>
      </c>
      <c r="C19" s="37">
        <v>6520</v>
      </c>
      <c r="D19" s="80">
        <v>293</v>
      </c>
      <c r="E19" s="37">
        <v>43958</v>
      </c>
      <c r="F19" s="63"/>
      <c r="G19" s="64">
        <v>199618</v>
      </c>
      <c r="H19" s="64">
        <v>153768</v>
      </c>
      <c r="I19" s="65">
        <v>144914</v>
      </c>
      <c r="J19" s="65">
        <v>697618</v>
      </c>
      <c r="K19" s="64">
        <v>599391</v>
      </c>
      <c r="L19" s="65">
        <v>404898</v>
      </c>
      <c r="M19" s="66"/>
      <c r="N19" s="76"/>
      <c r="P19" s="68">
        <v>13</v>
      </c>
      <c r="Q19" s="69">
        <v>0</v>
      </c>
      <c r="R19" s="70">
        <v>0</v>
      </c>
      <c r="S19" s="71">
        <v>14</v>
      </c>
    </row>
    <row r="20" spans="2:19" ht="17.25" customHeight="1" x14ac:dyDescent="0.25">
      <c r="B20" s="41" t="s">
        <v>47</v>
      </c>
      <c r="C20" s="42">
        <f>C19-C17</f>
        <v>1</v>
      </c>
      <c r="D20" s="42">
        <f>D19-D17</f>
        <v>0</v>
      </c>
      <c r="E20" s="42">
        <f>E19-E17</f>
        <v>4</v>
      </c>
      <c r="F20" s="63">
        <f>SUM(C20:E20)</f>
        <v>5</v>
      </c>
      <c r="G20" s="42">
        <f t="shared" si="2"/>
        <v>0</v>
      </c>
      <c r="H20" s="42">
        <f t="shared" si="2"/>
        <v>0</v>
      </c>
      <c r="I20" s="42">
        <f t="shared" si="2"/>
        <v>39</v>
      </c>
      <c r="J20" s="42">
        <f t="shared" si="2"/>
        <v>113</v>
      </c>
      <c r="K20" s="70">
        <v>0</v>
      </c>
      <c r="L20" s="42">
        <f t="shared" si="2"/>
        <v>48</v>
      </c>
      <c r="M20" s="73">
        <f>SUM(G20:L20)</f>
        <v>200</v>
      </c>
      <c r="N20" s="78">
        <f>SUM(F20,M20)</f>
        <v>205</v>
      </c>
      <c r="P20" s="68">
        <v>14</v>
      </c>
      <c r="Q20" s="69">
        <v>0</v>
      </c>
      <c r="R20" s="70">
        <v>0</v>
      </c>
      <c r="S20" s="71">
        <v>14.3</v>
      </c>
    </row>
    <row r="21" spans="2:19" ht="17.25" customHeight="1" x14ac:dyDescent="0.25">
      <c r="B21" s="36">
        <v>8</v>
      </c>
      <c r="C21" s="37">
        <v>6520</v>
      </c>
      <c r="D21" s="80">
        <v>293</v>
      </c>
      <c r="E21" s="37">
        <v>43965</v>
      </c>
      <c r="F21" s="63"/>
      <c r="G21" s="64">
        <v>199618</v>
      </c>
      <c r="H21" s="64">
        <v>153768</v>
      </c>
      <c r="I21" s="70">
        <v>144921</v>
      </c>
      <c r="J21" s="70">
        <v>697735</v>
      </c>
      <c r="K21" s="64">
        <v>599391</v>
      </c>
      <c r="L21" s="37">
        <v>404963</v>
      </c>
      <c r="M21" s="66"/>
      <c r="N21" s="76"/>
      <c r="P21" s="68">
        <v>15</v>
      </c>
      <c r="Q21" s="69">
        <v>0</v>
      </c>
      <c r="R21" s="70">
        <v>0</v>
      </c>
      <c r="S21" s="71">
        <v>12.8</v>
      </c>
    </row>
    <row r="22" spans="2:19" ht="17.25" customHeight="1" x14ac:dyDescent="0.25">
      <c r="B22" s="41" t="s">
        <v>47</v>
      </c>
      <c r="C22" s="42">
        <f>C21-C19</f>
        <v>0</v>
      </c>
      <c r="D22" s="42">
        <f>D21-D19</f>
        <v>0</v>
      </c>
      <c r="E22" s="42">
        <f>E21-E19</f>
        <v>7</v>
      </c>
      <c r="F22" s="63">
        <f>SUM(C22:E22)</f>
        <v>7</v>
      </c>
      <c r="G22" s="42">
        <f t="shared" si="2"/>
        <v>0</v>
      </c>
      <c r="H22" s="42">
        <f t="shared" si="2"/>
        <v>0</v>
      </c>
      <c r="I22" s="42">
        <f t="shared" si="2"/>
        <v>7</v>
      </c>
      <c r="J22" s="42">
        <f t="shared" si="2"/>
        <v>117</v>
      </c>
      <c r="K22" s="70">
        <v>0</v>
      </c>
      <c r="L22" s="42">
        <f t="shared" si="2"/>
        <v>65</v>
      </c>
      <c r="M22" s="73">
        <f>SUM(G22:L22)</f>
        <v>189</v>
      </c>
      <c r="N22" s="78">
        <f>SUM(F22,M22)</f>
        <v>196</v>
      </c>
      <c r="P22" s="68">
        <v>16</v>
      </c>
      <c r="Q22" s="69">
        <v>0</v>
      </c>
      <c r="R22" s="70">
        <v>0</v>
      </c>
      <c r="S22" s="71">
        <v>13.4</v>
      </c>
    </row>
    <row r="23" spans="2:19" ht="17.25" customHeight="1" x14ac:dyDescent="0.25">
      <c r="B23" s="36">
        <v>9</v>
      </c>
      <c r="C23" s="37">
        <v>6520</v>
      </c>
      <c r="D23" s="80">
        <v>293</v>
      </c>
      <c r="E23" s="37">
        <v>43969</v>
      </c>
      <c r="F23" s="63"/>
      <c r="G23" s="64">
        <v>199618</v>
      </c>
      <c r="H23" s="64">
        <v>153768</v>
      </c>
      <c r="I23" s="65">
        <v>144929</v>
      </c>
      <c r="J23" s="70">
        <v>697782</v>
      </c>
      <c r="K23" s="64">
        <v>599391</v>
      </c>
      <c r="L23" s="65">
        <v>405021</v>
      </c>
      <c r="M23" s="66"/>
      <c r="N23" s="76"/>
      <c r="P23" s="68">
        <v>17</v>
      </c>
      <c r="Q23" s="69">
        <v>0</v>
      </c>
      <c r="R23" s="70">
        <v>0</v>
      </c>
      <c r="S23" s="71">
        <v>13.6</v>
      </c>
    </row>
    <row r="24" spans="2:19" ht="17.25" customHeight="1" x14ac:dyDescent="0.25">
      <c r="B24" s="41" t="s">
        <v>47</v>
      </c>
      <c r="C24" s="42">
        <f>C23-C21</f>
        <v>0</v>
      </c>
      <c r="D24" s="42">
        <f>D23-D21</f>
        <v>0</v>
      </c>
      <c r="E24" s="42">
        <f>E23-E21</f>
        <v>4</v>
      </c>
      <c r="F24" s="63">
        <f>SUM(C24:E24)</f>
        <v>4</v>
      </c>
      <c r="G24" s="42">
        <f t="shared" si="2"/>
        <v>0</v>
      </c>
      <c r="H24" s="42">
        <f t="shared" si="2"/>
        <v>0</v>
      </c>
      <c r="I24" s="42">
        <f t="shared" si="2"/>
        <v>8</v>
      </c>
      <c r="J24" s="42">
        <f t="shared" si="2"/>
        <v>47</v>
      </c>
      <c r="K24" s="42">
        <f t="shared" si="2"/>
        <v>0</v>
      </c>
      <c r="L24" s="42">
        <f t="shared" si="2"/>
        <v>58</v>
      </c>
      <c r="M24" s="73">
        <f>SUM(G24:L24)</f>
        <v>113</v>
      </c>
      <c r="N24" s="78">
        <f>SUM(F24,M24)</f>
        <v>117</v>
      </c>
      <c r="P24" s="68">
        <v>18</v>
      </c>
      <c r="Q24" s="69">
        <v>0</v>
      </c>
      <c r="R24" s="70">
        <v>0</v>
      </c>
      <c r="S24" s="71">
        <v>14.3</v>
      </c>
    </row>
    <row r="25" spans="2:19" ht="17.25" customHeight="1" x14ac:dyDescent="0.25">
      <c r="B25" s="36">
        <v>10</v>
      </c>
      <c r="C25" s="37">
        <v>6520</v>
      </c>
      <c r="D25" s="80">
        <v>293</v>
      </c>
      <c r="E25" s="37">
        <v>43972</v>
      </c>
      <c r="F25" s="63"/>
      <c r="G25" s="64">
        <v>199618</v>
      </c>
      <c r="H25" s="64">
        <v>153768</v>
      </c>
      <c r="I25" s="70">
        <v>144942</v>
      </c>
      <c r="J25" s="70">
        <v>697782</v>
      </c>
      <c r="K25" s="64">
        <v>599391</v>
      </c>
      <c r="L25" s="37">
        <v>405138</v>
      </c>
      <c r="M25" s="66"/>
      <c r="N25" s="76"/>
      <c r="P25" s="68">
        <v>19</v>
      </c>
      <c r="Q25" s="69">
        <v>0</v>
      </c>
      <c r="R25" s="70">
        <v>0</v>
      </c>
      <c r="S25" s="71">
        <v>13.6</v>
      </c>
    </row>
    <row r="26" spans="2:19" ht="17.25" customHeight="1" x14ac:dyDescent="0.25">
      <c r="B26" s="41" t="s">
        <v>47</v>
      </c>
      <c r="C26" s="42">
        <f>C25-C23</f>
        <v>0</v>
      </c>
      <c r="D26" s="42">
        <f>D25-D23</f>
        <v>0</v>
      </c>
      <c r="E26" s="42">
        <f>E25-E23</f>
        <v>3</v>
      </c>
      <c r="F26" s="63">
        <f>SUM(C26:E26)</f>
        <v>3</v>
      </c>
      <c r="G26" s="42">
        <f t="shared" si="2"/>
        <v>0</v>
      </c>
      <c r="H26" s="42">
        <f t="shared" si="2"/>
        <v>0</v>
      </c>
      <c r="I26" s="42">
        <f t="shared" si="2"/>
        <v>13</v>
      </c>
      <c r="J26" s="42">
        <f t="shared" si="2"/>
        <v>0</v>
      </c>
      <c r="K26" s="42">
        <f t="shared" si="2"/>
        <v>0</v>
      </c>
      <c r="L26" s="42">
        <f t="shared" si="2"/>
        <v>117</v>
      </c>
      <c r="M26" s="73">
        <f>SUM(G26:L26)</f>
        <v>130</v>
      </c>
      <c r="N26" s="78">
        <f>SUM(F26,M26)</f>
        <v>133</v>
      </c>
      <c r="P26" s="68">
        <v>20</v>
      </c>
      <c r="Q26" s="69">
        <v>0</v>
      </c>
      <c r="R26" s="70">
        <v>0</v>
      </c>
      <c r="S26" s="71">
        <v>13.4</v>
      </c>
    </row>
    <row r="27" spans="2:19" ht="17.25" customHeight="1" x14ac:dyDescent="0.25">
      <c r="B27" s="36">
        <v>11</v>
      </c>
      <c r="C27" s="37">
        <v>6521</v>
      </c>
      <c r="D27" s="80">
        <v>293</v>
      </c>
      <c r="E27" s="37">
        <v>43975</v>
      </c>
      <c r="F27" s="63"/>
      <c r="G27" s="64">
        <v>199618</v>
      </c>
      <c r="H27" s="64">
        <v>153768</v>
      </c>
      <c r="I27" s="65">
        <v>144954</v>
      </c>
      <c r="J27" s="65">
        <v>697782</v>
      </c>
      <c r="K27" s="64">
        <v>599391</v>
      </c>
      <c r="L27" s="65">
        <v>405230</v>
      </c>
      <c r="M27" s="66"/>
      <c r="N27" s="76"/>
      <c r="P27" s="68">
        <v>21</v>
      </c>
      <c r="Q27" s="69">
        <v>0</v>
      </c>
      <c r="R27" s="70">
        <v>0</v>
      </c>
      <c r="S27" s="71">
        <v>14.4</v>
      </c>
    </row>
    <row r="28" spans="2:19" ht="17.25" customHeight="1" x14ac:dyDescent="0.25">
      <c r="B28" s="41" t="s">
        <v>47</v>
      </c>
      <c r="C28" s="42">
        <f>C27-C25</f>
        <v>1</v>
      </c>
      <c r="D28" s="42">
        <f>D27-D25</f>
        <v>0</v>
      </c>
      <c r="E28" s="42">
        <f>E27-E25</f>
        <v>3</v>
      </c>
      <c r="F28" s="63">
        <f>SUM(C28:E28)</f>
        <v>4</v>
      </c>
      <c r="G28" s="42">
        <f t="shared" si="2"/>
        <v>0</v>
      </c>
      <c r="H28" s="42">
        <f t="shared" si="2"/>
        <v>0</v>
      </c>
      <c r="I28" s="42">
        <f t="shared" si="2"/>
        <v>12</v>
      </c>
      <c r="J28" s="42">
        <f t="shared" si="2"/>
        <v>0</v>
      </c>
      <c r="K28" s="42">
        <f t="shared" si="2"/>
        <v>0</v>
      </c>
      <c r="L28" s="42">
        <f t="shared" si="2"/>
        <v>92</v>
      </c>
      <c r="M28" s="73">
        <f>SUM(G28:L28)</f>
        <v>104</v>
      </c>
      <c r="N28" s="78">
        <f>SUM(F28,M28)</f>
        <v>108</v>
      </c>
      <c r="P28" s="68">
        <v>22</v>
      </c>
      <c r="Q28" s="69">
        <v>0</v>
      </c>
      <c r="R28" s="70">
        <v>0</v>
      </c>
      <c r="S28" s="71">
        <v>13.8</v>
      </c>
    </row>
    <row r="29" spans="2:19" ht="17.25" customHeight="1" x14ac:dyDescent="0.25">
      <c r="B29" s="36">
        <v>12</v>
      </c>
      <c r="C29" s="37">
        <v>6521</v>
      </c>
      <c r="D29" s="80">
        <v>293</v>
      </c>
      <c r="E29" s="37">
        <v>43978</v>
      </c>
      <c r="F29" s="63"/>
      <c r="G29" s="64">
        <v>199618</v>
      </c>
      <c r="H29" s="64">
        <v>153768</v>
      </c>
      <c r="I29" s="70">
        <v>144968</v>
      </c>
      <c r="J29" s="70">
        <v>697782</v>
      </c>
      <c r="K29" s="64">
        <v>599391</v>
      </c>
      <c r="L29" s="37">
        <v>405313</v>
      </c>
      <c r="M29" s="66"/>
      <c r="N29" s="76"/>
      <c r="P29" s="68">
        <v>23</v>
      </c>
      <c r="Q29" s="69">
        <v>0</v>
      </c>
      <c r="R29" s="70">
        <v>0</v>
      </c>
      <c r="S29" s="71">
        <v>14.5</v>
      </c>
    </row>
    <row r="30" spans="2:19" ht="17.25" customHeight="1" x14ac:dyDescent="0.25">
      <c r="B30" s="41" t="s">
        <v>47</v>
      </c>
      <c r="C30" s="42">
        <f>C29-C27</f>
        <v>0</v>
      </c>
      <c r="D30" s="42">
        <f>D29-D27</f>
        <v>0</v>
      </c>
      <c r="E30" s="42">
        <f>E29-E27</f>
        <v>3</v>
      </c>
      <c r="F30" s="63">
        <f>SUM(C30:E30)</f>
        <v>3</v>
      </c>
      <c r="G30" s="42">
        <f t="shared" ref="G30:L44" si="3">G29-G27</f>
        <v>0</v>
      </c>
      <c r="H30" s="42">
        <f t="shared" si="3"/>
        <v>0</v>
      </c>
      <c r="I30" s="42">
        <f t="shared" si="3"/>
        <v>14</v>
      </c>
      <c r="J30" s="42">
        <f t="shared" si="3"/>
        <v>0</v>
      </c>
      <c r="K30" s="42">
        <f t="shared" si="3"/>
        <v>0</v>
      </c>
      <c r="L30" s="42">
        <f t="shared" si="3"/>
        <v>83</v>
      </c>
      <c r="M30" s="73">
        <f>SUM(G30:L30)</f>
        <v>97</v>
      </c>
      <c r="N30" s="78">
        <f>SUM(F30,M30)</f>
        <v>100</v>
      </c>
      <c r="P30" s="68">
        <v>24</v>
      </c>
      <c r="Q30" s="69">
        <v>0</v>
      </c>
      <c r="R30" s="70">
        <v>0</v>
      </c>
      <c r="S30" s="71">
        <v>13.2</v>
      </c>
    </row>
    <row r="31" spans="2:19" ht="17.25" customHeight="1" x14ac:dyDescent="0.25">
      <c r="B31" s="36">
        <v>13</v>
      </c>
      <c r="C31" s="37">
        <v>6521</v>
      </c>
      <c r="D31" s="80">
        <v>318</v>
      </c>
      <c r="E31" s="37">
        <v>43981</v>
      </c>
      <c r="F31" s="63"/>
      <c r="G31" s="64">
        <v>199618</v>
      </c>
      <c r="H31" s="64">
        <v>153768</v>
      </c>
      <c r="I31" s="65">
        <v>144984</v>
      </c>
      <c r="J31" s="65">
        <v>697782</v>
      </c>
      <c r="K31" s="64">
        <v>599391</v>
      </c>
      <c r="L31" s="65">
        <v>405408</v>
      </c>
      <c r="M31" s="66"/>
      <c r="N31" s="76"/>
      <c r="P31" s="68">
        <v>24</v>
      </c>
      <c r="Q31" s="69">
        <v>0</v>
      </c>
      <c r="R31" s="70">
        <v>0</v>
      </c>
      <c r="S31" s="71">
        <v>13.4</v>
      </c>
    </row>
    <row r="32" spans="2:19" ht="17.25" customHeight="1" x14ac:dyDescent="0.25">
      <c r="B32" s="41" t="s">
        <v>47</v>
      </c>
      <c r="C32" s="42">
        <f>C31-C29</f>
        <v>0</v>
      </c>
      <c r="D32" s="42">
        <f>D31-D29</f>
        <v>25</v>
      </c>
      <c r="E32" s="42">
        <f>E31-E29</f>
        <v>3</v>
      </c>
      <c r="F32" s="63">
        <f>SUM(C32:E32)</f>
        <v>28</v>
      </c>
      <c r="G32" s="42">
        <f t="shared" si="3"/>
        <v>0</v>
      </c>
      <c r="H32" s="42">
        <f t="shared" si="3"/>
        <v>0</v>
      </c>
      <c r="I32" s="42">
        <f t="shared" si="3"/>
        <v>16</v>
      </c>
      <c r="J32" s="42">
        <f t="shared" si="3"/>
        <v>0</v>
      </c>
      <c r="K32" s="42">
        <f t="shared" si="3"/>
        <v>0</v>
      </c>
      <c r="L32" s="42">
        <f t="shared" si="3"/>
        <v>95</v>
      </c>
      <c r="M32" s="73">
        <f>SUM(G32:L32)</f>
        <v>111</v>
      </c>
      <c r="N32" s="78">
        <f>SUM(F32,M32)</f>
        <v>139</v>
      </c>
      <c r="P32" s="68">
        <v>26</v>
      </c>
      <c r="Q32" s="69">
        <v>0</v>
      </c>
      <c r="R32" s="70">
        <v>0</v>
      </c>
      <c r="S32" s="71">
        <v>13.6</v>
      </c>
    </row>
    <row r="33" spans="2:19" ht="17.25" customHeight="1" x14ac:dyDescent="0.25">
      <c r="B33" s="36">
        <v>14</v>
      </c>
      <c r="C33" s="37">
        <v>6521</v>
      </c>
      <c r="D33" s="80">
        <v>318</v>
      </c>
      <c r="E33" s="37">
        <v>43985</v>
      </c>
      <c r="F33" s="63"/>
      <c r="G33" s="64">
        <v>199618</v>
      </c>
      <c r="H33" s="64">
        <v>153768</v>
      </c>
      <c r="I33" s="70">
        <v>144992</v>
      </c>
      <c r="J33" s="70">
        <v>697782</v>
      </c>
      <c r="K33" s="64">
        <v>599391</v>
      </c>
      <c r="L33" s="37">
        <v>405465</v>
      </c>
      <c r="M33" s="66"/>
      <c r="N33" s="76"/>
      <c r="P33" s="68">
        <v>27</v>
      </c>
      <c r="Q33" s="69">
        <v>0</v>
      </c>
      <c r="R33" s="70">
        <v>0</v>
      </c>
      <c r="S33" s="71">
        <v>13.4</v>
      </c>
    </row>
    <row r="34" spans="2:19" ht="17.25" customHeight="1" x14ac:dyDescent="0.25">
      <c r="B34" s="41" t="s">
        <v>47</v>
      </c>
      <c r="C34" s="42">
        <f>C33-C31</f>
        <v>0</v>
      </c>
      <c r="D34" s="42">
        <f>D33-D31</f>
        <v>0</v>
      </c>
      <c r="E34" s="42">
        <f>E33-E31</f>
        <v>4</v>
      </c>
      <c r="F34" s="63">
        <f>SUM(C34:E34)</f>
        <v>4</v>
      </c>
      <c r="G34" s="42">
        <f t="shared" si="3"/>
        <v>0</v>
      </c>
      <c r="H34" s="42">
        <f t="shared" si="3"/>
        <v>0</v>
      </c>
      <c r="I34" s="42">
        <f t="shared" si="3"/>
        <v>8</v>
      </c>
      <c r="J34" s="42">
        <f t="shared" si="3"/>
        <v>0</v>
      </c>
      <c r="K34" s="42">
        <f t="shared" si="3"/>
        <v>0</v>
      </c>
      <c r="L34" s="42">
        <f t="shared" si="3"/>
        <v>57</v>
      </c>
      <c r="M34" s="73">
        <f>SUM(G34:L34)</f>
        <v>65</v>
      </c>
      <c r="N34" s="78">
        <f>SUM(F34,M34)</f>
        <v>69</v>
      </c>
      <c r="P34" s="68">
        <v>28</v>
      </c>
      <c r="Q34" s="69">
        <v>0</v>
      </c>
      <c r="R34" s="70">
        <v>0</v>
      </c>
      <c r="S34" s="71">
        <v>13.7</v>
      </c>
    </row>
    <row r="35" spans="2:19" ht="17.25" customHeight="1" x14ac:dyDescent="0.25">
      <c r="B35" s="36">
        <v>15</v>
      </c>
      <c r="C35" s="37">
        <v>6521</v>
      </c>
      <c r="D35" s="80">
        <v>318</v>
      </c>
      <c r="E35" s="37">
        <v>43985</v>
      </c>
      <c r="F35" s="63"/>
      <c r="G35" s="64">
        <v>199618</v>
      </c>
      <c r="H35" s="64">
        <v>153768</v>
      </c>
      <c r="I35" s="65">
        <v>145003</v>
      </c>
      <c r="J35" s="65">
        <v>697782</v>
      </c>
      <c r="K35" s="64">
        <v>599391</v>
      </c>
      <c r="L35" s="65">
        <v>405530</v>
      </c>
      <c r="M35" s="66"/>
      <c r="N35" s="76"/>
      <c r="P35" s="68">
        <v>29</v>
      </c>
      <c r="Q35" s="69">
        <v>0</v>
      </c>
      <c r="R35" s="70">
        <v>0</v>
      </c>
      <c r="S35" s="71">
        <v>14.2</v>
      </c>
    </row>
    <row r="36" spans="2:19" ht="17.25" customHeight="1" x14ac:dyDescent="0.25">
      <c r="B36" s="41" t="s">
        <v>47</v>
      </c>
      <c r="C36" s="42">
        <f>C35-C33</f>
        <v>0</v>
      </c>
      <c r="D36" s="42">
        <f>D35-D33</f>
        <v>0</v>
      </c>
      <c r="E36" s="42">
        <f>E35-E33</f>
        <v>0</v>
      </c>
      <c r="F36" s="63">
        <f>SUM(C36:E36)</f>
        <v>0</v>
      </c>
      <c r="G36" s="42">
        <f t="shared" si="3"/>
        <v>0</v>
      </c>
      <c r="H36" s="42">
        <f t="shared" si="3"/>
        <v>0</v>
      </c>
      <c r="I36" s="42">
        <f t="shared" si="3"/>
        <v>11</v>
      </c>
      <c r="J36" s="42">
        <f t="shared" si="3"/>
        <v>0</v>
      </c>
      <c r="K36" s="42">
        <f t="shared" si="3"/>
        <v>0</v>
      </c>
      <c r="L36" s="42">
        <f t="shared" si="3"/>
        <v>65</v>
      </c>
      <c r="M36" s="73">
        <f>SUM(G36:L36)</f>
        <v>76</v>
      </c>
      <c r="N36" s="78">
        <f>SUM(F36,M36)</f>
        <v>76</v>
      </c>
      <c r="P36" s="68">
        <v>30</v>
      </c>
      <c r="Q36" s="69">
        <v>0</v>
      </c>
      <c r="R36" s="70">
        <v>0</v>
      </c>
      <c r="S36" s="71">
        <v>14</v>
      </c>
    </row>
    <row r="37" spans="2:19" ht="17.25" customHeight="1" x14ac:dyDescent="0.25">
      <c r="B37" s="36">
        <v>16</v>
      </c>
      <c r="C37" s="37">
        <v>6522</v>
      </c>
      <c r="D37" s="80">
        <v>318</v>
      </c>
      <c r="E37" s="37">
        <v>43985</v>
      </c>
      <c r="F37" s="63"/>
      <c r="G37" s="64">
        <v>199618</v>
      </c>
      <c r="H37" s="64">
        <v>153768</v>
      </c>
      <c r="I37" s="70">
        <v>145029</v>
      </c>
      <c r="J37" s="70">
        <v>697782</v>
      </c>
      <c r="K37" s="64">
        <v>599391</v>
      </c>
      <c r="L37" s="37">
        <v>405601</v>
      </c>
      <c r="M37" s="66"/>
      <c r="N37" s="76"/>
    </row>
    <row r="38" spans="2:19" ht="17.25" customHeight="1" x14ac:dyDescent="0.25">
      <c r="B38" s="41" t="s">
        <v>47</v>
      </c>
      <c r="C38" s="42">
        <f>C37-C35</f>
        <v>1</v>
      </c>
      <c r="D38" s="42">
        <f>D37-D35</f>
        <v>0</v>
      </c>
      <c r="E38" s="42">
        <f>E37-E35</f>
        <v>0</v>
      </c>
      <c r="F38" s="63">
        <f>SUM(C38:E38)</f>
        <v>1</v>
      </c>
      <c r="G38" s="42">
        <f t="shared" si="3"/>
        <v>0</v>
      </c>
      <c r="H38" s="42">
        <f t="shared" si="3"/>
        <v>0</v>
      </c>
      <c r="I38" s="42">
        <f t="shared" si="3"/>
        <v>26</v>
      </c>
      <c r="J38" s="42">
        <f t="shared" si="3"/>
        <v>0</v>
      </c>
      <c r="K38" s="42">
        <f t="shared" si="3"/>
        <v>0</v>
      </c>
      <c r="L38" s="42">
        <f t="shared" si="3"/>
        <v>71</v>
      </c>
      <c r="M38" s="73">
        <f>SUM(G38:L38)</f>
        <v>97</v>
      </c>
      <c r="N38" s="78">
        <f>SUM(F38,M38)</f>
        <v>98</v>
      </c>
      <c r="Q38" s="81">
        <f>SUM(Q7:Q37)</f>
        <v>0</v>
      </c>
      <c r="R38" s="21">
        <f>SUM(R7:R37)</f>
        <v>0</v>
      </c>
      <c r="S38" s="82">
        <f>SUM(S6:S36)</f>
        <v>434.09999999999997</v>
      </c>
    </row>
    <row r="39" spans="2:19" ht="17.25" customHeight="1" x14ac:dyDescent="0.25">
      <c r="B39" s="36">
        <v>17</v>
      </c>
      <c r="C39" s="37">
        <v>6522</v>
      </c>
      <c r="D39" s="80">
        <v>319</v>
      </c>
      <c r="E39" s="37">
        <v>43985</v>
      </c>
      <c r="F39" s="63"/>
      <c r="G39" s="64">
        <v>199618</v>
      </c>
      <c r="H39" s="64">
        <v>153768</v>
      </c>
      <c r="I39" s="65">
        <v>145053</v>
      </c>
      <c r="J39" s="65">
        <v>697782</v>
      </c>
      <c r="K39" s="64">
        <v>599391</v>
      </c>
      <c r="L39" s="65">
        <v>405661</v>
      </c>
      <c r="M39" s="66"/>
      <c r="N39" s="76"/>
    </row>
    <row r="40" spans="2:19" ht="17.25" customHeight="1" x14ac:dyDescent="0.25">
      <c r="B40" s="41" t="s">
        <v>47</v>
      </c>
      <c r="C40" s="42">
        <f>C39-C37</f>
        <v>0</v>
      </c>
      <c r="D40" s="42">
        <f>D39-D37</f>
        <v>1</v>
      </c>
      <c r="E40" s="42">
        <f>E39-E37</f>
        <v>0</v>
      </c>
      <c r="F40" s="63">
        <f>SUM(C40:E40)</f>
        <v>1</v>
      </c>
      <c r="G40" s="42">
        <f t="shared" si="3"/>
        <v>0</v>
      </c>
      <c r="H40" s="42">
        <f t="shared" si="3"/>
        <v>0</v>
      </c>
      <c r="I40" s="42">
        <f t="shared" si="3"/>
        <v>24</v>
      </c>
      <c r="J40" s="42">
        <f t="shared" si="3"/>
        <v>0</v>
      </c>
      <c r="K40" s="42">
        <f t="shared" si="3"/>
        <v>0</v>
      </c>
      <c r="L40" s="42">
        <f t="shared" si="3"/>
        <v>60</v>
      </c>
      <c r="M40" s="73">
        <f>SUM(G40:L40)</f>
        <v>84</v>
      </c>
      <c r="N40" s="78">
        <f>SUM(F40,M40)</f>
        <v>85</v>
      </c>
    </row>
    <row r="41" spans="2:19" ht="17.25" customHeight="1" x14ac:dyDescent="0.25">
      <c r="B41" s="36">
        <v>18</v>
      </c>
      <c r="C41" s="37">
        <v>6530</v>
      </c>
      <c r="D41" s="80">
        <v>319</v>
      </c>
      <c r="E41" s="37">
        <v>43985</v>
      </c>
      <c r="F41" s="63"/>
      <c r="G41" s="64">
        <v>199618</v>
      </c>
      <c r="H41" s="64">
        <v>153768</v>
      </c>
      <c r="I41" s="70">
        <v>145063</v>
      </c>
      <c r="J41" s="70">
        <v>697782</v>
      </c>
      <c r="K41" s="64">
        <v>599391</v>
      </c>
      <c r="L41" s="37">
        <v>405734</v>
      </c>
      <c r="M41" s="66"/>
      <c r="N41" s="76"/>
    </row>
    <row r="42" spans="2:19" ht="17.25" customHeight="1" x14ac:dyDescent="0.25">
      <c r="B42" s="41" t="s">
        <v>47</v>
      </c>
      <c r="C42" s="42">
        <f>C41-C39</f>
        <v>8</v>
      </c>
      <c r="D42" s="42">
        <f>D41-D39</f>
        <v>0</v>
      </c>
      <c r="E42" s="42">
        <f>E41-E39</f>
        <v>0</v>
      </c>
      <c r="F42" s="63">
        <f>SUM(C42:E42)</f>
        <v>8</v>
      </c>
      <c r="G42" s="42">
        <f t="shared" si="3"/>
        <v>0</v>
      </c>
      <c r="H42" s="42">
        <f t="shared" si="3"/>
        <v>0</v>
      </c>
      <c r="I42" s="42">
        <f t="shared" si="3"/>
        <v>10</v>
      </c>
      <c r="J42" s="42">
        <f t="shared" si="3"/>
        <v>0</v>
      </c>
      <c r="K42" s="42">
        <f t="shared" si="3"/>
        <v>0</v>
      </c>
      <c r="L42" s="42">
        <f t="shared" si="3"/>
        <v>73</v>
      </c>
      <c r="M42" s="73">
        <f>SUM(G42:L42)</f>
        <v>83</v>
      </c>
      <c r="N42" s="78">
        <f>SUM(F42,M42)</f>
        <v>91</v>
      </c>
    </row>
    <row r="43" spans="2:19" ht="17.25" customHeight="1" x14ac:dyDescent="0.25">
      <c r="B43" s="36">
        <v>19</v>
      </c>
      <c r="C43" s="37">
        <v>6530</v>
      </c>
      <c r="D43" s="80">
        <v>319</v>
      </c>
      <c r="E43" s="37">
        <v>43985</v>
      </c>
      <c r="F43" s="63"/>
      <c r="G43" s="64">
        <v>199618</v>
      </c>
      <c r="H43" s="64">
        <v>153768</v>
      </c>
      <c r="I43" s="65">
        <v>145070</v>
      </c>
      <c r="J43" s="65">
        <v>697894</v>
      </c>
      <c r="K43" s="64">
        <v>599391</v>
      </c>
      <c r="L43" s="42">
        <v>405810</v>
      </c>
      <c r="M43" s="66"/>
      <c r="N43" s="76"/>
    </row>
    <row r="44" spans="2:19" ht="17.25" customHeight="1" x14ac:dyDescent="0.25">
      <c r="B44" s="41" t="s">
        <v>47</v>
      </c>
      <c r="C44" s="42">
        <f>C43-C41</f>
        <v>0</v>
      </c>
      <c r="D44" s="42">
        <f>D43-D41</f>
        <v>0</v>
      </c>
      <c r="E44" s="42">
        <f>E43-E41</f>
        <v>0</v>
      </c>
      <c r="F44" s="63">
        <f>SUM(C44:E44)</f>
        <v>0</v>
      </c>
      <c r="G44" s="42">
        <f t="shared" si="3"/>
        <v>0</v>
      </c>
      <c r="H44" s="42">
        <f t="shared" si="3"/>
        <v>0</v>
      </c>
      <c r="I44" s="42">
        <f t="shared" si="3"/>
        <v>7</v>
      </c>
      <c r="J44" s="42">
        <f t="shared" si="3"/>
        <v>112</v>
      </c>
      <c r="K44" s="42">
        <f t="shared" si="3"/>
        <v>0</v>
      </c>
      <c r="L44" s="42">
        <f t="shared" si="3"/>
        <v>76</v>
      </c>
      <c r="M44" s="73">
        <f>SUM(G44:L44)</f>
        <v>195</v>
      </c>
      <c r="N44" s="78">
        <f>SUM(F44,M44)</f>
        <v>195</v>
      </c>
    </row>
    <row r="45" spans="2:19" ht="17.25" customHeight="1" x14ac:dyDescent="0.25">
      <c r="B45" s="36">
        <v>20</v>
      </c>
      <c r="C45" s="37">
        <v>6530</v>
      </c>
      <c r="D45" s="80">
        <v>319</v>
      </c>
      <c r="E45" s="37">
        <v>43985</v>
      </c>
      <c r="F45" s="63" t="s">
        <v>66</v>
      </c>
      <c r="G45" s="64">
        <v>199618</v>
      </c>
      <c r="H45" s="64">
        <v>153768</v>
      </c>
      <c r="I45" s="37">
        <v>145079</v>
      </c>
      <c r="J45" s="37">
        <v>697982</v>
      </c>
      <c r="K45" s="64">
        <v>599391</v>
      </c>
      <c r="L45" s="37">
        <v>405882</v>
      </c>
      <c r="M45" s="66"/>
      <c r="N45" s="76"/>
    </row>
    <row r="46" spans="2:19" ht="17.25" customHeight="1" x14ac:dyDescent="0.25">
      <c r="B46" s="41" t="s">
        <v>47</v>
      </c>
      <c r="C46" s="42">
        <f>C45-C43</f>
        <v>0</v>
      </c>
      <c r="D46" s="42">
        <f>D45-D43</f>
        <v>0</v>
      </c>
      <c r="E46" s="42">
        <f>E45-E43</f>
        <v>0</v>
      </c>
      <c r="F46" s="63">
        <f>SUM(C46:E46)</f>
        <v>0</v>
      </c>
      <c r="G46" s="42">
        <f t="shared" ref="G46:L60" si="4">G45-G43</f>
        <v>0</v>
      </c>
      <c r="H46" s="42">
        <f t="shared" si="4"/>
        <v>0</v>
      </c>
      <c r="I46" s="42">
        <f t="shared" si="4"/>
        <v>9</v>
      </c>
      <c r="J46" s="42">
        <f t="shared" si="4"/>
        <v>88</v>
      </c>
      <c r="K46" s="42">
        <f t="shared" si="4"/>
        <v>0</v>
      </c>
      <c r="L46" s="42">
        <f t="shared" si="4"/>
        <v>72</v>
      </c>
      <c r="M46" s="73">
        <f>SUM(G46:L46)</f>
        <v>169</v>
      </c>
      <c r="N46" s="78">
        <f>SUM(F46,M46)</f>
        <v>169</v>
      </c>
    </row>
    <row r="47" spans="2:19" ht="17.25" customHeight="1" x14ac:dyDescent="0.25">
      <c r="B47" s="36">
        <v>21</v>
      </c>
      <c r="C47" s="37">
        <v>6530</v>
      </c>
      <c r="D47" s="80">
        <v>319</v>
      </c>
      <c r="E47" s="37">
        <v>43985</v>
      </c>
      <c r="F47" s="63"/>
      <c r="G47" s="64">
        <v>199618</v>
      </c>
      <c r="H47" s="64">
        <v>153768</v>
      </c>
      <c r="I47" s="65">
        <v>145090</v>
      </c>
      <c r="J47" s="65">
        <v>698071</v>
      </c>
      <c r="K47" s="64">
        <v>599391</v>
      </c>
      <c r="L47" s="65">
        <v>405955</v>
      </c>
      <c r="M47" s="66"/>
      <c r="N47" s="76"/>
    </row>
    <row r="48" spans="2:19" ht="17.25" customHeight="1" x14ac:dyDescent="0.25">
      <c r="B48" s="41" t="s">
        <v>47</v>
      </c>
      <c r="C48" s="42">
        <f>C47-C45</f>
        <v>0</v>
      </c>
      <c r="D48" s="42">
        <f>D47-D45</f>
        <v>0</v>
      </c>
      <c r="E48" s="42">
        <f>E47-E45</f>
        <v>0</v>
      </c>
      <c r="F48" s="63">
        <f>SUM(C48:E48)</f>
        <v>0</v>
      </c>
      <c r="G48" s="42">
        <f t="shared" si="4"/>
        <v>0</v>
      </c>
      <c r="H48" s="42">
        <f t="shared" si="4"/>
        <v>0</v>
      </c>
      <c r="I48" s="42">
        <f t="shared" si="4"/>
        <v>11</v>
      </c>
      <c r="J48" s="42">
        <f t="shared" si="4"/>
        <v>89</v>
      </c>
      <c r="K48" s="42">
        <f t="shared" si="4"/>
        <v>0</v>
      </c>
      <c r="L48" s="42">
        <f t="shared" si="4"/>
        <v>73</v>
      </c>
      <c r="M48" s="73">
        <f>SUM(G48:L48)</f>
        <v>173</v>
      </c>
      <c r="N48" s="78">
        <f>SUM(F48,M48)</f>
        <v>173</v>
      </c>
    </row>
    <row r="49" spans="2:14" ht="17.25" customHeight="1" x14ac:dyDescent="0.25">
      <c r="B49" s="36">
        <v>22</v>
      </c>
      <c r="C49" s="37">
        <v>6531</v>
      </c>
      <c r="D49" s="80">
        <v>319</v>
      </c>
      <c r="E49" s="37">
        <v>43985</v>
      </c>
      <c r="F49" s="63"/>
      <c r="G49" s="64">
        <v>199618</v>
      </c>
      <c r="H49" s="64">
        <v>153768</v>
      </c>
      <c r="I49" s="37">
        <v>145098</v>
      </c>
      <c r="J49" s="37">
        <v>698157</v>
      </c>
      <c r="K49" s="64">
        <v>599391</v>
      </c>
      <c r="L49" s="37">
        <v>406016</v>
      </c>
      <c r="M49" s="66"/>
      <c r="N49" s="76"/>
    </row>
    <row r="50" spans="2:14" ht="17.25" customHeight="1" x14ac:dyDescent="0.25">
      <c r="B50" s="41" t="s">
        <v>47</v>
      </c>
      <c r="C50" s="42">
        <f>C49-C47</f>
        <v>1</v>
      </c>
      <c r="D50" s="42">
        <f>D49-D47</f>
        <v>0</v>
      </c>
      <c r="E50" s="42">
        <f>E49-E47</f>
        <v>0</v>
      </c>
      <c r="F50" s="63">
        <f>SUM(C50:E50)</f>
        <v>1</v>
      </c>
      <c r="G50" s="42">
        <f t="shared" si="4"/>
        <v>0</v>
      </c>
      <c r="H50" s="42">
        <f t="shared" si="4"/>
        <v>0</v>
      </c>
      <c r="I50" s="42">
        <f t="shared" si="4"/>
        <v>8</v>
      </c>
      <c r="J50" s="42">
        <f t="shared" si="4"/>
        <v>86</v>
      </c>
      <c r="K50" s="42">
        <f t="shared" si="4"/>
        <v>0</v>
      </c>
      <c r="L50" s="42">
        <f t="shared" si="4"/>
        <v>61</v>
      </c>
      <c r="M50" s="73">
        <f>SUM(G50:L50)</f>
        <v>155</v>
      </c>
      <c r="N50" s="78">
        <f>SUM(F50,M50)</f>
        <v>156</v>
      </c>
    </row>
    <row r="51" spans="2:14" ht="17.25" customHeight="1" x14ac:dyDescent="0.25">
      <c r="B51" s="36">
        <v>23</v>
      </c>
      <c r="C51" s="37">
        <v>6531</v>
      </c>
      <c r="D51" s="80">
        <v>319</v>
      </c>
      <c r="E51" s="37">
        <v>43985</v>
      </c>
      <c r="F51" s="63"/>
      <c r="G51" s="64">
        <v>199618</v>
      </c>
      <c r="H51" s="64">
        <v>153768</v>
      </c>
      <c r="I51" s="65">
        <v>145164</v>
      </c>
      <c r="J51" s="65">
        <v>698253</v>
      </c>
      <c r="K51" s="64">
        <v>599391</v>
      </c>
      <c r="L51" s="65">
        <v>406079</v>
      </c>
      <c r="M51" s="66"/>
      <c r="N51" s="76"/>
    </row>
    <row r="52" spans="2:14" ht="17.25" customHeight="1" x14ac:dyDescent="0.25">
      <c r="B52" s="41" t="s">
        <v>47</v>
      </c>
      <c r="C52" s="42">
        <f>C51-C49</f>
        <v>0</v>
      </c>
      <c r="D52" s="42">
        <f>D51-D49</f>
        <v>0</v>
      </c>
      <c r="E52" s="42">
        <f>E51-E49</f>
        <v>0</v>
      </c>
      <c r="F52" s="63">
        <f>SUM(C52:E52)</f>
        <v>0</v>
      </c>
      <c r="G52" s="42">
        <f t="shared" si="4"/>
        <v>0</v>
      </c>
      <c r="H52" s="42">
        <f t="shared" si="4"/>
        <v>0</v>
      </c>
      <c r="I52" s="42">
        <f t="shared" si="4"/>
        <v>66</v>
      </c>
      <c r="J52" s="42">
        <f t="shared" si="4"/>
        <v>96</v>
      </c>
      <c r="K52" s="42">
        <f t="shared" si="4"/>
        <v>0</v>
      </c>
      <c r="L52" s="42">
        <f t="shared" si="4"/>
        <v>63</v>
      </c>
      <c r="M52" s="73">
        <f>SUM(G52:L52)</f>
        <v>225</v>
      </c>
      <c r="N52" s="78">
        <f>SUM(F52,M52)</f>
        <v>225</v>
      </c>
    </row>
    <row r="53" spans="2:14" ht="17.25" customHeight="1" x14ac:dyDescent="0.25">
      <c r="B53" s="36">
        <v>24</v>
      </c>
      <c r="C53" s="37">
        <v>6546</v>
      </c>
      <c r="D53" s="80">
        <v>319</v>
      </c>
      <c r="E53" s="37">
        <v>43985</v>
      </c>
      <c r="F53" s="63"/>
      <c r="G53" s="64">
        <v>199618</v>
      </c>
      <c r="H53" s="64">
        <v>153768</v>
      </c>
      <c r="I53" s="70">
        <v>145229</v>
      </c>
      <c r="J53" s="70">
        <v>698339</v>
      </c>
      <c r="K53" s="64">
        <v>599391</v>
      </c>
      <c r="L53" s="37">
        <v>406127</v>
      </c>
      <c r="M53" s="66"/>
      <c r="N53" s="76"/>
    </row>
    <row r="54" spans="2:14" ht="17.25" customHeight="1" x14ac:dyDescent="0.25">
      <c r="B54" s="41" t="s">
        <v>47</v>
      </c>
      <c r="C54" s="42">
        <f>C53-C51</f>
        <v>15</v>
      </c>
      <c r="D54" s="42">
        <f>D53-D51</f>
        <v>0</v>
      </c>
      <c r="E54" s="42">
        <f>E53-E51</f>
        <v>0</v>
      </c>
      <c r="F54" s="63">
        <f>SUM(C54:E54)</f>
        <v>15</v>
      </c>
      <c r="G54" s="42">
        <f t="shared" si="4"/>
        <v>0</v>
      </c>
      <c r="H54" s="42">
        <f t="shared" si="4"/>
        <v>0</v>
      </c>
      <c r="I54" s="42">
        <f t="shared" si="4"/>
        <v>65</v>
      </c>
      <c r="J54" s="42">
        <f t="shared" si="4"/>
        <v>86</v>
      </c>
      <c r="K54" s="42">
        <f t="shared" si="4"/>
        <v>0</v>
      </c>
      <c r="L54" s="42">
        <f t="shared" si="4"/>
        <v>48</v>
      </c>
      <c r="M54" s="73">
        <f>SUM(G54:L54)</f>
        <v>199</v>
      </c>
      <c r="N54" s="78">
        <f>SUM(F54,M54)</f>
        <v>214</v>
      </c>
    </row>
    <row r="55" spans="2:14" ht="17.25" customHeight="1" x14ac:dyDescent="0.25">
      <c r="B55" s="36">
        <v>25</v>
      </c>
      <c r="C55" s="37">
        <v>6554</v>
      </c>
      <c r="D55" s="80">
        <v>319</v>
      </c>
      <c r="E55" s="37">
        <v>43985</v>
      </c>
      <c r="F55" s="63"/>
      <c r="G55" s="64">
        <v>199618</v>
      </c>
      <c r="H55" s="64">
        <v>153768</v>
      </c>
      <c r="I55" s="80">
        <v>145239</v>
      </c>
      <c r="J55" s="80">
        <v>698447</v>
      </c>
      <c r="K55" s="64">
        <v>599391</v>
      </c>
      <c r="L55" s="80">
        <v>406188</v>
      </c>
      <c r="M55" s="66"/>
      <c r="N55" s="76"/>
    </row>
    <row r="56" spans="2:14" ht="17.25" customHeight="1" x14ac:dyDescent="0.25">
      <c r="B56" s="41" t="s">
        <v>47</v>
      </c>
      <c r="C56" s="42">
        <f>C55-C53</f>
        <v>8</v>
      </c>
      <c r="D56" s="42">
        <f>D55-D53</f>
        <v>0</v>
      </c>
      <c r="E56" s="42">
        <f>E55-E53</f>
        <v>0</v>
      </c>
      <c r="F56" s="63">
        <f>SUM(C56:E56)</f>
        <v>8</v>
      </c>
      <c r="G56" s="42">
        <f t="shared" si="4"/>
        <v>0</v>
      </c>
      <c r="H56" s="42">
        <f t="shared" si="4"/>
        <v>0</v>
      </c>
      <c r="I56" s="42">
        <f t="shared" si="4"/>
        <v>10</v>
      </c>
      <c r="J56" s="42">
        <f t="shared" si="4"/>
        <v>108</v>
      </c>
      <c r="K56" s="42">
        <f t="shared" si="4"/>
        <v>0</v>
      </c>
      <c r="L56" s="42">
        <f t="shared" si="4"/>
        <v>61</v>
      </c>
      <c r="M56" s="73">
        <f>SUM(G56:L56)</f>
        <v>179</v>
      </c>
      <c r="N56" s="78">
        <f>SUM(F56,M56)</f>
        <v>187</v>
      </c>
    </row>
    <row r="57" spans="2:14" ht="17.25" customHeight="1" x14ac:dyDescent="0.25">
      <c r="B57" s="36">
        <v>26</v>
      </c>
      <c r="C57" s="37">
        <v>6554</v>
      </c>
      <c r="D57" s="80">
        <v>319</v>
      </c>
      <c r="E57" s="37">
        <v>43985</v>
      </c>
      <c r="F57" s="63"/>
      <c r="G57" s="64">
        <v>199618</v>
      </c>
      <c r="H57" s="64">
        <v>153768</v>
      </c>
      <c r="I57" s="37">
        <v>145246</v>
      </c>
      <c r="J57" s="37">
        <v>698532</v>
      </c>
      <c r="K57" s="64">
        <v>599391</v>
      </c>
      <c r="L57" s="37">
        <v>406264</v>
      </c>
      <c r="M57" s="66"/>
      <c r="N57" s="76"/>
    </row>
    <row r="58" spans="2:14" ht="17.25" customHeight="1" x14ac:dyDescent="0.25">
      <c r="B58" s="41" t="s">
        <v>47</v>
      </c>
      <c r="C58" s="42">
        <f>C57-C55</f>
        <v>0</v>
      </c>
      <c r="D58" s="42">
        <f>D57-D55</f>
        <v>0</v>
      </c>
      <c r="E58" s="42">
        <f>E57-E55</f>
        <v>0</v>
      </c>
      <c r="F58" s="63">
        <f>SUM(C58:E58)</f>
        <v>0</v>
      </c>
      <c r="G58" s="42">
        <f t="shared" si="4"/>
        <v>0</v>
      </c>
      <c r="H58" s="42">
        <f t="shared" si="4"/>
        <v>0</v>
      </c>
      <c r="I58" s="42">
        <f t="shared" si="4"/>
        <v>7</v>
      </c>
      <c r="J58" s="42">
        <f t="shared" si="4"/>
        <v>85</v>
      </c>
      <c r="K58" s="42">
        <f t="shared" si="4"/>
        <v>0</v>
      </c>
      <c r="L58" s="42">
        <f t="shared" si="4"/>
        <v>76</v>
      </c>
      <c r="M58" s="73">
        <f>SUM(G58:L58)</f>
        <v>168</v>
      </c>
      <c r="N58" s="78">
        <f>SUM(F58,M58)</f>
        <v>168</v>
      </c>
    </row>
    <row r="59" spans="2:14" ht="17.25" customHeight="1" x14ac:dyDescent="0.25">
      <c r="B59" s="36">
        <v>27</v>
      </c>
      <c r="C59" s="37">
        <v>6554</v>
      </c>
      <c r="D59" s="80">
        <v>319</v>
      </c>
      <c r="E59" s="37">
        <v>43985</v>
      </c>
      <c r="F59" s="63"/>
      <c r="G59" s="64">
        <v>199618</v>
      </c>
      <c r="H59" s="64">
        <v>153768</v>
      </c>
      <c r="I59" s="65">
        <v>145275</v>
      </c>
      <c r="J59" s="65">
        <v>698616</v>
      </c>
      <c r="K59" s="64">
        <v>599391</v>
      </c>
      <c r="L59" s="65">
        <v>406324</v>
      </c>
      <c r="M59" s="66"/>
      <c r="N59" s="76"/>
    </row>
    <row r="60" spans="2:14" ht="17.25" customHeight="1" x14ac:dyDescent="0.25">
      <c r="B60" s="41" t="s">
        <v>47</v>
      </c>
      <c r="C60" s="42">
        <f>C59-C57</f>
        <v>0</v>
      </c>
      <c r="D60" s="42">
        <f>D59-D57</f>
        <v>0</v>
      </c>
      <c r="E60" s="42">
        <f>E59-E57</f>
        <v>0</v>
      </c>
      <c r="F60" s="63">
        <f>SUM(C60:E60)</f>
        <v>0</v>
      </c>
      <c r="G60" s="42">
        <f t="shared" si="4"/>
        <v>0</v>
      </c>
      <c r="H60" s="42">
        <f t="shared" si="4"/>
        <v>0</v>
      </c>
      <c r="I60" s="42">
        <f t="shared" si="4"/>
        <v>29</v>
      </c>
      <c r="J60" s="42">
        <f t="shared" si="4"/>
        <v>84</v>
      </c>
      <c r="K60" s="42">
        <f t="shared" si="4"/>
        <v>0</v>
      </c>
      <c r="L60" s="42">
        <f t="shared" si="4"/>
        <v>60</v>
      </c>
      <c r="M60" s="73">
        <f>SUM(G60:L60)</f>
        <v>173</v>
      </c>
      <c r="N60" s="78">
        <f>SUM(F60,M60)</f>
        <v>173</v>
      </c>
    </row>
    <row r="61" spans="2:14" ht="17.25" customHeight="1" x14ac:dyDescent="0.25">
      <c r="B61" s="36">
        <v>28</v>
      </c>
      <c r="C61" s="37">
        <v>6554</v>
      </c>
      <c r="D61" s="80">
        <v>319</v>
      </c>
      <c r="E61" s="37">
        <v>43985</v>
      </c>
      <c r="F61" s="63"/>
      <c r="G61" s="64">
        <v>199618</v>
      </c>
      <c r="H61" s="64">
        <v>153768</v>
      </c>
      <c r="I61" s="37">
        <v>145304</v>
      </c>
      <c r="J61" s="37">
        <v>698692</v>
      </c>
      <c r="K61" s="64">
        <v>599391</v>
      </c>
      <c r="L61" s="37">
        <v>406386</v>
      </c>
      <c r="M61" s="66"/>
      <c r="N61" s="76"/>
    </row>
    <row r="62" spans="2:14" ht="17.25" customHeight="1" x14ac:dyDescent="0.25">
      <c r="B62" s="41" t="s">
        <v>47</v>
      </c>
      <c r="C62" s="42">
        <f>C61-C59</f>
        <v>0</v>
      </c>
      <c r="D62" s="42">
        <f>D61-D59</f>
        <v>0</v>
      </c>
      <c r="E62" s="42">
        <f>E61-E59</f>
        <v>0</v>
      </c>
      <c r="F62" s="63">
        <f>SUM(C62:E62)</f>
        <v>0</v>
      </c>
      <c r="G62" s="42">
        <f t="shared" ref="G62:L62" si="5">G61-G59</f>
        <v>0</v>
      </c>
      <c r="H62" s="42">
        <f t="shared" si="5"/>
        <v>0</v>
      </c>
      <c r="I62" s="42">
        <f t="shared" si="5"/>
        <v>29</v>
      </c>
      <c r="J62" s="42">
        <f t="shared" si="5"/>
        <v>76</v>
      </c>
      <c r="K62" s="42">
        <f t="shared" si="5"/>
        <v>0</v>
      </c>
      <c r="L62" s="42">
        <f t="shared" si="5"/>
        <v>62</v>
      </c>
      <c r="M62" s="73">
        <f>SUM(G62:L62)</f>
        <v>167</v>
      </c>
      <c r="N62" s="78">
        <f>SUM(F62,M62)</f>
        <v>167</v>
      </c>
    </row>
    <row r="63" spans="2:14" ht="17.25" customHeight="1" x14ac:dyDescent="0.25">
      <c r="B63" s="36">
        <v>29</v>
      </c>
      <c r="C63" s="37">
        <v>6554</v>
      </c>
      <c r="D63" s="80">
        <v>319</v>
      </c>
      <c r="E63" s="37">
        <v>43985</v>
      </c>
      <c r="F63" s="63"/>
      <c r="G63" s="64">
        <v>199618</v>
      </c>
      <c r="H63" s="64">
        <v>153768</v>
      </c>
      <c r="I63" s="65">
        <v>145336</v>
      </c>
      <c r="J63" s="65">
        <v>698768</v>
      </c>
      <c r="K63" s="64">
        <v>599391</v>
      </c>
      <c r="L63" s="65">
        <v>406440</v>
      </c>
      <c r="M63" s="66"/>
      <c r="N63" s="76"/>
    </row>
    <row r="64" spans="2:14" ht="17.25" customHeight="1" x14ac:dyDescent="0.25">
      <c r="B64" s="41" t="s">
        <v>47</v>
      </c>
      <c r="C64" s="42">
        <f>C63-C61</f>
        <v>0</v>
      </c>
      <c r="D64" s="42">
        <f>D63-D61</f>
        <v>0</v>
      </c>
      <c r="E64" s="42">
        <f>E63-E61</f>
        <v>0</v>
      </c>
      <c r="F64" s="63">
        <f>SUM(C64:E64)</f>
        <v>0</v>
      </c>
      <c r="G64" s="42">
        <f t="shared" ref="G64:L64" si="6">G63-G61</f>
        <v>0</v>
      </c>
      <c r="H64" s="42">
        <f t="shared" si="6"/>
        <v>0</v>
      </c>
      <c r="I64" s="42">
        <f t="shared" si="6"/>
        <v>32</v>
      </c>
      <c r="J64" s="42">
        <f t="shared" si="6"/>
        <v>76</v>
      </c>
      <c r="K64" s="42">
        <f t="shared" si="6"/>
        <v>0</v>
      </c>
      <c r="L64" s="42">
        <f t="shared" si="6"/>
        <v>54</v>
      </c>
      <c r="M64" s="73">
        <f>SUM(G64:L64)</f>
        <v>162</v>
      </c>
      <c r="N64" s="78">
        <f>SUM(F64,M64)</f>
        <v>162</v>
      </c>
    </row>
    <row r="65" spans="2:14" ht="17.25" customHeight="1" x14ac:dyDescent="0.25">
      <c r="B65" s="36">
        <v>30</v>
      </c>
      <c r="C65" s="37">
        <v>6554</v>
      </c>
      <c r="D65" s="80">
        <v>319</v>
      </c>
      <c r="E65" s="37">
        <v>43985</v>
      </c>
      <c r="F65" s="63"/>
      <c r="G65" s="64">
        <v>199618</v>
      </c>
      <c r="H65" s="64">
        <v>153768</v>
      </c>
      <c r="I65" s="37">
        <v>145368</v>
      </c>
      <c r="J65" s="37">
        <v>698851</v>
      </c>
      <c r="K65" s="64">
        <v>599391</v>
      </c>
      <c r="L65" s="37">
        <v>406495</v>
      </c>
      <c r="M65" s="66"/>
      <c r="N65" s="76"/>
    </row>
    <row r="66" spans="2:14" ht="17.25" customHeight="1" x14ac:dyDescent="0.25">
      <c r="B66" s="41" t="s">
        <v>47</v>
      </c>
      <c r="C66" s="42">
        <f>C65-C63</f>
        <v>0</v>
      </c>
      <c r="D66" s="42">
        <f>D65-D63</f>
        <v>0</v>
      </c>
      <c r="E66" s="42">
        <f>E65-E63</f>
        <v>0</v>
      </c>
      <c r="F66" s="63">
        <f>SUM(C66:E66)</f>
        <v>0</v>
      </c>
      <c r="G66" s="42">
        <f t="shared" ref="G66:L66" si="7">G65-G63</f>
        <v>0</v>
      </c>
      <c r="H66" s="42">
        <f t="shared" si="7"/>
        <v>0</v>
      </c>
      <c r="I66" s="42">
        <f t="shared" si="7"/>
        <v>32</v>
      </c>
      <c r="J66" s="42">
        <f t="shared" si="7"/>
        <v>83</v>
      </c>
      <c r="K66" s="42">
        <f t="shared" si="7"/>
        <v>0</v>
      </c>
      <c r="L66" s="42">
        <f t="shared" si="7"/>
        <v>55</v>
      </c>
      <c r="M66" s="73">
        <f>SUM(G66:L66)</f>
        <v>170</v>
      </c>
      <c r="N66" s="78">
        <f>SUM(F66,M66)</f>
        <v>170</v>
      </c>
    </row>
  </sheetData>
  <mergeCells count="10">
    <mergeCell ref="P5:P6"/>
    <mergeCell ref="Q5:Q6"/>
    <mergeCell ref="R5:R6"/>
    <mergeCell ref="S5:S6"/>
    <mergeCell ref="F2:J2"/>
    <mergeCell ref="F3:J3"/>
    <mergeCell ref="B5:B6"/>
    <mergeCell ref="F5:F6"/>
    <mergeCell ref="M5:M6"/>
    <mergeCell ref="N5:N6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 </vt:lpstr>
      <vt:lpstr>13 - Electrical Readings</vt:lpstr>
      <vt:lpstr>9 - Water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El Khoury</dc:creator>
  <cp:lastModifiedBy>Joe El Khoury</cp:lastModifiedBy>
  <dcterms:created xsi:type="dcterms:W3CDTF">2019-10-01T13:19:26Z</dcterms:created>
  <dcterms:modified xsi:type="dcterms:W3CDTF">2019-10-01T13:31:11Z</dcterms:modified>
</cp:coreProperties>
</file>