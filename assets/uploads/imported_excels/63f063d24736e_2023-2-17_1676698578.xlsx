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0" documentId="8_{1400A15F-DEAF-48B4-AA22-96FAE180FFDF}" xr6:coauthVersionLast="47" xr6:coauthVersionMax="47" xr10:uidLastSave="{00000000-0000-0000-0000-000000000000}"/>
  <bookViews>
    <workbookView xWindow="0" yWindow="0" windowWidth="28800" windowHeight="12435" tabRatio="620" firstSheet="2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02" l="1"/>
  <c r="I25" i="102"/>
  <c r="E19" i="117"/>
  <c r="U8" i="109"/>
  <c r="I18" i="109"/>
  <c r="I19" i="109"/>
  <c r="I20" i="109"/>
  <c r="I21" i="109"/>
  <c r="I22" i="109"/>
  <c r="I23" i="109"/>
  <c r="I24" i="109"/>
  <c r="I25" i="109"/>
  <c r="I26" i="109"/>
  <c r="I27" i="109"/>
  <c r="I28" i="109"/>
  <c r="I29" i="109"/>
  <c r="I30" i="109"/>
  <c r="I31" i="109"/>
  <c r="I32" i="109"/>
  <c r="I33" i="109"/>
  <c r="I34" i="109"/>
  <c r="I35" i="109"/>
  <c r="I36" i="109"/>
  <c r="I37" i="109"/>
  <c r="I38" i="109"/>
  <c r="I39" i="109"/>
  <c r="F8" i="102"/>
  <c r="G8" i="102"/>
  <c r="I8" i="102"/>
  <c r="J8" i="102"/>
  <c r="F9" i="102"/>
  <c r="G9" i="102"/>
  <c r="I9" i="102"/>
  <c r="J9" i="102"/>
  <c r="F10" i="102"/>
  <c r="G10" i="102"/>
  <c r="I10" i="102"/>
  <c r="J10" i="102"/>
  <c r="F11" i="102"/>
  <c r="G11" i="102"/>
  <c r="I11" i="102"/>
  <c r="J11" i="102"/>
  <c r="F12" i="102"/>
  <c r="G12" i="102"/>
  <c r="I12" i="102"/>
  <c r="J12" i="102"/>
  <c r="F13" i="102"/>
  <c r="G13" i="102"/>
  <c r="I13" i="102"/>
  <c r="J13" i="102"/>
  <c r="F14" i="102"/>
  <c r="G14" i="102"/>
  <c r="I14" i="102"/>
  <c r="J14" i="102"/>
  <c r="F15" i="102"/>
  <c r="G15" i="102"/>
  <c r="I15" i="102"/>
  <c r="J15" i="102"/>
  <c r="F16" i="102"/>
  <c r="G16" i="102"/>
  <c r="I16" i="102"/>
  <c r="J16" i="102"/>
  <c r="F17" i="102"/>
  <c r="G17" i="102"/>
  <c r="I17" i="102"/>
  <c r="J17" i="102"/>
  <c r="F18" i="102"/>
  <c r="G18" i="102"/>
  <c r="I18" i="102"/>
  <c r="J18" i="102"/>
  <c r="F19" i="102"/>
  <c r="G19" i="102"/>
  <c r="I19" i="102"/>
  <c r="J19" i="102"/>
  <c r="F20" i="102"/>
  <c r="G20" i="102"/>
  <c r="I20" i="102"/>
  <c r="J20" i="102"/>
  <c r="F21" i="102"/>
  <c r="G21" i="102"/>
  <c r="I21" i="102"/>
  <c r="J21" i="102"/>
  <c r="F22" i="102"/>
  <c r="G22" i="102"/>
  <c r="I22" i="102"/>
  <c r="J22" i="102"/>
  <c r="F23" i="102"/>
  <c r="G23" i="102"/>
  <c r="I23" i="102"/>
  <c r="J23" i="102"/>
  <c r="F24" i="102"/>
  <c r="G24" i="102"/>
  <c r="I24" i="102"/>
  <c r="J24" i="102"/>
  <c r="G25" i="102"/>
  <c r="J25" i="102"/>
  <c r="F26" i="102"/>
  <c r="G26" i="102"/>
  <c r="I26" i="102"/>
  <c r="J26" i="102"/>
  <c r="F27" i="102"/>
  <c r="G27" i="102"/>
  <c r="I27" i="102"/>
  <c r="J27" i="102"/>
  <c r="F28" i="102"/>
  <c r="G28" i="102"/>
  <c r="I28" i="102"/>
  <c r="J28" i="102"/>
  <c r="F29" i="102"/>
  <c r="G29" i="102"/>
  <c r="I29" i="102"/>
  <c r="J29" i="102"/>
  <c r="F30" i="102"/>
  <c r="G30" i="102"/>
  <c r="I30" i="102"/>
  <c r="J30" i="102"/>
  <c r="F31" i="102"/>
  <c r="G31" i="102"/>
  <c r="I31" i="102"/>
  <c r="J31" i="102"/>
  <c r="F32" i="102"/>
  <c r="G32" i="102"/>
  <c r="I32" i="102"/>
  <c r="J32" i="102"/>
  <c r="F33" i="102"/>
  <c r="G33" i="102"/>
  <c r="I33" i="102"/>
  <c r="J33" i="102"/>
  <c r="F34" i="102"/>
  <c r="G34" i="102"/>
  <c r="I34" i="102"/>
  <c r="J34" i="102"/>
  <c r="F35" i="102"/>
  <c r="G35" i="102"/>
  <c r="I35" i="102"/>
  <c r="J35" i="102"/>
  <c r="F36" i="102"/>
  <c r="G36" i="102"/>
  <c r="I36" i="102"/>
  <c r="J36" i="102"/>
  <c r="F37" i="102"/>
  <c r="G37" i="102"/>
  <c r="I37" i="102"/>
  <c r="J37" i="102"/>
  <c r="F38" i="102"/>
  <c r="G38" i="102"/>
  <c r="I38" i="102"/>
  <c r="J38" i="102"/>
  <c r="K29" i="102"/>
  <c r="L29" i="102"/>
  <c r="M29" i="102"/>
  <c r="K36" i="102"/>
  <c r="L36" i="102"/>
  <c r="M36" i="102"/>
  <c r="K31" i="102"/>
  <c r="L31" i="102"/>
  <c r="M31" i="102"/>
  <c r="K17" i="102"/>
  <c r="L17" i="102"/>
  <c r="M17" i="102"/>
  <c r="K24" i="102"/>
  <c r="L24" i="102"/>
  <c r="M24" i="102"/>
  <c r="K8" i="102"/>
  <c r="L8" i="102"/>
  <c r="M8" i="102"/>
  <c r="K10" i="102"/>
  <c r="L10" i="102"/>
  <c r="M10" i="102"/>
  <c r="K16" i="102"/>
  <c r="L16" i="102"/>
  <c r="M16" i="102"/>
  <c r="K23" i="102"/>
  <c r="L23" i="102"/>
  <c r="M23" i="102"/>
  <c r="K30" i="102"/>
  <c r="L30" i="102"/>
  <c r="M30" i="102"/>
  <c r="K11" i="102"/>
  <c r="L11" i="102"/>
  <c r="M11" i="102"/>
  <c r="K20" i="102"/>
  <c r="L20" i="102"/>
  <c r="M20" i="102"/>
  <c r="K12" i="102"/>
  <c r="L12" i="102"/>
  <c r="M12" i="102"/>
  <c r="K34" i="102"/>
  <c r="L34" i="102"/>
  <c r="M34" i="102"/>
  <c r="K37" i="102"/>
  <c r="L37" i="102"/>
  <c r="M37" i="102"/>
  <c r="K25" i="102"/>
  <c r="L25" i="102"/>
  <c r="M25" i="102"/>
  <c r="K22" i="102"/>
  <c r="L22" i="102"/>
  <c r="M22" i="102"/>
  <c r="K32" i="102"/>
  <c r="L32" i="102"/>
  <c r="M32" i="102"/>
  <c r="K18" i="102"/>
  <c r="L18" i="102"/>
  <c r="M18" i="102"/>
  <c r="K13" i="102"/>
  <c r="L13" i="102"/>
  <c r="M13" i="102"/>
  <c r="K35" i="102"/>
  <c r="L35" i="102"/>
  <c r="M35" i="102"/>
  <c r="K19" i="102"/>
  <c r="L19" i="102"/>
  <c r="M19" i="102"/>
  <c r="K38" i="102"/>
  <c r="L38" i="102"/>
  <c r="M38" i="102"/>
  <c r="K14" i="102"/>
  <c r="L14" i="102"/>
  <c r="M14" i="102"/>
  <c r="K21" i="102"/>
  <c r="L21" i="102"/>
  <c r="M21" i="102"/>
  <c r="K27" i="102"/>
  <c r="L27" i="102"/>
  <c r="M27" i="102"/>
  <c r="K28" i="102"/>
  <c r="L28" i="102"/>
  <c r="M28" i="102"/>
  <c r="K26" i="102"/>
  <c r="L26" i="102"/>
  <c r="M26" i="102"/>
  <c r="K33" i="102"/>
  <c r="L33" i="102"/>
  <c r="M33" i="102"/>
  <c r="K9" i="102"/>
  <c r="L9" i="102"/>
  <c r="M9" i="102"/>
  <c r="K15" i="102"/>
  <c r="L15" i="102"/>
  <c r="M15" i="102"/>
  <c r="I40" i="106"/>
  <c r="G40" i="106"/>
  <c r="F40" i="116"/>
  <c r="I39" i="102"/>
  <c r="F39" i="102"/>
  <c r="D39" i="102"/>
  <c r="C39" i="102"/>
  <c r="O40" i="109"/>
  <c r="F40" i="109"/>
  <c r="J40" i="106"/>
  <c r="M39" i="102"/>
  <c r="L39" i="102"/>
  <c r="E32" i="117"/>
  <c r="F32" i="117"/>
  <c r="G32" i="117"/>
  <c r="K32" i="117"/>
  <c r="M32" i="117"/>
  <c r="N32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9" i="116"/>
  <c r="H39" i="116"/>
  <c r="C39" i="109"/>
  <c r="C39" i="116"/>
  <c r="C39" i="106"/>
  <c r="D39" i="109"/>
  <c r="D39" i="116"/>
  <c r="D39" i="106"/>
  <c r="G39" i="109"/>
  <c r="H39" i="106"/>
  <c r="J39" i="106"/>
  <c r="K39" i="106"/>
  <c r="L39" i="106"/>
  <c r="H20" i="106"/>
  <c r="L32" i="117"/>
  <c r="D10" i="109"/>
  <c r="D10" i="116"/>
  <c r="D10" i="106"/>
  <c r="D11" i="109"/>
  <c r="D11" i="116"/>
  <c r="D11" i="106"/>
  <c r="D12" i="109"/>
  <c r="D12" i="116"/>
  <c r="D12" i="106"/>
  <c r="D13" i="109"/>
  <c r="D13" i="116"/>
  <c r="D13" i="106"/>
  <c r="D14" i="109"/>
  <c r="D14" i="116"/>
  <c r="D14" i="106"/>
  <c r="D15" i="109"/>
  <c r="D15" i="116"/>
  <c r="D15" i="106"/>
  <c r="D16" i="109"/>
  <c r="D16" i="116"/>
  <c r="D16" i="106"/>
  <c r="D17" i="109"/>
  <c r="D17" i="116"/>
  <c r="D17" i="106"/>
  <c r="D18" i="109"/>
  <c r="D18" i="116"/>
  <c r="D18" i="106"/>
  <c r="D19" i="109"/>
  <c r="D19" i="116"/>
  <c r="D19" i="106"/>
  <c r="D20" i="109"/>
  <c r="D20" i="116"/>
  <c r="D20" i="106"/>
  <c r="D21" i="109"/>
  <c r="D21" i="116"/>
  <c r="D21" i="106"/>
  <c r="D22" i="109"/>
  <c r="D22" i="116"/>
  <c r="D22" i="106"/>
  <c r="D23" i="109"/>
  <c r="D23" i="116"/>
  <c r="D23" i="106"/>
  <c r="D24" i="109"/>
  <c r="D24" i="116"/>
  <c r="D24" i="106"/>
  <c r="D25" i="109"/>
  <c r="D25" i="116"/>
  <c r="D25" i="106"/>
  <c r="D26" i="109"/>
  <c r="D26" i="116"/>
  <c r="D26" i="106"/>
  <c r="D27" i="109"/>
  <c r="D27" i="116"/>
  <c r="D27" i="106"/>
  <c r="D28" i="109"/>
  <c r="D28" i="116"/>
  <c r="D28" i="106"/>
  <c r="D29" i="109"/>
  <c r="D29" i="116"/>
  <c r="D29" i="106"/>
  <c r="D30" i="109"/>
  <c r="D30" i="116"/>
  <c r="D30" i="106"/>
  <c r="D31" i="109"/>
  <c r="D31" i="116"/>
  <c r="D31" i="106"/>
  <c r="D32" i="109"/>
  <c r="D32" i="116"/>
  <c r="D32" i="106"/>
  <c r="D33" i="109"/>
  <c r="D33" i="116"/>
  <c r="D33" i="106"/>
  <c r="D34" i="109"/>
  <c r="D34" i="116"/>
  <c r="D34" i="106"/>
  <c r="D35" i="109"/>
  <c r="D35" i="116"/>
  <c r="D35" i="106"/>
  <c r="D36" i="109"/>
  <c r="D36" i="116"/>
  <c r="D36" i="106"/>
  <c r="D37" i="109"/>
  <c r="D37" i="116"/>
  <c r="D37" i="106"/>
  <c r="D38" i="109"/>
  <c r="D38" i="116"/>
  <c r="D38" i="106"/>
  <c r="D9" i="109"/>
  <c r="D9" i="116"/>
  <c r="D9" i="106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/>
  <c r="C10" i="109"/>
  <c r="C10" i="116"/>
  <c r="C10" i="106"/>
  <c r="C11" i="109"/>
  <c r="C11" i="116"/>
  <c r="C11" i="106"/>
  <c r="C12" i="109"/>
  <c r="C12" i="116"/>
  <c r="C12" i="106"/>
  <c r="C13" i="109"/>
  <c r="C13" i="116"/>
  <c r="C13" i="106"/>
  <c r="C14" i="109"/>
  <c r="C14" i="116"/>
  <c r="C14" i="106"/>
  <c r="C15" i="109"/>
  <c r="C15" i="116"/>
  <c r="C15" i="106"/>
  <c r="C16" i="109"/>
  <c r="C16" i="116"/>
  <c r="C16" i="106"/>
  <c r="C17" i="109"/>
  <c r="C17" i="116"/>
  <c r="C17" i="106"/>
  <c r="C18" i="109"/>
  <c r="C18" i="116"/>
  <c r="C18" i="106"/>
  <c r="C19" i="109"/>
  <c r="C19" i="116"/>
  <c r="C19" i="106"/>
  <c r="C20" i="109"/>
  <c r="C20" i="116"/>
  <c r="C20" i="106"/>
  <c r="C21" i="109"/>
  <c r="C21" i="116"/>
  <c r="C21" i="106"/>
  <c r="C22" i="109"/>
  <c r="C22" i="116"/>
  <c r="C22" i="106"/>
  <c r="C23" i="109"/>
  <c r="C23" i="116"/>
  <c r="C23" i="106"/>
  <c r="C24" i="109"/>
  <c r="C24" i="116"/>
  <c r="C24" i="106"/>
  <c r="C25" i="109"/>
  <c r="C25" i="116"/>
  <c r="C25" i="106"/>
  <c r="C26" i="109"/>
  <c r="C26" i="116"/>
  <c r="C26" i="106"/>
  <c r="C27" i="109"/>
  <c r="C27" i="116"/>
  <c r="C27" i="106"/>
  <c r="C28" i="109"/>
  <c r="C28" i="116"/>
  <c r="C28" i="106"/>
  <c r="C29" i="109"/>
  <c r="C29" i="116"/>
  <c r="C29" i="106"/>
  <c r="C30" i="109"/>
  <c r="C30" i="116"/>
  <c r="C30" i="106"/>
  <c r="C31" i="109"/>
  <c r="C31" i="116"/>
  <c r="C31" i="106"/>
  <c r="C32" i="109"/>
  <c r="C32" i="116"/>
  <c r="C32" i="106"/>
  <c r="C33" i="109"/>
  <c r="C33" i="116"/>
  <c r="C33" i="106"/>
  <c r="C34" i="109"/>
  <c r="C34" i="116"/>
  <c r="C34" i="106"/>
  <c r="C35" i="109"/>
  <c r="C35" i="116"/>
  <c r="C35" i="106"/>
  <c r="C36" i="109"/>
  <c r="C36" i="116"/>
  <c r="C36" i="106"/>
  <c r="C37" i="109"/>
  <c r="C37" i="116"/>
  <c r="C37" i="106"/>
  <c r="C38" i="109"/>
  <c r="C38" i="116"/>
  <c r="C38" i="106"/>
  <c r="C9" i="109"/>
  <c r="C9" i="116"/>
  <c r="C9" i="106"/>
  <c r="C40" i="116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G9" i="109"/>
  <c r="G38" i="116"/>
  <c r="H38" i="116"/>
  <c r="G35" i="116"/>
  <c r="H35" i="116"/>
  <c r="G31" i="116"/>
  <c r="H31" i="116"/>
  <c r="G30" i="116"/>
  <c r="H30" i="116"/>
  <c r="G29" i="116"/>
  <c r="H29" i="116"/>
  <c r="G28" i="116"/>
  <c r="H28" i="116"/>
  <c r="G26" i="116"/>
  <c r="H26" i="116"/>
  <c r="G25" i="116"/>
  <c r="H25" i="116"/>
  <c r="G24" i="116"/>
  <c r="H24" i="116"/>
  <c r="G23" i="116"/>
  <c r="H23" i="116"/>
  <c r="G22" i="116"/>
  <c r="H22" i="116"/>
  <c r="G20" i="116"/>
  <c r="H20" i="116"/>
  <c r="G18" i="116"/>
  <c r="H18" i="116"/>
  <c r="G17" i="116"/>
  <c r="H17" i="116"/>
  <c r="G15" i="116"/>
  <c r="H15" i="116"/>
  <c r="G14" i="116"/>
  <c r="H14" i="116"/>
  <c r="G12" i="116"/>
  <c r="H12" i="116"/>
  <c r="G11" i="116"/>
  <c r="H11" i="116"/>
  <c r="G10" i="116"/>
  <c r="H10" i="116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Q44" i="109"/>
  <c r="J19" i="109"/>
  <c r="J39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K30" i="106"/>
  <c r="L30" i="106"/>
  <c r="K18" i="106"/>
  <c r="L18" i="106"/>
  <c r="I41" i="106"/>
  <c r="K10" i="106"/>
  <c r="L10" i="106"/>
  <c r="K15" i="106"/>
  <c r="L15" i="106"/>
  <c r="K27" i="106"/>
  <c r="L27" i="106"/>
  <c r="K38" i="106"/>
  <c r="L38" i="106"/>
  <c r="K31" i="106"/>
  <c r="L31" i="106"/>
  <c r="K32" i="106"/>
  <c r="L32" i="106"/>
  <c r="K21" i="106"/>
  <c r="L21" i="106"/>
  <c r="K33" i="106"/>
  <c r="L33" i="106"/>
  <c r="K35" i="106"/>
  <c r="L35" i="106"/>
  <c r="K11" i="106"/>
  <c r="L11" i="106"/>
  <c r="K17" i="106"/>
  <c r="L17" i="106"/>
  <c r="K9" i="106"/>
  <c r="L9" i="106"/>
  <c r="K28" i="106"/>
  <c r="L28" i="106"/>
  <c r="K16" i="106"/>
  <c r="L16" i="106"/>
  <c r="K13" i="106"/>
  <c r="L13" i="106"/>
  <c r="K23" i="106"/>
  <c r="L23" i="106"/>
  <c r="K29" i="106"/>
  <c r="L29" i="106"/>
  <c r="K36" i="106"/>
  <c r="L36" i="106"/>
  <c r="K25" i="106"/>
  <c r="L25" i="106"/>
  <c r="K37" i="106"/>
  <c r="L37" i="106"/>
  <c r="K12" i="106"/>
  <c r="L12" i="106"/>
  <c r="G16" i="116"/>
  <c r="H16" i="116"/>
  <c r="G13" i="116"/>
  <c r="H13" i="116"/>
  <c r="G19" i="116"/>
  <c r="H19" i="116"/>
  <c r="G21" i="116"/>
  <c r="H21" i="116"/>
  <c r="G27" i="116"/>
  <c r="H27" i="116"/>
  <c r="J33" i="109"/>
  <c r="J11" i="109"/>
  <c r="J27" i="109"/>
  <c r="J28" i="109"/>
  <c r="J13" i="109"/>
  <c r="M8" i="109"/>
  <c r="J26" i="109"/>
  <c r="J14" i="109"/>
  <c r="J12" i="109"/>
  <c r="K22" i="106"/>
  <c r="L22" i="106"/>
  <c r="G32" i="116"/>
  <c r="H32" i="116"/>
  <c r="G36" i="116"/>
  <c r="H36" i="116"/>
  <c r="K34" i="106"/>
  <c r="L34" i="106"/>
  <c r="K26" i="106"/>
  <c r="L26" i="106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L19" i="106"/>
  <c r="K24" i="106"/>
  <c r="L24" i="106"/>
  <c r="G33" i="116"/>
  <c r="H33" i="116"/>
  <c r="G37" i="116"/>
  <c r="H37" i="116"/>
  <c r="P8" i="109"/>
  <c r="P39" i="109"/>
  <c r="J18" i="109"/>
  <c r="J25" i="109"/>
  <c r="J21" i="109"/>
  <c r="J29" i="109"/>
  <c r="J36" i="109"/>
  <c r="J22" i="109"/>
  <c r="J35" i="109"/>
  <c r="J15" i="109"/>
  <c r="J34" i="109"/>
  <c r="J23" i="109"/>
  <c r="K14" i="106"/>
  <c r="L14" i="106"/>
  <c r="K20" i="106"/>
  <c r="L20" i="106"/>
  <c r="G34" i="116"/>
  <c r="H34" i="116"/>
  <c r="H40" i="116"/>
  <c r="L40" i="106"/>
  <c r="O40" i="106"/>
  <c r="M13" i="109"/>
  <c r="M39" i="109"/>
  <c r="Q39" i="109"/>
  <c r="R39" i="109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P15" i="109"/>
  <c r="P29" i="109"/>
  <c r="L27" i="117"/>
  <c r="F11" i="117"/>
  <c r="P35" i="109"/>
  <c r="P20" i="109"/>
  <c r="P34" i="109"/>
  <c r="F2" i="117"/>
  <c r="F26" i="117"/>
  <c r="F30" i="117"/>
  <c r="F6" i="117"/>
  <c r="K40" i="102"/>
  <c r="F25" i="117"/>
  <c r="F22" i="117"/>
  <c r="H32" i="117"/>
  <c r="Q24" i="109"/>
  <c r="R24" i="109"/>
  <c r="Q13" i="109"/>
  <c r="F23" i="117"/>
  <c r="F8" i="117"/>
  <c r="F10" i="117"/>
  <c r="F18" i="117"/>
  <c r="F21" i="117"/>
  <c r="F12" i="117"/>
  <c r="F13" i="117"/>
  <c r="F15" i="117"/>
  <c r="Q32" i="109"/>
  <c r="R32" i="109"/>
  <c r="Q29" i="109"/>
  <c r="R29" i="109"/>
  <c r="Q21" i="109"/>
  <c r="R21" i="109"/>
  <c r="Q28" i="109"/>
  <c r="R28" i="109"/>
  <c r="Q9" i="109"/>
  <c r="R9" i="109"/>
  <c r="Q31" i="109"/>
  <c r="R31" i="109"/>
  <c r="Q20" i="109"/>
  <c r="R20" i="109"/>
  <c r="Q17" i="109"/>
  <c r="R17" i="109"/>
  <c r="Q35" i="109"/>
  <c r="R35" i="109"/>
  <c r="Q14" i="109"/>
  <c r="R14" i="109"/>
  <c r="Q38" i="109"/>
  <c r="R38" i="109"/>
  <c r="Q34" i="109"/>
  <c r="R34" i="109"/>
  <c r="Q19" i="109"/>
  <c r="R19" i="109"/>
  <c r="Q26" i="109"/>
  <c r="R26" i="109"/>
  <c r="Q16" i="109"/>
  <c r="R16" i="109"/>
  <c r="Q12" i="109"/>
  <c r="R12" i="109"/>
  <c r="Q36" i="109"/>
  <c r="R36" i="109"/>
  <c r="Q18" i="109"/>
  <c r="R18" i="109"/>
  <c r="Q22" i="109"/>
  <c r="R22" i="109"/>
  <c r="Q33" i="109"/>
  <c r="R33" i="109"/>
  <c r="Q15" i="109"/>
  <c r="R15" i="109"/>
  <c r="Q27" i="109"/>
  <c r="R27" i="109"/>
  <c r="Q25" i="109"/>
  <c r="R25" i="109"/>
  <c r="Q30" i="109"/>
  <c r="R30" i="109"/>
  <c r="Q23" i="109"/>
  <c r="R23" i="109"/>
  <c r="Q11" i="109"/>
  <c r="R11" i="109"/>
  <c r="Q10" i="109"/>
  <c r="R10" i="109"/>
  <c r="Q37" i="109"/>
  <c r="R37" i="109"/>
  <c r="P39" i="102"/>
  <c r="H6" i="117"/>
  <c r="R13" i="109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/>
</calcChain>
</file>

<file path=xl/sharedStrings.xml><?xml version="1.0" encoding="utf-8"?>
<sst xmlns="http://schemas.openxmlformats.org/spreadsheetml/2006/main" count="119" uniqueCount="60">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</sst>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P1" sqref="P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>
      <c r="A1" s="46" t="s">
        <v>0</v>
      </c>
      <c r="B1" s="46" t="s">
        <v>1</v>
      </c>
      <c r="C1" s="47" t="s">
        <v>2</v>
      </c>
      <c r="D1" s="46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  <c r="L1" s="50" t="s">
        <v>11</v>
      </c>
      <c r="M1" s="48" t="s">
        <v>12</v>
      </c>
      <c r="N1" s="48" t="s">
        <v>13</v>
      </c>
    </row>
    <row r="2" spans="1:14" ht="15">
      <c r="A2" s="51" t="s">
        <v>14</v>
      </c>
      <c r="B2" s="52">
        <v>1</v>
      </c>
      <c r="C2" s="53">
        <v>10</v>
      </c>
      <c r="D2" s="52">
        <v>2021</v>
      </c>
      <c r="E2" s="54">
        <f>Electricity!F8+Electricity!I8</f>
        <v>7419.9999999998454</v>
      </c>
      <c r="F2" s="55">
        <f>Electricity!L8/TOTAL!E2</f>
        <v>1235.7617924528315</v>
      </c>
      <c r="G2" s="54">
        <f>Gas!F9+Gas!I9+Gas!L9+Gas!O9</f>
        <v>24.100000000000037</v>
      </c>
      <c r="H2" s="55">
        <f>Gas!Q9/TOTAL!G2</f>
        <v>15840</v>
      </c>
      <c r="I2" s="54">
        <v>0</v>
      </c>
      <c r="J2" s="56">
        <v>10700</v>
      </c>
      <c r="K2" s="54">
        <f>Water!E9+Water!G9+Water!I9</f>
        <v>356</v>
      </c>
      <c r="L2" s="55">
        <f>Water!K9/TOTAL!K2</f>
        <v>4000</v>
      </c>
      <c r="M2" s="54">
        <f>Electricity!C8</f>
        <v>11</v>
      </c>
      <c r="N2" s="54">
        <f>Electricity!D8</f>
        <v>98</v>
      </c>
    </row>
    <row r="3" spans="1:14" ht="15">
      <c r="A3" s="51" t="s">
        <v>14</v>
      </c>
      <c r="B3" s="52">
        <f>B2+1</f>
        <v>2</v>
      </c>
      <c r="C3" s="53">
        <v>10</v>
      </c>
      <c r="D3" s="52">
        <v>2021</v>
      </c>
      <c r="E3" s="54">
        <f>Electricity!F9+Electricity!I9</f>
        <v>7120.0000000001746</v>
      </c>
      <c r="F3" s="55">
        <f>Electricity!L9/TOTAL!E3</f>
        <v>1241.4365168539325</v>
      </c>
      <c r="G3" s="54">
        <f>Gas!F10+Gas!I10+Gas!L10+Gas!O10</f>
        <v>19.129999999999782</v>
      </c>
      <c r="H3" s="55">
        <f>Gas!Q10/TOTAL!G3</f>
        <v>15839.999999999998</v>
      </c>
      <c r="I3" s="54">
        <v>0</v>
      </c>
      <c r="J3" s="56">
        <v>10700</v>
      </c>
      <c r="K3" s="54">
        <f>Water!E10+Water!G10+Water!I10</f>
        <v>309</v>
      </c>
      <c r="L3" s="55">
        <f>Water!K10/TOTAL!K3</f>
        <v>4000</v>
      </c>
      <c r="M3" s="54">
        <f>Electricity!C9</f>
        <v>19</v>
      </c>
      <c r="N3" s="54">
        <f>Electricity!D9</f>
        <v>59</v>
      </c>
    </row>
    <row r="4" spans="1:14" ht="15">
      <c r="A4" s="51" t="s">
        <v>14</v>
      </c>
      <c r="B4" s="52">
        <f t="shared" ref="B4:B30" si="0">B3+1</f>
        <v>3</v>
      </c>
      <c r="C4" s="53">
        <v>10</v>
      </c>
      <c r="D4" s="52">
        <v>2021</v>
      </c>
      <c r="E4" s="54">
        <f>Electricity!F10+Electricity!I10</f>
        <v>7240.0000000000091</v>
      </c>
      <c r="F4" s="55">
        <f>Electricity!L10/TOTAL!E4</f>
        <v>1236.5929558011057</v>
      </c>
      <c r="G4" s="54">
        <f>Gas!F11+Gas!I11+Gas!L11+Gas!O11</f>
        <v>18.850000000000037</v>
      </c>
      <c r="H4" s="55">
        <f>Gas!Q11/TOTAL!G4</f>
        <v>15840</v>
      </c>
      <c r="I4" s="54">
        <v>0</v>
      </c>
      <c r="J4" s="56">
        <v>10700</v>
      </c>
      <c r="K4" s="54">
        <f>Water!E11+Water!G11+Water!I11</f>
        <v>303</v>
      </c>
      <c r="L4" s="55">
        <f>Water!K11/TOTAL!K4</f>
        <v>4000</v>
      </c>
      <c r="M4" s="54">
        <f>Electricity!C10</f>
        <v>13</v>
      </c>
      <c r="N4" s="54">
        <f>Electricity!D10</f>
        <v>82</v>
      </c>
    </row>
    <row r="5" spans="1:14" ht="15">
      <c r="A5" s="51" t="s">
        <v>14</v>
      </c>
      <c r="B5" s="52">
        <f t="shared" si="0"/>
        <v>4</v>
      </c>
      <c r="C5" s="53">
        <v>10</v>
      </c>
      <c r="D5" s="52">
        <v>2021</v>
      </c>
      <c r="E5" s="54">
        <f>Electricity!F11+Electricity!I11</f>
        <v>7299.9999999998408</v>
      </c>
      <c r="F5" s="55">
        <f>Electricity!L11/TOTAL!E5</f>
        <v>1227.9895205479463</v>
      </c>
      <c r="G5" s="54">
        <f>Gas!F12+Gas!I12+Gas!L12+Gas!O12</f>
        <v>19.600000000000037</v>
      </c>
      <c r="H5" s="55">
        <f>Gas!Q12/TOTAL!G5</f>
        <v>15840</v>
      </c>
      <c r="I5" s="54">
        <v>0</v>
      </c>
      <c r="J5" s="56">
        <v>10700</v>
      </c>
      <c r="K5" s="54">
        <f>Water!E12+Water!G12+Water!I12</f>
        <v>315</v>
      </c>
      <c r="L5" s="55">
        <f>Water!K12/TOTAL!K5</f>
        <v>4000</v>
      </c>
      <c r="M5" s="54">
        <f>Electricity!C11</f>
        <v>7</v>
      </c>
      <c r="N5" s="54">
        <f>Electricity!D11</f>
        <v>78</v>
      </c>
    </row>
    <row r="6" spans="1:14" ht="15">
      <c r="A6" s="51" t="s">
        <v>14</v>
      </c>
      <c r="B6" s="52">
        <f t="shared" si="0"/>
        <v>5</v>
      </c>
      <c r="C6" s="53">
        <v>10</v>
      </c>
      <c r="D6" s="52">
        <v>2021</v>
      </c>
      <c r="E6" s="54">
        <f>Electricity!F12+Electricity!I12</f>
        <v>6260.0000000002183</v>
      </c>
      <c r="F6" s="55">
        <f>Electricity!L12/TOTAL!E6</f>
        <v>1228.2088658146949</v>
      </c>
      <c r="G6" s="54">
        <f>Gas!F13+Gas!I13+Gas!L13+Gas!O13</f>
        <v>20.980000000000146</v>
      </c>
      <c r="H6" s="55">
        <f>Gas!Q13/TOTAL!G6</f>
        <v>15839.999999999998</v>
      </c>
      <c r="I6" s="54">
        <v>19</v>
      </c>
      <c r="J6" s="56">
        <v>10700</v>
      </c>
      <c r="K6" s="54">
        <f>Water!E13+Water!G13+Water!I13</f>
        <v>295</v>
      </c>
      <c r="L6" s="55">
        <f>Water!K13/TOTAL!K6</f>
        <v>4000</v>
      </c>
      <c r="M6" s="54">
        <f>Electricity!C12</f>
        <v>5</v>
      </c>
      <c r="N6" s="54">
        <f>Electricity!D12</f>
        <v>32</v>
      </c>
    </row>
    <row r="7" spans="1:14" ht="15">
      <c r="A7" s="51" t="s">
        <v>14</v>
      </c>
      <c r="B7" s="52">
        <f t="shared" si="0"/>
        <v>6</v>
      </c>
      <c r="C7" s="53">
        <v>10</v>
      </c>
      <c r="D7" s="52">
        <v>2021</v>
      </c>
      <c r="E7" s="54">
        <f>Electricity!F13+Electricity!I13</f>
        <v>6059.9999999999454</v>
      </c>
      <c r="F7" s="55">
        <f>Electricity!L13/TOTAL!E7</f>
        <v>1236.7902640264003</v>
      </c>
      <c r="G7" s="54">
        <f>Gas!F14+Gas!I14+Gas!L14+Gas!O14</f>
        <v>17.14</v>
      </c>
      <c r="H7" s="55">
        <f>Gas!Q14/TOTAL!G7</f>
        <v>15839.999999999998</v>
      </c>
      <c r="I7" s="54">
        <v>0</v>
      </c>
      <c r="J7" s="56">
        <v>10700</v>
      </c>
      <c r="K7" s="54">
        <f>Water!E14+Water!G14+Water!I14</f>
        <v>317</v>
      </c>
      <c r="L7" s="55">
        <f>Water!K14/TOTAL!K7</f>
        <v>4000</v>
      </c>
      <c r="M7" s="54">
        <f>Electricity!C13</f>
        <v>7</v>
      </c>
      <c r="N7" s="54">
        <f>Electricity!D13</f>
        <v>25</v>
      </c>
    </row>
    <row r="8" spans="1:14" ht="15">
      <c r="A8" s="51" t="s">
        <v>14</v>
      </c>
      <c r="B8" s="52">
        <f t="shared" si="0"/>
        <v>7</v>
      </c>
      <c r="C8" s="53">
        <v>10</v>
      </c>
      <c r="D8" s="52">
        <v>2021</v>
      </c>
      <c r="E8" s="54">
        <f>Electricity!F14+Electricity!I14</f>
        <v>6399.9999999996926</v>
      </c>
      <c r="F8" s="55">
        <f>Electricity!L14/TOTAL!E8</f>
        <v>1233.3775781250049</v>
      </c>
      <c r="G8" s="54">
        <f>Gas!F15+Gas!I15+Gas!L15+Gas!O15</f>
        <v>19.989999999999455</v>
      </c>
      <c r="H8" s="55">
        <f>Gas!Q15/TOTAL!G8</f>
        <v>15840</v>
      </c>
      <c r="I8" s="54">
        <v>0</v>
      </c>
      <c r="J8" s="56">
        <v>10700</v>
      </c>
      <c r="K8" s="54">
        <f>Water!E15+Water!G15+Water!I15</f>
        <v>332</v>
      </c>
      <c r="L8" s="55">
        <f>Water!K15/TOTAL!K8</f>
        <v>4000</v>
      </c>
      <c r="M8" s="54">
        <f>Electricity!C14</f>
        <v>10</v>
      </c>
      <c r="N8" s="54">
        <f>Electricity!D14</f>
        <v>33</v>
      </c>
    </row>
    <row r="9" spans="1:14" ht="15">
      <c r="A9" s="51" t="s">
        <v>14</v>
      </c>
      <c r="B9" s="52">
        <f t="shared" si="0"/>
        <v>8</v>
      </c>
      <c r="C9" s="53">
        <v>10</v>
      </c>
      <c r="D9" s="52">
        <v>2021</v>
      </c>
      <c r="E9" s="54">
        <f>Electricity!F15+Electricity!I15</f>
        <v>6880.0000000002801</v>
      </c>
      <c r="F9" s="55">
        <f>Electricity!L15/TOTAL!E9</f>
        <v>1233.4189680232557</v>
      </c>
      <c r="G9" s="54">
        <f>Gas!F16+Gas!I16+Gas!L16+Gas!O16</f>
        <v>19.83000000000051</v>
      </c>
      <c r="H9" s="55">
        <f>Gas!Q16/TOTAL!G9</f>
        <v>15839.999999999998</v>
      </c>
      <c r="I9" s="54">
        <v>0</v>
      </c>
      <c r="J9" s="56">
        <v>10700</v>
      </c>
      <c r="K9" s="54">
        <f>Water!E16+Water!G16+Water!I16</f>
        <v>322</v>
      </c>
      <c r="L9" s="55">
        <f>Water!K16/TOTAL!K9</f>
        <v>4000</v>
      </c>
      <c r="M9" s="54">
        <f>Electricity!C15</f>
        <v>10</v>
      </c>
      <c r="N9" s="54">
        <f>Electricity!D15</f>
        <v>46</v>
      </c>
    </row>
    <row r="10" spans="1:14" ht="15">
      <c r="A10" s="51" t="s">
        <v>14</v>
      </c>
      <c r="B10" s="52">
        <f t="shared" si="0"/>
        <v>9</v>
      </c>
      <c r="C10" s="53">
        <v>10</v>
      </c>
      <c r="D10" s="52">
        <v>2021</v>
      </c>
      <c r="E10" s="54">
        <f>Electricity!F16+Electricity!I16</f>
        <v>6839.9999999998045</v>
      </c>
      <c r="F10" s="55">
        <f>Electricity!L16/TOTAL!E10</f>
        <v>1237.3013888888875</v>
      </c>
      <c r="G10" s="54">
        <f>Gas!F17+Gas!I17+Gas!L17+Gas!O17</f>
        <v>19.199999999999491</v>
      </c>
      <c r="H10" s="55">
        <f>Gas!Q17/TOTAL!G10</f>
        <v>15839.999999999998</v>
      </c>
      <c r="I10" s="54">
        <v>71</v>
      </c>
      <c r="J10" s="56">
        <v>10700</v>
      </c>
      <c r="K10" s="54">
        <f>Water!E17+Water!G17+Water!I17</f>
        <v>304</v>
      </c>
      <c r="L10" s="55">
        <f>Water!K17/TOTAL!K10</f>
        <v>4000</v>
      </c>
      <c r="M10" s="54">
        <f>Electricity!C16</f>
        <v>7</v>
      </c>
      <c r="N10" s="54">
        <f>Electricity!D16</f>
        <v>50</v>
      </c>
    </row>
    <row r="11" spans="1:14" ht="15">
      <c r="A11" s="51" t="s">
        <v>14</v>
      </c>
      <c r="B11" s="52">
        <f t="shared" si="0"/>
        <v>10</v>
      </c>
      <c r="C11" s="53">
        <v>10</v>
      </c>
      <c r="D11" s="52">
        <v>2021</v>
      </c>
      <c r="E11" s="54">
        <f>Electricity!F17+Electricity!I17</f>
        <v>7359.9999999998436</v>
      </c>
      <c r="F11" s="55">
        <f>Electricity!L17/TOTAL!E11</f>
        <v>1230.3597146739157</v>
      </c>
      <c r="G11" s="54">
        <f>Gas!F18+Gas!I18+Gas!L18+Gas!O18</f>
        <v>19.320000000000292</v>
      </c>
      <c r="H11" s="55">
        <f>Gas!Q18/TOTAL!G11</f>
        <v>15839.999999999998</v>
      </c>
      <c r="I11" s="54">
        <v>0</v>
      </c>
      <c r="J11" s="56">
        <v>10700</v>
      </c>
      <c r="K11" s="54">
        <f>Water!E18+Water!G18+Water!I18</f>
        <v>338</v>
      </c>
      <c r="L11" s="55">
        <f>Water!K18/TOTAL!K11</f>
        <v>4000</v>
      </c>
      <c r="M11" s="54">
        <f>Electricity!C17</f>
        <v>9</v>
      </c>
      <c r="N11" s="54">
        <f>Electricity!D17</f>
        <v>47</v>
      </c>
    </row>
    <row r="12" spans="1:14" ht="15">
      <c r="A12" s="51" t="s">
        <v>14</v>
      </c>
      <c r="B12" s="52">
        <f t="shared" si="0"/>
        <v>11</v>
      </c>
      <c r="C12" s="53">
        <v>10</v>
      </c>
      <c r="D12" s="52">
        <v>2021</v>
      </c>
      <c r="E12" s="54">
        <f>Electricity!F18+Electricity!I18</f>
        <v>6940.0000000002256</v>
      </c>
      <c r="F12" s="55">
        <f>Electricity!L18/TOTAL!E12</f>
        <v>1237.5269452449527</v>
      </c>
      <c r="G12" s="54">
        <f>Gas!F19+Gas!I19+Gas!L19+Gas!O19</f>
        <v>19.039999999999637</v>
      </c>
      <c r="H12" s="55">
        <f>Gas!Q19/TOTAL!G12</f>
        <v>15839.999999999998</v>
      </c>
      <c r="I12" s="54">
        <v>0</v>
      </c>
      <c r="J12" s="56">
        <v>10700</v>
      </c>
      <c r="K12" s="54">
        <f>Water!E19+Water!G19+Water!I19</f>
        <v>348</v>
      </c>
      <c r="L12" s="55">
        <f>Water!K19/TOTAL!K12</f>
        <v>4000</v>
      </c>
      <c r="M12" s="54">
        <f>Electricity!C18</f>
        <v>10</v>
      </c>
      <c r="N12" s="54">
        <f>Electricity!D18</f>
        <v>42</v>
      </c>
    </row>
    <row r="13" spans="1:14" ht="15">
      <c r="A13" s="51" t="s">
        <v>14</v>
      </c>
      <c r="B13" s="52">
        <f t="shared" si="0"/>
        <v>12</v>
      </c>
      <c r="C13" s="53">
        <v>10</v>
      </c>
      <c r="D13" s="52">
        <v>2021</v>
      </c>
      <c r="E13" s="54">
        <f>Electricity!F19+Electricity!I19</f>
        <v>7200.0000000000455</v>
      </c>
      <c r="F13" s="55">
        <f>Electricity!L19/TOTAL!E13</f>
        <v>1233.9708333333365</v>
      </c>
      <c r="G13" s="54">
        <f>Gas!F20+Gas!I20+Gas!L20+Gas!O20</f>
        <v>18.64</v>
      </c>
      <c r="H13" s="55">
        <f>Gas!Q20/TOTAL!G13</f>
        <v>15839.999999999998</v>
      </c>
      <c r="I13" s="54">
        <v>0</v>
      </c>
      <c r="J13" s="56">
        <v>10700</v>
      </c>
      <c r="K13" s="54">
        <f>Water!E20+Water!G20+Water!I20</f>
        <v>324</v>
      </c>
      <c r="L13" s="55">
        <f>Water!K20/TOTAL!K13</f>
        <v>4000</v>
      </c>
      <c r="M13" s="54">
        <f>Electricity!C19</f>
        <v>6</v>
      </c>
      <c r="N13" s="54">
        <f>Electricity!D19</f>
        <v>50</v>
      </c>
    </row>
    <row r="14" spans="1:14" ht="15">
      <c r="A14" s="51" t="s">
        <v>14</v>
      </c>
      <c r="B14" s="52">
        <f t="shared" si="0"/>
        <v>13</v>
      </c>
      <c r="C14" s="53">
        <v>10</v>
      </c>
      <c r="D14" s="52">
        <v>2021</v>
      </c>
      <c r="E14" s="54">
        <f>Electricity!F20+Electricity!I20</f>
        <v>6420.0000000001291</v>
      </c>
      <c r="F14" s="55">
        <f>Electricity!L20/TOTAL!E14</f>
        <v>1236.6321651090293</v>
      </c>
      <c r="G14" s="54">
        <f>Gas!F21+Gas!I21+Gas!L21+Gas!O21</f>
        <v>18.410000000000437</v>
      </c>
      <c r="H14" s="55">
        <f>Gas!Q21/TOTAL!G14</f>
        <v>15839.999999999998</v>
      </c>
      <c r="I14" s="54">
        <v>147</v>
      </c>
      <c r="J14" s="56">
        <v>10700</v>
      </c>
      <c r="K14" s="54">
        <f>Water!E21+Water!G21+Water!I21</f>
        <v>326</v>
      </c>
      <c r="L14" s="55">
        <f>Water!K21/TOTAL!K14</f>
        <v>4000</v>
      </c>
      <c r="M14" s="54">
        <f>Electricity!C20</f>
        <v>2</v>
      </c>
      <c r="N14" s="54">
        <f>Electricity!D20</f>
        <v>28</v>
      </c>
    </row>
    <row r="15" spans="1:14" ht="15">
      <c r="A15" s="51" t="s">
        <v>14</v>
      </c>
      <c r="B15" s="52">
        <f t="shared" si="0"/>
        <v>14</v>
      </c>
      <c r="C15" s="53">
        <v>10</v>
      </c>
      <c r="D15" s="52">
        <v>2021</v>
      </c>
      <c r="E15" s="54">
        <f>Electricity!F21+Electricity!I21</f>
        <v>6899.9999999998072</v>
      </c>
      <c r="F15" s="55">
        <f>Electricity!L21/TOTAL!E15</f>
        <v>1238.0978260869585</v>
      </c>
      <c r="G15" s="54">
        <f>Gas!F22+Gas!I22+Gas!L22+Gas!O22</f>
        <v>18.369999999999564</v>
      </c>
      <c r="H15" s="55">
        <f>Gas!Q22/TOTAL!G15</f>
        <v>15839.999999999998</v>
      </c>
      <c r="I15" s="54">
        <v>0</v>
      </c>
      <c r="J15" s="56">
        <v>10700</v>
      </c>
      <c r="K15" s="54">
        <f>Water!E22+Water!G22+Water!I22</f>
        <v>304</v>
      </c>
      <c r="L15" s="55">
        <f>Water!K22/TOTAL!K15</f>
        <v>4000</v>
      </c>
      <c r="M15" s="54">
        <f>Electricity!C21</f>
        <v>4</v>
      </c>
      <c r="N15" s="54">
        <f>Electricity!D21</f>
        <v>14</v>
      </c>
    </row>
    <row r="16" spans="1:14" ht="15">
      <c r="A16" s="51" t="s">
        <v>14</v>
      </c>
      <c r="B16" s="52">
        <f t="shared" si="0"/>
        <v>15</v>
      </c>
      <c r="C16" s="53">
        <v>10</v>
      </c>
      <c r="D16" s="52">
        <v>2021</v>
      </c>
      <c r="E16" s="54">
        <f>Electricity!F22+Electricity!I22</f>
        <v>7419.9999999999018</v>
      </c>
      <c r="F16" s="55">
        <f>Electricity!L22/TOTAL!E16</f>
        <v>1235.7617924528352</v>
      </c>
      <c r="G16" s="54">
        <f>Gas!F23+Gas!I23+Gas!L23+Gas!O23</f>
        <v>18.250000000000583</v>
      </c>
      <c r="H16" s="55">
        <f>Gas!Q23/TOTAL!G16</f>
        <v>15839.999999999998</v>
      </c>
      <c r="I16" s="54">
        <v>0</v>
      </c>
      <c r="J16" s="56">
        <v>10700</v>
      </c>
      <c r="K16" s="54">
        <f>Water!E23+Water!G23+Water!I23</f>
        <v>326</v>
      </c>
      <c r="L16" s="55">
        <f>Water!K23/TOTAL!K16</f>
        <v>4000</v>
      </c>
      <c r="M16" s="54">
        <f>Electricity!C22</f>
        <v>8</v>
      </c>
      <c r="N16" s="54">
        <f>Electricity!D22</f>
        <v>26</v>
      </c>
    </row>
    <row r="17" spans="1:14" ht="15">
      <c r="A17" s="51" t="s">
        <v>14</v>
      </c>
      <c r="B17" s="52">
        <f t="shared" si="0"/>
        <v>16</v>
      </c>
      <c r="C17" s="53">
        <v>10</v>
      </c>
      <c r="D17" s="52">
        <v>2021</v>
      </c>
      <c r="E17" s="54">
        <f>Electricity!F23+Electricity!I23</f>
        <v>7780.0000000000291</v>
      </c>
      <c r="F17" s="55">
        <f>Electricity!L23/TOTAL!E17</f>
        <v>1235.6789203084825</v>
      </c>
      <c r="G17" s="54">
        <f>Gas!F24+Gas!I24+Gas!L24+Gas!O24</f>
        <v>19.949999999999491</v>
      </c>
      <c r="H17" s="55">
        <f>Gas!Q24/TOTAL!G17</f>
        <v>15839.999999999998</v>
      </c>
      <c r="I17" s="54">
        <v>0</v>
      </c>
      <c r="J17" s="56">
        <v>10700</v>
      </c>
      <c r="K17" s="54">
        <f>Water!E24+Water!G24+Water!I24</f>
        <v>315</v>
      </c>
      <c r="L17" s="55">
        <f>Water!K24/TOTAL!K17</f>
        <v>4000</v>
      </c>
      <c r="M17" s="54">
        <f>Electricity!C23</f>
        <v>11</v>
      </c>
      <c r="N17" s="54">
        <f>Electricity!D23</f>
        <v>54</v>
      </c>
    </row>
    <row r="18" spans="1:14" ht="15">
      <c r="A18" s="51" t="s">
        <v>14</v>
      </c>
      <c r="B18" s="52">
        <f t="shared" si="0"/>
        <v>17</v>
      </c>
      <c r="C18" s="53">
        <v>10</v>
      </c>
      <c r="D18" s="52">
        <v>2021</v>
      </c>
      <c r="E18" s="54">
        <f>Electricity!F24+Electricity!I24</f>
        <v>7560.0000000001164</v>
      </c>
      <c r="F18" s="55">
        <f>Electricity!L24/TOTAL!E18</f>
        <v>1227.9441137566128</v>
      </c>
      <c r="G18" s="54">
        <f>Gas!F25+Gas!I25+Gas!L25+Gas!O25</f>
        <v>20.950000000000401</v>
      </c>
      <c r="H18" s="55">
        <f>Gas!Q25/TOTAL!G18</f>
        <v>15840</v>
      </c>
      <c r="I18" s="54">
        <v>0</v>
      </c>
      <c r="J18" s="56">
        <v>10700</v>
      </c>
      <c r="K18" s="54">
        <f>Water!E25+Water!G25+Water!I25</f>
        <v>282</v>
      </c>
      <c r="L18" s="55">
        <f>Water!K25/TOTAL!K18</f>
        <v>4000</v>
      </c>
      <c r="M18" s="54">
        <f>Electricity!C24</f>
        <v>9</v>
      </c>
      <c r="N18" s="54">
        <f>Electricity!D24</f>
        <v>51</v>
      </c>
    </row>
    <row r="19" spans="1:14" ht="15">
      <c r="A19" s="51" t="s">
        <v>14</v>
      </c>
      <c r="B19" s="52">
        <f t="shared" si="0"/>
        <v>18</v>
      </c>
      <c r="C19" s="53">
        <v>10</v>
      </c>
      <c r="D19" s="52">
        <v>2021</v>
      </c>
      <c r="E19" s="54">
        <f>Electricity!F25+Electricity!I25</f>
        <v>9520.0000000002092</v>
      </c>
      <c r="F19" s="55">
        <f>Electricity!L25/TOTAL!E19</f>
        <v>1214.4283088235272</v>
      </c>
      <c r="G19" s="54">
        <f>Gas!F26+Gas!I26+Gas!L26+Gas!O26</f>
        <v>19.600000000000037</v>
      </c>
      <c r="H19" s="55">
        <f>Gas!Q26/TOTAL!G19</f>
        <v>15840</v>
      </c>
      <c r="I19" s="54">
        <v>18</v>
      </c>
      <c r="J19" s="56">
        <v>10700</v>
      </c>
      <c r="K19" s="54">
        <f>Water!E26+Water!G26+Water!I26</f>
        <v>306</v>
      </c>
      <c r="L19" s="55">
        <f>Water!K26/TOTAL!K19</f>
        <v>4000</v>
      </c>
      <c r="M19" s="54">
        <f>Electricity!C25</f>
        <v>9</v>
      </c>
      <c r="N19" s="54">
        <f>Electricity!D25</f>
        <v>55</v>
      </c>
    </row>
    <row r="20" spans="1:14" ht="15">
      <c r="A20" s="51" t="s">
        <v>14</v>
      </c>
      <c r="B20" s="52">
        <f t="shared" si="0"/>
        <v>19</v>
      </c>
      <c r="C20" s="53">
        <v>10</v>
      </c>
      <c r="D20" s="52">
        <v>2021</v>
      </c>
      <c r="E20" s="54">
        <f>Electricity!F26+Electricity!I26</f>
        <v>5319.9999999999363</v>
      </c>
      <c r="F20" s="55">
        <f>Electricity!L26/TOTAL!E20</f>
        <v>1271.7964285714311</v>
      </c>
      <c r="G20" s="54">
        <f>Gas!F27+Gas!I27+Gas!L27+Gas!O27</f>
        <v>18.70999999999971</v>
      </c>
      <c r="H20" s="55">
        <f>Gas!Q27/TOTAL!G20</f>
        <v>15839.999999999998</v>
      </c>
      <c r="I20" s="54">
        <v>0</v>
      </c>
      <c r="J20" s="56">
        <v>10700</v>
      </c>
      <c r="K20" s="54">
        <f>Water!E27+Water!G27+Water!I27</f>
        <v>297</v>
      </c>
      <c r="L20" s="55">
        <f>Water!K27/TOTAL!K20</f>
        <v>4000</v>
      </c>
      <c r="M20" s="54">
        <f>Electricity!C26</f>
        <v>7</v>
      </c>
      <c r="N20" s="54">
        <f>Electricity!D26</f>
        <v>53</v>
      </c>
    </row>
    <row r="21" spans="1:14" ht="15">
      <c r="A21" s="51" t="s">
        <v>14</v>
      </c>
      <c r="B21" s="52">
        <f t="shared" si="0"/>
        <v>20</v>
      </c>
      <c r="C21" s="53">
        <v>10</v>
      </c>
      <c r="D21" s="52">
        <v>2021</v>
      </c>
      <c r="E21" s="54">
        <f>Electricity!F27+Electricity!I27</f>
        <v>7899.99999999992</v>
      </c>
      <c r="F21" s="55">
        <f>Electricity!L27/TOTAL!E21</f>
        <v>1234.211139240507</v>
      </c>
      <c r="G21" s="54">
        <f>Gas!F28+Gas!I28+Gas!L28+Gas!O28</f>
        <v>17.870000000000474</v>
      </c>
      <c r="H21" s="55">
        <f>Gas!Q28/TOTAL!G21</f>
        <v>15840</v>
      </c>
      <c r="I21" s="54">
        <v>0</v>
      </c>
      <c r="J21" s="56">
        <v>10700</v>
      </c>
      <c r="K21" s="54">
        <f>Water!E28+Water!G28+Water!I28</f>
        <v>309</v>
      </c>
      <c r="L21" s="55">
        <f>Water!K28/TOTAL!K21</f>
        <v>4000</v>
      </c>
      <c r="M21" s="54">
        <f>Electricity!C27</f>
        <v>5</v>
      </c>
      <c r="N21" s="54">
        <f>Electricity!D27</f>
        <v>53</v>
      </c>
    </row>
    <row r="22" spans="1:14" ht="15">
      <c r="A22" s="51" t="s">
        <v>14</v>
      </c>
      <c r="B22" s="52">
        <f t="shared" si="0"/>
        <v>21</v>
      </c>
      <c r="C22" s="53">
        <v>10</v>
      </c>
      <c r="D22" s="52">
        <v>2021</v>
      </c>
      <c r="E22" s="54">
        <f>Electricity!F28+Electricity!I28</f>
        <v>7220.0000000000837</v>
      </c>
      <c r="F22" s="55">
        <f>Electricity!L28/TOTAL!E22</f>
        <v>1241.5960526315787</v>
      </c>
      <c r="G22" s="54">
        <f>Gas!F29+Gas!I29+Gas!L29+Gas!O29</f>
        <v>19.029999999999418</v>
      </c>
      <c r="H22" s="55">
        <f>Gas!Q29/TOTAL!G22</f>
        <v>15839.999999999998</v>
      </c>
      <c r="I22" s="54">
        <v>178</v>
      </c>
      <c r="J22" s="56">
        <v>10700</v>
      </c>
      <c r="K22" s="54">
        <f>Water!E29+Water!G29+Water!I29</f>
        <v>322</v>
      </c>
      <c r="L22" s="55">
        <f>Water!K29/TOTAL!K22</f>
        <v>4000</v>
      </c>
      <c r="M22" s="54">
        <f>Electricity!C28</f>
        <v>3</v>
      </c>
      <c r="N22" s="54">
        <f>Electricity!D28</f>
        <v>19</v>
      </c>
    </row>
    <row r="23" spans="1:14" ht="15">
      <c r="A23" s="51" t="s">
        <v>14</v>
      </c>
      <c r="B23" s="52">
        <f t="shared" si="0"/>
        <v>22</v>
      </c>
      <c r="C23" s="53">
        <v>10</v>
      </c>
      <c r="D23" s="52">
        <v>2021</v>
      </c>
      <c r="E23" s="54">
        <f>Electricity!F29+Electricity!I29</f>
        <v>7759.9999999999909</v>
      </c>
      <c r="F23" s="55">
        <f>Electricity!L29/TOTAL!E23</f>
        <v>1231.5244201030923</v>
      </c>
      <c r="G23" s="54">
        <f>Gas!F30+Gas!I30+Gas!L30+Gas!O30</f>
        <v>17.690000000000182</v>
      </c>
      <c r="H23" s="55">
        <f>Gas!Q30/TOTAL!G23</f>
        <v>15840</v>
      </c>
      <c r="I23" s="54">
        <v>0</v>
      </c>
      <c r="J23" s="56">
        <v>10700</v>
      </c>
      <c r="K23" s="54">
        <f>Water!E30+Water!G30+Water!I30</f>
        <v>300</v>
      </c>
      <c r="L23" s="55">
        <f>Water!K30/TOTAL!K23</f>
        <v>4000</v>
      </c>
      <c r="M23" s="54">
        <f>Electricity!C29</f>
        <v>5</v>
      </c>
      <c r="N23" s="54">
        <f>Electricity!D29</f>
        <v>20</v>
      </c>
    </row>
    <row r="24" spans="1:14" ht="15">
      <c r="A24" s="51" t="s">
        <v>14</v>
      </c>
      <c r="B24" s="52">
        <f t="shared" si="0"/>
        <v>23</v>
      </c>
      <c r="C24" s="53">
        <v>10</v>
      </c>
      <c r="D24" s="52">
        <v>2021</v>
      </c>
      <c r="E24" s="54">
        <f>Electricity!F30+Electricity!I30</f>
        <v>7779.9999999999727</v>
      </c>
      <c r="F24" s="55">
        <f>Electricity!L30/TOTAL!E24</f>
        <v>1229.8226221079703</v>
      </c>
      <c r="G24" s="54">
        <f>Gas!F31+Gas!I31+Gas!L31+Gas!O31</f>
        <v>21.860000000000255</v>
      </c>
      <c r="H24" s="55">
        <f>Gas!Q31/TOTAL!G24</f>
        <v>15840</v>
      </c>
      <c r="I24" s="54">
        <v>0</v>
      </c>
      <c r="J24" s="56">
        <v>10700</v>
      </c>
      <c r="K24" s="54">
        <f>Water!E31+Water!G31+Water!I31</f>
        <v>306</v>
      </c>
      <c r="L24" s="55">
        <f>Water!K31/TOTAL!K24</f>
        <v>4000</v>
      </c>
      <c r="M24" s="54">
        <f>Electricity!C30</f>
        <v>5</v>
      </c>
      <c r="N24" s="54">
        <f>Electricity!D30</f>
        <v>51</v>
      </c>
    </row>
    <row r="25" spans="1:14" ht="15">
      <c r="A25" s="51" t="s">
        <v>14</v>
      </c>
      <c r="B25" s="52">
        <f t="shared" si="0"/>
        <v>24</v>
      </c>
      <c r="C25" s="53">
        <v>10</v>
      </c>
      <c r="D25" s="52">
        <v>2021</v>
      </c>
      <c r="E25" s="54">
        <f>Electricity!F31+Electricity!I31</f>
        <v>7459.9999999997526</v>
      </c>
      <c r="F25" s="55">
        <f>Electricity!L31/TOTAL!E25</f>
        <v>1233.716353887399</v>
      </c>
      <c r="G25" s="54">
        <f>Gas!F32+Gas!I32+Gas!L32+Gas!O32</f>
        <v>17.089999999999819</v>
      </c>
      <c r="H25" s="55">
        <f>Gas!Q32/TOTAL!G25</f>
        <v>15840</v>
      </c>
      <c r="I25" s="54">
        <v>0</v>
      </c>
      <c r="J25" s="56">
        <v>10700</v>
      </c>
      <c r="K25" s="54">
        <f>Water!E32+Water!G32+Water!I32</f>
        <v>294</v>
      </c>
      <c r="L25" s="55">
        <f>Water!K32/TOTAL!K25</f>
        <v>4000</v>
      </c>
      <c r="M25" s="54">
        <f>Electricity!C31</f>
        <v>4</v>
      </c>
      <c r="N25" s="54">
        <f>Electricity!D31</f>
        <v>31</v>
      </c>
    </row>
    <row r="26" spans="1:14" ht="15">
      <c r="A26" s="51" t="s">
        <v>14</v>
      </c>
      <c r="B26" s="52">
        <f>B25+1</f>
        <v>25</v>
      </c>
      <c r="C26" s="53">
        <v>10</v>
      </c>
      <c r="D26" s="52">
        <v>2021</v>
      </c>
      <c r="E26" s="54">
        <f>Electricity!F32+Electricity!I32</f>
        <v>7540.000000000191</v>
      </c>
      <c r="F26" s="55">
        <f>Electricity!L32/TOTAL!E26</f>
        <v>1231.2012599469494</v>
      </c>
      <c r="G26" s="54">
        <f>Gas!F33+Gas!I33+Gas!L33+Gas!O33</f>
        <v>20.450000000000401</v>
      </c>
      <c r="H26" s="55">
        <f>Gas!Q33/TOTAL!G26</f>
        <v>15840</v>
      </c>
      <c r="I26" s="54">
        <v>0</v>
      </c>
      <c r="J26" s="56">
        <v>10700</v>
      </c>
      <c r="K26" s="54">
        <f>Water!E33+Water!G33+Water!I33</f>
        <v>337</v>
      </c>
      <c r="L26" s="55">
        <f>Water!K33/TOTAL!K26</f>
        <v>4000</v>
      </c>
      <c r="M26" s="54">
        <f>Electricity!C32</f>
        <v>4</v>
      </c>
      <c r="N26" s="54">
        <f>Electricity!D32</f>
        <v>25</v>
      </c>
    </row>
    <row r="27" spans="1:14" ht="15">
      <c r="A27" s="51" t="s">
        <v>14</v>
      </c>
      <c r="B27" s="52">
        <f t="shared" si="0"/>
        <v>26</v>
      </c>
      <c r="C27" s="53">
        <v>10</v>
      </c>
      <c r="D27" s="52">
        <v>2021</v>
      </c>
      <c r="E27" s="54">
        <f>Electricity!F33+Electricity!I33</f>
        <v>7640.0000000001564</v>
      </c>
      <c r="F27" s="55">
        <f>Electricity!L33/TOTAL!E27</f>
        <v>1235.9587041884804</v>
      </c>
      <c r="G27" s="54">
        <f>Gas!F34+Gas!I34+Gas!L34+Gas!O34</f>
        <v>19.529999999999418</v>
      </c>
      <c r="H27" s="55">
        <f>Gas!Q34/TOTAL!G27</f>
        <v>15839.999999999998</v>
      </c>
      <c r="I27" s="54">
        <v>0</v>
      </c>
      <c r="J27" s="56">
        <v>10700</v>
      </c>
      <c r="K27" s="54">
        <f>Water!E34+Water!G34+Water!I34</f>
        <v>298</v>
      </c>
      <c r="L27" s="55">
        <f>Water!K34/TOTAL!K27</f>
        <v>4000</v>
      </c>
      <c r="M27" s="54">
        <f>Electricity!C33</f>
        <v>6</v>
      </c>
      <c r="N27" s="54">
        <f>Electricity!D33</f>
        <v>23</v>
      </c>
    </row>
    <row r="28" spans="1:14" ht="15">
      <c r="A28" s="51" t="s">
        <v>14</v>
      </c>
      <c r="B28" s="52">
        <f t="shared" si="0"/>
        <v>27</v>
      </c>
      <c r="C28" s="53">
        <v>10</v>
      </c>
      <c r="D28" s="52">
        <v>2021</v>
      </c>
      <c r="E28" s="54">
        <f>Electricity!F34+Electricity!I34</f>
        <v>7699.9999999999891</v>
      </c>
      <c r="F28" s="55">
        <f>Electricity!L34/TOTAL!E28</f>
        <v>1226.327857142858</v>
      </c>
      <c r="G28" s="54">
        <f>Gas!F35+Gas!I35+Gas!L35+Gas!O35</f>
        <v>19.77000000000011</v>
      </c>
      <c r="H28" s="55">
        <f>Gas!Q35/TOTAL!G28</f>
        <v>15840</v>
      </c>
      <c r="I28" s="54">
        <v>0</v>
      </c>
      <c r="J28" s="56">
        <v>10700</v>
      </c>
      <c r="K28" s="54">
        <f>Water!E35+Water!G35+Water!I35</f>
        <v>322</v>
      </c>
      <c r="L28" s="55">
        <f>Water!K35/TOTAL!K28</f>
        <v>4000</v>
      </c>
      <c r="M28" s="54">
        <f>Electricity!C34</f>
        <v>5</v>
      </c>
      <c r="N28" s="54">
        <f>Electricity!D34</f>
        <v>49</v>
      </c>
    </row>
    <row r="29" spans="1:14" ht="15">
      <c r="A29" s="51" t="s">
        <v>14</v>
      </c>
      <c r="B29" s="52">
        <f t="shared" si="0"/>
        <v>28</v>
      </c>
      <c r="C29" s="53">
        <v>10</v>
      </c>
      <c r="D29" s="52">
        <v>2021</v>
      </c>
      <c r="E29" s="54">
        <f>Electricity!F35+Electricity!I35</f>
        <v>7379.9999999998818</v>
      </c>
      <c r="F29" s="55">
        <f>Electricity!L35/TOTAL!E29</f>
        <v>1239.3728319783179</v>
      </c>
      <c r="G29" s="54">
        <f>Gas!F36+Gas!I36+Gas!L36+Gas!O36</f>
        <v>20.02000000000011</v>
      </c>
      <c r="H29" s="55">
        <f>Gas!Q36/TOTAL!G29</f>
        <v>15840</v>
      </c>
      <c r="I29" s="54">
        <v>0</v>
      </c>
      <c r="J29" s="56">
        <v>10700</v>
      </c>
      <c r="K29" s="54">
        <f>Water!E36+Water!G36+Water!I36</f>
        <v>320</v>
      </c>
      <c r="L29" s="55">
        <f>Water!K36/TOTAL!K29</f>
        <v>4000</v>
      </c>
      <c r="M29" s="54">
        <f>Electricity!C35</f>
        <v>8</v>
      </c>
      <c r="N29" s="54">
        <f>Electricity!D35</f>
        <v>41</v>
      </c>
    </row>
    <row r="30" spans="1:14" ht="15">
      <c r="A30" s="51" t="s">
        <v>14</v>
      </c>
      <c r="B30" s="52">
        <f t="shared" si="0"/>
        <v>29</v>
      </c>
      <c r="C30" s="53">
        <v>10</v>
      </c>
      <c r="D30" s="52">
        <v>2021</v>
      </c>
      <c r="E30" s="54">
        <f>Electricity!F36+Electricity!I36</f>
        <v>8099.9999999998527</v>
      </c>
      <c r="F30" s="55">
        <f>Electricity!L36/TOTAL!E30</f>
        <v>1238.8926543209907</v>
      </c>
      <c r="G30" s="54">
        <f>Gas!F37+Gas!I37+Gas!L37+Gas!O37</f>
        <v>20.409999999999528</v>
      </c>
      <c r="H30" s="55">
        <f>Gas!Q37/TOTAL!G30</f>
        <v>15840</v>
      </c>
      <c r="I30" s="54">
        <v>0</v>
      </c>
      <c r="J30" s="56">
        <v>10700</v>
      </c>
      <c r="K30" s="54">
        <f>Water!E37+Water!G37+Water!I37</f>
        <v>325</v>
      </c>
      <c r="L30" s="55">
        <f>Water!K37/TOTAL!K30</f>
        <v>4000</v>
      </c>
      <c r="M30" s="54">
        <f>Electricity!C36</f>
        <v>14</v>
      </c>
      <c r="N30" s="54">
        <f>Electricity!D36</f>
        <v>58</v>
      </c>
    </row>
    <row r="31" spans="1:14" ht="15">
      <c r="A31" s="51" t="s">
        <v>14</v>
      </c>
      <c r="B31" s="52">
        <f>B30+1</f>
        <v>30</v>
      </c>
      <c r="C31" s="53">
        <v>10</v>
      </c>
      <c r="D31" s="52">
        <v>2021</v>
      </c>
      <c r="E31" s="54">
        <f>Electricity!F37+Electricity!I37</f>
        <v>8060.0000000002292</v>
      </c>
      <c r="F31" s="55">
        <f>Electricity!L37/TOTAL!E31</f>
        <v>1230.9088709677405</v>
      </c>
      <c r="G31" s="54">
        <f>Gas!F38+Gas!I38+Gas!L38+Gas!O38</f>
        <v>20.230000000000146</v>
      </c>
      <c r="H31" s="55">
        <f>Gas!Q38/TOTAL!G31</f>
        <v>15839.999999999998</v>
      </c>
      <c r="I31" s="54">
        <v>0</v>
      </c>
      <c r="J31" s="56">
        <v>10700</v>
      </c>
      <c r="K31" s="54">
        <f>Water!E38+Water!G38+Water!I38</f>
        <v>304</v>
      </c>
      <c r="L31" s="55">
        <f>Water!K38/TOTAL!K31</f>
        <v>4000</v>
      </c>
      <c r="M31" s="54">
        <f>Electricity!C37</f>
        <v>10</v>
      </c>
      <c r="N31" s="54">
        <f>Electricity!D37</f>
        <v>57</v>
      </c>
    </row>
    <row r="32" spans="1:14" ht="15">
      <c r="A32" s="51" t="s">
        <v>14</v>
      </c>
      <c r="B32" s="52">
        <f>B31+1</f>
        <v>31</v>
      </c>
      <c r="C32" s="53">
        <v>10</v>
      </c>
      <c r="D32" s="52">
        <v>2021</v>
      </c>
      <c r="E32" s="54">
        <f>Electricity!F38+Electricity!I38</f>
        <v>7859.9999999999563</v>
      </c>
      <c r="F32" s="55">
        <f>Electricity!L38/TOTAL!E32</f>
        <v>1233.2462468193398</v>
      </c>
      <c r="G32" s="54">
        <f>Gas!F39+Gas!I39+Gas!L39+Gas!O39</f>
        <v>18.320000000000292</v>
      </c>
      <c r="H32" s="55">
        <f>Gas!Q39/TOTAL!G32</f>
        <v>15839.999999999998</v>
      </c>
      <c r="I32" s="54">
        <v>0</v>
      </c>
      <c r="J32" s="56">
        <v>10700</v>
      </c>
      <c r="K32" s="54">
        <f>Water!E39+Water!G39+Water!I39</f>
        <v>290</v>
      </c>
      <c r="L32" s="55">
        <f>Water!K39/TOTAL!K32</f>
        <v>4000</v>
      </c>
      <c r="M32" s="54">
        <f>Electricity!C38</f>
        <v>8</v>
      </c>
      <c r="N32" s="54">
        <f>Electricity!D38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9" activePane="bottomRight" state="frozen"/>
      <selection pane="bottomRight" activeCell="M27" sqref="M27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1" t="s">
        <v>15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45"/>
      <c r="N1" s="45"/>
    </row>
    <row r="2" spans="1:14" ht="15.75"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45"/>
      <c r="N2" s="45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5"/>
      <c r="N3" s="45"/>
    </row>
    <row r="4" spans="1:14">
      <c r="A4" s="7"/>
      <c r="B4" s="83">
        <v>44470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7"/>
    </row>
    <row r="5" spans="1:14" ht="23.25" customHeight="1">
      <c r="A5" s="67"/>
      <c r="B5" s="80" t="s">
        <v>17</v>
      </c>
      <c r="C5" s="80" t="s">
        <v>18</v>
      </c>
      <c r="D5" s="80" t="s">
        <v>13</v>
      </c>
      <c r="E5" s="84" t="s">
        <v>19</v>
      </c>
      <c r="F5" s="84"/>
      <c r="G5" s="84"/>
      <c r="H5" s="82" t="s">
        <v>20</v>
      </c>
      <c r="I5" s="82"/>
      <c r="J5" s="82"/>
      <c r="K5" s="80" t="s">
        <v>21</v>
      </c>
      <c r="L5" s="80" t="s">
        <v>22</v>
      </c>
      <c r="M5" s="80" t="s">
        <v>23</v>
      </c>
      <c r="N5" s="57"/>
    </row>
    <row r="6" spans="1:14" s="6" customFormat="1" ht="48" customHeight="1">
      <c r="A6" s="67"/>
      <c r="B6" s="80"/>
      <c r="C6" s="80"/>
      <c r="D6" s="80"/>
      <c r="E6" s="80" t="s">
        <v>24</v>
      </c>
      <c r="F6" s="80" t="s">
        <v>25</v>
      </c>
      <c r="G6" s="80" t="s">
        <v>26</v>
      </c>
      <c r="H6" s="80" t="s">
        <v>24</v>
      </c>
      <c r="I6" s="80" t="s">
        <v>25</v>
      </c>
      <c r="J6" s="80" t="s">
        <v>27</v>
      </c>
      <c r="K6" s="80"/>
      <c r="L6" s="80"/>
      <c r="M6" s="80"/>
      <c r="N6" s="57"/>
    </row>
    <row r="7" spans="1:14" ht="15.75" customHeight="1">
      <c r="A7" s="68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58"/>
    </row>
    <row r="8" spans="1:14" ht="15.75" customHeight="1">
      <c r="A8" s="68"/>
      <c r="B8" s="65">
        <v>1</v>
      </c>
      <c r="C8" s="28">
        <v>11</v>
      </c>
      <c r="D8" s="28">
        <v>98</v>
      </c>
      <c r="E8" s="10">
        <v>3.0799999999999272</v>
      </c>
      <c r="F8" s="11">
        <f t="shared" ref="F8:F37" si="0">E8*2000</f>
        <v>6159.9999999998545</v>
      </c>
      <c r="G8" s="3">
        <f t="shared" ref="G8:G37" si="1">F8*1035.5</f>
        <v>6378679.9999998491</v>
      </c>
      <c r="H8" s="10">
        <v>0.62999999999999545</v>
      </c>
      <c r="I8" s="11">
        <f t="shared" ref="I8:I15" si="2">H8*2000</f>
        <v>1259.9999999999909</v>
      </c>
      <c r="J8" s="3">
        <f t="shared" ref="J8:J15" si="3">I8*1553.25</f>
        <v>1957094.9999999858</v>
      </c>
      <c r="K8" s="10">
        <f t="shared" ref="K8:K15" si="4">G8+J8</f>
        <v>8335774.9999998352</v>
      </c>
      <c r="L8" s="12">
        <f t="shared" ref="L8:L15" si="5">K8*1.1</f>
        <v>9169352.4999998193</v>
      </c>
      <c r="M8" s="73">
        <f>L8/14306</f>
        <v>640.94453376204524</v>
      </c>
      <c r="N8" s="72"/>
    </row>
    <row r="9" spans="1:14" ht="17.100000000000001" customHeight="1">
      <c r="A9" s="68"/>
      <c r="B9" s="65">
        <v>2</v>
      </c>
      <c r="C9" s="28">
        <v>19</v>
      </c>
      <c r="D9" s="28">
        <v>59</v>
      </c>
      <c r="E9" s="10">
        <v>2.9200000000000728</v>
      </c>
      <c r="F9" s="11">
        <f t="shared" si="0"/>
        <v>5840.0000000001455</v>
      </c>
      <c r="G9" s="3">
        <f t="shared" si="1"/>
        <v>6047320.0000001509</v>
      </c>
      <c r="H9" s="10">
        <v>0.64000000000001478</v>
      </c>
      <c r="I9" s="11">
        <f t="shared" si="2"/>
        <v>1280.0000000000296</v>
      </c>
      <c r="J9" s="3">
        <f t="shared" si="3"/>
        <v>1988160.0000000459</v>
      </c>
      <c r="K9" s="10">
        <f t="shared" si="4"/>
        <v>8035480.0000001965</v>
      </c>
      <c r="L9" s="12">
        <f t="shared" si="5"/>
        <v>8839028.0000002161</v>
      </c>
      <c r="M9" s="73">
        <f t="shared" ref="M9:M37" si="6">L9/14306</f>
        <v>617.85460645884359</v>
      </c>
      <c r="N9" s="72"/>
    </row>
    <row r="10" spans="1:14" ht="17.100000000000001" customHeight="1">
      <c r="A10" s="68"/>
      <c r="B10" s="65">
        <v>3</v>
      </c>
      <c r="C10" s="28">
        <v>13</v>
      </c>
      <c r="D10" s="28">
        <v>82</v>
      </c>
      <c r="E10" s="10">
        <v>3</v>
      </c>
      <c r="F10" s="11">
        <f t="shared" si="0"/>
        <v>6000</v>
      </c>
      <c r="G10" s="3">
        <f t="shared" si="1"/>
        <v>6213000</v>
      </c>
      <c r="H10" s="10">
        <v>0.62000000000000455</v>
      </c>
      <c r="I10" s="11">
        <f t="shared" si="2"/>
        <v>1240.0000000000091</v>
      </c>
      <c r="J10" s="3">
        <f t="shared" si="3"/>
        <v>1926030.0000000142</v>
      </c>
      <c r="K10" s="10">
        <f t="shared" si="4"/>
        <v>8139030.000000014</v>
      </c>
      <c r="L10" s="12">
        <f t="shared" si="5"/>
        <v>8952933.0000000168</v>
      </c>
      <c r="M10" s="73">
        <f t="shared" si="6"/>
        <v>625.81665035649496</v>
      </c>
      <c r="N10" s="72"/>
    </row>
    <row r="11" spans="1:14" ht="17.100000000000001" customHeight="1">
      <c r="A11" s="68"/>
      <c r="B11" s="65">
        <v>4</v>
      </c>
      <c r="C11" s="28">
        <v>7</v>
      </c>
      <c r="D11" s="28">
        <v>78</v>
      </c>
      <c r="E11" s="10">
        <v>3.0799999999999272</v>
      </c>
      <c r="F11" s="11">
        <f t="shared" si="0"/>
        <v>6159.9999999998545</v>
      </c>
      <c r="G11" s="3">
        <f t="shared" si="1"/>
        <v>6378679.9999998491</v>
      </c>
      <c r="H11" s="10">
        <v>0.56999999999999318</v>
      </c>
      <c r="I11" s="11">
        <f t="shared" si="2"/>
        <v>1139.9999999999864</v>
      </c>
      <c r="J11" s="3">
        <f t="shared" si="3"/>
        <v>1770704.9999999788</v>
      </c>
      <c r="K11" s="10">
        <f t="shared" si="4"/>
        <v>8149384.9999998277</v>
      </c>
      <c r="L11" s="12">
        <f t="shared" si="5"/>
        <v>8964323.4999998119</v>
      </c>
      <c r="M11" s="73">
        <f t="shared" si="6"/>
        <v>626.61285474624719</v>
      </c>
      <c r="N11" s="72"/>
    </row>
    <row r="12" spans="1:14" ht="17.100000000000001" customHeight="1">
      <c r="A12" s="68"/>
      <c r="B12" s="65">
        <v>5</v>
      </c>
      <c r="C12" s="28">
        <v>5</v>
      </c>
      <c r="D12" s="28">
        <v>32</v>
      </c>
      <c r="E12" s="10">
        <v>2.6400000000001</v>
      </c>
      <c r="F12" s="11">
        <f t="shared" si="0"/>
        <v>5280.0000000002001</v>
      </c>
      <c r="G12" s="3">
        <f t="shared" si="1"/>
        <v>5467440.0000002068</v>
      </c>
      <c r="H12" s="10">
        <v>0.49000000000000909</v>
      </c>
      <c r="I12" s="11">
        <f t="shared" si="2"/>
        <v>980.00000000001819</v>
      </c>
      <c r="J12" s="3">
        <f t="shared" si="3"/>
        <v>1522185.0000000282</v>
      </c>
      <c r="K12" s="10">
        <f t="shared" si="4"/>
        <v>6989625.0000002347</v>
      </c>
      <c r="L12" s="12">
        <f t="shared" si="5"/>
        <v>7688587.5000002589</v>
      </c>
      <c r="M12" s="73">
        <f t="shared" si="6"/>
        <v>537.43796309242691</v>
      </c>
      <c r="N12" s="72"/>
    </row>
    <row r="13" spans="1:14" ht="17.100000000000001" customHeight="1">
      <c r="A13" s="68"/>
      <c r="B13" s="65">
        <v>6</v>
      </c>
      <c r="C13" s="28">
        <v>7</v>
      </c>
      <c r="D13" s="28">
        <v>25</v>
      </c>
      <c r="E13" s="10">
        <v>2.5099999999999909</v>
      </c>
      <c r="F13" s="11">
        <f t="shared" si="0"/>
        <v>5019.9999999999818</v>
      </c>
      <c r="G13" s="3">
        <f t="shared" si="1"/>
        <v>5198209.9999999814</v>
      </c>
      <c r="H13" s="10">
        <v>0.51999999999998181</v>
      </c>
      <c r="I13" s="11">
        <f t="shared" si="2"/>
        <v>1039.9999999999636</v>
      </c>
      <c r="J13" s="3">
        <f t="shared" si="3"/>
        <v>1615379.9999999434</v>
      </c>
      <c r="K13" s="10">
        <f t="shared" si="4"/>
        <v>6813589.9999999246</v>
      </c>
      <c r="L13" s="12">
        <f t="shared" si="5"/>
        <v>7494948.999999918</v>
      </c>
      <c r="M13" s="73">
        <f t="shared" si="6"/>
        <v>523.90248846637201</v>
      </c>
      <c r="N13" s="72"/>
    </row>
    <row r="14" spans="1:14" ht="17.100000000000001" customHeight="1">
      <c r="A14" s="68"/>
      <c r="B14" s="65">
        <v>7</v>
      </c>
      <c r="C14" s="28">
        <v>10</v>
      </c>
      <c r="D14" s="28">
        <v>33</v>
      </c>
      <c r="E14" s="10">
        <v>2.6699999999998454</v>
      </c>
      <c r="F14" s="11">
        <f t="shared" si="0"/>
        <v>5339.9999999996908</v>
      </c>
      <c r="G14" s="3">
        <f t="shared" si="1"/>
        <v>5529569.9999996796</v>
      </c>
      <c r="H14" s="10">
        <v>0.53000000000000114</v>
      </c>
      <c r="I14" s="11">
        <f t="shared" si="2"/>
        <v>1060.0000000000023</v>
      </c>
      <c r="J14" s="3">
        <f t="shared" si="3"/>
        <v>1646445.0000000035</v>
      </c>
      <c r="K14" s="10">
        <f t="shared" si="4"/>
        <v>7176014.9999996834</v>
      </c>
      <c r="L14" s="12">
        <f t="shared" si="5"/>
        <v>7893616.4999996526</v>
      </c>
      <c r="M14" s="73">
        <f t="shared" si="6"/>
        <v>551.7696421081821</v>
      </c>
      <c r="N14" s="72"/>
    </row>
    <row r="15" spans="1:14" ht="17.100000000000001" customHeight="1">
      <c r="A15" s="68"/>
      <c r="B15" s="65">
        <v>8</v>
      </c>
      <c r="C15" s="28">
        <v>10</v>
      </c>
      <c r="D15" s="28">
        <v>46</v>
      </c>
      <c r="E15" s="10">
        <v>2.8700000000001182</v>
      </c>
      <c r="F15" s="11">
        <f t="shared" si="0"/>
        <v>5740.0000000002365</v>
      </c>
      <c r="G15" s="3">
        <f t="shared" si="1"/>
        <v>5943770.0000002449</v>
      </c>
      <c r="H15" s="10">
        <v>0.5700000000000216</v>
      </c>
      <c r="I15" s="11">
        <f t="shared" si="2"/>
        <v>1140.0000000000432</v>
      </c>
      <c r="J15" s="3">
        <f t="shared" si="3"/>
        <v>1770705.0000000671</v>
      </c>
      <c r="K15" s="10">
        <f t="shared" si="4"/>
        <v>7714475.000000312</v>
      </c>
      <c r="L15" s="12">
        <f t="shared" si="5"/>
        <v>8485922.5000003446</v>
      </c>
      <c r="M15" s="73">
        <f t="shared" si="6"/>
        <v>593.17227037609007</v>
      </c>
      <c r="N15" s="72"/>
    </row>
    <row r="16" spans="1:14" ht="17.100000000000001" customHeight="1">
      <c r="A16" s="68"/>
      <c r="B16" s="65">
        <v>9</v>
      </c>
      <c r="C16" s="28">
        <v>7</v>
      </c>
      <c r="D16" s="28">
        <v>50</v>
      </c>
      <c r="E16" s="10">
        <v>2.8299999999999272</v>
      </c>
      <c r="F16" s="11">
        <f t="shared" si="0"/>
        <v>5659.9999999998545</v>
      </c>
      <c r="G16" s="3">
        <f t="shared" si="1"/>
        <v>5860929.9999998491</v>
      </c>
      <c r="H16" s="10">
        <v>0.58999999999997499</v>
      </c>
      <c r="I16" s="11">
        <f t="shared" ref="I16:I37" si="7">H16*2000</f>
        <v>1179.99999999995</v>
      </c>
      <c r="J16" s="3">
        <f t="shared" ref="J16:J37" si="8">I16*1553.25</f>
        <v>1832834.9999999222</v>
      </c>
      <c r="K16" s="10">
        <f t="shared" ref="K16:K37" si="9">G16+J16</f>
        <v>7693764.9999997709</v>
      </c>
      <c r="L16" s="12">
        <f t="shared" ref="L16:L37" si="10">K16*1.1</f>
        <v>8463141.4999997485</v>
      </c>
      <c r="M16" s="73">
        <f t="shared" si="6"/>
        <v>591.57986159651534</v>
      </c>
      <c r="N16" s="72"/>
    </row>
    <row r="17" spans="1:14" ht="17.100000000000001" customHeight="1">
      <c r="A17" s="68"/>
      <c r="B17" s="65">
        <v>10</v>
      </c>
      <c r="C17" s="28">
        <v>9</v>
      </c>
      <c r="D17" s="28">
        <v>47</v>
      </c>
      <c r="E17" s="10">
        <v>3.0899999999999181</v>
      </c>
      <c r="F17" s="11">
        <f t="shared" si="0"/>
        <v>6179.9999999998363</v>
      </c>
      <c r="G17" s="3">
        <f t="shared" si="1"/>
        <v>6399389.9999998305</v>
      </c>
      <c r="H17" s="10">
        <v>0.59000000000000341</v>
      </c>
      <c r="I17" s="11">
        <f t="shared" si="7"/>
        <v>1180.0000000000068</v>
      </c>
      <c r="J17" s="3">
        <f t="shared" si="8"/>
        <v>1832835.0000000107</v>
      </c>
      <c r="K17" s="10">
        <f t="shared" si="9"/>
        <v>8232224.9999998417</v>
      </c>
      <c r="L17" s="12">
        <f t="shared" si="10"/>
        <v>9055447.4999998268</v>
      </c>
      <c r="M17" s="73">
        <f t="shared" si="6"/>
        <v>632.98248986438045</v>
      </c>
      <c r="N17" s="72"/>
    </row>
    <row r="18" spans="1:14" ht="17.100000000000001" customHeight="1">
      <c r="A18" s="68"/>
      <c r="B18" s="65">
        <v>11</v>
      </c>
      <c r="C18" s="28">
        <v>10</v>
      </c>
      <c r="D18" s="28">
        <v>42</v>
      </c>
      <c r="E18" s="10">
        <v>2.8700000000001182</v>
      </c>
      <c r="F18" s="11">
        <f t="shared" si="0"/>
        <v>5740.0000000002365</v>
      </c>
      <c r="G18" s="3">
        <f t="shared" si="1"/>
        <v>5943770.0000002449</v>
      </c>
      <c r="H18" s="10">
        <v>0.59999999999999432</v>
      </c>
      <c r="I18" s="11">
        <f t="shared" si="7"/>
        <v>1199.9999999999886</v>
      </c>
      <c r="J18" s="3">
        <f t="shared" si="8"/>
        <v>1863899.9999999823</v>
      </c>
      <c r="K18" s="10">
        <f t="shared" si="9"/>
        <v>7807670.0000002272</v>
      </c>
      <c r="L18" s="12">
        <f t="shared" si="10"/>
        <v>8588437.0000002515</v>
      </c>
      <c r="M18" s="73">
        <f t="shared" si="6"/>
        <v>600.33810988398238</v>
      </c>
      <c r="N18" s="72"/>
    </row>
    <row r="19" spans="1:14" ht="17.100000000000001" customHeight="1">
      <c r="A19" s="68"/>
      <c r="B19" s="65">
        <v>12</v>
      </c>
      <c r="C19" s="28">
        <v>6</v>
      </c>
      <c r="D19" s="28">
        <v>50</v>
      </c>
      <c r="E19" s="10">
        <v>3</v>
      </c>
      <c r="F19" s="11">
        <f t="shared" si="0"/>
        <v>6000</v>
      </c>
      <c r="G19" s="3">
        <f t="shared" si="1"/>
        <v>6213000</v>
      </c>
      <c r="H19" s="10">
        <v>0.60000000000002274</v>
      </c>
      <c r="I19" s="11">
        <f t="shared" si="7"/>
        <v>1200.0000000000455</v>
      </c>
      <c r="J19" s="3">
        <f t="shared" si="8"/>
        <v>1863900.0000000705</v>
      </c>
      <c r="K19" s="10">
        <f t="shared" si="9"/>
        <v>8076900.0000000708</v>
      </c>
      <c r="L19" s="12">
        <f t="shared" si="10"/>
        <v>8884590.0000000782</v>
      </c>
      <c r="M19" s="73">
        <f t="shared" si="6"/>
        <v>621.03942401790005</v>
      </c>
      <c r="N19" s="72"/>
    </row>
    <row r="20" spans="1:14" ht="17.100000000000001" customHeight="1">
      <c r="A20" s="68"/>
      <c r="B20" s="65">
        <v>13</v>
      </c>
      <c r="C20" s="28">
        <v>2</v>
      </c>
      <c r="D20" s="28">
        <v>28</v>
      </c>
      <c r="E20" s="10">
        <v>2.6600000000000819</v>
      </c>
      <c r="F20" s="11">
        <f t="shared" si="0"/>
        <v>5320.0000000001637</v>
      </c>
      <c r="G20" s="3">
        <f t="shared" si="1"/>
        <v>5508860.0000001695</v>
      </c>
      <c r="H20" s="10">
        <v>0.54999999999998295</v>
      </c>
      <c r="I20" s="11">
        <f t="shared" si="7"/>
        <v>1099.9999999999659</v>
      </c>
      <c r="J20" s="3">
        <f t="shared" si="8"/>
        <v>1708574.9999999469</v>
      </c>
      <c r="K20" s="10">
        <f t="shared" si="9"/>
        <v>7217435.0000001164</v>
      </c>
      <c r="L20" s="12">
        <f t="shared" si="10"/>
        <v>7939178.5000001285</v>
      </c>
      <c r="M20" s="73">
        <f t="shared" si="6"/>
        <v>554.95445966728141</v>
      </c>
      <c r="N20" s="72"/>
    </row>
    <row r="21" spans="1:14" ht="17.100000000000001" customHeight="1">
      <c r="A21" s="68"/>
      <c r="B21" s="65">
        <v>14</v>
      </c>
      <c r="C21" s="28">
        <v>4</v>
      </c>
      <c r="D21" s="28">
        <v>14</v>
      </c>
      <c r="E21" s="10">
        <v>2.8499999999999091</v>
      </c>
      <c r="F21" s="11">
        <f t="shared" si="0"/>
        <v>5699.9999999998181</v>
      </c>
      <c r="G21" s="3">
        <f t="shared" si="1"/>
        <v>5902349.9999998119</v>
      </c>
      <c r="H21" s="10">
        <v>0.59999999999999432</v>
      </c>
      <c r="I21" s="11">
        <f t="shared" si="7"/>
        <v>1199.9999999999886</v>
      </c>
      <c r="J21" s="3">
        <f t="shared" si="8"/>
        <v>1863899.9999999823</v>
      </c>
      <c r="K21" s="10">
        <f t="shared" si="9"/>
        <v>7766249.9999997942</v>
      </c>
      <c r="L21" s="12">
        <f t="shared" si="10"/>
        <v>8542874.9999997746</v>
      </c>
      <c r="M21" s="73">
        <f t="shared" si="6"/>
        <v>597.15329232488284</v>
      </c>
      <c r="N21" s="72"/>
    </row>
    <row r="22" spans="1:14" ht="17.100000000000001" customHeight="1">
      <c r="A22" s="68"/>
      <c r="B22" s="65">
        <v>15</v>
      </c>
      <c r="C22" s="28">
        <v>8</v>
      </c>
      <c r="D22" s="28">
        <v>26</v>
      </c>
      <c r="E22" s="10">
        <v>3.0799999999999272</v>
      </c>
      <c r="F22" s="11">
        <f t="shared" si="0"/>
        <v>6159.9999999998545</v>
      </c>
      <c r="G22" s="3">
        <f t="shared" si="1"/>
        <v>6378679.9999998491</v>
      </c>
      <c r="H22" s="10">
        <v>0.63000000000002387</v>
      </c>
      <c r="I22" s="11">
        <f t="shared" si="7"/>
        <v>1260.0000000000477</v>
      </c>
      <c r="J22" s="3">
        <f t="shared" si="8"/>
        <v>1957095.0000000743</v>
      </c>
      <c r="K22" s="10">
        <f t="shared" si="9"/>
        <v>8335774.9999999236</v>
      </c>
      <c r="L22" s="12">
        <f t="shared" si="10"/>
        <v>9169352.4999999162</v>
      </c>
      <c r="M22" s="73">
        <f t="shared" si="6"/>
        <v>640.94453376205206</v>
      </c>
      <c r="N22" s="72"/>
    </row>
    <row r="23" spans="1:14" ht="17.100000000000001" customHeight="1">
      <c r="A23" s="68"/>
      <c r="B23" s="65">
        <v>16</v>
      </c>
      <c r="C23" s="28">
        <v>11</v>
      </c>
      <c r="D23" s="28">
        <v>54</v>
      </c>
      <c r="E23" s="10">
        <v>3.2300000000000182</v>
      </c>
      <c r="F23" s="11">
        <f t="shared" si="0"/>
        <v>6460.0000000000364</v>
      </c>
      <c r="G23" s="3">
        <f t="shared" si="1"/>
        <v>6689330.0000000373</v>
      </c>
      <c r="H23" s="10">
        <v>0.65999999999999659</v>
      </c>
      <c r="I23" s="11">
        <f t="shared" si="7"/>
        <v>1319.9999999999932</v>
      </c>
      <c r="J23" s="3">
        <f t="shared" si="8"/>
        <v>2050289.9999999893</v>
      </c>
      <c r="K23" s="10">
        <f t="shared" si="9"/>
        <v>8739620.0000000261</v>
      </c>
      <c r="L23" s="12">
        <f t="shared" si="10"/>
        <v>9613582.0000000298</v>
      </c>
      <c r="M23" s="73">
        <f t="shared" si="6"/>
        <v>671.99650496295465</v>
      </c>
      <c r="N23" s="72"/>
    </row>
    <row r="24" spans="1:14" ht="17.100000000000001" customHeight="1">
      <c r="A24" s="68"/>
      <c r="B24" s="65">
        <v>17</v>
      </c>
      <c r="C24" s="28">
        <v>9</v>
      </c>
      <c r="D24" s="28">
        <v>51</v>
      </c>
      <c r="E24" s="10">
        <v>3.1900000000000546</v>
      </c>
      <c r="F24" s="11">
        <f t="shared" si="0"/>
        <v>6380.0000000001091</v>
      </c>
      <c r="G24" s="3">
        <f t="shared" si="1"/>
        <v>6606490.0000001127</v>
      </c>
      <c r="H24" s="10">
        <v>0.59000000000000341</v>
      </c>
      <c r="I24" s="11">
        <f t="shared" si="7"/>
        <v>1180.0000000000068</v>
      </c>
      <c r="J24" s="3">
        <f t="shared" si="8"/>
        <v>1832835.0000000107</v>
      </c>
      <c r="K24" s="10">
        <f t="shared" si="9"/>
        <v>8439325.0000001229</v>
      </c>
      <c r="L24" s="12">
        <f t="shared" si="10"/>
        <v>9283257.500000136</v>
      </c>
      <c r="M24" s="73">
        <f t="shared" si="6"/>
        <v>648.90657765973265</v>
      </c>
      <c r="N24" s="72"/>
    </row>
    <row r="25" spans="1:14" ht="17.100000000000001" customHeight="1">
      <c r="A25" s="68"/>
      <c r="B25" s="65">
        <v>18</v>
      </c>
      <c r="C25" s="28">
        <v>9</v>
      </c>
      <c r="D25" s="28">
        <v>55</v>
      </c>
      <c r="E25" s="10">
        <v>4.1300000000001091</v>
      </c>
      <c r="F25" s="11">
        <f t="shared" si="0"/>
        <v>8260.0000000002183</v>
      </c>
      <c r="G25" s="3">
        <f t="shared" si="1"/>
        <v>8553230.0000002254</v>
      </c>
      <c r="H25" s="10">
        <v>0.62999999999999545</v>
      </c>
      <c r="I25" s="11">
        <f t="shared" si="7"/>
        <v>1259.9999999999909</v>
      </c>
      <c r="J25" s="3">
        <f t="shared" si="8"/>
        <v>1957094.9999999858</v>
      </c>
      <c r="K25" s="10">
        <f t="shared" si="9"/>
        <v>10510325.00000021</v>
      </c>
      <c r="L25" s="12">
        <f t="shared" si="10"/>
        <v>11561357.500000233</v>
      </c>
      <c r="M25" s="73">
        <f t="shared" si="6"/>
        <v>808.14745561304574</v>
      </c>
      <c r="N25" s="72"/>
    </row>
    <row r="26" spans="1:14" ht="17.100000000000001" customHeight="1">
      <c r="A26" s="68"/>
      <c r="B26" s="65">
        <v>19</v>
      </c>
      <c r="C26" s="28">
        <v>7</v>
      </c>
      <c r="D26" s="28">
        <v>53</v>
      </c>
      <c r="E26" s="10">
        <v>2.0399999999999636</v>
      </c>
      <c r="F26" s="11">
        <f t="shared" si="0"/>
        <v>4079.9999999999272</v>
      </c>
      <c r="G26" s="3">
        <f t="shared" si="1"/>
        <v>4224839.9999999246</v>
      </c>
      <c r="H26" s="10">
        <v>0.62000000000000455</v>
      </c>
      <c r="I26" s="11">
        <f t="shared" si="7"/>
        <v>1240.0000000000091</v>
      </c>
      <c r="J26" s="3">
        <f t="shared" si="8"/>
        <v>1926030.0000000142</v>
      </c>
      <c r="K26" s="10">
        <f t="shared" si="9"/>
        <v>6150869.9999999385</v>
      </c>
      <c r="L26" s="12">
        <f t="shared" si="10"/>
        <v>6765956.9999999329</v>
      </c>
      <c r="M26" s="73">
        <f t="shared" si="6"/>
        <v>472.94540752131502</v>
      </c>
      <c r="N26" s="72"/>
    </row>
    <row r="27" spans="1:14" ht="17.100000000000001" customHeight="1">
      <c r="A27" s="68"/>
      <c r="B27" s="65">
        <v>20</v>
      </c>
      <c r="C27" s="28">
        <v>5</v>
      </c>
      <c r="D27" s="28">
        <v>53</v>
      </c>
      <c r="E27" s="10">
        <v>3.2899999999999636</v>
      </c>
      <c r="F27" s="11">
        <f t="shared" si="0"/>
        <v>6579.9999999999272</v>
      </c>
      <c r="G27" s="3">
        <f t="shared" si="1"/>
        <v>6813589.9999999246</v>
      </c>
      <c r="H27" s="10">
        <v>0.65999999999999659</v>
      </c>
      <c r="I27" s="11">
        <f t="shared" si="7"/>
        <v>1319.9999999999932</v>
      </c>
      <c r="J27" s="3">
        <f t="shared" si="8"/>
        <v>2050289.9999999893</v>
      </c>
      <c r="K27" s="10">
        <f t="shared" si="9"/>
        <v>8863879.9999999143</v>
      </c>
      <c r="L27" s="12">
        <f t="shared" si="10"/>
        <v>9750267.9999999069</v>
      </c>
      <c r="M27" s="73">
        <f t="shared" si="6"/>
        <v>681.55095764014447</v>
      </c>
      <c r="N27" s="72"/>
    </row>
    <row r="28" spans="1:14" ht="17.100000000000001" customHeight="1">
      <c r="A28" s="68"/>
      <c r="B28" s="65">
        <v>21</v>
      </c>
      <c r="C28" s="28">
        <v>3</v>
      </c>
      <c r="D28" s="28">
        <v>19</v>
      </c>
      <c r="E28" s="10">
        <v>2.9600000000000364</v>
      </c>
      <c r="F28" s="11">
        <f t="shared" si="0"/>
        <v>5920.0000000000728</v>
      </c>
      <c r="G28" s="3">
        <f t="shared" si="1"/>
        <v>6130160.0000000754</v>
      </c>
      <c r="H28" s="10">
        <v>0.65000000000000568</v>
      </c>
      <c r="I28" s="11">
        <f t="shared" si="7"/>
        <v>1300.0000000000114</v>
      </c>
      <c r="J28" s="3">
        <f t="shared" si="8"/>
        <v>2019225.0000000177</v>
      </c>
      <c r="K28" s="10">
        <f t="shared" si="9"/>
        <v>8149385.0000000931</v>
      </c>
      <c r="L28" s="12">
        <f t="shared" si="10"/>
        <v>8964323.5000001024</v>
      </c>
      <c r="M28" s="73">
        <f t="shared" si="6"/>
        <v>626.61285474626743</v>
      </c>
      <c r="N28" s="72"/>
    </row>
    <row r="29" spans="1:14" ht="17.100000000000001" customHeight="1">
      <c r="A29" s="68"/>
      <c r="B29" s="65">
        <v>22</v>
      </c>
      <c r="C29" s="28">
        <v>5</v>
      </c>
      <c r="D29" s="28">
        <v>20</v>
      </c>
      <c r="E29" s="10">
        <v>3.25</v>
      </c>
      <c r="F29" s="11">
        <f t="shared" si="0"/>
        <v>6500</v>
      </c>
      <c r="G29" s="3">
        <f t="shared" si="1"/>
        <v>6730750</v>
      </c>
      <c r="H29" s="10">
        <v>0.62999999999999545</v>
      </c>
      <c r="I29" s="11">
        <f t="shared" si="7"/>
        <v>1259.9999999999909</v>
      </c>
      <c r="J29" s="3">
        <f t="shared" si="8"/>
        <v>1957094.9999999858</v>
      </c>
      <c r="K29" s="10">
        <f t="shared" si="9"/>
        <v>8687844.9999999851</v>
      </c>
      <c r="L29" s="12">
        <f t="shared" si="10"/>
        <v>9556629.4999999851</v>
      </c>
      <c r="M29" s="73">
        <f t="shared" si="6"/>
        <v>668.0154830141189</v>
      </c>
      <c r="N29" s="72"/>
    </row>
    <row r="30" spans="1:14" ht="17.100000000000001" customHeight="1">
      <c r="A30" s="68"/>
      <c r="B30" s="65">
        <v>23</v>
      </c>
      <c r="C30" s="28">
        <v>5</v>
      </c>
      <c r="D30" s="28">
        <v>51</v>
      </c>
      <c r="E30" s="10">
        <v>3.2699999999999818</v>
      </c>
      <c r="F30" s="11">
        <f t="shared" si="0"/>
        <v>6539.9999999999636</v>
      </c>
      <c r="G30" s="3">
        <f t="shared" si="1"/>
        <v>6772169.9999999627</v>
      </c>
      <c r="H30" s="10">
        <v>0.62000000000000455</v>
      </c>
      <c r="I30" s="11">
        <f t="shared" si="7"/>
        <v>1240.0000000000091</v>
      </c>
      <c r="J30" s="3">
        <f t="shared" si="8"/>
        <v>1926030.0000000142</v>
      </c>
      <c r="K30" s="10">
        <f t="shared" si="9"/>
        <v>8698199.9999999776</v>
      </c>
      <c r="L30" s="12">
        <f t="shared" si="10"/>
        <v>9568019.9999999758</v>
      </c>
      <c r="M30" s="73">
        <f t="shared" si="6"/>
        <v>668.81168740388478</v>
      </c>
      <c r="N30" s="72"/>
    </row>
    <row r="31" spans="1:14" ht="17.100000000000001" customHeight="1">
      <c r="A31" s="68"/>
      <c r="B31" s="65">
        <v>24</v>
      </c>
      <c r="C31" s="28">
        <v>4</v>
      </c>
      <c r="D31" s="28">
        <v>31</v>
      </c>
      <c r="E31" s="10">
        <v>3.1099999999999</v>
      </c>
      <c r="F31" s="11">
        <f t="shared" si="0"/>
        <v>6219.9999999997999</v>
      </c>
      <c r="G31" s="3">
        <f t="shared" si="1"/>
        <v>6440809.9999997932</v>
      </c>
      <c r="H31" s="10">
        <v>0.61999999999997613</v>
      </c>
      <c r="I31" s="11">
        <f t="shared" si="7"/>
        <v>1239.9999999999523</v>
      </c>
      <c r="J31" s="3">
        <f t="shared" si="8"/>
        <v>1926029.9999999257</v>
      </c>
      <c r="K31" s="10">
        <f t="shared" si="9"/>
        <v>8366839.9999997187</v>
      </c>
      <c r="L31" s="12">
        <f t="shared" si="10"/>
        <v>9203523.9999996908</v>
      </c>
      <c r="M31" s="73">
        <f t="shared" si="6"/>
        <v>643.33314693133582</v>
      </c>
      <c r="N31" s="72"/>
    </row>
    <row r="32" spans="1:14" ht="17.100000000000001" customHeight="1">
      <c r="A32" s="68"/>
      <c r="B32" s="65">
        <v>25</v>
      </c>
      <c r="C32" s="28">
        <v>4</v>
      </c>
      <c r="D32" s="28">
        <v>25</v>
      </c>
      <c r="E32" s="10">
        <v>3.1600000000000819</v>
      </c>
      <c r="F32" s="11">
        <f t="shared" si="0"/>
        <v>6320.0000000001637</v>
      </c>
      <c r="G32" s="3">
        <f t="shared" si="1"/>
        <v>6544360.0000001695</v>
      </c>
      <c r="H32" s="10">
        <v>0.61000000000001364</v>
      </c>
      <c r="I32" s="11">
        <f t="shared" si="7"/>
        <v>1220.0000000000273</v>
      </c>
      <c r="J32" s="3">
        <f t="shared" si="8"/>
        <v>1894965.0000000424</v>
      </c>
      <c r="K32" s="10">
        <f t="shared" si="9"/>
        <v>8439325.0000002123</v>
      </c>
      <c r="L32" s="12">
        <f t="shared" si="10"/>
        <v>9283257.5000002347</v>
      </c>
      <c r="M32" s="73">
        <f t="shared" si="6"/>
        <v>648.90657765973958</v>
      </c>
      <c r="N32" s="72"/>
    </row>
    <row r="33" spans="1:16" ht="17.100000000000001" customHeight="1">
      <c r="A33" s="68"/>
      <c r="B33" s="65">
        <v>26</v>
      </c>
      <c r="C33" s="28">
        <v>6</v>
      </c>
      <c r="D33" s="28">
        <v>23</v>
      </c>
      <c r="E33" s="10">
        <v>3.1700000000000728</v>
      </c>
      <c r="F33" s="11">
        <f t="shared" si="0"/>
        <v>6340.0000000001455</v>
      </c>
      <c r="G33" s="3">
        <f t="shared" si="1"/>
        <v>6565070.0000001509</v>
      </c>
      <c r="H33" s="10">
        <v>0.65000000000000568</v>
      </c>
      <c r="I33" s="11">
        <f t="shared" si="7"/>
        <v>1300.0000000000114</v>
      </c>
      <c r="J33" s="3">
        <f t="shared" si="8"/>
        <v>2019225.0000000177</v>
      </c>
      <c r="K33" s="10">
        <f t="shared" si="9"/>
        <v>8584295.0000001676</v>
      </c>
      <c r="L33" s="12">
        <f t="shared" si="10"/>
        <v>9442724.5000001844</v>
      </c>
      <c r="M33" s="73">
        <f t="shared" si="6"/>
        <v>660.05343911646753</v>
      </c>
      <c r="N33" s="72"/>
    </row>
    <row r="34" spans="1:16" ht="17.100000000000001" customHeight="1">
      <c r="A34" s="68"/>
      <c r="B34" s="65">
        <v>27</v>
      </c>
      <c r="C34" s="28">
        <v>5</v>
      </c>
      <c r="D34" s="28">
        <v>49</v>
      </c>
      <c r="E34" s="10">
        <v>3.2599999999999909</v>
      </c>
      <c r="F34" s="11">
        <f t="shared" si="0"/>
        <v>6519.9999999999818</v>
      </c>
      <c r="G34" s="3">
        <f t="shared" si="1"/>
        <v>6751459.9999999814</v>
      </c>
      <c r="H34" s="10">
        <v>0.59000000000000341</v>
      </c>
      <c r="I34" s="11">
        <f t="shared" si="7"/>
        <v>1180.0000000000068</v>
      </c>
      <c r="J34" s="3">
        <f t="shared" si="8"/>
        <v>1832835.0000000107</v>
      </c>
      <c r="K34" s="10">
        <f t="shared" si="9"/>
        <v>8584294.9999999925</v>
      </c>
      <c r="L34" s="12">
        <f t="shared" si="10"/>
        <v>9442724.4999999925</v>
      </c>
      <c r="M34" s="73">
        <f t="shared" si="6"/>
        <v>660.05343911645411</v>
      </c>
      <c r="N34" s="72"/>
    </row>
    <row r="35" spans="1:16" ht="17.100000000000001" customHeight="1">
      <c r="A35" s="68"/>
      <c r="B35" s="65">
        <v>28</v>
      </c>
      <c r="C35" s="28">
        <v>8</v>
      </c>
      <c r="D35" s="28">
        <v>41</v>
      </c>
      <c r="E35" s="10">
        <v>3.0399999999999636</v>
      </c>
      <c r="F35" s="11">
        <f t="shared" si="0"/>
        <v>6079.9999999999272</v>
      </c>
      <c r="G35" s="3">
        <f t="shared" si="1"/>
        <v>6295839.9999999246</v>
      </c>
      <c r="H35" s="10">
        <v>0.64999999999997726</v>
      </c>
      <c r="I35" s="11">
        <f t="shared" si="7"/>
        <v>1299.9999999999545</v>
      </c>
      <c r="J35" s="3">
        <f t="shared" si="8"/>
        <v>2019224.9999999295</v>
      </c>
      <c r="K35" s="10">
        <f t="shared" si="9"/>
        <v>8315064.9999998538</v>
      </c>
      <c r="L35" s="12">
        <f t="shared" si="10"/>
        <v>9146571.4999998398</v>
      </c>
      <c r="M35" s="73">
        <f t="shared" si="6"/>
        <v>639.3521249825136</v>
      </c>
      <c r="N35" s="72"/>
    </row>
    <row r="36" spans="1:16" ht="17.100000000000001" customHeight="1">
      <c r="A36" s="68"/>
      <c r="B36" s="65">
        <v>29</v>
      </c>
      <c r="C36" s="28">
        <v>14</v>
      </c>
      <c r="D36" s="28">
        <v>58</v>
      </c>
      <c r="E36" s="10">
        <v>3.3399999999999181</v>
      </c>
      <c r="F36" s="11">
        <f t="shared" si="0"/>
        <v>6679.9999999998363</v>
      </c>
      <c r="G36" s="3">
        <f t="shared" si="1"/>
        <v>6917139.9999998305</v>
      </c>
      <c r="H36" s="10">
        <v>0.71000000000000796</v>
      </c>
      <c r="I36" s="11">
        <f t="shared" si="7"/>
        <v>1420.0000000000159</v>
      </c>
      <c r="J36" s="3">
        <f t="shared" si="8"/>
        <v>2205615.0000000247</v>
      </c>
      <c r="K36" s="10">
        <f t="shared" si="9"/>
        <v>9122754.9999998547</v>
      </c>
      <c r="L36" s="12">
        <f t="shared" si="10"/>
        <v>10035030.499999842</v>
      </c>
      <c r="M36" s="73">
        <f t="shared" si="6"/>
        <v>701.4560673843032</v>
      </c>
      <c r="N36" s="72"/>
    </row>
    <row r="37" spans="1:16" ht="17.100000000000001" customHeight="1">
      <c r="A37" s="68"/>
      <c r="B37" s="65">
        <v>30</v>
      </c>
      <c r="C37" s="28">
        <v>10</v>
      </c>
      <c r="D37" s="28">
        <v>57</v>
      </c>
      <c r="E37" s="10">
        <v>3.3800000000001091</v>
      </c>
      <c r="F37" s="11">
        <f t="shared" si="0"/>
        <v>6760.0000000002183</v>
      </c>
      <c r="G37" s="3">
        <f t="shared" si="1"/>
        <v>6999980.0000002263</v>
      </c>
      <c r="H37" s="10">
        <v>0.65000000000000568</v>
      </c>
      <c r="I37" s="11">
        <f t="shared" si="7"/>
        <v>1300.0000000000114</v>
      </c>
      <c r="J37" s="3">
        <f t="shared" si="8"/>
        <v>2019225.0000000177</v>
      </c>
      <c r="K37" s="10">
        <f t="shared" si="9"/>
        <v>9019205.000000244</v>
      </c>
      <c r="L37" s="12">
        <f t="shared" si="10"/>
        <v>9921125.5000002701</v>
      </c>
      <c r="M37" s="73">
        <f t="shared" si="6"/>
        <v>693.49402348666786</v>
      </c>
      <c r="N37" s="72"/>
    </row>
    <row r="38" spans="1:16" ht="17.100000000000001" customHeight="1">
      <c r="B38" s="65">
        <v>31</v>
      </c>
      <c r="C38" s="28">
        <v>8</v>
      </c>
      <c r="D38" s="28">
        <v>56</v>
      </c>
      <c r="E38" s="10">
        <v>3.2799999999999727</v>
      </c>
      <c r="F38" s="11">
        <f t="shared" ref="F38" si="11">E38*2000</f>
        <v>6559.9999999999454</v>
      </c>
      <c r="G38" s="3">
        <f t="shared" ref="G38" si="12">F38*1035.5</f>
        <v>6792879.9999999432</v>
      </c>
      <c r="H38" s="10">
        <v>0.65000000000000568</v>
      </c>
      <c r="I38" s="11">
        <f t="shared" ref="I38" si="13">H38*2000</f>
        <v>1300.0000000000114</v>
      </c>
      <c r="J38" s="3">
        <f t="shared" ref="J38" si="14">I38*1553.25</f>
        <v>2019225.0000000177</v>
      </c>
      <c r="K38" s="10">
        <f t="shared" ref="K38" si="15">G38+J38</f>
        <v>8812104.9999999609</v>
      </c>
      <c r="L38" s="12">
        <f t="shared" ref="L38" si="16">K38*1.1</f>
        <v>9693315.4999999572</v>
      </c>
      <c r="M38" s="73">
        <f>L38/14306</f>
        <v>677.56993569131532</v>
      </c>
      <c r="N38" s="38"/>
    </row>
    <row r="39" spans="1:16" ht="15">
      <c r="C39" s="18">
        <f>SUM(C8:C38)</f>
        <v>241</v>
      </c>
      <c r="D39" s="18">
        <f>SUM(D8:D38)</f>
        <v>1406</v>
      </c>
      <c r="E39" s="1">
        <v>3.2799999999999727</v>
      </c>
      <c r="F39" s="18">
        <f>SUM(F8:F38)</f>
        <v>188500</v>
      </c>
      <c r="I39" s="18">
        <f>SUM(I8:I38)</f>
        <v>37840.000000000029</v>
      </c>
      <c r="K39" s="1" t="s">
        <v>28</v>
      </c>
      <c r="L39" s="43">
        <f>SUM(L8:L38)</f>
        <v>279363403.00000012</v>
      </c>
      <c r="M39" s="44">
        <f>SUM(M8:M38)</f>
        <v>19527.708863413951</v>
      </c>
      <c r="N39" s="38"/>
      <c r="P39" s="31" t="e">
        <f>#REF!+#REF!+#REF!+#REF!+#REF!+#REF!+#REF!+#REF!+#REF!+#REF!+M39+#REF!</f>
        <v>#REF!</v>
      </c>
    </row>
    <row r="40" spans="1:16">
      <c r="K40" s="33">
        <f>F39+I39</f>
        <v>226340.00000000003</v>
      </c>
    </row>
    <row r="41" spans="1:16">
      <c r="C41" t="s">
        <v>29</v>
      </c>
      <c r="M41" s="33"/>
      <c r="P41" s="29"/>
    </row>
    <row r="42" spans="1:16">
      <c r="M42" s="36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C18" activePane="bottomRight" state="frozen"/>
      <selection pane="bottomRight" activeCell="H10" sqref="H10:H17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21" ht="15.75">
      <c r="B1" s="81" t="s">
        <v>30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21" ht="15.75">
      <c r="B2" s="81" t="s">
        <v>16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21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21">
      <c r="A4" s="7"/>
      <c r="B4" s="88">
        <v>44470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7"/>
    </row>
    <row r="5" spans="1:21" ht="23.25" customHeight="1">
      <c r="A5" s="67"/>
      <c r="B5" s="80" t="s">
        <v>17</v>
      </c>
      <c r="C5" s="80" t="s">
        <v>18</v>
      </c>
      <c r="D5" s="80" t="s">
        <v>13</v>
      </c>
      <c r="E5" s="90" t="s">
        <v>31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89" t="s">
        <v>32</v>
      </c>
      <c r="R5" s="89"/>
      <c r="S5" s="57"/>
    </row>
    <row r="6" spans="1:21" s="6" customFormat="1" ht="48" customHeight="1">
      <c r="A6" s="67"/>
      <c r="B6" s="80"/>
      <c r="C6" s="80"/>
      <c r="D6" s="80"/>
      <c r="E6" s="90" t="s">
        <v>33</v>
      </c>
      <c r="F6" s="90"/>
      <c r="G6" s="90"/>
      <c r="H6" s="90" t="s">
        <v>34</v>
      </c>
      <c r="I6" s="90"/>
      <c r="J6" s="90"/>
      <c r="K6" s="90" t="s">
        <v>35</v>
      </c>
      <c r="L6" s="90"/>
      <c r="M6" s="90"/>
      <c r="N6" s="91" t="s">
        <v>36</v>
      </c>
      <c r="O6" s="91"/>
      <c r="P6" s="91"/>
      <c r="Q6" s="89"/>
      <c r="R6" s="89"/>
      <c r="S6" s="57"/>
    </row>
    <row r="7" spans="1:21" ht="36" customHeight="1">
      <c r="A7" s="68"/>
      <c r="B7" s="80"/>
      <c r="C7" s="80"/>
      <c r="D7" s="80"/>
      <c r="E7" s="80" t="s">
        <v>37</v>
      </c>
      <c r="F7" s="85" t="s">
        <v>38</v>
      </c>
      <c r="G7" s="61" t="s">
        <v>39</v>
      </c>
      <c r="H7" s="80" t="s">
        <v>40</v>
      </c>
      <c r="I7" s="80" t="s">
        <v>38</v>
      </c>
      <c r="J7" s="61" t="s">
        <v>39</v>
      </c>
      <c r="K7" s="80" t="s">
        <v>37</v>
      </c>
      <c r="L7" s="80" t="s">
        <v>38</v>
      </c>
      <c r="M7" s="61" t="s">
        <v>41</v>
      </c>
      <c r="N7" s="80" t="s">
        <v>42</v>
      </c>
      <c r="O7" s="80" t="s">
        <v>38</v>
      </c>
      <c r="P7" s="61" t="s">
        <v>41</v>
      </c>
      <c r="Q7" s="89"/>
      <c r="R7" s="89"/>
      <c r="S7" s="58"/>
    </row>
    <row r="8" spans="1:21" ht="15.75" customHeight="1">
      <c r="A8" s="68"/>
      <c r="B8" s="80"/>
      <c r="C8" s="80"/>
      <c r="D8" s="80"/>
      <c r="E8" s="80"/>
      <c r="F8" s="86"/>
      <c r="G8" s="70">
        <v>15840</v>
      </c>
      <c r="H8" s="80"/>
      <c r="I8" s="80"/>
      <c r="J8" s="70">
        <f>G8</f>
        <v>15840</v>
      </c>
      <c r="K8" s="80"/>
      <c r="L8" s="80"/>
      <c r="M8" s="70">
        <f>J8</f>
        <v>15840</v>
      </c>
      <c r="N8" s="80"/>
      <c r="O8" s="80"/>
      <c r="P8" s="70">
        <f>J8</f>
        <v>15840</v>
      </c>
      <c r="Q8" s="71" t="s">
        <v>43</v>
      </c>
      <c r="R8" s="61" t="s">
        <v>23</v>
      </c>
      <c r="S8" s="58"/>
      <c r="U8">
        <f>792000/50</f>
        <v>15840</v>
      </c>
    </row>
    <row r="9" spans="1:21" ht="17.100000000000001" customHeight="1">
      <c r="A9" s="68"/>
      <c r="B9" s="65">
        <v>1</v>
      </c>
      <c r="C9" s="15">
        <f>Electricity!C8</f>
        <v>11</v>
      </c>
      <c r="D9" s="15">
        <f>Electricity!D8</f>
        <v>98</v>
      </c>
      <c r="E9" s="2">
        <v>7034.22</v>
      </c>
      <c r="F9" s="10">
        <v>16.960000000000036</v>
      </c>
      <c r="G9" s="19">
        <f>F9*$G$8</f>
        <v>268646.40000000061</v>
      </c>
      <c r="H9" s="2">
        <v>638.79999999999995</v>
      </c>
      <c r="I9" s="19">
        <v>0</v>
      </c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113097.59999999999</v>
      </c>
      <c r="Q9" s="16">
        <f>P9+G9+J9+M9</f>
        <v>381744.00000000058</v>
      </c>
      <c r="R9" s="66">
        <f>Q9/14306</f>
        <v>26.684188452397635</v>
      </c>
      <c r="S9" s="58"/>
    </row>
    <row r="10" spans="1:21" ht="17.100000000000001" customHeight="1">
      <c r="A10" s="68"/>
      <c r="B10" s="65">
        <v>2</v>
      </c>
      <c r="C10" s="15">
        <f>Electricity!C9</f>
        <v>19</v>
      </c>
      <c r="D10" s="15">
        <f>Electricity!D9</f>
        <v>59</v>
      </c>
      <c r="E10" s="2">
        <v>7046.21</v>
      </c>
      <c r="F10" s="10">
        <v>11.989999999999782</v>
      </c>
      <c r="G10" s="19">
        <f>F10*$G$8</f>
        <v>189921.59999999654</v>
      </c>
      <c r="H10" s="2"/>
      <c r="I10" s="19">
        <v>0</v>
      </c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113097.59999999999</v>
      </c>
      <c r="Q10" s="16">
        <f>J10+M10+G10+P10</f>
        <v>303019.19999999652</v>
      </c>
      <c r="R10" s="66">
        <f t="shared" ref="R10:R39" si="1">Q10/14306</f>
        <v>21.181266601425733</v>
      </c>
      <c r="S10" s="58"/>
    </row>
    <row r="11" spans="1:21" ht="17.100000000000001" customHeight="1">
      <c r="A11" s="68"/>
      <c r="B11" s="65">
        <v>3</v>
      </c>
      <c r="C11" s="15">
        <f>Electricity!C10</f>
        <v>13</v>
      </c>
      <c r="D11" s="15">
        <f>Electricity!D10</f>
        <v>82</v>
      </c>
      <c r="E11" s="2">
        <v>7057.92</v>
      </c>
      <c r="F11" s="10">
        <v>11.710000000000036</v>
      </c>
      <c r="G11" s="19">
        <f t="shared" ref="G11:G38" si="2">F11*$G$8</f>
        <v>185486.40000000058</v>
      </c>
      <c r="H11" s="2"/>
      <c r="I11" s="19">
        <v>0</v>
      </c>
      <c r="J11" s="19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113097.59999999999</v>
      </c>
      <c r="Q11" s="16">
        <f t="shared" ref="Q11:Q38" si="5">J11+M11+G11+P11</f>
        <v>298584.00000000058</v>
      </c>
      <c r="R11" s="66">
        <f t="shared" si="1"/>
        <v>20.871242835174094</v>
      </c>
      <c r="S11" s="58"/>
    </row>
    <row r="12" spans="1:21" ht="17.100000000000001" customHeight="1">
      <c r="A12" s="68"/>
      <c r="B12" s="65">
        <v>4</v>
      </c>
      <c r="C12" s="15">
        <f>Electricity!C11</f>
        <v>7</v>
      </c>
      <c r="D12" s="15">
        <f>Electricity!D11</f>
        <v>78</v>
      </c>
      <c r="E12" s="2">
        <v>7070.38</v>
      </c>
      <c r="F12" s="10">
        <v>12.460000000000036</v>
      </c>
      <c r="G12" s="19">
        <f t="shared" si="2"/>
        <v>197366.40000000058</v>
      </c>
      <c r="H12" s="2"/>
      <c r="I12" s="19">
        <v>0</v>
      </c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113097.59999999999</v>
      </c>
      <c r="Q12" s="16">
        <f t="shared" si="5"/>
        <v>310464.00000000058</v>
      </c>
      <c r="R12" s="66">
        <f t="shared" si="1"/>
        <v>21.701663637634599</v>
      </c>
      <c r="S12" s="58"/>
    </row>
    <row r="13" spans="1:21" ht="17.100000000000001" customHeight="1">
      <c r="A13" s="68"/>
      <c r="B13" s="65">
        <v>5</v>
      </c>
      <c r="C13" s="15">
        <f>Electricity!C12</f>
        <v>5</v>
      </c>
      <c r="D13" s="15">
        <f>Electricity!D12</f>
        <v>32</v>
      </c>
      <c r="E13" s="2">
        <v>7084.22</v>
      </c>
      <c r="F13" s="10">
        <v>13.840000000000146</v>
      </c>
      <c r="G13" s="19">
        <f t="shared" si="2"/>
        <v>219225.60000000231</v>
      </c>
      <c r="H13" s="2"/>
      <c r="I13" s="19">
        <v>0</v>
      </c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113097.59999999999</v>
      </c>
      <c r="Q13" s="16">
        <f t="shared" si="5"/>
        <v>332323.20000000228</v>
      </c>
      <c r="R13" s="66">
        <f t="shared" si="1"/>
        <v>23.229637914162051</v>
      </c>
      <c r="S13" s="58"/>
    </row>
    <row r="14" spans="1:21" ht="17.100000000000001" customHeight="1">
      <c r="A14" s="68"/>
      <c r="B14" s="65">
        <v>6</v>
      </c>
      <c r="C14" s="15">
        <f>Electricity!C13</f>
        <v>7</v>
      </c>
      <c r="D14" s="15">
        <f>Electricity!D13</f>
        <v>25</v>
      </c>
      <c r="E14" s="2">
        <v>7094.22</v>
      </c>
      <c r="F14" s="10">
        <v>10</v>
      </c>
      <c r="G14" s="19">
        <f t="shared" si="2"/>
        <v>158400</v>
      </c>
      <c r="H14" s="2"/>
      <c r="I14" s="19">
        <v>0</v>
      </c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113097.59999999999</v>
      </c>
      <c r="Q14" s="16">
        <f t="shared" si="5"/>
        <v>271497.59999999998</v>
      </c>
      <c r="R14" s="66">
        <f t="shared" si="1"/>
        <v>18.977883405564096</v>
      </c>
      <c r="S14" s="58"/>
    </row>
    <row r="15" spans="1:21" ht="17.100000000000001" customHeight="1">
      <c r="A15" s="68"/>
      <c r="B15" s="65">
        <v>7</v>
      </c>
      <c r="C15" s="15">
        <f>Electricity!C14</f>
        <v>10</v>
      </c>
      <c r="D15" s="15">
        <f>Electricity!D14</f>
        <v>33</v>
      </c>
      <c r="E15" s="2">
        <v>7107.07</v>
      </c>
      <c r="F15" s="10">
        <v>12.849999999999454</v>
      </c>
      <c r="G15" s="19">
        <f t="shared" si="2"/>
        <v>203543.99999999136</v>
      </c>
      <c r="H15" s="2"/>
      <c r="I15" s="19">
        <v>0</v>
      </c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113097.59999999999</v>
      </c>
      <c r="Q15" s="16">
        <f t="shared" si="5"/>
        <v>316641.59999999136</v>
      </c>
      <c r="R15" s="66">
        <f t="shared" si="1"/>
        <v>22.13348245491342</v>
      </c>
      <c r="S15" s="58"/>
    </row>
    <row r="16" spans="1:21" ht="17.100000000000001" customHeight="1">
      <c r="A16" s="68"/>
      <c r="B16" s="65">
        <v>8</v>
      </c>
      <c r="C16" s="15">
        <f>Electricity!C15</f>
        <v>10</v>
      </c>
      <c r="D16" s="15">
        <f>Electricity!D15</f>
        <v>46</v>
      </c>
      <c r="E16" s="2">
        <v>7119.76</v>
      </c>
      <c r="F16" s="10">
        <v>12.690000000000509</v>
      </c>
      <c r="G16" s="19">
        <f t="shared" si="2"/>
        <v>201009.60000000807</v>
      </c>
      <c r="H16" s="2"/>
      <c r="I16" s="19">
        <v>0</v>
      </c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113097.59999999999</v>
      </c>
      <c r="Q16" s="16">
        <f t="shared" si="5"/>
        <v>314107.20000000804</v>
      </c>
      <c r="R16" s="66">
        <f t="shared" si="1"/>
        <v>21.956326017056345</v>
      </c>
      <c r="S16" s="58"/>
    </row>
    <row r="17" spans="1:19" ht="17.100000000000001" customHeight="1">
      <c r="A17" s="68"/>
      <c r="B17" s="65">
        <v>9</v>
      </c>
      <c r="C17" s="15">
        <f>Electricity!C16</f>
        <v>7</v>
      </c>
      <c r="D17" s="15">
        <f>Electricity!D16</f>
        <v>50</v>
      </c>
      <c r="E17" s="2">
        <v>7131.82</v>
      </c>
      <c r="F17" s="10">
        <v>12.059999999999491</v>
      </c>
      <c r="G17" s="19">
        <f t="shared" si="2"/>
        <v>191030.39999999193</v>
      </c>
      <c r="H17" s="2"/>
      <c r="I17" s="19">
        <v>0</v>
      </c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113097.59999999999</v>
      </c>
      <c r="Q17" s="16">
        <f t="shared" si="5"/>
        <v>304127.99999999191</v>
      </c>
      <c r="R17" s="66">
        <f t="shared" si="1"/>
        <v>21.258772542988389</v>
      </c>
      <c r="S17" s="58"/>
    </row>
    <row r="18" spans="1:19" ht="17.100000000000001" customHeight="1">
      <c r="A18" s="68"/>
      <c r="B18" s="65">
        <v>10</v>
      </c>
      <c r="C18" s="15">
        <f>Electricity!C17</f>
        <v>9</v>
      </c>
      <c r="D18" s="15">
        <f>Electricity!D17</f>
        <v>47</v>
      </c>
      <c r="E18" s="2">
        <v>7144</v>
      </c>
      <c r="F18" s="10">
        <v>12.180000000000291</v>
      </c>
      <c r="G18" s="19">
        <f t="shared" si="2"/>
        <v>192931.20000000461</v>
      </c>
      <c r="H18" s="2"/>
      <c r="I18" s="19">
        <f t="shared" ref="I18:I39" si="6">H18-H17</f>
        <v>0</v>
      </c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113097.59999999999</v>
      </c>
      <c r="Q18" s="16">
        <f t="shared" si="5"/>
        <v>306028.80000000459</v>
      </c>
      <c r="R18" s="66">
        <f t="shared" si="1"/>
        <v>21.391639871382957</v>
      </c>
      <c r="S18" s="58"/>
    </row>
    <row r="19" spans="1:19" ht="17.100000000000001" customHeight="1">
      <c r="A19" s="68"/>
      <c r="B19" s="65">
        <v>11</v>
      </c>
      <c r="C19" s="15">
        <f>Electricity!C18</f>
        <v>10</v>
      </c>
      <c r="D19" s="15">
        <f>Electricity!D18</f>
        <v>42</v>
      </c>
      <c r="E19" s="2">
        <v>7155.9</v>
      </c>
      <c r="F19" s="10">
        <v>11.899999999999636</v>
      </c>
      <c r="G19" s="19">
        <f t="shared" si="2"/>
        <v>188495.99999999424</v>
      </c>
      <c r="H19" s="2"/>
      <c r="I19" s="19">
        <f t="shared" si="6"/>
        <v>0</v>
      </c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113097.59999999999</v>
      </c>
      <c r="Q19" s="16">
        <f t="shared" si="5"/>
        <v>301593.59999999421</v>
      </c>
      <c r="R19" s="66">
        <f t="shared" si="1"/>
        <v>21.081616105130308</v>
      </c>
      <c r="S19" s="58"/>
    </row>
    <row r="20" spans="1:19" ht="17.100000000000001" customHeight="1">
      <c r="A20" s="68"/>
      <c r="B20" s="65">
        <v>12</v>
      </c>
      <c r="C20" s="15">
        <f>Electricity!C19</f>
        <v>6</v>
      </c>
      <c r="D20" s="15">
        <f>Electricity!D19</f>
        <v>50</v>
      </c>
      <c r="E20" s="2">
        <v>7167.4</v>
      </c>
      <c r="F20" s="10">
        <v>11.5</v>
      </c>
      <c r="G20" s="19">
        <f t="shared" si="2"/>
        <v>182160</v>
      </c>
      <c r="H20" s="2"/>
      <c r="I20" s="19">
        <f t="shared" si="6"/>
        <v>0</v>
      </c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113097.59999999999</v>
      </c>
      <c r="Q20" s="16">
        <f t="shared" si="5"/>
        <v>295257.59999999998</v>
      </c>
      <c r="R20" s="66">
        <f t="shared" si="1"/>
        <v>20.638725010485111</v>
      </c>
      <c r="S20" s="58"/>
    </row>
    <row r="21" spans="1:19" ht="17.100000000000001" customHeight="1">
      <c r="A21" s="68"/>
      <c r="B21" s="65">
        <v>13</v>
      </c>
      <c r="C21" s="15">
        <f>Electricity!C20</f>
        <v>2</v>
      </c>
      <c r="D21" s="15">
        <f>Electricity!D20</f>
        <v>28</v>
      </c>
      <c r="E21" s="2">
        <v>7178.67</v>
      </c>
      <c r="F21" s="10">
        <v>11.270000000000437</v>
      </c>
      <c r="G21" s="19">
        <f t="shared" si="2"/>
        <v>178516.80000000692</v>
      </c>
      <c r="H21" s="2"/>
      <c r="I21" s="19">
        <f t="shared" si="6"/>
        <v>0</v>
      </c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113097.59999999999</v>
      </c>
      <c r="Q21" s="16">
        <f t="shared" si="5"/>
        <v>291614.40000000689</v>
      </c>
      <c r="R21" s="66">
        <f t="shared" si="1"/>
        <v>20.384062631064371</v>
      </c>
      <c r="S21" s="58"/>
    </row>
    <row r="22" spans="1:19" ht="17.100000000000001" customHeight="1">
      <c r="A22" s="68"/>
      <c r="B22" s="65">
        <v>14</v>
      </c>
      <c r="C22" s="15">
        <f>Electricity!C21</f>
        <v>4</v>
      </c>
      <c r="D22" s="15">
        <f>Electricity!D21</f>
        <v>14</v>
      </c>
      <c r="E22" s="2">
        <v>7189.9</v>
      </c>
      <c r="F22" s="10">
        <v>11.229999999999563</v>
      </c>
      <c r="G22" s="19">
        <f t="shared" si="2"/>
        <v>177883.19999999308</v>
      </c>
      <c r="H22" s="2"/>
      <c r="I22" s="19">
        <f t="shared" si="6"/>
        <v>0</v>
      </c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113097.59999999999</v>
      </c>
      <c r="Q22" s="16">
        <f t="shared" si="5"/>
        <v>290980.79999999306</v>
      </c>
      <c r="R22" s="66">
        <f t="shared" si="1"/>
        <v>20.339773521598843</v>
      </c>
      <c r="S22" s="58"/>
    </row>
    <row r="23" spans="1:19" ht="17.100000000000001" customHeight="1">
      <c r="A23" s="68"/>
      <c r="B23" s="65">
        <v>15</v>
      </c>
      <c r="C23" s="15">
        <f>Electricity!C22</f>
        <v>8</v>
      </c>
      <c r="D23" s="15">
        <f>Electricity!D22</f>
        <v>26</v>
      </c>
      <c r="E23" s="2">
        <v>7201.01</v>
      </c>
      <c r="F23" s="10">
        <v>11.110000000000582</v>
      </c>
      <c r="G23" s="19">
        <f t="shared" si="2"/>
        <v>175982.40000000922</v>
      </c>
      <c r="H23" s="2"/>
      <c r="I23" s="19">
        <f t="shared" si="6"/>
        <v>0</v>
      </c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113097.59999999999</v>
      </c>
      <c r="Q23" s="16">
        <f t="shared" si="5"/>
        <v>289080.0000000092</v>
      </c>
      <c r="R23" s="66">
        <f t="shared" si="1"/>
        <v>20.20690619320629</v>
      </c>
      <c r="S23" s="58"/>
    </row>
    <row r="24" spans="1:19" ht="17.100000000000001" customHeight="1">
      <c r="A24" s="68"/>
      <c r="B24" s="65">
        <v>16</v>
      </c>
      <c r="C24" s="15">
        <f>Electricity!C23</f>
        <v>11</v>
      </c>
      <c r="D24" s="15">
        <f>Electricity!D23</f>
        <v>54</v>
      </c>
      <c r="E24" s="2">
        <v>7213.82</v>
      </c>
      <c r="F24" s="10">
        <v>12.809999999999491</v>
      </c>
      <c r="G24" s="19">
        <f t="shared" si="2"/>
        <v>202910.39999999193</v>
      </c>
      <c r="H24" s="2"/>
      <c r="I24" s="19">
        <f t="shared" si="6"/>
        <v>0</v>
      </c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113097.59999999999</v>
      </c>
      <c r="Q24" s="16">
        <f t="shared" si="5"/>
        <v>316007.99999999191</v>
      </c>
      <c r="R24" s="66">
        <f t="shared" si="1"/>
        <v>22.089193345448898</v>
      </c>
      <c r="S24" s="58"/>
    </row>
    <row r="25" spans="1:19" ht="17.100000000000001" customHeight="1">
      <c r="A25" s="68"/>
      <c r="B25" s="65">
        <v>17</v>
      </c>
      <c r="C25" s="15">
        <f>Electricity!C24</f>
        <v>9</v>
      </c>
      <c r="D25" s="15">
        <f>Electricity!D24</f>
        <v>51</v>
      </c>
      <c r="E25" s="2">
        <v>7227.63</v>
      </c>
      <c r="F25" s="10">
        <v>13.8100000000004</v>
      </c>
      <c r="G25" s="19">
        <f t="shared" si="2"/>
        <v>218750.40000000634</v>
      </c>
      <c r="H25" s="2"/>
      <c r="I25" s="19">
        <f t="shared" si="6"/>
        <v>0</v>
      </c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113097.59999999999</v>
      </c>
      <c r="Q25" s="16">
        <f t="shared" si="5"/>
        <v>331848.00000000634</v>
      </c>
      <c r="R25" s="66">
        <f t="shared" si="1"/>
        <v>23.196421082063914</v>
      </c>
      <c r="S25" s="58"/>
    </row>
    <row r="26" spans="1:19" ht="17.100000000000001" customHeight="1">
      <c r="A26" s="68"/>
      <c r="B26" s="65">
        <v>18</v>
      </c>
      <c r="C26" s="15">
        <f>Electricity!C25</f>
        <v>9</v>
      </c>
      <c r="D26" s="15">
        <f>Electricity!D25</f>
        <v>55</v>
      </c>
      <c r="E26" s="2">
        <v>7240.09</v>
      </c>
      <c r="F26" s="10">
        <v>12.460000000000036</v>
      </c>
      <c r="G26" s="19">
        <f t="shared" si="2"/>
        <v>197366.40000000058</v>
      </c>
      <c r="H26" s="2"/>
      <c r="I26" s="19">
        <f t="shared" si="6"/>
        <v>0</v>
      </c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113097.59999999999</v>
      </c>
      <c r="Q26" s="16">
        <f t="shared" si="5"/>
        <v>310464.00000000058</v>
      </c>
      <c r="R26" s="66">
        <f t="shared" si="1"/>
        <v>21.701663637634599</v>
      </c>
      <c r="S26" s="58"/>
    </row>
    <row r="27" spans="1:19" ht="17.100000000000001" customHeight="1">
      <c r="A27" s="68"/>
      <c r="B27" s="65">
        <v>19</v>
      </c>
      <c r="C27" s="15">
        <f>Electricity!C26</f>
        <v>7</v>
      </c>
      <c r="D27" s="15">
        <f>Electricity!D26</f>
        <v>53</v>
      </c>
      <c r="E27" s="2">
        <v>7251.66</v>
      </c>
      <c r="F27" s="10">
        <v>11.569999999999709</v>
      </c>
      <c r="G27" s="19">
        <f t="shared" si="2"/>
        <v>183268.79999999539</v>
      </c>
      <c r="H27" s="2"/>
      <c r="I27" s="19">
        <f t="shared" si="6"/>
        <v>0</v>
      </c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113097.59999999999</v>
      </c>
      <c r="Q27" s="16">
        <f t="shared" si="5"/>
        <v>296366.39999999537</v>
      </c>
      <c r="R27" s="66">
        <f t="shared" si="1"/>
        <v>20.716230952047766</v>
      </c>
      <c r="S27" s="58"/>
    </row>
    <row r="28" spans="1:19" ht="17.100000000000001" customHeight="1">
      <c r="A28" s="68"/>
      <c r="B28" s="65">
        <v>20</v>
      </c>
      <c r="C28" s="15">
        <f>Electricity!C27</f>
        <v>5</v>
      </c>
      <c r="D28" s="15">
        <f>Electricity!D27</f>
        <v>53</v>
      </c>
      <c r="E28" s="2">
        <v>7262.39</v>
      </c>
      <c r="F28" s="10">
        <v>10.730000000000473</v>
      </c>
      <c r="G28" s="19">
        <f t="shared" si="2"/>
        <v>169963.20000000749</v>
      </c>
      <c r="H28" s="2"/>
      <c r="I28" s="19">
        <f t="shared" si="6"/>
        <v>0</v>
      </c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113097.59999999999</v>
      </c>
      <c r="Q28" s="16">
        <f t="shared" si="5"/>
        <v>283060.8000000075</v>
      </c>
      <c r="R28" s="66">
        <f t="shared" si="1"/>
        <v>19.786159653292849</v>
      </c>
      <c r="S28" s="58"/>
    </row>
    <row r="29" spans="1:19" ht="17.100000000000001" customHeight="1">
      <c r="A29" s="68"/>
      <c r="B29" s="65">
        <v>21</v>
      </c>
      <c r="C29" s="15">
        <f>Electricity!C28</f>
        <v>3</v>
      </c>
      <c r="D29" s="15">
        <f>Electricity!D28</f>
        <v>19</v>
      </c>
      <c r="E29" s="2">
        <v>7274.28</v>
      </c>
      <c r="F29" s="10">
        <v>11.889999999999418</v>
      </c>
      <c r="G29" s="19">
        <f t="shared" si="2"/>
        <v>188337.59999999078</v>
      </c>
      <c r="H29" s="2"/>
      <c r="I29" s="19">
        <f t="shared" si="6"/>
        <v>0</v>
      </c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113097.59999999999</v>
      </c>
      <c r="Q29" s="16">
        <f t="shared" si="5"/>
        <v>301435.19999999076</v>
      </c>
      <c r="R29" s="66">
        <f t="shared" si="1"/>
        <v>21.070543827763927</v>
      </c>
      <c r="S29" s="58"/>
    </row>
    <row r="30" spans="1:19" ht="17.100000000000001" customHeight="1">
      <c r="A30" s="68"/>
      <c r="B30" s="65">
        <v>22</v>
      </c>
      <c r="C30" s="15">
        <f>Electricity!C29</f>
        <v>5</v>
      </c>
      <c r="D30" s="15">
        <f>Electricity!D29</f>
        <v>20</v>
      </c>
      <c r="E30" s="2">
        <v>7284.83</v>
      </c>
      <c r="F30" s="10">
        <v>10.550000000000182</v>
      </c>
      <c r="G30" s="19">
        <f t="shared" si="2"/>
        <v>167112.00000000288</v>
      </c>
      <c r="H30" s="2"/>
      <c r="I30" s="19">
        <f t="shared" si="6"/>
        <v>0</v>
      </c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113097.59999999999</v>
      </c>
      <c r="Q30" s="16">
        <f t="shared" si="5"/>
        <v>280209.60000000289</v>
      </c>
      <c r="R30" s="66">
        <f t="shared" si="1"/>
        <v>19.586858660702006</v>
      </c>
      <c r="S30" s="58"/>
    </row>
    <row r="31" spans="1:19" ht="17.100000000000001" customHeight="1">
      <c r="A31" s="68"/>
      <c r="B31" s="65">
        <v>23</v>
      </c>
      <c r="C31" s="15">
        <f>Electricity!C30</f>
        <v>5</v>
      </c>
      <c r="D31" s="15">
        <f>Electricity!D30</f>
        <v>51</v>
      </c>
      <c r="E31" s="2">
        <v>7299.55</v>
      </c>
      <c r="F31" s="10">
        <v>14.720000000000255</v>
      </c>
      <c r="G31" s="19">
        <f t="shared" si="2"/>
        <v>233164.80000000403</v>
      </c>
      <c r="H31" s="2"/>
      <c r="I31" s="19">
        <f t="shared" si="6"/>
        <v>0</v>
      </c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113097.59999999999</v>
      </c>
      <c r="Q31" s="16">
        <f t="shared" si="5"/>
        <v>346262.40000000404</v>
      </c>
      <c r="R31" s="66">
        <f t="shared" si="1"/>
        <v>24.2039983223825</v>
      </c>
      <c r="S31" s="58"/>
    </row>
    <row r="32" spans="1:19" ht="17.100000000000001" customHeight="1">
      <c r="A32" s="68"/>
      <c r="B32" s="65">
        <v>24</v>
      </c>
      <c r="C32" s="15">
        <f>Electricity!C31</f>
        <v>4</v>
      </c>
      <c r="D32" s="15">
        <f>Electricity!D31</f>
        <v>31</v>
      </c>
      <c r="E32" s="2">
        <v>7309.5</v>
      </c>
      <c r="F32" s="10">
        <v>9.9499999999998181</v>
      </c>
      <c r="G32" s="19">
        <f t="shared" si="2"/>
        <v>157607.99999999712</v>
      </c>
      <c r="H32" s="2"/>
      <c r="I32" s="19">
        <f t="shared" si="6"/>
        <v>0</v>
      </c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113097.59999999999</v>
      </c>
      <c r="Q32" s="16">
        <f t="shared" si="5"/>
        <v>270705.59999999712</v>
      </c>
      <c r="R32" s="66">
        <f t="shared" si="1"/>
        <v>18.922522018733197</v>
      </c>
      <c r="S32" s="58"/>
    </row>
    <row r="33" spans="1:21" ht="17.100000000000001" customHeight="1">
      <c r="A33" s="68"/>
      <c r="B33" s="65">
        <v>25</v>
      </c>
      <c r="C33" s="15">
        <f>Electricity!C32</f>
        <v>4</v>
      </c>
      <c r="D33" s="15">
        <f>Electricity!D32</f>
        <v>25</v>
      </c>
      <c r="E33" s="2">
        <v>7322.81</v>
      </c>
      <c r="F33" s="10">
        <v>13.3100000000004</v>
      </c>
      <c r="G33" s="19">
        <f t="shared" si="2"/>
        <v>210830.40000000634</v>
      </c>
      <c r="H33" s="2"/>
      <c r="I33" s="19">
        <f t="shared" si="6"/>
        <v>0</v>
      </c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113097.59999999999</v>
      </c>
      <c r="Q33" s="16">
        <f t="shared" si="5"/>
        <v>323928.00000000634</v>
      </c>
      <c r="R33" s="66">
        <f t="shared" si="1"/>
        <v>22.64280721375691</v>
      </c>
      <c r="S33" s="58"/>
    </row>
    <row r="34" spans="1:21" ht="17.100000000000001" customHeight="1">
      <c r="A34" s="68"/>
      <c r="B34" s="65">
        <v>26</v>
      </c>
      <c r="C34" s="15">
        <f>Electricity!C33</f>
        <v>6</v>
      </c>
      <c r="D34" s="15">
        <f>Electricity!D33</f>
        <v>23</v>
      </c>
      <c r="E34" s="2">
        <v>7335.2</v>
      </c>
      <c r="F34" s="10">
        <v>12.389999999999418</v>
      </c>
      <c r="G34" s="19">
        <f t="shared" si="2"/>
        <v>196257.59999999078</v>
      </c>
      <c r="H34" s="2"/>
      <c r="I34" s="19">
        <f t="shared" si="6"/>
        <v>0</v>
      </c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113097.59999999999</v>
      </c>
      <c r="Q34" s="16">
        <f t="shared" si="5"/>
        <v>309355.19999999076</v>
      </c>
      <c r="R34" s="66">
        <f t="shared" si="1"/>
        <v>21.624157696070931</v>
      </c>
      <c r="S34" s="58"/>
    </row>
    <row r="35" spans="1:21" ht="17.100000000000001" customHeight="1">
      <c r="A35" s="68"/>
      <c r="B35" s="65">
        <v>27</v>
      </c>
      <c r="C35" s="15">
        <f>Electricity!C34</f>
        <v>5</v>
      </c>
      <c r="D35" s="15">
        <f>Electricity!D34</f>
        <v>49</v>
      </c>
      <c r="E35" s="2">
        <v>7347.83</v>
      </c>
      <c r="F35" s="10">
        <v>12.630000000000109</v>
      </c>
      <c r="G35" s="19">
        <f t="shared" si="2"/>
        <v>200059.20000000173</v>
      </c>
      <c r="H35" s="2"/>
      <c r="I35" s="19">
        <f t="shared" si="6"/>
        <v>0</v>
      </c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113097.59999999999</v>
      </c>
      <c r="Q35" s="16">
        <f t="shared" si="5"/>
        <v>313156.80000000173</v>
      </c>
      <c r="R35" s="66">
        <f t="shared" si="1"/>
        <v>21.889892352859061</v>
      </c>
      <c r="S35" s="58"/>
    </row>
    <row r="36" spans="1:21" ht="17.100000000000001" customHeight="1">
      <c r="A36" s="68"/>
      <c r="B36" s="65">
        <v>28</v>
      </c>
      <c r="C36" s="15">
        <f>Electricity!C35</f>
        <v>8</v>
      </c>
      <c r="D36" s="15">
        <f>Electricity!D35</f>
        <v>41</v>
      </c>
      <c r="E36" s="2">
        <v>7360.71</v>
      </c>
      <c r="F36" s="10">
        <v>12.880000000000109</v>
      </c>
      <c r="G36" s="19">
        <f t="shared" si="2"/>
        <v>204019.20000000173</v>
      </c>
      <c r="H36" s="2"/>
      <c r="I36" s="19">
        <f t="shared" si="6"/>
        <v>0</v>
      </c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113097.59999999999</v>
      </c>
      <c r="Q36" s="16">
        <f t="shared" si="5"/>
        <v>317116.80000000173</v>
      </c>
      <c r="R36" s="66">
        <f t="shared" si="1"/>
        <v>22.166699287012563</v>
      </c>
      <c r="S36" s="58"/>
    </row>
    <row r="37" spans="1:21" ht="17.100000000000001" customHeight="1">
      <c r="A37" s="68"/>
      <c r="B37" s="65">
        <v>29</v>
      </c>
      <c r="C37" s="15">
        <f>Electricity!C36</f>
        <v>14</v>
      </c>
      <c r="D37" s="15">
        <f>Electricity!D36</f>
        <v>58</v>
      </c>
      <c r="E37" s="2">
        <v>7373.98</v>
      </c>
      <c r="F37" s="10">
        <v>13.269999999999527</v>
      </c>
      <c r="G37" s="19">
        <f t="shared" si="2"/>
        <v>210196.79999999251</v>
      </c>
      <c r="H37" s="2"/>
      <c r="I37" s="19">
        <f t="shared" si="6"/>
        <v>0</v>
      </c>
      <c r="J37" s="19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113097.59999999999</v>
      </c>
      <c r="Q37" s="16">
        <f t="shared" si="5"/>
        <v>323294.39999999251</v>
      </c>
      <c r="R37" s="66">
        <f t="shared" si="1"/>
        <v>22.598518104291383</v>
      </c>
      <c r="S37" s="58"/>
    </row>
    <row r="38" spans="1:21" ht="17.100000000000001" customHeight="1">
      <c r="A38" s="68"/>
      <c r="B38" s="65">
        <v>30</v>
      </c>
      <c r="C38" s="15">
        <f>Electricity!C37</f>
        <v>10</v>
      </c>
      <c r="D38" s="15">
        <f>Electricity!D37</f>
        <v>57</v>
      </c>
      <c r="E38" s="2">
        <v>7387.07</v>
      </c>
      <c r="F38" s="10">
        <v>13.090000000000146</v>
      </c>
      <c r="G38" s="19">
        <f t="shared" si="2"/>
        <v>207345.60000000231</v>
      </c>
      <c r="H38" s="2"/>
      <c r="I38" s="19">
        <f t="shared" si="6"/>
        <v>0</v>
      </c>
      <c r="J38" s="19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113097.59999999999</v>
      </c>
      <c r="Q38" s="16">
        <f t="shared" si="5"/>
        <v>320443.20000000228</v>
      </c>
      <c r="R38" s="66">
        <f t="shared" si="1"/>
        <v>22.399217111701542</v>
      </c>
      <c r="S38" s="58"/>
    </row>
    <row r="39" spans="1:21" ht="17.100000000000001" customHeight="1">
      <c r="B39" s="65">
        <v>31</v>
      </c>
      <c r="C39" s="15">
        <f>Electricity!C38</f>
        <v>8</v>
      </c>
      <c r="D39" s="15">
        <f>Electricity!D38</f>
        <v>56</v>
      </c>
      <c r="E39" s="2">
        <v>7398.25</v>
      </c>
      <c r="F39" s="10">
        <v>11.180000000000291</v>
      </c>
      <c r="G39" s="19">
        <f t="shared" ref="G39" si="7">F39*$G$8</f>
        <v>177091.20000000461</v>
      </c>
      <c r="H39" s="2"/>
      <c r="I39" s="19">
        <f t="shared" si="6"/>
        <v>0</v>
      </c>
      <c r="J39" s="19">
        <f t="shared" ref="J39" si="8">I39*$J$8</f>
        <v>0</v>
      </c>
      <c r="K39" s="2"/>
      <c r="L39" s="10"/>
      <c r="M39" s="11">
        <f t="shared" ref="M39" si="9">L39*$M$8</f>
        <v>0</v>
      </c>
      <c r="N39" s="2"/>
      <c r="O39" s="10">
        <v>7.14</v>
      </c>
      <c r="P39" s="10">
        <f t="shared" ref="P39" si="10">O39*$P$8</f>
        <v>113097.59999999999</v>
      </c>
      <c r="Q39" s="16">
        <f t="shared" ref="Q39" si="11">J39+M39+G39+P39</f>
        <v>290188.80000000459</v>
      </c>
      <c r="R39" s="66">
        <f t="shared" si="1"/>
        <v>20.284412134768949</v>
      </c>
    </row>
    <row r="40" spans="1:21" ht="15.75">
      <c r="C40" s="40">
        <f>SUM(C9:C39)</f>
        <v>241</v>
      </c>
      <c r="D40" s="40">
        <f>SUM(D9:D39)</f>
        <v>1406</v>
      </c>
      <c r="E40" s="18"/>
      <c r="F40" s="18">
        <f>SUM(F9:F39)</f>
        <v>380.98999999999978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221.3399999999998</v>
      </c>
      <c r="P40" s="9"/>
      <c r="Q40"/>
      <c r="R40" s="42">
        <f>SUM(R9:R39)</f>
        <v>666.91648259471526</v>
      </c>
      <c r="U40" s="31"/>
    </row>
    <row r="41" spans="1:21">
      <c r="E41" s="24"/>
      <c r="F41" s="25"/>
      <c r="G41" s="21"/>
      <c r="H41" s="21"/>
      <c r="I41" s="21"/>
      <c r="J41" s="21"/>
      <c r="K41" s="21"/>
      <c r="L41" s="21"/>
      <c r="M41" s="21"/>
      <c r="N41" s="8"/>
      <c r="O41" s="25"/>
      <c r="P41" s="26"/>
      <c r="Q41" s="18"/>
      <c r="R41" s="21"/>
      <c r="U41" s="29"/>
    </row>
    <row r="42" spans="1:21">
      <c r="B42" s="74" t="s">
        <v>29</v>
      </c>
      <c r="E42" s="8"/>
      <c r="F42" s="9"/>
      <c r="G42" s="9"/>
      <c r="H42" s="9"/>
      <c r="I42" s="9"/>
      <c r="J42" s="9"/>
      <c r="K42" s="9"/>
      <c r="L42" s="9"/>
      <c r="M42" s="21"/>
      <c r="N42" s="8"/>
      <c r="O42" s="9"/>
      <c r="P42" s="9"/>
      <c r="Q42" s="17"/>
      <c r="R42" s="34"/>
    </row>
    <row r="43" spans="1:21">
      <c r="E43" s="75"/>
      <c r="F43" s="75"/>
      <c r="G43" s="75"/>
      <c r="H43" s="75"/>
      <c r="I43" s="75"/>
      <c r="J43" s="75"/>
      <c r="K43" s="75"/>
      <c r="L43" s="75"/>
      <c r="M43" s="76"/>
      <c r="N43" s="75"/>
      <c r="O43" s="75"/>
      <c r="P43" s="87" t="s">
        <v>45</v>
      </c>
      <c r="Q43" s="87"/>
      <c r="R43" s="35"/>
    </row>
    <row r="44" spans="1:21">
      <c r="Q44" s="32">
        <f>F40+O40</f>
        <v>602.32999999999959</v>
      </c>
      <c r="R44" s="35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15" activePane="bottomRight" state="frozen"/>
      <selection pane="bottomRight" sqref="A1:XFD1048576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1" t="s">
        <v>46</v>
      </c>
      <c r="C1" s="81"/>
      <c r="D1" s="81"/>
      <c r="E1" s="81"/>
      <c r="F1" s="81"/>
      <c r="G1" s="81"/>
      <c r="H1" s="81"/>
    </row>
    <row r="2" spans="1:9" ht="15.75">
      <c r="B2" s="81" t="s">
        <v>16</v>
      </c>
      <c r="C2" s="81"/>
      <c r="D2" s="81"/>
      <c r="E2" s="81"/>
      <c r="F2" s="81"/>
      <c r="G2" s="81"/>
      <c r="H2" s="81"/>
    </row>
    <row r="3" spans="1:9">
      <c r="B3" s="5"/>
      <c r="C3" s="4"/>
      <c r="D3" s="13"/>
      <c r="E3" s="13"/>
      <c r="F3" s="77"/>
      <c r="G3" s="77"/>
      <c r="H3" s="4"/>
    </row>
    <row r="4" spans="1:9">
      <c r="A4" s="59"/>
      <c r="B4" s="88">
        <v>44470</v>
      </c>
      <c r="C4" s="88"/>
      <c r="D4" s="88"/>
      <c r="E4" s="88"/>
      <c r="F4" s="88"/>
      <c r="G4" s="88"/>
      <c r="H4" s="88"/>
      <c r="I4" s="7"/>
    </row>
    <row r="5" spans="1:9" ht="12.75" customHeight="1">
      <c r="A5" s="60"/>
      <c r="B5" s="80" t="s">
        <v>47</v>
      </c>
      <c r="C5" s="80" t="s">
        <v>18</v>
      </c>
      <c r="D5" s="80" t="s">
        <v>13</v>
      </c>
      <c r="E5" s="80" t="s">
        <v>48</v>
      </c>
      <c r="F5" s="80"/>
      <c r="G5" s="80"/>
      <c r="H5" s="80" t="s">
        <v>23</v>
      </c>
      <c r="I5" s="57"/>
    </row>
    <row r="6" spans="1:9">
      <c r="A6" s="60"/>
      <c r="B6" s="80"/>
      <c r="C6" s="80"/>
      <c r="D6" s="80"/>
      <c r="E6" s="80"/>
      <c r="F6" s="80"/>
      <c r="G6" s="80"/>
      <c r="H6" s="80"/>
      <c r="I6" s="57"/>
    </row>
    <row r="7" spans="1:9" s="6" customFormat="1" ht="31.5" customHeight="1">
      <c r="A7" s="60"/>
      <c r="B7" s="80"/>
      <c r="C7" s="80"/>
      <c r="D7" s="80"/>
      <c r="E7" s="61" t="s">
        <v>37</v>
      </c>
      <c r="F7" s="92" t="s">
        <v>49</v>
      </c>
      <c r="G7" s="62" t="s">
        <v>41</v>
      </c>
      <c r="H7" s="80"/>
      <c r="I7" s="57"/>
    </row>
    <row r="8" spans="1:9" s="6" customFormat="1">
      <c r="A8" s="60"/>
      <c r="B8" s="80"/>
      <c r="C8" s="80"/>
      <c r="D8" s="80"/>
      <c r="E8" s="63">
        <v>2167</v>
      </c>
      <c r="F8" s="92"/>
      <c r="G8" s="62">
        <v>10700</v>
      </c>
      <c r="H8" s="80"/>
      <c r="I8" s="57"/>
    </row>
    <row r="9" spans="1:9" ht="17.100000000000001" customHeight="1">
      <c r="A9" s="64"/>
      <c r="B9" s="65">
        <v>1</v>
      </c>
      <c r="C9" s="28">
        <f>Gas!C9</f>
        <v>11</v>
      </c>
      <c r="D9" s="28">
        <f>Gas!D9</f>
        <v>98</v>
      </c>
      <c r="E9" s="14">
        <v>2167</v>
      </c>
      <c r="F9" s="22">
        <v>0</v>
      </c>
      <c r="G9" s="22">
        <f t="shared" ref="G9:G38" si="0">F9*$G$8</f>
        <v>0</v>
      </c>
      <c r="H9" s="66">
        <f>G9/14306</f>
        <v>0</v>
      </c>
      <c r="I9" s="58"/>
    </row>
    <row r="10" spans="1:9" ht="17.100000000000001" customHeight="1">
      <c r="A10" s="64"/>
      <c r="B10" s="65">
        <v>2</v>
      </c>
      <c r="C10" s="28">
        <f>Gas!C10</f>
        <v>19</v>
      </c>
      <c r="D10" s="28">
        <f>Gas!D10</f>
        <v>59</v>
      </c>
      <c r="E10" s="14">
        <v>2167</v>
      </c>
      <c r="F10" s="22">
        <v>0</v>
      </c>
      <c r="G10" s="22">
        <f>F10*$G$8</f>
        <v>0</v>
      </c>
      <c r="H10" s="66">
        <f t="shared" ref="H10:H39" si="1">G10/14306</f>
        <v>0</v>
      </c>
      <c r="I10" s="58"/>
    </row>
    <row r="11" spans="1:9" ht="17.100000000000001" customHeight="1">
      <c r="A11" s="64"/>
      <c r="B11" s="65">
        <v>3</v>
      </c>
      <c r="C11" s="28">
        <f>Gas!C11</f>
        <v>13</v>
      </c>
      <c r="D11" s="28">
        <f>Gas!D11</f>
        <v>82</v>
      </c>
      <c r="E11" s="14">
        <v>2167</v>
      </c>
      <c r="F11" s="22">
        <v>0</v>
      </c>
      <c r="G11" s="22">
        <f t="shared" si="0"/>
        <v>0</v>
      </c>
      <c r="H11" s="66">
        <f t="shared" si="1"/>
        <v>0</v>
      </c>
      <c r="I11" s="58"/>
    </row>
    <row r="12" spans="1:9" ht="17.100000000000001" customHeight="1">
      <c r="A12" s="64"/>
      <c r="B12" s="65">
        <v>4</v>
      </c>
      <c r="C12" s="28">
        <f>Gas!C12</f>
        <v>7</v>
      </c>
      <c r="D12" s="28">
        <f>Gas!D12</f>
        <v>78</v>
      </c>
      <c r="E12" s="14">
        <v>2167</v>
      </c>
      <c r="F12" s="22">
        <v>0</v>
      </c>
      <c r="G12" s="22">
        <f t="shared" si="0"/>
        <v>0</v>
      </c>
      <c r="H12" s="66">
        <f t="shared" si="1"/>
        <v>0</v>
      </c>
      <c r="I12" s="58"/>
    </row>
    <row r="13" spans="1:9" ht="17.100000000000001" customHeight="1">
      <c r="A13" s="64"/>
      <c r="B13" s="65">
        <v>5</v>
      </c>
      <c r="C13" s="28">
        <f>Gas!C13</f>
        <v>5</v>
      </c>
      <c r="D13" s="28">
        <f>Gas!D13</f>
        <v>32</v>
      </c>
      <c r="E13" s="14">
        <v>2186</v>
      </c>
      <c r="F13" s="22">
        <v>19</v>
      </c>
      <c r="G13" s="22">
        <f t="shared" si="0"/>
        <v>203300</v>
      </c>
      <c r="H13" s="66">
        <f t="shared" si="1"/>
        <v>14.210820634698727</v>
      </c>
      <c r="I13" s="58"/>
    </row>
    <row r="14" spans="1:9" ht="17.100000000000001" customHeight="1">
      <c r="A14" s="64"/>
      <c r="B14" s="65">
        <v>6</v>
      </c>
      <c r="C14" s="28">
        <f>Gas!C14</f>
        <v>7</v>
      </c>
      <c r="D14" s="28">
        <f>Gas!D14</f>
        <v>25</v>
      </c>
      <c r="E14" s="14">
        <v>2186</v>
      </c>
      <c r="F14" s="22">
        <v>0</v>
      </c>
      <c r="G14" s="22">
        <f t="shared" si="0"/>
        <v>0</v>
      </c>
      <c r="H14" s="66">
        <f t="shared" si="1"/>
        <v>0</v>
      </c>
      <c r="I14" s="58"/>
    </row>
    <row r="15" spans="1:9" ht="17.100000000000001" customHeight="1">
      <c r="A15" s="64"/>
      <c r="B15" s="65">
        <v>7</v>
      </c>
      <c r="C15" s="28">
        <f>Gas!C15</f>
        <v>10</v>
      </c>
      <c r="D15" s="28">
        <f>Gas!D15</f>
        <v>33</v>
      </c>
      <c r="E15" s="14">
        <v>2186</v>
      </c>
      <c r="F15" s="22">
        <v>0</v>
      </c>
      <c r="G15" s="22">
        <f t="shared" si="0"/>
        <v>0</v>
      </c>
      <c r="H15" s="66">
        <f t="shared" si="1"/>
        <v>0</v>
      </c>
      <c r="I15" s="58"/>
    </row>
    <row r="16" spans="1:9" ht="17.100000000000001" customHeight="1">
      <c r="A16" s="64"/>
      <c r="B16" s="65">
        <v>8</v>
      </c>
      <c r="C16" s="28">
        <f>Gas!C16</f>
        <v>10</v>
      </c>
      <c r="D16" s="28">
        <f>Gas!D16</f>
        <v>46</v>
      </c>
      <c r="E16" s="14">
        <v>2186</v>
      </c>
      <c r="F16" s="22">
        <v>0</v>
      </c>
      <c r="G16" s="22">
        <f t="shared" si="0"/>
        <v>0</v>
      </c>
      <c r="H16" s="66">
        <f t="shared" si="1"/>
        <v>0</v>
      </c>
      <c r="I16" s="58"/>
    </row>
    <row r="17" spans="1:9" ht="17.100000000000001" customHeight="1">
      <c r="A17" s="64"/>
      <c r="B17" s="65">
        <v>9</v>
      </c>
      <c r="C17" s="28">
        <f>Gas!C17</f>
        <v>7</v>
      </c>
      <c r="D17" s="28">
        <f>Gas!D17</f>
        <v>50</v>
      </c>
      <c r="E17" s="14">
        <v>2257</v>
      </c>
      <c r="F17" s="22">
        <v>71</v>
      </c>
      <c r="G17" s="22">
        <f t="shared" si="0"/>
        <v>759700</v>
      </c>
      <c r="H17" s="66">
        <f t="shared" si="1"/>
        <v>53.10359289808472</v>
      </c>
      <c r="I17" s="58"/>
    </row>
    <row r="18" spans="1:9" ht="17.100000000000001" customHeight="1">
      <c r="A18" s="64"/>
      <c r="B18" s="65">
        <v>10</v>
      </c>
      <c r="C18" s="28">
        <f>Gas!C18</f>
        <v>9</v>
      </c>
      <c r="D18" s="28">
        <f>Gas!D18</f>
        <v>47</v>
      </c>
      <c r="E18" s="14">
        <v>2257</v>
      </c>
      <c r="F18" s="22">
        <v>0</v>
      </c>
      <c r="G18" s="22">
        <f t="shared" si="0"/>
        <v>0</v>
      </c>
      <c r="H18" s="66">
        <f t="shared" si="1"/>
        <v>0</v>
      </c>
      <c r="I18" s="58"/>
    </row>
    <row r="19" spans="1:9" ht="17.100000000000001" customHeight="1">
      <c r="A19" s="64"/>
      <c r="B19" s="65">
        <v>11</v>
      </c>
      <c r="C19" s="28">
        <f>Gas!C19</f>
        <v>10</v>
      </c>
      <c r="D19" s="28">
        <f>Gas!D19</f>
        <v>42</v>
      </c>
      <c r="E19" s="14">
        <v>2257</v>
      </c>
      <c r="F19" s="22"/>
      <c r="G19" s="22">
        <f t="shared" si="0"/>
        <v>0</v>
      </c>
      <c r="H19" s="66">
        <f t="shared" si="1"/>
        <v>0</v>
      </c>
      <c r="I19" s="58"/>
    </row>
    <row r="20" spans="1:9" ht="17.100000000000001" customHeight="1">
      <c r="A20" s="64"/>
      <c r="B20" s="65">
        <v>12</v>
      </c>
      <c r="C20" s="28">
        <f>Gas!C20</f>
        <v>6</v>
      </c>
      <c r="D20" s="28">
        <f>Gas!D20</f>
        <v>50</v>
      </c>
      <c r="E20" s="14">
        <v>2257</v>
      </c>
      <c r="F20" s="22"/>
      <c r="G20" s="22">
        <f t="shared" si="0"/>
        <v>0</v>
      </c>
      <c r="H20" s="66">
        <f t="shared" si="1"/>
        <v>0</v>
      </c>
      <c r="I20" s="58"/>
    </row>
    <row r="21" spans="1:9" ht="17.100000000000001" customHeight="1">
      <c r="A21" s="64"/>
      <c r="B21" s="65">
        <v>13</v>
      </c>
      <c r="C21" s="28">
        <f>Gas!C21</f>
        <v>2</v>
      </c>
      <c r="D21" s="28">
        <f>Gas!D21</f>
        <v>28</v>
      </c>
      <c r="E21" s="14">
        <v>2404</v>
      </c>
      <c r="F21" s="22">
        <v>147</v>
      </c>
      <c r="G21" s="22">
        <f t="shared" si="0"/>
        <v>1572900</v>
      </c>
      <c r="H21" s="66">
        <f t="shared" si="1"/>
        <v>109.94687543687964</v>
      </c>
      <c r="I21" s="58"/>
    </row>
    <row r="22" spans="1:9" ht="17.100000000000001" customHeight="1">
      <c r="A22" s="64"/>
      <c r="B22" s="65">
        <v>14</v>
      </c>
      <c r="C22" s="28">
        <f>Gas!C22</f>
        <v>4</v>
      </c>
      <c r="D22" s="28">
        <f>Gas!D22</f>
        <v>14</v>
      </c>
      <c r="E22" s="14">
        <v>2404</v>
      </c>
      <c r="F22" s="22"/>
      <c r="G22" s="22">
        <f t="shared" si="0"/>
        <v>0</v>
      </c>
      <c r="H22" s="66">
        <f t="shared" si="1"/>
        <v>0</v>
      </c>
      <c r="I22" s="58"/>
    </row>
    <row r="23" spans="1:9" ht="17.100000000000001" customHeight="1">
      <c r="A23" s="64"/>
      <c r="B23" s="65">
        <v>15</v>
      </c>
      <c r="C23" s="28">
        <f>Gas!C23</f>
        <v>8</v>
      </c>
      <c r="D23" s="28">
        <f>Gas!D23</f>
        <v>26</v>
      </c>
      <c r="E23" s="14">
        <v>2404</v>
      </c>
      <c r="F23" s="22"/>
      <c r="G23" s="22">
        <f t="shared" si="0"/>
        <v>0</v>
      </c>
      <c r="H23" s="66">
        <f t="shared" si="1"/>
        <v>0</v>
      </c>
      <c r="I23" s="58"/>
    </row>
    <row r="24" spans="1:9" ht="17.100000000000001" customHeight="1">
      <c r="A24" s="64"/>
      <c r="B24" s="65">
        <v>16</v>
      </c>
      <c r="C24" s="28">
        <f>Gas!C24</f>
        <v>11</v>
      </c>
      <c r="D24" s="28">
        <f>Gas!D24</f>
        <v>54</v>
      </c>
      <c r="E24" s="14">
        <v>2404</v>
      </c>
      <c r="F24" s="22"/>
      <c r="G24" s="22">
        <f t="shared" si="0"/>
        <v>0</v>
      </c>
      <c r="H24" s="66">
        <f t="shared" si="1"/>
        <v>0</v>
      </c>
      <c r="I24" s="58"/>
    </row>
    <row r="25" spans="1:9" ht="17.100000000000001" customHeight="1">
      <c r="A25" s="64"/>
      <c r="B25" s="65">
        <v>17</v>
      </c>
      <c r="C25" s="28">
        <f>Gas!C25</f>
        <v>9</v>
      </c>
      <c r="D25" s="28">
        <f>Gas!D25</f>
        <v>51</v>
      </c>
      <c r="E25" s="14">
        <v>2404</v>
      </c>
      <c r="F25" s="22"/>
      <c r="G25" s="22">
        <f t="shared" si="0"/>
        <v>0</v>
      </c>
      <c r="H25" s="66">
        <f t="shared" si="1"/>
        <v>0</v>
      </c>
      <c r="I25" s="58"/>
    </row>
    <row r="26" spans="1:9" ht="17.100000000000001" customHeight="1">
      <c r="A26" s="64"/>
      <c r="B26" s="65">
        <v>18</v>
      </c>
      <c r="C26" s="28">
        <f>Gas!C26</f>
        <v>9</v>
      </c>
      <c r="D26" s="28">
        <f>Gas!D26</f>
        <v>55</v>
      </c>
      <c r="E26" s="14">
        <v>2422</v>
      </c>
      <c r="F26" s="22">
        <v>18</v>
      </c>
      <c r="G26" s="22">
        <f t="shared" si="0"/>
        <v>192600</v>
      </c>
      <c r="H26" s="66">
        <f t="shared" si="1"/>
        <v>13.462882706556689</v>
      </c>
      <c r="I26" s="58"/>
    </row>
    <row r="27" spans="1:9" ht="17.100000000000001" customHeight="1">
      <c r="A27" s="64"/>
      <c r="B27" s="65">
        <v>19</v>
      </c>
      <c r="C27" s="28">
        <f>Gas!C27</f>
        <v>7</v>
      </c>
      <c r="D27" s="28">
        <f>Gas!D27</f>
        <v>53</v>
      </c>
      <c r="E27" s="14">
        <v>2422</v>
      </c>
      <c r="F27" s="22"/>
      <c r="G27" s="22">
        <f t="shared" si="0"/>
        <v>0</v>
      </c>
      <c r="H27" s="66">
        <f t="shared" si="1"/>
        <v>0</v>
      </c>
      <c r="I27" s="58"/>
    </row>
    <row r="28" spans="1:9" ht="17.100000000000001" customHeight="1">
      <c r="A28" s="64"/>
      <c r="B28" s="65">
        <v>20</v>
      </c>
      <c r="C28" s="28">
        <f>Gas!C28</f>
        <v>5</v>
      </c>
      <c r="D28" s="28">
        <f>Gas!D28</f>
        <v>53</v>
      </c>
      <c r="E28" s="14">
        <v>2422</v>
      </c>
      <c r="F28" s="22"/>
      <c r="G28" s="22">
        <f t="shared" si="0"/>
        <v>0</v>
      </c>
      <c r="H28" s="66">
        <f t="shared" si="1"/>
        <v>0</v>
      </c>
      <c r="I28" s="58"/>
    </row>
    <row r="29" spans="1:9" ht="17.100000000000001" customHeight="1">
      <c r="A29" s="64"/>
      <c r="B29" s="65">
        <v>21</v>
      </c>
      <c r="C29" s="28">
        <f>Gas!C29</f>
        <v>3</v>
      </c>
      <c r="D29" s="28">
        <f>Gas!D29</f>
        <v>19</v>
      </c>
      <c r="E29" s="14">
        <v>2600</v>
      </c>
      <c r="F29" s="22">
        <v>178</v>
      </c>
      <c r="G29" s="22">
        <f t="shared" si="0"/>
        <v>1904600</v>
      </c>
      <c r="H29" s="66">
        <f t="shared" si="1"/>
        <v>133.13295120928282</v>
      </c>
      <c r="I29" s="58"/>
    </row>
    <row r="30" spans="1:9" ht="17.100000000000001" customHeight="1">
      <c r="A30" s="64"/>
      <c r="B30" s="65">
        <v>22</v>
      </c>
      <c r="C30" s="28">
        <f>Gas!C30</f>
        <v>5</v>
      </c>
      <c r="D30" s="28">
        <f>Gas!D30</f>
        <v>20</v>
      </c>
      <c r="E30" s="14">
        <v>2600</v>
      </c>
      <c r="F30" s="22"/>
      <c r="G30" s="22">
        <f t="shared" si="0"/>
        <v>0</v>
      </c>
      <c r="H30" s="66">
        <f t="shared" si="1"/>
        <v>0</v>
      </c>
      <c r="I30" s="58"/>
    </row>
    <row r="31" spans="1:9" ht="17.100000000000001" customHeight="1">
      <c r="A31" s="64"/>
      <c r="B31" s="65">
        <v>23</v>
      </c>
      <c r="C31" s="28">
        <f>Gas!C31</f>
        <v>5</v>
      </c>
      <c r="D31" s="28">
        <f>Gas!D31</f>
        <v>51</v>
      </c>
      <c r="E31" s="14">
        <v>2600</v>
      </c>
      <c r="F31" s="22"/>
      <c r="G31" s="22">
        <f t="shared" si="0"/>
        <v>0</v>
      </c>
      <c r="H31" s="66">
        <f t="shared" si="1"/>
        <v>0</v>
      </c>
      <c r="I31" s="58"/>
    </row>
    <row r="32" spans="1:9" ht="17.100000000000001" customHeight="1">
      <c r="A32" s="64"/>
      <c r="B32" s="65">
        <v>24</v>
      </c>
      <c r="C32" s="28">
        <f>Gas!C32</f>
        <v>4</v>
      </c>
      <c r="D32" s="28">
        <f>Gas!D32</f>
        <v>31</v>
      </c>
      <c r="E32" s="14">
        <v>2600</v>
      </c>
      <c r="F32" s="22"/>
      <c r="G32" s="22">
        <f t="shared" si="0"/>
        <v>0</v>
      </c>
      <c r="H32" s="66">
        <f t="shared" si="1"/>
        <v>0</v>
      </c>
      <c r="I32" s="58"/>
    </row>
    <row r="33" spans="1:11" ht="17.100000000000001" customHeight="1">
      <c r="A33" s="64"/>
      <c r="B33" s="65">
        <v>25</v>
      </c>
      <c r="C33" s="28">
        <f>Gas!C33</f>
        <v>4</v>
      </c>
      <c r="D33" s="28">
        <f>Gas!D33</f>
        <v>25</v>
      </c>
      <c r="E33" s="14">
        <v>2600</v>
      </c>
      <c r="F33" s="22"/>
      <c r="G33" s="22">
        <f t="shared" si="0"/>
        <v>0</v>
      </c>
      <c r="H33" s="66">
        <f t="shared" si="1"/>
        <v>0</v>
      </c>
      <c r="I33" s="58"/>
    </row>
    <row r="34" spans="1:11" ht="17.100000000000001" customHeight="1">
      <c r="A34" s="64"/>
      <c r="B34" s="65">
        <v>26</v>
      </c>
      <c r="C34" s="28">
        <f>Gas!C34</f>
        <v>6</v>
      </c>
      <c r="D34" s="28">
        <f>Gas!D34</f>
        <v>23</v>
      </c>
      <c r="E34" s="14">
        <v>2600</v>
      </c>
      <c r="F34" s="22"/>
      <c r="G34" s="22">
        <f t="shared" si="0"/>
        <v>0</v>
      </c>
      <c r="H34" s="66">
        <f t="shared" si="1"/>
        <v>0</v>
      </c>
      <c r="I34" s="58"/>
    </row>
    <row r="35" spans="1:11" ht="17.100000000000001" customHeight="1">
      <c r="A35" s="64"/>
      <c r="B35" s="65">
        <v>27</v>
      </c>
      <c r="C35" s="28">
        <f>Gas!C35</f>
        <v>5</v>
      </c>
      <c r="D35" s="28">
        <f>Gas!D35</f>
        <v>49</v>
      </c>
      <c r="E35" s="14">
        <v>2600</v>
      </c>
      <c r="F35" s="22"/>
      <c r="G35" s="22">
        <f t="shared" si="0"/>
        <v>0</v>
      </c>
      <c r="H35" s="66">
        <f t="shared" si="1"/>
        <v>0</v>
      </c>
      <c r="I35" s="58"/>
    </row>
    <row r="36" spans="1:11" ht="17.100000000000001" customHeight="1">
      <c r="A36" s="64"/>
      <c r="B36" s="65">
        <v>28</v>
      </c>
      <c r="C36" s="28">
        <f>Gas!C36</f>
        <v>8</v>
      </c>
      <c r="D36" s="28">
        <f>Gas!D36</f>
        <v>41</v>
      </c>
      <c r="E36" s="14">
        <v>2600</v>
      </c>
      <c r="F36" s="22"/>
      <c r="G36" s="22">
        <f t="shared" si="0"/>
        <v>0</v>
      </c>
      <c r="H36" s="66">
        <f t="shared" si="1"/>
        <v>0</v>
      </c>
      <c r="I36" s="58"/>
    </row>
    <row r="37" spans="1:11" ht="17.100000000000001" customHeight="1">
      <c r="A37" s="64"/>
      <c r="B37" s="65">
        <v>29</v>
      </c>
      <c r="C37" s="28">
        <f>Gas!C37</f>
        <v>14</v>
      </c>
      <c r="D37" s="28">
        <f>Gas!D37</f>
        <v>58</v>
      </c>
      <c r="E37" s="14">
        <v>2600</v>
      </c>
      <c r="F37" s="22"/>
      <c r="G37" s="22">
        <f t="shared" si="0"/>
        <v>0</v>
      </c>
      <c r="H37" s="66">
        <f t="shared" si="1"/>
        <v>0</v>
      </c>
      <c r="I37" s="58"/>
    </row>
    <row r="38" spans="1:11" ht="17.100000000000001" customHeight="1">
      <c r="A38" s="64"/>
      <c r="B38" s="65">
        <v>30</v>
      </c>
      <c r="C38" s="28">
        <f>Gas!C38</f>
        <v>10</v>
      </c>
      <c r="D38" s="28">
        <f>Gas!D38</f>
        <v>57</v>
      </c>
      <c r="E38" s="14">
        <v>2600</v>
      </c>
      <c r="F38" s="22"/>
      <c r="G38" s="22">
        <f t="shared" si="0"/>
        <v>0</v>
      </c>
      <c r="H38" s="66">
        <f t="shared" si="1"/>
        <v>0</v>
      </c>
      <c r="I38" s="58"/>
    </row>
    <row r="39" spans="1:11" ht="17.100000000000001" customHeight="1">
      <c r="A39" s="64"/>
      <c r="B39" s="65">
        <v>31</v>
      </c>
      <c r="C39" s="28">
        <f>Gas!C39</f>
        <v>8</v>
      </c>
      <c r="D39" s="28">
        <f>Gas!D39</f>
        <v>56</v>
      </c>
      <c r="E39" s="14">
        <v>2600</v>
      </c>
      <c r="F39" s="22"/>
      <c r="G39" s="22">
        <f t="shared" ref="G39" si="2">F39*$G$8</f>
        <v>0</v>
      </c>
      <c r="H39" s="66">
        <f t="shared" si="1"/>
        <v>0</v>
      </c>
    </row>
    <row r="40" spans="1:11" ht="21.6" customHeight="1">
      <c r="C40" s="18">
        <f>SUM(C9:C39)</f>
        <v>241</v>
      </c>
      <c r="D40" s="18">
        <f>SUM(D9:D39)</f>
        <v>1406</v>
      </c>
      <c r="E40" s="18"/>
      <c r="F40" s="18">
        <f>SUM(F9:F39)</f>
        <v>433</v>
      </c>
      <c r="G40" s="18"/>
      <c r="H40" s="39">
        <f>SUM(H9:H39)</f>
        <v>323.85712288550258</v>
      </c>
      <c r="K40" s="31"/>
    </row>
    <row r="41" spans="1:11">
      <c r="E41" s="18"/>
      <c r="F41" s="20"/>
      <c r="G41" s="20"/>
      <c r="H41" s="21"/>
    </row>
    <row r="42" spans="1:11">
      <c r="C42" t="s">
        <v>29</v>
      </c>
      <c r="E42" s="75"/>
      <c r="F42" s="78"/>
      <c r="G42" s="78"/>
    </row>
    <row r="43" spans="1:11">
      <c r="E43" s="75"/>
      <c r="F43" s="78"/>
      <c r="G43" s="78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5" zoomScaleNormal="100" workbookViewId="0">
      <selection activeCell="I22" sqref="I22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1" t="s">
        <v>50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3" ht="15.75">
      <c r="B3" s="81" t="s">
        <v>16</v>
      </c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3">
        <v>44470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7"/>
    </row>
    <row r="6" spans="1:13" ht="23.25" customHeight="1">
      <c r="A6" s="67"/>
      <c r="B6" s="80" t="s">
        <v>17</v>
      </c>
      <c r="C6" s="80" t="s">
        <v>51</v>
      </c>
      <c r="D6" s="80" t="s">
        <v>13</v>
      </c>
      <c r="E6" s="90" t="s">
        <v>52</v>
      </c>
      <c r="F6" s="90"/>
      <c r="G6" s="91" t="s">
        <v>53</v>
      </c>
      <c r="H6" s="91"/>
      <c r="I6" s="91"/>
      <c r="J6" s="91"/>
      <c r="K6" s="80" t="s">
        <v>54</v>
      </c>
      <c r="L6" s="80" t="s">
        <v>55</v>
      </c>
      <c r="M6" s="57"/>
    </row>
    <row r="7" spans="1:13" s="6" customFormat="1" ht="48" customHeight="1">
      <c r="A7" s="67"/>
      <c r="B7" s="80"/>
      <c r="C7" s="80"/>
      <c r="D7" s="80"/>
      <c r="E7" s="80" t="s">
        <v>56</v>
      </c>
      <c r="F7" s="80" t="s">
        <v>57</v>
      </c>
      <c r="G7" s="80" t="s">
        <v>56</v>
      </c>
      <c r="H7" s="80" t="s">
        <v>58</v>
      </c>
      <c r="I7" s="80" t="s">
        <v>56</v>
      </c>
      <c r="J7" s="80" t="s">
        <v>59</v>
      </c>
      <c r="K7" s="80"/>
      <c r="L7" s="80"/>
      <c r="M7" s="57"/>
    </row>
    <row r="8" spans="1:13" ht="15.75" customHeight="1">
      <c r="A8" s="68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58"/>
    </row>
    <row r="9" spans="1:13" ht="15.75" customHeight="1">
      <c r="A9" s="68"/>
      <c r="B9" s="65">
        <v>1</v>
      </c>
      <c r="C9" s="28">
        <f>'Fuel Diesel'!C9</f>
        <v>11</v>
      </c>
      <c r="D9" s="28">
        <f>'Fuel Diesel'!D9</f>
        <v>98</v>
      </c>
      <c r="E9" s="10">
        <v>0</v>
      </c>
      <c r="F9" s="3">
        <f>E9*13582</f>
        <v>0</v>
      </c>
      <c r="G9" s="10">
        <v>102</v>
      </c>
      <c r="H9" s="3">
        <f>G9*4000</f>
        <v>408000</v>
      </c>
      <c r="I9" s="10">
        <v>254</v>
      </c>
      <c r="J9" s="3">
        <f>I9*4000</f>
        <v>1016000</v>
      </c>
      <c r="K9" s="10">
        <f t="shared" ref="K9:K38" si="0">F9+H9+J9</f>
        <v>1424000</v>
      </c>
      <c r="L9" s="69">
        <f>K9/14306</f>
        <v>99.53865510974417</v>
      </c>
      <c r="M9" s="58"/>
    </row>
    <row r="10" spans="1:13" ht="17.100000000000001" customHeight="1">
      <c r="A10" s="68"/>
      <c r="B10" s="65">
        <v>2</v>
      </c>
      <c r="C10" s="28">
        <f>'Fuel Diesel'!C10</f>
        <v>19</v>
      </c>
      <c r="D10" s="28">
        <f>'Fuel Diesel'!D10</f>
        <v>59</v>
      </c>
      <c r="E10" s="10">
        <v>0</v>
      </c>
      <c r="F10" s="3">
        <f>E10*13582</f>
        <v>0</v>
      </c>
      <c r="G10" s="10">
        <v>127</v>
      </c>
      <c r="H10" s="3">
        <f>G10*4000</f>
        <v>508000</v>
      </c>
      <c r="I10" s="10">
        <v>182</v>
      </c>
      <c r="J10" s="3">
        <f>I10*4000</f>
        <v>728000</v>
      </c>
      <c r="K10" s="10">
        <f t="shared" si="0"/>
        <v>1236000</v>
      </c>
      <c r="L10" s="69">
        <f t="shared" ref="L10:L39" si="1">K10/14306</f>
        <v>86.3973158115476</v>
      </c>
      <c r="M10" s="58"/>
    </row>
    <row r="11" spans="1:13" ht="17.100000000000001" customHeight="1">
      <c r="A11" s="68"/>
      <c r="B11" s="65">
        <v>3</v>
      </c>
      <c r="C11" s="28">
        <f>'Fuel Diesel'!C11</f>
        <v>13</v>
      </c>
      <c r="D11" s="28">
        <f>'Fuel Diesel'!D11</f>
        <v>82</v>
      </c>
      <c r="E11" s="10">
        <v>0</v>
      </c>
      <c r="F11" s="3">
        <f t="shared" ref="F11:F38" si="2">E11*13582</f>
        <v>0</v>
      </c>
      <c r="G11" s="10">
        <v>75</v>
      </c>
      <c r="H11" s="3">
        <f t="shared" ref="H11:H38" si="3">G11*4000</f>
        <v>300000</v>
      </c>
      <c r="I11" s="10">
        <v>228</v>
      </c>
      <c r="J11" s="3">
        <f t="shared" ref="J11:J38" si="4">I11*4000</f>
        <v>912000</v>
      </c>
      <c r="K11" s="10">
        <f t="shared" si="0"/>
        <v>1212000</v>
      </c>
      <c r="L11" s="69">
        <f t="shared" si="1"/>
        <v>84.719698028799101</v>
      </c>
      <c r="M11" s="58"/>
    </row>
    <row r="12" spans="1:13" ht="17.100000000000001" customHeight="1">
      <c r="A12" s="68"/>
      <c r="B12" s="65">
        <v>4</v>
      </c>
      <c r="C12" s="28">
        <f>'Fuel Diesel'!C12</f>
        <v>7</v>
      </c>
      <c r="D12" s="28">
        <f>'Fuel Diesel'!D12</f>
        <v>78</v>
      </c>
      <c r="E12" s="10">
        <v>0</v>
      </c>
      <c r="F12" s="3">
        <f t="shared" si="2"/>
        <v>0</v>
      </c>
      <c r="G12" s="10">
        <v>127</v>
      </c>
      <c r="H12" s="3">
        <f t="shared" si="3"/>
        <v>508000</v>
      </c>
      <c r="I12" s="10">
        <v>188</v>
      </c>
      <c r="J12" s="3">
        <f t="shared" si="4"/>
        <v>752000</v>
      </c>
      <c r="K12" s="10">
        <f t="shared" si="0"/>
        <v>1260000</v>
      </c>
      <c r="L12" s="69">
        <f t="shared" si="1"/>
        <v>88.074933594296098</v>
      </c>
      <c r="M12" s="58"/>
    </row>
    <row r="13" spans="1:13" ht="17.100000000000001" customHeight="1">
      <c r="A13" s="68"/>
      <c r="B13" s="65">
        <v>5</v>
      </c>
      <c r="C13" s="28">
        <f>'Fuel Diesel'!C13</f>
        <v>5</v>
      </c>
      <c r="D13" s="28">
        <f>'Fuel Diesel'!D13</f>
        <v>32</v>
      </c>
      <c r="E13" s="10">
        <v>0</v>
      </c>
      <c r="F13" s="3">
        <f t="shared" si="2"/>
        <v>0</v>
      </c>
      <c r="G13" s="10">
        <v>73</v>
      </c>
      <c r="H13" s="3">
        <f t="shared" si="3"/>
        <v>292000</v>
      </c>
      <c r="I13" s="10">
        <v>222</v>
      </c>
      <c r="J13" s="3">
        <f t="shared" si="4"/>
        <v>888000</v>
      </c>
      <c r="K13" s="10">
        <f t="shared" si="0"/>
        <v>1180000</v>
      </c>
      <c r="L13" s="69">
        <f t="shared" si="1"/>
        <v>82.482874318467779</v>
      </c>
      <c r="M13" s="58"/>
    </row>
    <row r="14" spans="1:13" ht="17.100000000000001" customHeight="1">
      <c r="A14" s="68"/>
      <c r="B14" s="65">
        <v>6</v>
      </c>
      <c r="C14" s="28">
        <f>'Fuel Diesel'!C14</f>
        <v>7</v>
      </c>
      <c r="D14" s="28">
        <f>'Fuel Diesel'!D14</f>
        <v>25</v>
      </c>
      <c r="E14" s="10">
        <v>0</v>
      </c>
      <c r="F14" s="3">
        <f t="shared" si="2"/>
        <v>0</v>
      </c>
      <c r="G14" s="10">
        <v>128</v>
      </c>
      <c r="H14" s="3">
        <f t="shared" si="3"/>
        <v>512000</v>
      </c>
      <c r="I14" s="10">
        <v>189</v>
      </c>
      <c r="J14" s="3">
        <f t="shared" si="4"/>
        <v>756000</v>
      </c>
      <c r="K14" s="10">
        <f t="shared" si="0"/>
        <v>1268000</v>
      </c>
      <c r="L14" s="69">
        <f t="shared" si="1"/>
        <v>88.634139521878936</v>
      </c>
      <c r="M14" s="58"/>
    </row>
    <row r="15" spans="1:13" ht="17.100000000000001" customHeight="1">
      <c r="A15" s="68"/>
      <c r="B15" s="65">
        <v>7</v>
      </c>
      <c r="C15" s="28">
        <f>'Fuel Diesel'!C15</f>
        <v>10</v>
      </c>
      <c r="D15" s="28">
        <f>'Fuel Diesel'!D15</f>
        <v>33</v>
      </c>
      <c r="E15" s="10">
        <v>0</v>
      </c>
      <c r="F15" s="3">
        <f t="shared" si="2"/>
        <v>0</v>
      </c>
      <c r="G15" s="10">
        <v>134</v>
      </c>
      <c r="H15" s="3">
        <f t="shared" si="3"/>
        <v>536000</v>
      </c>
      <c r="I15" s="10">
        <v>198</v>
      </c>
      <c r="J15" s="3">
        <f t="shared" si="4"/>
        <v>792000</v>
      </c>
      <c r="K15" s="10">
        <f t="shared" si="0"/>
        <v>1328000</v>
      </c>
      <c r="L15" s="69">
        <f t="shared" si="1"/>
        <v>92.828183978750175</v>
      </c>
      <c r="M15" s="58"/>
    </row>
    <row r="16" spans="1:13" ht="17.100000000000001" customHeight="1">
      <c r="A16" s="68"/>
      <c r="B16" s="65">
        <v>8</v>
      </c>
      <c r="C16" s="28">
        <f>'Fuel Diesel'!C16</f>
        <v>10</v>
      </c>
      <c r="D16" s="28">
        <f>'Fuel Diesel'!D16</f>
        <v>46</v>
      </c>
      <c r="E16" s="10">
        <v>0</v>
      </c>
      <c r="F16" s="3">
        <f t="shared" si="2"/>
        <v>0</v>
      </c>
      <c r="G16" s="10">
        <v>130</v>
      </c>
      <c r="H16" s="3">
        <f t="shared" si="3"/>
        <v>520000</v>
      </c>
      <c r="I16" s="10">
        <v>192</v>
      </c>
      <c r="J16" s="3">
        <f t="shared" si="4"/>
        <v>768000</v>
      </c>
      <c r="K16" s="10">
        <f t="shared" si="0"/>
        <v>1288000</v>
      </c>
      <c r="L16" s="69">
        <f t="shared" si="1"/>
        <v>90.032154340836016</v>
      </c>
      <c r="M16" s="58"/>
    </row>
    <row r="17" spans="1:13" ht="17.100000000000001" customHeight="1">
      <c r="A17" s="68"/>
      <c r="B17" s="65">
        <v>9</v>
      </c>
      <c r="C17" s="28">
        <f>'Fuel Diesel'!C17</f>
        <v>7</v>
      </c>
      <c r="D17" s="28">
        <f>'Fuel Diesel'!D17</f>
        <v>50</v>
      </c>
      <c r="E17" s="10">
        <v>0</v>
      </c>
      <c r="F17" s="3">
        <f t="shared" si="2"/>
        <v>0</v>
      </c>
      <c r="G17" s="10">
        <v>73</v>
      </c>
      <c r="H17" s="3">
        <f t="shared" si="3"/>
        <v>292000</v>
      </c>
      <c r="I17" s="10">
        <v>231</v>
      </c>
      <c r="J17" s="3">
        <f t="shared" si="4"/>
        <v>924000</v>
      </c>
      <c r="K17" s="10">
        <f t="shared" si="0"/>
        <v>1216000</v>
      </c>
      <c r="L17" s="69">
        <f t="shared" si="1"/>
        <v>84.99930099259052</v>
      </c>
      <c r="M17" s="58"/>
    </row>
    <row r="18" spans="1:13" ht="17.100000000000001" customHeight="1">
      <c r="A18" s="68"/>
      <c r="B18" s="65">
        <v>10</v>
      </c>
      <c r="C18" s="28">
        <f>'Fuel Diesel'!C18</f>
        <v>9</v>
      </c>
      <c r="D18" s="28">
        <f>'Fuel Diesel'!D18</f>
        <v>47</v>
      </c>
      <c r="E18" s="10">
        <v>0</v>
      </c>
      <c r="F18" s="3">
        <f t="shared" si="2"/>
        <v>0</v>
      </c>
      <c r="G18" s="10">
        <v>138</v>
      </c>
      <c r="H18" s="3">
        <f t="shared" si="3"/>
        <v>552000</v>
      </c>
      <c r="I18" s="10">
        <v>200</v>
      </c>
      <c r="J18" s="3">
        <f t="shared" si="4"/>
        <v>800000</v>
      </c>
      <c r="K18" s="10">
        <f t="shared" si="0"/>
        <v>1352000</v>
      </c>
      <c r="L18" s="69">
        <f t="shared" si="1"/>
        <v>94.505801761498674</v>
      </c>
      <c r="M18" s="58"/>
    </row>
    <row r="19" spans="1:13" ht="17.100000000000001" customHeight="1">
      <c r="A19" s="68"/>
      <c r="B19" s="65">
        <v>11</v>
      </c>
      <c r="C19" s="28">
        <f>'Fuel Diesel'!C19</f>
        <v>10</v>
      </c>
      <c r="D19" s="28">
        <f>'Fuel Diesel'!D19</f>
        <v>42</v>
      </c>
      <c r="E19" s="10">
        <v>0</v>
      </c>
      <c r="F19" s="3">
        <f t="shared" si="2"/>
        <v>0</v>
      </c>
      <c r="G19" s="10">
        <v>122</v>
      </c>
      <c r="H19" s="3">
        <f t="shared" si="3"/>
        <v>488000</v>
      </c>
      <c r="I19" s="10">
        <v>226</v>
      </c>
      <c r="J19" s="3">
        <f t="shared" si="4"/>
        <v>904000</v>
      </c>
      <c r="K19" s="10">
        <f t="shared" si="0"/>
        <v>1392000</v>
      </c>
      <c r="L19" s="69">
        <f t="shared" si="1"/>
        <v>97.301831399412833</v>
      </c>
      <c r="M19" s="58"/>
    </row>
    <row r="20" spans="1:13" ht="17.100000000000001" customHeight="1">
      <c r="A20" s="68"/>
      <c r="B20" s="65">
        <v>12</v>
      </c>
      <c r="C20" s="28">
        <f>'Fuel Diesel'!C20</f>
        <v>6</v>
      </c>
      <c r="D20" s="28">
        <f>'Fuel Diesel'!D20</f>
        <v>50</v>
      </c>
      <c r="E20" s="10">
        <v>0</v>
      </c>
      <c r="F20" s="3">
        <f t="shared" si="2"/>
        <v>0</v>
      </c>
      <c r="G20" s="10">
        <v>132</v>
      </c>
      <c r="H20" s="3">
        <f>G20*4000</f>
        <v>528000</v>
      </c>
      <c r="I20" s="10">
        <v>192</v>
      </c>
      <c r="J20" s="3">
        <f t="shared" si="4"/>
        <v>768000</v>
      </c>
      <c r="K20" s="10">
        <f t="shared" si="0"/>
        <v>1296000</v>
      </c>
      <c r="L20" s="69">
        <f t="shared" si="1"/>
        <v>90.591360268418839</v>
      </c>
      <c r="M20" s="58"/>
    </row>
    <row r="21" spans="1:13" ht="17.100000000000001" customHeight="1">
      <c r="A21" s="68"/>
      <c r="B21" s="65">
        <v>13</v>
      </c>
      <c r="C21" s="28">
        <f>'Fuel Diesel'!C21</f>
        <v>2</v>
      </c>
      <c r="D21" s="28">
        <f>'Fuel Diesel'!D21</f>
        <v>28</v>
      </c>
      <c r="E21" s="10">
        <v>0</v>
      </c>
      <c r="F21" s="3">
        <f t="shared" si="2"/>
        <v>0</v>
      </c>
      <c r="G21" s="10">
        <v>120</v>
      </c>
      <c r="H21" s="3">
        <f t="shared" si="3"/>
        <v>480000</v>
      </c>
      <c r="I21" s="10">
        <v>206</v>
      </c>
      <c r="J21" s="3">
        <f t="shared" si="4"/>
        <v>824000</v>
      </c>
      <c r="K21" s="10">
        <f t="shared" si="0"/>
        <v>1304000</v>
      </c>
      <c r="L21" s="69">
        <f t="shared" si="1"/>
        <v>91.150566196001677</v>
      </c>
      <c r="M21" s="58"/>
    </row>
    <row r="22" spans="1:13" ht="17.100000000000001" customHeight="1">
      <c r="A22" s="68"/>
      <c r="B22" s="65">
        <v>14</v>
      </c>
      <c r="C22" s="28">
        <f>'Fuel Diesel'!C22</f>
        <v>4</v>
      </c>
      <c r="D22" s="28">
        <f>'Fuel Diesel'!D22</f>
        <v>14</v>
      </c>
      <c r="E22" s="10">
        <v>0</v>
      </c>
      <c r="F22" s="3">
        <f t="shared" si="2"/>
        <v>0</v>
      </c>
      <c r="G22" s="10">
        <v>77</v>
      </c>
      <c r="H22" s="3">
        <f t="shared" si="3"/>
        <v>308000</v>
      </c>
      <c r="I22" s="10">
        <v>227</v>
      </c>
      <c r="J22" s="3">
        <f t="shared" si="4"/>
        <v>908000</v>
      </c>
      <c r="K22" s="10">
        <f t="shared" si="0"/>
        <v>1216000</v>
      </c>
      <c r="L22" s="69">
        <f t="shared" si="1"/>
        <v>84.99930099259052</v>
      </c>
      <c r="M22" s="58"/>
    </row>
    <row r="23" spans="1:13" ht="17.100000000000001" customHeight="1">
      <c r="A23" s="68"/>
      <c r="B23" s="65">
        <v>15</v>
      </c>
      <c r="C23" s="28">
        <f>'Fuel Diesel'!C23</f>
        <v>8</v>
      </c>
      <c r="D23" s="28">
        <f>'Fuel Diesel'!D23</f>
        <v>26</v>
      </c>
      <c r="E23" s="10">
        <v>0</v>
      </c>
      <c r="F23" s="3">
        <f t="shared" si="2"/>
        <v>0</v>
      </c>
      <c r="G23" s="10">
        <v>132</v>
      </c>
      <c r="H23" s="3">
        <f t="shared" si="3"/>
        <v>528000</v>
      </c>
      <c r="I23" s="10">
        <v>194</v>
      </c>
      <c r="J23" s="3">
        <f t="shared" si="4"/>
        <v>776000</v>
      </c>
      <c r="K23" s="10">
        <f t="shared" si="0"/>
        <v>1304000</v>
      </c>
      <c r="L23" s="69">
        <f t="shared" si="1"/>
        <v>91.150566196001677</v>
      </c>
      <c r="M23" s="58"/>
    </row>
    <row r="24" spans="1:13" ht="17.100000000000001" customHeight="1">
      <c r="A24" s="68"/>
      <c r="B24" s="65">
        <v>16</v>
      </c>
      <c r="C24" s="28">
        <f>'Fuel Diesel'!C24</f>
        <v>11</v>
      </c>
      <c r="D24" s="28">
        <f>'Fuel Diesel'!D24</f>
        <v>54</v>
      </c>
      <c r="E24" s="10">
        <v>0</v>
      </c>
      <c r="F24" s="3">
        <f t="shared" si="2"/>
        <v>0</v>
      </c>
      <c r="G24" s="10">
        <v>126</v>
      </c>
      <c r="H24" s="3">
        <f t="shared" si="3"/>
        <v>504000</v>
      </c>
      <c r="I24" s="10">
        <v>189</v>
      </c>
      <c r="J24" s="3">
        <f t="shared" si="4"/>
        <v>756000</v>
      </c>
      <c r="K24" s="10">
        <f t="shared" si="0"/>
        <v>1260000</v>
      </c>
      <c r="L24" s="69">
        <f t="shared" si="1"/>
        <v>88.074933594296098</v>
      </c>
      <c r="M24" s="58"/>
    </row>
    <row r="25" spans="1:13" ht="17.100000000000001" customHeight="1">
      <c r="A25" s="68"/>
      <c r="B25" s="65">
        <v>17</v>
      </c>
      <c r="C25" s="28">
        <f>'Fuel Diesel'!C25</f>
        <v>9</v>
      </c>
      <c r="D25" s="28">
        <f>'Fuel Diesel'!D25</f>
        <v>51</v>
      </c>
      <c r="E25" s="10">
        <v>0</v>
      </c>
      <c r="F25" s="3">
        <f t="shared" si="2"/>
        <v>0</v>
      </c>
      <c r="G25" s="10">
        <v>113</v>
      </c>
      <c r="H25" s="3">
        <f t="shared" si="3"/>
        <v>452000</v>
      </c>
      <c r="I25" s="10">
        <v>169</v>
      </c>
      <c r="J25" s="3">
        <f t="shared" si="4"/>
        <v>676000</v>
      </c>
      <c r="K25" s="10">
        <f t="shared" si="0"/>
        <v>1128000</v>
      </c>
      <c r="L25" s="69">
        <f t="shared" si="1"/>
        <v>78.848035789179363</v>
      </c>
      <c r="M25" s="58"/>
    </row>
    <row r="26" spans="1:13" ht="17.100000000000001" customHeight="1">
      <c r="A26" s="68"/>
      <c r="B26" s="65">
        <v>18</v>
      </c>
      <c r="C26" s="28">
        <f>'Fuel Diesel'!C26</f>
        <v>9</v>
      </c>
      <c r="D26" s="28">
        <f>'Fuel Diesel'!D26</f>
        <v>55</v>
      </c>
      <c r="E26" s="10">
        <v>0</v>
      </c>
      <c r="F26" s="3">
        <f t="shared" si="2"/>
        <v>0</v>
      </c>
      <c r="G26" s="10">
        <v>125</v>
      </c>
      <c r="H26" s="3">
        <f t="shared" si="3"/>
        <v>500000</v>
      </c>
      <c r="I26" s="10">
        <v>181</v>
      </c>
      <c r="J26" s="3">
        <f t="shared" si="4"/>
        <v>724000</v>
      </c>
      <c r="K26" s="10">
        <f t="shared" si="0"/>
        <v>1224000</v>
      </c>
      <c r="L26" s="69">
        <f t="shared" si="1"/>
        <v>85.558506920173357</v>
      </c>
      <c r="M26" s="58"/>
    </row>
    <row r="27" spans="1:13" ht="17.100000000000001" customHeight="1">
      <c r="A27" s="68"/>
      <c r="B27" s="65">
        <v>19</v>
      </c>
      <c r="C27" s="28">
        <f>'Fuel Diesel'!C27</f>
        <v>7</v>
      </c>
      <c r="D27" s="28">
        <f>'Fuel Diesel'!D27</f>
        <v>53</v>
      </c>
      <c r="E27" s="10">
        <v>0</v>
      </c>
      <c r="F27" s="3">
        <f t="shared" si="2"/>
        <v>0</v>
      </c>
      <c r="G27" s="10">
        <v>94</v>
      </c>
      <c r="H27" s="3">
        <f t="shared" si="3"/>
        <v>376000</v>
      </c>
      <c r="I27" s="10">
        <v>203</v>
      </c>
      <c r="J27" s="3">
        <f t="shared" si="4"/>
        <v>812000</v>
      </c>
      <c r="K27" s="10">
        <f t="shared" si="0"/>
        <v>1188000</v>
      </c>
      <c r="L27" s="69">
        <f t="shared" si="1"/>
        <v>83.042080246050602</v>
      </c>
      <c r="M27" s="58"/>
    </row>
    <row r="28" spans="1:13" ht="17.100000000000001" customHeight="1">
      <c r="A28" s="68"/>
      <c r="B28" s="65">
        <v>20</v>
      </c>
      <c r="C28" s="28">
        <f>'Fuel Diesel'!C28</f>
        <v>5</v>
      </c>
      <c r="D28" s="28">
        <f>'Fuel Diesel'!D28</f>
        <v>53</v>
      </c>
      <c r="E28" s="10">
        <v>0</v>
      </c>
      <c r="F28" s="3">
        <f t="shared" si="2"/>
        <v>0</v>
      </c>
      <c r="G28" s="10">
        <v>123</v>
      </c>
      <c r="H28" s="3">
        <f t="shared" si="3"/>
        <v>492000</v>
      </c>
      <c r="I28" s="10">
        <v>186</v>
      </c>
      <c r="J28" s="3">
        <f t="shared" si="4"/>
        <v>744000</v>
      </c>
      <c r="K28" s="10">
        <f t="shared" si="0"/>
        <v>1236000</v>
      </c>
      <c r="L28" s="69">
        <f t="shared" si="1"/>
        <v>86.3973158115476</v>
      </c>
      <c r="M28" s="58"/>
    </row>
    <row r="29" spans="1:13" ht="17.100000000000001" customHeight="1">
      <c r="A29" s="68"/>
      <c r="B29" s="65">
        <v>21</v>
      </c>
      <c r="C29" s="28">
        <f>'Fuel Diesel'!C29</f>
        <v>3</v>
      </c>
      <c r="D29" s="28">
        <f>'Fuel Diesel'!D29</f>
        <v>19</v>
      </c>
      <c r="E29" s="10">
        <v>0</v>
      </c>
      <c r="F29" s="3">
        <f t="shared" si="2"/>
        <v>0</v>
      </c>
      <c r="G29" s="10">
        <v>130</v>
      </c>
      <c r="H29" s="3">
        <f t="shared" si="3"/>
        <v>520000</v>
      </c>
      <c r="I29" s="10">
        <v>192</v>
      </c>
      <c r="J29" s="3">
        <f t="shared" si="4"/>
        <v>768000</v>
      </c>
      <c r="K29" s="10">
        <f t="shared" si="0"/>
        <v>1288000</v>
      </c>
      <c r="L29" s="69">
        <f t="shared" si="1"/>
        <v>90.032154340836016</v>
      </c>
      <c r="M29" s="58"/>
    </row>
    <row r="30" spans="1:13" ht="17.100000000000001" customHeight="1">
      <c r="A30" s="68"/>
      <c r="B30" s="65">
        <v>22</v>
      </c>
      <c r="C30" s="28">
        <f>'Fuel Diesel'!C30</f>
        <v>5</v>
      </c>
      <c r="D30" s="28">
        <f>'Fuel Diesel'!D30</f>
        <v>20</v>
      </c>
      <c r="E30" s="10">
        <v>0</v>
      </c>
      <c r="F30" s="3">
        <f t="shared" si="2"/>
        <v>0</v>
      </c>
      <c r="G30" s="10">
        <v>120</v>
      </c>
      <c r="H30" s="3">
        <f t="shared" si="3"/>
        <v>480000</v>
      </c>
      <c r="I30" s="10">
        <v>180</v>
      </c>
      <c r="J30" s="3">
        <f t="shared" si="4"/>
        <v>720000</v>
      </c>
      <c r="K30" s="10">
        <f t="shared" si="0"/>
        <v>1200000</v>
      </c>
      <c r="L30" s="69">
        <f t="shared" si="1"/>
        <v>83.880889137424859</v>
      </c>
      <c r="M30" s="58"/>
    </row>
    <row r="31" spans="1:13" ht="17.100000000000001" customHeight="1">
      <c r="A31" s="68"/>
      <c r="B31" s="65">
        <v>23</v>
      </c>
      <c r="C31" s="28">
        <f>'Fuel Diesel'!C31</f>
        <v>5</v>
      </c>
      <c r="D31" s="28">
        <f>'Fuel Diesel'!D31</f>
        <v>51</v>
      </c>
      <c r="E31" s="10">
        <v>0</v>
      </c>
      <c r="F31" s="3">
        <f t="shared" si="2"/>
        <v>0</v>
      </c>
      <c r="G31" s="10">
        <v>124</v>
      </c>
      <c r="H31" s="3">
        <f t="shared" si="3"/>
        <v>496000</v>
      </c>
      <c r="I31" s="10">
        <v>182</v>
      </c>
      <c r="J31" s="3">
        <f t="shared" si="4"/>
        <v>728000</v>
      </c>
      <c r="K31" s="10">
        <f t="shared" si="0"/>
        <v>1224000</v>
      </c>
      <c r="L31" s="69">
        <f t="shared" si="1"/>
        <v>85.558506920173357</v>
      </c>
      <c r="M31" s="58"/>
    </row>
    <row r="32" spans="1:13" ht="17.100000000000001" customHeight="1">
      <c r="A32" s="68"/>
      <c r="B32" s="65">
        <v>24</v>
      </c>
      <c r="C32" s="28">
        <f>'Fuel Diesel'!C32</f>
        <v>4</v>
      </c>
      <c r="D32" s="28">
        <f>'Fuel Diesel'!D32</f>
        <v>31</v>
      </c>
      <c r="E32" s="10">
        <v>0</v>
      </c>
      <c r="F32" s="3">
        <f t="shared" si="2"/>
        <v>0</v>
      </c>
      <c r="G32" s="10">
        <v>116</v>
      </c>
      <c r="H32" s="3">
        <f t="shared" si="3"/>
        <v>464000</v>
      </c>
      <c r="I32" s="10">
        <v>178</v>
      </c>
      <c r="J32" s="3">
        <f t="shared" si="4"/>
        <v>712000</v>
      </c>
      <c r="K32" s="10">
        <f t="shared" si="0"/>
        <v>1176000</v>
      </c>
      <c r="L32" s="69">
        <f t="shared" si="1"/>
        <v>82.20327135467636</v>
      </c>
      <c r="M32" s="58"/>
    </row>
    <row r="33" spans="1:15" ht="17.100000000000001" customHeight="1">
      <c r="A33" s="68"/>
      <c r="B33" s="65">
        <v>25</v>
      </c>
      <c r="C33" s="28">
        <f>'Fuel Diesel'!C33</f>
        <v>4</v>
      </c>
      <c r="D33" s="28">
        <f>'Fuel Diesel'!D33</f>
        <v>25</v>
      </c>
      <c r="E33" s="10">
        <v>0</v>
      </c>
      <c r="F33" s="3">
        <f t="shared" si="2"/>
        <v>0</v>
      </c>
      <c r="G33" s="10">
        <v>138</v>
      </c>
      <c r="H33" s="3">
        <f t="shared" si="3"/>
        <v>552000</v>
      </c>
      <c r="I33" s="10">
        <v>199</v>
      </c>
      <c r="J33" s="3">
        <f t="shared" si="4"/>
        <v>796000</v>
      </c>
      <c r="K33" s="10">
        <f t="shared" si="0"/>
        <v>1348000</v>
      </c>
      <c r="L33" s="69">
        <f t="shared" si="1"/>
        <v>94.226198797707255</v>
      </c>
      <c r="M33" s="58"/>
    </row>
    <row r="34" spans="1:15" ht="17.100000000000001" customHeight="1">
      <c r="A34" s="68"/>
      <c r="B34" s="65">
        <v>26</v>
      </c>
      <c r="C34" s="28">
        <f>'Fuel Diesel'!C34</f>
        <v>6</v>
      </c>
      <c r="D34" s="28">
        <f>'Fuel Diesel'!D34</f>
        <v>23</v>
      </c>
      <c r="E34" s="10">
        <v>0</v>
      </c>
      <c r="F34" s="3">
        <f t="shared" si="2"/>
        <v>0</v>
      </c>
      <c r="G34" s="10">
        <v>120</v>
      </c>
      <c r="H34" s="3">
        <f t="shared" si="3"/>
        <v>480000</v>
      </c>
      <c r="I34" s="10">
        <v>178</v>
      </c>
      <c r="J34" s="3">
        <f t="shared" si="4"/>
        <v>712000</v>
      </c>
      <c r="K34" s="10">
        <f t="shared" si="0"/>
        <v>1192000</v>
      </c>
      <c r="L34" s="69">
        <f t="shared" si="1"/>
        <v>83.321683209842021</v>
      </c>
      <c r="M34" s="58"/>
    </row>
    <row r="35" spans="1:15" ht="17.100000000000001" customHeight="1">
      <c r="A35" s="68"/>
      <c r="B35" s="65">
        <v>27</v>
      </c>
      <c r="C35" s="28">
        <f>'Fuel Diesel'!C35</f>
        <v>5</v>
      </c>
      <c r="D35" s="28">
        <f>'Fuel Diesel'!D35</f>
        <v>49</v>
      </c>
      <c r="E35" s="10">
        <v>0</v>
      </c>
      <c r="F35" s="3">
        <f t="shared" si="2"/>
        <v>0</v>
      </c>
      <c r="G35" s="10">
        <v>128</v>
      </c>
      <c r="H35" s="3">
        <f t="shared" si="3"/>
        <v>512000</v>
      </c>
      <c r="I35" s="10">
        <v>194</v>
      </c>
      <c r="J35" s="3">
        <f t="shared" si="4"/>
        <v>776000</v>
      </c>
      <c r="K35" s="10">
        <f t="shared" si="0"/>
        <v>1288000</v>
      </c>
      <c r="L35" s="69">
        <f t="shared" si="1"/>
        <v>90.032154340836016</v>
      </c>
      <c r="M35" s="58"/>
    </row>
    <row r="36" spans="1:15" ht="17.100000000000001" customHeight="1">
      <c r="A36" s="68"/>
      <c r="B36" s="65">
        <v>28</v>
      </c>
      <c r="C36" s="28">
        <f>'Fuel Diesel'!C36</f>
        <v>8</v>
      </c>
      <c r="D36" s="28">
        <f>'Fuel Diesel'!D36</f>
        <v>41</v>
      </c>
      <c r="E36" s="10">
        <v>0</v>
      </c>
      <c r="F36" s="3">
        <f t="shared" si="2"/>
        <v>0</v>
      </c>
      <c r="G36" s="10">
        <v>130</v>
      </c>
      <c r="H36" s="3">
        <f t="shared" si="3"/>
        <v>520000</v>
      </c>
      <c r="I36" s="10">
        <v>190</v>
      </c>
      <c r="J36" s="3">
        <f t="shared" si="4"/>
        <v>760000</v>
      </c>
      <c r="K36" s="10">
        <f t="shared" si="0"/>
        <v>1280000</v>
      </c>
      <c r="L36" s="69">
        <f t="shared" si="1"/>
        <v>89.472948413253178</v>
      </c>
      <c r="M36" s="58"/>
    </row>
    <row r="37" spans="1:15" ht="17.100000000000001" customHeight="1">
      <c r="A37" s="68"/>
      <c r="B37" s="65">
        <v>29</v>
      </c>
      <c r="C37" s="28">
        <f>'Fuel Diesel'!C37</f>
        <v>14</v>
      </c>
      <c r="D37" s="28">
        <f>'Fuel Diesel'!D37</f>
        <v>58</v>
      </c>
      <c r="E37" s="10">
        <v>0</v>
      </c>
      <c r="F37" s="3">
        <f t="shared" si="2"/>
        <v>0</v>
      </c>
      <c r="G37" s="10">
        <v>131</v>
      </c>
      <c r="H37" s="3">
        <f t="shared" si="3"/>
        <v>524000</v>
      </c>
      <c r="I37" s="10">
        <v>194</v>
      </c>
      <c r="J37" s="3">
        <f t="shared" si="4"/>
        <v>776000</v>
      </c>
      <c r="K37" s="10">
        <f t="shared" si="0"/>
        <v>1300000</v>
      </c>
      <c r="L37" s="69">
        <f t="shared" si="1"/>
        <v>90.870963232210258</v>
      </c>
      <c r="M37" s="58"/>
    </row>
    <row r="38" spans="1:15" ht="17.100000000000001" customHeight="1">
      <c r="A38" s="68"/>
      <c r="B38" s="65">
        <v>30</v>
      </c>
      <c r="C38" s="28">
        <f>'Fuel Diesel'!C38</f>
        <v>10</v>
      </c>
      <c r="D38" s="28">
        <f>'Fuel Diesel'!D38</f>
        <v>57</v>
      </c>
      <c r="E38" s="10">
        <v>0</v>
      </c>
      <c r="F38" s="3">
        <f t="shared" si="2"/>
        <v>0</v>
      </c>
      <c r="G38" s="10">
        <v>121</v>
      </c>
      <c r="H38" s="3">
        <f t="shared" si="3"/>
        <v>484000</v>
      </c>
      <c r="I38" s="10">
        <v>183</v>
      </c>
      <c r="J38" s="3">
        <f t="shared" si="4"/>
        <v>732000</v>
      </c>
      <c r="K38" s="10">
        <f t="shared" si="0"/>
        <v>1216000</v>
      </c>
      <c r="L38" s="69">
        <f t="shared" si="1"/>
        <v>84.99930099259052</v>
      </c>
      <c r="M38" s="58"/>
    </row>
    <row r="39" spans="1:15" ht="17.100000000000001" customHeight="1">
      <c r="B39" s="65">
        <v>31</v>
      </c>
      <c r="C39" s="28">
        <f>'Fuel Diesel'!C39</f>
        <v>8</v>
      </c>
      <c r="D39" s="28">
        <f>'Fuel Diesel'!D39</f>
        <v>56</v>
      </c>
      <c r="E39" s="10">
        <v>0</v>
      </c>
      <c r="F39" s="3"/>
      <c r="G39" s="10">
        <v>118</v>
      </c>
      <c r="H39" s="3">
        <f t="shared" ref="H39" si="5">G39*4000</f>
        <v>472000</v>
      </c>
      <c r="I39" s="10">
        <v>172</v>
      </c>
      <c r="J39" s="3">
        <f t="shared" ref="J39" si="6">I39*4000</f>
        <v>688000</v>
      </c>
      <c r="K39" s="10">
        <f t="shared" ref="K39" si="7">F39+H39+J39</f>
        <v>1160000</v>
      </c>
      <c r="L39" s="69">
        <f t="shared" si="1"/>
        <v>81.084859499510699</v>
      </c>
    </row>
    <row r="40" spans="1:15" ht="15.75">
      <c r="C40" s="18">
        <f>SUM(C9:C39)</f>
        <v>241</v>
      </c>
      <c r="D40" s="18">
        <f>SUM(D9:D39)</f>
        <v>1406</v>
      </c>
      <c r="E40" s="18">
        <v>0</v>
      </c>
      <c r="G40" s="18">
        <f>SUM(G9:G39)</f>
        <v>3647</v>
      </c>
      <c r="I40" s="18">
        <f>SUM(I9:I39)</f>
        <v>6099</v>
      </c>
      <c r="J40" s="30">
        <f>G40+I40</f>
        <v>9746</v>
      </c>
      <c r="K40" s="37"/>
      <c r="L40" s="41">
        <f>SUM(L9:L39)</f>
        <v>2725.0104851111419</v>
      </c>
      <c r="O40" s="31" t="e">
        <f>#REF!+#REF!+#REF!+#REF!+#REF!+#REF!+#REF!+#REF!+#REF!+#REF!+L40+#REF!</f>
        <v>#REF!</v>
      </c>
    </row>
    <row r="41" spans="1:15">
      <c r="I41" s="34">
        <f>G40+I40</f>
        <v>9746</v>
      </c>
      <c r="L41" s="33"/>
    </row>
    <row r="42" spans="1:15">
      <c r="C42" t="s">
        <v>29</v>
      </c>
      <c r="E42" s="6"/>
      <c r="F42" s="6"/>
      <c r="G42" s="6"/>
      <c r="H42" s="6"/>
      <c r="I42" s="79"/>
      <c r="J42" s="79"/>
      <c r="L42" s="36"/>
    </row>
    <row r="43" spans="1:15">
      <c r="E43" s="6"/>
      <c r="F43" s="6"/>
      <c r="G43" s="6"/>
      <c r="H43" s="6"/>
      <c r="I43" s="79"/>
      <c r="J43" s="79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5EFA02-791A-4856-856A-BC4BA1BC5D79}"/>
</file>

<file path=customXml/itemProps2.xml><?xml version="1.0" encoding="utf-8"?>
<ds:datastoreItem xmlns:ds="http://schemas.openxmlformats.org/officeDocument/2006/customXml" ds:itemID="{CA38E258-6FE2-47F4-AB9E-CC6E4712F5D6}"/>
</file>

<file path=customXml/itemProps3.xml><?xml version="1.0" encoding="utf-8"?>
<ds:datastoreItem xmlns:ds="http://schemas.openxmlformats.org/officeDocument/2006/customXml" ds:itemID="{0D5BCA93-8875-44F6-8AA2-90F695093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2023-02-18T05:35:52Z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