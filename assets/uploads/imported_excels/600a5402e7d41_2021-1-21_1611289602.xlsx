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1"/>
  <workbookPr filterPrivacy="1" defaultThemeVersion="124226"/>
  <xr:revisionPtr revIDLastSave="0" documentId="13_ncr:1_{47A526E3-EB97-4102-A67B-2CAFE778AAA7}" xr6:coauthVersionLast="36" xr6:coauthVersionMax="36" xr10:uidLastSave="{00000000-0000-0000-0000-000000000000}"/>
  <bookViews>
    <workbookView xWindow="0" yWindow="0" windowWidth="19440" windowHeight="754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H21" i="2" l="1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V20" i="2" s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X26" i="8" s="1"/>
  <c r="U26" i="8"/>
  <c r="S26" i="8"/>
  <c r="Q26" i="8"/>
  <c r="O26" i="8"/>
  <c r="P26" i="8" s="1"/>
  <c r="M26" i="8"/>
  <c r="K26" i="8"/>
  <c r="I26" i="8"/>
  <c r="J26" i="8" s="1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P14" i="8" s="1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Q10" i="8"/>
  <c r="O10" i="8"/>
  <c r="P10" i="8" s="1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Q6" i="8"/>
  <c r="O6" i="8"/>
  <c r="P6" i="8" s="1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J23" i="8" l="1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T35" i="2" l="1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M14" i="3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<sst xmlns="http://schemas.openxmlformats.org/spreadsheetml/2006/main" count="201" uniqueCount="128">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</sst>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</c:v>
                </c:pt>
                <c:pt idx="1">
                  <c:v>-1935500</c:v>
                </c:pt>
                <c:pt idx="2">
                  <c:v>-187450</c:v>
                </c:pt>
                <c:pt idx="3">
                  <c:v>-750470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-56825</c:v>
                </c:pt>
                <c:pt idx="7">
                  <c:v>0.24735774481125505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-739826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7" zoomScale="85" zoomScaleNormal="85" workbookViewId="0">
      <selection activeCell="M21" sqref="M21:O21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1.5287027707808565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1.5287027707808565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1.5287027707808565</v>
      </c>
      <c r="M21" s="72">
        <v>42</v>
      </c>
      <c r="N21" s="72">
        <v>93</v>
      </c>
      <c r="O21" s="72">
        <v>273</v>
      </c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20830.000000000153</v>
      </c>
      <c r="F22" s="48">
        <v>0.14000000000000001</v>
      </c>
      <c r="G22" s="107">
        <v>5784</v>
      </c>
      <c r="H22" s="48">
        <v>0.4453480216384178</v>
      </c>
      <c r="I22" s="65">
        <v>291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435769.99999999977</v>
      </c>
      <c r="F33" s="104">
        <v>0</v>
      </c>
      <c r="G33" s="101">
        <f>SUM(G2:G32)</f>
        <v>120385</v>
      </c>
      <c r="H33" s="102">
        <v>0</v>
      </c>
      <c r="I33" s="103">
        <f>SUM(I2:I32)</f>
        <v>5922</v>
      </c>
      <c r="J33" s="104">
        <v>0</v>
      </c>
      <c r="K33" s="105">
        <v>0</v>
      </c>
      <c r="L33" s="102">
        <v>0</v>
      </c>
      <c r="M33" s="106">
        <f t="shared" ref="M33:O33" si="1">SUM(M2:M32)</f>
        <v>1012</v>
      </c>
      <c r="N33" s="106">
        <f t="shared" si="1"/>
        <v>2656</v>
      </c>
      <c r="O33" s="106">
        <f t="shared" si="1"/>
        <v>7477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0" zoomScale="78" zoomScaleNormal="78" workbookViewId="0">
      <selection activeCell="W28" sqref="W2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199.8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>
        <v>42</v>
      </c>
      <c r="W23" s="71">
        <v>93</v>
      </c>
      <c r="X23" s="71">
        <v>273</v>
      </c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/>
      <c r="W24" s="71"/>
      <c r="X24" s="71"/>
      <c r="Y24" s="17"/>
    </row>
    <row r="25" spans="1:25" ht="21" customHeight="1" x14ac:dyDescent="0.25">
      <c r="A25" s="8">
        <v>44218</v>
      </c>
      <c r="B25" s="1">
        <v>778.36</v>
      </c>
      <c r="C25" s="1">
        <v>192.91</v>
      </c>
      <c r="D25" s="1">
        <v>7106841.9400000004</v>
      </c>
      <c r="E25" s="1">
        <v>7702415.8799999999</v>
      </c>
      <c r="F25" s="1">
        <v>1.9883999999999999</v>
      </c>
      <c r="G25" s="1">
        <v>600.37</v>
      </c>
      <c r="H25" s="1">
        <v>498.34</v>
      </c>
      <c r="I25" s="1">
        <v>186.6</v>
      </c>
      <c r="J25" s="1">
        <v>279.01</v>
      </c>
      <c r="K25" s="1">
        <v>291.88</v>
      </c>
      <c r="L25" s="1">
        <v>200.44</v>
      </c>
      <c r="M25" s="1">
        <v>400.67</v>
      </c>
      <c r="N25" s="1">
        <v>345.77</v>
      </c>
      <c r="O25" s="1">
        <v>112.72</v>
      </c>
      <c r="P25" s="1">
        <v>463.49</v>
      </c>
      <c r="Q25" s="1">
        <v>343.97</v>
      </c>
      <c r="R25" s="1">
        <v>117.77</v>
      </c>
      <c r="S25" s="1">
        <v>94.123000000000005</v>
      </c>
      <c r="T25" s="1">
        <v>345.72</v>
      </c>
      <c r="V25" s="71"/>
      <c r="W25" s="71"/>
      <c r="X25" s="71"/>
      <c r="Y25" s="17"/>
    </row>
    <row r="26" spans="1:25" ht="21" customHeight="1" x14ac:dyDescent="0.25">
      <c r="A26" s="8">
        <v>44219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1012</v>
      </c>
      <c r="W35" s="78">
        <f>SUM(W4:W34)</f>
        <v>2656</v>
      </c>
      <c r="X35" s="78">
        <f>SUM(X4:X34)</f>
        <v>7477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J17" sqref="J1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280.00000000000114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4476.4299999997675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209.99999999997954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6350.2499999999072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20830.000000000153</v>
      </c>
      <c r="C24" s="4">
        <f>('Kwh Reading'!T25-'Kwh Reading'!T24)*1000</f>
        <v>510.00000000004775</v>
      </c>
      <c r="D24" s="2">
        <f>('Kwh Reading'!F25-'Kwh Reading'!F24)*1000000</f>
        <v>2499.9999999999468</v>
      </c>
      <c r="E24" s="2">
        <f>('Kwh Reading'!C25-'Kwh Reading'!C24)*1000</f>
        <v>240.00000000000909</v>
      </c>
      <c r="F24" s="2">
        <f>('Kwh Reading'!J25-'Kwh Reading'!J24)*1000</f>
        <v>310.00000000000227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170.00000000000171</v>
      </c>
      <c r="J24" s="2">
        <f>('Kwh Reading'!S25-'Kwh Reading'!S24)*1000</f>
        <v>131.00000000000023</v>
      </c>
      <c r="K24" s="2">
        <f>('Kwh Reading'!I25-'Kwh Reading'!I24)*1000</f>
        <v>269.99999999998181</v>
      </c>
      <c r="L24" s="2">
        <f>('Kwh Reading'!B25-'Kwh Reading'!B24)*1000</f>
        <v>1000</v>
      </c>
      <c r="M24" s="2">
        <f>('Kwh Reading'!M25-'Kwh Reading'!M24)*1000</f>
        <v>730.00000000001819</v>
      </c>
      <c r="N24" s="2">
        <f>('Kwh Reading'!H25-'Kwh Reading'!H24)*1000</f>
        <v>639.99999999998636</v>
      </c>
      <c r="O24" s="2">
        <f>('Kwh Reading'!P25-'Kwh Reading'!P24)*1000</f>
        <v>829.99999999998408</v>
      </c>
      <c r="P24" s="2">
        <f>('Kwh Reading'!G25-'Kwh Reading'!G24)*1000</f>
        <v>870.00000000000455</v>
      </c>
      <c r="Q24" s="2">
        <f>('Kwh Reading'!Q25-'Kwh Reading'!Q24)*1000</f>
        <v>680.00000000000682</v>
      </c>
      <c r="R24" s="2">
        <f>('Kwh Reading'!N25-'Kwh Reading'!N24)*1000</f>
        <v>759.99999999999091</v>
      </c>
      <c r="S24" s="2">
        <f>'Kwh Reading'!E25-'Kwh Reading'!E24</f>
        <v>2866.269999999553</v>
      </c>
      <c r="T24" s="2">
        <f>'Kwh Reading'!D25-'Kwh Reading'!D24</f>
        <v>2113.1100000003353</v>
      </c>
      <c r="U24" s="27">
        <f>('Kwh Reading'!O25-'Kwh Reading'!O24)*1000</f>
        <v>230.00000000000398</v>
      </c>
      <c r="V24" s="16">
        <f t="shared" si="0"/>
        <v>5389.6200000002482</v>
      </c>
    </row>
    <row r="25" spans="1:22" x14ac:dyDescent="0.25">
      <c r="A25" s="3">
        <f>'Kwh Reading'!A25</f>
        <v>44218</v>
      </c>
      <c r="B25" s="26">
        <f>TOTAL!E23</f>
        <v>0</v>
      </c>
      <c r="C25" s="4">
        <f>('Kwh Reading'!T26-'Kwh Reading'!T25)*1000</f>
        <v>-345720</v>
      </c>
      <c r="D25" s="2">
        <f>('Kwh Reading'!F26-'Kwh Reading'!F25)*1000000</f>
        <v>-1988400</v>
      </c>
      <c r="E25" s="2">
        <f>('Kwh Reading'!C26-'Kwh Reading'!C25)*1000</f>
        <v>-192910</v>
      </c>
      <c r="F25" s="2">
        <f>('Kwh Reading'!J26-'Kwh Reading'!J25)*1000</f>
        <v>-279010</v>
      </c>
      <c r="G25" s="2">
        <f>('Kwh Reading'!K26-'Kwh Reading'!K25)*1000</f>
        <v>-291880</v>
      </c>
      <c r="H25" s="2">
        <f>('Kwh Reading'!L26-'Kwh Reading'!L25)*1000</f>
        <v>-200440</v>
      </c>
      <c r="I25" s="2">
        <f>('Kwh Reading'!R26-'Kwh Reading'!R25)*1000</f>
        <v>-117770</v>
      </c>
      <c r="J25" s="2">
        <f>('Kwh Reading'!S26-'Kwh Reading'!S25)*1000</f>
        <v>-94123</v>
      </c>
      <c r="K25" s="2">
        <f>('Kwh Reading'!I26-'Kwh Reading'!I25)*1000</f>
        <v>-186600</v>
      </c>
      <c r="L25" s="2">
        <f>('Kwh Reading'!B26-'Kwh Reading'!B25)*1000</f>
        <v>-778360</v>
      </c>
      <c r="M25" s="2">
        <f>('Kwh Reading'!M26-'Kwh Reading'!M25)*1000</f>
        <v>-400670</v>
      </c>
      <c r="N25" s="2">
        <f>('Kwh Reading'!H26-'Kwh Reading'!H25)*1000</f>
        <v>-498340</v>
      </c>
      <c r="O25" s="2">
        <f>('Kwh Reading'!P26-'Kwh Reading'!P25)*1000</f>
        <v>-463490</v>
      </c>
      <c r="P25" s="2">
        <f>('Kwh Reading'!G26-'Kwh Reading'!G25)*1000</f>
        <v>-600370</v>
      </c>
      <c r="Q25" s="2">
        <f>('Kwh Reading'!Q26-'Kwh Reading'!Q25)*1000</f>
        <v>-343970</v>
      </c>
      <c r="R25" s="2">
        <f>('Kwh Reading'!N26-'Kwh Reading'!N25)*1000</f>
        <v>-345770</v>
      </c>
      <c r="S25" s="2">
        <f>'Kwh Reading'!E26-'Kwh Reading'!E25</f>
        <v>-7702415.8799999999</v>
      </c>
      <c r="T25" s="2">
        <f>'Kwh Reading'!D26-'Kwh Reading'!D25</f>
        <v>-7106841.9400000004</v>
      </c>
      <c r="U25" s="27">
        <f>('Kwh Reading'!O26-'Kwh Reading'!O25)*1000</f>
        <v>-112720</v>
      </c>
      <c r="V25" s="16">
        <f t="shared" si="0"/>
        <v>22049800.82</v>
      </c>
    </row>
    <row r="26" spans="1:22" x14ac:dyDescent="0.25">
      <c r="A26" s="3">
        <f>'Kwh Reading'!A26</f>
        <v>44219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44220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44221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44222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44223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435769.99999999977</v>
      </c>
      <c r="C35" s="75">
        <f t="shared" ref="C35" si="1">SUM(C4:C34)</f>
        <v>-334740</v>
      </c>
      <c r="D35" s="75">
        <f t="shared" ref="D35" si="2">SUM(D4:D34)</f>
        <v>-1935500</v>
      </c>
      <c r="E35" s="75">
        <f t="shared" ref="E35" si="3">SUM(E4:E34)</f>
        <v>-187450</v>
      </c>
      <c r="F35" s="75">
        <f t="shared" ref="F35" si="4">SUM(F4:F34)</f>
        <v>-272090</v>
      </c>
      <c r="G35" s="75">
        <f t="shared" ref="G35:U35" si="5">SUM(G4:G34)</f>
        <v>-283610</v>
      </c>
      <c r="H35" s="75">
        <f t="shared" si="5"/>
        <v>-194770</v>
      </c>
      <c r="I35" s="75">
        <f t="shared" si="5"/>
        <v>-114300</v>
      </c>
      <c r="J35" s="75">
        <f t="shared" si="5"/>
        <v>-91218</v>
      </c>
      <c r="K35" s="75">
        <f t="shared" si="5"/>
        <v>-181590</v>
      </c>
      <c r="L35" s="75">
        <f t="shared" si="5"/>
        <v>-754530</v>
      </c>
      <c r="M35" s="75">
        <f t="shared" si="5"/>
        <v>-387459.99999999994</v>
      </c>
      <c r="N35" s="75">
        <f t="shared" si="5"/>
        <v>-482030</v>
      </c>
      <c r="O35" s="75">
        <f t="shared" si="5"/>
        <v>-447390</v>
      </c>
      <c r="P35" s="75">
        <f t="shared" si="5"/>
        <v>-583600</v>
      </c>
      <c r="Q35" s="75">
        <f t="shared" si="5"/>
        <v>-331310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</v>
      </c>
      <c r="V35" s="75">
        <f>SUM(V4:V34)</f>
        <v>22167543.879999999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1190.0000000000261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4476.4299999997656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709.99999999997954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6350.2499999999063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20830.000000000153</v>
      </c>
      <c r="C23" s="1">
        <f>'Kwh Consumption'!C24</f>
        <v>510.00000000004775</v>
      </c>
      <c r="D23" s="1">
        <f>'Kwh Consumption'!D24</f>
        <v>2499.9999999999468</v>
      </c>
      <c r="E23" s="1">
        <f>'Kwh Consumption'!E24</f>
        <v>240.00000000000909</v>
      </c>
      <c r="F23" s="1">
        <f>('Kwh Consumption'!F24+'Kwh Consumption'!G24+'Kwh Consumption'!H24)</f>
        <v>900.00000000003411</v>
      </c>
      <c r="G23" s="16">
        <f>('Kwh Consumption'!I24+'Kwh Consumption'!J24)</f>
        <v>301.00000000000193</v>
      </c>
      <c r="H23" s="1">
        <f>('Kwh Consumption'!K24+'Kwh Consumption'!L24)</f>
        <v>1269.9999999999818</v>
      </c>
      <c r="I23" s="1">
        <f>('Kwh Consumption'!M24+'Kwh Consumption'!N24+'Kwh Consumption'!O24+'Kwh Consumption'!P24+'Kwh Consumption'!Q24+'Kwh Consumption'!R24)</f>
        <v>4509.9999999999909</v>
      </c>
      <c r="J23" s="1">
        <f>('Kwh Consumption'!S24+'Kwh Consumption'!T24)</f>
        <v>4979.3799999998882</v>
      </c>
      <c r="K23" s="1">
        <f>'Kwh Consumption'!U24</f>
        <v>230.00000000000398</v>
      </c>
      <c r="L23" s="32">
        <f t="shared" si="0"/>
        <v>5389.6200000002536</v>
      </c>
    </row>
    <row r="24" spans="1:12" x14ac:dyDescent="0.25">
      <c r="A24" s="14">
        <f>'Kwh Reading'!A25</f>
        <v>44218</v>
      </c>
      <c r="B24" s="83">
        <f>TOTAL!E23</f>
        <v>0</v>
      </c>
      <c r="C24" s="1">
        <f>'Kwh Consumption'!C25</f>
        <v>-345720</v>
      </c>
      <c r="D24" s="1">
        <f>'Kwh Consumption'!D25</f>
        <v>-1988400</v>
      </c>
      <c r="E24" s="1">
        <f>'Kwh Consumption'!E25</f>
        <v>-192910</v>
      </c>
      <c r="F24" s="1">
        <f>('Kwh Consumption'!F25+'Kwh Consumption'!G25+'Kwh Consumption'!H25)</f>
        <v>-771330</v>
      </c>
      <c r="G24" s="16">
        <f>('Kwh Consumption'!I25+'Kwh Consumption'!J25)</f>
        <v>-211893</v>
      </c>
      <c r="H24" s="1">
        <f>('Kwh Consumption'!K25+'Kwh Consumption'!L25)</f>
        <v>-964960</v>
      </c>
      <c r="I24" s="1">
        <f>('Kwh Consumption'!M25+'Kwh Consumption'!N25+'Kwh Consumption'!O25+'Kwh Consumption'!P25+'Kwh Consumption'!Q25+'Kwh Consumption'!R25)</f>
        <v>-2652610</v>
      </c>
      <c r="J24" s="1">
        <f>('Kwh Consumption'!S25+'Kwh Consumption'!T25)</f>
        <v>-14809257.82</v>
      </c>
      <c r="K24" s="1">
        <f>'Kwh Consumption'!U25</f>
        <v>-112720</v>
      </c>
      <c r="L24" s="32">
        <f t="shared" si="0"/>
        <v>22049800.82</v>
      </c>
    </row>
    <row r="25" spans="1:12" x14ac:dyDescent="0.25">
      <c r="A25" s="14">
        <f>'Kwh Reading'!A26</f>
        <v>44219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44220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44221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44222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44223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44224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435769.99999999977</v>
      </c>
      <c r="C34" s="75">
        <f>SUM(C3:C33)</f>
        <v>-334740</v>
      </c>
      <c r="D34" s="75">
        <f t="shared" ref="D34:L34" si="1">SUM(D3:D33)</f>
        <v>-1935500</v>
      </c>
      <c r="E34" s="75">
        <f t="shared" si="1"/>
        <v>-187450</v>
      </c>
      <c r="F34" s="75">
        <f t="shared" si="1"/>
        <v>-750470</v>
      </c>
      <c r="G34" s="75">
        <f t="shared" si="1"/>
        <v>-205518</v>
      </c>
      <c r="H34" s="75">
        <f t="shared" si="1"/>
        <v>-936120</v>
      </c>
      <c r="I34" s="75">
        <f t="shared" si="1"/>
        <v>-2563600</v>
      </c>
      <c r="J34" s="75">
        <f t="shared" si="1"/>
        <v>-14711015.879999999</v>
      </c>
      <c r="K34" s="75">
        <f t="shared" si="1"/>
        <v>-107360</v>
      </c>
      <c r="L34" s="75">
        <f t="shared" si="1"/>
        <v>22167543.879999999</v>
      </c>
      <c r="M34" s="84">
        <f>C34+D34+E34+F34+G34+H34+I34+J34+K34+L34</f>
        <v>435770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-46863.600000000006</v>
      </c>
      <c r="D36" s="75">
        <f>D34*B36</f>
        <v>-270970</v>
      </c>
      <c r="E36" s="75">
        <f>E34*B36</f>
        <v>-26243.000000000004</v>
      </c>
      <c r="F36" s="75">
        <f>F34*B36</f>
        <v>-105065.8</v>
      </c>
      <c r="G36" s="75">
        <f>G34*B36</f>
        <v>-28772.520000000004</v>
      </c>
      <c r="H36" s="75">
        <f>H34*B36</f>
        <v>-131056.80000000002</v>
      </c>
      <c r="I36" s="75">
        <f>I34*B36</f>
        <v>-358904.00000000006</v>
      </c>
      <c r="J36" s="75">
        <f>J34*B36</f>
        <v>-2059542.2232000001</v>
      </c>
      <c r="K36" s="75">
        <f>K34*B36</f>
        <v>-15030.400000000001</v>
      </c>
      <c r="L36" s="75">
        <f>L34*B36</f>
        <v>3103456.1432000003</v>
      </c>
      <c r="M36" s="84">
        <f>C36+D36+E36+F36+G36+H36+I36+J36+K36+L36</f>
        <v>61007.800000000279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166.60000000000369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626.70019999996748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99.399999999997149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889.03499999998712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2916.2000000000216</v>
      </c>
      <c r="D23" s="1">
        <f>'Kwh Consumption'!C24*' Kwh area wise $ '!B23</f>
        <v>71.400000000006685</v>
      </c>
      <c r="E23" s="1">
        <f>'Kwh Consumption'!D24*' Kwh area wise $ '!B23</f>
        <v>349.99999999999261</v>
      </c>
      <c r="F23" s="1">
        <f>'Kwh Consumption'!E24*' Kwh area wise $ '!B23</f>
        <v>33.600000000001273</v>
      </c>
      <c r="G23" s="1">
        <f>('Kwh Consumption'!F24+'Kwh Consumption'!G24+'Kwh Consumption'!H24)*' Kwh area wise $ '!B23</f>
        <v>126.00000000000479</v>
      </c>
      <c r="H23" s="16">
        <f>('Kwh Consumption'!I24+'Kwh Consumption'!J24)*' Kwh area wise $ '!B23</f>
        <v>42.140000000000278</v>
      </c>
      <c r="I23" s="1">
        <f>('Kwh Consumption'!K24+'Kwh Consumption'!L24)*' Kwh area wise $ '!B23</f>
        <v>177.79999999999748</v>
      </c>
      <c r="J23" s="1">
        <f>('Kwh Consumption'!M24+'Kwh Consumption'!N24+'Kwh Consumption'!O24+'Kwh Consumption'!P24+'Kwh Consumption'!Q24+'Kwh Consumption'!R24)*' Kwh area wise $ '!B23</f>
        <v>631.39999999999884</v>
      </c>
      <c r="K23" s="1">
        <f>('Kwh Consumption'!S24+'Kwh Consumption'!T24)*' Kwh area wise $ '!B23</f>
        <v>697.11319999998443</v>
      </c>
      <c r="L23" s="1">
        <f>'Kwh Consumption'!U24*' Kwh area wise $ '!B23</f>
        <v>32.200000000000557</v>
      </c>
      <c r="M23" s="1">
        <f>'Kwh Consumption'!V24*' Kwh area wise $ '!B23</f>
        <v>754.54680000003486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-48400.800000000003</v>
      </c>
      <c r="E24" s="1">
        <f>'Kwh Consumption'!D25*' Kwh area wise $ '!B24</f>
        <v>-278376</v>
      </c>
      <c r="F24" s="1">
        <f>'Kwh Consumption'!E25*' Kwh area wise $ '!B24</f>
        <v>-27007.4</v>
      </c>
      <c r="G24" s="1">
        <f>('Kwh Consumption'!F25+'Kwh Consumption'!G25+'Kwh Consumption'!H25)*' Kwh area wise $ '!B24</f>
        <v>-107986.20000000001</v>
      </c>
      <c r="H24" s="16">
        <f>('Kwh Consumption'!I25+'Kwh Consumption'!J25)*' Kwh area wise $ '!B24</f>
        <v>-29665.020000000004</v>
      </c>
      <c r="I24" s="1">
        <f>('Kwh Consumption'!K25+'Kwh Consumption'!L25)*' Kwh area wise $ '!B24</f>
        <v>-135094.40000000002</v>
      </c>
      <c r="J24" s="1">
        <f>('Kwh Consumption'!M25+'Kwh Consumption'!N25+'Kwh Consumption'!O25+'Kwh Consumption'!P25+'Kwh Consumption'!Q25+'Kwh Consumption'!R25)*' Kwh area wise $ '!B24</f>
        <v>-371365.4</v>
      </c>
      <c r="K24" s="1">
        <f>('Kwh Consumption'!S25+'Kwh Consumption'!T25)*' Kwh area wise $ '!B24</f>
        <v>-2073296.0948000003</v>
      </c>
      <c r="L24" s="1">
        <f>'Kwh Consumption'!U25*' Kwh area wise $ '!B24</f>
        <v>-15780.800000000001</v>
      </c>
      <c r="M24" s="1">
        <f>'Kwh Consumption'!V25*' Kwh area wise $ '!B24</f>
        <v>3086972.1148000006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61007.799999999967</v>
      </c>
      <c r="D34" s="75">
        <f t="shared" si="0"/>
        <v>-46863.6</v>
      </c>
      <c r="E34" s="75">
        <f t="shared" si="0"/>
        <v>-270970</v>
      </c>
      <c r="F34" s="75">
        <f t="shared" si="0"/>
        <v>-26243</v>
      </c>
      <c r="G34" s="75">
        <f t="shared" si="0"/>
        <v>-105065.80000000002</v>
      </c>
      <c r="H34" s="75">
        <f t="shared" si="0"/>
        <v>-28772.520000000004</v>
      </c>
      <c r="I34" s="75">
        <f t="shared" si="0"/>
        <v>-131056.80000000002</v>
      </c>
      <c r="J34" s="75">
        <f t="shared" si="0"/>
        <v>-358904</v>
      </c>
      <c r="K34" s="75">
        <f t="shared" si="0"/>
        <v>-2059542.2232000004</v>
      </c>
      <c r="L34" s="75">
        <f t="shared" si="0"/>
        <v>-15030.400000000001</v>
      </c>
      <c r="M34" s="75">
        <f>SUM(M3:M33)</f>
        <v>3103456.1432000003</v>
      </c>
      <c r="N34" s="84">
        <f>D34+E34+F34+G34+H34+I34+J34+K34+L34+M34</f>
        <v>61007.799999999814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C9" activePane="bottomRight" state="frozen"/>
      <selection pane="topRight" activeCell="C25" sqref="C25"/>
      <selection pane="bottomLeft" activeCell="C25" sqref="C25"/>
      <selection pane="bottomRight" activeCell="S24" sqref="S2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>
        <v>140390</v>
      </c>
      <c r="C24" s="56">
        <v>96465</v>
      </c>
      <c r="D24" s="55">
        <v>186381</v>
      </c>
      <c r="E24" s="55">
        <v>238327</v>
      </c>
      <c r="F24" s="55">
        <v>66839</v>
      </c>
      <c r="G24" s="55">
        <v>108553</v>
      </c>
      <c r="H24" s="33">
        <v>45158</v>
      </c>
      <c r="I24" s="55">
        <v>57354</v>
      </c>
      <c r="J24" s="55">
        <v>18218</v>
      </c>
      <c r="K24" s="55">
        <v>1024</v>
      </c>
      <c r="L24" s="55">
        <v>16154</v>
      </c>
      <c r="M24" s="55">
        <v>21872</v>
      </c>
      <c r="N24" s="55">
        <v>6639</v>
      </c>
      <c r="O24" s="55">
        <v>1538</v>
      </c>
      <c r="P24" s="55">
        <v>25759</v>
      </c>
      <c r="Q24" s="33">
        <v>29</v>
      </c>
      <c r="R24" s="55">
        <v>5407</v>
      </c>
    </row>
    <row r="25" spans="1:22" x14ac:dyDescent="0.25">
      <c r="A25" s="54">
        <v>44219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44220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44221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44222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44223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44224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44225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44226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R39" sqref="R3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291</v>
      </c>
      <c r="C24" s="66">
        <f>('Water Reading'!B24-'Water Reading'!B23)+('Water Reading'!C24-'Water Reading'!C23)</f>
        <v>348</v>
      </c>
      <c r="D24" s="67">
        <f t="shared" si="2"/>
        <v>1.1958762886597938</v>
      </c>
      <c r="E24" s="87">
        <f>'Water Reading'!H24-'Water Reading'!H23</f>
        <v>36</v>
      </c>
      <c r="F24" s="89">
        <f t="shared" si="3"/>
        <v>0.10344827586206896</v>
      </c>
      <c r="G24" s="93">
        <f>('Water Reading'!D24-'Water Reading'!D23)-('Water Reading'!R24-'Water Reading'!R23)-('Water Reading'!Q24-'Water Reading'!Q23)</f>
        <v>156</v>
      </c>
      <c r="H24" s="89">
        <f t="shared" si="4"/>
        <v>0.44827586206896552</v>
      </c>
      <c r="I24" s="90">
        <f>'Water Reading'!P24-'Water Reading'!P23</f>
        <v>2</v>
      </c>
      <c r="J24" s="68">
        <f t="shared" si="5"/>
        <v>5.7471264367816091E-3</v>
      </c>
      <c r="K24" s="90">
        <f>('Water Reading'!I24-'Water Reading'!I23)</f>
        <v>30</v>
      </c>
      <c r="L24" s="68">
        <f t="shared" si="6"/>
        <v>8.6206896551724144E-2</v>
      </c>
      <c r="M24" s="90">
        <f>'Water Reading'!R24-'Water Reading'!R23</f>
        <v>8</v>
      </c>
      <c r="N24" s="92">
        <f t="shared" si="7"/>
        <v>2.2988505747126436E-2</v>
      </c>
      <c r="O24" s="90">
        <f>'Water Reading'!Q24-'Water Reading'!Q23</f>
        <v>9</v>
      </c>
      <c r="P24" s="99">
        <f t="shared" si="8"/>
        <v>2.5862068965517241E-2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0.16666666666666666</v>
      </c>
      <c r="U24" s="90">
        <f>'Water Reading'!G24-'Water Reading'!G23</f>
        <v>22</v>
      </c>
      <c r="V24" s="100">
        <f t="shared" si="11"/>
        <v>6.3218390804597707E-2</v>
      </c>
      <c r="W24" s="90">
        <f>'Water Reading'!J24-'Water Reading'!J23</f>
        <v>12</v>
      </c>
      <c r="X24" s="100">
        <f t="shared" si="12"/>
        <v>3.4482758620689655E-2</v>
      </c>
      <c r="Y24" s="66">
        <f t="shared" si="0"/>
        <v>333</v>
      </c>
      <c r="Z24" s="67">
        <f t="shared" si="1"/>
        <v>1.1443298969072164</v>
      </c>
    </row>
    <row r="25" spans="1:26" x14ac:dyDescent="0.25">
      <c r="A25" s="8">
        <f>'Water Reading'!A24</f>
        <v>44218</v>
      </c>
      <c r="B25" s="65">
        <f>TOTAL!I23</f>
        <v>0</v>
      </c>
      <c r="C25" s="66">
        <f>('Water Reading'!B25-'Water Reading'!B24)+('Water Reading'!C25-'Water Reading'!C24)</f>
        <v>-236855</v>
      </c>
      <c r="D25" s="67" t="e">
        <f t="shared" si="2"/>
        <v>#DIV/0!</v>
      </c>
      <c r="E25" s="87">
        <f>'Water Reading'!H25-'Water Reading'!H24</f>
        <v>-45158</v>
      </c>
      <c r="F25" s="89">
        <f t="shared" si="3"/>
        <v>0.19065673091131705</v>
      </c>
      <c r="G25" s="93">
        <f>('Water Reading'!D25-'Water Reading'!D24)-('Water Reading'!R25-'Water Reading'!R24)-('Water Reading'!Q25-'Water Reading'!Q24)</f>
        <v>-180945</v>
      </c>
      <c r="H25" s="89">
        <f t="shared" si="4"/>
        <v>0.76394840725338287</v>
      </c>
      <c r="I25" s="90">
        <f>'Water Reading'!P25-'Water Reading'!P24</f>
        <v>-25759</v>
      </c>
      <c r="J25" s="68">
        <f t="shared" si="5"/>
        <v>0.10875430115471491</v>
      </c>
      <c r="K25" s="90">
        <f>('Water Reading'!I25-'Water Reading'!I24)</f>
        <v>-57354</v>
      </c>
      <c r="L25" s="68">
        <f t="shared" si="6"/>
        <v>0.24214814971184903</v>
      </c>
      <c r="M25" s="90">
        <f>'Water Reading'!R25-'Water Reading'!R24</f>
        <v>-5407</v>
      </c>
      <c r="N25" s="92">
        <f t="shared" si="7"/>
        <v>2.2828312680754047E-2</v>
      </c>
      <c r="O25" s="90">
        <f>'Water Reading'!Q25-'Water Reading'!Q24</f>
        <v>-29</v>
      </c>
      <c r="P25" s="99">
        <f t="shared" si="8"/>
        <v>1.2243777838762113E-4</v>
      </c>
      <c r="Q25" s="91">
        <f>'Water Reading'!F25-'Water Reading'!F24</f>
        <v>-66839</v>
      </c>
      <c r="R25" s="100">
        <f t="shared" si="9"/>
        <v>0.2821937472293175</v>
      </c>
      <c r="S25" s="94">
        <f>'Water Reading'!E25-'Water Reading'!E24</f>
        <v>-238327</v>
      </c>
      <c r="T25" s="100">
        <f t="shared" si="10"/>
        <v>1.0062147727512614</v>
      </c>
      <c r="U25" s="90">
        <f>'Water Reading'!G25-'Water Reading'!G24</f>
        <v>-108553</v>
      </c>
      <c r="V25" s="100">
        <f t="shared" si="11"/>
        <v>0.45830993645901502</v>
      </c>
      <c r="W25" s="90">
        <f>'Water Reading'!J25-'Water Reading'!J24</f>
        <v>-18218</v>
      </c>
      <c r="X25" s="100">
        <f t="shared" si="12"/>
        <v>7.6916256781575224E-2</v>
      </c>
      <c r="Y25" s="66">
        <f t="shared" si="0"/>
        <v>-746589</v>
      </c>
      <c r="Z25" s="67" t="e">
        <f t="shared" si="1"/>
        <v>#DIV/0!</v>
      </c>
    </row>
    <row r="26" spans="1:26" x14ac:dyDescent="0.25">
      <c r="A26" s="8">
        <f>'Water Reading'!A25</f>
        <v>44219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44220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44221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44222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44223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44224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44225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5922</v>
      </c>
      <c r="C35" s="75">
        <f>SUM(C4:C34)</f>
        <v>-229728</v>
      </c>
      <c r="D35" s="96">
        <f>C35/B35</f>
        <v>-38.792299898682877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-56825</v>
      </c>
      <c r="L35" s="95">
        <f>K35/C35</f>
        <v>0.24735774481125505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-739826</v>
      </c>
      <c r="Z35" s="95">
        <f t="shared" si="1"/>
        <v>-124.92840256670044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2021-01-22T04:25:06Z</dcterms:modified>
  <cp:category/>
  <cp:contentStatus/>
</cp:coreProperties>
</file>