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<sst xmlns="http://schemas.openxmlformats.org/spreadsheetml/2006/main" count="313" uniqueCount="148">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</sst>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 t="str">
        <f>IF(LPG!F14-LPG!F13&lt;0,"0",(LPG!F14-LPG!F13)*1.8315)</f>
        <v>0</v>
      </c>
      <c r="AY7" s="31" t="str">
        <f>IF(LPG!H14-LPG!H13&lt;0,"0",(LPG!H14-LPG!H13)*1.8315)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5300.0000000000828</v>
      </c>
      <c r="F33" s="17">
        <f t="shared" ref="F33:BC33" si="1">SUM(F2:F32)</f>
        <v>3000.0000000001137</v>
      </c>
      <c r="G33" s="17">
        <f t="shared" si="1"/>
        <v>7099.9999999998854</v>
      </c>
      <c r="H33" s="17">
        <f t="shared" si="1"/>
        <v>4099.9999999999918</v>
      </c>
      <c r="I33" s="17">
        <f t="shared" si="1"/>
        <v>8199.9999999999854</v>
      </c>
      <c r="J33" s="17">
        <f t="shared" si="1"/>
        <v>2599.9999999999359</v>
      </c>
      <c r="K33" s="17">
        <f t="shared" si="1"/>
        <v>4</v>
      </c>
      <c r="L33" s="17">
        <f t="shared" si="1"/>
        <v>21</v>
      </c>
      <c r="M33" s="17">
        <f t="shared" si="1"/>
        <v>597</v>
      </c>
      <c r="N33" s="17">
        <f t="shared" si="1"/>
        <v>361.70000000001164</v>
      </c>
      <c r="O33" s="17">
        <f t="shared" si="1"/>
        <v>430.00000000000682</v>
      </c>
      <c r="P33" s="17">
        <f t="shared" si="1"/>
        <v>2199.9999999997576</v>
      </c>
      <c r="Q33" s="17">
        <f t="shared" si="1"/>
        <v>400.00000000003411</v>
      </c>
      <c r="R33" s="17">
        <f t="shared" si="1"/>
        <v>649.99999999997726</v>
      </c>
      <c r="S33" s="17">
        <f t="shared" si="1"/>
        <v>990.00000000000909</v>
      </c>
      <c r="T33" s="17">
        <f t="shared" si="1"/>
        <v>6</v>
      </c>
      <c r="U33" s="35">
        <f t="shared" si="1"/>
        <v>1180.0000000000068</v>
      </c>
      <c r="V33" s="35">
        <f t="shared" si="1"/>
        <v>710.00000000000796</v>
      </c>
      <c r="W33" s="35">
        <f t="shared" si="1"/>
        <v>590.00000000000341</v>
      </c>
      <c r="X33" s="35">
        <f t="shared" si="1"/>
        <v>570.0000000000216</v>
      </c>
      <c r="Y33" s="35">
        <f t="shared" si="1"/>
        <v>150.00000000000568</v>
      </c>
      <c r="Z33" s="35">
        <f t="shared" si="1"/>
        <v>159.99999999996817</v>
      </c>
      <c r="AA33" s="35">
        <f t="shared" si="1"/>
        <v>159.99999999996817</v>
      </c>
      <c r="AB33" s="35">
        <f t="shared" si="1"/>
        <v>149.99999999997726</v>
      </c>
      <c r="AC33" s="35">
        <f t="shared" si="1"/>
        <v>120.00000000000455</v>
      </c>
      <c r="AD33" s="35">
        <f t="shared" si="1"/>
        <v>139.99999999998636</v>
      </c>
      <c r="AE33" s="35">
        <f t="shared" si="1"/>
        <v>89.999999999974989</v>
      </c>
      <c r="AF33" s="17">
        <f t="shared" si="1"/>
        <v>157</v>
      </c>
      <c r="AG33" s="32">
        <f t="shared" si="1"/>
        <v>39.999999999992042</v>
      </c>
      <c r="AH33" s="32">
        <f t="shared" si="1"/>
        <v>39.99999999996362</v>
      </c>
      <c r="AI33" s="32">
        <f t="shared" si="1"/>
        <v>30.000000000001137</v>
      </c>
      <c r="AJ33" s="32">
        <f t="shared" si="1"/>
        <v>150.00000000000568</v>
      </c>
      <c r="AK33" s="32">
        <f t="shared" si="1"/>
        <v>110.00000000001364</v>
      </c>
      <c r="AL33" s="32">
        <f t="shared" si="1"/>
        <v>59</v>
      </c>
      <c r="AM33" s="32">
        <f t="shared" si="1"/>
        <v>109.99999999998522</v>
      </c>
      <c r="AN33" s="32">
        <f t="shared" si="1"/>
        <v>143</v>
      </c>
      <c r="AO33" s="32">
        <f t="shared" si="1"/>
        <v>120.00000000000455</v>
      </c>
      <c r="AP33" s="32">
        <f t="shared" si="1"/>
        <v>130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92.400000000001455</v>
      </c>
      <c r="AU33" s="17">
        <f t="shared" si="1"/>
        <v>984</v>
      </c>
      <c r="AV33" s="17">
        <f t="shared" si="1"/>
        <v>1830.0000000000409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21.977999999999998</v>
      </c>
      <c r="BC33" s="17">
        <f t="shared" si="1"/>
        <v>0</v>
      </c>
    </row>
    <row r="35" spans="5:55" x14ac:dyDescent="0.25">
      <c r="E35" s="38">
        <f>E33/E37</f>
        <v>0.40036259253664297</v>
      </c>
      <c r="G35" s="29">
        <f>G33-M36</f>
        <v>6141.2999999998738</v>
      </c>
      <c r="AE35" s="35">
        <f>SUM(U33:AE33)</f>
        <v>4019.999999999925</v>
      </c>
      <c r="AG35" s="32">
        <f>SUM(AG33:AP33)</f>
        <v>931.99999999996589</v>
      </c>
    </row>
    <row r="36" spans="5:55" x14ac:dyDescent="0.25">
      <c r="G36" s="29">
        <f>G35-633*14</f>
        <v>-2720.7000000001262</v>
      </c>
      <c r="M36" s="29">
        <f>M33+N33</f>
        <v>958.70000000001164</v>
      </c>
    </row>
    <row r="37" spans="5:55" x14ac:dyDescent="0.25">
      <c r="E37" s="17">
        <f>E33+F33+G33+H33+J33-633*14</f>
        <v>13238.000000000007</v>
      </c>
      <c r="G37" s="37">
        <f>M36/E37</f>
        <v>7.2420305182052502E-2</v>
      </c>
      <c r="M37" s="35">
        <f>AE35</f>
        <v>4019.999999999925</v>
      </c>
    </row>
    <row r="38" spans="5:55" x14ac:dyDescent="0.25">
      <c r="L38" s="27">
        <f>M38/E37</f>
        <v>7.0403384197005994E-2</v>
      </c>
      <c r="M38" s="29">
        <f>AG35</f>
        <v>931.99999999996589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J1" zoomScale="80" zoomScaleNormal="80" workbookViewId="0">
      <pane ySplit="1" topLeftCell="A2" activePane="bottomLeft" state="frozen"/>
      <selection pane="bottomLeft" activeCell="R11" sqref="R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4"/>
        <v>0</v>
      </c>
      <c r="M9" s="58"/>
      <c r="N9" s="64" t="str">
        <f t="shared" si="5"/>
        <v/>
      </c>
      <c r="O9" s="58"/>
      <c r="P9" s="67" t="str">
        <f t="shared" si="43"/>
        <v/>
      </c>
      <c r="Q9" s="58"/>
      <c r="R9" s="67" t="str">
        <f t="shared" si="6"/>
        <v/>
      </c>
      <c r="S9" s="58"/>
      <c r="T9" s="67" t="str">
        <f t="shared" si="7"/>
        <v/>
      </c>
      <c r="U9" s="58"/>
      <c r="V9" s="67" t="str">
        <f t="shared" si="8"/>
        <v/>
      </c>
      <c r="W9" s="58"/>
      <c r="X9" s="65" t="str">
        <f t="shared" si="9"/>
        <v/>
      </c>
      <c r="Y9" s="58"/>
      <c r="Z9" s="65" t="str">
        <f t="shared" si="10"/>
        <v/>
      </c>
      <c r="AA9" s="58"/>
      <c r="AB9" s="65" t="str">
        <f t="shared" si="11"/>
        <v/>
      </c>
      <c r="AC9" s="58"/>
      <c r="AD9" s="65" t="str">
        <f t="shared" si="12"/>
        <v/>
      </c>
      <c r="AE9" s="58"/>
      <c r="AF9" s="65" t="str">
        <f t="shared" si="13"/>
        <v/>
      </c>
      <c r="AG9" s="58"/>
      <c r="AH9" s="67" t="str">
        <f t="shared" si="14"/>
        <v/>
      </c>
      <c r="AI9" s="58"/>
      <c r="AJ9" s="65" t="str">
        <f t="shared" si="15"/>
        <v/>
      </c>
      <c r="AK9" s="58"/>
      <c r="AL9" s="65" t="str">
        <f t="shared" si="15"/>
        <v/>
      </c>
      <c r="AM9" s="58"/>
      <c r="AN9" s="65" t="str">
        <f t="shared" si="15"/>
        <v/>
      </c>
      <c r="AO9" s="58"/>
      <c r="AP9" s="65" t="str">
        <f t="shared" si="15"/>
        <v/>
      </c>
      <c r="AQ9" s="58"/>
      <c r="AR9" s="65" t="str">
        <f t="shared" si="16"/>
        <v/>
      </c>
      <c r="AS9" s="58"/>
      <c r="AT9" s="65" t="str">
        <f t="shared" si="17"/>
        <v/>
      </c>
      <c r="AU9" s="58"/>
      <c r="AV9" s="65" t="str">
        <f t="shared" si="18"/>
        <v/>
      </c>
      <c r="AW9" s="58"/>
      <c r="AX9" s="65" t="str">
        <f t="shared" si="19"/>
        <v/>
      </c>
      <c r="AY9" s="58"/>
      <c r="AZ9" s="65" t="str">
        <f t="shared" si="20"/>
        <v/>
      </c>
      <c r="BA9" s="58"/>
      <c r="BB9" s="65" t="str">
        <f t="shared" si="21"/>
        <v/>
      </c>
      <c r="BC9" s="58"/>
      <c r="BD9" s="65" t="str">
        <f t="shared" si="22"/>
        <v/>
      </c>
      <c r="BE9" s="59"/>
      <c r="BF9" s="67" t="str">
        <f t="shared" si="39"/>
        <v/>
      </c>
      <c r="BG9" s="60"/>
      <c r="BH9" s="65" t="str">
        <f t="shared" si="23"/>
        <v/>
      </c>
      <c r="BI9" s="60"/>
      <c r="BJ9" s="65" t="str">
        <f t="shared" si="40"/>
        <v/>
      </c>
      <c r="BK9" s="60"/>
      <c r="BL9" s="65" t="str">
        <f t="shared" si="24"/>
        <v/>
      </c>
      <c r="BM9" s="60"/>
      <c r="BN9" s="65" t="str">
        <f t="shared" si="25"/>
        <v/>
      </c>
      <c r="BO9" s="60"/>
      <c r="BP9" s="65" t="str">
        <f t="shared" si="26"/>
        <v/>
      </c>
      <c r="BQ9" s="60"/>
      <c r="BR9" s="65" t="str">
        <f t="shared" si="27"/>
        <v/>
      </c>
      <c r="BS9" s="60"/>
      <c r="BT9" s="65" t="str">
        <f t="shared" si="42"/>
        <v/>
      </c>
      <c r="BU9" s="60"/>
      <c r="BV9" s="65" t="str">
        <f t="shared" si="29"/>
        <v/>
      </c>
      <c r="BW9" s="60"/>
      <c r="BX9" s="65" t="str">
        <f t="shared" si="30"/>
        <v/>
      </c>
      <c r="BY9" s="60"/>
      <c r="BZ9" s="67" t="str">
        <f t="shared" si="31"/>
        <v/>
      </c>
      <c r="CA9" s="60"/>
      <c r="CB9" s="67" t="str">
        <f t="shared" si="32"/>
        <v/>
      </c>
      <c r="CC9" s="60"/>
      <c r="CD9" s="67" t="str">
        <f t="shared" si="33"/>
        <v/>
      </c>
      <c r="CE9" s="60"/>
      <c r="CF9" s="67" t="str">
        <f t="shared" si="34"/>
        <v/>
      </c>
      <c r="CG9" s="60"/>
      <c r="CH9" s="67" t="str">
        <f t="shared" si="35"/>
        <v/>
      </c>
      <c r="CI9" s="60"/>
      <c r="CJ9" s="67" t="str">
        <f t="shared" si="36"/>
        <v/>
      </c>
      <c r="CK9" s="60"/>
      <c r="CL9" s="64" t="str">
        <f t="shared" si="37"/>
        <v/>
      </c>
      <c r="CM9" s="65" t="e">
        <f t="shared" si="41"/>
        <v>#VALUE!</v>
      </c>
      <c r="CN9" s="62">
        <v>0</v>
      </c>
      <c r="CO9" s="62">
        <v>0</v>
      </c>
      <c r="CP9" s="68"/>
      <c r="CQ9" s="67" t="str">
        <f t="shared" si="38"/>
        <v/>
      </c>
      <c r="CR9" s="68"/>
      <c r="CS9" s="67" t="str">
        <f t="shared" si="38"/>
        <v/>
      </c>
      <c r="CT9" s="75"/>
      <c r="CU9" s="67" t="str">
        <f t="shared" si="38"/>
        <v/>
      </c>
      <c r="CV9" s="68"/>
      <c r="CW9" s="67" t="str">
        <f t="shared" si="38"/>
        <v/>
      </c>
    </row>
    <row r="10" spans="1:102" ht="25.5" customHeight="1" thickBot="1" x14ac:dyDescent="0.45">
      <c r="A10" s="63">
        <v>44111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44112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43"/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44113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44114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44115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ref="P14:P34" si="44">IF((O14-O13&lt;0), "",O14-O13)</f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S14" sqref="S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-196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2020-10-06T12:17:59Z</dcterms:modified>
</cp:coreProperties>
</file>