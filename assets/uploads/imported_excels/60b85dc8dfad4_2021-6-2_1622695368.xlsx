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S38" i="7" s="1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R2" i="9" l="1"/>
  <c r="G2" i="5" s="1"/>
  <c r="AV38" i="7"/>
  <c r="AL7" i="7"/>
  <c r="W38" i="7"/>
  <c r="AO7" i="7"/>
  <c r="Z38" i="7"/>
  <c r="I2" i="9"/>
  <c r="U38" i="7"/>
  <c r="AP7" i="7"/>
  <c r="AA38" i="7"/>
  <c r="AG7" i="7"/>
  <c r="R38" i="7"/>
  <c r="E2" i="9"/>
  <c r="Q38" i="7"/>
  <c r="J2" i="9"/>
  <c r="V38" i="7"/>
  <c r="AR7" i="7"/>
  <c r="AC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AW38" i="7" s="1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J38" i="7" s="1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R38" i="7" l="1"/>
  <c r="AQ38" i="7"/>
  <c r="AO38" i="7"/>
  <c r="AL38" i="7"/>
  <c r="AK38" i="7"/>
  <c r="AI38" i="7"/>
  <c r="AH38" i="7"/>
  <c r="AP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<sst xmlns="http://schemas.openxmlformats.org/spreadsheetml/2006/main" count="128" uniqueCount="49">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</sst>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63890</v>
      </c>
      <c r="F2" s="11">
        <v>5.0000000000000001E-3</v>
      </c>
      <c r="G2" s="12">
        <f>Submetering!R2</f>
        <v>1045.151701</v>
      </c>
      <c r="H2" s="11">
        <v>0.52800000000000002</v>
      </c>
      <c r="I2" s="12">
        <f>Hotel!B7</f>
        <v>84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56590</v>
      </c>
      <c r="F3" s="11">
        <v>5.0000000000000001E-3</v>
      </c>
      <c r="G3" s="12">
        <f>Submetering!R3</f>
        <v>1000.8624039999999</v>
      </c>
      <c r="H3" s="11">
        <v>0.52800000000000002</v>
      </c>
      <c r="I3" s="12">
        <f>Hotel!B8</f>
        <v>99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0</v>
      </c>
      <c r="F4" s="11">
        <v>5.0000000000000001E-3</v>
      </c>
      <c r="G4" s="12">
        <f>Submetering!R4</f>
        <v>0</v>
      </c>
      <c r="H4" s="11">
        <v>0.52800000000000002</v>
      </c>
      <c r="I4" s="12">
        <f>Hotel!B9</f>
        <v>0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0</v>
      </c>
      <c r="F5" s="11">
        <v>5.0000000000000001E-3</v>
      </c>
      <c r="G5" s="12">
        <f>Submetering!R5</f>
        <v>0</v>
      </c>
      <c r="H5" s="11">
        <v>0.52800000000000002</v>
      </c>
      <c r="I5" s="12">
        <f>Hotel!B10</f>
        <v>0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0</v>
      </c>
      <c r="F6" s="11">
        <v>5.0000000000000001E-3</v>
      </c>
      <c r="G6" s="12">
        <f>Submetering!R6</f>
        <v>0</v>
      </c>
      <c r="H6" s="11">
        <v>0.52800000000000002</v>
      </c>
      <c r="I6" s="12">
        <f>Hotel!B11</f>
        <v>0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0</v>
      </c>
      <c r="F7" s="11">
        <v>5.0000000000000001E-3</v>
      </c>
      <c r="G7" s="12">
        <f>Submetering!R7</f>
        <v>0</v>
      </c>
      <c r="H7" s="11">
        <v>0.52800000000000002</v>
      </c>
      <c r="I7" s="12">
        <f>Hotel!B12</f>
        <v>0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2021</v>
      </c>
      <c r="E2" s="4">
        <f>Hotel!Q7</f>
        <v>1100</v>
      </c>
      <c r="F2" s="4">
        <f>Hotel!R7</f>
        <v>13900</v>
      </c>
      <c r="G2" s="4">
        <f>Hotel!S7</f>
        <v>3460</v>
      </c>
      <c r="H2" s="4">
        <f>Hotel!T7</f>
        <v>1770</v>
      </c>
      <c r="I2" s="4">
        <f>Hotel!U7</f>
        <v>4720</v>
      </c>
      <c r="J2" s="4">
        <f>Hotel!V7</f>
        <v>3630</v>
      </c>
      <c r="K2" s="4">
        <f>Hotel!W7</f>
        <v>2560</v>
      </c>
      <c r="L2" s="4">
        <f>Hotel!X7</f>
        <v>4250</v>
      </c>
      <c r="M2" s="4">
        <f>Hotel!Y7</f>
        <v>4820</v>
      </c>
      <c r="N2" s="4">
        <f>Hotel!Z7</f>
        <v>2730</v>
      </c>
      <c r="O2" s="4">
        <f>Hotel!AA7</f>
        <v>3560</v>
      </c>
      <c r="P2" s="4">
        <f>Hotel!AB7</f>
        <v>7720</v>
      </c>
      <c r="Q2" s="4">
        <f>Hotel!AC7</f>
        <v>9670</v>
      </c>
      <c r="R2" s="4">
        <f>Hotel!AV7*0.00378541*100</f>
        <v>1045.151701</v>
      </c>
      <c r="S2" s="4">
        <f>Hotel!B7</f>
        <v>84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2021</v>
      </c>
      <c r="E3" s="4">
        <f>Hotel!Q8</f>
        <v>970</v>
      </c>
      <c r="F3" s="4">
        <f>Hotel!R8</f>
        <v>12420</v>
      </c>
      <c r="G3" s="4">
        <f>Hotel!S8</f>
        <v>3110</v>
      </c>
      <c r="H3" s="4">
        <f>Hotel!T8</f>
        <v>1560</v>
      </c>
      <c r="I3" s="4">
        <f>Hotel!U8</f>
        <v>4030</v>
      </c>
      <c r="J3" s="4">
        <f>Hotel!V8</f>
        <v>3110</v>
      </c>
      <c r="K3" s="4">
        <f>Hotel!W8</f>
        <v>2220</v>
      </c>
      <c r="L3" s="4">
        <f>Hotel!X8</f>
        <v>3900</v>
      </c>
      <c r="M3" s="4">
        <f>Hotel!Y8</f>
        <v>4010</v>
      </c>
      <c r="N3" s="4">
        <f>Hotel!Z8</f>
        <v>2450</v>
      </c>
      <c r="O3" s="4">
        <f>Hotel!AA8</f>
        <v>3120</v>
      </c>
      <c r="P3" s="4">
        <f>Hotel!AB8</f>
        <v>6830</v>
      </c>
      <c r="Q3" s="4">
        <f>Hotel!AC8</f>
        <v>8860</v>
      </c>
      <c r="R3" s="4">
        <f>Hotel!AV8*0.00378541*100</f>
        <v>1000.8624039999999</v>
      </c>
      <c r="S3" s="4">
        <f>Hotel!B8</f>
        <v>99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2021</v>
      </c>
      <c r="E4" s="4" t="str">
        <f>Hotel!Q9</f>
        <v>0</v>
      </c>
      <c r="F4" s="4" t="str">
        <f>Hotel!R9</f>
        <v>0</v>
      </c>
      <c r="G4" s="4" t="str">
        <f>Hotel!S9</f>
        <v>0</v>
      </c>
      <c r="H4" s="4" t="str">
        <f>Hotel!T9</f>
        <v>0</v>
      </c>
      <c r="I4" s="4" t="str">
        <f>Hotel!U9</f>
        <v>0</v>
      </c>
      <c r="J4" s="4" t="str">
        <f>Hotel!V9</f>
        <v>0</v>
      </c>
      <c r="K4" s="4" t="str">
        <f>Hotel!W9</f>
        <v>0</v>
      </c>
      <c r="L4" s="4" t="str">
        <f>Hotel!X9</f>
        <v>0</v>
      </c>
      <c r="M4" s="4" t="str">
        <f>Hotel!Y9</f>
        <v>0</v>
      </c>
      <c r="N4" s="4" t="str">
        <f>Hotel!Z9</f>
        <v>0</v>
      </c>
      <c r="O4" s="4" t="str">
        <f>Hotel!AA9</f>
        <v>0</v>
      </c>
      <c r="P4" s="4" t="str">
        <f>Hotel!AB9</f>
        <v>0</v>
      </c>
      <c r="Q4" s="4" t="str">
        <f>Hotel!AC9</f>
        <v>0</v>
      </c>
      <c r="R4" s="4">
        <f>Hotel!AV9*0.00378541*100</f>
        <v>0</v>
      </c>
      <c r="S4" s="4">
        <f>Hotel!B9</f>
        <v>0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2021</v>
      </c>
      <c r="E5" s="4">
        <f>Hotel!Q10</f>
        <v>0</v>
      </c>
      <c r="F5" s="4">
        <f>Hotel!R10</f>
        <v>0</v>
      </c>
      <c r="G5" s="4">
        <f>Hotel!S10</f>
        <v>0</v>
      </c>
      <c r="H5" s="4">
        <f>Hotel!T10</f>
        <v>0</v>
      </c>
      <c r="I5" s="4">
        <f>Hotel!U10</f>
        <v>0</v>
      </c>
      <c r="J5" s="4">
        <f>Hotel!V10</f>
        <v>0</v>
      </c>
      <c r="K5" s="4">
        <f>Hotel!W10</f>
        <v>0</v>
      </c>
      <c r="L5" s="4">
        <f>Hotel!X10</f>
        <v>0</v>
      </c>
      <c r="M5" s="4">
        <f>Hotel!Y10</f>
        <v>0</v>
      </c>
      <c r="N5" s="4">
        <f>Hotel!Z10</f>
        <v>0</v>
      </c>
      <c r="O5" s="4">
        <f>Hotel!AA10</f>
        <v>0</v>
      </c>
      <c r="P5" s="4">
        <f>Hotel!AB10</f>
        <v>0</v>
      </c>
      <c r="Q5" s="4">
        <f>Hotel!AC10</f>
        <v>0</v>
      </c>
      <c r="R5" s="4">
        <f>Hotel!AV10*0.00378541*100</f>
        <v>0</v>
      </c>
      <c r="S5" s="4">
        <f>Hotel!B10</f>
        <v>0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2021</v>
      </c>
      <c r="E6" s="4">
        <f>Hotel!Q11</f>
        <v>0</v>
      </c>
      <c r="F6" s="4">
        <f>Hotel!R11</f>
        <v>0</v>
      </c>
      <c r="G6" s="4">
        <f>Hotel!S11</f>
        <v>0</v>
      </c>
      <c r="H6" s="4">
        <f>Hotel!T11</f>
        <v>0</v>
      </c>
      <c r="I6" s="4">
        <f>Hotel!U11</f>
        <v>0</v>
      </c>
      <c r="J6" s="4">
        <f>Hotel!V11</f>
        <v>0</v>
      </c>
      <c r="K6" s="4">
        <f>Hotel!W11</f>
        <v>0</v>
      </c>
      <c r="L6" s="4">
        <f>Hotel!X11</f>
        <v>0</v>
      </c>
      <c r="M6" s="4">
        <f>Hotel!Y11</f>
        <v>0</v>
      </c>
      <c r="N6" s="4">
        <f>Hotel!Z11</f>
        <v>0</v>
      </c>
      <c r="O6" s="4">
        <f>Hotel!AA11</f>
        <v>0</v>
      </c>
      <c r="P6" s="4">
        <f>Hotel!AB11</f>
        <v>0</v>
      </c>
      <c r="Q6" s="4">
        <f>Hotel!AC11</f>
        <v>0</v>
      </c>
      <c r="R6" s="4">
        <f>Hotel!AV11*0.00378541*100</f>
        <v>0</v>
      </c>
      <c r="S6" s="4">
        <f>Hotel!B11</f>
        <v>0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2021</v>
      </c>
      <c r="E7" s="4">
        <f>Hotel!Q12</f>
        <v>0</v>
      </c>
      <c r="F7" s="4">
        <f>Hotel!R12</f>
        <v>0</v>
      </c>
      <c r="G7" s="4">
        <f>Hotel!S12</f>
        <v>0</v>
      </c>
      <c r="H7" s="4">
        <f>Hotel!T12</f>
        <v>0</v>
      </c>
      <c r="I7" s="4">
        <f>Hotel!U12</f>
        <v>0</v>
      </c>
      <c r="J7" s="4">
        <f>Hotel!V12</f>
        <v>0</v>
      </c>
      <c r="K7" s="4">
        <f>Hotel!W12</f>
        <v>0</v>
      </c>
      <c r="L7" s="4">
        <f>Hotel!X12</f>
        <v>0</v>
      </c>
      <c r="M7" s="4">
        <f>Hotel!Y12</f>
        <v>0</v>
      </c>
      <c r="N7" s="4">
        <f>Hotel!Z12</f>
        <v>0</v>
      </c>
      <c r="O7" s="4">
        <f>Hotel!AA12</f>
        <v>0</v>
      </c>
      <c r="P7" s="4">
        <f>Hotel!AB12</f>
        <v>0</v>
      </c>
      <c r="Q7" s="4">
        <f>Hotel!AC12</f>
        <v>0</v>
      </c>
      <c r="R7" s="4">
        <f>Hotel!AV12*0.00378541*100</f>
        <v>0</v>
      </c>
      <c r="S7" s="4">
        <f>Hotel!B12</f>
        <v>0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2021</v>
      </c>
      <c r="E8" s="4">
        <f>Hotel!Q13</f>
        <v>0</v>
      </c>
      <c r="F8" s="4">
        <f>Hotel!R13</f>
        <v>0</v>
      </c>
      <c r="G8" s="4">
        <f>Hotel!S13</f>
        <v>0</v>
      </c>
      <c r="H8" s="4">
        <f>Hotel!T13</f>
        <v>0</v>
      </c>
      <c r="I8" s="4">
        <f>Hotel!U13</f>
        <v>0</v>
      </c>
      <c r="J8" s="4">
        <f>Hotel!V13</f>
        <v>0</v>
      </c>
      <c r="K8" s="4">
        <f>Hotel!W13</f>
        <v>0</v>
      </c>
      <c r="L8" s="4">
        <f>Hotel!X13</f>
        <v>0</v>
      </c>
      <c r="M8" s="4">
        <f>Hotel!Y13</f>
        <v>0</v>
      </c>
      <c r="N8" s="4">
        <f>Hotel!Z13</f>
        <v>0</v>
      </c>
      <c r="O8" s="4">
        <f>Hotel!AA13</f>
        <v>0</v>
      </c>
      <c r="P8" s="4">
        <f>Hotel!AB13</f>
        <v>0</v>
      </c>
      <c r="Q8" s="4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H1" zoomScale="93" zoomScaleNormal="93" workbookViewId="0">
      <selection activeCell="AP18" sqref="AP1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44347</v>
      </c>
      <c r="B2" s="40">
        <v>94</v>
      </c>
      <c r="C2" s="24">
        <v>6597570</v>
      </c>
      <c r="D2" s="24">
        <v>15510620</v>
      </c>
      <c r="E2" s="24">
        <v>2705910</v>
      </c>
      <c r="F2" s="24">
        <v>3470750</v>
      </c>
      <c r="G2" s="24">
        <v>10340500</v>
      </c>
      <c r="H2" s="24">
        <v>5482700</v>
      </c>
      <c r="I2" s="24">
        <v>5060690</v>
      </c>
      <c r="J2" s="24">
        <v>5874000</v>
      </c>
      <c r="K2" s="24">
        <v>9128560</v>
      </c>
      <c r="L2" s="24">
        <v>3804750</v>
      </c>
      <c r="M2" s="24">
        <v>7864360</v>
      </c>
      <c r="N2" s="24">
        <v>11953450</v>
      </c>
      <c r="O2" s="24">
        <v>16537620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658046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658046</v>
      </c>
    </row>
    <row r="7" spans="1:49" x14ac:dyDescent="0.25">
      <c r="A7" s="23">
        <v>44348</v>
      </c>
      <c r="B7" s="40">
        <v>84</v>
      </c>
      <c r="C7" s="24">
        <v>6598670</v>
      </c>
      <c r="D7" s="24">
        <v>15524520</v>
      </c>
      <c r="E7" s="24">
        <v>2709370</v>
      </c>
      <c r="F7" s="24">
        <v>3472520</v>
      </c>
      <c r="G7" s="24">
        <v>10345220</v>
      </c>
      <c r="H7" s="24">
        <v>5486330</v>
      </c>
      <c r="I7" s="24">
        <v>5063250</v>
      </c>
      <c r="J7" s="24">
        <v>5878250</v>
      </c>
      <c r="K7" s="24">
        <v>9133380</v>
      </c>
      <c r="L7" s="24">
        <v>3807480</v>
      </c>
      <c r="M7" s="24">
        <v>7867920</v>
      </c>
      <c r="N7" s="24">
        <v>11961170</v>
      </c>
      <c r="O7" s="24">
        <v>16547290</v>
      </c>
      <c r="Q7" s="37">
        <f>IF((C7-C2&lt;0), "0",C7-C2)</f>
        <v>1100</v>
      </c>
      <c r="R7" s="37">
        <f t="shared" ref="R7:AC7" si="0">IF((D7-D2&lt;0), "0",D7-D2)</f>
        <v>13900</v>
      </c>
      <c r="S7" s="37">
        <f>IF((E7-E2&lt;0), "0",E7-E2)</f>
        <v>3460</v>
      </c>
      <c r="T7" s="37">
        <f t="shared" si="0"/>
        <v>1770</v>
      </c>
      <c r="U7" s="37">
        <f t="shared" si="0"/>
        <v>4720</v>
      </c>
      <c r="V7" s="37">
        <f t="shared" si="0"/>
        <v>3630</v>
      </c>
      <c r="W7" s="37">
        <f t="shared" si="0"/>
        <v>2560</v>
      </c>
      <c r="X7" s="37">
        <f t="shared" si="0"/>
        <v>4250</v>
      </c>
      <c r="Y7" s="37">
        <f t="shared" si="0"/>
        <v>4820</v>
      </c>
      <c r="Z7" s="37">
        <f t="shared" si="0"/>
        <v>2730</v>
      </c>
      <c r="AA7" s="37">
        <f t="shared" si="0"/>
        <v>3560</v>
      </c>
      <c r="AB7" s="37">
        <f t="shared" si="0"/>
        <v>7720</v>
      </c>
      <c r="AC7" s="37">
        <f t="shared" si="0"/>
        <v>9670</v>
      </c>
      <c r="AD7" s="34">
        <f>SUM(Q7:AC7)</f>
        <v>63890</v>
      </c>
      <c r="AF7" s="20">
        <f t="shared" ref="AF7:AF36" si="1">Q7*$D$39</f>
        <v>5.5</v>
      </c>
      <c r="AG7" s="20">
        <f t="shared" ref="AG7:AG36" si="2">R7*$D$39</f>
        <v>69.5</v>
      </c>
      <c r="AH7" s="20">
        <f t="shared" ref="AH7:AH36" si="3">S7*$D$39</f>
        <v>17.3</v>
      </c>
      <c r="AI7" s="20">
        <f t="shared" ref="AI7:AI36" si="4">T7*$D$39</f>
        <v>8.85</v>
      </c>
      <c r="AJ7" s="20">
        <f t="shared" ref="AJ7:AJ36" si="5">U7*$D$39</f>
        <v>23.6</v>
      </c>
      <c r="AK7" s="20">
        <f t="shared" ref="AK7:AK36" si="6">V7*$D$39</f>
        <v>18.150000000000002</v>
      </c>
      <c r="AL7" s="20">
        <f t="shared" ref="AL7:AL36" si="7">W7*$D$39</f>
        <v>12.8</v>
      </c>
      <c r="AM7" s="20">
        <f t="shared" ref="AM7:AM36" si="8">X7*$D$39</f>
        <v>21.25</v>
      </c>
      <c r="AN7" s="20">
        <f t="shared" ref="AN7:AN36" si="9">Y7*$D$39</f>
        <v>24.1</v>
      </c>
      <c r="AO7" s="20">
        <f t="shared" ref="AO7:AO36" si="10">Z7*$D$39</f>
        <v>13.65</v>
      </c>
      <c r="AP7" s="20">
        <f t="shared" ref="AP7:AP36" si="11">AA7*$D$39</f>
        <v>17.8</v>
      </c>
      <c r="AQ7" s="20">
        <f t="shared" ref="AQ7:AQ36" si="12">AB7*$D$39</f>
        <v>38.6</v>
      </c>
      <c r="AR7" s="20">
        <f t="shared" ref="AR7:AR36" si="13">AC7*$D$39</f>
        <v>48.35</v>
      </c>
      <c r="AS7" s="35">
        <f>SUM(AF7:AR7)</f>
        <v>319.45000000000005</v>
      </c>
      <c r="AU7" s="47">
        <v>660807</v>
      </c>
      <c r="AV7" s="37">
        <f>IF((AU7-AU6&lt;0),"0",AU7-AU6)</f>
        <v>2761</v>
      </c>
      <c r="AW7" s="50">
        <v>0</v>
      </c>
    </row>
    <row r="8" spans="1:49" x14ac:dyDescent="0.25">
      <c r="A8" s="23">
        <v>44349</v>
      </c>
      <c r="B8" s="40">
        <v>99</v>
      </c>
      <c r="C8" s="24">
        <v>6599640</v>
      </c>
      <c r="D8" s="24">
        <v>15536940</v>
      </c>
      <c r="E8" s="24">
        <v>2712480</v>
      </c>
      <c r="F8" s="24">
        <v>3474080</v>
      </c>
      <c r="G8" s="24">
        <v>10349250</v>
      </c>
      <c r="H8" s="24">
        <v>5489440</v>
      </c>
      <c r="I8" s="24">
        <v>5065470</v>
      </c>
      <c r="J8" s="24">
        <v>5882150</v>
      </c>
      <c r="K8" s="24">
        <v>9137390</v>
      </c>
      <c r="L8" s="24">
        <v>3809930</v>
      </c>
      <c r="M8" s="24">
        <v>7871040</v>
      </c>
      <c r="N8" s="24">
        <v>11968000</v>
      </c>
      <c r="O8" s="24">
        <v>16556150</v>
      </c>
      <c r="Q8" s="37">
        <f>IF((C8-C7&lt;0), "0",C8-C7)</f>
        <v>970</v>
      </c>
      <c r="R8" s="37">
        <f t="shared" ref="R8:AC8" si="14">IF((D8-D7&lt;0), "0",D8-D7)</f>
        <v>12420</v>
      </c>
      <c r="S8" s="37">
        <f t="shared" ref="S8:S35" si="15">IF((E8-E7&lt;0), "0",E8-E7)</f>
        <v>3110</v>
      </c>
      <c r="T8" s="37">
        <f t="shared" si="14"/>
        <v>1560</v>
      </c>
      <c r="U8" s="37">
        <f t="shared" si="14"/>
        <v>4030</v>
      </c>
      <c r="V8" s="37">
        <f t="shared" si="14"/>
        <v>3110</v>
      </c>
      <c r="W8" s="37">
        <f t="shared" si="14"/>
        <v>2220</v>
      </c>
      <c r="X8" s="37">
        <f t="shared" si="14"/>
        <v>3900</v>
      </c>
      <c r="Y8" s="37">
        <f t="shared" si="14"/>
        <v>4010</v>
      </c>
      <c r="Z8" s="37">
        <f t="shared" si="14"/>
        <v>2450</v>
      </c>
      <c r="AA8" s="37">
        <f t="shared" si="14"/>
        <v>3120</v>
      </c>
      <c r="AB8" s="37">
        <f t="shared" si="14"/>
        <v>6830</v>
      </c>
      <c r="AC8" s="37">
        <f t="shared" si="14"/>
        <v>8860</v>
      </c>
      <c r="AD8" s="35">
        <f>SUM(Q8:AC8)</f>
        <v>56590</v>
      </c>
      <c r="AF8" s="20">
        <f t="shared" si="1"/>
        <v>4.8500000000000005</v>
      </c>
      <c r="AG8" s="20">
        <f t="shared" si="2"/>
        <v>62.1</v>
      </c>
      <c r="AH8" s="20">
        <f t="shared" si="3"/>
        <v>15.55</v>
      </c>
      <c r="AI8" s="20">
        <f t="shared" si="4"/>
        <v>7.8</v>
      </c>
      <c r="AJ8" s="20">
        <f t="shared" si="5"/>
        <v>20.150000000000002</v>
      </c>
      <c r="AK8" s="20">
        <f t="shared" si="6"/>
        <v>15.55</v>
      </c>
      <c r="AL8" s="20">
        <f t="shared" si="7"/>
        <v>11.1</v>
      </c>
      <c r="AM8" s="20">
        <f t="shared" si="8"/>
        <v>19.5</v>
      </c>
      <c r="AN8" s="20">
        <f t="shared" si="9"/>
        <v>20.05</v>
      </c>
      <c r="AO8" s="20">
        <f t="shared" si="10"/>
        <v>12.25</v>
      </c>
      <c r="AP8" s="20">
        <f t="shared" si="11"/>
        <v>15.6</v>
      </c>
      <c r="AQ8" s="20">
        <f t="shared" si="12"/>
        <v>34.15</v>
      </c>
      <c r="AR8" s="20">
        <f t="shared" si="13"/>
        <v>44.300000000000004</v>
      </c>
      <c r="AS8" s="35">
        <f>SUM(AF8:AR8)</f>
        <v>282.95</v>
      </c>
      <c r="AU8" s="47">
        <v>663451</v>
      </c>
      <c r="AV8" s="37">
        <f>IF((AU8-AU7&lt;0),"0",AU8-AU7)</f>
        <v>2644</v>
      </c>
      <c r="AW8" s="35">
        <v>0</v>
      </c>
    </row>
    <row r="9" spans="1:49" x14ac:dyDescent="0.25">
      <c r="A9" s="23">
        <v>44350</v>
      </c>
      <c r="B9" s="40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Q9" s="37" t="str">
        <f t="shared" ref="Q9:Q30" si="16">IF((C9-C8&lt;0), "0",C9-C8)</f>
        <v>0</v>
      </c>
      <c r="R9" s="37" t="str">
        <f t="shared" ref="R9:R35" si="17">IF((D9-D8&lt;0), "0",D9-D8)</f>
        <v>0</v>
      </c>
      <c r="S9" s="37" t="str">
        <f t="shared" si="15"/>
        <v>0</v>
      </c>
      <c r="T9" s="37" t="str">
        <f t="shared" ref="T9:T35" si="18">IF((F9-F8&lt;0), "0",F9-F8)</f>
        <v>0</v>
      </c>
      <c r="U9" s="37" t="str">
        <f t="shared" ref="U9:U35" si="19">IF((G9-G8&lt;0), "0",G9-G8)</f>
        <v>0</v>
      </c>
      <c r="V9" s="37" t="str">
        <f t="shared" ref="V9:V35" si="20">IF((H9-H8&lt;0), "0",H9-H8)</f>
        <v>0</v>
      </c>
      <c r="W9" s="37" t="str">
        <f t="shared" ref="W9:W35" si="21">IF((I9-I8&lt;0), "0",I9-I8)</f>
        <v>0</v>
      </c>
      <c r="X9" s="37" t="str">
        <f t="shared" ref="X9:X35" si="22">IF((J9-J8&lt;0), "0",J9-J8)</f>
        <v>0</v>
      </c>
      <c r="Y9" s="37" t="str">
        <f t="shared" ref="Y9:Y35" si="23">IF((K9-K8&lt;0), "0",K9-K8)</f>
        <v>0</v>
      </c>
      <c r="Z9" s="37" t="str">
        <f t="shared" ref="Z9:Z35" si="24">IF((L9-L8&lt;0), "0",L9-L8)</f>
        <v>0</v>
      </c>
      <c r="AA9" s="37" t="str">
        <f t="shared" ref="AA9:AA35" si="25">IF((M9-M8&lt;0), "0",M9-M8)</f>
        <v>0</v>
      </c>
      <c r="AB9" s="37" t="str">
        <f t="shared" ref="AB9:AB37" si="26">IF((N9-N8&lt;0), "0",N9-N8)</f>
        <v>0</v>
      </c>
      <c r="AC9" s="37" t="str">
        <f t="shared" ref="AC9:AC37" si="27">IF((O9-O8&lt;0), "0",O9-O8)</f>
        <v>0</v>
      </c>
      <c r="AD9" s="35">
        <f t="shared" ref="AD9:AD37" si="28">SUM(Q9:AC9)</f>
        <v>0</v>
      </c>
      <c r="AF9" s="20">
        <f t="shared" si="1"/>
        <v>0</v>
      </c>
      <c r="AG9" s="20">
        <f t="shared" si="2"/>
        <v>0</v>
      </c>
      <c r="AH9" s="20">
        <f t="shared" si="3"/>
        <v>0</v>
      </c>
      <c r="AI9" s="20">
        <f t="shared" si="4"/>
        <v>0</v>
      </c>
      <c r="AJ9" s="20">
        <f t="shared" si="5"/>
        <v>0</v>
      </c>
      <c r="AK9" s="20">
        <f t="shared" si="6"/>
        <v>0</v>
      </c>
      <c r="AL9" s="20">
        <f t="shared" si="7"/>
        <v>0</v>
      </c>
      <c r="AM9" s="20">
        <f t="shared" si="8"/>
        <v>0</v>
      </c>
      <c r="AN9" s="20">
        <f t="shared" si="9"/>
        <v>0</v>
      </c>
      <c r="AO9" s="20">
        <f t="shared" si="10"/>
        <v>0</v>
      </c>
      <c r="AP9" s="20">
        <f t="shared" si="11"/>
        <v>0</v>
      </c>
      <c r="AQ9" s="20">
        <f t="shared" si="12"/>
        <v>0</v>
      </c>
      <c r="AR9" s="20">
        <f t="shared" si="13"/>
        <v>0</v>
      </c>
      <c r="AS9" s="35">
        <f t="shared" ref="AS9:AS33" si="29">SUM(AF9:AR9)</f>
        <v>0</v>
      </c>
      <c r="AU9" s="47"/>
      <c r="AV9" s="37" t="str">
        <f>IF((AU9-AU8&lt;0),"0",AU9-AU8)</f>
        <v>0</v>
      </c>
      <c r="AW9" s="35">
        <f t="shared" ref="AW9:AW35" si="30">AV9*$D$40</f>
        <v>0</v>
      </c>
    </row>
    <row r="10" spans="1:49" x14ac:dyDescent="0.25">
      <c r="A10" s="23">
        <v>44351</v>
      </c>
      <c r="B10" s="40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Q10" s="37">
        <f t="shared" si="16"/>
        <v>0</v>
      </c>
      <c r="R10" s="37">
        <f t="shared" si="17"/>
        <v>0</v>
      </c>
      <c r="S10" s="37">
        <f t="shared" si="15"/>
        <v>0</v>
      </c>
      <c r="T10" s="37">
        <f t="shared" si="18"/>
        <v>0</v>
      </c>
      <c r="U10" s="37">
        <f t="shared" si="19"/>
        <v>0</v>
      </c>
      <c r="V10" s="37">
        <f t="shared" si="20"/>
        <v>0</v>
      </c>
      <c r="W10" s="37">
        <f t="shared" si="21"/>
        <v>0</v>
      </c>
      <c r="X10" s="37">
        <f t="shared" si="22"/>
        <v>0</v>
      </c>
      <c r="Y10" s="37">
        <f t="shared" si="23"/>
        <v>0</v>
      </c>
      <c r="Z10" s="37">
        <f t="shared" si="24"/>
        <v>0</v>
      </c>
      <c r="AA10" s="37">
        <f t="shared" si="25"/>
        <v>0</v>
      </c>
      <c r="AB10" s="37">
        <f t="shared" si="26"/>
        <v>0</v>
      </c>
      <c r="AC10" s="37">
        <f t="shared" si="27"/>
        <v>0</v>
      </c>
      <c r="AD10" s="35">
        <f t="shared" si="28"/>
        <v>0</v>
      </c>
      <c r="AF10" s="20">
        <f t="shared" si="1"/>
        <v>0</v>
      </c>
      <c r="AG10" s="20">
        <f t="shared" si="2"/>
        <v>0</v>
      </c>
      <c r="AH10" s="20">
        <f t="shared" si="3"/>
        <v>0</v>
      </c>
      <c r="AI10" s="20">
        <f t="shared" si="4"/>
        <v>0</v>
      </c>
      <c r="AJ10" s="20">
        <f t="shared" si="5"/>
        <v>0</v>
      </c>
      <c r="AK10" s="20">
        <f t="shared" si="6"/>
        <v>0</v>
      </c>
      <c r="AL10" s="20">
        <f t="shared" si="7"/>
        <v>0</v>
      </c>
      <c r="AM10" s="20">
        <f t="shared" si="8"/>
        <v>0</v>
      </c>
      <c r="AN10" s="20">
        <f t="shared" si="9"/>
        <v>0</v>
      </c>
      <c r="AO10" s="20">
        <f t="shared" si="10"/>
        <v>0</v>
      </c>
      <c r="AP10" s="20">
        <f t="shared" si="11"/>
        <v>0</v>
      </c>
      <c r="AQ10" s="20">
        <f t="shared" si="12"/>
        <v>0</v>
      </c>
      <c r="AR10" s="20">
        <f t="shared" si="13"/>
        <v>0</v>
      </c>
      <c r="AS10" s="35">
        <f t="shared" si="29"/>
        <v>0</v>
      </c>
      <c r="AU10" s="47"/>
      <c r="AV10" s="37">
        <f t="shared" ref="AV10:AV26" si="31">IF((AU10-AU9&lt;0),"0",AU10-AU9)</f>
        <v>0</v>
      </c>
      <c r="AW10" s="35">
        <f t="shared" si="30"/>
        <v>0</v>
      </c>
    </row>
    <row r="11" spans="1:49" x14ac:dyDescent="0.25">
      <c r="A11" s="23">
        <v>44352</v>
      </c>
      <c r="B11" s="40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Q11" s="37">
        <f t="shared" si="16"/>
        <v>0</v>
      </c>
      <c r="R11" s="37">
        <f t="shared" si="17"/>
        <v>0</v>
      </c>
      <c r="S11" s="37">
        <f t="shared" si="15"/>
        <v>0</v>
      </c>
      <c r="T11" s="37">
        <f t="shared" si="18"/>
        <v>0</v>
      </c>
      <c r="U11" s="37">
        <f t="shared" si="19"/>
        <v>0</v>
      </c>
      <c r="V11" s="37">
        <f t="shared" si="20"/>
        <v>0</v>
      </c>
      <c r="W11" s="37">
        <f t="shared" si="21"/>
        <v>0</v>
      </c>
      <c r="X11" s="37">
        <f t="shared" si="22"/>
        <v>0</v>
      </c>
      <c r="Y11" s="37">
        <f t="shared" si="23"/>
        <v>0</v>
      </c>
      <c r="Z11" s="37">
        <f t="shared" si="24"/>
        <v>0</v>
      </c>
      <c r="AA11" s="37">
        <f t="shared" si="25"/>
        <v>0</v>
      </c>
      <c r="AB11" s="37">
        <f t="shared" si="26"/>
        <v>0</v>
      </c>
      <c r="AC11" s="37">
        <f t="shared" si="27"/>
        <v>0</v>
      </c>
      <c r="AD11" s="35">
        <f t="shared" si="28"/>
        <v>0</v>
      </c>
      <c r="AF11" s="20">
        <f t="shared" si="1"/>
        <v>0</v>
      </c>
      <c r="AG11" s="20">
        <f t="shared" si="2"/>
        <v>0</v>
      </c>
      <c r="AH11" s="20">
        <f t="shared" si="3"/>
        <v>0</v>
      </c>
      <c r="AI11" s="20">
        <f t="shared" si="4"/>
        <v>0</v>
      </c>
      <c r="AJ11" s="20">
        <f t="shared" si="5"/>
        <v>0</v>
      </c>
      <c r="AK11" s="20">
        <f t="shared" si="6"/>
        <v>0</v>
      </c>
      <c r="AL11" s="20">
        <f t="shared" si="7"/>
        <v>0</v>
      </c>
      <c r="AM11" s="20">
        <f t="shared" si="8"/>
        <v>0</v>
      </c>
      <c r="AN11" s="20">
        <f t="shared" si="9"/>
        <v>0</v>
      </c>
      <c r="AO11" s="20">
        <f t="shared" si="10"/>
        <v>0</v>
      </c>
      <c r="AP11" s="20">
        <f t="shared" si="11"/>
        <v>0</v>
      </c>
      <c r="AQ11" s="20">
        <f t="shared" si="12"/>
        <v>0</v>
      </c>
      <c r="AR11" s="20">
        <f t="shared" si="13"/>
        <v>0</v>
      </c>
      <c r="AS11" s="35">
        <f t="shared" si="29"/>
        <v>0</v>
      </c>
      <c r="AU11" s="47"/>
      <c r="AV11" s="37">
        <f t="shared" si="31"/>
        <v>0</v>
      </c>
      <c r="AW11" s="35">
        <f t="shared" si="30"/>
        <v>0</v>
      </c>
    </row>
    <row r="12" spans="1:49" x14ac:dyDescent="0.25">
      <c r="A12" s="23">
        <v>44353</v>
      </c>
      <c r="B12" s="40"/>
      <c r="C12" s="49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Q12" s="37">
        <f t="shared" si="16"/>
        <v>0</v>
      </c>
      <c r="R12" s="37">
        <f t="shared" si="17"/>
        <v>0</v>
      </c>
      <c r="S12" s="37">
        <f t="shared" si="15"/>
        <v>0</v>
      </c>
      <c r="T12" s="37">
        <f t="shared" ref="T12:W14" si="32">IF((F12-F11&lt;0), "0",F12-F11)</f>
        <v>0</v>
      </c>
      <c r="U12" s="37">
        <f t="shared" si="32"/>
        <v>0</v>
      </c>
      <c r="V12" s="37">
        <f t="shared" si="32"/>
        <v>0</v>
      </c>
      <c r="W12" s="37">
        <f t="shared" si="32"/>
        <v>0</v>
      </c>
      <c r="X12" s="37">
        <f t="shared" si="22"/>
        <v>0</v>
      </c>
      <c r="Y12" s="37">
        <f t="shared" si="23"/>
        <v>0</v>
      </c>
      <c r="Z12" s="37">
        <f>IF((L12-L11&lt;0), "0",L12-L11)</f>
        <v>0</v>
      </c>
      <c r="AA12" s="37">
        <f t="shared" si="25"/>
        <v>0</v>
      </c>
      <c r="AB12" s="37">
        <f t="shared" si="26"/>
        <v>0</v>
      </c>
      <c r="AC12" s="37">
        <f t="shared" si="27"/>
        <v>0</v>
      </c>
      <c r="AD12" s="35">
        <f t="shared" si="28"/>
        <v>0</v>
      </c>
      <c r="AF12" s="20">
        <f t="shared" si="1"/>
        <v>0</v>
      </c>
      <c r="AG12" s="20">
        <f t="shared" si="2"/>
        <v>0</v>
      </c>
      <c r="AH12" s="20">
        <f t="shared" si="3"/>
        <v>0</v>
      </c>
      <c r="AI12" s="20">
        <f t="shared" si="4"/>
        <v>0</v>
      </c>
      <c r="AJ12" s="20">
        <f t="shared" si="5"/>
        <v>0</v>
      </c>
      <c r="AK12" s="20">
        <f t="shared" si="6"/>
        <v>0</v>
      </c>
      <c r="AL12" s="20">
        <f t="shared" si="7"/>
        <v>0</v>
      </c>
      <c r="AM12" s="20">
        <f t="shared" si="8"/>
        <v>0</v>
      </c>
      <c r="AN12" s="20">
        <f t="shared" si="9"/>
        <v>0</v>
      </c>
      <c r="AO12" s="20">
        <f t="shared" si="10"/>
        <v>0</v>
      </c>
      <c r="AP12" s="20">
        <f t="shared" si="11"/>
        <v>0</v>
      </c>
      <c r="AQ12" s="20">
        <f t="shared" si="12"/>
        <v>0</v>
      </c>
      <c r="AR12" s="20">
        <f t="shared" si="13"/>
        <v>0</v>
      </c>
      <c r="AS12" s="35">
        <f t="shared" si="29"/>
        <v>0</v>
      </c>
      <c r="AU12" s="47"/>
      <c r="AV12" s="37">
        <f t="shared" si="31"/>
        <v>0</v>
      </c>
      <c r="AW12" s="35">
        <f t="shared" si="30"/>
        <v>0</v>
      </c>
    </row>
    <row r="13" spans="1:49" x14ac:dyDescent="0.25">
      <c r="A13" s="23">
        <v>44354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>
        <f t="shared" si="16"/>
        <v>0</v>
      </c>
      <c r="R13" s="37">
        <f t="shared" si="17"/>
        <v>0</v>
      </c>
      <c r="S13" s="37">
        <f t="shared" si="15"/>
        <v>0</v>
      </c>
      <c r="T13" s="37">
        <f t="shared" si="32"/>
        <v>0</v>
      </c>
      <c r="U13" s="37">
        <f t="shared" si="32"/>
        <v>0</v>
      </c>
      <c r="V13" s="37">
        <f t="shared" si="32"/>
        <v>0</v>
      </c>
      <c r="W13" s="37">
        <f t="shared" si="32"/>
        <v>0</v>
      </c>
      <c r="X13" s="37">
        <f t="shared" si="22"/>
        <v>0</v>
      </c>
      <c r="Y13" s="37">
        <f t="shared" si="23"/>
        <v>0</v>
      </c>
      <c r="Z13" s="37">
        <f>IF((L13-L12&lt;0), "0",L13-L12)</f>
        <v>0</v>
      </c>
      <c r="AA13" s="37">
        <f t="shared" si="25"/>
        <v>0</v>
      </c>
      <c r="AB13" s="37">
        <f t="shared" si="26"/>
        <v>0</v>
      </c>
      <c r="AC13" s="37">
        <f t="shared" si="27"/>
        <v>0</v>
      </c>
      <c r="AD13" s="35">
        <f t="shared" si="28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29"/>
        <v>0</v>
      </c>
      <c r="AU13" s="47"/>
      <c r="AV13" s="37">
        <f t="shared" si="31"/>
        <v>0</v>
      </c>
      <c r="AW13" s="35">
        <f t="shared" si="30"/>
        <v>0</v>
      </c>
    </row>
    <row r="14" spans="1:49" x14ac:dyDescent="0.25">
      <c r="A14" s="23">
        <v>44355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4"/>
      <c r="Q14" s="37">
        <f t="shared" si="16"/>
        <v>0</v>
      </c>
      <c r="R14" s="37">
        <f t="shared" si="17"/>
        <v>0</v>
      </c>
      <c r="S14" s="37">
        <f t="shared" si="15"/>
        <v>0</v>
      </c>
      <c r="T14" s="37">
        <f t="shared" si="32"/>
        <v>0</v>
      </c>
      <c r="U14" s="37">
        <f t="shared" si="32"/>
        <v>0</v>
      </c>
      <c r="V14" s="37">
        <f t="shared" si="32"/>
        <v>0</v>
      </c>
      <c r="W14" s="37">
        <f t="shared" si="32"/>
        <v>0</v>
      </c>
      <c r="X14" s="37">
        <f t="shared" si="22"/>
        <v>0</v>
      </c>
      <c r="Y14" s="37">
        <f t="shared" si="23"/>
        <v>0</v>
      </c>
      <c r="Z14" s="37">
        <f>IF((L14-L13&lt;0), "0",L14-L13)</f>
        <v>0</v>
      </c>
      <c r="AA14" s="37">
        <f t="shared" si="25"/>
        <v>0</v>
      </c>
      <c r="AB14" s="37">
        <f t="shared" si="26"/>
        <v>0</v>
      </c>
      <c r="AC14" s="37">
        <f t="shared" si="27"/>
        <v>0</v>
      </c>
      <c r="AD14" s="35">
        <f t="shared" si="28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29"/>
        <v>0</v>
      </c>
      <c r="AU14" s="47"/>
      <c r="AV14" s="37">
        <f t="shared" si="31"/>
        <v>0</v>
      </c>
      <c r="AW14" s="35">
        <f t="shared" si="30"/>
        <v>0</v>
      </c>
    </row>
    <row r="15" spans="1:49" x14ac:dyDescent="0.25">
      <c r="A15" s="23">
        <v>44356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6"/>
        <v>0</v>
      </c>
      <c r="R15" s="37">
        <f t="shared" si="17"/>
        <v>0</v>
      </c>
      <c r="S15" s="37">
        <f t="shared" si="15"/>
        <v>0</v>
      </c>
      <c r="T15" s="37">
        <f t="shared" si="18"/>
        <v>0</v>
      </c>
      <c r="U15" s="37">
        <f t="shared" si="19"/>
        <v>0</v>
      </c>
      <c r="V15" s="37">
        <f t="shared" si="20"/>
        <v>0</v>
      </c>
      <c r="W15" s="37">
        <f t="shared" si="21"/>
        <v>0</v>
      </c>
      <c r="X15" s="37">
        <f t="shared" si="22"/>
        <v>0</v>
      </c>
      <c r="Y15" s="37">
        <f t="shared" si="23"/>
        <v>0</v>
      </c>
      <c r="Z15" s="37">
        <f t="shared" si="24"/>
        <v>0</v>
      </c>
      <c r="AA15" s="37">
        <f t="shared" si="25"/>
        <v>0</v>
      </c>
      <c r="AB15" s="37">
        <f t="shared" si="26"/>
        <v>0</v>
      </c>
      <c r="AC15" s="37">
        <f t="shared" si="27"/>
        <v>0</v>
      </c>
      <c r="AD15" s="35">
        <f t="shared" si="28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29"/>
        <v>0</v>
      </c>
      <c r="AU15" s="47"/>
      <c r="AV15" s="37">
        <f t="shared" si="31"/>
        <v>0</v>
      </c>
      <c r="AW15" s="35">
        <f t="shared" si="30"/>
        <v>0</v>
      </c>
    </row>
    <row r="16" spans="1:49" x14ac:dyDescent="0.25">
      <c r="A16" s="23">
        <v>44357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6"/>
        <v>0</v>
      </c>
      <c r="R16" s="37">
        <f t="shared" si="17"/>
        <v>0</v>
      </c>
      <c r="S16" s="37">
        <f t="shared" si="15"/>
        <v>0</v>
      </c>
      <c r="T16" s="37">
        <f t="shared" si="18"/>
        <v>0</v>
      </c>
      <c r="U16" s="37">
        <f t="shared" si="19"/>
        <v>0</v>
      </c>
      <c r="V16" s="37">
        <f t="shared" si="20"/>
        <v>0</v>
      </c>
      <c r="W16" s="37">
        <f t="shared" si="21"/>
        <v>0</v>
      </c>
      <c r="X16" s="37">
        <f t="shared" si="22"/>
        <v>0</v>
      </c>
      <c r="Y16" s="37">
        <f t="shared" si="23"/>
        <v>0</v>
      </c>
      <c r="Z16" s="37">
        <f t="shared" si="24"/>
        <v>0</v>
      </c>
      <c r="AA16" s="37">
        <f t="shared" si="25"/>
        <v>0</v>
      </c>
      <c r="AB16" s="37">
        <f t="shared" si="26"/>
        <v>0</v>
      </c>
      <c r="AC16" s="37">
        <f t="shared" si="27"/>
        <v>0</v>
      </c>
      <c r="AD16" s="35">
        <f t="shared" si="28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29"/>
        <v>0</v>
      </c>
      <c r="AU16" s="47"/>
      <c r="AV16" s="37">
        <f t="shared" si="31"/>
        <v>0</v>
      </c>
      <c r="AW16" s="35">
        <f t="shared" si="30"/>
        <v>0</v>
      </c>
    </row>
    <row r="17" spans="1:49" x14ac:dyDescent="0.25">
      <c r="A17" s="23">
        <v>44358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6"/>
        <v>0</v>
      </c>
      <c r="R17" s="37">
        <f t="shared" si="17"/>
        <v>0</v>
      </c>
      <c r="S17" s="37">
        <f t="shared" si="15"/>
        <v>0</v>
      </c>
      <c r="T17" s="37">
        <f t="shared" si="18"/>
        <v>0</v>
      </c>
      <c r="U17" s="37">
        <f t="shared" si="19"/>
        <v>0</v>
      </c>
      <c r="V17" s="37">
        <f t="shared" si="20"/>
        <v>0</v>
      </c>
      <c r="W17" s="37">
        <f t="shared" si="21"/>
        <v>0</v>
      </c>
      <c r="X17" s="37">
        <f t="shared" si="22"/>
        <v>0</v>
      </c>
      <c r="Y17" s="37">
        <f t="shared" si="23"/>
        <v>0</v>
      </c>
      <c r="Z17" s="37">
        <f t="shared" si="24"/>
        <v>0</v>
      </c>
      <c r="AA17" s="37">
        <f t="shared" si="25"/>
        <v>0</v>
      </c>
      <c r="AB17" s="37">
        <f t="shared" si="26"/>
        <v>0</v>
      </c>
      <c r="AC17" s="37">
        <f t="shared" si="27"/>
        <v>0</v>
      </c>
      <c r="AD17" s="35">
        <f t="shared" si="28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29"/>
        <v>0</v>
      </c>
      <c r="AU17" s="47"/>
      <c r="AV17" s="37">
        <f t="shared" si="31"/>
        <v>0</v>
      </c>
      <c r="AW17" s="35">
        <f t="shared" si="30"/>
        <v>0</v>
      </c>
    </row>
    <row r="18" spans="1:49" x14ac:dyDescent="0.25">
      <c r="A18" s="23">
        <v>44359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6"/>
        <v>0</v>
      </c>
      <c r="R18" s="37">
        <f t="shared" si="17"/>
        <v>0</v>
      </c>
      <c r="S18" s="37">
        <f t="shared" si="15"/>
        <v>0</v>
      </c>
      <c r="T18" s="37">
        <f t="shared" si="18"/>
        <v>0</v>
      </c>
      <c r="U18" s="37">
        <f t="shared" si="19"/>
        <v>0</v>
      </c>
      <c r="V18" s="37">
        <f t="shared" si="20"/>
        <v>0</v>
      </c>
      <c r="W18" s="37">
        <f t="shared" si="21"/>
        <v>0</v>
      </c>
      <c r="X18" s="37">
        <f t="shared" si="22"/>
        <v>0</v>
      </c>
      <c r="Y18" s="37">
        <f t="shared" si="23"/>
        <v>0</v>
      </c>
      <c r="Z18" s="37">
        <f t="shared" si="24"/>
        <v>0</v>
      </c>
      <c r="AA18" s="37">
        <f t="shared" si="25"/>
        <v>0</v>
      </c>
      <c r="AB18" s="37">
        <f t="shared" si="26"/>
        <v>0</v>
      </c>
      <c r="AC18" s="37">
        <f t="shared" si="27"/>
        <v>0</v>
      </c>
      <c r="AD18" s="35">
        <f t="shared" si="28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29"/>
        <v>0</v>
      </c>
      <c r="AU18" s="47"/>
      <c r="AV18" s="37">
        <f t="shared" si="31"/>
        <v>0</v>
      </c>
      <c r="AW18" s="35">
        <f t="shared" si="30"/>
        <v>0</v>
      </c>
    </row>
    <row r="19" spans="1:49" x14ac:dyDescent="0.25">
      <c r="A19" s="23">
        <v>44360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6"/>
        <v>0</v>
      </c>
      <c r="R19" s="37">
        <f t="shared" si="17"/>
        <v>0</v>
      </c>
      <c r="S19" s="37">
        <f t="shared" si="15"/>
        <v>0</v>
      </c>
      <c r="T19" s="37">
        <f t="shared" si="18"/>
        <v>0</v>
      </c>
      <c r="U19" s="37">
        <f t="shared" si="19"/>
        <v>0</v>
      </c>
      <c r="V19" s="37">
        <f t="shared" si="20"/>
        <v>0</v>
      </c>
      <c r="W19" s="37">
        <f t="shared" si="21"/>
        <v>0</v>
      </c>
      <c r="X19" s="37">
        <f t="shared" si="22"/>
        <v>0</v>
      </c>
      <c r="Y19" s="37">
        <f t="shared" si="23"/>
        <v>0</v>
      </c>
      <c r="Z19" s="37">
        <f t="shared" si="24"/>
        <v>0</v>
      </c>
      <c r="AA19" s="37">
        <f t="shared" si="25"/>
        <v>0</v>
      </c>
      <c r="AB19" s="37">
        <f t="shared" si="26"/>
        <v>0</v>
      </c>
      <c r="AC19" s="37">
        <f t="shared" si="27"/>
        <v>0</v>
      </c>
      <c r="AD19" s="35">
        <f t="shared" si="28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29"/>
        <v>0</v>
      </c>
      <c r="AU19" s="47"/>
      <c r="AV19" s="37">
        <f t="shared" si="31"/>
        <v>0</v>
      </c>
      <c r="AW19" s="35">
        <f t="shared" si="30"/>
        <v>0</v>
      </c>
    </row>
    <row r="20" spans="1:49" x14ac:dyDescent="0.25">
      <c r="A20" s="23">
        <v>44361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6"/>
        <v>0</v>
      </c>
      <c r="R20" s="37">
        <f t="shared" si="17"/>
        <v>0</v>
      </c>
      <c r="S20" s="37">
        <f t="shared" si="15"/>
        <v>0</v>
      </c>
      <c r="T20" s="37">
        <f t="shared" si="18"/>
        <v>0</v>
      </c>
      <c r="U20" s="37">
        <f t="shared" si="19"/>
        <v>0</v>
      </c>
      <c r="V20" s="37">
        <f t="shared" si="20"/>
        <v>0</v>
      </c>
      <c r="W20" s="37">
        <f t="shared" si="21"/>
        <v>0</v>
      </c>
      <c r="X20" s="37">
        <f t="shared" si="22"/>
        <v>0</v>
      </c>
      <c r="Y20" s="37">
        <f t="shared" si="23"/>
        <v>0</v>
      </c>
      <c r="Z20" s="37">
        <f t="shared" si="24"/>
        <v>0</v>
      </c>
      <c r="AA20" s="37">
        <f t="shared" si="25"/>
        <v>0</v>
      </c>
      <c r="AB20" s="37">
        <f t="shared" si="26"/>
        <v>0</v>
      </c>
      <c r="AC20" s="37">
        <f t="shared" si="27"/>
        <v>0</v>
      </c>
      <c r="AD20" s="35">
        <f t="shared" si="28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29"/>
        <v>0</v>
      </c>
      <c r="AU20" s="47"/>
      <c r="AV20" s="37">
        <f t="shared" si="31"/>
        <v>0</v>
      </c>
      <c r="AW20" s="35">
        <f t="shared" si="30"/>
        <v>0</v>
      </c>
    </row>
    <row r="21" spans="1:49" x14ac:dyDescent="0.25">
      <c r="A21" s="23">
        <v>44362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6"/>
        <v>0</v>
      </c>
      <c r="R21" s="37">
        <f t="shared" si="17"/>
        <v>0</v>
      </c>
      <c r="S21" s="37">
        <f t="shared" si="15"/>
        <v>0</v>
      </c>
      <c r="T21" s="37">
        <f t="shared" si="18"/>
        <v>0</v>
      </c>
      <c r="U21" s="37">
        <f t="shared" si="19"/>
        <v>0</v>
      </c>
      <c r="V21" s="37">
        <f t="shared" si="20"/>
        <v>0</v>
      </c>
      <c r="W21" s="37">
        <f t="shared" si="21"/>
        <v>0</v>
      </c>
      <c r="X21" s="37">
        <f t="shared" si="22"/>
        <v>0</v>
      </c>
      <c r="Y21" s="37">
        <f t="shared" si="23"/>
        <v>0</v>
      </c>
      <c r="Z21" s="37">
        <f t="shared" si="24"/>
        <v>0</v>
      </c>
      <c r="AA21" s="37">
        <f t="shared" si="25"/>
        <v>0</v>
      </c>
      <c r="AB21" s="37">
        <f t="shared" si="26"/>
        <v>0</v>
      </c>
      <c r="AC21" s="37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>
        <f t="shared" si="31"/>
        <v>0</v>
      </c>
      <c r="AW21" s="35">
        <f t="shared" si="30"/>
        <v>0</v>
      </c>
    </row>
    <row r="22" spans="1:49" x14ac:dyDescent="0.25">
      <c r="A22" s="23">
        <v>44363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44364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44365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44366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44367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44368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44369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44370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44371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44372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44373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44374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44375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44376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44377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2070</v>
      </c>
      <c r="R38" s="38">
        <f t="shared" ref="R38:AC38" si="62">SUM(R7:R37)</f>
        <v>26320</v>
      </c>
      <c r="S38" s="38">
        <f t="shared" si="62"/>
        <v>6570</v>
      </c>
      <c r="T38" s="38">
        <f t="shared" si="62"/>
        <v>3330</v>
      </c>
      <c r="U38" s="38">
        <f t="shared" si="62"/>
        <v>8750</v>
      </c>
      <c r="V38" s="38">
        <f t="shared" si="62"/>
        <v>6740</v>
      </c>
      <c r="W38" s="38">
        <f t="shared" si="62"/>
        <v>4780</v>
      </c>
      <c r="X38" s="38">
        <f t="shared" si="62"/>
        <v>8150</v>
      </c>
      <c r="Y38" s="38">
        <f t="shared" si="62"/>
        <v>8830</v>
      </c>
      <c r="Z38" s="38">
        <f t="shared" si="62"/>
        <v>5180</v>
      </c>
      <c r="AA38" s="38">
        <f t="shared" si="62"/>
        <v>6680</v>
      </c>
      <c r="AB38" s="38">
        <f t="shared" si="62"/>
        <v>14550</v>
      </c>
      <c r="AC38" s="38">
        <f t="shared" si="62"/>
        <v>18530</v>
      </c>
      <c r="AD38" s="38">
        <f t="shared" ref="AD38" si="63">SUM(AD7:AD37)</f>
        <v>120480</v>
      </c>
      <c r="AF38" s="35">
        <f>SUM(AF7:AF37)</f>
        <v>10.350000000000001</v>
      </c>
      <c r="AG38" s="35">
        <f t="shared" ref="AG38:AS38" si="64">SUM(AG7:AG37)</f>
        <v>131.6</v>
      </c>
      <c r="AH38" s="35">
        <f t="shared" si="64"/>
        <v>32.85</v>
      </c>
      <c r="AI38" s="35">
        <f t="shared" si="64"/>
        <v>16.649999999999999</v>
      </c>
      <c r="AJ38" s="35">
        <f t="shared" si="64"/>
        <v>43.75</v>
      </c>
      <c r="AK38" s="35">
        <f t="shared" si="64"/>
        <v>33.700000000000003</v>
      </c>
      <c r="AL38" s="35">
        <f t="shared" si="64"/>
        <v>23.9</v>
      </c>
      <c r="AM38" s="35">
        <f t="shared" si="64"/>
        <v>40.75</v>
      </c>
      <c r="AN38" s="35">
        <f t="shared" si="64"/>
        <v>44.150000000000006</v>
      </c>
      <c r="AO38" s="35">
        <f t="shared" si="64"/>
        <v>25.9</v>
      </c>
      <c r="AP38" s="35">
        <f t="shared" si="64"/>
        <v>33.4</v>
      </c>
      <c r="AQ38" s="35">
        <f t="shared" si="64"/>
        <v>72.75</v>
      </c>
      <c r="AR38" s="35">
        <f t="shared" si="64"/>
        <v>92.65</v>
      </c>
      <c r="AS38" s="35">
        <f t="shared" si="64"/>
        <v>602.40000000000009</v>
      </c>
      <c r="AU38" s="48"/>
      <c r="AV38" s="34">
        <f>SUM(AV7:AV37)</f>
        <v>5405</v>
      </c>
      <c r="AW38" s="34">
        <f>SUM(AW7:AW37)</f>
        <v>0</v>
      </c>
    </row>
    <row r="39" spans="1:49" x14ac:dyDescent="0.25">
      <c r="D39">
        <v>5.0000000000000001E-3</v>
      </c>
      <c r="AV39" s="36">
        <f>AV38*0.00378541*1000</f>
        <v>20460.141050000002</v>
      </c>
    </row>
    <row r="40" spans="1:49" x14ac:dyDescent="0.25">
      <c r="D40">
        <v>2E-3</v>
      </c>
      <c r="AV40">
        <f>AV39/31</f>
        <v>660.00455000000011</v>
      </c>
    </row>
    <row r="41" spans="1:49" x14ac:dyDescent="0.25">
      <c r="AV41">
        <f>AV38*0.00378541</f>
        <v>20.460141050000001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2021-06-03T04:41:59Z</dcterms:modified>
</cp:coreProperties>
</file>