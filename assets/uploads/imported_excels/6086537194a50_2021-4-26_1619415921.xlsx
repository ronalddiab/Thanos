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34" i="4" l="1"/>
  <c r="M146" i="4"/>
  <c r="M152" i="4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30" i="4"/>
  <c r="K142" i="4"/>
  <c r="K143" i="4"/>
  <c r="K148" i="4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J143" i="4"/>
  <c r="J144" i="4"/>
  <c r="K144" i="4" s="1"/>
  <c r="J145" i="4"/>
  <c r="K145" i="4" s="1"/>
  <c r="J146" i="4"/>
  <c r="K146" i="4" s="1"/>
  <c r="J147" i="4"/>
  <c r="K147" i="4" s="1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17" i="4" l="1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F172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F157" i="1" s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F158" i="1" s="1"/>
  <c r="E167" i="1"/>
  <c r="F167" i="1" s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F140" i="1" s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F161" i="1" s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F209" i="1" s="1"/>
  <c r="E19" i="1"/>
  <c r="E69" i="1"/>
  <c r="F69" i="1" s="1"/>
  <c r="E136" i="1"/>
  <c r="F136" i="1" s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<sst xmlns="http://schemas.openxmlformats.org/spreadsheetml/2006/main" count="606" uniqueCount="76">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</sst>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85" workbookViewId="0">
      <selection activeCell="P110" sqref="P11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4">
        <v>0.67</v>
      </c>
      <c r="G117" s="4" t="str">
        <f>'Gas Water'!M119</f>
        <v/>
      </c>
      <c r="H117" s="154">
        <v>1.77</v>
      </c>
      <c r="I117" s="2" t="str">
        <f>'Gas Water'!L119</f>
        <v/>
      </c>
      <c r="J117" s="154">
        <v>12.93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4">
        <v>0.67</v>
      </c>
      <c r="G118" s="4" t="str">
        <f>'Gas Water'!M120</f>
        <v/>
      </c>
      <c r="H118" s="154">
        <v>1.77</v>
      </c>
      <c r="I118" s="2" t="str">
        <f>'Gas Water'!L120</f>
        <v/>
      </c>
      <c r="J118" s="154">
        <v>12.93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4">
        <v>0.67</v>
      </c>
      <c r="G119" s="4" t="str">
        <f>'Gas Water'!M121</f>
        <v/>
      </c>
      <c r="H119" s="154">
        <v>1.77</v>
      </c>
      <c r="I119" s="2" t="str">
        <f>'Gas Water'!L121</f>
        <v/>
      </c>
      <c r="J119" s="154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82" workbookViewId="0">
      <selection activeCell="H118" sqref="H118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3756</v>
      </c>
      <c r="O117" s="32">
        <f>SUM(M95:M124)</f>
        <v>62675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4"/>
        <v/>
      </c>
      <c r="M119" s="30" t="str">
        <f t="shared" si="3"/>
        <v/>
      </c>
      <c r="N119" s="199"/>
      <c r="O119" s="199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4"/>
        <v/>
      </c>
      <c r="M120" s="30" t="str">
        <f t="shared" si="3"/>
        <v/>
      </c>
      <c r="N120" s="32">
        <f>AVERAGE(L95:L124)</f>
        <v>156.5</v>
      </c>
      <c r="O120" s="32">
        <f>AVERAGE(M95:M124)</f>
        <v>2611.4583333333335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4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 t="shared" si="4"/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4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29" t="str">
        <f t="shared" si="4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4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4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332914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317907</v>
      </c>
      <c r="J371" s="40">
        <f t="shared" si="29"/>
        <v>16338</v>
      </c>
      <c r="K371" s="40">
        <f t="shared" si="29"/>
        <v>15722</v>
      </c>
      <c r="L371" s="40">
        <f t="shared" si="29"/>
        <v>15491</v>
      </c>
      <c r="M371" s="40">
        <f t="shared" si="29"/>
        <v>349967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88" workbookViewId="0">
      <selection activeCell="W108" sqref="W108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3.8616053127818309E-2</v>
      </c>
      <c r="Q114" s="71">
        <f>IF(L94="",0,+SUM(L94:L123)/SUM(I94:I123))</f>
        <v>3.8616053127818309E-2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/>
      <c r="E118" s="58"/>
      <c r="F118" s="59"/>
      <c r="G118" s="60"/>
      <c r="H118" s="60">
        <v>4140</v>
      </c>
      <c r="I118" s="60" t="str">
        <f>IF(D118="","",+(E118-E117)*4140)</f>
        <v/>
      </c>
      <c r="J118" s="60" t="str">
        <f t="shared" si="15"/>
        <v/>
      </c>
      <c r="K118" s="61" t="str">
        <f t="shared" si="10"/>
        <v/>
      </c>
      <c r="L118" s="60" t="str">
        <f t="shared" si="11"/>
        <v/>
      </c>
      <c r="M118" s="61" t="str">
        <f t="shared" si="12"/>
        <v/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/>
      <c r="E119" s="58"/>
      <c r="F119" s="59"/>
      <c r="G119" s="60"/>
      <c r="H119" s="60">
        <v>4140</v>
      </c>
      <c r="I119" s="60" t="str">
        <f t="shared" si="14"/>
        <v/>
      </c>
      <c r="J119" s="60" t="str">
        <f t="shared" si="15"/>
        <v/>
      </c>
      <c r="K119" s="61" t="str">
        <f t="shared" si="10"/>
        <v/>
      </c>
      <c r="L119" s="60" t="str">
        <f t="shared" si="11"/>
        <v/>
      </c>
      <c r="M119" s="61" t="str">
        <f t="shared" si="12"/>
        <v/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/>
      <c r="E120" s="58"/>
      <c r="F120" s="59"/>
      <c r="G120" s="60"/>
      <c r="H120" s="60">
        <v>4140</v>
      </c>
      <c r="I120" s="60" t="str">
        <f t="shared" si="14"/>
        <v/>
      </c>
      <c r="J120" s="60" t="str">
        <f t="shared" si="15"/>
        <v/>
      </c>
      <c r="K120" s="61" t="str">
        <f t="shared" si="10"/>
        <v/>
      </c>
      <c r="L120" s="60" t="str">
        <f t="shared" si="11"/>
        <v/>
      </c>
      <c r="M120" s="61" t="str">
        <f t="shared" si="12"/>
        <v/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2415788.8799999957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2021-04-26T05:44:12Z</dcterms:modified>
  <cp:category/>
  <cp:contentStatus/>
</cp:coreProperties>
</file>