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496" documentId="11_3BED31AB7A40F8CCF12F63B4977459FD7BE6FFE9" xr6:coauthVersionLast="47" xr6:coauthVersionMax="47" xr10:uidLastSave="{3F25C52F-53C3-4374-AEDD-FD12B55F6A51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K9" i="6"/>
  <c r="K10" i="6"/>
  <c r="J9" i="6"/>
  <c r="J10" i="6"/>
  <c r="F9" i="6"/>
  <c r="F10" i="6"/>
  <c r="F7" i="6"/>
  <c r="F8" i="6"/>
  <c r="E8" i="6"/>
  <c r="E9" i="6"/>
  <c r="K11" i="6"/>
  <c r="G10" i="6"/>
  <c r="G11" i="6"/>
  <c r="B11" i="3"/>
  <c r="B10" i="3"/>
  <c r="B7" i="3"/>
  <c r="B8" i="3"/>
  <c r="B9" i="3"/>
  <c r="B6" i="3"/>
  <c r="G37" i="3"/>
  <c r="H37" i="3"/>
  <c r="I37" i="3"/>
  <c r="J37" i="3"/>
  <c r="F37" i="3"/>
  <c r="E37" i="3"/>
  <c r="D37" i="3"/>
  <c r="B37" i="3"/>
  <c r="B38" i="3"/>
  <c r="E7" i="5"/>
  <c r="G8" i="5"/>
  <c r="E14" i="5"/>
  <c r="G5" i="6"/>
  <c r="D38" i="3"/>
  <c r="F38" i="3"/>
  <c r="E3" i="5"/>
  <c r="E4" i="5"/>
  <c r="E5" i="5"/>
  <c r="E6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6" i="6"/>
  <c r="F5" i="6"/>
  <c r="F4" i="6"/>
  <c r="F3" i="6"/>
  <c r="F2" i="6"/>
  <c r="E3" i="6"/>
  <c r="E4" i="6"/>
  <c r="E5" i="6"/>
  <c r="E6" i="6"/>
  <c r="E7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<sst xmlns="http://schemas.openxmlformats.org/spreadsheetml/2006/main" count="97" uniqueCount="32">
  <si>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</si>
  <si>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</si>
  <si>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</si>
  <si>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</si>
  <si>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</si>
  <si>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</si>
  <si>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</si>
  <si>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</si>
  <si>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</si>
  <si>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</si>
  <si>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</si>
  <si>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</si>
  <si>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</si>
  <si>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</si>
  <si>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</si>
  <si>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</si>
  <si>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</si>
  <si>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</si>
  <si>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</si>
  <si>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</si>
  <si>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</si>
  <si>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</si>
  <si>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</si>
  <si>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>WATER 1 11084(end of Via Bonifacio) BOSCO/19</t>
  </si>
  <si>
    <t xml:space="preserve">WATER 2 11086 ( via Bonifacio- Staff Entrance )METERS/40 </t>
  </si>
  <si>
    <t>WATER 3 11085( Top Kitchen entrance) ICA/25</t>
  </si>
  <si>
    <t xml:space="preserve">WATER 4 11087 (downstairs kitchen entrance) ICA/19 </t>
  </si>
  <si>
    <t>WATER 5 11088 (Outside ANCIOVI) BMETENS/40</t>
  </si>
  <si>
    <t>Room Nights</t>
  </si>
  <si>
    <t>Total Guests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</si>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</sst>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44444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31"/>
  <sheetViews>
    <sheetView workbookViewId="0">
      <selection activeCell="O14" sqref="O14"/>
    </sheetView>
  </sheetViews>
  <sheetFormatPr defaultColWidth="11.5703125" defaultRowHeight="15"/>
  <cols>
    <col min="1" max="1" width="16" style="2" customWidth="1"/>
    <col min="2" max="2" width="11.5703125" style="10"/>
    <col min="3" max="3" width="11.5703125" style="11"/>
    <col min="4" max="4" width="13.42578125" style="10" customWidth="1"/>
    <col min="5" max="5" width="12.5703125" style="7" customWidth="1"/>
    <col min="6" max="6" width="12.5703125" style="9" customWidth="1"/>
    <col min="7" max="7" width="11.5703125" style="7"/>
    <col min="8" max="8" width="11.5703125" style="9"/>
    <col min="9" max="9" width="11.5703125" style="7"/>
    <col min="10" max="10" width="11.5703125" style="8"/>
    <col min="11" max="21" width="11.5703125" style="7"/>
  </cols>
  <sheetData>
    <row r="1" spans="1:21" s="2" customFormat="1" ht="54.75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2" t="s">
        <v>10</v>
      </c>
      <c r="B2" s="10">
        <v>1</v>
      </c>
      <c r="C2" s="11">
        <v>11</v>
      </c>
      <c r="D2" s="11">
        <v>2021</v>
      </c>
      <c r="E2" s="12">
        <f>IF(('DAILY READINGS'!B7-'DAILY READINGS'!B6)&gt;0,('DAILY READINGS'!B7-'DAILY READINGS'!B6),0)</f>
        <v>2138</v>
      </c>
      <c r="F2" s="9">
        <v>0.19</v>
      </c>
      <c r="G2" s="12">
        <f>IF(('DAILY READINGS'!D7-'DAILY READINGS'!D6)+('DAILY READINGS'!E7-'DAILY READINGS'!E6)&gt;0,('DAILY READINGS'!D7-'DAILY READINGS'!D6)+('DAILY READINGS'!E7-'DAILY READINGS'!E6),0)</f>
        <v>111</v>
      </c>
      <c r="H2" s="9">
        <v>0.69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</v>
      </c>
      <c r="J2" s="9">
        <v>1.45</v>
      </c>
    </row>
    <row r="3" spans="1:21">
      <c r="A3" s="2" t="s">
        <v>10</v>
      </c>
      <c r="B3" s="10">
        <f t="shared" ref="B3:B31" si="0">B2+1</f>
        <v>2</v>
      </c>
      <c r="C3" s="11">
        <v>11</v>
      </c>
      <c r="D3" s="11">
        <v>2021</v>
      </c>
      <c r="E3" s="12">
        <f>IF(('DAILY READINGS'!B8-'DAILY READINGS'!B7)&gt;0,('DAILY READINGS'!B8-'DAILY READINGS'!B7),0)</f>
        <v>3328</v>
      </c>
      <c r="F3" s="9">
        <v>0.19</v>
      </c>
      <c r="G3" s="12">
        <f>IF(('DAILY READINGS'!D8-'DAILY READINGS'!D7)+('DAILY READINGS'!E8-'DAILY READINGS'!E7)&gt;0,('DAILY READINGS'!D8-'DAILY READINGS'!D7)+('DAILY READINGS'!E8-'DAILY READINGS'!E7),0)</f>
        <v>92</v>
      </c>
      <c r="H3" s="9">
        <v>0.69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11</v>
      </c>
      <c r="J3" s="9">
        <v>1.45</v>
      </c>
      <c r="K3" s="12"/>
    </row>
    <row r="4" spans="1:21">
      <c r="A4" s="2" t="s">
        <v>10</v>
      </c>
      <c r="B4" s="10">
        <f t="shared" si="0"/>
        <v>3</v>
      </c>
      <c r="C4" s="11">
        <v>11</v>
      </c>
      <c r="D4" s="11">
        <v>2021</v>
      </c>
      <c r="E4" s="12">
        <f>IF(('DAILY READINGS'!B9-'DAILY READINGS'!B8)&gt;0,('DAILY READINGS'!B9-'DAILY READINGS'!B8),0)</f>
        <v>2812</v>
      </c>
      <c r="F4" s="9">
        <v>0.19</v>
      </c>
      <c r="G4" s="12">
        <f>IF(('DAILY READINGS'!D9-'DAILY READINGS'!D8)+('DAILY READINGS'!E9-'DAILY READINGS'!E8)&gt;0,('DAILY READINGS'!D9-'DAILY READINGS'!D8)+('DAILY READINGS'!E9-'DAILY READINGS'!E8),0)</f>
        <v>121</v>
      </c>
      <c r="H4" s="9">
        <v>0.69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16</v>
      </c>
      <c r="J4" s="9">
        <v>1.45</v>
      </c>
    </row>
    <row r="5" spans="1:21">
      <c r="A5" s="2" t="s">
        <v>10</v>
      </c>
      <c r="B5" s="10">
        <f t="shared" si="0"/>
        <v>4</v>
      </c>
      <c r="C5" s="11">
        <v>11</v>
      </c>
      <c r="D5" s="11">
        <v>2021</v>
      </c>
      <c r="E5" s="12">
        <f>IF(('DAILY READINGS'!B10-'DAILY READINGS'!B9)&gt;0,('DAILY READINGS'!B10-'DAILY READINGS'!B9),0)</f>
        <v>2936</v>
      </c>
      <c r="F5" s="9">
        <v>0.19</v>
      </c>
      <c r="G5" s="12">
        <f>IF(('DAILY READINGS'!D10-'DAILY READINGS'!D9)+('DAILY READINGS'!E10-'DAILY READINGS'!E9)&gt;0,('DAILY READINGS'!D10-'DAILY READINGS'!D9)+('DAILY READINGS'!E10-'DAILY READINGS'!E9),0)</f>
        <v>116</v>
      </c>
      <c r="H5" s="9">
        <v>0.69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14</v>
      </c>
      <c r="J5" s="9">
        <v>1.45</v>
      </c>
    </row>
    <row r="6" spans="1:21">
      <c r="A6" s="2" t="s">
        <v>10</v>
      </c>
      <c r="B6" s="10">
        <f t="shared" si="0"/>
        <v>5</v>
      </c>
      <c r="C6" s="11">
        <v>11</v>
      </c>
      <c r="D6" s="11">
        <v>2021</v>
      </c>
      <c r="E6" s="12">
        <f>IF(('DAILY READINGS'!B11-'DAILY READINGS'!B10)&gt;0,('DAILY READINGS'!B11-'DAILY READINGS'!B10),0)</f>
        <v>3728</v>
      </c>
      <c r="F6" s="9">
        <v>0.19</v>
      </c>
      <c r="G6" s="12">
        <f>IF(('DAILY READINGS'!D11-'DAILY READINGS'!D10)+('DAILY READINGS'!E11-'DAILY READINGS'!E10)&gt;0,('DAILY READINGS'!D11-'DAILY READINGS'!D10)+('DAILY READINGS'!E11-'DAILY READINGS'!E10),0)</f>
        <v>172</v>
      </c>
      <c r="H6" s="9">
        <v>0.69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19</v>
      </c>
      <c r="J6" s="9">
        <v>1.45</v>
      </c>
    </row>
    <row r="7" spans="1:21">
      <c r="A7" s="2" t="s">
        <v>10</v>
      </c>
      <c r="B7" s="10">
        <f t="shared" si="0"/>
        <v>6</v>
      </c>
      <c r="C7" s="11">
        <v>11</v>
      </c>
      <c r="D7" s="11">
        <v>2021</v>
      </c>
      <c r="E7" s="12">
        <f>IF(('DAILY READINGS'!B12-'DAILY READINGS'!B11)&gt;0,('DAILY READINGS'!B12-'DAILY READINGS'!B11),0)</f>
        <v>2004</v>
      </c>
      <c r="F7" s="9">
        <v>0.19</v>
      </c>
      <c r="G7" s="12">
        <f>IF(('DAILY READINGS'!D12-'DAILY READINGS'!D11)+('DAILY READINGS'!E12-'DAILY READINGS'!E11)&gt;0,('DAILY READINGS'!D12-'DAILY READINGS'!D11)+('DAILY READINGS'!E12-'DAILY READINGS'!E11),0)</f>
        <v>69</v>
      </c>
      <c r="H7" s="9">
        <v>0.69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9">
        <v>1.45</v>
      </c>
    </row>
    <row r="8" spans="1:21">
      <c r="A8" s="2" t="s">
        <v>10</v>
      </c>
      <c r="B8" s="10">
        <f t="shared" si="0"/>
        <v>7</v>
      </c>
      <c r="C8" s="11">
        <v>11</v>
      </c>
      <c r="D8" s="11">
        <v>2021</v>
      </c>
      <c r="E8" s="12">
        <v>3710</v>
      </c>
      <c r="F8" s="9">
        <v>0.19</v>
      </c>
      <c r="G8" s="12">
        <f>IF(('DAILY READINGS'!D13-'DAILY READINGS'!D12)+('DAILY READINGS'!E14-'DAILY READINGS'!E12)&gt;0,('DAILY READINGS'!D13-'DAILY READINGS'!D12)+('DAILY READINGS'!E14-'DAILY READINGS'!E12),0)</f>
        <v>112</v>
      </c>
      <c r="H8" s="9">
        <v>0.69</v>
      </c>
      <c r="I8" s="12">
        <f>IF(('DAILY READINGS'!F13-'DAILY READINGS'!F12)+('DAILY READINGS'!G13-'DAILY READINGS'!G12)+('DAILY READINGS'!H14-'DAILY READINGS'!H12)+('DAILY READINGS'!I14-'DAILY READINGS'!I12)+('DAILY READINGS'!J13-'DAILY READINGS'!J12)&gt;0,('DAILY READINGS'!F13-'DAILY READINGS'!F12)+('DAILY READINGS'!G13-'DAILY READINGS'!G12)+('DAILY READINGS'!H14-'DAILY READINGS'!H12)+('DAILY READINGS'!I14-'DAILY READINGS'!I12)+('DAILY READINGS'!J13-'DAILY READINGS'!J12),0)</f>
        <v>0</v>
      </c>
      <c r="J8" s="9">
        <v>1.45</v>
      </c>
    </row>
    <row r="9" spans="1:21">
      <c r="A9" s="2" t="s">
        <v>10</v>
      </c>
      <c r="B9" s="10">
        <f t="shared" si="0"/>
        <v>8</v>
      </c>
      <c r="C9" s="11">
        <v>11</v>
      </c>
      <c r="D9" s="11">
        <v>2021</v>
      </c>
      <c r="E9" s="12">
        <f>IF(('DAILY READINGS'!B14-'DAILY READINGS'!B13)&gt;0,('DAILY READINGS'!B14-'DAILY READINGS'!B13),0)</f>
        <v>5224</v>
      </c>
      <c r="F9" s="9">
        <v>0.19</v>
      </c>
      <c r="G9" s="12" t="e">
        <f>IF(('DAILY READINGS'!D14-'DAILY READINGS'!D13)+('DAILY READINGS'!#REF!-'DAILY READINGS'!E14)&gt;0,('DAILY READINGS'!D14-'DAILY READINGS'!D13)+('DAILY READINGS'!#REF!-'DAILY READINGS'!E14),0)</f>
        <v>#REF!</v>
      </c>
      <c r="H9" s="9">
        <v>0.69</v>
      </c>
      <c r="I9" s="12" t="e">
        <f>IF(('DAILY READINGS'!F14-'DAILY READINGS'!F13)+('DAILY READINGS'!G14-'DAILY READINGS'!G13)+('DAILY READINGS'!#REF!-'DAILY READINGS'!H14)+('DAILY READINGS'!#REF!-'DAILY READINGS'!I14)+('DAILY READINGS'!J14-'DAILY READINGS'!J13)&gt;0,('DAILY READINGS'!F14-'DAILY READINGS'!F13)+('DAILY READINGS'!G14-'DAILY READINGS'!G13)+('DAILY READINGS'!#REF!-'DAILY READINGS'!H14)+('DAILY READINGS'!#REF!-'DAILY READINGS'!I14)+('DAILY READINGS'!J14-'DAILY READINGS'!J13),0)</f>
        <v>#REF!</v>
      </c>
      <c r="J9" s="9">
        <v>1.45</v>
      </c>
    </row>
    <row r="10" spans="1:21">
      <c r="A10" s="2" t="s">
        <v>10</v>
      </c>
      <c r="B10" s="10">
        <f t="shared" si="0"/>
        <v>9</v>
      </c>
      <c r="C10" s="11">
        <v>11</v>
      </c>
      <c r="D10" s="11">
        <v>2021</v>
      </c>
      <c r="E10" s="12">
        <f>IF(('DAILY READINGS'!B15-'DAILY READINGS'!B14)&gt;0,('DAILY READINGS'!B15-'DAILY READINGS'!B14),0)</f>
        <v>2588</v>
      </c>
      <c r="F10" s="9">
        <v>0.19</v>
      </c>
      <c r="G10" s="12" t="e">
        <f>IF(('DAILY READINGS'!D15-'DAILY READINGS'!D14)+('DAILY READINGS'!E15-'DAILY READINGS'!#REF!)&gt;0,('DAILY READINGS'!D15-'DAILY READINGS'!D14)+('DAILY READINGS'!E15-'DAILY READINGS'!#REF!),0)</f>
        <v>#REF!</v>
      </c>
      <c r="H10" s="9">
        <v>0.69</v>
      </c>
      <c r="I10" s="12" t="e">
        <f>IF(('DAILY READINGS'!F15-'DAILY READINGS'!F14)+('DAILY READINGS'!G15-'DAILY READINGS'!G14)+('DAILY READINGS'!H15-'DAILY READINGS'!#REF!)+('DAILY READINGS'!I15-'DAILY READINGS'!#REF!)+('DAILY READINGS'!J15-'DAILY READINGS'!J14)&gt;0,('DAILY READINGS'!F15-'DAILY READINGS'!F14)+('DAILY READINGS'!G15-'DAILY READINGS'!G14)+('DAILY READINGS'!H15-'DAILY READINGS'!#REF!)+('DAILY READINGS'!I15-'DAILY READINGS'!#REF!)+('DAILY READINGS'!J15-'DAILY READINGS'!J14),0)</f>
        <v>#REF!</v>
      </c>
      <c r="J10" s="9">
        <v>1.45</v>
      </c>
    </row>
    <row r="11" spans="1:21">
      <c r="A11" s="2" t="s">
        <v>10</v>
      </c>
      <c r="B11" s="10">
        <f t="shared" si="0"/>
        <v>10</v>
      </c>
      <c r="C11" s="11">
        <v>11</v>
      </c>
      <c r="D11" s="11">
        <v>2021</v>
      </c>
      <c r="E11" s="12">
        <f>IF(('DAILY READINGS'!B16-'DAILY READINGS'!B15)&gt;0,('DAILY READINGS'!B16-'DAILY READINGS'!B15),0)</f>
        <v>2742</v>
      </c>
      <c r="F11" s="9">
        <v>0.19</v>
      </c>
      <c r="G11" s="12">
        <f>IF(('DAILY READINGS'!D16-'DAILY READINGS'!D15)+('DAILY READINGS'!E16-'DAILY READINGS'!E15)&gt;0,('DAILY READINGS'!D16-'DAILY READINGS'!D15)+('DAILY READINGS'!E16-'DAILY READINGS'!E15),0)</f>
        <v>101</v>
      </c>
      <c r="H11" s="9">
        <v>0.69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11</v>
      </c>
      <c r="J11" s="9">
        <v>1.45</v>
      </c>
    </row>
    <row r="12" spans="1:21">
      <c r="A12" s="2" t="s">
        <v>10</v>
      </c>
      <c r="B12" s="10">
        <f t="shared" si="0"/>
        <v>11</v>
      </c>
      <c r="C12" s="11">
        <v>11</v>
      </c>
      <c r="D12" s="11">
        <v>2021</v>
      </c>
      <c r="E12" s="12">
        <f>IF(('DAILY READINGS'!B17-'DAILY READINGS'!B16)&gt;0,('DAILY READINGS'!B17-'DAILY READINGS'!B16),0)</f>
        <v>2606</v>
      </c>
      <c r="F12" s="9">
        <v>0.19</v>
      </c>
      <c r="G12" s="12">
        <f>IF(('DAILY READINGS'!D17-'DAILY READINGS'!D16)+('DAILY READINGS'!E17-'DAILY READINGS'!E16)&gt;0,('DAILY READINGS'!D17-'DAILY READINGS'!D16)+('DAILY READINGS'!E17-'DAILY READINGS'!E16),0)</f>
        <v>105</v>
      </c>
      <c r="H12" s="9">
        <v>0.69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10</v>
      </c>
      <c r="J12" s="9">
        <v>1.45</v>
      </c>
    </row>
    <row r="13" spans="1:21">
      <c r="A13" s="2" t="s">
        <v>10</v>
      </c>
      <c r="B13" s="10">
        <f t="shared" si="0"/>
        <v>12</v>
      </c>
      <c r="C13" s="11">
        <v>11</v>
      </c>
      <c r="D13" s="11">
        <v>2021</v>
      </c>
      <c r="E13" s="12">
        <f>IF(('DAILY READINGS'!B18-'DAILY READINGS'!B17)&gt;0,('DAILY READINGS'!B18-'DAILY READINGS'!B17),0)</f>
        <v>2558</v>
      </c>
      <c r="F13" s="9">
        <v>0.19</v>
      </c>
      <c r="G13" s="12">
        <f>IF(('DAILY READINGS'!D18-'DAILY READINGS'!D17)+('DAILY READINGS'!E18-'DAILY READINGS'!E17)&gt;0,('DAILY READINGS'!D18-'DAILY READINGS'!D17)+('DAILY READINGS'!E18-'DAILY READINGS'!E17),0)</f>
        <v>103</v>
      </c>
      <c r="H13" s="9">
        <v>0.69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</v>
      </c>
      <c r="J13" s="9">
        <v>1.45</v>
      </c>
    </row>
    <row r="14" spans="1:21">
      <c r="A14" s="2" t="s">
        <v>10</v>
      </c>
      <c r="B14" s="10">
        <f t="shared" si="0"/>
        <v>13</v>
      </c>
      <c r="C14" s="11">
        <v>11</v>
      </c>
      <c r="D14" s="11">
        <v>2021</v>
      </c>
      <c r="E14" s="12">
        <f>IF(('DAILY READINGS'!B19-'DAILY READINGS'!B18)&gt;0,('DAILY READINGS'!B19-'DAILY READINGS'!B18),0)</f>
        <v>0</v>
      </c>
      <c r="F14" s="9">
        <v>0.19</v>
      </c>
      <c r="G14" s="12">
        <f>IF(('DAILY READINGS'!D19-'DAILY READINGS'!D18)+('DAILY READINGS'!E19-'DAILY READINGS'!E18)&gt;0,('DAILY READINGS'!D19-'DAILY READINGS'!D18)+('DAILY READINGS'!E19-'DAILY READINGS'!E18),0)</f>
        <v>0</v>
      </c>
      <c r="H14" s="9">
        <v>0.69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0</v>
      </c>
      <c r="J14" s="9">
        <v>1.45</v>
      </c>
    </row>
    <row r="15" spans="1:21">
      <c r="A15" s="2" t="s">
        <v>10</v>
      </c>
      <c r="B15" s="10">
        <f t="shared" si="0"/>
        <v>14</v>
      </c>
      <c r="C15" s="11">
        <v>11</v>
      </c>
      <c r="D15" s="11">
        <v>2021</v>
      </c>
      <c r="E15" s="12">
        <f>IF(('DAILY READINGS'!B20-'DAILY READINGS'!B19)&gt;0,('DAILY READINGS'!B20-'DAILY READINGS'!B19),0)</f>
        <v>0</v>
      </c>
      <c r="F15" s="9">
        <v>0.19</v>
      </c>
      <c r="G15" s="12">
        <f>IF(('DAILY READINGS'!D20-'DAILY READINGS'!D19)+('DAILY READINGS'!E20-'DAILY READINGS'!E19)&gt;0,('DAILY READINGS'!D20-'DAILY READINGS'!D19)+('DAILY READINGS'!E20-'DAILY READINGS'!E19),0)</f>
        <v>0</v>
      </c>
      <c r="H15" s="9">
        <v>0.69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0</v>
      </c>
      <c r="J15" s="9">
        <v>1.45</v>
      </c>
    </row>
    <row r="16" spans="1:21">
      <c r="A16" s="2" t="s">
        <v>10</v>
      </c>
      <c r="B16" s="10">
        <f t="shared" si="0"/>
        <v>15</v>
      </c>
      <c r="C16" s="11">
        <v>11</v>
      </c>
      <c r="D16" s="11">
        <v>2021</v>
      </c>
      <c r="E16" s="12">
        <f>IF(('DAILY READINGS'!B21-'DAILY READINGS'!B20)&gt;0,('DAILY READINGS'!B21-'DAILY READINGS'!B20),0)</f>
        <v>0</v>
      </c>
      <c r="F16" s="9">
        <v>0.19</v>
      </c>
      <c r="G16" s="12">
        <f>IF(('DAILY READINGS'!D21-'DAILY READINGS'!D20)+('DAILY READINGS'!E21-'DAILY READINGS'!E20)&gt;0,('DAILY READINGS'!D21-'DAILY READINGS'!D20)+('DAILY READINGS'!E21-'DAILY READINGS'!E20),0)</f>
        <v>299</v>
      </c>
      <c r="H16" s="9">
        <v>0.69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19</v>
      </c>
      <c r="J16" s="9">
        <v>1.45</v>
      </c>
    </row>
    <row r="17" spans="1:10">
      <c r="A17" s="2" t="s">
        <v>10</v>
      </c>
      <c r="B17" s="10">
        <f t="shared" si="0"/>
        <v>16</v>
      </c>
      <c r="C17" s="11">
        <v>11</v>
      </c>
      <c r="D17" s="11">
        <v>2021</v>
      </c>
      <c r="E17" s="12">
        <f>IF(('DAILY READINGS'!B22-'DAILY READINGS'!B21)&gt;0,('DAILY READINGS'!B22-'DAILY READINGS'!B21),0)</f>
        <v>10170</v>
      </c>
      <c r="F17" s="9">
        <v>0.19</v>
      </c>
      <c r="G17" s="12">
        <f>IF(('DAILY READINGS'!D22-'DAILY READINGS'!D21)+('DAILY READINGS'!E22-'DAILY READINGS'!E21)&gt;0,('DAILY READINGS'!D22-'DAILY READINGS'!D21)+('DAILY READINGS'!E22-'DAILY READINGS'!E21),0)</f>
        <v>118</v>
      </c>
      <c r="H17" s="9">
        <v>0.69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</v>
      </c>
      <c r="J17" s="9">
        <v>1.45</v>
      </c>
    </row>
    <row r="18" spans="1:10">
      <c r="A18" s="2" t="s">
        <v>10</v>
      </c>
      <c r="B18" s="10">
        <f t="shared" si="0"/>
        <v>17</v>
      </c>
      <c r="C18" s="11">
        <v>11</v>
      </c>
      <c r="D18" s="11">
        <v>2021</v>
      </c>
      <c r="E18" s="12">
        <f>IF(('DAILY READINGS'!B23-'DAILY READINGS'!B22)&gt;0,('DAILY READINGS'!B23-'DAILY READINGS'!B22),0)</f>
        <v>2892</v>
      </c>
      <c r="F18" s="9">
        <v>0.19</v>
      </c>
      <c r="G18" s="12">
        <f>IF(('DAILY READINGS'!D23-'DAILY READINGS'!D22)+('DAILY READINGS'!E23-'DAILY READINGS'!E22)&gt;0,('DAILY READINGS'!D23-'DAILY READINGS'!D22)+('DAILY READINGS'!E23-'DAILY READINGS'!E22),0)</f>
        <v>122</v>
      </c>
      <c r="H18" s="9">
        <v>0.69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10</v>
      </c>
      <c r="J18" s="9">
        <v>1.45</v>
      </c>
    </row>
    <row r="19" spans="1:10">
      <c r="A19" s="2" t="s">
        <v>10</v>
      </c>
      <c r="B19" s="10">
        <f t="shared" si="0"/>
        <v>18</v>
      </c>
      <c r="C19" s="11">
        <v>11</v>
      </c>
      <c r="D19" s="11">
        <v>2021</v>
      </c>
      <c r="E19" s="12">
        <f>IF(('DAILY READINGS'!B24-'DAILY READINGS'!B23)&gt;0,('DAILY READINGS'!B24-'DAILY READINGS'!B23),0)</f>
        <v>1738</v>
      </c>
      <c r="F19" s="9">
        <v>0.19</v>
      </c>
      <c r="G19" s="12">
        <f>IF(('DAILY READINGS'!D24-'DAILY READINGS'!D23)+('DAILY READINGS'!E24-'DAILY READINGS'!E23)&gt;0,('DAILY READINGS'!D24-'DAILY READINGS'!D23)+('DAILY READINGS'!E24-'DAILY READINGS'!E23),0)</f>
        <v>87</v>
      </c>
      <c r="H19" s="9">
        <v>0.69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4</v>
      </c>
      <c r="J19" s="9">
        <v>1.45</v>
      </c>
    </row>
    <row r="20" spans="1:10">
      <c r="A20" s="2" t="s">
        <v>10</v>
      </c>
      <c r="B20" s="10">
        <f t="shared" si="0"/>
        <v>19</v>
      </c>
      <c r="C20" s="11">
        <v>11</v>
      </c>
      <c r="D20" s="11">
        <v>2021</v>
      </c>
      <c r="E20" s="12">
        <f>IF(('DAILY READINGS'!B25-'DAILY READINGS'!B24)&gt;0,('DAILY READINGS'!B25-'DAILY READINGS'!B24),0)</f>
        <v>2122</v>
      </c>
      <c r="F20" s="9">
        <v>0.19</v>
      </c>
      <c r="G20" s="12">
        <f>IF(('DAILY READINGS'!D25-'DAILY READINGS'!D24)+('DAILY READINGS'!E25-'DAILY READINGS'!E24)&gt;0,('DAILY READINGS'!D25-'DAILY READINGS'!D24)+('DAILY READINGS'!E25-'DAILY READINGS'!E24),0)</f>
        <v>98</v>
      </c>
      <c r="H20" s="9">
        <v>0.69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7</v>
      </c>
      <c r="J20" s="9">
        <v>1.45</v>
      </c>
    </row>
    <row r="21" spans="1:10">
      <c r="A21" s="2" t="s">
        <v>10</v>
      </c>
      <c r="B21" s="10">
        <f t="shared" si="0"/>
        <v>20</v>
      </c>
      <c r="C21" s="11">
        <v>11</v>
      </c>
      <c r="D21" s="11">
        <v>2021</v>
      </c>
      <c r="E21" s="12">
        <f>IF(('DAILY READINGS'!B26-'DAILY READINGS'!B25)&gt;0,('DAILY READINGS'!B26-'DAILY READINGS'!B25),0)</f>
        <v>0</v>
      </c>
      <c r="F21" s="9">
        <v>0.19</v>
      </c>
      <c r="G21" s="12">
        <f>IF(('DAILY READINGS'!D26-'DAILY READINGS'!D25)+('DAILY READINGS'!E26-'DAILY READINGS'!E25)&gt;0,('DAILY READINGS'!D26-'DAILY READINGS'!D25)+('DAILY READINGS'!E26-'DAILY READINGS'!E25),0)</f>
        <v>0</v>
      </c>
      <c r="H21" s="9">
        <v>0.69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9">
        <v>1.45</v>
      </c>
    </row>
    <row r="22" spans="1:10">
      <c r="A22" s="2" t="s">
        <v>10</v>
      </c>
      <c r="B22" s="10">
        <f t="shared" si="0"/>
        <v>21</v>
      </c>
      <c r="C22" s="11">
        <v>11</v>
      </c>
      <c r="D22" s="11">
        <v>2021</v>
      </c>
      <c r="E22" s="12">
        <f>IF(('DAILY READINGS'!B27-'DAILY READINGS'!B26)&gt;0,('DAILY READINGS'!B27-'DAILY READINGS'!B26),0)</f>
        <v>0</v>
      </c>
      <c r="F22" s="9">
        <v>0.19</v>
      </c>
      <c r="G22" s="12">
        <f>IF(('DAILY READINGS'!D27-'DAILY READINGS'!D26)+('DAILY READINGS'!E27-'DAILY READINGS'!E26)&gt;0,('DAILY READINGS'!D27-'DAILY READINGS'!D26)+('DAILY READINGS'!E27-'DAILY READINGS'!E26),0)</f>
        <v>0</v>
      </c>
      <c r="H22" s="9">
        <v>0.69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9">
        <v>1.45</v>
      </c>
    </row>
    <row r="23" spans="1:10">
      <c r="A23" s="2" t="s">
        <v>10</v>
      </c>
      <c r="B23" s="10">
        <f t="shared" si="0"/>
        <v>22</v>
      </c>
      <c r="C23" s="11">
        <v>11</v>
      </c>
      <c r="D23" s="11">
        <v>2021</v>
      </c>
      <c r="E23" s="12">
        <f>IF(('DAILY READINGS'!B28-'DAILY READINGS'!B27)&gt;0,('DAILY READINGS'!B28-'DAILY READINGS'!B27),0)</f>
        <v>5896</v>
      </c>
      <c r="F23" s="9">
        <v>0.19</v>
      </c>
      <c r="G23" s="12">
        <f>IF(('DAILY READINGS'!D28-'DAILY READINGS'!D27)+('DAILY READINGS'!E28-'DAILY READINGS'!E27)&gt;0,('DAILY READINGS'!D28-'DAILY READINGS'!D27)+('DAILY READINGS'!E28-'DAILY READINGS'!E27),0)</f>
        <v>313</v>
      </c>
      <c r="H23" s="9">
        <v>0.69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16</v>
      </c>
      <c r="J23" s="9">
        <v>1.45</v>
      </c>
    </row>
    <row r="24" spans="1:10">
      <c r="A24" s="2" t="s">
        <v>10</v>
      </c>
      <c r="B24" s="10">
        <f t="shared" si="0"/>
        <v>23</v>
      </c>
      <c r="C24" s="11">
        <v>11</v>
      </c>
      <c r="D24" s="11">
        <v>2021</v>
      </c>
      <c r="E24" s="12">
        <f>IF(('DAILY READINGS'!B29-'DAILY READINGS'!B28)&gt;0,('DAILY READINGS'!B29-'DAILY READINGS'!B28),0)</f>
        <v>2172</v>
      </c>
      <c r="F24" s="9">
        <v>0.19</v>
      </c>
      <c r="G24" s="12">
        <f>IF(('DAILY READINGS'!D29-'DAILY READINGS'!D28)+('DAILY READINGS'!E29-'DAILY READINGS'!E28)&gt;0,('DAILY READINGS'!D29-'DAILY READINGS'!D28)+('DAILY READINGS'!E29-'DAILY READINGS'!E28),0)</f>
        <v>106</v>
      </c>
      <c r="H24" s="9">
        <v>0.69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5</v>
      </c>
      <c r="J24" s="9">
        <v>1.45</v>
      </c>
    </row>
    <row r="25" spans="1:10">
      <c r="A25" s="2" t="s">
        <v>10</v>
      </c>
      <c r="B25" s="10">
        <f t="shared" si="0"/>
        <v>24</v>
      </c>
      <c r="C25" s="11">
        <v>11</v>
      </c>
      <c r="D25" s="11">
        <v>2021</v>
      </c>
      <c r="E25" s="12">
        <f>IF(('DAILY READINGS'!B30-'DAILY READINGS'!B29)&gt;0,('DAILY READINGS'!B30-'DAILY READINGS'!B29),0)</f>
        <v>1994</v>
      </c>
      <c r="F25" s="9">
        <v>0.19</v>
      </c>
      <c r="G25" s="12">
        <f>IF(('DAILY READINGS'!D30-'DAILY READINGS'!D29)+('DAILY READINGS'!E30-'DAILY READINGS'!E29)&gt;0,('DAILY READINGS'!D30-'DAILY READINGS'!D29)+('DAILY READINGS'!E30-'DAILY READINGS'!E29),0)</f>
        <v>94</v>
      </c>
      <c r="H25" s="9">
        <v>0.69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8</v>
      </c>
      <c r="J25" s="9">
        <v>1.45</v>
      </c>
    </row>
    <row r="26" spans="1:10">
      <c r="A26" s="2" t="s">
        <v>10</v>
      </c>
      <c r="B26" s="10">
        <f t="shared" si="0"/>
        <v>25</v>
      </c>
      <c r="C26" s="11">
        <v>11</v>
      </c>
      <c r="D26" s="11">
        <v>2021</v>
      </c>
      <c r="E26" s="12">
        <f>IF(('DAILY READINGS'!B31-'DAILY READINGS'!B30)&gt;0,('DAILY READINGS'!B31-'DAILY READINGS'!B30),0)</f>
        <v>1828</v>
      </c>
      <c r="F26" s="9">
        <v>0.19</v>
      </c>
      <c r="G26" s="12">
        <f>IF(('DAILY READINGS'!D31-'DAILY READINGS'!D30)+('DAILY READINGS'!E31-'DAILY READINGS'!E30)&gt;0,('DAILY READINGS'!D31-'DAILY READINGS'!D30)+('DAILY READINGS'!E31-'DAILY READINGS'!E30),0)</f>
        <v>96</v>
      </c>
      <c r="H26" s="9">
        <v>0.69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3</v>
      </c>
      <c r="J26" s="9">
        <v>1.45</v>
      </c>
    </row>
    <row r="27" spans="1:10">
      <c r="A27" s="2" t="s">
        <v>10</v>
      </c>
      <c r="B27" s="10">
        <f t="shared" si="0"/>
        <v>26</v>
      </c>
      <c r="C27" s="11">
        <v>11</v>
      </c>
      <c r="D27" s="11">
        <v>2021</v>
      </c>
      <c r="E27" s="12">
        <f>IF(('DAILY READINGS'!B32-'DAILY READINGS'!B31)&gt;0,('DAILY READINGS'!B32-'DAILY READINGS'!B31),0)</f>
        <v>1902</v>
      </c>
      <c r="F27" s="9">
        <v>0.19</v>
      </c>
      <c r="G27" s="12">
        <f>IF(('DAILY READINGS'!D32-'DAILY READINGS'!D31)+('DAILY READINGS'!E32-'DAILY READINGS'!E31)&gt;0,('DAILY READINGS'!D32-'DAILY READINGS'!D31)+('DAILY READINGS'!E32-'DAILY READINGS'!E31),0)</f>
        <v>91</v>
      </c>
      <c r="H27" s="9">
        <v>0.69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</v>
      </c>
      <c r="J27" s="9">
        <v>1.45</v>
      </c>
    </row>
    <row r="28" spans="1:10">
      <c r="A28" s="2" t="s">
        <v>10</v>
      </c>
      <c r="B28" s="10">
        <f t="shared" si="0"/>
        <v>27</v>
      </c>
      <c r="C28" s="11">
        <v>11</v>
      </c>
      <c r="D28" s="11">
        <v>2021</v>
      </c>
      <c r="E28" s="12">
        <f>IF(('DAILY READINGS'!B33-'DAILY READINGS'!B32)&gt;0,('DAILY READINGS'!B33-'DAILY READINGS'!B32),0)</f>
        <v>10</v>
      </c>
      <c r="F28" s="9">
        <v>0.19</v>
      </c>
      <c r="G28" s="12">
        <f>IF(('DAILY READINGS'!D33-'DAILY READINGS'!D32)+('DAILY READINGS'!E33-'DAILY READINGS'!E32)&gt;0,('DAILY READINGS'!D33-'DAILY READINGS'!D32)+('DAILY READINGS'!E33-'DAILY READINGS'!E32),0)</f>
        <v>0</v>
      </c>
      <c r="H28" s="9">
        <v>0.69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9">
        <v>1.45</v>
      </c>
    </row>
    <row r="29" spans="1:10">
      <c r="A29" s="2" t="s">
        <v>10</v>
      </c>
      <c r="B29" s="10">
        <f t="shared" si="0"/>
        <v>28</v>
      </c>
      <c r="C29" s="11">
        <v>11</v>
      </c>
      <c r="D29" s="11">
        <v>2021</v>
      </c>
      <c r="E29" s="12">
        <f>IF(('DAILY READINGS'!B34-'DAILY READINGS'!B33)&gt;0,('DAILY READINGS'!B34-'DAILY READINGS'!B33),0)</f>
        <v>10</v>
      </c>
      <c r="F29" s="9">
        <v>0.19</v>
      </c>
      <c r="G29" s="12">
        <f>IF(('DAILY READINGS'!D34-'DAILY READINGS'!D33)+('DAILY READINGS'!E34-'DAILY READINGS'!E33)&gt;0,('DAILY READINGS'!D34-'DAILY READINGS'!D33)+('DAILY READINGS'!E34-'DAILY READINGS'!E33),0)</f>
        <v>0</v>
      </c>
      <c r="H29" s="9">
        <v>0.69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9">
        <v>1.45</v>
      </c>
    </row>
    <row r="30" spans="1:10">
      <c r="A30" s="2" t="s">
        <v>10</v>
      </c>
      <c r="B30" s="10">
        <f t="shared" si="0"/>
        <v>29</v>
      </c>
      <c r="C30" s="11">
        <v>11</v>
      </c>
      <c r="D30" s="11">
        <v>2021</v>
      </c>
      <c r="E30" s="12">
        <f>IF(('DAILY READINGS'!B35-'DAILY READINGS'!B34)&gt;0,('DAILY READINGS'!B35-'DAILY READINGS'!B34),0)</f>
        <v>5344</v>
      </c>
      <c r="F30" s="9">
        <v>0.19</v>
      </c>
      <c r="G30" s="12">
        <f>IF(('DAILY READINGS'!D35-'DAILY READINGS'!D34)+('DAILY READINGS'!E35-'DAILY READINGS'!E34)&gt;0,('DAILY READINGS'!D35-'DAILY READINGS'!D34)+('DAILY READINGS'!E35-'DAILY READINGS'!E34),0)</f>
        <v>250</v>
      </c>
      <c r="H30" s="9">
        <v>0.69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5</v>
      </c>
      <c r="J30" s="9">
        <v>1.45</v>
      </c>
    </row>
    <row r="31" spans="1:10">
      <c r="A31" s="2" t="s">
        <v>10</v>
      </c>
      <c r="B31" s="10">
        <f t="shared" si="0"/>
        <v>30</v>
      </c>
      <c r="C31" s="11">
        <v>11</v>
      </c>
      <c r="D31" s="11">
        <v>2021</v>
      </c>
      <c r="E31" s="12">
        <f>IF(('DAILY READINGS'!B36-'DAILY READINGS'!B35)&gt;0,('DAILY READINGS'!B36-'DAILY READINGS'!B35),0)</f>
        <v>2510</v>
      </c>
      <c r="F31" s="9">
        <v>0.19</v>
      </c>
      <c r="G31" s="12">
        <f>IF(('DAILY READINGS'!D36-'DAILY READINGS'!D35)+('DAILY READINGS'!E36-'DAILY READINGS'!E35)&gt;0,('DAILY READINGS'!D36-'DAILY READINGS'!D35)+('DAILY READINGS'!E36-'DAILY READINGS'!E35),0)</f>
        <v>91</v>
      </c>
      <c r="H31" s="9">
        <v>0.69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2</v>
      </c>
      <c r="J31" s="9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6" workbookViewId="0">
      <selection activeCell="E31" sqref="E31"/>
    </sheetView>
  </sheetViews>
  <sheetFormatPr defaultColWidth="11.5703125" defaultRowHeight="15"/>
  <cols>
    <col min="1" max="1" width="22.28515625" style="22" bestFit="1" customWidth="1"/>
    <col min="2" max="3" width="11.5703125" style="21"/>
    <col min="4" max="4" width="13.42578125" style="21" customWidth="1"/>
    <col min="5" max="9" width="12.5703125" style="12" customWidth="1"/>
    <col min="10" max="10" width="14.85546875" style="12" customWidth="1"/>
    <col min="11" max="11" width="14.28515625" style="12" customWidth="1"/>
    <col min="12" max="12" width="12.5703125" style="12" customWidth="1"/>
  </cols>
  <sheetData>
    <row r="1" spans="1:12" s="2" customFormat="1" ht="81">
      <c r="A1" s="19" t="s">
        <v>0</v>
      </c>
      <c r="B1" s="17" t="s">
        <v>1</v>
      </c>
      <c r="C1" s="17" t="s">
        <v>2</v>
      </c>
      <c r="D1" s="17" t="s">
        <v>3</v>
      </c>
      <c r="E1" s="20" t="s">
        <v>11</v>
      </c>
      <c r="F1" s="20" t="s">
        <v>12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</row>
    <row r="2" spans="1:12">
      <c r="A2" s="7" t="s">
        <v>10</v>
      </c>
      <c r="B2" s="21">
        <v>1</v>
      </c>
      <c r="C2" s="21">
        <v>11</v>
      </c>
      <c r="D2" s="21">
        <v>2021</v>
      </c>
      <c r="E2" s="12">
        <f>IF(('DAILY READINGS'!B7-'DAILY READINGS'!B6)&gt;0,('DAILY READINGS'!B7-'DAILY READINGS'!B6),0)</f>
        <v>2138</v>
      </c>
      <c r="F2" s="12">
        <f>IF(('DAILY READINGS'!D7-'DAILY READINGS'!D6)&gt;0,('DAILY READINGS'!D7-'DAILY READINGS'!D6),0)</f>
        <v>36</v>
      </c>
      <c r="G2" s="12">
        <f>IF(('DAILY READINGS'!E7-'DAILY READINGS'!E6)&gt;0,('DAILY READINGS'!E7-'DAILY READINGS'!E6),0)</f>
        <v>75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5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0</v>
      </c>
      <c r="L2" s="12">
        <f>IF(('DAILY READINGS'!J7-'DAILY READINGS'!J6)&gt;0,('DAILY READINGS'!J7-'DAILY READINGS'!J6),0)</f>
        <v>6</v>
      </c>
    </row>
    <row r="3" spans="1:12">
      <c r="A3" s="7" t="s">
        <v>10</v>
      </c>
      <c r="B3" s="21">
        <f>B2+1</f>
        <v>2</v>
      </c>
      <c r="C3" s="21">
        <v>11</v>
      </c>
      <c r="D3" s="21">
        <v>2021</v>
      </c>
      <c r="E3" s="12">
        <f>IF(('DAILY READINGS'!B8-'DAILY READINGS'!B7)&gt;0,('DAILY READINGS'!B8-'DAILY READINGS'!B7),0)</f>
        <v>3328</v>
      </c>
      <c r="F3" s="12">
        <f>IF(('DAILY READINGS'!D8-'DAILY READINGS'!D7)&gt;0,('DAILY READINGS'!D8-'DAILY READINGS'!D7),0)</f>
        <v>44</v>
      </c>
      <c r="G3" s="12">
        <f>IF(('DAILY READINGS'!E8-'DAILY READINGS'!E7)&gt;0,('DAILY READINGS'!E8-'DAILY READINGS'!E7),0)</f>
        <v>48</v>
      </c>
      <c r="H3" s="12">
        <f>IF(('DAILY READINGS'!F8-'DAILY READINGS'!F7)&gt;0,('DAILY READINGS'!F8-'DAILY READINGS'!F7),0)</f>
        <v>0</v>
      </c>
      <c r="I3" s="12">
        <f>IF(('DAILY READINGS'!G8-'DAILY READINGS'!G7)&gt;0,('DAILY READINGS'!G8-'DAILY READINGS'!G7),0)</f>
        <v>5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6</v>
      </c>
    </row>
    <row r="4" spans="1:12">
      <c r="A4" s="7" t="s">
        <v>10</v>
      </c>
      <c r="B4" s="21">
        <f t="shared" ref="B4:B31" si="0">B3+1</f>
        <v>3</v>
      </c>
      <c r="C4" s="21">
        <v>11</v>
      </c>
      <c r="D4" s="21">
        <v>2021</v>
      </c>
      <c r="E4" s="12">
        <f>IF(('DAILY READINGS'!B9-'DAILY READINGS'!B8)&gt;0,('DAILY READINGS'!B9-'DAILY READINGS'!B8),0)</f>
        <v>2812</v>
      </c>
      <c r="F4" s="12">
        <f>IF(('DAILY READINGS'!D9-'DAILY READINGS'!D8)&gt;0,('DAILY READINGS'!D9-'DAILY READINGS'!D8),0)</f>
        <v>49</v>
      </c>
      <c r="G4" s="12">
        <f>IF(('DAILY READINGS'!E9-'DAILY READINGS'!E8)&gt;0,('DAILY READINGS'!E9-'DAILY READINGS'!E8),0)</f>
        <v>72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9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0</v>
      </c>
      <c r="L4" s="12">
        <f>IF(('DAILY READINGS'!J9-'DAILY READINGS'!J8)&gt;0,('DAILY READINGS'!J9-'DAILY READINGS'!J8),0)</f>
        <v>6</v>
      </c>
    </row>
    <row r="5" spans="1:12">
      <c r="A5" s="7" t="s">
        <v>10</v>
      </c>
      <c r="B5" s="21">
        <f t="shared" si="0"/>
        <v>4</v>
      </c>
      <c r="C5" s="21">
        <v>11</v>
      </c>
      <c r="D5" s="21">
        <v>2021</v>
      </c>
      <c r="E5" s="12">
        <f>IF(('DAILY READINGS'!B10-'DAILY READINGS'!B9)&gt;0,('DAILY READINGS'!B10-'DAILY READINGS'!B9),0)</f>
        <v>2936</v>
      </c>
      <c r="F5" s="12">
        <f>IF(('DAILY READINGS'!D10-'DAILY READINGS'!D9)&gt;0,('DAILY READINGS'!D10-'DAILY READINGS'!D9),0)</f>
        <v>46</v>
      </c>
      <c r="G5" s="12">
        <f>IF(('DAILY READINGS'!E10-'DAILY READINGS'!E9)&gt;0,('DAILY READINGS'!E10-'DAILY READINGS'!E9),0)</f>
        <v>70</v>
      </c>
      <c r="H5" s="12">
        <f>IF(('DAILY READINGS'!F10-'DAILY READINGS'!F9)&gt;0,('DAILY READINGS'!F10-'DAILY READINGS'!F9),0)</f>
        <v>1</v>
      </c>
      <c r="I5" s="12">
        <f>IF(('DAILY READINGS'!G10-'DAILY READINGS'!G9)&gt;0,('DAILY READINGS'!G10-'DAILY READINGS'!G9),0)</f>
        <v>7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</v>
      </c>
    </row>
    <row r="6" spans="1:12">
      <c r="A6" s="7" t="s">
        <v>10</v>
      </c>
      <c r="B6" s="21">
        <f t="shared" si="0"/>
        <v>5</v>
      </c>
      <c r="C6" s="21">
        <v>11</v>
      </c>
      <c r="D6" s="21">
        <v>2021</v>
      </c>
      <c r="E6" s="12">
        <f>IF(('DAILY READINGS'!B11-'DAILY READINGS'!B10)&gt;0,('DAILY READINGS'!B11-'DAILY READINGS'!B10),0)</f>
        <v>3728</v>
      </c>
      <c r="F6" s="12">
        <f>IF(('DAILY READINGS'!D11-'DAILY READINGS'!D10)&gt;0,('DAILY READINGS'!D11-'DAILY READINGS'!D10),0)</f>
        <v>75</v>
      </c>
      <c r="G6" s="12">
        <f>IF(('DAILY READINGS'!E11-'DAILY READINGS'!E10)&gt;0,('DAILY READINGS'!E11-'DAILY READINGS'!E10),0)</f>
        <v>97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10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0</v>
      </c>
      <c r="L6" s="12">
        <f>IF(('DAILY READINGS'!J11-'DAILY READINGS'!J10)&gt;0,('DAILY READINGS'!J11-'DAILY READINGS'!J10),0)</f>
        <v>8</v>
      </c>
    </row>
    <row r="7" spans="1:12">
      <c r="A7" s="7" t="s">
        <v>10</v>
      </c>
      <c r="B7" s="21">
        <f t="shared" si="0"/>
        <v>6</v>
      </c>
      <c r="C7" s="21">
        <v>11</v>
      </c>
      <c r="D7" s="21">
        <v>2021</v>
      </c>
      <c r="E7" s="12">
        <f>IF(('DAILY READINGS'!B12-'DAILY READINGS'!B11)&gt;0,('DAILY READINGS'!B12-'DAILY READINGS'!B11),0)</f>
        <v>2004</v>
      </c>
      <c r="F7" s="12">
        <f>IF(('DAILY READINGS'!D12-'DAILY READINGS'!D11)&gt;0,('DAILY READINGS'!D12-'DAILY READINGS'!D11),0)</f>
        <v>33</v>
      </c>
      <c r="G7" s="12">
        <f>IF(('DAILY READINGS'!E12-'DAILY READINGS'!E11)&gt;0,('DAILY READINGS'!E12-'DAILY READINGS'!E11),0)</f>
        <v>36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4</v>
      </c>
    </row>
    <row r="8" spans="1:12">
      <c r="A8" s="7" t="s">
        <v>10</v>
      </c>
      <c r="B8" s="21">
        <f t="shared" si="0"/>
        <v>7</v>
      </c>
      <c r="C8" s="21">
        <v>11</v>
      </c>
      <c r="D8" s="21">
        <v>2021</v>
      </c>
      <c r="E8" s="12">
        <f>IF(('DAILY READINGS'!B13-'DAILY READINGS'!B12)&gt;0,('DAILY READINGS'!B13-'DAILY READINGS'!B12),0)</f>
        <v>0</v>
      </c>
      <c r="F8" s="12">
        <f>IF(('DAILY READINGS'!D13-'DAILY READINGS'!D12)&gt;0,('DAILY READINGS'!D13-'DAILY READINGS'!D12),0)</f>
        <v>0</v>
      </c>
      <c r="G8" s="12">
        <f>IF(('DAILY READINGS'!E14-'DAILY READINGS'!E12)&gt;0,('DAILY READINGS'!E14-'DAILY READINGS'!E12),0)</f>
        <v>112</v>
      </c>
      <c r="H8" s="12">
        <f>IF(('DAILY READINGS'!F13-'DAILY READINGS'!F12)&gt;0,('DAILY READINGS'!F13-'DAILY READINGS'!F12),0)</f>
        <v>0</v>
      </c>
      <c r="I8" s="12">
        <f>IF(('DAILY READINGS'!G13-'DAILY READINGS'!G12)&gt;0,('DAILY READINGS'!G13-'DAILY READINGS'!G12),0)</f>
        <v>0</v>
      </c>
      <c r="J8" s="12">
        <f>IF(('DAILY READINGS'!H14-'DAILY READINGS'!H12)&gt;0,('DAILY READINGS'!H14-'DAILY READINGS'!H12),0)</f>
        <v>0</v>
      </c>
      <c r="K8" s="12">
        <f>IF(('DAILY READINGS'!I14-'DAILY READINGS'!I12)&gt;0,('DAILY READINGS'!I14-'DAILY READINGS'!I12),0)</f>
        <v>0</v>
      </c>
      <c r="L8" s="12">
        <f>IF(('DAILY READINGS'!J13-'DAILY READINGS'!J12)&gt;0,('DAILY READINGS'!J13-'DAILY READINGS'!J12),0)</f>
        <v>0</v>
      </c>
    </row>
    <row r="9" spans="1:12">
      <c r="A9" s="7" t="s">
        <v>10</v>
      </c>
      <c r="B9" s="21">
        <f t="shared" si="0"/>
        <v>8</v>
      </c>
      <c r="C9" s="21">
        <v>11</v>
      </c>
      <c r="D9" s="21">
        <v>2021</v>
      </c>
      <c r="E9" s="12">
        <f>IF(('DAILY READINGS'!B14-'DAILY READINGS'!B13)&gt;0,('DAILY READINGS'!B14-'DAILY READINGS'!B13),0)</f>
        <v>5224</v>
      </c>
      <c r="F9" s="12">
        <f>IF(('DAILY READINGS'!D14-'DAILY READINGS'!D13)&gt;0,('DAILY READINGS'!D14-'DAILY READINGS'!D13),0)</f>
        <v>79</v>
      </c>
      <c r="G9" s="12">
        <f>IF(('DAILY READINGS'!E16-'DAILY READINGS'!E15)&gt;0,('DAILY READINGS'!E16-'DAILY READINGS'!E15),0)</f>
        <v>60</v>
      </c>
      <c r="H9" s="12">
        <f>IF(('DAILY READINGS'!F14-'DAILY READINGS'!F13)&gt;0,('DAILY READINGS'!F14-'DAILY READINGS'!F13),0)</f>
        <v>1</v>
      </c>
      <c r="I9" s="12">
        <f>IF(('DAILY READINGS'!G14-'DAILY READINGS'!G13)&gt;0,('DAILY READINGS'!G14-'DAILY READINGS'!G13),0)</f>
        <v>7</v>
      </c>
      <c r="J9" s="12">
        <f>IF(('DAILY READINGS'!H15-'DAILY READINGS'!H13)&gt;0,('DAILY READINGS'!H15-'DAILY READINGS'!H13),0)</f>
        <v>0</v>
      </c>
      <c r="K9" s="12">
        <f>IF(('DAILY READINGS'!I15-'DAILY READINGS'!I13)&gt;0,('DAILY READINGS'!I15-'DAILY READINGS'!I13),0)</f>
        <v>1</v>
      </c>
      <c r="L9" s="12">
        <f>IF(('DAILY READINGS'!J14-'DAILY READINGS'!J13)&gt;0,('DAILY READINGS'!J14-'DAILY READINGS'!J13),0)</f>
        <v>3</v>
      </c>
    </row>
    <row r="10" spans="1:12">
      <c r="A10" s="7" t="s">
        <v>10</v>
      </c>
      <c r="B10" s="21">
        <f t="shared" si="0"/>
        <v>9</v>
      </c>
      <c r="C10" s="21">
        <v>11</v>
      </c>
      <c r="D10" s="21">
        <v>2021</v>
      </c>
      <c r="E10" s="12">
        <f>IF(('DAILY READINGS'!B15-'DAILY READINGS'!B14)&gt;0,('DAILY READINGS'!B15-'DAILY READINGS'!B14),0)</f>
        <v>2588</v>
      </c>
      <c r="F10" s="12">
        <f>IF(('DAILY READINGS'!D15-'DAILY READINGS'!D14)&gt;0,('DAILY READINGS'!D15-'DAILY READINGS'!D14),0)</f>
        <v>42</v>
      </c>
      <c r="G10" s="12">
        <f>IF(('DAILY READINGS'!E15-'DAILY READINGS'!E14)&gt;0,('DAILY READINGS'!E15-'DAILY READINGS'!E14),0)</f>
        <v>63</v>
      </c>
      <c r="H10" s="12">
        <f>IF(('DAILY READINGS'!F15-'DAILY READINGS'!F14)&gt;0,('DAILY READINGS'!F15-'DAILY READINGS'!F14),0)</f>
        <v>1</v>
      </c>
      <c r="I10" s="12">
        <f>IF(('DAILY READINGS'!G15-'DAILY READINGS'!G14)&gt;0,('DAILY READINGS'!G15-'DAILY READINGS'!G14),0)</f>
        <v>5</v>
      </c>
      <c r="J10" s="12">
        <f>IF(('DAILY READINGS'!H16-'DAILY READINGS'!H14)&gt;0,('DAILY READINGS'!H16-'DAILY READINGS'!H14),0)</f>
        <v>0</v>
      </c>
      <c r="K10" s="12">
        <f>IF(('DAILY READINGS'!I16-'DAILY READINGS'!I14)&gt;0,('DAILY READINGS'!I16-'DAILY READINGS'!I14),0)</f>
        <v>1</v>
      </c>
      <c r="L10" s="12">
        <f>IF(('DAILY READINGS'!J15-'DAILY READINGS'!J14)&gt;0,('DAILY READINGS'!J15-'DAILY READINGS'!J14),0)</f>
        <v>11</v>
      </c>
    </row>
    <row r="11" spans="1:12">
      <c r="A11" s="7" t="s">
        <v>10</v>
      </c>
      <c r="B11" s="21">
        <f t="shared" si="0"/>
        <v>10</v>
      </c>
      <c r="C11" s="21">
        <v>11</v>
      </c>
      <c r="D11" s="21">
        <v>2021</v>
      </c>
      <c r="E11" s="12">
        <f>IF(('DAILY READINGS'!B16-'DAILY READINGS'!B15)&gt;0,('DAILY READINGS'!B16-'DAILY READINGS'!B15),0)</f>
        <v>2742</v>
      </c>
      <c r="F11" s="12">
        <f>IF(('DAILY READINGS'!D16-'DAILY READINGS'!D15)&gt;0,('DAILY READINGS'!D16-'DAILY READINGS'!D15),0)</f>
        <v>41</v>
      </c>
      <c r="G11" s="12">
        <f>IF(('DAILY READINGS'!E16-'DAILY READINGS'!E15)&gt;0,('DAILY READINGS'!E16-'DAILY READINGS'!E15),0)</f>
        <v>60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</v>
      </c>
    </row>
    <row r="12" spans="1:12">
      <c r="A12" s="7" t="s">
        <v>10</v>
      </c>
      <c r="B12" s="21">
        <f t="shared" si="0"/>
        <v>11</v>
      </c>
      <c r="C12" s="21">
        <v>11</v>
      </c>
      <c r="D12" s="21">
        <v>2021</v>
      </c>
      <c r="E12" s="12">
        <f>IF(('DAILY READINGS'!B17-'DAILY READINGS'!B16)&gt;0,('DAILY READINGS'!B17-'DAILY READINGS'!B16),0)</f>
        <v>2606</v>
      </c>
      <c r="F12" s="12">
        <f>IF(('DAILY READINGS'!D17-'DAILY READINGS'!D16)&gt;0,('DAILY READINGS'!D17-'DAILY READINGS'!D16),0)</f>
        <v>41</v>
      </c>
      <c r="G12" s="12">
        <f>IF(('DAILY READINGS'!E17-'DAILY READINGS'!E16)&gt;0,('DAILY READINGS'!E17-'DAILY READINGS'!E16),0)</f>
        <v>64</v>
      </c>
      <c r="H12" s="12">
        <f>IF(('DAILY READINGS'!F17-'DAILY READINGS'!F16)&gt;0,('DAILY READINGS'!F17-'DAILY READINGS'!F16),0)</f>
        <v>1</v>
      </c>
      <c r="I12" s="12">
        <f>IF(('DAILY READINGS'!G17-'DAILY READINGS'!G16)&gt;0,('DAILY READINGS'!G17-'DAILY READINGS'!G16),0)</f>
        <v>4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0</v>
      </c>
      <c r="L12" s="12">
        <f>IF(('DAILY READINGS'!J17-'DAILY READINGS'!J16)&gt;0,('DAILY READINGS'!J17-'DAILY READINGS'!J16),0)</f>
        <v>5</v>
      </c>
    </row>
    <row r="13" spans="1:12">
      <c r="A13" s="7" t="s">
        <v>10</v>
      </c>
      <c r="B13" s="21">
        <f t="shared" si="0"/>
        <v>12</v>
      </c>
      <c r="C13" s="21">
        <v>11</v>
      </c>
      <c r="D13" s="21">
        <v>2021</v>
      </c>
      <c r="E13" s="12">
        <f>IF(('DAILY READINGS'!B18-'DAILY READINGS'!B17)&gt;0,('DAILY READINGS'!B18-'DAILY READINGS'!B17),0)</f>
        <v>2558</v>
      </c>
      <c r="F13" s="12">
        <f>IF(('DAILY READINGS'!D18-'DAILY READINGS'!D17)&gt;0,('DAILY READINGS'!D18-'DAILY READINGS'!D17),0)</f>
        <v>38</v>
      </c>
      <c r="G13" s="12">
        <f>IF(('DAILY READINGS'!E18-'DAILY READINGS'!E17)&gt;0,('DAILY READINGS'!E18-'DAILY READINGS'!E17),0)</f>
        <v>65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0</v>
      </c>
      <c r="L13" s="12">
        <f>IF(('DAILY READINGS'!J18-'DAILY READINGS'!J17)&gt;0,('DAILY READINGS'!J18-'DAILY READINGS'!J17),0)</f>
        <v>6</v>
      </c>
    </row>
    <row r="14" spans="1:12">
      <c r="A14" s="7" t="s">
        <v>10</v>
      </c>
      <c r="B14" s="21">
        <f t="shared" si="0"/>
        <v>13</v>
      </c>
      <c r="C14" s="21">
        <v>11</v>
      </c>
      <c r="D14" s="21">
        <v>2021</v>
      </c>
      <c r="E14" s="12">
        <f>IF(('DAILY READINGS'!B19-'DAILY READINGS'!B18)&gt;0,('DAILY READINGS'!B19-'DAILY READINGS'!B18),0)</f>
        <v>0</v>
      </c>
      <c r="F14" s="12">
        <f>IF(('DAILY READINGS'!D19-'DAILY READINGS'!D18)&gt;0,('DAILY READINGS'!D19-'DAILY READINGS'!D18),0)</f>
        <v>0</v>
      </c>
      <c r="G14" s="12">
        <f>IF(('DAILY READINGS'!E19-'DAILY READINGS'!E18)&gt;0,('DAILY READINGS'!E19-'DAILY READINGS'!E18),0)</f>
        <v>0</v>
      </c>
      <c r="H14" s="12">
        <f>IF(('DAILY READINGS'!F19-'DAILY READINGS'!F18)&gt;0,('DAILY READINGS'!F19-'DAILY READINGS'!F18),0)</f>
        <v>0</v>
      </c>
      <c r="I14" s="12">
        <f>IF(('DAILY READINGS'!G19-'DAILY READINGS'!G18)&gt;0,('DAILY READINGS'!G19-'DAILY READINGS'!G18),0)</f>
        <v>0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0</v>
      </c>
    </row>
    <row r="15" spans="1:12">
      <c r="A15" s="7" t="s">
        <v>10</v>
      </c>
      <c r="B15" s="21">
        <f t="shared" si="0"/>
        <v>14</v>
      </c>
      <c r="C15" s="21">
        <v>11</v>
      </c>
      <c r="D15" s="21">
        <v>2021</v>
      </c>
      <c r="E15" s="12">
        <f>IF(('DAILY READINGS'!B20-'DAILY READINGS'!B19)&gt;0,('DAILY READINGS'!B20-'DAILY READINGS'!B19),0)</f>
        <v>0</v>
      </c>
      <c r="F15" s="12">
        <f>IF(('DAILY READINGS'!D20-'DAILY READINGS'!D19)&gt;0,('DAILY READINGS'!D20-'DAILY READINGS'!D19),0)</f>
        <v>0</v>
      </c>
      <c r="G15" s="12">
        <f>IF(('DAILY READINGS'!E20-'DAILY READINGS'!E19)&gt;0,('DAILY READINGS'!E20-'DAILY READINGS'!E19),0)</f>
        <v>0</v>
      </c>
      <c r="H15" s="12">
        <f>IF(('DAILY READINGS'!F20-'DAILY READINGS'!F19)&gt;0,('DAILY READINGS'!F20-'DAILY READINGS'!F19),0)</f>
        <v>0</v>
      </c>
      <c r="I15" s="12">
        <f>IF(('DAILY READINGS'!G20-'DAILY READINGS'!G19)&gt;0,('DAILY READINGS'!G20-'DAILY READINGS'!G19),0)</f>
        <v>0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0</v>
      </c>
      <c r="L15" s="12">
        <f>IF(('DAILY READINGS'!J20-'DAILY READINGS'!J19)&gt;0,('DAILY READINGS'!J20-'DAILY READINGS'!J19),0)</f>
        <v>0</v>
      </c>
    </row>
    <row r="16" spans="1:12">
      <c r="A16" s="7" t="s">
        <v>10</v>
      </c>
      <c r="B16" s="21">
        <f t="shared" si="0"/>
        <v>15</v>
      </c>
      <c r="C16" s="21">
        <v>11</v>
      </c>
      <c r="D16" s="21">
        <v>2021</v>
      </c>
      <c r="E16" s="12">
        <f>IF(('DAILY READINGS'!B21-'DAILY READINGS'!B20)&gt;0,('DAILY READINGS'!B21-'DAILY READINGS'!B20),0)</f>
        <v>0</v>
      </c>
      <c r="F16" s="12">
        <f>IF(('DAILY READINGS'!D21-'DAILY READINGS'!D20)&gt;0,('DAILY READINGS'!D21-'DAILY READINGS'!D20),0)</f>
        <v>115</v>
      </c>
      <c r="G16" s="12">
        <f>IF(('DAILY READINGS'!E21-'DAILY READINGS'!E20)&gt;0,('DAILY READINGS'!E21-'DAILY READINGS'!E20),0)</f>
        <v>184</v>
      </c>
      <c r="H16" s="12">
        <f>IF(('DAILY READINGS'!F21-'DAILY READINGS'!F20)&gt;0,('DAILY READINGS'!F21-'DAILY READINGS'!F20),0)</f>
        <v>2</v>
      </c>
      <c r="I16" s="12">
        <f>IF(('DAILY READINGS'!G21-'DAILY READINGS'!G20)&gt;0,('DAILY READINGS'!G21-'DAILY READINGS'!G20),0)</f>
        <v>8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9</v>
      </c>
    </row>
    <row r="17" spans="1:12">
      <c r="A17" s="7" t="s">
        <v>10</v>
      </c>
      <c r="B17" s="21">
        <f t="shared" si="0"/>
        <v>16</v>
      </c>
      <c r="C17" s="21">
        <v>11</v>
      </c>
      <c r="D17" s="21">
        <v>2021</v>
      </c>
      <c r="E17" s="12">
        <f>IF(('DAILY READINGS'!B22-'DAILY READINGS'!B21)&gt;0,('DAILY READINGS'!B22-'DAILY READINGS'!B21),0)</f>
        <v>10170</v>
      </c>
      <c r="F17" s="12">
        <f>IF(('DAILY READINGS'!D22-'DAILY READINGS'!D21)&gt;0,('DAILY READINGS'!D22-'DAILY READINGS'!D21),0)</f>
        <v>50</v>
      </c>
      <c r="G17" s="12">
        <f>IF(('DAILY READINGS'!E22-'DAILY READINGS'!E21)&gt;0,('DAILY READINGS'!E22-'DAILY READINGS'!E21),0)</f>
        <v>68</v>
      </c>
      <c r="H17" s="12">
        <f>IF(('DAILY READINGS'!F22-'DAILY READINGS'!F21)&gt;0,('DAILY READINGS'!F22-'DAILY READINGS'!F21),0)</f>
        <v>1</v>
      </c>
      <c r="I17" s="12">
        <f>IF(('DAILY READINGS'!G22-'DAILY READINGS'!G21)&gt;0,('DAILY READINGS'!G22-'DAILY READINGS'!G21),0)</f>
        <v>3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0</v>
      </c>
      <c r="L17" s="12">
        <f>IF(('DAILY READINGS'!J22-'DAILY READINGS'!J21)&gt;0,('DAILY READINGS'!J22-'DAILY READINGS'!J21),0)</f>
        <v>1</v>
      </c>
    </row>
    <row r="18" spans="1:12">
      <c r="A18" s="7" t="s">
        <v>10</v>
      </c>
      <c r="B18" s="21">
        <f t="shared" si="0"/>
        <v>17</v>
      </c>
      <c r="C18" s="21">
        <v>11</v>
      </c>
      <c r="D18" s="21">
        <v>2021</v>
      </c>
      <c r="E18" s="12">
        <f>IF(('DAILY READINGS'!B23-'DAILY READINGS'!B22)&gt;0,('DAILY READINGS'!B23-'DAILY READINGS'!B22),0)</f>
        <v>2892</v>
      </c>
      <c r="F18" s="12">
        <f>IF(('DAILY READINGS'!D23-'DAILY READINGS'!D22)&gt;0,('DAILY READINGS'!D23-'DAILY READINGS'!D22),0)</f>
        <v>49</v>
      </c>
      <c r="G18" s="12">
        <f>IF(('DAILY READINGS'!E23-'DAILY READINGS'!E22)&gt;0,('DAILY READINGS'!E23-'DAILY READINGS'!E22),0)</f>
        <v>73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5</v>
      </c>
    </row>
    <row r="19" spans="1:12">
      <c r="A19" s="7" t="s">
        <v>10</v>
      </c>
      <c r="B19" s="21">
        <f t="shared" si="0"/>
        <v>18</v>
      </c>
      <c r="C19" s="21">
        <v>11</v>
      </c>
      <c r="D19" s="21">
        <v>2021</v>
      </c>
      <c r="E19" s="12">
        <f>IF(('DAILY READINGS'!B24-'DAILY READINGS'!B23)&gt;0,('DAILY READINGS'!B24-'DAILY READINGS'!B23),0)</f>
        <v>1738</v>
      </c>
      <c r="F19" s="12">
        <f>IF(('DAILY READINGS'!D24-'DAILY READINGS'!D23)&gt;0,('DAILY READINGS'!D24-'DAILY READINGS'!D23),0)</f>
        <v>35</v>
      </c>
      <c r="G19" s="12">
        <f>IF(('DAILY READINGS'!E24-'DAILY READINGS'!E23)&gt;0,('DAILY READINGS'!E24-'DAILY READINGS'!E23),0)</f>
        <v>52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1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2</v>
      </c>
    </row>
    <row r="20" spans="1:12">
      <c r="A20" s="7" t="s">
        <v>10</v>
      </c>
      <c r="B20" s="21">
        <f t="shared" si="0"/>
        <v>19</v>
      </c>
      <c r="C20" s="21">
        <v>11</v>
      </c>
      <c r="D20" s="21">
        <v>2021</v>
      </c>
      <c r="E20" s="12">
        <f>IF(('DAILY READINGS'!B25-'DAILY READINGS'!B24)&gt;0,('DAILY READINGS'!B25-'DAILY READINGS'!B24),0)</f>
        <v>2122</v>
      </c>
      <c r="F20" s="12">
        <f>IF(('DAILY READINGS'!D25-'DAILY READINGS'!D24)&gt;0,('DAILY READINGS'!D25-'DAILY READINGS'!D24),0)</f>
        <v>41</v>
      </c>
      <c r="G20" s="12">
        <f>IF(('DAILY READINGS'!E25-'DAILY READINGS'!E24)&gt;0,('DAILY READINGS'!E25-'DAILY READINGS'!E24),0)</f>
        <v>57</v>
      </c>
      <c r="H20" s="12">
        <f>IF(('DAILY READINGS'!F25-'DAILY READINGS'!F24)&gt;0,('DAILY READINGS'!F25-'DAILY READINGS'!F24),0)</f>
        <v>1</v>
      </c>
      <c r="I20" s="12">
        <f>IF(('DAILY READINGS'!G25-'DAILY READINGS'!G24)&gt;0,('DAILY READINGS'!G25-'DAILY READINGS'!G24),0)</f>
        <v>3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3</v>
      </c>
    </row>
    <row r="21" spans="1:12">
      <c r="A21" s="7" t="s">
        <v>10</v>
      </c>
      <c r="B21" s="21">
        <f t="shared" si="0"/>
        <v>20</v>
      </c>
      <c r="C21" s="21">
        <v>11</v>
      </c>
      <c r="D21" s="21">
        <v>2021</v>
      </c>
      <c r="E21" s="12">
        <f>IF(('DAILY READINGS'!B26-'DAILY READINGS'!B25)&gt;0,('DAILY READINGS'!B26-'DAILY READINGS'!B25),0)</f>
        <v>0</v>
      </c>
      <c r="F21" s="12">
        <f>IF(('DAILY READINGS'!D26-'DAILY READINGS'!D25)&gt;0,('DAILY READINGS'!D26-'DAILY READINGS'!D25),0)</f>
        <v>0</v>
      </c>
      <c r="G21" s="12">
        <f>IF(('DAILY READINGS'!E26-'DAILY READINGS'!E25)&gt;0,('DAILY READINGS'!E26-'DAILY READINGS'!E25),0)</f>
        <v>0</v>
      </c>
      <c r="H21" s="12">
        <f>IF(('DAILY READINGS'!F26-'DAILY READINGS'!F25)&gt;0,('DAILY READINGS'!F26-'DAILY READINGS'!F25),0)</f>
        <v>0</v>
      </c>
      <c r="I21" s="12">
        <f>IF(('DAILY READINGS'!G26-'DAILY READINGS'!G25)&gt;0,('DAILY READINGS'!G26-'DAILY READINGS'!G25),0)</f>
        <v>0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0</v>
      </c>
    </row>
    <row r="22" spans="1:12">
      <c r="A22" s="7" t="s">
        <v>10</v>
      </c>
      <c r="B22" s="21">
        <f t="shared" si="0"/>
        <v>21</v>
      </c>
      <c r="C22" s="21">
        <v>11</v>
      </c>
      <c r="D22" s="21">
        <v>2021</v>
      </c>
      <c r="E22" s="12">
        <f>IF(('DAILY READINGS'!B27-'DAILY READINGS'!B26)&gt;0,('DAILY READINGS'!B27-'DAILY READINGS'!B26),0)</f>
        <v>0</v>
      </c>
      <c r="F22" s="12">
        <f>IF(('DAILY READINGS'!D27-'DAILY READINGS'!D26)&gt;0,('DAILY READINGS'!D27-'DAILY READINGS'!D26),0)</f>
        <v>0</v>
      </c>
      <c r="G22" s="12">
        <f>IF(('DAILY READINGS'!E27-'DAILY READINGS'!E26)&gt;0,('DAILY READINGS'!E27-'DAILY READINGS'!E26),0)</f>
        <v>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0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0</v>
      </c>
      <c r="L22" s="12">
        <f>IF(('DAILY READINGS'!J27-'DAILY READINGS'!J26)&gt;0,('DAILY READINGS'!J27-'DAILY READINGS'!J26),0)</f>
        <v>0</v>
      </c>
    </row>
    <row r="23" spans="1:12">
      <c r="A23" s="7" t="s">
        <v>10</v>
      </c>
      <c r="B23" s="21">
        <f t="shared" si="0"/>
        <v>22</v>
      </c>
      <c r="C23" s="21">
        <v>11</v>
      </c>
      <c r="D23" s="21">
        <v>2021</v>
      </c>
      <c r="E23" s="12">
        <f>IF(('DAILY READINGS'!B28-'DAILY READINGS'!B27)&gt;0,('DAILY READINGS'!B28-'DAILY READINGS'!B27),0)</f>
        <v>5896</v>
      </c>
      <c r="F23" s="12">
        <f>IF(('DAILY READINGS'!D28-'DAILY READINGS'!D27)&gt;0,('DAILY READINGS'!D28-'DAILY READINGS'!D27),0)</f>
        <v>128</v>
      </c>
      <c r="G23" s="12">
        <f>IF(('DAILY READINGS'!E28-'DAILY READINGS'!E27)&gt;0,('DAILY READINGS'!E28-'DAILY READINGS'!E27),0)</f>
        <v>185</v>
      </c>
      <c r="H23" s="12">
        <f>IF(('DAILY READINGS'!F28-'DAILY READINGS'!F27)&gt;0,('DAILY READINGS'!F28-'DAILY READINGS'!F27),0)</f>
        <v>2</v>
      </c>
      <c r="I23" s="12">
        <f>IF(('DAILY READINGS'!G28-'DAILY READINGS'!G27)&gt;0,('DAILY READINGS'!G28-'DAILY READINGS'!G27),0)</f>
        <v>10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4</v>
      </c>
    </row>
    <row r="24" spans="1:12">
      <c r="A24" s="7" t="s">
        <v>10</v>
      </c>
      <c r="B24" s="21">
        <f t="shared" si="0"/>
        <v>23</v>
      </c>
      <c r="C24" s="21">
        <v>11</v>
      </c>
      <c r="D24" s="21">
        <v>2021</v>
      </c>
      <c r="E24" s="12">
        <f>IF(('DAILY READINGS'!B29-'DAILY READINGS'!B28)&gt;0,('DAILY READINGS'!B29-'DAILY READINGS'!B28),0)</f>
        <v>2172</v>
      </c>
      <c r="F24" s="12">
        <f>IF(('DAILY READINGS'!D29-'DAILY READINGS'!D28)&gt;0,('DAILY READINGS'!D29-'DAILY READINGS'!D28),0)</f>
        <v>44</v>
      </c>
      <c r="G24" s="12">
        <f>IF(('DAILY READINGS'!E29-'DAILY READINGS'!E28)&gt;0,('DAILY READINGS'!E29-'DAILY READINGS'!E28),0)</f>
        <v>62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2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2</v>
      </c>
    </row>
    <row r="25" spans="1:12">
      <c r="A25" s="7" t="s">
        <v>10</v>
      </c>
      <c r="B25" s="21">
        <f t="shared" si="0"/>
        <v>24</v>
      </c>
      <c r="C25" s="21">
        <v>11</v>
      </c>
      <c r="D25" s="21">
        <v>2021</v>
      </c>
      <c r="E25" s="12">
        <f>IF(('DAILY READINGS'!B30-'DAILY READINGS'!B29)&gt;0,('DAILY READINGS'!B30-'DAILY READINGS'!B29),0)</f>
        <v>1994</v>
      </c>
      <c r="F25" s="12">
        <f>IF(('DAILY READINGS'!D30-'DAILY READINGS'!D29)&gt;0,('DAILY READINGS'!D30-'DAILY READINGS'!D29),0)</f>
        <v>32</v>
      </c>
      <c r="G25" s="12">
        <f>IF(('DAILY READINGS'!E30-'DAILY READINGS'!E29)&gt;0,('DAILY READINGS'!E30-'DAILY READINGS'!E29),0)</f>
        <v>62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0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1</v>
      </c>
      <c r="L25" s="12">
        <f>IF(('DAILY READINGS'!J30-'DAILY READINGS'!J29)&gt;0,('DAILY READINGS'!J30-'DAILY READINGS'!J29),0)</f>
        <v>6</v>
      </c>
    </row>
    <row r="26" spans="1:12">
      <c r="A26" s="7" t="s">
        <v>10</v>
      </c>
      <c r="B26" s="21">
        <f>B25+1</f>
        <v>25</v>
      </c>
      <c r="C26" s="21">
        <v>11</v>
      </c>
      <c r="D26" s="21">
        <v>2021</v>
      </c>
      <c r="E26" s="12">
        <f>IF(('DAILY READINGS'!B31-'DAILY READINGS'!B30)&gt;0,('DAILY READINGS'!B31-'DAILY READINGS'!B30),0)</f>
        <v>1828</v>
      </c>
      <c r="F26" s="12">
        <f>IF(('DAILY READINGS'!D31-'DAILY READINGS'!D30)&gt;0,('DAILY READINGS'!D31-'DAILY READINGS'!D30),0)</f>
        <v>31</v>
      </c>
      <c r="G26" s="12">
        <f>IF(('DAILY READINGS'!E31-'DAILY READINGS'!E30)&gt;0,('DAILY READINGS'!E31-'DAILY READINGS'!E30),0)</f>
        <v>65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2</v>
      </c>
    </row>
    <row r="27" spans="1:12">
      <c r="A27" s="7" t="s">
        <v>10</v>
      </c>
      <c r="B27" s="21">
        <f t="shared" si="0"/>
        <v>26</v>
      </c>
      <c r="C27" s="21">
        <v>11</v>
      </c>
      <c r="D27" s="21">
        <v>2021</v>
      </c>
      <c r="E27" s="12">
        <f>IF(('DAILY READINGS'!B32-'DAILY READINGS'!B31)&gt;0,('DAILY READINGS'!B32-'DAILY READINGS'!B31),0)</f>
        <v>1902</v>
      </c>
      <c r="F27" s="12">
        <f>IF(('DAILY READINGS'!D32-'DAILY READINGS'!D31)&gt;0,('DAILY READINGS'!D32-'DAILY READINGS'!D31),0)</f>
        <v>27</v>
      </c>
      <c r="G27" s="12">
        <f>IF(('DAILY READINGS'!E32-'DAILY READINGS'!E31)&gt;0,('DAILY READINGS'!E32-'DAILY READINGS'!E31),0)</f>
        <v>64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0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0</v>
      </c>
      <c r="L27" s="12">
        <f>IF(('DAILY READINGS'!J32-'DAILY READINGS'!J31)&gt;0,('DAILY READINGS'!J32-'DAILY READINGS'!J31),0)</f>
        <v>0</v>
      </c>
    </row>
    <row r="28" spans="1:12">
      <c r="A28" s="7" t="s">
        <v>10</v>
      </c>
      <c r="B28" s="21">
        <f t="shared" si="0"/>
        <v>27</v>
      </c>
      <c r="C28" s="21">
        <v>11</v>
      </c>
      <c r="D28" s="21">
        <v>2021</v>
      </c>
      <c r="E28" s="12">
        <f>IF(('DAILY READINGS'!B33-'DAILY READINGS'!B32)&gt;0,('DAILY READINGS'!B33-'DAILY READINGS'!B32),0)</f>
        <v>10</v>
      </c>
      <c r="F28" s="12">
        <f>IF(('DAILY READINGS'!D33-'DAILY READINGS'!D32)&gt;0,('DAILY READINGS'!D33-'DAILY READINGS'!D32),0)</f>
        <v>0</v>
      </c>
      <c r="G28" s="12">
        <f>IF(('DAILY READINGS'!E33-'DAILY READINGS'!E32)&gt;0,('DAILY READINGS'!E33-'DAILY READINGS'!E32),0)</f>
        <v>0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0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0</v>
      </c>
    </row>
    <row r="29" spans="1:12">
      <c r="A29" s="7" t="s">
        <v>10</v>
      </c>
      <c r="B29" s="21">
        <f t="shared" si="0"/>
        <v>28</v>
      </c>
      <c r="C29" s="21">
        <v>11</v>
      </c>
      <c r="D29" s="21">
        <v>2021</v>
      </c>
      <c r="E29" s="12">
        <f>IF(('DAILY READINGS'!B34-'DAILY READINGS'!B33)&gt;0,('DAILY READINGS'!B34-'DAILY READINGS'!B33),0)</f>
        <v>10</v>
      </c>
      <c r="F29" s="12">
        <f>IF(('DAILY READINGS'!D34-'DAILY READINGS'!D33)&gt;0,('DAILY READINGS'!D34-'DAILY READINGS'!D33),0)</f>
        <v>0</v>
      </c>
      <c r="G29" s="12">
        <f>IF(('DAILY READINGS'!E34-'DAILY READINGS'!E33)&gt;0,('DAILY READINGS'!E34-'DAILY READINGS'!E33),0)</f>
        <v>0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0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0</v>
      </c>
      <c r="L29" s="12">
        <f>IF(('DAILY READINGS'!J34-'DAILY READINGS'!J33)&gt;0,('DAILY READINGS'!J34-'DAILY READINGS'!J33),0)</f>
        <v>0</v>
      </c>
    </row>
    <row r="30" spans="1:12">
      <c r="A30" s="7" t="s">
        <v>10</v>
      </c>
      <c r="B30" s="21">
        <f t="shared" si="0"/>
        <v>29</v>
      </c>
      <c r="C30" s="21">
        <v>11</v>
      </c>
      <c r="D30" s="21">
        <v>2021</v>
      </c>
      <c r="E30" s="12">
        <f>IF(('DAILY READINGS'!B35-'DAILY READINGS'!B34)&gt;0,('DAILY READINGS'!B35-'DAILY READINGS'!B34),0)</f>
        <v>5344</v>
      </c>
      <c r="F30" s="12">
        <f>IF(('DAILY READINGS'!D35-'DAILY READINGS'!D34)&gt;0,('DAILY READINGS'!D35-'DAILY READINGS'!D34),0)</f>
        <v>53</v>
      </c>
      <c r="G30" s="12">
        <f>IF(('DAILY READINGS'!E35-'DAILY READINGS'!E34)&gt;0,('DAILY READINGS'!E35-'DAILY READINGS'!E34),0)</f>
        <v>197</v>
      </c>
      <c r="H30" s="12">
        <f>IF(('DAILY READINGS'!F35-'DAILY READINGS'!F34)&gt;0,('DAILY READINGS'!F35-'DAILY READINGS'!F34),0)</f>
        <v>2</v>
      </c>
      <c r="I30" s="12">
        <f>IF(('DAILY READINGS'!G35-'DAILY READINGS'!G34)&gt;0,('DAILY READINGS'!G35-'DAILY READINGS'!G34),0)</f>
        <v>1</v>
      </c>
      <c r="J30" s="12">
        <f>IF(('DAILY READINGS'!H35-'DAILY READINGS'!H34)&gt;0,('DAILY READINGS'!H35-'DAILY READINGS'!H34),0)</f>
        <v>0</v>
      </c>
      <c r="K30" s="12">
        <f>IF(('DAILY READINGS'!I35-'DAILY READINGS'!I34)&gt;0,('DAILY READINGS'!I35-'DAILY READINGS'!I34),0)</f>
        <v>0</v>
      </c>
      <c r="L30" s="12">
        <f>IF(('DAILY READINGS'!J35-'DAILY READINGS'!J34)&gt;0,('DAILY READINGS'!J35-'DAILY READINGS'!J34),0)</f>
        <v>2</v>
      </c>
    </row>
    <row r="31" spans="1:12">
      <c r="A31" s="7" t="s">
        <v>10</v>
      </c>
      <c r="B31" s="21">
        <f t="shared" si="0"/>
        <v>30</v>
      </c>
      <c r="C31" s="21">
        <v>11</v>
      </c>
      <c r="D31" s="21">
        <v>2021</v>
      </c>
      <c r="E31" s="12">
        <f>IF(('DAILY READINGS'!B36-'DAILY READINGS'!B35)&gt;0,('DAILY READINGS'!B36-'DAILY READINGS'!B35),0)</f>
        <v>2510</v>
      </c>
      <c r="F31" s="12">
        <f>IF(('DAILY READINGS'!D36-'DAILY READINGS'!D35)&gt;0,('DAILY READINGS'!D36-'DAILY READINGS'!D35),0)</f>
        <v>25</v>
      </c>
      <c r="G31" s="12">
        <f>IF(('DAILY READINGS'!E36-'DAILY READINGS'!E35)&gt;0,('DAILY READINGS'!E36-'DAILY READINGS'!E35),0)</f>
        <v>66</v>
      </c>
      <c r="H31" s="12">
        <f>IF(('DAILY READINGS'!F36-'DAILY READINGS'!F35)&gt;0,('DAILY READINGS'!F36-'DAILY READINGS'!F35),0)</f>
        <v>1</v>
      </c>
      <c r="I31" s="12">
        <f>IF(('DAILY READINGS'!G36-'DAILY READINGS'!G35)&gt;0,('DAILY READINGS'!G36-'DAILY READINGS'!G35),0)</f>
        <v>0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abSelected="1" topLeftCell="A28" workbookViewId="0">
      <selection activeCell="J32" sqref="J32:J34"/>
    </sheetView>
  </sheetViews>
  <sheetFormatPr defaultRowHeight="15"/>
  <cols>
    <col min="1" max="1" width="7.140625" customWidth="1"/>
    <col min="2" max="3" width="14.28515625" customWidth="1"/>
    <col min="4" max="5" width="11.42578125" customWidth="1"/>
    <col min="6" max="6" width="15" customWidth="1"/>
    <col min="7" max="7" width="19.7109375" customWidth="1"/>
    <col min="8" max="8" width="16.42578125" customWidth="1"/>
    <col min="9" max="9" width="18.5703125" customWidth="1"/>
    <col min="10" max="10" width="19" customWidth="1"/>
  </cols>
  <sheetData>
    <row r="1" spans="1:12" ht="31.5">
      <c r="C1" s="6" t="s">
        <v>19</v>
      </c>
    </row>
    <row r="3" spans="1:12">
      <c r="C3" s="2" t="s">
        <v>20</v>
      </c>
    </row>
    <row r="5" spans="1:12" ht="78" customHeight="1">
      <c r="A5" s="32" t="s">
        <v>21</v>
      </c>
      <c r="B5" s="37" t="s">
        <v>22</v>
      </c>
      <c r="C5" s="38"/>
      <c r="D5" s="4" t="s">
        <v>12</v>
      </c>
      <c r="E5" s="4" t="s">
        <v>13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</row>
    <row r="6" spans="1:12">
      <c r="A6" s="3">
        <v>31</v>
      </c>
      <c r="B6" s="28">
        <f>(1298531*2)</f>
        <v>2597062</v>
      </c>
      <c r="C6" s="29">
        <v>466392</v>
      </c>
      <c r="D6" s="29">
        <v>9616</v>
      </c>
      <c r="E6" s="29">
        <v>16067</v>
      </c>
      <c r="F6" s="29">
        <v>6569</v>
      </c>
      <c r="G6" s="29">
        <v>66718</v>
      </c>
      <c r="H6" s="30">
        <v>49451</v>
      </c>
      <c r="I6" s="30">
        <v>45031</v>
      </c>
      <c r="J6" s="29">
        <v>44968</v>
      </c>
      <c r="K6" s="4"/>
      <c r="L6" s="4"/>
    </row>
    <row r="7" spans="1:12" ht="22.5" customHeight="1">
      <c r="A7" s="26">
        <v>1</v>
      </c>
      <c r="B7" s="31">
        <f>(1299600*2)</f>
        <v>2599200</v>
      </c>
      <c r="C7" s="25">
        <v>466462</v>
      </c>
      <c r="D7" s="3">
        <v>9652</v>
      </c>
      <c r="E7" s="3">
        <v>16142</v>
      </c>
      <c r="F7" s="3">
        <v>6569</v>
      </c>
      <c r="G7" s="3">
        <v>66723</v>
      </c>
      <c r="H7" s="3">
        <v>49451</v>
      </c>
      <c r="I7" s="3">
        <v>45031</v>
      </c>
      <c r="J7" s="3">
        <v>44974</v>
      </c>
      <c r="K7" s="25">
        <v>0</v>
      </c>
      <c r="L7" s="25">
        <v>0</v>
      </c>
    </row>
    <row r="8" spans="1:12" ht="22.5" customHeight="1">
      <c r="A8" s="26">
        <v>2</v>
      </c>
      <c r="B8" s="25">
        <f>2*1301264</f>
        <v>2602528</v>
      </c>
      <c r="C8" s="25">
        <v>466573</v>
      </c>
      <c r="D8" s="3">
        <v>9696</v>
      </c>
      <c r="E8" s="3">
        <v>16190</v>
      </c>
      <c r="F8" s="3">
        <v>6569</v>
      </c>
      <c r="G8" s="3">
        <v>66728</v>
      </c>
      <c r="H8" s="3">
        <v>49451</v>
      </c>
      <c r="I8" s="3">
        <v>45031</v>
      </c>
      <c r="J8" s="3">
        <v>44980</v>
      </c>
      <c r="K8" s="25">
        <v>0</v>
      </c>
      <c r="L8" s="25">
        <v>0</v>
      </c>
    </row>
    <row r="9" spans="1:12" ht="22.5" customHeight="1">
      <c r="A9" s="26">
        <v>3</v>
      </c>
      <c r="B9" s="25">
        <f>2*1302670</f>
        <v>2605340</v>
      </c>
      <c r="C9" s="25">
        <v>466609</v>
      </c>
      <c r="D9" s="3">
        <v>9745</v>
      </c>
      <c r="E9" s="3">
        <v>16262</v>
      </c>
      <c r="F9" s="3">
        <v>6570</v>
      </c>
      <c r="G9" s="3">
        <v>66737</v>
      </c>
      <c r="H9" s="3">
        <v>49451</v>
      </c>
      <c r="I9" s="3">
        <v>45031</v>
      </c>
      <c r="J9" s="3">
        <v>44986</v>
      </c>
      <c r="K9" s="25">
        <v>0</v>
      </c>
      <c r="L9" s="25">
        <v>0</v>
      </c>
    </row>
    <row r="10" spans="1:12" ht="22.5" customHeight="1">
      <c r="A10" s="26">
        <v>4</v>
      </c>
      <c r="B10" s="25">
        <f>(2*1304138)</f>
        <v>2608276</v>
      </c>
      <c r="C10" s="25">
        <v>466660</v>
      </c>
      <c r="D10" s="3">
        <v>9791</v>
      </c>
      <c r="E10" s="3">
        <v>16332</v>
      </c>
      <c r="F10" s="3">
        <v>6571</v>
      </c>
      <c r="G10" s="3">
        <v>66744</v>
      </c>
      <c r="H10" s="3">
        <v>49451</v>
      </c>
      <c r="I10" s="3">
        <v>45031</v>
      </c>
      <c r="J10" s="3">
        <v>44992</v>
      </c>
      <c r="K10" s="25">
        <v>0</v>
      </c>
      <c r="L10" s="25">
        <v>0</v>
      </c>
    </row>
    <row r="11" spans="1:12" ht="22.5" customHeight="1">
      <c r="A11" s="26">
        <v>5</v>
      </c>
      <c r="B11" s="25">
        <f>(1306002*2)</f>
        <v>2612004</v>
      </c>
      <c r="C11" s="25">
        <v>466754</v>
      </c>
      <c r="D11" s="3">
        <v>9866</v>
      </c>
      <c r="E11" s="3">
        <v>16429</v>
      </c>
      <c r="F11" s="3">
        <v>6572</v>
      </c>
      <c r="G11" s="3">
        <v>66754</v>
      </c>
      <c r="H11" s="3">
        <v>49451</v>
      </c>
      <c r="I11" s="3">
        <v>45031</v>
      </c>
      <c r="J11" s="3">
        <v>45000</v>
      </c>
      <c r="K11" s="25">
        <v>0</v>
      </c>
      <c r="L11" s="25">
        <v>0</v>
      </c>
    </row>
    <row r="12" spans="1:12" ht="22.5" customHeight="1">
      <c r="A12" s="26">
        <v>6</v>
      </c>
      <c r="B12" s="25">
        <v>2614008</v>
      </c>
      <c r="C12" s="25">
        <v>466789</v>
      </c>
      <c r="D12" s="3">
        <v>9899</v>
      </c>
      <c r="E12" s="3">
        <v>16465</v>
      </c>
      <c r="F12" s="3">
        <v>6573</v>
      </c>
      <c r="G12" s="3">
        <v>66758</v>
      </c>
      <c r="H12" s="3">
        <v>49451</v>
      </c>
      <c r="I12" s="3">
        <v>45031</v>
      </c>
      <c r="J12" s="3">
        <v>45004</v>
      </c>
      <c r="K12" s="25">
        <v>0</v>
      </c>
      <c r="L12" s="25">
        <v>0</v>
      </c>
    </row>
    <row r="13" spans="1:12" ht="22.5" customHeight="1">
      <c r="A13" s="26">
        <v>7</v>
      </c>
      <c r="B13" s="25">
        <v>2614008</v>
      </c>
      <c r="C13" s="25">
        <v>466789</v>
      </c>
      <c r="D13" s="3">
        <v>9899</v>
      </c>
      <c r="E13" s="3">
        <v>16465</v>
      </c>
      <c r="F13" s="3">
        <v>6573</v>
      </c>
      <c r="G13" s="3">
        <v>66758</v>
      </c>
      <c r="H13" s="3">
        <v>49451</v>
      </c>
      <c r="I13" s="3">
        <v>45031</v>
      </c>
      <c r="J13" s="3">
        <v>45004</v>
      </c>
      <c r="K13" s="25">
        <v>0</v>
      </c>
      <c r="L13" s="25">
        <v>0</v>
      </c>
    </row>
    <row r="14" spans="1:12" ht="22.5" customHeight="1">
      <c r="A14" s="26">
        <v>8</v>
      </c>
      <c r="B14" s="25">
        <v>2619232</v>
      </c>
      <c r="C14" s="25">
        <v>466963</v>
      </c>
      <c r="D14" s="3">
        <v>9978</v>
      </c>
      <c r="E14" s="3">
        <v>16577</v>
      </c>
      <c r="F14" s="3">
        <v>6574</v>
      </c>
      <c r="G14" s="3">
        <v>66765</v>
      </c>
      <c r="H14" s="3">
        <v>49451</v>
      </c>
      <c r="I14" s="3">
        <v>45031</v>
      </c>
      <c r="J14" s="3">
        <v>45007</v>
      </c>
      <c r="K14" s="25">
        <v>0</v>
      </c>
      <c r="L14" s="25">
        <v>0</v>
      </c>
    </row>
    <row r="15" spans="1:12" ht="22.5" customHeight="1">
      <c r="A15" s="26">
        <v>9</v>
      </c>
      <c r="B15" s="25">
        <v>2621820</v>
      </c>
      <c r="C15" s="25">
        <v>467011</v>
      </c>
      <c r="D15" s="3">
        <v>10020</v>
      </c>
      <c r="E15" s="3">
        <v>16640</v>
      </c>
      <c r="F15" s="3">
        <v>6575</v>
      </c>
      <c r="G15" s="3">
        <v>66770</v>
      </c>
      <c r="H15" s="3">
        <v>49451</v>
      </c>
      <c r="I15" s="3">
        <v>45032</v>
      </c>
      <c r="J15" s="3">
        <v>45018</v>
      </c>
      <c r="K15" s="25">
        <v>0</v>
      </c>
      <c r="L15" s="25">
        <v>0</v>
      </c>
    </row>
    <row r="16" spans="1:12" ht="22.5" customHeight="1">
      <c r="A16" s="26">
        <v>10</v>
      </c>
      <c r="B16" s="25">
        <v>2624562</v>
      </c>
      <c r="C16" s="25">
        <v>467057</v>
      </c>
      <c r="D16" s="3">
        <v>10061</v>
      </c>
      <c r="E16" s="3">
        <v>16700</v>
      </c>
      <c r="F16" s="3">
        <v>6576</v>
      </c>
      <c r="G16" s="3">
        <v>66774</v>
      </c>
      <c r="H16" s="3">
        <v>49451</v>
      </c>
      <c r="I16" s="3">
        <v>45032</v>
      </c>
      <c r="J16" s="3">
        <v>45024</v>
      </c>
      <c r="K16" s="25">
        <v>0</v>
      </c>
      <c r="L16" s="25">
        <v>0</v>
      </c>
    </row>
    <row r="17" spans="1:12" ht="22.5" customHeight="1">
      <c r="A17" s="26">
        <v>11</v>
      </c>
      <c r="B17" s="25">
        <v>2627168</v>
      </c>
      <c r="C17" s="25">
        <v>467129</v>
      </c>
      <c r="D17" s="3">
        <v>10102</v>
      </c>
      <c r="E17" s="3">
        <v>16764</v>
      </c>
      <c r="F17" s="3">
        <v>6577</v>
      </c>
      <c r="G17" s="3">
        <v>66778</v>
      </c>
      <c r="H17" s="3">
        <v>49451</v>
      </c>
      <c r="I17" s="3">
        <v>45032</v>
      </c>
      <c r="J17" s="3">
        <v>45029</v>
      </c>
      <c r="K17" s="25">
        <v>0</v>
      </c>
      <c r="L17" s="25">
        <v>0</v>
      </c>
    </row>
    <row r="18" spans="1:12" ht="22.5" customHeight="1">
      <c r="A18" s="26">
        <v>12</v>
      </c>
      <c r="B18" s="25">
        <v>2629726</v>
      </c>
      <c r="C18" s="25">
        <v>467176</v>
      </c>
      <c r="D18" s="3">
        <v>10140</v>
      </c>
      <c r="E18" s="3">
        <v>16829</v>
      </c>
      <c r="F18" s="3">
        <v>6578</v>
      </c>
      <c r="G18" s="3">
        <v>66782</v>
      </c>
      <c r="H18" s="3">
        <v>49451</v>
      </c>
      <c r="I18" s="3">
        <v>45032</v>
      </c>
      <c r="J18" s="3">
        <v>45035</v>
      </c>
      <c r="K18" s="25">
        <v>0</v>
      </c>
      <c r="L18" s="25">
        <v>0</v>
      </c>
    </row>
    <row r="19" spans="1:12" ht="22.5" customHeight="1">
      <c r="A19" s="26">
        <v>13</v>
      </c>
      <c r="B19" s="25">
        <v>2629726</v>
      </c>
      <c r="C19" s="25">
        <v>467176</v>
      </c>
      <c r="D19" s="3">
        <v>10140</v>
      </c>
      <c r="E19" s="3">
        <v>16829</v>
      </c>
      <c r="F19" s="3">
        <v>6578</v>
      </c>
      <c r="G19" s="3">
        <v>66782</v>
      </c>
      <c r="H19" s="3">
        <v>49451</v>
      </c>
      <c r="I19" s="3">
        <v>45032</v>
      </c>
      <c r="J19" s="3">
        <v>45035</v>
      </c>
      <c r="K19" s="25">
        <v>0</v>
      </c>
      <c r="L19" s="25">
        <v>0</v>
      </c>
    </row>
    <row r="20" spans="1:12" ht="22.5" customHeight="1">
      <c r="A20" s="26">
        <v>14</v>
      </c>
      <c r="B20" s="25">
        <v>2629726</v>
      </c>
      <c r="C20" s="25">
        <v>467176</v>
      </c>
      <c r="D20" s="3">
        <v>10140</v>
      </c>
      <c r="E20" s="3">
        <v>16829</v>
      </c>
      <c r="F20" s="3">
        <v>6578</v>
      </c>
      <c r="G20" s="3">
        <v>66782</v>
      </c>
      <c r="H20" s="3">
        <v>49451</v>
      </c>
      <c r="I20" s="3">
        <v>45032</v>
      </c>
      <c r="J20" s="3">
        <v>45035</v>
      </c>
      <c r="K20" s="25">
        <v>0</v>
      </c>
      <c r="L20" s="25">
        <v>0</v>
      </c>
    </row>
    <row r="21" spans="1:12" ht="22.5" customHeight="1">
      <c r="A21" s="26">
        <v>15</v>
      </c>
      <c r="B21" s="33">
        <v>2629726</v>
      </c>
      <c r="C21" s="25">
        <v>467223</v>
      </c>
      <c r="D21" s="3">
        <v>10255</v>
      </c>
      <c r="E21" s="3">
        <v>17013</v>
      </c>
      <c r="F21" s="3">
        <v>6580</v>
      </c>
      <c r="G21" s="3">
        <v>66790</v>
      </c>
      <c r="H21" s="3">
        <v>49451</v>
      </c>
      <c r="I21" s="3">
        <v>45032</v>
      </c>
      <c r="J21" s="3">
        <v>45044</v>
      </c>
      <c r="K21" s="25">
        <v>0</v>
      </c>
      <c r="L21" s="25">
        <v>0</v>
      </c>
    </row>
    <row r="22" spans="1:12" ht="22.5" customHeight="1">
      <c r="A22" s="26">
        <v>16</v>
      </c>
      <c r="B22" s="25">
        <v>2639896</v>
      </c>
      <c r="C22" s="25">
        <v>467278</v>
      </c>
      <c r="D22" s="3">
        <v>10305</v>
      </c>
      <c r="E22" s="3">
        <v>17081</v>
      </c>
      <c r="F22" s="3">
        <v>6581</v>
      </c>
      <c r="G22" s="3">
        <v>66793</v>
      </c>
      <c r="H22" s="3">
        <v>49451</v>
      </c>
      <c r="I22" s="3">
        <v>45032</v>
      </c>
      <c r="J22" s="3">
        <v>45045</v>
      </c>
      <c r="K22" s="25">
        <v>0</v>
      </c>
      <c r="L22" s="25">
        <v>0</v>
      </c>
    </row>
    <row r="23" spans="1:12" ht="22.5" customHeight="1">
      <c r="A23" s="26">
        <v>17</v>
      </c>
      <c r="B23" s="25">
        <v>2642788</v>
      </c>
      <c r="C23" s="25">
        <v>467323</v>
      </c>
      <c r="D23" s="3">
        <v>10354</v>
      </c>
      <c r="E23" s="3">
        <v>17154</v>
      </c>
      <c r="F23" s="3">
        <v>6582</v>
      </c>
      <c r="G23" s="3">
        <v>66797</v>
      </c>
      <c r="H23" s="3">
        <v>49451</v>
      </c>
      <c r="I23" s="3">
        <v>45032</v>
      </c>
      <c r="J23" s="3">
        <v>45050</v>
      </c>
      <c r="K23" s="25">
        <v>0</v>
      </c>
      <c r="L23" s="25">
        <v>0</v>
      </c>
    </row>
    <row r="24" spans="1:12" ht="22.5" customHeight="1">
      <c r="A24" s="26">
        <v>18</v>
      </c>
      <c r="B24" s="25">
        <v>2644526</v>
      </c>
      <c r="C24" s="25">
        <v>467344</v>
      </c>
      <c r="D24" s="3">
        <v>10389</v>
      </c>
      <c r="E24" s="3">
        <v>17206</v>
      </c>
      <c r="F24" s="3">
        <v>6583</v>
      </c>
      <c r="G24" s="3">
        <v>66798</v>
      </c>
      <c r="H24" s="3">
        <v>49451</v>
      </c>
      <c r="I24" s="3">
        <v>45032</v>
      </c>
      <c r="J24" s="3">
        <v>45052</v>
      </c>
      <c r="K24" s="25">
        <v>0</v>
      </c>
      <c r="L24" s="25">
        <v>0</v>
      </c>
    </row>
    <row r="25" spans="1:12" ht="22.5" customHeight="1">
      <c r="A25" s="26">
        <v>19</v>
      </c>
      <c r="B25" s="25">
        <v>2646648</v>
      </c>
      <c r="C25" s="25">
        <v>467391</v>
      </c>
      <c r="D25" s="3">
        <v>10430</v>
      </c>
      <c r="E25" s="3">
        <v>17263</v>
      </c>
      <c r="F25" s="3">
        <v>6584</v>
      </c>
      <c r="G25" s="3">
        <v>66801</v>
      </c>
      <c r="H25" s="3">
        <v>49451</v>
      </c>
      <c r="I25" s="3">
        <v>45032</v>
      </c>
      <c r="J25" s="3">
        <v>45055</v>
      </c>
      <c r="K25" s="25">
        <v>0</v>
      </c>
      <c r="L25" s="25">
        <v>0</v>
      </c>
    </row>
    <row r="26" spans="1:12" ht="22.5" customHeight="1">
      <c r="A26" s="26">
        <v>20</v>
      </c>
      <c r="B26" s="25">
        <v>2646648</v>
      </c>
      <c r="C26" s="25">
        <v>467391</v>
      </c>
      <c r="D26" s="3">
        <v>10430</v>
      </c>
      <c r="E26" s="3">
        <v>17263</v>
      </c>
      <c r="F26" s="3">
        <v>6584</v>
      </c>
      <c r="G26" s="3">
        <v>66801</v>
      </c>
      <c r="H26" s="3">
        <v>49451</v>
      </c>
      <c r="I26" s="3">
        <v>45032</v>
      </c>
      <c r="J26" s="3">
        <v>45055</v>
      </c>
      <c r="K26" s="25">
        <v>0</v>
      </c>
      <c r="L26" s="25">
        <v>0</v>
      </c>
    </row>
    <row r="27" spans="1:12" ht="22.5" customHeight="1">
      <c r="A27" s="26">
        <v>21</v>
      </c>
      <c r="B27" s="25">
        <v>2646648</v>
      </c>
      <c r="C27" s="33">
        <v>467391</v>
      </c>
      <c r="D27" s="3">
        <v>10430</v>
      </c>
      <c r="E27" s="3">
        <v>17263</v>
      </c>
      <c r="F27" s="3">
        <v>6584</v>
      </c>
      <c r="G27" s="3">
        <v>66801</v>
      </c>
      <c r="H27" s="3">
        <v>49451</v>
      </c>
      <c r="I27" s="3">
        <v>45032</v>
      </c>
      <c r="J27" s="3">
        <v>45055</v>
      </c>
      <c r="K27" s="25">
        <v>0</v>
      </c>
      <c r="L27" s="25">
        <v>0</v>
      </c>
    </row>
    <row r="28" spans="1:12" ht="22.5" customHeight="1">
      <c r="A28" s="26">
        <v>22</v>
      </c>
      <c r="B28" s="25">
        <v>2652544</v>
      </c>
      <c r="C28" s="23">
        <v>467465</v>
      </c>
      <c r="D28" s="3">
        <v>10558</v>
      </c>
      <c r="E28" s="3">
        <v>17448</v>
      </c>
      <c r="F28" s="3">
        <v>6586</v>
      </c>
      <c r="G28" s="3">
        <v>66811</v>
      </c>
      <c r="H28" s="3">
        <v>49451</v>
      </c>
      <c r="I28" s="3">
        <v>45032</v>
      </c>
      <c r="J28" s="3">
        <v>45059</v>
      </c>
      <c r="K28" s="25">
        <v>0</v>
      </c>
      <c r="L28" s="25">
        <v>0</v>
      </c>
    </row>
    <row r="29" spans="1:12" ht="22.5" customHeight="1">
      <c r="A29" s="26">
        <v>23</v>
      </c>
      <c r="B29" s="25">
        <v>2654716</v>
      </c>
      <c r="C29" s="23">
        <v>467531</v>
      </c>
      <c r="D29" s="3">
        <v>10602</v>
      </c>
      <c r="E29" s="3">
        <v>17510</v>
      </c>
      <c r="F29" s="3">
        <v>6587</v>
      </c>
      <c r="G29" s="3">
        <v>66813</v>
      </c>
      <c r="H29" s="3">
        <v>49451</v>
      </c>
      <c r="I29" s="3">
        <v>45032</v>
      </c>
      <c r="J29" s="3">
        <v>45061</v>
      </c>
      <c r="K29" s="25">
        <v>0</v>
      </c>
      <c r="L29" s="25">
        <v>0</v>
      </c>
    </row>
    <row r="30" spans="1:12" ht="22.5" customHeight="1">
      <c r="A30" s="26">
        <v>24</v>
      </c>
      <c r="B30" s="25">
        <v>2656710</v>
      </c>
      <c r="C30" s="23">
        <v>467584</v>
      </c>
      <c r="D30" s="3">
        <v>10634</v>
      </c>
      <c r="E30" s="3">
        <v>17572</v>
      </c>
      <c r="F30" s="3">
        <v>6588</v>
      </c>
      <c r="G30" s="3">
        <v>66813</v>
      </c>
      <c r="H30" s="3">
        <v>49451</v>
      </c>
      <c r="I30" s="3">
        <v>45033</v>
      </c>
      <c r="J30" s="3">
        <v>45067</v>
      </c>
      <c r="K30" s="25">
        <v>0</v>
      </c>
      <c r="L30" s="25">
        <v>0</v>
      </c>
    </row>
    <row r="31" spans="1:12" ht="22.5" customHeight="1">
      <c r="A31" s="26">
        <v>25</v>
      </c>
      <c r="B31" s="25">
        <v>2658538</v>
      </c>
      <c r="C31" s="23">
        <v>467616</v>
      </c>
      <c r="D31" s="3">
        <v>10665</v>
      </c>
      <c r="E31" s="3">
        <v>17637</v>
      </c>
      <c r="F31" s="3">
        <v>6589</v>
      </c>
      <c r="G31" s="3">
        <v>66813</v>
      </c>
      <c r="H31" s="3">
        <v>49451</v>
      </c>
      <c r="I31" s="3">
        <v>45033</v>
      </c>
      <c r="J31" s="3">
        <v>45069</v>
      </c>
      <c r="K31" s="25">
        <v>0</v>
      </c>
      <c r="L31" s="25">
        <v>0</v>
      </c>
    </row>
    <row r="32" spans="1:12" ht="22.5" customHeight="1">
      <c r="A32" s="26">
        <v>26</v>
      </c>
      <c r="B32" s="25">
        <v>2660440</v>
      </c>
      <c r="C32" s="23">
        <v>467677</v>
      </c>
      <c r="D32" s="3">
        <v>10692</v>
      </c>
      <c r="E32" s="3">
        <v>17701</v>
      </c>
      <c r="F32" s="3">
        <v>6590</v>
      </c>
      <c r="G32" s="3">
        <v>66813</v>
      </c>
      <c r="H32" s="3">
        <v>49451</v>
      </c>
      <c r="I32" s="3">
        <v>45033</v>
      </c>
      <c r="J32" s="3">
        <v>45069</v>
      </c>
      <c r="K32" s="25">
        <v>0</v>
      </c>
      <c r="L32" s="25">
        <v>0</v>
      </c>
    </row>
    <row r="33" spans="1:12" ht="22.5" customHeight="1">
      <c r="A33" s="26">
        <v>27</v>
      </c>
      <c r="B33" s="25">
        <v>2660450</v>
      </c>
      <c r="C33" s="23">
        <v>467677</v>
      </c>
      <c r="D33" s="3">
        <v>10692</v>
      </c>
      <c r="E33" s="3">
        <v>17701</v>
      </c>
      <c r="F33" s="3">
        <v>6590</v>
      </c>
      <c r="G33" s="3">
        <v>66813</v>
      </c>
      <c r="H33" s="3">
        <v>49451</v>
      </c>
      <c r="I33" s="3">
        <v>45033</v>
      </c>
      <c r="J33" s="3">
        <v>45069</v>
      </c>
      <c r="K33" s="25">
        <v>0</v>
      </c>
      <c r="L33" s="25">
        <v>0</v>
      </c>
    </row>
    <row r="34" spans="1:12" ht="22.5" customHeight="1">
      <c r="A34" s="26">
        <v>28</v>
      </c>
      <c r="B34" s="25">
        <v>2660460</v>
      </c>
      <c r="C34" s="23">
        <v>467677</v>
      </c>
      <c r="D34" s="3">
        <v>10692</v>
      </c>
      <c r="E34" s="3">
        <v>17701</v>
      </c>
      <c r="F34" s="3">
        <v>6590</v>
      </c>
      <c r="G34" s="3">
        <v>66813</v>
      </c>
      <c r="H34" s="3">
        <v>49451</v>
      </c>
      <c r="I34" s="3">
        <v>45033</v>
      </c>
      <c r="J34" s="3">
        <v>45069</v>
      </c>
      <c r="K34" s="25">
        <v>0</v>
      </c>
      <c r="L34" s="25">
        <v>0</v>
      </c>
    </row>
    <row r="35" spans="1:12" ht="22.5" customHeight="1">
      <c r="A35" s="26">
        <v>29</v>
      </c>
      <c r="B35" s="25">
        <v>2665804</v>
      </c>
      <c r="C35" s="23">
        <v>467862</v>
      </c>
      <c r="D35" s="3">
        <v>10745</v>
      </c>
      <c r="E35" s="3">
        <v>17898</v>
      </c>
      <c r="F35" s="3">
        <v>6592</v>
      </c>
      <c r="G35" s="3">
        <v>66814</v>
      </c>
      <c r="H35" s="3">
        <v>49451</v>
      </c>
      <c r="I35" s="3">
        <v>45033</v>
      </c>
      <c r="J35" s="3">
        <v>45071</v>
      </c>
      <c r="K35" s="25">
        <v>0</v>
      </c>
      <c r="L35" s="25">
        <v>0</v>
      </c>
    </row>
    <row r="36" spans="1:12" ht="22.5" customHeight="1">
      <c r="A36" s="1">
        <v>30</v>
      </c>
      <c r="B36" s="33">
        <v>2668314</v>
      </c>
      <c r="C36" s="3">
        <v>468075</v>
      </c>
      <c r="D36" s="3">
        <v>10770</v>
      </c>
      <c r="E36" s="3">
        <v>17964</v>
      </c>
      <c r="F36" s="3">
        <v>6593</v>
      </c>
      <c r="G36" s="3">
        <v>66814</v>
      </c>
      <c r="H36" s="3">
        <v>49451</v>
      </c>
      <c r="I36" s="3">
        <v>45033</v>
      </c>
      <c r="J36" s="3">
        <v>45072</v>
      </c>
      <c r="K36" s="25">
        <v>0</v>
      </c>
      <c r="L36" s="25">
        <v>0</v>
      </c>
    </row>
    <row r="37" spans="1:12" ht="25.5">
      <c r="A37" s="5" t="s">
        <v>30</v>
      </c>
      <c r="B37" s="27">
        <f>B36-B6</f>
        <v>71252</v>
      </c>
      <c r="C37" s="24">
        <v>468075</v>
      </c>
      <c r="D37" s="24">
        <f>D36-D6</f>
        <v>1154</v>
      </c>
      <c r="E37" s="24">
        <f>E36-E6</f>
        <v>1897</v>
      </c>
      <c r="F37" s="24">
        <f>F36-F6</f>
        <v>24</v>
      </c>
      <c r="G37" s="24">
        <f t="shared" ref="G37:J37" si="0">G36-G6</f>
        <v>96</v>
      </c>
      <c r="H37" s="24">
        <f t="shared" si="0"/>
        <v>0</v>
      </c>
      <c r="I37" s="24">
        <f t="shared" si="0"/>
        <v>2</v>
      </c>
      <c r="J37" s="24">
        <f t="shared" si="0"/>
        <v>104</v>
      </c>
      <c r="K37" s="25">
        <v>0</v>
      </c>
      <c r="L37" s="25">
        <v>0</v>
      </c>
    </row>
    <row r="38" spans="1:12" ht="22.5" customHeight="1">
      <c r="A38" s="26" t="s">
        <v>31</v>
      </c>
      <c r="B38" s="39">
        <f>B37</f>
        <v>71252</v>
      </c>
      <c r="C38" s="35"/>
      <c r="D38" s="34">
        <f>SUM(D37:E37)</f>
        <v>3051</v>
      </c>
      <c r="E38" s="35"/>
      <c r="F38" s="34">
        <f>SUM(F37:J37)</f>
        <v>226</v>
      </c>
      <c r="G38" s="36"/>
      <c r="H38" s="36"/>
      <c r="I38" s="36"/>
      <c r="J38" s="35"/>
      <c r="K38" s="3">
        <f>SUM(K7:K37)</f>
        <v>0</v>
      </c>
      <c r="L38" s="3">
        <f>SUM(L7:L37)</f>
        <v>0</v>
      </c>
    </row>
    <row r="40" spans="1:12" ht="22.5" customHeight="1"/>
  </sheetData>
  <mergeCells count="4">
    <mergeCell ref="D38:E38"/>
    <mergeCell ref="F38:J38"/>
    <mergeCell ref="B5:C5"/>
    <mergeCell ref="B38:C3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16C4126E-073E-4142-9534-E95B2E05197D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2021-12-09T09:48:08Z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